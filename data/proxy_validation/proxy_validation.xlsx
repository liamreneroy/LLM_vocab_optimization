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7200" yWindow="3960" windowWidth="27200" windowHeight="14860" tabRatio="600" firstSheet="121" activeTab="132" autoFilterDateGrouping="1"/>
  </bookViews>
  <sheets>
    <sheet xmlns:r="http://schemas.openxmlformats.org/officeDocument/2006/relationships" name="PROXY_FINAL" sheetId="1" state="visible" r:id="rId1"/>
    <sheet xmlns:r="http://schemas.openxmlformats.org/officeDocument/2006/relationships" name="PROXY_RESULTS" sheetId="2" state="visible" r:id="rId2"/>
    <sheet xmlns:r="http://schemas.openxmlformats.org/officeDocument/2006/relationships" name="META DATA" sheetId="3" state="visible" r:id="rId3"/>
    <sheet xmlns:r="http://schemas.openxmlformats.org/officeDocument/2006/relationships" name="STUDY03_DATA" sheetId="4" state="visible" r:id="rId4"/>
    <sheet xmlns:r="http://schemas.openxmlformats.org/officeDocument/2006/relationships" name="HUMAN_ACCURACY" sheetId="5" state="visible" r:id="rId5"/>
    <sheet xmlns:r="http://schemas.openxmlformats.org/officeDocument/2006/relationships" name="LLM_WFI_01" sheetId="6" state="visible" r:id="rId6"/>
    <sheet xmlns:r="http://schemas.openxmlformats.org/officeDocument/2006/relationships" name="LLM_AO_01" sheetId="7" state="visible" r:id="rId7"/>
    <sheet xmlns:r="http://schemas.openxmlformats.org/officeDocument/2006/relationships" name="LLM_FO_01" sheetId="8" state="visible" r:id="rId8"/>
    <sheet xmlns:r="http://schemas.openxmlformats.org/officeDocument/2006/relationships" name="LLM_NH_01" sheetId="9" state="visible" r:id="rId9"/>
    <sheet xmlns:r="http://schemas.openxmlformats.org/officeDocument/2006/relationships" name="LLM_C_01" sheetId="10" state="visible" r:id="rId10"/>
    <sheet xmlns:r="http://schemas.openxmlformats.org/officeDocument/2006/relationships" name="HUM_WFI_01" sheetId="11" state="visible" r:id="rId11"/>
    <sheet xmlns:r="http://schemas.openxmlformats.org/officeDocument/2006/relationships" name="HUM_AO_01" sheetId="12" state="visible" r:id="rId12"/>
    <sheet xmlns:r="http://schemas.openxmlformats.org/officeDocument/2006/relationships" name="HUM_FO_01" sheetId="13" state="visible" r:id="rId13"/>
    <sheet xmlns:r="http://schemas.openxmlformats.org/officeDocument/2006/relationships" name="HUM_NH_01" sheetId="14" state="visible" r:id="rId14"/>
    <sheet xmlns:r="http://schemas.openxmlformats.org/officeDocument/2006/relationships" name="HUM_C_01" sheetId="15" state="visible" r:id="rId15"/>
    <sheet xmlns:r="http://schemas.openxmlformats.org/officeDocument/2006/relationships" name="RAN_WFI_01" sheetId="16" state="visible" r:id="rId16"/>
    <sheet xmlns:r="http://schemas.openxmlformats.org/officeDocument/2006/relationships" name="RAN_AO_01" sheetId="17" state="visible" r:id="rId17"/>
    <sheet xmlns:r="http://schemas.openxmlformats.org/officeDocument/2006/relationships" name="RAN_FO_01" sheetId="18" state="visible" r:id="rId18"/>
    <sheet xmlns:r="http://schemas.openxmlformats.org/officeDocument/2006/relationships" name="RAN_NH_01" sheetId="19" state="visible" r:id="rId19"/>
    <sheet xmlns:r="http://schemas.openxmlformats.org/officeDocument/2006/relationships" name="RAN_C_01" sheetId="20" state="visible" r:id="rId20"/>
    <sheet xmlns:r="http://schemas.openxmlformats.org/officeDocument/2006/relationships" name="LLM_WFI_02" sheetId="21" state="visible" r:id="rId21"/>
    <sheet xmlns:r="http://schemas.openxmlformats.org/officeDocument/2006/relationships" name="LLM_AO_02" sheetId="22" state="visible" r:id="rId22"/>
    <sheet xmlns:r="http://schemas.openxmlformats.org/officeDocument/2006/relationships" name="LLM_FO_02" sheetId="23" state="visible" r:id="rId23"/>
    <sheet xmlns:r="http://schemas.openxmlformats.org/officeDocument/2006/relationships" name="LLM_NH_02" sheetId="24" state="visible" r:id="rId24"/>
    <sheet xmlns:r="http://schemas.openxmlformats.org/officeDocument/2006/relationships" name="LLM_C_02" sheetId="25" state="visible" r:id="rId25"/>
    <sheet xmlns:r="http://schemas.openxmlformats.org/officeDocument/2006/relationships" name="HUM_WFI_02" sheetId="26" state="visible" r:id="rId26"/>
    <sheet xmlns:r="http://schemas.openxmlformats.org/officeDocument/2006/relationships" name="HUM_AO_02" sheetId="27" state="visible" r:id="rId27"/>
    <sheet xmlns:r="http://schemas.openxmlformats.org/officeDocument/2006/relationships" name="HUM_FO_02" sheetId="28" state="visible" r:id="rId28"/>
    <sheet xmlns:r="http://schemas.openxmlformats.org/officeDocument/2006/relationships" name="HUM_NH_02" sheetId="29" state="visible" r:id="rId29"/>
    <sheet xmlns:r="http://schemas.openxmlformats.org/officeDocument/2006/relationships" name="HUM_C_02" sheetId="30" state="visible" r:id="rId30"/>
    <sheet xmlns:r="http://schemas.openxmlformats.org/officeDocument/2006/relationships" name="RAN_WFI_02" sheetId="31" state="visible" r:id="rId31"/>
    <sheet xmlns:r="http://schemas.openxmlformats.org/officeDocument/2006/relationships" name="RAN_AO_02" sheetId="32" state="visible" r:id="rId32"/>
    <sheet xmlns:r="http://schemas.openxmlformats.org/officeDocument/2006/relationships" name="RAN_FO_02" sheetId="33" state="visible" r:id="rId33"/>
    <sheet xmlns:r="http://schemas.openxmlformats.org/officeDocument/2006/relationships" name="RAN_NH_02" sheetId="34" state="visible" r:id="rId34"/>
    <sheet xmlns:r="http://schemas.openxmlformats.org/officeDocument/2006/relationships" name="RAN_C_02" sheetId="35" state="visible" r:id="rId35"/>
    <sheet xmlns:r="http://schemas.openxmlformats.org/officeDocument/2006/relationships" name="LLM_WFI_03" sheetId="36" state="visible" r:id="rId36"/>
    <sheet xmlns:r="http://schemas.openxmlformats.org/officeDocument/2006/relationships" name="LLM_AO_03" sheetId="37" state="visible" r:id="rId37"/>
    <sheet xmlns:r="http://schemas.openxmlformats.org/officeDocument/2006/relationships" name="LLM_FO_03" sheetId="38" state="visible" r:id="rId38"/>
    <sheet xmlns:r="http://schemas.openxmlformats.org/officeDocument/2006/relationships" name="LLM_NH_03" sheetId="39" state="visible" r:id="rId39"/>
    <sheet xmlns:r="http://schemas.openxmlformats.org/officeDocument/2006/relationships" name="LLM_C_03" sheetId="40" state="visible" r:id="rId40"/>
    <sheet xmlns:r="http://schemas.openxmlformats.org/officeDocument/2006/relationships" name="HUM_WFI_03" sheetId="41" state="visible" r:id="rId41"/>
    <sheet xmlns:r="http://schemas.openxmlformats.org/officeDocument/2006/relationships" name="HUM_AO_03" sheetId="42" state="visible" r:id="rId42"/>
    <sheet xmlns:r="http://schemas.openxmlformats.org/officeDocument/2006/relationships" name="HUM_FO_03" sheetId="43" state="visible" r:id="rId43"/>
    <sheet xmlns:r="http://schemas.openxmlformats.org/officeDocument/2006/relationships" name="HUM_NH_03" sheetId="44" state="visible" r:id="rId44"/>
    <sheet xmlns:r="http://schemas.openxmlformats.org/officeDocument/2006/relationships" name="HUM_C_03" sheetId="45" state="visible" r:id="rId45"/>
    <sheet xmlns:r="http://schemas.openxmlformats.org/officeDocument/2006/relationships" name="RAN_WFI_03" sheetId="46" state="visible" r:id="rId46"/>
    <sheet xmlns:r="http://schemas.openxmlformats.org/officeDocument/2006/relationships" name="RAN_AO_03" sheetId="47" state="visible" r:id="rId47"/>
    <sheet xmlns:r="http://schemas.openxmlformats.org/officeDocument/2006/relationships" name="RAN_FO_03" sheetId="48" state="visible" r:id="rId48"/>
    <sheet xmlns:r="http://schemas.openxmlformats.org/officeDocument/2006/relationships" name="RAN_NH_03" sheetId="49" state="visible" r:id="rId49"/>
    <sheet xmlns:r="http://schemas.openxmlformats.org/officeDocument/2006/relationships" name="RAN_C_03" sheetId="50" state="visible" r:id="rId50"/>
    <sheet xmlns:r="http://schemas.openxmlformats.org/officeDocument/2006/relationships" name="LLM_WFI_04" sheetId="51" state="visible" r:id="rId51"/>
    <sheet xmlns:r="http://schemas.openxmlformats.org/officeDocument/2006/relationships" name="LLM_AO_04" sheetId="52" state="visible" r:id="rId52"/>
    <sheet xmlns:r="http://schemas.openxmlformats.org/officeDocument/2006/relationships" name="LLM_FO_04" sheetId="53" state="visible" r:id="rId53"/>
    <sheet xmlns:r="http://schemas.openxmlformats.org/officeDocument/2006/relationships" name="LLM_NH_04" sheetId="54" state="visible" r:id="rId54"/>
    <sheet xmlns:r="http://schemas.openxmlformats.org/officeDocument/2006/relationships" name="LLM_C_04" sheetId="55" state="visible" r:id="rId55"/>
    <sheet xmlns:r="http://schemas.openxmlformats.org/officeDocument/2006/relationships" name="HUM_WFI_04" sheetId="56" state="visible" r:id="rId56"/>
    <sheet xmlns:r="http://schemas.openxmlformats.org/officeDocument/2006/relationships" name="HUM_AO_04" sheetId="57" state="visible" r:id="rId57"/>
    <sheet xmlns:r="http://schemas.openxmlformats.org/officeDocument/2006/relationships" name="HUM_FO_04" sheetId="58" state="visible" r:id="rId58"/>
    <sheet xmlns:r="http://schemas.openxmlformats.org/officeDocument/2006/relationships" name="HUM_NH_04" sheetId="59" state="visible" r:id="rId59"/>
    <sheet xmlns:r="http://schemas.openxmlformats.org/officeDocument/2006/relationships" name="HUM_C_04" sheetId="60" state="visible" r:id="rId60"/>
    <sheet xmlns:r="http://schemas.openxmlformats.org/officeDocument/2006/relationships" name="RAN_WFI_04" sheetId="61" state="visible" r:id="rId61"/>
    <sheet xmlns:r="http://schemas.openxmlformats.org/officeDocument/2006/relationships" name="RAN_AO_04" sheetId="62" state="visible" r:id="rId62"/>
    <sheet xmlns:r="http://schemas.openxmlformats.org/officeDocument/2006/relationships" name="RAN_FO_04" sheetId="63" state="visible" r:id="rId63"/>
    <sheet xmlns:r="http://schemas.openxmlformats.org/officeDocument/2006/relationships" name="RAN_NH_04" sheetId="64" state="visible" r:id="rId64"/>
    <sheet xmlns:r="http://schemas.openxmlformats.org/officeDocument/2006/relationships" name="RAN_C_04" sheetId="65" state="visible" r:id="rId65"/>
    <sheet xmlns:r="http://schemas.openxmlformats.org/officeDocument/2006/relationships" name="LLM_WFI_05" sheetId="66" state="visible" r:id="rId66"/>
    <sheet xmlns:r="http://schemas.openxmlformats.org/officeDocument/2006/relationships" name="LLM_AO_05" sheetId="67" state="visible" r:id="rId67"/>
    <sheet xmlns:r="http://schemas.openxmlformats.org/officeDocument/2006/relationships" name="LLM_FO_05" sheetId="68" state="visible" r:id="rId68"/>
    <sheet xmlns:r="http://schemas.openxmlformats.org/officeDocument/2006/relationships" name="LLM_NH_05" sheetId="69" state="visible" r:id="rId69"/>
    <sheet xmlns:r="http://schemas.openxmlformats.org/officeDocument/2006/relationships" name="LLM_C_05" sheetId="70" state="visible" r:id="rId70"/>
    <sheet xmlns:r="http://schemas.openxmlformats.org/officeDocument/2006/relationships" name="HUM_WFI_05" sheetId="71" state="visible" r:id="rId71"/>
    <sheet xmlns:r="http://schemas.openxmlformats.org/officeDocument/2006/relationships" name="HUM_AO_05" sheetId="72" state="visible" r:id="rId72"/>
    <sheet xmlns:r="http://schemas.openxmlformats.org/officeDocument/2006/relationships" name="HUM_FO_05" sheetId="73" state="visible" r:id="rId73"/>
    <sheet xmlns:r="http://schemas.openxmlformats.org/officeDocument/2006/relationships" name="HUM_NH_05" sheetId="74" state="visible" r:id="rId74"/>
    <sheet xmlns:r="http://schemas.openxmlformats.org/officeDocument/2006/relationships" name="HUM_C_05" sheetId="75" state="visible" r:id="rId75"/>
    <sheet xmlns:r="http://schemas.openxmlformats.org/officeDocument/2006/relationships" name="RAN_WFI_05" sheetId="76" state="visible" r:id="rId76"/>
    <sheet xmlns:r="http://schemas.openxmlformats.org/officeDocument/2006/relationships" name="RAN_AO_05" sheetId="77" state="visible" r:id="rId77"/>
    <sheet xmlns:r="http://schemas.openxmlformats.org/officeDocument/2006/relationships" name="RAN_FO_05" sheetId="78" state="visible" r:id="rId78"/>
    <sheet xmlns:r="http://schemas.openxmlformats.org/officeDocument/2006/relationships" name="RAN_NH_05" sheetId="79" state="visible" r:id="rId79"/>
    <sheet xmlns:r="http://schemas.openxmlformats.org/officeDocument/2006/relationships" name="RAN_C_05" sheetId="80" state="visible" r:id="rId80"/>
    <sheet xmlns:r="http://schemas.openxmlformats.org/officeDocument/2006/relationships" name="LLM_WFI_06" sheetId="81" state="visible" r:id="rId81"/>
    <sheet xmlns:r="http://schemas.openxmlformats.org/officeDocument/2006/relationships" name="LLM_AO_06" sheetId="82" state="visible" r:id="rId82"/>
    <sheet xmlns:r="http://schemas.openxmlformats.org/officeDocument/2006/relationships" name="LLM_FO_06" sheetId="83" state="visible" r:id="rId83"/>
    <sheet xmlns:r="http://schemas.openxmlformats.org/officeDocument/2006/relationships" name="LLM_NH_06" sheetId="84" state="visible" r:id="rId84"/>
    <sheet xmlns:r="http://schemas.openxmlformats.org/officeDocument/2006/relationships" name="LLM_C_06" sheetId="85" state="visible" r:id="rId85"/>
    <sheet xmlns:r="http://schemas.openxmlformats.org/officeDocument/2006/relationships" name="HUM_WFI_06" sheetId="86" state="visible" r:id="rId86"/>
    <sheet xmlns:r="http://schemas.openxmlformats.org/officeDocument/2006/relationships" name="HUM_AO_06" sheetId="87" state="visible" r:id="rId87"/>
    <sheet xmlns:r="http://schemas.openxmlformats.org/officeDocument/2006/relationships" name="HUM_FO_06" sheetId="88" state="visible" r:id="rId88"/>
    <sheet xmlns:r="http://schemas.openxmlformats.org/officeDocument/2006/relationships" name="HUM_NH_06" sheetId="89" state="visible" r:id="rId89"/>
    <sheet xmlns:r="http://schemas.openxmlformats.org/officeDocument/2006/relationships" name="HUM_C_06" sheetId="90" state="visible" r:id="rId90"/>
    <sheet xmlns:r="http://schemas.openxmlformats.org/officeDocument/2006/relationships" name="RAN_WFI_06" sheetId="91" state="visible" r:id="rId91"/>
    <sheet xmlns:r="http://schemas.openxmlformats.org/officeDocument/2006/relationships" name="RAN_AO_06" sheetId="92" state="visible" r:id="rId92"/>
    <sheet xmlns:r="http://schemas.openxmlformats.org/officeDocument/2006/relationships" name="RAN_FO_06" sheetId="93" state="visible" r:id="rId93"/>
    <sheet xmlns:r="http://schemas.openxmlformats.org/officeDocument/2006/relationships" name="RAN_NH_06" sheetId="94" state="visible" r:id="rId94"/>
    <sheet xmlns:r="http://schemas.openxmlformats.org/officeDocument/2006/relationships" name="RAN_C_06" sheetId="95" state="visible" r:id="rId95"/>
    <sheet xmlns:r="http://schemas.openxmlformats.org/officeDocument/2006/relationships" name="LLM_WFI_07" sheetId="96" state="visible" r:id="rId96"/>
    <sheet xmlns:r="http://schemas.openxmlformats.org/officeDocument/2006/relationships" name="LLM_AO_07" sheetId="97" state="visible" r:id="rId97"/>
    <sheet xmlns:r="http://schemas.openxmlformats.org/officeDocument/2006/relationships" name="LLM_FO_07" sheetId="98" state="visible" r:id="rId98"/>
    <sheet xmlns:r="http://schemas.openxmlformats.org/officeDocument/2006/relationships" name="LLM_NH_07" sheetId="99" state="visible" r:id="rId99"/>
    <sheet xmlns:r="http://schemas.openxmlformats.org/officeDocument/2006/relationships" name="LLM_C_07" sheetId="100" state="visible" r:id="rId100"/>
    <sheet xmlns:r="http://schemas.openxmlformats.org/officeDocument/2006/relationships" name="HUM_WFI_07" sheetId="101" state="visible" r:id="rId101"/>
    <sheet xmlns:r="http://schemas.openxmlformats.org/officeDocument/2006/relationships" name="HUM_AO_07" sheetId="102" state="visible" r:id="rId102"/>
    <sheet xmlns:r="http://schemas.openxmlformats.org/officeDocument/2006/relationships" name="HUM_FO_07" sheetId="103" state="visible" r:id="rId103"/>
    <sheet xmlns:r="http://schemas.openxmlformats.org/officeDocument/2006/relationships" name="HUM_NH_07" sheetId="104" state="visible" r:id="rId104"/>
    <sheet xmlns:r="http://schemas.openxmlformats.org/officeDocument/2006/relationships" name="HUM_C_07" sheetId="105" state="visible" r:id="rId105"/>
    <sheet xmlns:r="http://schemas.openxmlformats.org/officeDocument/2006/relationships" name="RAN_WFI_07" sheetId="106" state="visible" r:id="rId106"/>
    <sheet xmlns:r="http://schemas.openxmlformats.org/officeDocument/2006/relationships" name="RAN_AO_07" sheetId="107" state="visible" r:id="rId107"/>
    <sheet xmlns:r="http://schemas.openxmlformats.org/officeDocument/2006/relationships" name="RAN_FO_07" sheetId="108" state="visible" r:id="rId108"/>
    <sheet xmlns:r="http://schemas.openxmlformats.org/officeDocument/2006/relationships" name="RAN_NH_07" sheetId="109" state="visible" r:id="rId109"/>
    <sheet xmlns:r="http://schemas.openxmlformats.org/officeDocument/2006/relationships" name="RAN_C_07" sheetId="110" state="visible" r:id="rId110"/>
    <sheet xmlns:r="http://schemas.openxmlformats.org/officeDocument/2006/relationships" name="LLM_WFI_08" sheetId="111" state="visible" r:id="rId111"/>
    <sheet xmlns:r="http://schemas.openxmlformats.org/officeDocument/2006/relationships" name="LLM_AO_08" sheetId="112" state="visible" r:id="rId112"/>
    <sheet xmlns:r="http://schemas.openxmlformats.org/officeDocument/2006/relationships" name="LLM_FO_08" sheetId="113" state="visible" r:id="rId113"/>
    <sheet xmlns:r="http://schemas.openxmlformats.org/officeDocument/2006/relationships" name="LLM_NH_08" sheetId="114" state="visible" r:id="rId114"/>
    <sheet xmlns:r="http://schemas.openxmlformats.org/officeDocument/2006/relationships" name="LLM_C_08" sheetId="115" state="visible" r:id="rId115"/>
    <sheet xmlns:r="http://schemas.openxmlformats.org/officeDocument/2006/relationships" name="HUM_WFI_08" sheetId="116" state="visible" r:id="rId116"/>
    <sheet xmlns:r="http://schemas.openxmlformats.org/officeDocument/2006/relationships" name="HUM_AO_08" sheetId="117" state="visible" r:id="rId117"/>
    <sheet xmlns:r="http://schemas.openxmlformats.org/officeDocument/2006/relationships" name="HUM_FO_08" sheetId="118" state="visible" r:id="rId118"/>
    <sheet xmlns:r="http://schemas.openxmlformats.org/officeDocument/2006/relationships" name="HUM_NH_08" sheetId="119" state="visible" r:id="rId119"/>
    <sheet xmlns:r="http://schemas.openxmlformats.org/officeDocument/2006/relationships" name="HUM_C_08" sheetId="120" state="visible" r:id="rId120"/>
    <sheet xmlns:r="http://schemas.openxmlformats.org/officeDocument/2006/relationships" name="RAN_WFI_08" sheetId="121" state="visible" r:id="rId121"/>
    <sheet xmlns:r="http://schemas.openxmlformats.org/officeDocument/2006/relationships" name="RAN_AO_08" sheetId="122" state="visible" r:id="rId122"/>
    <sheet xmlns:r="http://schemas.openxmlformats.org/officeDocument/2006/relationships" name="RAN_FO_08" sheetId="123" state="visible" r:id="rId123"/>
    <sheet xmlns:r="http://schemas.openxmlformats.org/officeDocument/2006/relationships" name="RAN_NH_08" sheetId="124" state="visible" r:id="rId124"/>
    <sheet xmlns:r="http://schemas.openxmlformats.org/officeDocument/2006/relationships" name="RAN_C_08" sheetId="125" state="visible" r:id="rId125"/>
    <sheet xmlns:r="http://schemas.openxmlformats.org/officeDocument/2006/relationships" name="LLM_WFI_10" sheetId="126" state="visible" r:id="rId126"/>
    <sheet xmlns:r="http://schemas.openxmlformats.org/officeDocument/2006/relationships" name="LLM_AO_10" sheetId="127" state="visible" r:id="rId127"/>
    <sheet xmlns:r="http://schemas.openxmlformats.org/officeDocument/2006/relationships" name="LLM_FO_10" sheetId="128" state="visible" r:id="rId128"/>
    <sheet xmlns:r="http://schemas.openxmlformats.org/officeDocument/2006/relationships" name="LLM_NH_10" sheetId="129" state="visible" r:id="rId129"/>
    <sheet xmlns:r="http://schemas.openxmlformats.org/officeDocument/2006/relationships" name="LLM_C_10" sheetId="130" state="visible" r:id="rId130"/>
    <sheet xmlns:r="http://schemas.openxmlformats.org/officeDocument/2006/relationships" name="HUM_WFI_10" sheetId="131" state="visible" r:id="rId131"/>
    <sheet xmlns:r="http://schemas.openxmlformats.org/officeDocument/2006/relationships" name="HUM_AO_10" sheetId="132" state="visible" r:id="rId132"/>
    <sheet xmlns:r="http://schemas.openxmlformats.org/officeDocument/2006/relationships" name="HUM_FO_10" sheetId="133" state="visible" r:id="rId133"/>
    <sheet xmlns:r="http://schemas.openxmlformats.org/officeDocument/2006/relationships" name="HUM_NH_10" sheetId="134" state="visible" r:id="rId134"/>
    <sheet xmlns:r="http://schemas.openxmlformats.org/officeDocument/2006/relationships" name="HUM_C_10" sheetId="135" state="visible" r:id="rId135"/>
    <sheet xmlns:r="http://schemas.openxmlformats.org/officeDocument/2006/relationships" name="RAN_WFI_10" sheetId="136" state="visible" r:id="rId136"/>
    <sheet xmlns:r="http://schemas.openxmlformats.org/officeDocument/2006/relationships" name="RAN_AO_10" sheetId="137" state="visible" r:id="rId137"/>
    <sheet xmlns:r="http://schemas.openxmlformats.org/officeDocument/2006/relationships" name="RAN_FO_10" sheetId="138" state="visible" r:id="rId138"/>
    <sheet xmlns:r="http://schemas.openxmlformats.org/officeDocument/2006/relationships" name="RAN_NH_10" sheetId="139" state="visible" r:id="rId139"/>
    <sheet xmlns:r="http://schemas.openxmlformats.org/officeDocument/2006/relationships" name="RAN_C_10" sheetId="140" state="visible" r:id="rId140"/>
    <sheet xmlns:r="http://schemas.openxmlformats.org/officeDocument/2006/relationships" name="LLM_WFI_11" sheetId="141" state="visible" r:id="rId141"/>
    <sheet xmlns:r="http://schemas.openxmlformats.org/officeDocument/2006/relationships" name="LLM_AO_11" sheetId="142" state="visible" r:id="rId142"/>
    <sheet xmlns:r="http://schemas.openxmlformats.org/officeDocument/2006/relationships" name="LLM_FO_11" sheetId="143" state="visible" r:id="rId143"/>
    <sheet xmlns:r="http://schemas.openxmlformats.org/officeDocument/2006/relationships" name="LLM_NH_11" sheetId="144" state="visible" r:id="rId144"/>
    <sheet xmlns:r="http://schemas.openxmlformats.org/officeDocument/2006/relationships" name="LLM_C_11" sheetId="145" state="visible" r:id="rId145"/>
    <sheet xmlns:r="http://schemas.openxmlformats.org/officeDocument/2006/relationships" name="HUM_WFI_11" sheetId="146" state="visible" r:id="rId146"/>
    <sheet xmlns:r="http://schemas.openxmlformats.org/officeDocument/2006/relationships" name="HUM_AO_11" sheetId="147" state="visible" r:id="rId147"/>
    <sheet xmlns:r="http://schemas.openxmlformats.org/officeDocument/2006/relationships" name="HUM_FO_11" sheetId="148" state="visible" r:id="rId148"/>
    <sheet xmlns:r="http://schemas.openxmlformats.org/officeDocument/2006/relationships" name="HUM_NH_11" sheetId="149" state="visible" r:id="rId149"/>
    <sheet xmlns:r="http://schemas.openxmlformats.org/officeDocument/2006/relationships" name="HUM_C_11" sheetId="150" state="visible" r:id="rId150"/>
    <sheet xmlns:r="http://schemas.openxmlformats.org/officeDocument/2006/relationships" name="RAN_WFI_11" sheetId="151" state="visible" r:id="rId151"/>
    <sheet xmlns:r="http://schemas.openxmlformats.org/officeDocument/2006/relationships" name="RAN_AO_11" sheetId="152" state="visible" r:id="rId152"/>
    <sheet xmlns:r="http://schemas.openxmlformats.org/officeDocument/2006/relationships" name="RAN_FO_11" sheetId="153" state="visible" r:id="rId153"/>
    <sheet xmlns:r="http://schemas.openxmlformats.org/officeDocument/2006/relationships" name="RAN_NH_11" sheetId="154" state="visible" r:id="rId154"/>
    <sheet xmlns:r="http://schemas.openxmlformats.org/officeDocument/2006/relationships" name="RAN_C_11" sheetId="155" state="visible" r:id="rId155"/>
    <sheet xmlns:r="http://schemas.openxmlformats.org/officeDocument/2006/relationships" name="LLM_WFI_12" sheetId="156" state="visible" r:id="rId156"/>
    <sheet xmlns:r="http://schemas.openxmlformats.org/officeDocument/2006/relationships" name="LLM_AO_12" sheetId="157" state="visible" r:id="rId157"/>
    <sheet xmlns:r="http://schemas.openxmlformats.org/officeDocument/2006/relationships" name="LLM_FO_12" sheetId="158" state="visible" r:id="rId158"/>
    <sheet xmlns:r="http://schemas.openxmlformats.org/officeDocument/2006/relationships" name="LLM_NH_12" sheetId="159" state="visible" r:id="rId159"/>
    <sheet xmlns:r="http://schemas.openxmlformats.org/officeDocument/2006/relationships" name="LLM_C_12" sheetId="160" state="visible" r:id="rId160"/>
    <sheet xmlns:r="http://schemas.openxmlformats.org/officeDocument/2006/relationships" name="HUM_WFI_12" sheetId="161" state="visible" r:id="rId161"/>
    <sheet xmlns:r="http://schemas.openxmlformats.org/officeDocument/2006/relationships" name="HUM_AO_12" sheetId="162" state="visible" r:id="rId162"/>
    <sheet xmlns:r="http://schemas.openxmlformats.org/officeDocument/2006/relationships" name="HUM_FO_12" sheetId="163" state="visible" r:id="rId163"/>
    <sheet xmlns:r="http://schemas.openxmlformats.org/officeDocument/2006/relationships" name="HUM_NH_12" sheetId="164" state="visible" r:id="rId164"/>
    <sheet xmlns:r="http://schemas.openxmlformats.org/officeDocument/2006/relationships" name="HUM_C_12" sheetId="165" state="visible" r:id="rId165"/>
    <sheet xmlns:r="http://schemas.openxmlformats.org/officeDocument/2006/relationships" name="RAN_WFI_12" sheetId="166" state="visible" r:id="rId166"/>
    <sheet xmlns:r="http://schemas.openxmlformats.org/officeDocument/2006/relationships" name="RAN_AO_12" sheetId="167" state="visible" r:id="rId167"/>
    <sheet xmlns:r="http://schemas.openxmlformats.org/officeDocument/2006/relationships" name="RAN_FO_12" sheetId="168" state="visible" r:id="rId168"/>
    <sheet xmlns:r="http://schemas.openxmlformats.org/officeDocument/2006/relationships" name="RAN_NH_12" sheetId="169" state="visible" r:id="rId169"/>
    <sheet xmlns:r="http://schemas.openxmlformats.org/officeDocument/2006/relationships" name="RAN_C_12" sheetId="170" state="visible" r:id="rId170"/>
    <sheet xmlns:r="http://schemas.openxmlformats.org/officeDocument/2006/relationships" name="LLM_WFI_13" sheetId="171" state="visible" r:id="rId171"/>
    <sheet xmlns:r="http://schemas.openxmlformats.org/officeDocument/2006/relationships" name="LLM_AO_13" sheetId="172" state="visible" r:id="rId172"/>
    <sheet xmlns:r="http://schemas.openxmlformats.org/officeDocument/2006/relationships" name="LLM_FO_13" sheetId="173" state="visible" r:id="rId173"/>
    <sheet xmlns:r="http://schemas.openxmlformats.org/officeDocument/2006/relationships" name="LLM_NH_13" sheetId="174" state="visible" r:id="rId174"/>
    <sheet xmlns:r="http://schemas.openxmlformats.org/officeDocument/2006/relationships" name="LLM_C_13" sheetId="175" state="visible" r:id="rId175"/>
    <sheet xmlns:r="http://schemas.openxmlformats.org/officeDocument/2006/relationships" name="HUM_WFI_13" sheetId="176" state="visible" r:id="rId176"/>
    <sheet xmlns:r="http://schemas.openxmlformats.org/officeDocument/2006/relationships" name="HUM_AO_13" sheetId="177" state="visible" r:id="rId177"/>
    <sheet xmlns:r="http://schemas.openxmlformats.org/officeDocument/2006/relationships" name="HUM_FO_13" sheetId="178" state="visible" r:id="rId178"/>
    <sheet xmlns:r="http://schemas.openxmlformats.org/officeDocument/2006/relationships" name="HUM_NH_13" sheetId="179" state="visible" r:id="rId179"/>
    <sheet xmlns:r="http://schemas.openxmlformats.org/officeDocument/2006/relationships" name="HUM_C_13" sheetId="180" state="visible" r:id="rId180"/>
    <sheet xmlns:r="http://schemas.openxmlformats.org/officeDocument/2006/relationships" name="RAN_WFI_13" sheetId="181" state="visible" r:id="rId181"/>
    <sheet xmlns:r="http://schemas.openxmlformats.org/officeDocument/2006/relationships" name="RAN_AO_13" sheetId="182" state="visible" r:id="rId182"/>
    <sheet xmlns:r="http://schemas.openxmlformats.org/officeDocument/2006/relationships" name="RAN_FO_13" sheetId="183" state="visible" r:id="rId183"/>
    <sheet xmlns:r="http://schemas.openxmlformats.org/officeDocument/2006/relationships" name="RAN_NH_13" sheetId="184" state="visible" r:id="rId184"/>
    <sheet xmlns:r="http://schemas.openxmlformats.org/officeDocument/2006/relationships" name="RAN_C_13" sheetId="185" state="visible" r:id="rId185"/>
    <sheet xmlns:r="http://schemas.openxmlformats.org/officeDocument/2006/relationships" name="LLM_WFI_14" sheetId="186" state="visible" r:id="rId186"/>
    <sheet xmlns:r="http://schemas.openxmlformats.org/officeDocument/2006/relationships" name="LLM_AO_14" sheetId="187" state="visible" r:id="rId187"/>
    <sheet xmlns:r="http://schemas.openxmlformats.org/officeDocument/2006/relationships" name="LLM_FO_14" sheetId="188" state="visible" r:id="rId188"/>
    <sheet xmlns:r="http://schemas.openxmlformats.org/officeDocument/2006/relationships" name="LLM_NH_14" sheetId="189" state="visible" r:id="rId189"/>
    <sheet xmlns:r="http://schemas.openxmlformats.org/officeDocument/2006/relationships" name="LLM_C_14" sheetId="190" state="visible" r:id="rId190"/>
    <sheet xmlns:r="http://schemas.openxmlformats.org/officeDocument/2006/relationships" name="HUM_WFI_14" sheetId="191" state="visible" r:id="rId191"/>
    <sheet xmlns:r="http://schemas.openxmlformats.org/officeDocument/2006/relationships" name="HUM_AO_14" sheetId="192" state="visible" r:id="rId192"/>
    <sheet xmlns:r="http://schemas.openxmlformats.org/officeDocument/2006/relationships" name="HUM_FO_14" sheetId="193" state="visible" r:id="rId193"/>
    <sheet xmlns:r="http://schemas.openxmlformats.org/officeDocument/2006/relationships" name="HUM_NH_14" sheetId="194" state="visible" r:id="rId194"/>
    <sheet xmlns:r="http://schemas.openxmlformats.org/officeDocument/2006/relationships" name="HUM_C_14" sheetId="195" state="visible" r:id="rId195"/>
    <sheet xmlns:r="http://schemas.openxmlformats.org/officeDocument/2006/relationships" name="RAN_WFI_14" sheetId="196" state="visible" r:id="rId196"/>
    <sheet xmlns:r="http://schemas.openxmlformats.org/officeDocument/2006/relationships" name="RAN_AO_14" sheetId="197" state="visible" r:id="rId197"/>
    <sheet xmlns:r="http://schemas.openxmlformats.org/officeDocument/2006/relationships" name="RAN_FO_14" sheetId="198" state="visible" r:id="rId198"/>
    <sheet xmlns:r="http://schemas.openxmlformats.org/officeDocument/2006/relationships" name="RAN_NH_14" sheetId="199" state="visible" r:id="rId199"/>
    <sheet xmlns:r="http://schemas.openxmlformats.org/officeDocument/2006/relationships" name="RAN_C_14" sheetId="200" state="visible" r:id="rId200"/>
    <sheet xmlns:r="http://schemas.openxmlformats.org/officeDocument/2006/relationships" name="LLM_WFI_15" sheetId="201" state="visible" r:id="rId201"/>
    <sheet xmlns:r="http://schemas.openxmlformats.org/officeDocument/2006/relationships" name="LLM_AO_15" sheetId="202" state="visible" r:id="rId202"/>
    <sheet xmlns:r="http://schemas.openxmlformats.org/officeDocument/2006/relationships" name="LLM_FO_15" sheetId="203" state="visible" r:id="rId203"/>
    <sheet xmlns:r="http://schemas.openxmlformats.org/officeDocument/2006/relationships" name="LLM_NH_15" sheetId="204" state="visible" r:id="rId204"/>
    <sheet xmlns:r="http://schemas.openxmlformats.org/officeDocument/2006/relationships" name="LLM_C_15" sheetId="205" state="visible" r:id="rId205"/>
    <sheet xmlns:r="http://schemas.openxmlformats.org/officeDocument/2006/relationships" name="HUM_WFI_15" sheetId="206" state="visible" r:id="rId206"/>
    <sheet xmlns:r="http://schemas.openxmlformats.org/officeDocument/2006/relationships" name="HUM_AO_15" sheetId="207" state="visible" r:id="rId207"/>
    <sheet xmlns:r="http://schemas.openxmlformats.org/officeDocument/2006/relationships" name="HUM_FO_15" sheetId="208" state="visible" r:id="rId208"/>
    <sheet xmlns:r="http://schemas.openxmlformats.org/officeDocument/2006/relationships" name="HUM_NH_15" sheetId="209" state="visible" r:id="rId209"/>
    <sheet xmlns:r="http://schemas.openxmlformats.org/officeDocument/2006/relationships" name="HUM_C_15" sheetId="210" state="visible" r:id="rId210"/>
    <sheet xmlns:r="http://schemas.openxmlformats.org/officeDocument/2006/relationships" name="RAN_WFI_15" sheetId="211" state="visible" r:id="rId211"/>
    <sheet xmlns:r="http://schemas.openxmlformats.org/officeDocument/2006/relationships" name="RAN_AO_15" sheetId="212" state="visible" r:id="rId212"/>
    <sheet xmlns:r="http://schemas.openxmlformats.org/officeDocument/2006/relationships" name="RAN_FO_15" sheetId="213" state="visible" r:id="rId213"/>
    <sheet xmlns:r="http://schemas.openxmlformats.org/officeDocument/2006/relationships" name="RAN_NH_15" sheetId="214" state="visible" r:id="rId214"/>
    <sheet xmlns:r="http://schemas.openxmlformats.org/officeDocument/2006/relationships" name="RAN_C_15" sheetId="215" state="visible" r:id="rId21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indexed="8"/>
      <sz val="11"/>
      <scheme val="minor"/>
    </font>
    <font>
      <name val="Aptos Narrow"/>
      <b val="1"/>
      <color indexed="8"/>
      <sz val="14"/>
      <scheme val="minor"/>
    </font>
    <font>
      <name val="Aptos Narrow"/>
      <family val="2"/>
      <color indexed="8"/>
      <sz val="16"/>
      <scheme val="minor"/>
    </font>
    <font>
      <name val="Aptos Narrow"/>
      <family val="2"/>
      <color indexed="8"/>
      <sz val="14"/>
      <scheme val="minor"/>
    </font>
    <font>
      <name val="Aptos Narrow"/>
      <b val="1"/>
      <color indexed="8"/>
      <sz val="24"/>
      <scheme val="minor"/>
    </font>
    <font>
      <name val="Aptos Narrow"/>
      <family val="2"/>
      <b val="1"/>
      <color theme="0"/>
      <sz val="16"/>
      <scheme val="minor"/>
    </font>
    <font>
      <name val="Aptos Narrow"/>
      <family val="2"/>
      <color theme="1"/>
      <sz val="16"/>
      <scheme val="minor"/>
    </font>
    <font>
      <name val="Aptos Narrow"/>
      <family val="2"/>
      <b val="1"/>
      <color indexed="8"/>
      <sz val="14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4"/>
      <scheme val="minor"/>
    </font>
    <font>
      <name val="Calibri"/>
      <family val="2"/>
      <b val="1"/>
      <color rgb="FF000000"/>
      <sz val="16"/>
    </font>
    <font>
      <name val="Calibri"/>
      <family val="2"/>
      <color rgb="FF000000"/>
      <sz val="16"/>
    </font>
    <font>
      <name val="Aptos Narrow"/>
      <family val="2"/>
      <color rgb="FF000000"/>
      <sz val="16"/>
    </font>
    <font>
      <name val="Aptos Narrow"/>
      <b val="1"/>
      <color theme="1"/>
      <sz val="12"/>
      <scheme val="minor"/>
    </font>
    <font>
      <name val="Aptos Narrow"/>
      <b val="1"/>
      <color theme="0"/>
      <sz val="14"/>
      <scheme val="minor"/>
    </font>
    <font>
      <name val="Aptos Narrow"/>
      <family val="2"/>
      <color theme="0"/>
      <sz val="16"/>
      <scheme val="minor"/>
    </font>
    <font>
      <name val="Aptos Narrow"/>
      <b val="1"/>
      <color indexed="8"/>
      <sz val="16"/>
      <scheme val="minor"/>
    </font>
    <font>
      <name val="Aptos Narrow"/>
      <b val="1"/>
      <color theme="1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b val="1"/>
      <color rgb="FF000000"/>
      <sz val="14"/>
      <scheme val="minor"/>
    </font>
    <font>
      <name val="Aptos Narrow"/>
      <color rgb="FF000000"/>
      <sz val="14"/>
      <scheme val="minor"/>
    </font>
    <font>
      <name val="Aptos Narrow"/>
      <family val="2"/>
      <color rgb="FF000000"/>
      <sz val="12"/>
      <scheme val="minor"/>
    </font>
    <font>
      <name val="Aptos Narrow"/>
      <b val="1"/>
      <color rgb="FF000000"/>
      <sz val="12"/>
      <scheme val="minor"/>
    </font>
    <font>
      <name val="Aptos Narrow"/>
      <color theme="1"/>
      <sz val="12"/>
      <scheme val="minor"/>
    </font>
  </fonts>
  <fills count="35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8EB6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EAFFD3"/>
        <bgColor indexed="64"/>
      </patternFill>
    </fill>
    <fill>
      <patternFill patternType="solid">
        <fgColor rgb="FFF8EB64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25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0FAFF"/>
        <bgColor indexed="64"/>
      </patternFill>
    </fill>
    <fill>
      <patternFill patternType="solid">
        <fgColor rgb="FFEADDFF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39393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A256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40404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B6E6A2"/>
        <bgColor indexed="64"/>
      </patternFill>
    </fill>
  </fills>
  <borders count="6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5" tint="0.3999755851924192"/>
      </left>
      <right/>
      <top/>
      <bottom style="thin">
        <color theme="5" tint="0.3999755851924192"/>
      </bottom>
      <diagonal/>
    </border>
    <border>
      <left/>
      <right/>
      <top/>
      <bottom style="thin">
        <color theme="5" tint="0.3999755851924192"/>
      </bottom>
      <diagonal/>
    </border>
    <border>
      <left/>
      <right style="thin">
        <color theme="5" tint="0.3999755851924192"/>
      </right>
      <top/>
      <bottom style="thin">
        <color theme="5" tint="0.3999755851924192"/>
      </bottom>
      <diagonal/>
    </border>
    <border>
      <left/>
      <right/>
      <top style="thin">
        <color theme="5" tint="0.3999755851924192"/>
      </top>
      <bottom style="thin">
        <color theme="5" tint="0.3999755851924192"/>
      </bottom>
      <diagonal/>
    </border>
    <border>
      <left style="medium">
        <color indexed="64"/>
      </left>
      <right style="thin">
        <color theme="0" tint="-0.1499984740745262"/>
      </right>
      <top style="medium">
        <color indexed="64"/>
      </top>
      <bottom/>
      <diagonal/>
    </border>
    <border>
      <left style="thin">
        <color theme="0" tint="-0.1499984740745262"/>
      </left>
      <right style="thin">
        <color theme="0" tint="-0.1499984740745262"/>
      </right>
      <top style="medium">
        <color indexed="64"/>
      </top>
      <bottom/>
      <diagonal/>
    </border>
    <border>
      <left style="thin">
        <color theme="0" tint="-0.1499984740745262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"/>
      </right>
      <top/>
      <bottom style="medium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/>
      <bottom style="medium">
        <color indexed="64"/>
      </bottom>
      <diagonal/>
    </border>
    <border>
      <left style="thin">
        <color theme="0" tint="-0.1499984740745262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59009C"/>
      </top>
      <bottom/>
      <diagonal/>
    </border>
    <border>
      <left style="medium">
        <color indexed="64"/>
      </left>
      <right style="medium">
        <color indexed="64"/>
      </right>
      <top style="medium">
        <color rgb="FF59009C"/>
      </top>
      <bottom/>
      <diagonal/>
    </border>
    <border>
      <left style="medium">
        <color indexed="64"/>
      </left>
      <right/>
      <top style="medium">
        <color rgb="FF59009C"/>
      </top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rgb="FF59009C"/>
      </top>
      <bottom style="medium">
        <color rgb="FF59009C"/>
      </bottom>
      <diagonal/>
    </border>
    <border>
      <left style="medium">
        <color indexed="64"/>
      </left>
      <right/>
      <top style="medium">
        <color indexed="64"/>
      </top>
      <bottom style="medium">
        <color rgb="FF59009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59009C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59009C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</borders>
  <cellStyleXfs count="4">
    <xf numFmtId="0" fontId="1" fillId="0" borderId="0"/>
    <xf numFmtId="9" fontId="1" fillId="0" borderId="0"/>
    <xf numFmtId="0" fontId="2" fillId="0" borderId="0"/>
    <xf numFmtId="9" fontId="2" fillId="0" borderId="0"/>
  </cellStyleXfs>
  <cellXfs count="271">
    <xf numFmtId="0" fontId="0" fillId="0" borderId="0" pivotButton="0" quotePrefix="0" xfId="0"/>
    <xf numFmtId="49" fontId="3" fillId="2" borderId="1" applyAlignment="1" pivotButton="0" quotePrefix="0" xfId="2">
      <alignment horizontal="center"/>
    </xf>
    <xf numFmtId="0" fontId="3" fillId="2" borderId="2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0" fontId="3" fillId="3" borderId="4" applyAlignment="1" pivotButton="0" quotePrefix="0" xfId="2">
      <alignment horizontal="center"/>
    </xf>
    <xf numFmtId="0" fontId="3" fillId="3" borderId="5" applyAlignment="1" pivotButton="0" quotePrefix="0" xfId="2">
      <alignment horizontal="center"/>
    </xf>
    <xf numFmtId="0" fontId="5" fillId="4" borderId="6" applyAlignment="1" pivotButton="0" quotePrefix="0" xfId="2">
      <alignment horizontal="center"/>
    </xf>
    <xf numFmtId="49" fontId="5" fillId="4" borderId="8" applyAlignment="1" pivotButton="0" quotePrefix="0" xfId="2">
      <alignment horizontal="center"/>
    </xf>
    <xf numFmtId="9" fontId="3" fillId="4" borderId="9" applyAlignment="1" pivotButton="0" quotePrefix="0" xfId="3">
      <alignment horizontal="center"/>
    </xf>
    <xf numFmtId="0" fontId="4" fillId="5" borderId="10" applyAlignment="1" pivotButton="0" quotePrefix="0" xfId="2">
      <alignment horizontal="center"/>
    </xf>
    <xf numFmtId="0" fontId="4" fillId="5" borderId="11" applyAlignment="1" pivotButton="0" quotePrefix="0" xfId="2">
      <alignment horizontal="center"/>
    </xf>
    <xf numFmtId="0" fontId="4" fillId="5" borderId="5" applyAlignment="1" pivotButton="0" quotePrefix="0" xfId="2">
      <alignment horizontal="center"/>
    </xf>
    <xf numFmtId="0" fontId="4" fillId="5" borderId="7" applyAlignment="1" pivotButton="0" quotePrefix="0" xfId="2">
      <alignment horizontal="center"/>
    </xf>
    <xf numFmtId="49" fontId="4" fillId="5" borderId="0" applyAlignment="1" pivotButton="0" quotePrefix="0" xfId="2">
      <alignment horizontal="center"/>
    </xf>
    <xf numFmtId="49" fontId="4" fillId="5" borderId="12" applyAlignment="1" pivotButton="0" quotePrefix="0" xfId="2">
      <alignment horizontal="center"/>
    </xf>
    <xf numFmtId="0" fontId="5" fillId="6" borderId="6" applyAlignment="1" pivotButton="0" quotePrefix="0" xfId="2">
      <alignment horizontal="center"/>
    </xf>
    <xf numFmtId="49" fontId="5" fillId="6" borderId="8" applyAlignment="1" pivotButton="0" quotePrefix="0" xfId="2">
      <alignment horizontal="center"/>
    </xf>
    <xf numFmtId="9" fontId="3" fillId="6" borderId="9" applyAlignment="1" pivotButton="0" quotePrefix="0" xfId="3">
      <alignment horizontal="center"/>
    </xf>
    <xf numFmtId="0" fontId="4" fillId="5" borderId="0" applyAlignment="1" pivotButton="0" quotePrefix="0" xfId="2">
      <alignment horizontal="center"/>
    </xf>
    <xf numFmtId="0" fontId="4" fillId="5" borderId="12" applyAlignment="1" pivotButton="0" quotePrefix="0" xfId="2">
      <alignment horizontal="center"/>
    </xf>
    <xf numFmtId="0" fontId="4" fillId="5" borderId="13" applyAlignment="1" pivotButton="0" quotePrefix="0" xfId="2">
      <alignment horizontal="center"/>
    </xf>
    <xf numFmtId="49" fontId="4" fillId="5" borderId="15" applyAlignment="1" pivotButton="0" quotePrefix="0" xfId="2">
      <alignment horizontal="center"/>
    </xf>
    <xf numFmtId="49" fontId="4" fillId="5" borderId="16" applyAlignment="1" pivotButton="0" quotePrefix="0" xfId="2">
      <alignment horizontal="center"/>
    </xf>
    <xf numFmtId="0" fontId="5" fillId="7" borderId="6" applyAlignment="1" pivotButton="0" quotePrefix="0" xfId="2">
      <alignment horizontal="center"/>
    </xf>
    <xf numFmtId="49" fontId="5" fillId="7" borderId="8" applyAlignment="1" pivotButton="0" quotePrefix="0" xfId="2">
      <alignment horizontal="center"/>
    </xf>
    <xf numFmtId="9" fontId="3" fillId="7" borderId="9" applyAlignment="1" pivotButton="0" quotePrefix="0" xfId="3">
      <alignment horizontal="center"/>
    </xf>
    <xf numFmtId="0" fontId="7" fillId="0" borderId="17" applyAlignment="1" pivotButton="0" quotePrefix="0" xfId="2">
      <alignment horizontal="center"/>
    </xf>
    <xf numFmtId="0" fontId="7" fillId="0" borderId="18" applyAlignment="1" pivotButton="0" quotePrefix="0" xfId="2">
      <alignment horizontal="center"/>
    </xf>
    <xf numFmtId="0" fontId="7" fillId="0" borderId="19" applyAlignment="1" pivotButton="0" quotePrefix="0" xfId="2">
      <alignment horizontal="center"/>
    </xf>
    <xf numFmtId="0" fontId="8" fillId="0" borderId="0" applyAlignment="1" pivotButton="0" quotePrefix="0" xfId="2">
      <alignment horizontal="center"/>
    </xf>
    <xf numFmtId="0" fontId="8" fillId="0" borderId="20" applyAlignment="1" pivotButton="0" quotePrefix="0" xfId="2">
      <alignment horizontal="center"/>
    </xf>
    <xf numFmtId="49" fontId="8" fillId="0" borderId="0" applyAlignment="1" pivotButton="0" quotePrefix="0" xfId="2">
      <alignment horizontal="center"/>
    </xf>
    <xf numFmtId="0" fontId="9" fillId="8" borderId="6" applyAlignment="1" pivotButton="0" quotePrefix="0" xfId="2">
      <alignment horizontal="center"/>
    </xf>
    <xf numFmtId="49" fontId="10" fillId="9" borderId="21" applyAlignment="1" pivotButton="0" quotePrefix="0" xfId="2">
      <alignment horizontal="center"/>
    </xf>
    <xf numFmtId="49" fontId="10" fillId="9" borderId="22" applyAlignment="1" pivotButton="0" quotePrefix="0" xfId="2">
      <alignment horizontal="center"/>
    </xf>
    <xf numFmtId="49" fontId="10" fillId="10" borderId="22" applyAlignment="1" pivotButton="0" quotePrefix="0" xfId="2">
      <alignment horizontal="center"/>
    </xf>
    <xf numFmtId="49" fontId="10" fillId="10" borderId="23" applyAlignment="1" pivotButton="0" quotePrefix="0" xfId="2">
      <alignment horizontal="center"/>
    </xf>
    <xf numFmtId="0" fontId="0" fillId="0" borderId="0" applyAlignment="1" pivotButton="0" quotePrefix="0" xfId="0">
      <alignment horizontal="center" vertical="center"/>
    </xf>
    <xf numFmtId="0" fontId="9" fillId="8" borderId="9" applyAlignment="1" pivotButton="0" quotePrefix="0" xfId="2">
      <alignment horizontal="center"/>
    </xf>
    <xf numFmtId="49" fontId="10" fillId="11" borderId="24" applyAlignment="1" pivotButton="0" quotePrefix="0" xfId="2">
      <alignment horizontal="center"/>
    </xf>
    <xf numFmtId="49" fontId="10" fillId="11" borderId="25" applyAlignment="1" pivotButton="0" quotePrefix="0" xfId="2">
      <alignment horizontal="center"/>
    </xf>
    <xf numFmtId="49" fontId="10" fillId="11" borderId="26" applyAlignment="1" pivotButton="0" quotePrefix="0" xfId="2">
      <alignment horizontal="center"/>
    </xf>
    <xf numFmtId="0" fontId="11" fillId="11" borderId="1" applyAlignment="1" pivotButton="0" quotePrefix="0" xfId="0">
      <alignment horizontal="center" vertical="center"/>
    </xf>
    <xf numFmtId="0" fontId="9" fillId="8" borderId="14" applyAlignment="1" pivotButton="0" quotePrefix="0" xfId="2">
      <alignment horizontal="center"/>
    </xf>
    <xf numFmtId="49" fontId="10" fillId="9" borderId="27" applyAlignment="1" pivotButton="0" quotePrefix="0" xfId="2">
      <alignment horizontal="center"/>
    </xf>
    <xf numFmtId="49" fontId="10" fillId="9" borderId="28" applyAlignment="1" pivotButton="0" quotePrefix="0" xfId="2">
      <alignment horizontal="center"/>
    </xf>
    <xf numFmtId="0" fontId="9" fillId="9" borderId="28" applyAlignment="1" pivotButton="0" quotePrefix="0" xfId="2">
      <alignment horizontal="center"/>
    </xf>
    <xf numFmtId="0" fontId="9" fillId="9" borderId="29" applyAlignment="1" pivotButton="0" quotePrefix="0" xfId="2">
      <alignment horizontal="center"/>
    </xf>
    <xf numFmtId="0" fontId="12" fillId="12" borderId="3" applyAlignment="1" pivotButton="0" quotePrefix="0" xfId="0">
      <alignment horizontal="center" vertical="center"/>
    </xf>
    <xf numFmtId="0" fontId="12" fillId="12" borderId="30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0" fontId="12" fillId="15" borderId="3" applyAlignment="1" pivotButton="0" quotePrefix="0" xfId="0">
      <alignment horizontal="center" vertical="center"/>
    </xf>
    <xf numFmtId="0" fontId="9" fillId="16" borderId="6" applyAlignment="1" pivotButton="0" quotePrefix="0" xfId="2">
      <alignment horizontal="center"/>
    </xf>
    <xf numFmtId="0" fontId="9" fillId="16" borderId="14" applyAlignment="1" pivotButton="0" quotePrefix="0" xfId="2">
      <alignment horizontal="center"/>
    </xf>
    <xf numFmtId="0" fontId="3" fillId="3" borderId="10" applyAlignment="1" pivotButton="0" quotePrefix="0" xfId="2">
      <alignment horizontal="center"/>
    </xf>
    <xf numFmtId="0" fontId="12" fillId="12" borderId="10" applyAlignment="1" pivotButton="0" quotePrefix="0" xfId="0">
      <alignment horizontal="center" vertical="center"/>
    </xf>
    <xf numFmtId="0" fontId="12" fillId="12" borderId="11" applyAlignment="1" pivotButton="0" quotePrefix="0" xfId="0">
      <alignment horizontal="center" vertical="center"/>
    </xf>
    <xf numFmtId="0" fontId="12" fillId="12" borderId="5" applyAlignment="1" pivotButton="0" quotePrefix="0" xfId="0">
      <alignment horizontal="center" vertical="center"/>
    </xf>
    <xf numFmtId="0" fontId="5" fillId="4" borderId="31" applyAlignment="1" pivotButton="0" quotePrefix="0" xfId="2">
      <alignment horizontal="center"/>
    </xf>
    <xf numFmtId="0" fontId="5" fillId="4" borderId="32" applyAlignment="1" pivotButton="0" quotePrefix="0" xfId="2">
      <alignment horizontal="center"/>
    </xf>
    <xf numFmtId="9" fontId="3" fillId="4" borderId="32" applyAlignment="1" pivotButton="0" quotePrefix="0" xfId="3">
      <alignment horizontal="center"/>
    </xf>
    <xf numFmtId="0" fontId="5" fillId="4" borderId="8" applyAlignment="1" pivotButton="0" quotePrefix="0" xfId="2">
      <alignment horizontal="center"/>
    </xf>
    <xf numFmtId="0" fontId="5" fillId="6" borderId="31" applyAlignment="1" pivotButton="0" quotePrefix="0" xfId="2">
      <alignment horizontal="center"/>
    </xf>
    <xf numFmtId="0" fontId="5" fillId="6" borderId="32" applyAlignment="1" pivotButton="0" quotePrefix="0" xfId="2">
      <alignment horizontal="center"/>
    </xf>
    <xf numFmtId="9" fontId="3" fillId="6" borderId="32" applyAlignment="1" pivotButton="0" quotePrefix="0" xfId="3">
      <alignment horizontal="center"/>
    </xf>
    <xf numFmtId="0" fontId="9" fillId="17" borderId="12" applyAlignment="1" pivotButton="0" quotePrefix="0" xfId="2">
      <alignment horizontal="center"/>
    </xf>
    <xf numFmtId="0" fontId="13" fillId="13" borderId="6" applyAlignment="1" pivotButton="0" quotePrefix="0" xfId="1">
      <alignment horizontal="center" vertical="center"/>
    </xf>
    <xf numFmtId="0" fontId="13" fillId="13" borderId="9" applyAlignment="1" pivotButton="0" quotePrefix="0" xfId="1">
      <alignment horizontal="center" vertical="center"/>
    </xf>
    <xf numFmtId="0" fontId="14" fillId="14" borderId="32" applyAlignment="1" pivotButton="0" quotePrefix="0" xfId="3">
      <alignment horizontal="center" vertical="center"/>
    </xf>
    <xf numFmtId="0" fontId="14" fillId="14" borderId="9" applyAlignment="1" pivotButton="0" quotePrefix="0" xfId="3">
      <alignment horizontal="center" vertical="center"/>
    </xf>
    <xf numFmtId="0" fontId="4" fillId="7" borderId="9" applyAlignment="1" pivotButton="0" quotePrefix="0" xfId="2">
      <alignment horizontal="center"/>
    </xf>
    <xf numFmtId="0" fontId="4" fillId="7" borderId="14" applyAlignment="1" pivotButton="0" quotePrefix="0" xfId="2">
      <alignment horizontal="center"/>
    </xf>
    <xf numFmtId="0" fontId="4" fillId="4" borderId="6" applyAlignment="1" pivotButton="0" quotePrefix="0" xfId="2">
      <alignment horizontal="center"/>
    </xf>
    <xf numFmtId="0" fontId="4" fillId="4" borderId="9" applyAlignment="1" pivotButton="0" quotePrefix="0" xfId="2">
      <alignment horizontal="center"/>
    </xf>
    <xf numFmtId="0" fontId="4" fillId="6" borderId="6" applyAlignment="1" pivotButton="0" quotePrefix="0" xfId="2">
      <alignment horizontal="center"/>
    </xf>
    <xf numFmtId="0" fontId="4" fillId="6" borderId="9" applyAlignment="1" pivotButton="0" quotePrefix="0" xfId="2">
      <alignment horizontal="center"/>
    </xf>
    <xf numFmtId="0" fontId="4" fillId="6" borderId="14" applyAlignment="1" pivotButton="0" quotePrefix="0" xfId="2">
      <alignment horizontal="center"/>
    </xf>
    <xf numFmtId="0" fontId="4" fillId="7" borderId="6" applyAlignment="1" pivotButton="0" quotePrefix="0" xfId="2">
      <alignment horizontal="center"/>
    </xf>
    <xf numFmtId="0" fontId="5" fillId="6" borderId="8" applyAlignment="1" pivotButton="0" quotePrefix="0" xfId="2">
      <alignment horizontal="center"/>
    </xf>
    <xf numFmtId="0" fontId="5" fillId="7" borderId="11" applyAlignment="1" pivotButton="0" quotePrefix="0" xfId="2">
      <alignment horizontal="center"/>
    </xf>
    <xf numFmtId="9" fontId="3" fillId="7" borderId="6" applyAlignment="1" pivotButton="0" quotePrefix="0" xfId="3">
      <alignment horizontal="center"/>
    </xf>
    <xf numFmtId="0" fontId="5" fillId="7" borderId="37" applyAlignment="1" pivotButton="0" quotePrefix="0" xfId="2">
      <alignment horizontal="center"/>
    </xf>
    <xf numFmtId="0" fontId="5" fillId="7" borderId="1" applyAlignment="1" pivotButton="0" quotePrefix="0" xfId="2">
      <alignment horizontal="center"/>
    </xf>
    <xf numFmtId="9" fontId="3" fillId="7" borderId="14" applyAlignment="1" pivotButton="0" quotePrefix="0" xfId="3">
      <alignment horizontal="center"/>
    </xf>
    <xf numFmtId="0" fontId="0" fillId="19" borderId="10" pivotButton="0" quotePrefix="0" xfId="0"/>
    <xf numFmtId="0" fontId="0" fillId="19" borderId="7" pivotButton="0" quotePrefix="0" xfId="0"/>
    <xf numFmtId="0" fontId="0" fillId="19" borderId="13" pivotButton="0" quotePrefix="0" xfId="0"/>
    <xf numFmtId="0" fontId="0" fillId="9" borderId="11" pivotButton="0" quotePrefix="0" xfId="0"/>
    <xf numFmtId="9" fontId="1" fillId="9" borderId="5" pivotButton="0" quotePrefix="0" xfId="1"/>
    <xf numFmtId="0" fontId="0" fillId="9" borderId="0" pivotButton="0" quotePrefix="0" xfId="0"/>
    <xf numFmtId="9" fontId="1" fillId="9" borderId="12" pivotButton="0" quotePrefix="0" xfId="1"/>
    <xf numFmtId="0" fontId="0" fillId="9" borderId="15" pivotButton="0" quotePrefix="0" xfId="0"/>
    <xf numFmtId="9" fontId="1" fillId="9" borderId="16" pivotButton="0" quotePrefix="0" xfId="1"/>
    <xf numFmtId="0" fontId="0" fillId="20" borderId="15" pivotButton="0" quotePrefix="0" xfId="0"/>
    <xf numFmtId="9" fontId="0" fillId="20" borderId="16" pivotButton="0" quotePrefix="0" xfId="0"/>
    <xf numFmtId="0" fontId="0" fillId="21" borderId="13" pivotButton="0" quotePrefix="0" xfId="0"/>
    <xf numFmtId="0" fontId="15" fillId="20" borderId="10" pivotButton="0" quotePrefix="0" xfId="0"/>
    <xf numFmtId="0" fontId="15" fillId="20" borderId="11" pivotButton="0" quotePrefix="0" xfId="0"/>
    <xf numFmtId="0" fontId="15" fillId="20" borderId="5" pivotButton="0" quotePrefix="0" xfId="0"/>
    <xf numFmtId="9" fontId="3" fillId="8" borderId="6" applyAlignment="1" pivotButton="0" quotePrefix="0" xfId="2">
      <alignment horizontal="center" vertical="center"/>
    </xf>
    <xf numFmtId="9" fontId="3" fillId="8" borderId="9" applyAlignment="1" pivotButton="0" quotePrefix="0" xfId="2">
      <alignment horizontal="center" vertical="center"/>
    </xf>
    <xf numFmtId="9" fontId="3" fillId="8" borderId="14" applyAlignment="1" pivotButton="0" quotePrefix="0" xfId="2">
      <alignment horizontal="center" vertical="center"/>
    </xf>
    <xf numFmtId="9" fontId="3" fillId="5" borderId="6" applyAlignment="1" pivotButton="0" quotePrefix="0" xfId="2">
      <alignment horizontal="center" vertical="center"/>
    </xf>
    <xf numFmtId="9" fontId="3" fillId="5" borderId="9" applyAlignment="1" pivotButton="0" quotePrefix="0" xfId="2">
      <alignment horizontal="center" vertical="center"/>
    </xf>
    <xf numFmtId="9" fontId="3" fillId="5" borderId="14" applyAlignment="1" pivotButton="0" quotePrefix="0" xfId="2">
      <alignment horizontal="center" vertical="center"/>
    </xf>
    <xf numFmtId="0" fontId="9" fillId="0" borderId="0" applyAlignment="1" pivotButton="0" quotePrefix="0" xfId="2">
      <alignment horizontal="center"/>
    </xf>
    <xf numFmtId="0" fontId="12" fillId="0" borderId="0" applyAlignment="1" pivotButton="0" quotePrefix="0" xfId="0">
      <alignment horizontal="center" vertical="center"/>
    </xf>
    <xf numFmtId="0" fontId="3" fillId="3" borderId="39" applyAlignment="1" pivotButton="0" quotePrefix="0" xfId="2">
      <alignment horizontal="center"/>
    </xf>
    <xf numFmtId="0" fontId="3" fillId="3" borderId="40" applyAlignment="1" pivotButton="0" quotePrefix="0" xfId="2">
      <alignment horizontal="center"/>
    </xf>
    <xf numFmtId="0" fontId="16" fillId="22" borderId="1" applyAlignment="1" pivotButton="0" quotePrefix="0" xfId="2">
      <alignment horizontal="center"/>
    </xf>
    <xf numFmtId="0" fontId="17" fillId="23" borderId="0" applyAlignment="1" pivotButton="0" quotePrefix="0" xfId="2">
      <alignment horizontal="center"/>
    </xf>
    <xf numFmtId="0" fontId="3" fillId="4" borderId="41" applyAlignment="1" pivotButton="0" quotePrefix="0" xfId="2">
      <alignment horizontal="center"/>
    </xf>
    <xf numFmtId="0" fontId="5" fillId="4" borderId="0" applyAlignment="1" pivotButton="0" quotePrefix="0" xfId="2">
      <alignment horizontal="center"/>
    </xf>
    <xf numFmtId="0" fontId="3" fillId="6" borderId="41" applyAlignment="1" pivotButton="0" quotePrefix="0" xfId="2">
      <alignment horizontal="center"/>
    </xf>
    <xf numFmtId="0" fontId="5" fillId="6" borderId="0" applyAlignment="1" pivotButton="0" quotePrefix="0" xfId="2">
      <alignment horizontal="center"/>
    </xf>
    <xf numFmtId="0" fontId="3" fillId="7" borderId="2" applyAlignment="1" pivotButton="0" quotePrefix="0" xfId="2">
      <alignment horizontal="center"/>
    </xf>
    <xf numFmtId="0" fontId="5" fillId="7" borderId="0" applyAlignment="1" pivotButton="0" quotePrefix="0" xfId="2">
      <alignment horizontal="center"/>
    </xf>
    <xf numFmtId="0" fontId="5" fillId="7" borderId="15" applyAlignment="1" pivotButton="0" quotePrefix="0" xfId="2">
      <alignment horizontal="center"/>
    </xf>
    <xf numFmtId="0" fontId="4" fillId="0" borderId="14" applyAlignment="1" pivotButton="0" quotePrefix="0" xfId="2">
      <alignment horizontal="center"/>
    </xf>
    <xf numFmtId="0" fontId="18" fillId="0" borderId="6" applyAlignment="1" pivotButton="0" quotePrefix="0" xfId="2">
      <alignment horizontal="center"/>
    </xf>
    <xf numFmtId="0" fontId="18" fillId="0" borderId="9" applyAlignment="1" pivotButton="0" quotePrefix="0" xfId="2">
      <alignment horizontal="center"/>
    </xf>
    <xf numFmtId="0" fontId="5" fillId="4" borderId="42" applyAlignment="1" pivotButton="0" quotePrefix="0" xfId="2">
      <alignment horizontal="center"/>
    </xf>
    <xf numFmtId="49" fontId="5" fillId="4" borderId="42" applyAlignment="1" pivotButton="0" quotePrefix="0" xfId="2">
      <alignment horizontal="center"/>
    </xf>
    <xf numFmtId="0" fontId="5" fillId="6" borderId="42" applyAlignment="1" pivotButton="0" quotePrefix="0" xfId="2">
      <alignment horizontal="center"/>
    </xf>
    <xf numFmtId="49" fontId="5" fillId="6" borderId="42" applyAlignment="1" pivotButton="0" quotePrefix="0" xfId="2">
      <alignment horizontal="center"/>
    </xf>
    <xf numFmtId="0" fontId="5" fillId="7" borderId="42" applyAlignment="1" pivotButton="0" quotePrefix="0" xfId="2">
      <alignment horizontal="center"/>
    </xf>
    <xf numFmtId="49" fontId="5" fillId="7" borderId="42" applyAlignment="1" pivotButton="0" quotePrefix="0" xfId="2">
      <alignment horizontal="center"/>
    </xf>
    <xf numFmtId="0" fontId="5" fillId="4" borderId="42" applyAlignment="1" pivotButton="0" quotePrefix="0" xfId="2">
      <alignment horizontal="center" vertical="center" wrapText="1"/>
    </xf>
    <xf numFmtId="49" fontId="5" fillId="4" borderId="42" applyAlignment="1" pivotButton="0" quotePrefix="0" xfId="2">
      <alignment horizontal="center" vertical="center" wrapText="1"/>
    </xf>
    <xf numFmtId="0" fontId="5" fillId="6" borderId="42" applyAlignment="1" pivotButton="0" quotePrefix="0" xfId="2">
      <alignment horizontal="center" vertical="center" wrapText="1"/>
    </xf>
    <xf numFmtId="49" fontId="5" fillId="6" borderId="42" applyAlignment="1" pivotButton="0" quotePrefix="0" xfId="2">
      <alignment horizontal="center" vertical="center" wrapText="1"/>
    </xf>
    <xf numFmtId="0" fontId="5" fillId="7" borderId="42" applyAlignment="1" pivotButton="0" quotePrefix="0" xfId="2">
      <alignment horizontal="center" vertical="center" wrapText="1"/>
    </xf>
    <xf numFmtId="49" fontId="5" fillId="7" borderId="42" applyAlignment="1" pivotButton="0" quotePrefix="0" xfId="2">
      <alignment horizontal="center" vertical="center" wrapText="1"/>
    </xf>
    <xf numFmtId="0" fontId="0" fillId="0" borderId="0" applyAlignment="1" pivotButton="0" quotePrefix="0" xfId="0">
      <alignment horizontal="center"/>
    </xf>
    <xf numFmtId="9" fontId="20" fillId="24" borderId="43" applyAlignment="1" pivotButton="0" quotePrefix="0" xfId="1">
      <alignment horizontal="center" vertical="center"/>
    </xf>
    <xf numFmtId="0" fontId="5" fillId="4" borderId="44" applyAlignment="1" pivotButton="0" quotePrefix="0" xfId="2">
      <alignment horizontal="center"/>
    </xf>
    <xf numFmtId="9" fontId="20" fillId="24" borderId="45" applyAlignment="1" pivotButton="0" quotePrefix="0" xfId="1">
      <alignment horizontal="center" vertical="center"/>
    </xf>
    <xf numFmtId="0" fontId="19" fillId="20" borderId="1" applyAlignment="1" pivotButton="0" quotePrefix="0" xfId="0">
      <alignment horizontal="center" vertical="center" wrapText="1"/>
    </xf>
    <xf numFmtId="9" fontId="20" fillId="25" borderId="43" applyAlignment="1" pivotButton="0" quotePrefix="0" xfId="1">
      <alignment horizontal="center" vertical="center"/>
    </xf>
    <xf numFmtId="0" fontId="19" fillId="26" borderId="0" applyAlignment="1" pivotButton="0" quotePrefix="0" xfId="0">
      <alignment horizontal="center" vertical="center" wrapText="1"/>
    </xf>
    <xf numFmtId="9" fontId="20" fillId="26" borderId="0" applyAlignment="1" pivotButton="0" quotePrefix="0" xfId="1">
      <alignment horizontal="center" vertical="center"/>
    </xf>
    <xf numFmtId="0" fontId="0" fillId="26" borderId="0" applyAlignment="1" pivotButton="0" quotePrefix="0" xfId="0">
      <alignment horizontal="center"/>
    </xf>
    <xf numFmtId="9" fontId="20" fillId="24" borderId="46" applyAlignment="1" pivotButton="0" quotePrefix="0" xfId="1">
      <alignment horizontal="center" vertical="center"/>
    </xf>
    <xf numFmtId="9" fontId="20" fillId="24" borderId="47" applyAlignment="1" pivotButton="0" quotePrefix="0" xfId="1">
      <alignment horizontal="center" vertical="center"/>
    </xf>
    <xf numFmtId="9" fontId="20" fillId="24" borderId="48" applyAlignment="1" pivotButton="0" quotePrefix="0" xfId="1">
      <alignment horizontal="center" vertical="center"/>
    </xf>
    <xf numFmtId="9" fontId="20" fillId="25" borderId="48" applyAlignment="1" pivotButton="0" quotePrefix="0" xfId="1">
      <alignment horizontal="center" vertical="center"/>
    </xf>
    <xf numFmtId="9" fontId="20" fillId="25" borderId="48" applyAlignment="1" pivotButton="0" quotePrefix="0" xfId="0">
      <alignment horizontal="center"/>
    </xf>
    <xf numFmtId="9" fontId="20" fillId="24" borderId="48" applyAlignment="1" pivotButton="0" quotePrefix="0" xfId="0">
      <alignment horizontal="center"/>
    </xf>
    <xf numFmtId="9" fontId="20" fillId="24" borderId="49" applyAlignment="1" pivotButton="0" quotePrefix="0" xfId="0">
      <alignment horizontal="center"/>
    </xf>
    <xf numFmtId="9" fontId="20" fillId="24" borderId="50" applyAlignment="1" pivotButton="0" quotePrefix="0" xfId="1">
      <alignment horizontal="center" vertical="center"/>
    </xf>
    <xf numFmtId="0" fontId="3" fillId="4" borderId="42" applyAlignment="1" pivotButton="0" quotePrefix="0" xfId="2">
      <alignment horizontal="center" vertical="center" wrapText="1"/>
    </xf>
    <xf numFmtId="0" fontId="3" fillId="6" borderId="42" applyAlignment="1" pivotButton="0" quotePrefix="0" xfId="2">
      <alignment horizontal="center" vertical="center" wrapText="1"/>
    </xf>
    <xf numFmtId="0" fontId="3" fillId="7" borderId="42" applyAlignment="1" pivotButton="0" quotePrefix="0" xfId="2">
      <alignment horizontal="center" vertical="center" wrapText="1"/>
    </xf>
    <xf numFmtId="0" fontId="19" fillId="27" borderId="0" applyAlignment="1" pivotButton="0" quotePrefix="0" xfId="0">
      <alignment horizontal="center" vertical="center" wrapText="1"/>
    </xf>
    <xf numFmtId="9" fontId="20" fillId="27" borderId="0" applyAlignment="1" pivotButton="0" quotePrefix="0" xfId="1">
      <alignment horizontal="center" vertical="center"/>
    </xf>
    <xf numFmtId="0" fontId="0" fillId="27" borderId="0" applyAlignment="1" pivotButton="0" quotePrefix="0" xfId="0">
      <alignment horizontal="center"/>
    </xf>
    <xf numFmtId="9" fontId="0" fillId="0" borderId="0" pivotButton="0" quotePrefix="0" xfId="0"/>
    <xf numFmtId="0" fontId="22" fillId="28" borderId="0" applyAlignment="1" pivotButton="0" quotePrefix="0" xfId="0">
      <alignment horizontal="center" vertical="center" wrapText="1"/>
    </xf>
    <xf numFmtId="9" fontId="23" fillId="28" borderId="0" applyAlignment="1" pivotButton="0" quotePrefix="0" xfId="0">
      <alignment horizontal="center" vertical="center"/>
    </xf>
    <xf numFmtId="0" fontId="24" fillId="28" borderId="0" applyAlignment="1" pivotButton="0" quotePrefix="0" xfId="0">
      <alignment horizontal="center"/>
    </xf>
    <xf numFmtId="164" fontId="15" fillId="11" borderId="3" applyAlignment="1" pivotButton="0" quotePrefix="0" xfId="0">
      <alignment horizontal="center" vertical="center"/>
    </xf>
    <xf numFmtId="164" fontId="15" fillId="11" borderId="2" applyAlignment="1" pivotButton="0" quotePrefix="0" xfId="0">
      <alignment horizontal="center" vertical="center"/>
    </xf>
    <xf numFmtId="164" fontId="0" fillId="26" borderId="0" applyAlignment="1" pivotButton="0" quotePrefix="0" xfId="0">
      <alignment horizontal="center"/>
    </xf>
    <xf numFmtId="164" fontId="23" fillId="28" borderId="0" applyAlignment="1" pivotButton="0" quotePrefix="0" xfId="0">
      <alignment horizontal="center" vertical="center"/>
    </xf>
    <xf numFmtId="0" fontId="25" fillId="29" borderId="10" pivotButton="0" quotePrefix="0" xfId="0"/>
    <xf numFmtId="0" fontId="25" fillId="29" borderId="11" pivotButton="0" quotePrefix="0" xfId="0"/>
    <xf numFmtId="0" fontId="25" fillId="29" borderId="52" pivotButton="0" quotePrefix="0" xfId="0"/>
    <xf numFmtId="0" fontId="24" fillId="30" borderId="10" pivotButton="0" quotePrefix="0" xfId="0"/>
    <xf numFmtId="0" fontId="24" fillId="31" borderId="11" pivotButton="0" quotePrefix="0" xfId="0"/>
    <xf numFmtId="9" fontId="24" fillId="31" borderId="5" pivotButton="0" quotePrefix="0" xfId="0"/>
    <xf numFmtId="0" fontId="24" fillId="30" borderId="7" pivotButton="0" quotePrefix="0" xfId="0"/>
    <xf numFmtId="0" fontId="24" fillId="31" borderId="0" pivotButton="0" quotePrefix="0" xfId="0"/>
    <xf numFmtId="9" fontId="24" fillId="31" borderId="12" pivotButton="0" quotePrefix="0" xfId="0"/>
    <xf numFmtId="0" fontId="24" fillId="30" borderId="13" pivotButton="0" quotePrefix="0" xfId="0"/>
    <xf numFmtId="0" fontId="24" fillId="31" borderId="15" pivotButton="0" quotePrefix="0" xfId="0"/>
    <xf numFmtId="9" fontId="24" fillId="31" borderId="16" pivotButton="0" quotePrefix="0" xfId="0"/>
    <xf numFmtId="0" fontId="24" fillId="32" borderId="13" pivotButton="0" quotePrefix="0" xfId="0"/>
    <xf numFmtId="0" fontId="24" fillId="29" borderId="15" pivotButton="0" quotePrefix="0" xfId="0"/>
    <xf numFmtId="9" fontId="24" fillId="29" borderId="16" pivotButton="0" quotePrefix="0" xfId="0"/>
    <xf numFmtId="0" fontId="15" fillId="0" borderId="0" pivotButton="0" quotePrefix="0" xfId="0"/>
    <xf numFmtId="0" fontId="3" fillId="3" borderId="3" applyAlignment="1" pivotButton="0" quotePrefix="0" xfId="0">
      <alignment horizontal="center"/>
    </xf>
    <xf numFmtId="0" fontId="3" fillId="3" borderId="53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0" fontId="3" fillId="3" borderId="4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 vertical="center"/>
    </xf>
    <xf numFmtId="9" fontId="3" fillId="4" borderId="5" applyAlignment="1" pivotButton="0" quotePrefix="0" xfId="1">
      <alignment horizontal="center" vertical="center"/>
    </xf>
    <xf numFmtId="9" fontId="3" fillId="4" borderId="12" applyAlignment="1" pivotButton="0" quotePrefix="0" xfId="1">
      <alignment horizontal="center" vertical="center"/>
    </xf>
    <xf numFmtId="9" fontId="3" fillId="4" borderId="16" applyAlignment="1" pivotButton="0" quotePrefix="0" xfId="1">
      <alignment horizontal="center" vertical="center"/>
    </xf>
    <xf numFmtId="9" fontId="3" fillId="6" borderId="5" applyAlignment="1" pivotButton="0" quotePrefix="0" xfId="1">
      <alignment horizontal="center" vertical="center"/>
    </xf>
    <xf numFmtId="9" fontId="3" fillId="6" borderId="12" applyAlignment="1" pivotButton="0" quotePrefix="0" xfId="1">
      <alignment horizontal="center" vertical="center"/>
    </xf>
    <xf numFmtId="9" fontId="3" fillId="6" borderId="16" applyAlignment="1" pivotButton="0" quotePrefix="0" xfId="1">
      <alignment horizontal="center" vertical="center"/>
    </xf>
    <xf numFmtId="9" fontId="3" fillId="7" borderId="5" applyAlignment="1" pivotButton="0" quotePrefix="0" xfId="1">
      <alignment horizontal="center" vertical="center"/>
    </xf>
    <xf numFmtId="9" fontId="3" fillId="7" borderId="12" applyAlignment="1" pivotButton="0" quotePrefix="0" xfId="1">
      <alignment horizontal="center" vertical="center"/>
    </xf>
    <xf numFmtId="9" fontId="3" fillId="7" borderId="16" applyAlignment="1" pivotButton="0" quotePrefix="0" xfId="1">
      <alignment horizontal="center" vertical="center"/>
    </xf>
    <xf numFmtId="0" fontId="3" fillId="3" borderId="10" applyAlignment="1" pivotButton="0" quotePrefix="0" xfId="0">
      <alignment horizontal="center" vertical="center"/>
    </xf>
    <xf numFmtId="0" fontId="3" fillId="7" borderId="43" applyAlignment="1" pivotButton="0" quotePrefix="0" xfId="2">
      <alignment horizontal="center"/>
    </xf>
    <xf numFmtId="49" fontId="3" fillId="7" borderId="43" applyAlignment="1" pivotButton="0" quotePrefix="0" xfId="2">
      <alignment horizontal="center"/>
    </xf>
    <xf numFmtId="0" fontId="3" fillId="7" borderId="54" applyAlignment="1" pivotButton="0" quotePrefix="0" xfId="2">
      <alignment horizontal="center"/>
    </xf>
    <xf numFmtId="0" fontId="3" fillId="6" borderId="43" applyAlignment="1" pivotButton="0" quotePrefix="0" xfId="2">
      <alignment horizontal="center"/>
    </xf>
    <xf numFmtId="49" fontId="3" fillId="6" borderId="43" applyAlignment="1" pivotButton="0" quotePrefix="0" xfId="2">
      <alignment horizontal="center"/>
    </xf>
    <xf numFmtId="0" fontId="3" fillId="4" borderId="55" applyAlignment="1" pivotButton="0" quotePrefix="0" xfId="2">
      <alignment horizontal="center"/>
    </xf>
    <xf numFmtId="49" fontId="3" fillId="4" borderId="43" applyAlignment="1" pivotButton="0" quotePrefix="0" xfId="2">
      <alignment horizontal="center"/>
    </xf>
    <xf numFmtId="0" fontId="3" fillId="4" borderId="43" applyAlignment="1" pivotButton="0" quotePrefix="0" xfId="2">
      <alignment horizontal="center"/>
    </xf>
    <xf numFmtId="0" fontId="3" fillId="3" borderId="10" applyAlignment="1" pivotButton="0" quotePrefix="0" xfId="0">
      <alignment horizontal="center"/>
    </xf>
    <xf numFmtId="9" fontId="3" fillId="7" borderId="6" applyAlignment="1" pivotButton="0" quotePrefix="0" xfId="2">
      <alignment horizontal="center"/>
    </xf>
    <xf numFmtId="9" fontId="3" fillId="7" borderId="9" applyAlignment="1" pivotButton="0" quotePrefix="0" xfId="2">
      <alignment horizontal="center"/>
    </xf>
    <xf numFmtId="9" fontId="3" fillId="7" borderId="14" applyAlignment="1" pivotButton="0" quotePrefix="0" xfId="2">
      <alignment horizontal="center"/>
    </xf>
    <xf numFmtId="9" fontId="3" fillId="6" borderId="6" applyAlignment="1" pivotButton="0" quotePrefix="0" xfId="2">
      <alignment horizontal="center"/>
    </xf>
    <xf numFmtId="9" fontId="3" fillId="6" borderId="9" applyAlignment="1" pivotButton="0" quotePrefix="0" xfId="2">
      <alignment horizontal="center"/>
    </xf>
    <xf numFmtId="9" fontId="3" fillId="6" borderId="14" applyAlignment="1" pivotButton="0" quotePrefix="0" xfId="2">
      <alignment horizontal="center"/>
    </xf>
    <xf numFmtId="9" fontId="3" fillId="4" borderId="6" applyAlignment="1" pivotButton="0" quotePrefix="0" xfId="2">
      <alignment horizontal="center"/>
    </xf>
    <xf numFmtId="9" fontId="3" fillId="4" borderId="9" applyAlignment="1" pivotButton="0" quotePrefix="0" xfId="2">
      <alignment horizontal="center"/>
    </xf>
    <xf numFmtId="9" fontId="3" fillId="4" borderId="14" applyAlignment="1" pivotButton="0" quotePrefix="0" xfId="2">
      <alignment horizontal="center"/>
    </xf>
    <xf numFmtId="0" fontId="3" fillId="4" borderId="56" applyAlignment="1" pivotButton="0" quotePrefix="0" xfId="2">
      <alignment horizontal="center"/>
    </xf>
    <xf numFmtId="49" fontId="3" fillId="4" borderId="57" applyAlignment="1" pivotButton="0" quotePrefix="0" xfId="2">
      <alignment horizontal="center"/>
    </xf>
    <xf numFmtId="0" fontId="3" fillId="4" borderId="57" applyAlignment="1" pivotButton="0" quotePrefix="0" xfId="2">
      <alignment horizontal="center"/>
    </xf>
    <xf numFmtId="0" fontId="3" fillId="6" borderId="57" applyAlignment="1" pivotButton="0" quotePrefix="0" xfId="2">
      <alignment horizontal="center"/>
    </xf>
    <xf numFmtId="49" fontId="3" fillId="6" borderId="57" applyAlignment="1" pivotButton="0" quotePrefix="0" xfId="2">
      <alignment horizontal="center"/>
    </xf>
    <xf numFmtId="0" fontId="3" fillId="7" borderId="57" applyAlignment="1" pivotButton="0" quotePrefix="0" xfId="2">
      <alignment horizontal="center"/>
    </xf>
    <xf numFmtId="49" fontId="3" fillId="7" borderId="57" applyAlignment="1" pivotButton="0" quotePrefix="0" xfId="2">
      <alignment horizontal="center"/>
    </xf>
    <xf numFmtId="0" fontId="3" fillId="7" borderId="58" applyAlignment="1" pivotButton="0" quotePrefix="0" xfId="2">
      <alignment horizontal="center"/>
    </xf>
    <xf numFmtId="9" fontId="3" fillId="34" borderId="6" applyAlignment="1" pivotButton="0" quotePrefix="0" xfId="2">
      <alignment horizontal="center"/>
    </xf>
    <xf numFmtId="0" fontId="3" fillId="3" borderId="59" applyAlignment="1" pivotButton="0" quotePrefix="0" xfId="0">
      <alignment horizontal="center"/>
    </xf>
    <xf numFmtId="9" fontId="3" fillId="34" borderId="9" applyAlignment="1" pivotButton="0" quotePrefix="0" xfId="2">
      <alignment horizontal="center"/>
    </xf>
    <xf numFmtId="9" fontId="3" fillId="34" borderId="14" applyAlignment="1" pivotButton="0" quotePrefix="0" xfId="2">
      <alignment horizontal="center"/>
    </xf>
    <xf numFmtId="9" fontId="26" fillId="24" borderId="43" applyAlignment="1" pivotButton="0" quotePrefix="0" xfId="1">
      <alignment horizontal="center" vertical="center"/>
    </xf>
    <xf numFmtId="0" fontId="19" fillId="20" borderId="10" applyAlignment="1" pivotButton="0" quotePrefix="0" xfId="0">
      <alignment horizontal="center" vertical="center" wrapText="1"/>
    </xf>
    <xf numFmtId="0" fontId="19" fillId="20" borderId="13" applyAlignment="1" pivotButton="0" quotePrefix="0" xfId="0">
      <alignment horizontal="center" vertical="center" wrapText="1"/>
    </xf>
    <xf numFmtId="0" fontId="0" fillId="18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3" fillId="6" borderId="1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4" pivotButton="0" quotePrefix="0" xfId="0"/>
    <xf numFmtId="0" fontId="16" fillId="33" borderId="1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2" pivotButton="0" quotePrefix="0" xfId="0"/>
    <xf numFmtId="0" fontId="3" fillId="7" borderId="1" applyAlignment="1" pivotButton="0" quotePrefix="0" xfId="0">
      <alignment horizontal="center" vertical="center"/>
    </xf>
    <xf numFmtId="9" fontId="6" fillId="6" borderId="1" applyAlignment="1" pivotButton="0" quotePrefix="0" xfId="0">
      <alignment horizontal="center" vertical="center"/>
    </xf>
    <xf numFmtId="164" fontId="6" fillId="4" borderId="1" applyAlignment="1" pivotButton="0" quotePrefix="0" xfId="2">
      <alignment horizontal="center" vertical="center"/>
    </xf>
    <xf numFmtId="164" fontId="6" fillId="6" borderId="1" applyAlignment="1" pivotButton="0" quotePrefix="0" xfId="2">
      <alignment horizontal="center" vertical="center"/>
    </xf>
    <xf numFmtId="0" fontId="0" fillId="0" borderId="1" applyAlignment="1" pivotButton="0" quotePrefix="0" xfId="0">
      <alignment horizontal="center" vertical="top" wrapText="1"/>
    </xf>
    <xf numFmtId="0" fontId="0" fillId="0" borderId="5" pivotButton="0" quotePrefix="0" xfId="0"/>
    <xf numFmtId="0" fontId="0" fillId="0" borderId="7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19" fillId="20" borderId="1" applyAlignment="1" pivotButton="0" quotePrefix="0" xfId="0">
      <alignment horizontal="center" vertical="center" wrapText="1"/>
    </xf>
    <xf numFmtId="0" fontId="19" fillId="20" borderId="6" applyAlignment="1" pivotButton="0" quotePrefix="0" xfId="0">
      <alignment horizontal="center" vertical="center" wrapText="1"/>
    </xf>
    <xf numFmtId="164" fontId="6" fillId="5" borderId="1" applyAlignment="1" pivotButton="0" quotePrefix="0" xfId="2">
      <alignment horizontal="center" vertical="center"/>
    </xf>
    <xf numFmtId="0" fontId="3" fillId="4" borderId="1" applyAlignment="1" pivotButton="0" quotePrefix="0" xfId="2">
      <alignment horizontal="center" vertical="center" wrapText="1"/>
    </xf>
    <xf numFmtId="0" fontId="3" fillId="6" borderId="1" applyAlignment="1" pivotButton="0" quotePrefix="0" xfId="2">
      <alignment horizontal="center" vertical="center" wrapText="1"/>
    </xf>
    <xf numFmtId="164" fontId="6" fillId="7" borderId="1" applyAlignment="1" pivotButton="0" quotePrefix="0" xfId="2">
      <alignment horizontal="center" vertical="center"/>
    </xf>
    <xf numFmtId="0" fontId="21" fillId="0" borderId="1" applyAlignment="1" pivotButton="0" quotePrefix="0" xfId="0">
      <alignment horizontal="center" vertical="top" wrapText="1"/>
    </xf>
    <xf numFmtId="0" fontId="19" fillId="20" borderId="51" applyAlignment="1" pivotButton="0" quotePrefix="0" xfId="0">
      <alignment horizontal="center" vertical="center" wrapText="1"/>
    </xf>
    <xf numFmtId="0" fontId="0" fillId="0" borderId="51" pivotButton="0" quotePrefix="0" xfId="0"/>
    <xf numFmtId="0" fontId="16" fillId="33" borderId="6" applyAlignment="1" pivotButton="0" quotePrefix="0" xfId="0">
      <alignment horizontal="center" vertical="center"/>
    </xf>
    <xf numFmtId="0" fontId="0" fillId="0" borderId="11" pivotButton="0" quotePrefix="0" xfId="0"/>
    <xf numFmtId="0" fontId="3" fillId="7" borderId="1" applyAlignment="1" pivotButton="0" quotePrefix="0" xfId="2">
      <alignment horizontal="center" vertical="center" wrapText="1"/>
    </xf>
    <xf numFmtId="164" fontId="6" fillId="5" borderId="2" applyAlignment="1" pivotButton="0" quotePrefix="0" xfId="2">
      <alignment horizontal="center" vertical="center"/>
    </xf>
    <xf numFmtId="0" fontId="3" fillId="4" borderId="1" applyAlignment="1" pivotButton="0" quotePrefix="0" xfId="0">
      <alignment horizontal="center" vertical="center"/>
    </xf>
    <xf numFmtId="9" fontId="6" fillId="7" borderId="1" applyAlignment="1" pivotButton="0" quotePrefix="0" xfId="0">
      <alignment horizontal="center" vertical="center"/>
    </xf>
    <xf numFmtId="9" fontId="6" fillId="4" borderId="1" applyAlignment="1" pivotButton="0" quotePrefix="0" xfId="0">
      <alignment horizontal="center" vertical="center"/>
    </xf>
    <xf numFmtId="9" fontId="6" fillId="6" borderId="35" applyAlignment="1" pivotButton="0" quotePrefix="0" xfId="2">
      <alignment horizontal="center" vertical="center"/>
    </xf>
    <xf numFmtId="0" fontId="0" fillId="0" borderId="38" pivotButton="0" quotePrefix="0" xfId="0"/>
    <xf numFmtId="0" fontId="11" fillId="17" borderId="34" applyAlignment="1" pivotButton="0" quotePrefix="0" xfId="0">
      <alignment horizontal="center" vertical="center"/>
    </xf>
    <xf numFmtId="0" fontId="0" fillId="0" borderId="34" pivotButton="0" quotePrefix="0" xfId="0"/>
    <xf numFmtId="9" fontId="6" fillId="4" borderId="33" applyAlignment="1" pivotButton="0" quotePrefix="0" xfId="2">
      <alignment horizontal="center" vertical="center"/>
    </xf>
    <xf numFmtId="9" fontId="6" fillId="7" borderId="36" applyAlignment="1" pivotButton="0" quotePrefix="0" xfId="2">
      <alignment horizontal="center" vertical="center"/>
    </xf>
    <xf numFmtId="0" fontId="0" fillId="18" borderId="0" applyAlignment="1" pivotButton="0" quotePrefix="0" xfId="0">
      <alignment horizontal="left" vertical="center" wrapText="1"/>
    </xf>
    <xf numFmtId="0" fontId="0" fillId="0" borderId="0" pivotButton="0" quotePrefix="0" xfId="0"/>
  </cellXfs>
  <cellStyles count="4">
    <cellStyle name="Normal" xfId="0" builtinId="0"/>
    <cellStyle name="Percent" xfId="1" builtinId="5"/>
    <cellStyle name="Normal 2" xfId="2"/>
    <cellStyle name="Percent 2" xfId="3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1"/>
        <i val="1"/>
      </font>
    </dxf>
    <dxf>
      <font>
        <b val="1"/>
        <i val="1"/>
      </font>
    </dxf>
    <dxf>
      <font>
        <b val="1"/>
        <i val="1"/>
      </font>
    </dxf>
    <dxf>
      <font>
        <b val="1"/>
        <i val="1"/>
      </font>
    </dxf>
    <dxf>
      <font>
        <b val="1"/>
        <i val="1"/>
      </font>
    </dxf>
    <dxf>
      <font>
        <b val="1"/>
        <i val="1"/>
      </font>
    </dxf>
    <dxf>
      <font>
        <b val="1"/>
        <i val="1"/>
      </font>
    </dxf>
    <dxf>
      <font>
        <b val="1"/>
        <i val="1"/>
      </font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"/>
        </top>
        <bottom style="thin">
          <color theme="5" tint="0.3999755851924192"/>
        </bottom>
      </border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"/>
        </top>
      </border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"/>
        </top>
        <bottom style="thin">
          <color theme="5" tint="0.3999755851924192"/>
        </bottom>
      </border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"/>
        </top>
      </border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6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styles" Target="styles.xml" Id="rId216"/><Relationship Type="http://schemas.openxmlformats.org/officeDocument/2006/relationships/theme" Target="theme/theme1.xml" Id="rId2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view3D>
      <rotX val="15"/>
      <rotY val="20"/>
      <rAngAx val="1"/>
    </view3D>
    <floor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floor>
    <side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sideWall>
    <back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backWall>
    <plotArea>
      <layout>
        <manualLayout>
          <layoutTarget val="inner"/>
          <xMode val="edge"/>
          <yMode val="edge"/>
          <wMode val="factor"/>
          <hMode val="factor"/>
          <x val="0.06879975940507436"/>
          <y val="0.04144284047827355"/>
          <w val="0.92564468503937"/>
          <h val="0.8057276173811607"/>
        </manualLayout>
      </layout>
      <bar3DChart>
        <barDir val="col"/>
        <grouping val="standard"/>
        <varyColors val="0"/>
        <ser>
          <idx val="0"/>
          <order val="0"/>
          <tx>
            <v>Human Responses</v>
          </tx>
          <spPr>
            <a:solidFill xmlns:a="http://schemas.openxmlformats.org/drawingml/2006/main">
              <a:srgbClr val="00B050"/>
            </a:solidFill>
            <a:ln xmlns:a="http://schemas.openxmlformats.org/drawingml/2006/main">
              <a:noFill/>
              <a:prstDash val="solid"/>
            </a:ln>
            <a:sp3d xmlns:a="http://schemas.openxmlformats.org/drawingml/2006/main"/>
          </spPr>
          <invertIfNegative val="0"/>
          <cat>
            <strRef>
              <f>PROXY_RESULTS!$AW$13:$AW$18</f>
              <strCache>
                <ptCount val="6"/>
                <pt idx="0">
                  <v>WFI</v>
                </pt>
                <pt idx="1">
                  <v>AO</v>
                </pt>
                <pt idx="2">
                  <v>FO</v>
                </pt>
                <pt idx="3">
                  <v>NH</v>
                </pt>
                <pt idx="4">
                  <v>C</v>
                </pt>
                <pt idx="5">
                  <v>NONE</v>
                </pt>
              </strCache>
            </strRef>
          </cat>
          <val>
            <numRef>
              <f>PROXY_RESULTS!$D$3:$D$8</f>
              <numCache>
                <formatCode>0%</formatCode>
                <ptCount val="6"/>
                <pt idx="0">
                  <v>0.7333333333333333</v>
                </pt>
                <pt idx="1">
                  <v>0.01666666666666667</v>
                </pt>
                <pt idx="2">
                  <v>0.01666666666666667</v>
                </pt>
                <pt idx="3">
                  <v>0.05</v>
                </pt>
                <pt idx="4">
                  <v>0.06666666666666667</v>
                </pt>
                <pt idx="5">
                  <v>0.1166666666666667</v>
                </pt>
              </numCache>
            </numRef>
          </val>
        </ser>
        <ser>
          <idx val="1"/>
          <order val="1"/>
          <tx>
            <v>LLM-Generated Proxy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  <a:sp3d xmlns:a="http://schemas.openxmlformats.org/drawingml/2006/main"/>
          </spPr>
          <invertIfNegative val="0"/>
          <cat>
            <strRef>
              <f>PROXY_RESULTS!$AW$13:$AW$18</f>
              <strCache>
                <ptCount val="6"/>
                <pt idx="0">
                  <v>WFI</v>
                </pt>
                <pt idx="1">
                  <v>AO</v>
                </pt>
                <pt idx="2">
                  <v>FO</v>
                </pt>
                <pt idx="3">
                  <v>NH</v>
                </pt>
                <pt idx="4">
                  <v>C</v>
                </pt>
                <pt idx="5">
                  <v>NONE</v>
                </pt>
              </strCache>
            </strRef>
          </cat>
          <val>
            <numRef>
              <f>PROXY_RESULTS!$U$3:$U$8</f>
              <numCache>
                <formatCode>0%</formatCode>
                <ptCount val="6"/>
                <pt idx="0">
                  <v>0.75</v>
                </pt>
                <pt idx="1">
                  <v>0.1</v>
                </pt>
                <pt idx="2">
                  <v>0.05</v>
                </pt>
                <pt idx="3">
                  <v>0.05</v>
                </pt>
                <pt idx="4">
                  <v>0</v>
                </pt>
                <pt idx="5">
                  <v>0.05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1473701840"/>
        <axId val="1473703552"/>
        <axId val="102701183"/>
      </bar3DChart>
      <catAx>
        <axId val="14737018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73703552"/>
        <crosses val="autoZero"/>
        <auto val="1"/>
        <lblAlgn val="ctr"/>
        <lblOffset val="100"/>
        <noMultiLvlLbl val="0"/>
      </catAx>
      <valAx>
        <axId val="1473703552"/>
        <scaling>
          <orientation val="minMax"/>
        </scaling>
        <delete val="0"/>
        <axPos val="l"/>
        <majorGridlines>
          <spPr>
            <a:ln xmlns:a="http://schemas.openxmlformats.org/drawingml/2006/main" w="12700" cap="flat" cmpd="sng" algn="ctr">
              <a:solidFill>
                <a:schemeClr val="bg2">
                  <a:lumMod val="50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2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73701840"/>
        <crosses val="autoZero"/>
        <crossBetween val="between"/>
      </valAx>
      <serAx>
        <axId val="102701183"/>
        <scaling>
          <orientation val="minMax"/>
        </scaling>
        <delete val="1"/>
        <axPos val="b"/>
        <majorTickMark val="none"/>
        <minorTickMark val="none"/>
        <tickLblPos val="nextTo"/>
        <crossAx val="1473703552"/>
        <crosses val="autoZero"/>
      </ser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view3D>
      <rotX val="15"/>
      <rotY val="20"/>
      <rAngAx val="1"/>
    </view3D>
    <floor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floor>
    <side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sideWall>
    <back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backWall>
    <plotArea>
      <layout>
        <manualLayout>
          <layoutTarget val="inner"/>
          <xMode val="edge"/>
          <yMode val="edge"/>
          <wMode val="factor"/>
          <hMode val="factor"/>
          <x val="0.06879975940507436"/>
          <y val="0.03995901903424101"/>
          <w val="0.9257974628171478"/>
          <h val="0.7126966248695181"/>
        </manualLayout>
      </layout>
      <bar3DChart>
        <barDir val="col"/>
        <grouping val="standard"/>
        <varyColors val="0"/>
        <ser>
          <idx val="0"/>
          <order val="0"/>
          <tx>
            <v>Human Responses</v>
          </tx>
          <spPr>
            <a:solidFill xmlns:a="http://schemas.openxmlformats.org/drawingml/2006/main">
              <a:srgbClr val="00B050"/>
            </a:solidFill>
            <a:ln xmlns:a="http://schemas.openxmlformats.org/drawingml/2006/main">
              <a:noFill/>
              <a:prstDash val="solid"/>
            </a:ln>
            <a:sp3d xmlns:a="http://schemas.openxmlformats.org/drawingml/2006/main"/>
          </spPr>
          <invertIfNegative val="0"/>
          <cat>
            <strRef>
              <f>PROXY_RESULTS!$AW$13:$AW$18</f>
              <strCache>
                <ptCount val="6"/>
                <pt idx="0">
                  <v>WFI</v>
                </pt>
                <pt idx="1">
                  <v>AO</v>
                </pt>
                <pt idx="2">
                  <v>FO</v>
                </pt>
                <pt idx="3">
                  <v>NH</v>
                </pt>
                <pt idx="4">
                  <v>C</v>
                </pt>
                <pt idx="5">
                  <v>NONE</v>
                </pt>
              </strCache>
            </strRef>
          </cat>
          <val>
            <numRef>
              <f>PROXY_RESULTS!$D$27:$D$32</f>
              <numCache>
                <formatCode>0%</formatCode>
                <ptCount val="6"/>
                <pt idx="0">
                  <v>0.05</v>
                </pt>
                <pt idx="1">
                  <v>0.08333333333333333</v>
                </pt>
                <pt idx="2">
                  <v>0</v>
                </pt>
                <pt idx="3">
                  <v>0.5166666666666667</v>
                </pt>
                <pt idx="4">
                  <v>0.3166666666666667</v>
                </pt>
                <pt idx="5">
                  <v>0.03333333333333333</v>
                </pt>
              </numCache>
            </numRef>
          </val>
        </ser>
        <ser>
          <idx val="1"/>
          <order val="1"/>
          <tx>
            <v>LLM-Generated Proxy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  <a:sp3d xmlns:a="http://schemas.openxmlformats.org/drawingml/2006/main"/>
          </spPr>
          <invertIfNegative val="0"/>
          <cat>
            <strRef>
              <f>PROXY_RESULTS!$AW$13:$AW$18</f>
              <strCache>
                <ptCount val="6"/>
                <pt idx="0">
                  <v>WFI</v>
                </pt>
                <pt idx="1">
                  <v>AO</v>
                </pt>
                <pt idx="2">
                  <v>FO</v>
                </pt>
                <pt idx="3">
                  <v>NH</v>
                </pt>
                <pt idx="4">
                  <v>C</v>
                </pt>
                <pt idx="5">
                  <v>NONE</v>
                </pt>
              </strCache>
            </strRef>
          </cat>
          <val>
            <numRef>
              <f>PROXY_RESULTS!$U$27:$U$32</f>
              <numCache>
                <formatCode>0%</formatCode>
                <ptCount val="6"/>
                <pt idx="0">
                  <v>0.2</v>
                </pt>
                <pt idx="1">
                  <v>0</v>
                </pt>
                <pt idx="2">
                  <v>0.05</v>
                </pt>
                <pt idx="3">
                  <v>0.05</v>
                </pt>
                <pt idx="4">
                  <v>0.65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1189873424"/>
        <axId val="896948368"/>
        <axId val="1435374735"/>
      </bar3DChart>
      <catAx>
        <axId val="11898734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6948368"/>
        <crosses val="autoZero"/>
        <auto val="1"/>
        <lblAlgn val="ctr"/>
        <lblOffset val="100"/>
        <noMultiLvlLbl val="0"/>
      </catAx>
      <valAx>
        <axId val="896948368"/>
        <scaling>
          <orientation val="minMax"/>
        </scaling>
        <delete val="0"/>
        <axPos val="l"/>
        <majorGridlines>
          <spPr>
            <a:ln xmlns:a="http://schemas.openxmlformats.org/drawingml/2006/main" w="12700" cap="flat" cmpd="sng" algn="ctr">
              <a:solidFill>
                <a:schemeClr val="bg2">
                  <a:lumMod val="50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2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89873424"/>
        <crosses val="autoZero"/>
        <crossBetween val="between"/>
      </valAx>
      <serAx>
        <axId val="1435374735"/>
        <scaling>
          <orientation val="minMax"/>
        </scaling>
        <delete val="1"/>
        <axPos val="b"/>
        <majorTickMark val="none"/>
        <minorTickMark val="none"/>
        <tickLblPos val="nextTo"/>
        <crossAx val="896948368"/>
        <crosses val="autoZero"/>
      </serAx>
    </plotArea>
    <legend>
      <legendPos val="b"/>
      <layout>
        <manualLayout>
          <xMode val="edge"/>
          <yMode val="edge"/>
          <wMode val="factor"/>
          <hMode val="factor"/>
          <x val="0.03984831583552056"/>
          <y val="0.8925788320005876"/>
          <w val="0.9272478127734035"/>
          <h val="0.0585941601049868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24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36</col>
      <colOff>0</colOff>
      <row>4</row>
      <rowOff>0</rowOff>
    </from>
    <to>
      <col>47</col>
      <colOff>63500</colOff>
      <row>17</row>
      <rowOff>152400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36</col>
      <colOff>6350</colOff>
      <row>23</row>
      <rowOff>76200</rowOff>
    </from>
    <to>
      <col>47</col>
      <colOff>69850</colOff>
      <row>38</row>
      <rowOff>50800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23" displayName="Table23" ref="A1:I901" headerRowCount="1" totalsRowShown="0" headerRowDxfId="36" dataDxfId="34" headerRowBorderDxfId="35" tableBorderDxfId="33">
  <autoFilter ref="A1:I901"/>
  <tableColumns count="9">
    <tableColumn id="1" name="datapoint" dataDxfId="32"/>
    <tableColumn id="2" name="Previous Study (Y=1, N=2)" dataDxfId="31"/>
    <tableColumn id="3" name="condition" dataDxfId="30"/>
    <tableColumn id="4" name="real_state" dataDxfId="29"/>
    <tableColumn id="5" name="real_state_idx" dataDxfId="28">
      <calculatedColumnFormula>MATCH(D2, {"Waiting for Input","Analyzing Object","Found Object","Needs Help","Confused","None"}, 0) - 1</calculatedColumnFormula>
    </tableColumn>
    <tableColumn id="6" name="response" dataDxfId="27"/>
    <tableColumn id="7" name="response_idx" dataDxfId="26">
      <calculatedColumnFormula>MATCH(F2, {"Waiting for Input","Analyzing Object","Found Object","Needs Help","Confused","None"}, 0) - 1</calculatedColumnFormula>
    </tableColumn>
    <tableColumn id="8" name="confidence" dataDxfId="25"/>
    <tableColumn id="9" name="correct" dataDxfId="24">
      <calculatedColumnFormula>IF(E2=G2, 1, 0)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D24:L924" headerRowCount="1" totalsRowShown="0" headerRowDxfId="23" dataDxfId="21" headerRowBorderDxfId="22" tableBorderDxfId="20">
  <autoFilter ref="D24:L924"/>
  <tableColumns count="9">
    <tableColumn id="1" name="datapoint" dataDxfId="19"/>
    <tableColumn id="2" name="Previous Study (Y=1, N=2)" dataDxfId="18"/>
    <tableColumn id="3" name="condition" dataDxfId="17"/>
    <tableColumn id="4" name="real_state" dataDxfId="16"/>
    <tableColumn id="5" name="real_state_idx" dataDxfId="15">
      <calculatedColumnFormula>MATCH(G25, {"Waiting for Input","Analyzing Object","Found Object","Needs Help","Confused","None"}, 0) - 1</calculatedColumnFormula>
    </tableColumn>
    <tableColumn id="6" name="response" dataDxfId="14"/>
    <tableColumn id="7" name="response_idx" dataDxfId="13">
      <calculatedColumnFormula>MATCH(I25, {"Waiting for Input","Analyzing Object","Found Object","Needs Help","Confused","None"}, 0) - 1</calculatedColumnFormula>
    </tableColumn>
    <tableColumn id="8" name="confidence" dataDxfId="12"/>
    <tableColumn id="9" name="correct" dataDxfId="11">
      <calculatedColumnFormula>IF(H25=J25, 1, 0)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8"/>
  <sheetViews>
    <sheetView topLeftCell="A13" workbookViewId="0">
      <selection activeCell="K27" sqref="K27"/>
    </sheetView>
  </sheetViews>
  <sheetFormatPr baseColWidth="10" defaultRowHeight="16"/>
  <sheetData>
    <row r="1">
      <c r="A1" t="inlineStr">
        <is>
          <t>real</t>
        </is>
      </c>
      <c r="B1" t="inlineStr">
        <is>
          <t>proxy</t>
        </is>
      </c>
      <c r="C1" t="inlineStr">
        <is>
          <t>delta</t>
        </is>
      </c>
    </row>
    <row r="2">
      <c r="A2" s="156">
        <f>PROXY_RESULTS!D3</f>
        <v/>
      </c>
      <c r="B2" s="156">
        <f>PROXY_RESULTS!X3</f>
        <v/>
      </c>
      <c r="C2" s="156">
        <f>PROXY_RESULTS!Y3</f>
        <v/>
      </c>
      <c r="D2" s="228" t="n"/>
    </row>
    <row r="3">
      <c r="A3" s="156">
        <f>PROXY_RESULTS!D4</f>
        <v/>
      </c>
      <c r="B3" s="156">
        <f>PROXY_RESULTS!X4</f>
        <v/>
      </c>
      <c r="C3" s="156">
        <f>PROXY_RESULTS!Y4</f>
        <v/>
      </c>
      <c r="D3" s="228" t="n"/>
    </row>
    <row r="4">
      <c r="A4" s="156">
        <f>PROXY_RESULTS!D5</f>
        <v/>
      </c>
      <c r="B4" s="156">
        <f>PROXY_RESULTS!X5</f>
        <v/>
      </c>
      <c r="C4" s="156">
        <f>PROXY_RESULTS!Y5</f>
        <v/>
      </c>
      <c r="D4" s="228" t="n"/>
    </row>
    <row r="5">
      <c r="A5" s="156">
        <f>PROXY_RESULTS!D6</f>
        <v/>
      </c>
      <c r="B5" s="156">
        <f>PROXY_RESULTS!X6</f>
        <v/>
      </c>
      <c r="C5" s="156">
        <f>PROXY_RESULTS!Y6</f>
        <v/>
      </c>
      <c r="D5" s="228" t="n"/>
    </row>
    <row r="6">
      <c r="A6" s="156">
        <f>PROXY_RESULTS!D7</f>
        <v/>
      </c>
      <c r="B6" s="156">
        <f>PROXY_RESULTS!X7</f>
        <v/>
      </c>
      <c r="C6" s="156">
        <f>PROXY_RESULTS!Y7</f>
        <v/>
      </c>
      <c r="D6" s="228" t="n"/>
    </row>
    <row r="7">
      <c r="A7" s="156">
        <f>PROXY_RESULTS!D8</f>
        <v/>
      </c>
      <c r="B7" s="156">
        <f>PROXY_RESULTS!X8</f>
        <v/>
      </c>
      <c r="C7" s="156">
        <f>PROXY_RESULTS!Y8</f>
        <v/>
      </c>
      <c r="D7" s="228" t="n"/>
    </row>
    <row r="8">
      <c r="A8" s="156">
        <f>PROXY_RESULTS!D9</f>
        <v/>
      </c>
      <c r="B8" s="156">
        <f>PROXY_RESULTS!X9</f>
        <v/>
      </c>
      <c r="C8" s="156">
        <f>PROXY_RESULTS!Y9</f>
        <v/>
      </c>
      <c r="D8" s="228" t="n"/>
    </row>
    <row r="9">
      <c r="A9" s="156">
        <f>PROXY_RESULTS!D10</f>
        <v/>
      </c>
      <c r="B9" s="156">
        <f>PROXY_RESULTS!X10</f>
        <v/>
      </c>
      <c r="C9" s="156">
        <f>PROXY_RESULTS!Y10</f>
        <v/>
      </c>
      <c r="D9" s="228" t="n"/>
    </row>
    <row r="10">
      <c r="A10" s="156">
        <f>PROXY_RESULTS!D11</f>
        <v/>
      </c>
      <c r="B10" s="156">
        <f>PROXY_RESULTS!X11</f>
        <v/>
      </c>
      <c r="C10" s="156">
        <f>PROXY_RESULTS!Y11</f>
        <v/>
      </c>
      <c r="D10" s="228" t="n"/>
    </row>
    <row r="11">
      <c r="A11" s="156">
        <f>PROXY_RESULTS!D12</f>
        <v/>
      </c>
      <c r="B11" s="156">
        <f>PROXY_RESULTS!X12</f>
        <v/>
      </c>
      <c r="C11" s="156">
        <f>PROXY_RESULTS!Y12</f>
        <v/>
      </c>
      <c r="D11" s="228" t="n"/>
    </row>
    <row r="12">
      <c r="A12" s="156">
        <f>PROXY_RESULTS!D13</f>
        <v/>
      </c>
      <c r="B12" s="156">
        <f>PROXY_RESULTS!X13</f>
        <v/>
      </c>
      <c r="C12" s="156">
        <f>PROXY_RESULTS!Y13</f>
        <v/>
      </c>
      <c r="D12" s="228" t="n"/>
    </row>
    <row r="13">
      <c r="A13" s="156">
        <f>PROXY_RESULTS!D14</f>
        <v/>
      </c>
      <c r="B13" s="156">
        <f>PROXY_RESULTS!X14</f>
        <v/>
      </c>
      <c r="C13" s="156">
        <f>PROXY_RESULTS!Y14</f>
        <v/>
      </c>
      <c r="D13" s="228" t="n"/>
    </row>
    <row r="14">
      <c r="A14" s="156">
        <f>PROXY_RESULTS!D15</f>
        <v/>
      </c>
      <c r="B14" s="156">
        <f>PROXY_RESULTS!X15</f>
        <v/>
      </c>
      <c r="C14" s="156">
        <f>PROXY_RESULTS!Y15</f>
        <v/>
      </c>
      <c r="D14" s="228" t="n"/>
    </row>
    <row r="15">
      <c r="A15" s="156">
        <f>PROXY_RESULTS!D16</f>
        <v/>
      </c>
      <c r="B15" s="156">
        <f>PROXY_RESULTS!X16</f>
        <v/>
      </c>
      <c r="C15" s="156">
        <f>PROXY_RESULTS!Y16</f>
        <v/>
      </c>
      <c r="D15" s="228" t="n"/>
    </row>
    <row r="16">
      <c r="A16" s="156">
        <f>PROXY_RESULTS!D17</f>
        <v/>
      </c>
      <c r="B16" s="156">
        <f>PROXY_RESULTS!X17</f>
        <v/>
      </c>
      <c r="C16" s="156">
        <f>PROXY_RESULTS!Y17</f>
        <v/>
      </c>
      <c r="D16" s="228" t="n"/>
    </row>
    <row r="17">
      <c r="A17" s="156">
        <f>PROXY_RESULTS!D18</f>
        <v/>
      </c>
      <c r="B17" s="156">
        <f>PROXY_RESULTS!X18</f>
        <v/>
      </c>
      <c r="C17" s="156">
        <f>PROXY_RESULTS!Y18</f>
        <v/>
      </c>
      <c r="D17" s="228" t="n"/>
    </row>
    <row r="18">
      <c r="A18" s="156">
        <f>PROXY_RESULTS!D19</f>
        <v/>
      </c>
      <c r="B18" s="156">
        <f>PROXY_RESULTS!X19</f>
        <v/>
      </c>
      <c r="C18" s="156">
        <f>PROXY_RESULTS!Y19</f>
        <v/>
      </c>
      <c r="D18" s="228" t="n"/>
    </row>
    <row r="19">
      <c r="A19" s="156">
        <f>PROXY_RESULTS!D20</f>
        <v/>
      </c>
      <c r="B19" s="156">
        <f>PROXY_RESULTS!X20</f>
        <v/>
      </c>
      <c r="C19" s="156">
        <f>PROXY_RESULTS!Y20</f>
        <v/>
      </c>
      <c r="D19" s="228" t="n"/>
    </row>
    <row r="20">
      <c r="A20" s="156">
        <f>PROXY_RESULTS!D21</f>
        <v/>
      </c>
      <c r="B20" s="156">
        <f>PROXY_RESULTS!X21</f>
        <v/>
      </c>
      <c r="C20" s="156">
        <f>PROXY_RESULTS!Y21</f>
        <v/>
      </c>
      <c r="D20" s="228" t="n"/>
    </row>
    <row r="21">
      <c r="A21" s="156">
        <f>PROXY_RESULTS!D22</f>
        <v/>
      </c>
      <c r="B21" s="156">
        <f>PROXY_RESULTS!X22</f>
        <v/>
      </c>
      <c r="C21" s="156">
        <f>PROXY_RESULTS!Y22</f>
        <v/>
      </c>
      <c r="D21" s="228" t="n"/>
    </row>
    <row r="22">
      <c r="A22" s="156">
        <f>PROXY_RESULTS!D23</f>
        <v/>
      </c>
      <c r="B22" s="156">
        <f>PROXY_RESULTS!X23</f>
        <v/>
      </c>
      <c r="C22" s="156">
        <f>PROXY_RESULTS!Y23</f>
        <v/>
      </c>
      <c r="D22" s="228" t="n"/>
    </row>
    <row r="23">
      <c r="A23" s="156">
        <f>PROXY_RESULTS!D24</f>
        <v/>
      </c>
      <c r="B23" s="156">
        <f>PROXY_RESULTS!X24</f>
        <v/>
      </c>
      <c r="C23" s="156">
        <f>PROXY_RESULTS!Y24</f>
        <v/>
      </c>
      <c r="D23" s="228" t="n"/>
    </row>
    <row r="24">
      <c r="A24" s="156">
        <f>PROXY_RESULTS!D25</f>
        <v/>
      </c>
      <c r="B24" s="156">
        <f>PROXY_RESULTS!X25</f>
        <v/>
      </c>
      <c r="C24" s="156">
        <f>PROXY_RESULTS!Y25</f>
        <v/>
      </c>
      <c r="D24" s="228" t="n"/>
    </row>
    <row r="25">
      <c r="A25" s="156">
        <f>PROXY_RESULTS!D26</f>
        <v/>
      </c>
      <c r="B25" s="156">
        <f>PROXY_RESULTS!X26</f>
        <v/>
      </c>
      <c r="C25" s="156">
        <f>PROXY_RESULTS!Y26</f>
        <v/>
      </c>
      <c r="D25" s="228" t="n"/>
    </row>
    <row r="26">
      <c r="A26" s="156">
        <f>PROXY_RESULTS!D27</f>
        <v/>
      </c>
      <c r="B26" s="156">
        <f>PROXY_RESULTS!X27</f>
        <v/>
      </c>
      <c r="C26" s="156">
        <f>PROXY_RESULTS!Y27</f>
        <v/>
      </c>
      <c r="D26" s="228" t="n"/>
    </row>
    <row r="27">
      <c r="A27" s="156">
        <f>PROXY_RESULTS!D28</f>
        <v/>
      </c>
      <c r="B27" s="156">
        <f>PROXY_RESULTS!X28</f>
        <v/>
      </c>
      <c r="C27" s="156">
        <f>PROXY_RESULTS!Y28</f>
        <v/>
      </c>
      <c r="D27" s="228" t="n"/>
    </row>
    <row r="28">
      <c r="A28" s="156">
        <f>PROXY_RESULTS!D29</f>
        <v/>
      </c>
      <c r="B28" s="156">
        <f>PROXY_RESULTS!X29</f>
        <v/>
      </c>
      <c r="C28" s="156">
        <f>PROXY_RESULTS!Y29</f>
        <v/>
      </c>
      <c r="D28" s="228" t="n"/>
    </row>
    <row r="29">
      <c r="A29" s="156">
        <f>PROXY_RESULTS!D30</f>
        <v/>
      </c>
      <c r="B29" s="156">
        <f>PROXY_RESULTS!X30</f>
        <v/>
      </c>
      <c r="C29" s="156">
        <f>PROXY_RESULTS!Y30</f>
        <v/>
      </c>
      <c r="D29" s="228" t="n"/>
    </row>
    <row r="30">
      <c r="A30" s="156">
        <f>PROXY_RESULTS!D31</f>
        <v/>
      </c>
      <c r="B30" s="156">
        <f>PROXY_RESULTS!X31</f>
        <v/>
      </c>
      <c r="C30" s="156">
        <f>PROXY_RESULTS!Y31</f>
        <v/>
      </c>
      <c r="D30" s="228" t="n"/>
    </row>
    <row r="31">
      <c r="A31" s="156">
        <f>PROXY_RESULTS!D32</f>
        <v/>
      </c>
      <c r="B31" s="156">
        <f>PROXY_RESULTS!X32</f>
        <v/>
      </c>
      <c r="C31" s="156">
        <f>PROXY_RESULTS!Y32</f>
        <v/>
      </c>
      <c r="D31" s="228" t="n"/>
    </row>
    <row r="32">
      <c r="A32" s="156">
        <f>PROXY_RESULTS!D33</f>
        <v/>
      </c>
      <c r="B32" s="156">
        <f>PROXY_RESULTS!X33</f>
        <v/>
      </c>
      <c r="C32" s="156">
        <f>PROXY_RESULTS!Y33</f>
        <v/>
      </c>
      <c r="D32" s="229" t="n"/>
    </row>
    <row r="33">
      <c r="A33" s="156">
        <f>PROXY_RESULTS!D34</f>
        <v/>
      </c>
      <c r="B33" s="156">
        <f>PROXY_RESULTS!X34</f>
        <v/>
      </c>
      <c r="C33" s="156">
        <f>PROXY_RESULTS!Y34</f>
        <v/>
      </c>
      <c r="D33" s="229" t="n"/>
    </row>
    <row r="34">
      <c r="A34" s="156">
        <f>PROXY_RESULTS!D35</f>
        <v/>
      </c>
      <c r="B34" s="156">
        <f>PROXY_RESULTS!X35</f>
        <v/>
      </c>
      <c r="C34" s="156">
        <f>PROXY_RESULTS!Y35</f>
        <v/>
      </c>
      <c r="D34" s="229" t="n"/>
    </row>
    <row r="35">
      <c r="A35" s="156">
        <f>PROXY_RESULTS!D36</f>
        <v/>
      </c>
      <c r="B35" s="156">
        <f>PROXY_RESULTS!X36</f>
        <v/>
      </c>
      <c r="C35" s="156">
        <f>PROXY_RESULTS!Y36</f>
        <v/>
      </c>
      <c r="D35" s="229" t="n"/>
    </row>
    <row r="36">
      <c r="A36" s="156">
        <f>PROXY_RESULTS!D37</f>
        <v/>
      </c>
      <c r="B36" s="156">
        <f>PROXY_RESULTS!X37</f>
        <v/>
      </c>
      <c r="C36" s="156">
        <f>PROXY_RESULTS!Y37</f>
        <v/>
      </c>
      <c r="D36" s="229" t="n"/>
    </row>
    <row r="37">
      <c r="A37" s="156">
        <f>PROXY_RESULTS!D38</f>
        <v/>
      </c>
      <c r="B37" s="156">
        <f>PROXY_RESULTS!X38</f>
        <v/>
      </c>
      <c r="C37" s="156">
        <f>PROXY_RESULTS!Y38</f>
        <v/>
      </c>
      <c r="D37" s="229" t="n"/>
    </row>
    <row r="38">
      <c r="A38" s="156">
        <f>PROXY_RESULTS!D39</f>
        <v/>
      </c>
      <c r="B38" s="156">
        <f>PROXY_RESULTS!X39</f>
        <v/>
      </c>
      <c r="C38" s="156">
        <f>PROXY_RESULTS!Y39</f>
        <v/>
      </c>
      <c r="D38" s="229" t="n"/>
    </row>
    <row r="39">
      <c r="A39" s="156">
        <f>PROXY_RESULTS!D40</f>
        <v/>
      </c>
      <c r="B39" s="156">
        <f>PROXY_RESULTS!X40</f>
        <v/>
      </c>
      <c r="C39" s="156">
        <f>PROXY_RESULTS!Y40</f>
        <v/>
      </c>
      <c r="D39" s="229" t="n"/>
    </row>
    <row r="40">
      <c r="A40" s="156">
        <f>PROXY_RESULTS!D41</f>
        <v/>
      </c>
      <c r="B40" s="156">
        <f>PROXY_RESULTS!X41</f>
        <v/>
      </c>
      <c r="C40" s="156">
        <f>PROXY_RESULTS!Y41</f>
        <v/>
      </c>
      <c r="D40" s="229" t="n"/>
    </row>
    <row r="41">
      <c r="A41" s="156">
        <f>PROXY_RESULTS!D42</f>
        <v/>
      </c>
      <c r="B41" s="156">
        <f>PROXY_RESULTS!X42</f>
        <v/>
      </c>
      <c r="C41" s="156">
        <f>PROXY_RESULTS!Y42</f>
        <v/>
      </c>
      <c r="D41" s="229" t="n"/>
    </row>
    <row r="42">
      <c r="A42" s="156">
        <f>PROXY_RESULTS!D43</f>
        <v/>
      </c>
      <c r="B42" s="156">
        <f>PROXY_RESULTS!X43</f>
        <v/>
      </c>
      <c r="C42" s="156">
        <f>PROXY_RESULTS!Y43</f>
        <v/>
      </c>
      <c r="D42" s="229" t="n"/>
    </row>
    <row r="43">
      <c r="A43" s="156">
        <f>PROXY_RESULTS!D44</f>
        <v/>
      </c>
      <c r="B43" s="156">
        <f>PROXY_RESULTS!X44</f>
        <v/>
      </c>
      <c r="C43" s="156">
        <f>PROXY_RESULTS!Y44</f>
        <v/>
      </c>
      <c r="D43" s="229" t="n"/>
    </row>
    <row r="44">
      <c r="A44" s="156">
        <f>PROXY_RESULTS!D45</f>
        <v/>
      </c>
      <c r="B44" s="156">
        <f>PROXY_RESULTS!X45</f>
        <v/>
      </c>
      <c r="C44" s="156">
        <f>PROXY_RESULTS!Y45</f>
        <v/>
      </c>
      <c r="D44" s="229" t="n"/>
    </row>
    <row r="45">
      <c r="A45" s="156">
        <f>PROXY_RESULTS!D46</f>
        <v/>
      </c>
      <c r="B45" s="156">
        <f>PROXY_RESULTS!X46</f>
        <v/>
      </c>
      <c r="C45" s="156">
        <f>PROXY_RESULTS!Y46</f>
        <v/>
      </c>
      <c r="D45" s="229" t="n"/>
    </row>
    <row r="46">
      <c r="A46" s="156">
        <f>PROXY_RESULTS!D47</f>
        <v/>
      </c>
      <c r="B46" s="156">
        <f>PROXY_RESULTS!X47</f>
        <v/>
      </c>
      <c r="C46" s="156">
        <f>PROXY_RESULTS!Y47</f>
        <v/>
      </c>
      <c r="D46" s="229" t="n"/>
    </row>
    <row r="47">
      <c r="A47" s="156">
        <f>PROXY_RESULTS!D48</f>
        <v/>
      </c>
      <c r="B47" s="156">
        <f>PROXY_RESULTS!X48</f>
        <v/>
      </c>
      <c r="C47" s="156">
        <f>PROXY_RESULTS!Y48</f>
        <v/>
      </c>
      <c r="D47" s="229" t="n"/>
    </row>
    <row r="48">
      <c r="A48" s="156">
        <f>PROXY_RESULTS!D49</f>
        <v/>
      </c>
      <c r="B48" s="156">
        <f>PROXY_RESULTS!X49</f>
        <v/>
      </c>
      <c r="C48" s="156">
        <f>PROXY_RESULTS!Y49</f>
        <v/>
      </c>
      <c r="D48" s="229" t="n"/>
    </row>
    <row r="49">
      <c r="A49" s="156">
        <f>PROXY_RESULTS!D50</f>
        <v/>
      </c>
      <c r="B49" s="156">
        <f>PROXY_RESULTS!X50</f>
        <v/>
      </c>
      <c r="C49" s="156">
        <f>PROXY_RESULTS!Y50</f>
        <v/>
      </c>
      <c r="D49" s="229" t="n"/>
    </row>
    <row r="50">
      <c r="A50" s="156">
        <f>PROXY_RESULTS!D51</f>
        <v/>
      </c>
      <c r="B50" s="156">
        <f>PROXY_RESULTS!X51</f>
        <v/>
      </c>
      <c r="C50" s="156">
        <f>PROXY_RESULTS!Y51</f>
        <v/>
      </c>
      <c r="D50" s="229" t="n"/>
    </row>
    <row r="51">
      <c r="A51" s="156">
        <f>PROXY_RESULTS!D52</f>
        <v/>
      </c>
      <c r="B51" s="156">
        <f>PROXY_RESULTS!X52</f>
        <v/>
      </c>
      <c r="C51" s="156">
        <f>PROXY_RESULTS!Y52</f>
        <v/>
      </c>
      <c r="D51" s="229" t="n"/>
    </row>
    <row r="52">
      <c r="A52" s="156">
        <f>PROXY_RESULTS!D53</f>
        <v/>
      </c>
      <c r="B52" s="156">
        <f>PROXY_RESULTS!X53</f>
        <v/>
      </c>
      <c r="C52" s="156">
        <f>PROXY_RESULTS!Y53</f>
        <v/>
      </c>
      <c r="D52" s="229" t="n"/>
    </row>
    <row r="53">
      <c r="A53" s="156">
        <f>PROXY_RESULTS!D54</f>
        <v/>
      </c>
      <c r="B53" s="156">
        <f>PROXY_RESULTS!X54</f>
        <v/>
      </c>
      <c r="C53" s="156">
        <f>PROXY_RESULTS!Y54</f>
        <v/>
      </c>
      <c r="D53" s="229" t="n"/>
    </row>
    <row r="54">
      <c r="A54" s="156">
        <f>PROXY_RESULTS!D55</f>
        <v/>
      </c>
      <c r="B54" s="156">
        <f>PROXY_RESULTS!X55</f>
        <v/>
      </c>
      <c r="C54" s="156">
        <f>PROXY_RESULTS!Y55</f>
        <v/>
      </c>
      <c r="D54" s="229" t="n"/>
    </row>
    <row r="55">
      <c r="A55" s="156">
        <f>PROXY_RESULTS!D56</f>
        <v/>
      </c>
      <c r="B55" s="156">
        <f>PROXY_RESULTS!X56</f>
        <v/>
      </c>
      <c r="C55" s="156">
        <f>PROXY_RESULTS!Y56</f>
        <v/>
      </c>
      <c r="D55" s="229" t="n"/>
    </row>
    <row r="56">
      <c r="A56" s="156">
        <f>PROXY_RESULTS!D57</f>
        <v/>
      </c>
      <c r="B56" s="156">
        <f>PROXY_RESULTS!X57</f>
        <v/>
      </c>
      <c r="C56" s="156">
        <f>PROXY_RESULTS!Y57</f>
        <v/>
      </c>
      <c r="D56" s="229" t="n"/>
    </row>
    <row r="57">
      <c r="A57" s="156">
        <f>PROXY_RESULTS!D58</f>
        <v/>
      </c>
      <c r="B57" s="156">
        <f>PROXY_RESULTS!X58</f>
        <v/>
      </c>
      <c r="C57" s="156">
        <f>PROXY_RESULTS!Y58</f>
        <v/>
      </c>
      <c r="D57" s="229" t="n"/>
    </row>
    <row r="58">
      <c r="A58" s="156">
        <f>PROXY_RESULTS!D59</f>
        <v/>
      </c>
      <c r="B58" s="156">
        <f>PROXY_RESULTS!X59</f>
        <v/>
      </c>
      <c r="C58" s="156">
        <f>PROXY_RESULTS!Y59</f>
        <v/>
      </c>
      <c r="D58" s="229" t="n"/>
    </row>
    <row r="59">
      <c r="A59" s="156">
        <f>PROXY_RESULTS!D60</f>
        <v/>
      </c>
      <c r="B59" s="156">
        <f>PROXY_RESULTS!X60</f>
        <v/>
      </c>
      <c r="C59" s="156">
        <f>PROXY_RESULTS!Y60</f>
        <v/>
      </c>
      <c r="D59" s="229" t="n"/>
    </row>
    <row r="60">
      <c r="A60" s="156">
        <f>PROXY_RESULTS!D61</f>
        <v/>
      </c>
      <c r="B60" s="156">
        <f>PROXY_RESULTS!X61</f>
        <v/>
      </c>
      <c r="C60" s="156">
        <f>PROXY_RESULTS!Y61</f>
        <v/>
      </c>
      <c r="D60" s="229" t="n"/>
    </row>
    <row r="61">
      <c r="A61" s="156">
        <f>PROXY_RESULTS!D62</f>
        <v/>
      </c>
      <c r="B61" s="156">
        <f>PROXY_RESULTS!X62</f>
        <v/>
      </c>
      <c r="C61" s="156">
        <f>PROXY_RESULTS!Y62</f>
        <v/>
      </c>
      <c r="D61" s="229" t="n"/>
    </row>
    <row r="62">
      <c r="A62" s="156">
        <f>PROXY_RESULTS!D63</f>
        <v/>
      </c>
      <c r="B62" s="156">
        <f>PROXY_RESULTS!X63</f>
        <v/>
      </c>
      <c r="C62" s="156">
        <f>PROXY_RESULTS!Y63</f>
        <v/>
      </c>
      <c r="D62" s="230" t="n"/>
    </row>
    <row r="63">
      <c r="A63" s="156">
        <f>PROXY_RESULTS!D64</f>
        <v/>
      </c>
      <c r="B63" s="156">
        <f>PROXY_RESULTS!X64</f>
        <v/>
      </c>
      <c r="C63" s="156">
        <f>PROXY_RESULTS!Y64</f>
        <v/>
      </c>
      <c r="D63" s="230" t="n"/>
    </row>
    <row r="64">
      <c r="A64" s="156">
        <f>PROXY_RESULTS!D65</f>
        <v/>
      </c>
      <c r="B64" s="156">
        <f>PROXY_RESULTS!X65</f>
        <v/>
      </c>
      <c r="C64" s="156">
        <f>PROXY_RESULTS!Y65</f>
        <v/>
      </c>
      <c r="D64" s="230" t="n"/>
    </row>
    <row r="65">
      <c r="A65" s="156">
        <f>PROXY_RESULTS!D66</f>
        <v/>
      </c>
      <c r="B65" s="156">
        <f>PROXY_RESULTS!X66</f>
        <v/>
      </c>
      <c r="C65" s="156">
        <f>PROXY_RESULTS!Y66</f>
        <v/>
      </c>
      <c r="D65" s="230" t="n"/>
    </row>
    <row r="66">
      <c r="A66" s="156">
        <f>PROXY_RESULTS!D67</f>
        <v/>
      </c>
      <c r="B66" s="156">
        <f>PROXY_RESULTS!X67</f>
        <v/>
      </c>
      <c r="C66" s="156">
        <f>PROXY_RESULTS!Y67</f>
        <v/>
      </c>
      <c r="D66" s="230" t="n"/>
    </row>
    <row r="67">
      <c r="A67" s="156">
        <f>PROXY_RESULTS!D68</f>
        <v/>
      </c>
      <c r="B67" s="156">
        <f>PROXY_RESULTS!X68</f>
        <v/>
      </c>
      <c r="C67" s="156">
        <f>PROXY_RESULTS!Y68</f>
        <v/>
      </c>
      <c r="D67" s="230" t="n"/>
    </row>
    <row r="68">
      <c r="A68" s="156">
        <f>PROXY_RESULTS!D69</f>
        <v/>
      </c>
      <c r="B68" s="156">
        <f>PROXY_RESULTS!X69</f>
        <v/>
      </c>
      <c r="C68" s="156">
        <f>PROXY_RESULTS!Y69</f>
        <v/>
      </c>
      <c r="D68" s="230" t="n"/>
    </row>
    <row r="69">
      <c r="A69" s="156">
        <f>PROXY_RESULTS!D70</f>
        <v/>
      </c>
      <c r="B69" s="156">
        <f>PROXY_RESULTS!X70</f>
        <v/>
      </c>
      <c r="C69" s="156">
        <f>PROXY_RESULTS!Y70</f>
        <v/>
      </c>
      <c r="D69" s="230" t="n"/>
    </row>
    <row r="70">
      <c r="A70" s="156">
        <f>PROXY_RESULTS!D71</f>
        <v/>
      </c>
      <c r="B70" s="156">
        <f>PROXY_RESULTS!X71</f>
        <v/>
      </c>
      <c r="C70" s="156">
        <f>PROXY_RESULTS!Y71</f>
        <v/>
      </c>
      <c r="D70" s="230" t="n"/>
    </row>
    <row r="71">
      <c r="A71" s="156">
        <f>PROXY_RESULTS!D72</f>
        <v/>
      </c>
      <c r="B71" s="156">
        <f>PROXY_RESULTS!X72</f>
        <v/>
      </c>
      <c r="C71" s="156">
        <f>PROXY_RESULTS!Y72</f>
        <v/>
      </c>
      <c r="D71" s="230" t="n"/>
    </row>
    <row r="72">
      <c r="A72" s="156">
        <f>PROXY_RESULTS!D73</f>
        <v/>
      </c>
      <c r="B72" s="156">
        <f>PROXY_RESULTS!X73</f>
        <v/>
      </c>
      <c r="C72" s="156">
        <f>PROXY_RESULTS!Y73</f>
        <v/>
      </c>
      <c r="D72" s="230" t="n"/>
    </row>
    <row r="73">
      <c r="A73" s="156">
        <f>PROXY_RESULTS!D74</f>
        <v/>
      </c>
      <c r="B73" s="156">
        <f>PROXY_RESULTS!X74</f>
        <v/>
      </c>
      <c r="C73" s="156">
        <f>PROXY_RESULTS!Y74</f>
        <v/>
      </c>
      <c r="D73" s="230" t="n"/>
    </row>
    <row r="74">
      <c r="A74" s="156">
        <f>PROXY_RESULTS!D75</f>
        <v/>
      </c>
      <c r="B74" s="156">
        <f>PROXY_RESULTS!X75</f>
        <v/>
      </c>
      <c r="C74" s="156">
        <f>PROXY_RESULTS!Y75</f>
        <v/>
      </c>
      <c r="D74" s="230" t="n"/>
    </row>
    <row r="75">
      <c r="A75" s="156">
        <f>PROXY_RESULTS!D76</f>
        <v/>
      </c>
      <c r="B75" s="156">
        <f>PROXY_RESULTS!X76</f>
        <v/>
      </c>
      <c r="C75" s="156">
        <f>PROXY_RESULTS!Y76</f>
        <v/>
      </c>
      <c r="D75" s="230" t="n"/>
    </row>
    <row r="76">
      <c r="A76" s="156">
        <f>PROXY_RESULTS!D77</f>
        <v/>
      </c>
      <c r="B76" s="156">
        <f>PROXY_RESULTS!X77</f>
        <v/>
      </c>
      <c r="C76" s="156">
        <f>PROXY_RESULTS!Y77</f>
        <v/>
      </c>
      <c r="D76" s="230" t="n"/>
    </row>
    <row r="77">
      <c r="A77" s="156">
        <f>PROXY_RESULTS!D78</f>
        <v/>
      </c>
      <c r="B77" s="156">
        <f>PROXY_RESULTS!X78</f>
        <v/>
      </c>
      <c r="C77" s="156">
        <f>PROXY_RESULTS!Y78</f>
        <v/>
      </c>
      <c r="D77" s="230" t="n"/>
    </row>
    <row r="78">
      <c r="A78" s="156">
        <f>PROXY_RESULTS!D79</f>
        <v/>
      </c>
      <c r="B78" s="156">
        <f>PROXY_RESULTS!X79</f>
        <v/>
      </c>
      <c r="C78" s="156">
        <f>PROXY_RESULTS!Y79</f>
        <v/>
      </c>
      <c r="D78" s="230" t="n"/>
    </row>
    <row r="79">
      <c r="A79" s="156">
        <f>PROXY_RESULTS!D80</f>
        <v/>
      </c>
      <c r="B79" s="156">
        <f>PROXY_RESULTS!X80</f>
        <v/>
      </c>
      <c r="C79" s="156">
        <f>PROXY_RESULTS!Y80</f>
        <v/>
      </c>
      <c r="D79" s="230" t="n"/>
    </row>
    <row r="80">
      <c r="A80" s="156">
        <f>PROXY_RESULTS!D81</f>
        <v/>
      </c>
      <c r="B80" s="156">
        <f>PROXY_RESULTS!X81</f>
        <v/>
      </c>
      <c r="C80" s="156">
        <f>PROXY_RESULTS!Y81</f>
        <v/>
      </c>
      <c r="D80" s="230" t="n"/>
    </row>
    <row r="81">
      <c r="A81" s="156">
        <f>PROXY_RESULTS!D82</f>
        <v/>
      </c>
      <c r="B81" s="156">
        <f>PROXY_RESULTS!X82</f>
        <v/>
      </c>
      <c r="C81" s="156">
        <f>PROXY_RESULTS!Y82</f>
        <v/>
      </c>
      <c r="D81" s="230" t="n"/>
    </row>
    <row r="82">
      <c r="A82" s="156">
        <f>PROXY_RESULTS!D83</f>
        <v/>
      </c>
      <c r="B82" s="156">
        <f>PROXY_RESULTS!X83</f>
        <v/>
      </c>
      <c r="C82" s="156">
        <f>PROXY_RESULTS!Y83</f>
        <v/>
      </c>
      <c r="D82" s="230" t="n"/>
    </row>
    <row r="83">
      <c r="A83" s="156">
        <f>PROXY_RESULTS!D84</f>
        <v/>
      </c>
      <c r="B83" s="156">
        <f>PROXY_RESULTS!X84</f>
        <v/>
      </c>
      <c r="C83" s="156">
        <f>PROXY_RESULTS!Y84</f>
        <v/>
      </c>
      <c r="D83" s="230" t="n"/>
    </row>
    <row r="84">
      <c r="A84" s="156">
        <f>PROXY_RESULTS!D85</f>
        <v/>
      </c>
      <c r="B84" s="156">
        <f>PROXY_RESULTS!X85</f>
        <v/>
      </c>
      <c r="C84" s="156">
        <f>PROXY_RESULTS!Y85</f>
        <v/>
      </c>
      <c r="D84" s="230" t="n"/>
    </row>
    <row r="85">
      <c r="A85" s="156">
        <f>PROXY_RESULTS!D86</f>
        <v/>
      </c>
      <c r="B85" s="156">
        <f>PROXY_RESULTS!X86</f>
        <v/>
      </c>
      <c r="C85" s="156">
        <f>PROXY_RESULTS!Y86</f>
        <v/>
      </c>
      <c r="D85" s="230" t="n"/>
    </row>
    <row r="86">
      <c r="A86" s="156">
        <f>PROXY_RESULTS!D87</f>
        <v/>
      </c>
      <c r="B86" s="156">
        <f>PROXY_RESULTS!X87</f>
        <v/>
      </c>
      <c r="C86" s="156">
        <f>PROXY_RESULTS!Y87</f>
        <v/>
      </c>
      <c r="D86" s="230" t="n"/>
    </row>
    <row r="87">
      <c r="A87" s="156">
        <f>PROXY_RESULTS!D88</f>
        <v/>
      </c>
      <c r="B87" s="156">
        <f>PROXY_RESULTS!X88</f>
        <v/>
      </c>
      <c r="C87" s="156">
        <f>PROXY_RESULTS!Y88</f>
        <v/>
      </c>
      <c r="D87" s="230" t="n"/>
    </row>
    <row r="88">
      <c r="A88" s="156">
        <f>PROXY_RESULTS!D89</f>
        <v/>
      </c>
      <c r="B88" s="156">
        <f>PROXY_RESULTS!X89</f>
        <v/>
      </c>
      <c r="C88" s="156">
        <f>PROXY_RESULTS!Y89</f>
        <v/>
      </c>
      <c r="D88" s="230" t="n"/>
    </row>
    <row r="89">
      <c r="A89" s="156">
        <f>PROXY_RESULTS!D90</f>
        <v/>
      </c>
      <c r="B89" s="156">
        <f>PROXY_RESULTS!X90</f>
        <v/>
      </c>
      <c r="C89" s="156">
        <f>PROXY_RESULTS!Y90</f>
        <v/>
      </c>
      <c r="D89" s="230" t="n"/>
    </row>
    <row r="90">
      <c r="A90" s="156">
        <f>PROXY_RESULTS!D91</f>
        <v/>
      </c>
      <c r="B90" s="156">
        <f>PROXY_RESULTS!X91</f>
        <v/>
      </c>
      <c r="C90" s="156">
        <f>PROXY_RESULTS!Y91</f>
        <v/>
      </c>
      <c r="D90" s="230" t="n"/>
    </row>
    <row r="91">
      <c r="A91" s="156">
        <f>PROXY_RESULTS!D92</f>
        <v/>
      </c>
      <c r="B91" s="156">
        <f>PROXY_RESULTS!X92</f>
        <v/>
      </c>
      <c r="C91" s="156">
        <f>PROXY_RESULTS!Y92</f>
        <v/>
      </c>
      <c r="D91" s="230" t="n"/>
    </row>
    <row r="92">
      <c r="A92" s="156" t="n"/>
    </row>
    <row r="93">
      <c r="A93" s="156" t="n"/>
    </row>
    <row r="94">
      <c r="A94" s="156" t="n"/>
    </row>
    <row r="95">
      <c r="A95" s="156" t="n"/>
    </row>
    <row r="96">
      <c r="A96" s="156" t="n"/>
    </row>
    <row r="97">
      <c r="A97" s="156" t="n"/>
    </row>
    <row r="98">
      <c r="A98" s="156" t="n"/>
    </row>
    <row r="99">
      <c r="A99" s="156" t="n"/>
    </row>
    <row r="100">
      <c r="A100" s="156" t="n"/>
    </row>
    <row r="101">
      <c r="A101" s="156" t="n"/>
    </row>
    <row r="102">
      <c r="A102" s="156" t="n"/>
    </row>
    <row r="103">
      <c r="A103" s="156" t="n"/>
    </row>
    <row r="104">
      <c r="A104" s="156" t="n"/>
    </row>
    <row r="105">
      <c r="A105" s="156" t="n"/>
    </row>
    <row r="106">
      <c r="A106" s="156" t="n"/>
    </row>
    <row r="107">
      <c r="A107" s="156" t="n"/>
    </row>
    <row r="108">
      <c r="A108" s="156" t="n"/>
    </row>
    <row r="109">
      <c r="A109" s="156" t="n"/>
    </row>
    <row r="110">
      <c r="A110" s="156" t="n"/>
    </row>
    <row r="111">
      <c r="A111" s="156" t="n"/>
    </row>
    <row r="112">
      <c r="A112" s="156" t="n"/>
    </row>
    <row r="113">
      <c r="A113" s="156" t="n"/>
    </row>
    <row r="114">
      <c r="A114" s="156" t="n"/>
    </row>
    <row r="115">
      <c r="A115" s="156" t="n"/>
    </row>
    <row r="116">
      <c r="A116" s="156" t="n"/>
    </row>
    <row r="117">
      <c r="A117" s="156" t="n"/>
    </row>
    <row r="118">
      <c r="A118" s="15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107"/>
  <sheetViews>
    <sheetView zoomScale="110" zoomScaleNormal="110" workbookViewId="0">
      <pane xSplit="5" ySplit="2" topLeftCell="S52" activePane="bottomRight" state="frozen"/>
      <selection pane="topRight" activeCell="F1" sqref="F1"/>
      <selection pane="bottomLeft" activeCell="A3" sqref="A3"/>
      <selection pane="bottomRight" activeCell="D12" sqref="D12"/>
    </sheetView>
  </sheetViews>
  <sheetFormatPr baseColWidth="10" defaultRowHeight="16" outlineLevelCol="0"/>
  <cols>
    <col width="18.1640625" customWidth="1" style="133" min="1" max="3"/>
    <col width="27.1640625" customWidth="1" style="133" min="4" max="4"/>
    <col width="1.33203125" customWidth="1" style="155" min="5" max="5"/>
    <col width="19" customWidth="1" style="133" min="6" max="6"/>
    <col width="19" customWidth="1" style="270" min="7" max="7"/>
    <col width="1.33203125" customWidth="1" style="141" min="8" max="8"/>
    <col width="19" customWidth="1" style="270" min="9" max="10"/>
    <col width="1.33203125" customWidth="1" style="141" min="11" max="11"/>
    <col width="19" customWidth="1" style="270" min="12" max="13"/>
    <col width="1.33203125" customWidth="1" style="141" min="14" max="14"/>
    <col width="19" customWidth="1" style="270" min="15" max="16"/>
    <col width="1.33203125" customWidth="1" style="141" min="17" max="17"/>
    <col width="19" customWidth="1" style="270" min="18" max="19"/>
    <col width="1.33203125" customWidth="1" style="141" min="20" max="20"/>
    <col width="19" customWidth="1" style="270" min="21" max="22"/>
    <col width="1.33203125" customWidth="1" style="141" min="23" max="23"/>
    <col width="19" customWidth="1" style="270" min="24" max="25"/>
    <col width="1.33203125" customWidth="1" style="141" min="26" max="26"/>
    <col width="19" customWidth="1" style="270" min="27" max="28"/>
    <col width="1.33203125" customWidth="1" style="141" min="29" max="29"/>
    <col width="20.5" customWidth="1" style="270" min="32" max="32"/>
    <col width="21.6640625" customWidth="1" style="270" min="33" max="33"/>
    <col width="20.6640625" customWidth="1" style="270" min="34" max="35"/>
  </cols>
  <sheetData>
    <row r="1" ht="20" customHeight="1" s="270" thickBot="1">
      <c r="A1" s="254" t="inlineStr">
        <is>
          <t>CONDITION</t>
        </is>
      </c>
      <c r="B1" s="254" t="inlineStr">
        <is>
          <t>REAL STATE</t>
        </is>
      </c>
      <c r="C1" s="247" t="inlineStr">
        <is>
          <t>STATE SELECTION OPTIONS</t>
        </is>
      </c>
      <c r="D1" s="226" t="inlineStr">
        <is>
          <t>SURVEY 03</t>
        </is>
      </c>
      <c r="E1" s="153" t="n"/>
      <c r="F1" s="248" t="inlineStr">
        <is>
          <t>ATTEMPT 01</t>
        </is>
      </c>
      <c r="G1" s="242" t="n"/>
      <c r="H1" s="139" t="n"/>
      <c r="I1" s="248" t="inlineStr">
        <is>
          <t>ATTEMPT 02</t>
        </is>
      </c>
      <c r="J1" s="242" t="n"/>
      <c r="K1" s="139" t="n"/>
      <c r="L1" s="248" t="inlineStr">
        <is>
          <t>ATTEMPT 03</t>
        </is>
      </c>
      <c r="M1" s="242" t="n"/>
      <c r="N1" s="139" t="n"/>
      <c r="O1" s="248" t="inlineStr">
        <is>
          <t>ATTEMPT 04</t>
        </is>
      </c>
      <c r="P1" s="242" t="n"/>
      <c r="Q1" s="139" t="n"/>
      <c r="R1" s="248" t="inlineStr">
        <is>
          <t>ATTEMPT 05</t>
        </is>
      </c>
      <c r="S1" s="242" t="n"/>
      <c r="T1" s="139" t="n"/>
      <c r="U1" s="248" t="inlineStr">
        <is>
          <t>ATTEMPT 06</t>
        </is>
      </c>
      <c r="V1" s="242" t="n"/>
      <c r="W1" s="139" t="n"/>
      <c r="X1" s="248" t="inlineStr">
        <is>
          <t>ATTEMPT 07</t>
        </is>
      </c>
      <c r="Y1" s="242" t="n"/>
      <c r="Z1" s="139" t="n"/>
      <c r="AA1" s="248" t="inlineStr">
        <is>
          <t>ATTEMPT 08</t>
        </is>
      </c>
      <c r="AB1" s="242" t="n"/>
      <c r="AC1" s="139" t="n"/>
    </row>
    <row r="2" ht="45" customHeight="1" s="270" thickBot="1">
      <c r="A2" s="255" t="n"/>
      <c r="B2" s="255" t="n"/>
      <c r="C2" s="233" t="n"/>
      <c r="D2" s="227" t="inlineStr">
        <is>
          <t>HUMAN RESPONSE (%)</t>
        </is>
      </c>
      <c r="E2" s="153" t="n"/>
      <c r="F2" s="247" t="inlineStr">
        <is>
          <t>PROXY RESPONSE (%)</t>
        </is>
      </c>
      <c r="G2" s="247" t="inlineStr">
        <is>
          <t>ABS DELTA</t>
        </is>
      </c>
      <c r="H2" s="139" t="n"/>
      <c r="I2" s="247" t="inlineStr">
        <is>
          <t>PROXY RESPONSE (%)</t>
        </is>
      </c>
      <c r="J2" s="247" t="inlineStr">
        <is>
          <t>ABS DELTA</t>
        </is>
      </c>
      <c r="K2" s="139" t="n"/>
      <c r="L2" s="247" t="inlineStr">
        <is>
          <t>PROXY RESPONSE (%)</t>
        </is>
      </c>
      <c r="M2" s="247" t="inlineStr">
        <is>
          <t>ABS DELTA</t>
        </is>
      </c>
      <c r="N2" s="139" t="n"/>
      <c r="O2" s="247" t="inlineStr">
        <is>
          <t>PROXY RESPONSE (%)</t>
        </is>
      </c>
      <c r="P2" s="247" t="inlineStr">
        <is>
          <t>ABS DELTA</t>
        </is>
      </c>
      <c r="Q2" s="139" t="n"/>
      <c r="R2" s="247" t="inlineStr">
        <is>
          <t>PROXY RESPONSE (%)</t>
        </is>
      </c>
      <c r="S2" s="247" t="inlineStr">
        <is>
          <t>ABS DELTA</t>
        </is>
      </c>
      <c r="T2" s="139" t="n"/>
      <c r="U2" s="247" t="inlineStr">
        <is>
          <t>PROXY RESPONSE (%)</t>
        </is>
      </c>
      <c r="V2" s="247" t="inlineStr">
        <is>
          <t>ABS DELTA</t>
        </is>
      </c>
      <c r="W2" s="139" t="n"/>
      <c r="X2" s="247" t="inlineStr">
        <is>
          <t>PROXY RESPONSE (%)</t>
        </is>
      </c>
      <c r="Y2" s="247" t="inlineStr">
        <is>
          <t>ABS DELTA</t>
        </is>
      </c>
      <c r="Z2" s="139" t="n"/>
      <c r="AA2" s="247" t="inlineStr">
        <is>
          <t>PROXY RESPONSE (%)</t>
        </is>
      </c>
      <c r="AB2" s="247" t="inlineStr">
        <is>
          <t>ABS DELTA</t>
        </is>
      </c>
      <c r="AC2" s="139" t="n"/>
    </row>
    <row r="3" ht="20" customHeight="1" s="270" thickBot="1">
      <c r="A3" s="150" t="inlineStr">
        <is>
          <t>GPT4</t>
        </is>
      </c>
      <c r="B3" s="127" t="inlineStr">
        <is>
          <t>Waiting for Input</t>
        </is>
      </c>
      <c r="C3" s="135" t="inlineStr">
        <is>
          <t>Waiting for Input</t>
        </is>
      </c>
      <c r="D3" s="136">
        <f>COUNTIFS(STUDY03_DATA!C:C,A3,STUDY03_DATA!D:D,B3,STUDY03_DATA!F:F,C3)/'META DATA'!$B$2</f>
        <v/>
      </c>
      <c r="E3" s="154" t="n"/>
      <c r="F3" s="142">
        <f t="array" ref="F3:F8">LLM_WFI_01!S2:S7</f>
        <v/>
      </c>
      <c r="G3" s="143">
        <f>ABS($D3-F3)</f>
        <v/>
      </c>
      <c r="H3" s="140" t="n"/>
      <c r="I3" s="142">
        <f t="array" ref="I3:I8">LLM_WFI_02!S2:S7</f>
        <v/>
      </c>
      <c r="J3" s="143">
        <f>ABS($D3-I3)</f>
        <v/>
      </c>
      <c r="K3" s="140" t="n"/>
      <c r="L3" s="142">
        <f t="array" ref="L3:L8">LLM_WFI_03!S2:S7</f>
        <v/>
      </c>
      <c r="M3" s="143">
        <f>ABS($D3-L3)</f>
        <v/>
      </c>
      <c r="N3" s="157" t="n"/>
      <c r="O3" s="142">
        <f t="array" ref="O3:O8">LLM_WFI_04!S2:S7</f>
        <v/>
      </c>
      <c r="P3" s="143">
        <f>ABS($D3-O3)</f>
        <v/>
      </c>
      <c r="Q3" s="157" t="n"/>
      <c r="R3" s="142">
        <f t="array" ref="R3:R8">LLM_WFI_05!S2:S7</f>
        <v/>
      </c>
      <c r="S3" s="143">
        <f>ABS($D3-R3)</f>
        <v/>
      </c>
      <c r="T3" s="157" t="n"/>
      <c r="U3" s="142">
        <f t="array" ref="U3:U8">LLM_WFI_06!S2:S7</f>
        <v/>
      </c>
      <c r="V3" s="143">
        <f>ABS($D3-U3)</f>
        <v/>
      </c>
      <c r="W3" s="157" t="n"/>
      <c r="X3" s="142">
        <f t="array" ref="X3:X8">LLM_WFI_07!S2:S7</f>
        <v/>
      </c>
      <c r="Y3" s="143">
        <f>ABS($D3-X3)</f>
        <v/>
      </c>
      <c r="Z3" s="157" t="n"/>
      <c r="AA3" s="142">
        <f t="array" ref="AA3:AA8">LLM_WFI_08!S2:S7</f>
        <v/>
      </c>
      <c r="AB3" s="143">
        <f>ABS($D3-AA3)</f>
        <v/>
      </c>
      <c r="AC3" s="157" t="n"/>
      <c r="AK3" s="179" t="inlineStr">
        <is>
          <t>GPT GENERATED WAITING FOR INPUT</t>
        </is>
      </c>
    </row>
    <row r="4" ht="20" customHeight="1" s="270" thickBot="1">
      <c r="A4" s="150" t="inlineStr">
        <is>
          <t>GPT4</t>
        </is>
      </c>
      <c r="B4" s="127" t="inlineStr">
        <is>
          <t>Waiting for Input</t>
        </is>
      </c>
      <c r="C4" s="122" t="inlineStr">
        <is>
          <t>Analyzing Object</t>
        </is>
      </c>
      <c r="D4" s="225">
        <f>COUNTIFS(STUDY03_DATA!C:C,A4,STUDY03_DATA!D:D,B4,STUDY03_DATA!F:F,C4)/'META DATA'!$B$2</f>
        <v/>
      </c>
      <c r="E4" s="154" t="n"/>
      <c r="F4" s="144" t="n">
        <v>0.05</v>
      </c>
      <c r="G4" s="143">
        <f>ABS($D4-F4)</f>
        <v/>
      </c>
      <c r="H4" s="140" t="n"/>
      <c r="I4" s="144" t="n">
        <v>0.05</v>
      </c>
      <c r="J4" s="143">
        <f>ABS($D4-I4)</f>
        <v/>
      </c>
      <c r="K4" s="140" t="n"/>
      <c r="L4" s="144" t="n">
        <v>0.05</v>
      </c>
      <c r="M4" s="143">
        <f>ABS($D4-L4)</f>
        <v/>
      </c>
      <c r="N4" s="157" t="n"/>
      <c r="O4" s="144" t="n">
        <v>0.1</v>
      </c>
      <c r="P4" s="143">
        <f>ABS($D4-O4)</f>
        <v/>
      </c>
      <c r="Q4" s="157" t="n"/>
      <c r="R4" s="144" t="n">
        <v>0.4</v>
      </c>
      <c r="S4" s="143">
        <f>ABS($D4-R4)</f>
        <v/>
      </c>
      <c r="T4" s="157" t="n"/>
      <c r="U4" s="144" t="n">
        <v>0.1</v>
      </c>
      <c r="V4" s="143">
        <f>ABS($D4-U4)</f>
        <v/>
      </c>
      <c r="W4" s="157" t="n"/>
      <c r="X4" s="144" t="n">
        <v>0.1</v>
      </c>
      <c r="Y4" s="143">
        <f>ABS($D4-X4)</f>
        <v/>
      </c>
      <c r="Z4" s="157" t="n"/>
      <c r="AA4" s="144" t="n">
        <v>0.35</v>
      </c>
      <c r="AB4" s="143">
        <f>ABS($D4-AA4)</f>
        <v/>
      </c>
      <c r="AC4" s="157" t="n"/>
      <c r="AE4" s="234" t="inlineStr">
        <is>
          <t>ACCURACY PROXY VALIDATION DATA (DELTA ERROR) | Attempt 6</t>
        </is>
      </c>
      <c r="AF4" s="235" t="n"/>
      <c r="AG4" s="235" t="n"/>
      <c r="AH4" s="235" t="n"/>
      <c r="AI4" s="236" t="n"/>
    </row>
    <row r="5" ht="20" customHeight="1" s="270" thickBot="1">
      <c r="A5" s="150" t="inlineStr">
        <is>
          <t>GPT4</t>
        </is>
      </c>
      <c r="B5" s="127" t="inlineStr">
        <is>
          <t>Waiting for Input</t>
        </is>
      </c>
      <c r="C5" s="122" t="inlineStr">
        <is>
          <t>Found Object</t>
        </is>
      </c>
      <c r="D5" s="134">
        <f>COUNTIFS(STUDY03_DATA!C:C,A5,STUDY03_DATA!D:D,B5,STUDY03_DATA!F:F,C5)/'META DATA'!$B$2</f>
        <v/>
      </c>
      <c r="E5" s="154" t="n"/>
      <c r="F5" s="144" t="n">
        <v>0</v>
      </c>
      <c r="G5" s="143">
        <f>ABS($D5-F5)</f>
        <v/>
      </c>
      <c r="H5" s="140" t="n"/>
      <c r="I5" s="144" t="n">
        <v>0</v>
      </c>
      <c r="J5" s="143">
        <f>ABS($D5-I5)</f>
        <v/>
      </c>
      <c r="K5" s="140" t="n"/>
      <c r="L5" s="144" t="n">
        <v>0</v>
      </c>
      <c r="M5" s="143">
        <f>ABS($D5-L5)</f>
        <v/>
      </c>
      <c r="N5" s="158" t="n"/>
      <c r="O5" s="144" t="n">
        <v>0</v>
      </c>
      <c r="P5" s="143">
        <f>ABS($D5-O5)</f>
        <v/>
      </c>
      <c r="Q5" s="158" t="n"/>
      <c r="R5" s="144" t="n">
        <v>0.2</v>
      </c>
      <c r="S5" s="143">
        <f>ABS($D5-R5)</f>
        <v/>
      </c>
      <c r="T5" s="158" t="n"/>
      <c r="U5" s="144" t="n">
        <v>0.05</v>
      </c>
      <c r="V5" s="143">
        <f>ABS($D5-U5)</f>
        <v/>
      </c>
      <c r="W5" s="158" t="n"/>
      <c r="X5" s="144" t="n">
        <v>0</v>
      </c>
      <c r="Y5" s="143">
        <f>ABS($D5-X5)</f>
        <v/>
      </c>
      <c r="Z5" s="158" t="n"/>
      <c r="AA5" s="144" t="n">
        <v>0.05</v>
      </c>
      <c r="AB5" s="143">
        <f>ABS($D5-AA5)</f>
        <v/>
      </c>
      <c r="AC5" s="158" t="n"/>
      <c r="AE5" s="203" t="inlineStr">
        <is>
          <t>Condition</t>
        </is>
      </c>
      <c r="AF5" s="181" t="inlineStr">
        <is>
          <t>State</t>
        </is>
      </c>
      <c r="AG5" s="203" t="inlineStr">
        <is>
          <t>Delta by State</t>
        </is>
      </c>
      <c r="AH5" s="182" t="inlineStr">
        <is>
          <t>Delta by Cond</t>
        </is>
      </c>
      <c r="AI5" s="182" t="inlineStr">
        <is>
          <t>Overall Delta</t>
        </is>
      </c>
    </row>
    <row r="6" ht="20" customHeight="1" s="270">
      <c r="A6" s="150" t="inlineStr">
        <is>
          <t>GPT4</t>
        </is>
      </c>
      <c r="B6" s="127" t="inlineStr">
        <is>
          <t>Waiting for Input</t>
        </is>
      </c>
      <c r="C6" s="122" t="inlineStr">
        <is>
          <t>Needs Help</t>
        </is>
      </c>
      <c r="D6" s="134">
        <f>COUNTIFS(STUDY03_DATA!C:C,A6,STUDY03_DATA!D:D,B6,STUDY03_DATA!F:F,C6)/'META DATA'!$B$2</f>
        <v/>
      </c>
      <c r="E6" s="154" t="n"/>
      <c r="F6" s="144" t="n">
        <v>0.1</v>
      </c>
      <c r="G6" s="143">
        <f>ABS($D6-F6)</f>
        <v/>
      </c>
      <c r="H6" s="140" t="n"/>
      <c r="I6" s="144" t="n">
        <v>0</v>
      </c>
      <c r="J6" s="143">
        <f>ABS($D6-I6)</f>
        <v/>
      </c>
      <c r="K6" s="140" t="n"/>
      <c r="L6" s="144" t="n">
        <v>0.05</v>
      </c>
      <c r="M6" s="143">
        <f>ABS($D6-L6)</f>
        <v/>
      </c>
      <c r="N6" s="158" t="n"/>
      <c r="O6" s="144" t="n">
        <v>0.05</v>
      </c>
      <c r="P6" s="143">
        <f>ABS($D6-O6)</f>
        <v/>
      </c>
      <c r="Q6" s="158" t="n"/>
      <c r="R6" s="144" t="n">
        <v>0</v>
      </c>
      <c r="S6" s="143">
        <f>ABS($D6-R6)</f>
        <v/>
      </c>
      <c r="T6" s="158" t="n"/>
      <c r="U6" s="144" t="n">
        <v>0.05</v>
      </c>
      <c r="V6" s="143">
        <f>ABS($D6-U6)</f>
        <v/>
      </c>
      <c r="W6" s="158" t="n"/>
      <c r="X6" s="144" t="n">
        <v>0</v>
      </c>
      <c r="Y6" s="143">
        <f>ABS($D6-X6)</f>
        <v/>
      </c>
      <c r="Z6" s="158" t="n"/>
      <c r="AA6" s="144" t="n">
        <v>0</v>
      </c>
      <c r="AB6" s="143">
        <f>ABS($D6-AA6)</f>
        <v/>
      </c>
      <c r="AC6" s="158" t="n"/>
      <c r="AE6" s="250" t="inlineStr">
        <is>
          <t>GPT4</t>
        </is>
      </c>
      <c r="AF6" s="200" t="inlineStr">
        <is>
          <t>Waiting for Input</t>
        </is>
      </c>
      <c r="AG6" s="210">
        <f>AVERAGE(V3:V8)</f>
        <v/>
      </c>
      <c r="AH6" s="239">
        <f>AVERAGE(AG6:AG10)</f>
        <v/>
      </c>
      <c r="AI6" s="249">
        <f>AVERAGE(AH6,AH11,AH16)</f>
        <v/>
      </c>
    </row>
    <row r="7" ht="20" customHeight="1" s="270">
      <c r="A7" s="150" t="inlineStr">
        <is>
          <t>GPT4</t>
        </is>
      </c>
      <c r="B7" s="127" t="inlineStr">
        <is>
          <t>Waiting for Input</t>
        </is>
      </c>
      <c r="C7" s="121" t="inlineStr">
        <is>
          <t>Confused</t>
        </is>
      </c>
      <c r="D7" s="134">
        <f>COUNTIFS(STUDY03_DATA!C:C,A7,STUDY03_DATA!D:D,B7,STUDY03_DATA!F:F,C7)/'META DATA'!$B$2</f>
        <v/>
      </c>
      <c r="E7" s="154" t="n"/>
      <c r="F7" s="144" t="n">
        <v>0.1</v>
      </c>
      <c r="G7" s="143">
        <f>ABS($D7-F7)</f>
        <v/>
      </c>
      <c r="H7" s="140" t="n"/>
      <c r="I7" s="144" t="n">
        <v>0.1</v>
      </c>
      <c r="J7" s="143">
        <f>ABS($D7-I7)</f>
        <v/>
      </c>
      <c r="K7" s="140" t="n"/>
      <c r="L7" s="144" t="n">
        <v>0.2</v>
      </c>
      <c r="M7" s="143">
        <f>ABS($D7-L7)</f>
        <v/>
      </c>
      <c r="N7" s="158" t="n"/>
      <c r="O7" s="144" t="n">
        <v>0.1</v>
      </c>
      <c r="P7" s="143">
        <f>ABS($D7-O7)</f>
        <v/>
      </c>
      <c r="Q7" s="158" t="n"/>
      <c r="R7" s="144" t="n">
        <v>0</v>
      </c>
      <c r="S7" s="143">
        <f>ABS($D7-R7)</f>
        <v/>
      </c>
      <c r="T7" s="158" t="n"/>
      <c r="U7" s="144" t="n">
        <v>0</v>
      </c>
      <c r="V7" s="143">
        <f>ABS($D7-U7)</f>
        <v/>
      </c>
      <c r="W7" s="158" t="n"/>
      <c r="X7" s="144" t="n">
        <v>0.05</v>
      </c>
      <c r="Y7" s="143">
        <f>ABS($D7-X7)</f>
        <v/>
      </c>
      <c r="Z7" s="158" t="n"/>
      <c r="AA7" s="144" t="n">
        <v>0.05</v>
      </c>
      <c r="AB7" s="143">
        <f>ABS($D7-AA7)</f>
        <v/>
      </c>
      <c r="AC7" s="158" t="n"/>
      <c r="AE7" s="232" t="n"/>
      <c r="AF7" s="201" t="inlineStr">
        <is>
          <t>Analyzing Object</t>
        </is>
      </c>
      <c r="AG7" s="211">
        <f>AVERAGE(V9:V14)</f>
        <v/>
      </c>
      <c r="AH7" s="232" t="n"/>
      <c r="AI7" s="232" t="n"/>
    </row>
    <row r="8" ht="20" customHeight="1" s="270">
      <c r="A8" s="150" t="inlineStr">
        <is>
          <t>GPT4</t>
        </is>
      </c>
      <c r="B8" s="127" t="inlineStr">
        <is>
          <t>Waiting for Input</t>
        </is>
      </c>
      <c r="C8" s="121" t="inlineStr">
        <is>
          <t>None</t>
        </is>
      </c>
      <c r="D8" s="134">
        <f>COUNTIFS(STUDY03_DATA!C:C,A8,STUDY03_DATA!D:D,B8,STUDY03_DATA!F:F,C8)/'META DATA'!$B$2</f>
        <v/>
      </c>
      <c r="E8" s="154" t="n"/>
      <c r="F8" s="144" t="n">
        <v>0.05</v>
      </c>
      <c r="G8" s="143">
        <f>ABS($D8-F8)</f>
        <v/>
      </c>
      <c r="H8" s="140" t="n"/>
      <c r="I8" s="144" t="n">
        <v>0.1</v>
      </c>
      <c r="J8" s="143">
        <f>ABS($D8-I8)</f>
        <v/>
      </c>
      <c r="K8" s="140" t="n"/>
      <c r="L8" s="144" t="n">
        <v>0.1</v>
      </c>
      <c r="M8" s="143">
        <f>ABS($D8-L8)</f>
        <v/>
      </c>
      <c r="N8" s="158" t="n"/>
      <c r="O8" s="144" t="n">
        <v>0</v>
      </c>
      <c r="P8" s="143">
        <f>ABS($D8-O8)</f>
        <v/>
      </c>
      <c r="Q8" s="158" t="n"/>
      <c r="R8" s="144" t="n">
        <v>0.05</v>
      </c>
      <c r="S8" s="143">
        <f>ABS($D8-R8)</f>
        <v/>
      </c>
      <c r="T8" s="158" t="n"/>
      <c r="U8" s="144" t="n">
        <v>0.05</v>
      </c>
      <c r="V8" s="143">
        <f>ABS($D8-U8)</f>
        <v/>
      </c>
      <c r="W8" s="158" t="n"/>
      <c r="X8" s="144" t="n">
        <v>0.05</v>
      </c>
      <c r="Y8" s="143">
        <f>ABS($D8-X8)</f>
        <v/>
      </c>
      <c r="Z8" s="158" t="n"/>
      <c r="AA8" s="144" t="n">
        <v>0.05</v>
      </c>
      <c r="AB8" s="143">
        <f>ABS($D8-AA8)</f>
        <v/>
      </c>
      <c r="AC8" s="158" t="n"/>
      <c r="AE8" s="232" t="n"/>
      <c r="AF8" s="201" t="inlineStr">
        <is>
          <t>Found Object</t>
        </is>
      </c>
      <c r="AG8" s="211">
        <f>AVERAGE(V15:V20)</f>
        <v/>
      </c>
      <c r="AH8" s="232" t="n"/>
      <c r="AI8" s="232" t="n"/>
    </row>
    <row r="9" ht="20" customHeight="1" s="270">
      <c r="A9" s="150" t="inlineStr">
        <is>
          <t>GPT4</t>
        </is>
      </c>
      <c r="B9" s="128" t="inlineStr">
        <is>
          <t>Analyzing Object</t>
        </is>
      </c>
      <c r="C9" s="121" t="inlineStr">
        <is>
          <t>Waiting for Input</t>
        </is>
      </c>
      <c r="D9" s="138">
        <f>COUNTIFS(STUDY03_DATA!C:C,A9,STUDY03_DATA!D:D,B9,STUDY03_DATA!F:F,C9)/'META DATA'!$B$2</f>
        <v/>
      </c>
      <c r="E9" s="154" t="n"/>
      <c r="F9" s="145">
        <f t="array" ref="F9:F14">LLM_AO_01!S2:S7</f>
        <v/>
      </c>
      <c r="G9" s="143">
        <f>ABS($D9-F9)</f>
        <v/>
      </c>
      <c r="H9" s="140" t="n"/>
      <c r="I9" s="145">
        <f t="array" ref="I9:I14">LLM_AO_02!S2:S7</f>
        <v/>
      </c>
      <c r="J9" s="143">
        <f>ABS($D9-I9)</f>
        <v/>
      </c>
      <c r="K9" s="140" t="n"/>
      <c r="L9" s="145">
        <f t="array" ref="L9:L14">LLM_AO_03!S2:S7</f>
        <v/>
      </c>
      <c r="M9" s="143">
        <f>ABS($D9-L9)</f>
        <v/>
      </c>
      <c r="N9" s="158" t="n"/>
      <c r="O9" s="145">
        <f t="array" ref="O9:O14">LLM_AO_04!S2:S7</f>
        <v/>
      </c>
      <c r="P9" s="143">
        <f>ABS($D9-O9)</f>
        <v/>
      </c>
      <c r="Q9" s="158" t="n"/>
      <c r="R9" s="145">
        <f t="array" ref="R9:R14">LLM_AO_05!S2:S7</f>
        <v/>
      </c>
      <c r="S9" s="143">
        <f>ABS($D9-R9)</f>
        <v/>
      </c>
      <c r="T9" s="158" t="n"/>
      <c r="U9" s="145">
        <f t="array" ref="U9:U14">LLM_AO_06!S2:S7</f>
        <v/>
      </c>
      <c r="V9" s="143">
        <f>ABS($D9-U9)</f>
        <v/>
      </c>
      <c r="W9" s="158" t="n"/>
      <c r="X9" s="145">
        <f t="array" ref="X9:X14">LLM_AO_07!S2:S7</f>
        <v/>
      </c>
      <c r="Y9" s="143">
        <f>ABS($D9-X9)</f>
        <v/>
      </c>
      <c r="Z9" s="158" t="n"/>
      <c r="AA9" s="145">
        <f t="array" ref="AA9:AA14">LLM_AO_08!S2:S7</f>
        <v/>
      </c>
      <c r="AB9" s="143">
        <f>ABS($D9-AA9)</f>
        <v/>
      </c>
      <c r="AC9" s="158" t="n"/>
      <c r="AE9" s="232" t="n"/>
      <c r="AF9" s="201" t="inlineStr">
        <is>
          <t>Needs Help</t>
        </is>
      </c>
      <c r="AG9" s="211">
        <f>AVERAGE(V21:V26)</f>
        <v/>
      </c>
      <c r="AH9" s="232" t="n"/>
      <c r="AI9" s="232" t="n"/>
    </row>
    <row r="10" ht="20" customHeight="1" s="270" thickBot="1">
      <c r="A10" s="150" t="inlineStr">
        <is>
          <t>GPT4</t>
        </is>
      </c>
      <c r="B10" s="128" t="inlineStr">
        <is>
          <t>Analyzing Object</t>
        </is>
      </c>
      <c r="C10" s="122" t="inlineStr">
        <is>
          <t>Analyzing Object</t>
        </is>
      </c>
      <c r="D10" s="138">
        <f>COUNTIFS(STUDY03_DATA!C:C,A10,STUDY03_DATA!D:D,B10,STUDY03_DATA!F:F,C10)/'META DATA'!$B$2</f>
        <v/>
      </c>
      <c r="E10" s="154" t="n"/>
      <c r="F10" s="145" t="n">
        <v>0.7</v>
      </c>
      <c r="G10" s="143">
        <f>ABS($D10-F10)</f>
        <v/>
      </c>
      <c r="H10" s="140" t="n"/>
      <c r="I10" s="145" t="n">
        <v>0.8</v>
      </c>
      <c r="J10" s="143">
        <f>ABS($D10-I10)</f>
        <v/>
      </c>
      <c r="K10" s="140" t="n"/>
      <c r="L10" s="145" t="n">
        <v>0.3</v>
      </c>
      <c r="M10" s="143">
        <f>ABS($D10-L10)</f>
        <v/>
      </c>
      <c r="N10" s="158" t="n"/>
      <c r="O10" s="145" t="n">
        <v>0.8</v>
      </c>
      <c r="P10" s="143">
        <f>ABS($D10-O10)</f>
        <v/>
      </c>
      <c r="Q10" s="158" t="n"/>
      <c r="R10" s="145" t="n">
        <v>0.5</v>
      </c>
      <c r="S10" s="143">
        <f>ABS($D10-R10)</f>
        <v/>
      </c>
      <c r="T10" s="158" t="n"/>
      <c r="U10" s="145" t="n">
        <v>0.45</v>
      </c>
      <c r="V10" s="143">
        <f>ABS($D10-U10)</f>
        <v/>
      </c>
      <c r="W10" s="158" t="n"/>
      <c r="X10" s="145" t="n">
        <v>0.65</v>
      </c>
      <c r="Y10" s="143">
        <f>ABS($D10-X10)</f>
        <v/>
      </c>
      <c r="Z10" s="158" t="n"/>
      <c r="AA10" s="145" t="n">
        <v>0.55</v>
      </c>
      <c r="AB10" s="143">
        <f>ABS($D10-AA10)</f>
        <v/>
      </c>
      <c r="AC10" s="158" t="n"/>
      <c r="AE10" s="233" t="n"/>
      <c r="AF10" s="202" t="inlineStr">
        <is>
          <t>Confused</t>
        </is>
      </c>
      <c r="AG10" s="212">
        <f>AVERAGE(V27:V32)</f>
        <v/>
      </c>
      <c r="AH10" s="233" t="n"/>
      <c r="AI10" s="232" t="n"/>
    </row>
    <row r="11" ht="20" customHeight="1" s="270">
      <c r="A11" s="150" t="inlineStr">
        <is>
          <t>GPT4</t>
        </is>
      </c>
      <c r="B11" s="128" t="inlineStr">
        <is>
          <t>Analyzing Object</t>
        </is>
      </c>
      <c r="C11" s="122" t="inlineStr">
        <is>
          <t>Found Object</t>
        </is>
      </c>
      <c r="D11" s="138">
        <f>COUNTIFS(STUDY03_DATA!C:C,A11,STUDY03_DATA!D:D,B11,STUDY03_DATA!F:F,C11)/'META DATA'!$B$2</f>
        <v/>
      </c>
      <c r="E11" s="154" t="n"/>
      <c r="F11" s="145" t="n">
        <v>0.1</v>
      </c>
      <c r="G11" s="143">
        <f>ABS($D11-F11)</f>
        <v/>
      </c>
      <c r="H11" s="140" t="n"/>
      <c r="I11" s="145" t="n">
        <v>0</v>
      </c>
      <c r="J11" s="143">
        <f>ABS($D11-I11)</f>
        <v/>
      </c>
      <c r="K11" s="140" t="n"/>
      <c r="L11" s="145" t="n">
        <v>0.05</v>
      </c>
      <c r="M11" s="143">
        <f>ABS($D11-L11)</f>
        <v/>
      </c>
      <c r="N11" s="158" t="n"/>
      <c r="O11" s="145" t="n">
        <v>0</v>
      </c>
      <c r="P11" s="143">
        <f>ABS($D11-O11)</f>
        <v/>
      </c>
      <c r="Q11" s="158" t="n"/>
      <c r="R11" s="145" t="n">
        <v>0.2</v>
      </c>
      <c r="S11" s="143">
        <f>ABS($D11-R11)</f>
        <v/>
      </c>
      <c r="T11" s="158" t="n"/>
      <c r="U11" s="145" t="n">
        <v>0.2</v>
      </c>
      <c r="V11" s="143">
        <f>ABS($D11-U11)</f>
        <v/>
      </c>
      <c r="W11" s="158" t="n"/>
      <c r="X11" s="145" t="n">
        <v>0.2</v>
      </c>
      <c r="Y11" s="143">
        <f>ABS($D11-X11)</f>
        <v/>
      </c>
      <c r="Z11" s="158" t="n"/>
      <c r="AA11" s="145" t="n">
        <v>0.3</v>
      </c>
      <c r="AB11" s="143">
        <f>ABS($D11-AA11)</f>
        <v/>
      </c>
      <c r="AC11" s="158" t="n"/>
      <c r="AE11" s="251" t="inlineStr">
        <is>
          <t>Human</t>
        </is>
      </c>
      <c r="AF11" s="198" t="inlineStr">
        <is>
          <t>Waiting for Input</t>
        </is>
      </c>
      <c r="AG11" s="207">
        <f>AVERAGE(V33:V38)</f>
        <v/>
      </c>
      <c r="AH11" s="240">
        <f>AVERAGE(AG11:AG15)</f>
        <v/>
      </c>
      <c r="AI11" s="232" t="n"/>
    </row>
    <row r="12" ht="20" customHeight="1" s="270">
      <c r="A12" s="150" t="inlineStr">
        <is>
          <t>GPT4</t>
        </is>
      </c>
      <c r="B12" s="128" t="inlineStr">
        <is>
          <t>Analyzing Object</t>
        </is>
      </c>
      <c r="C12" s="122" t="inlineStr">
        <is>
          <t>Needs Help</t>
        </is>
      </c>
      <c r="D12" s="138">
        <f>COUNTIFS(STUDY03_DATA!C:C,A12,STUDY03_DATA!D:D,B12,STUDY03_DATA!F:F,C12)/'META DATA'!$B$2</f>
        <v/>
      </c>
      <c r="E12" s="154" t="n"/>
      <c r="F12" s="145" t="n">
        <v>0.05</v>
      </c>
      <c r="G12" s="143">
        <f>ABS($D12-F12)</f>
        <v/>
      </c>
      <c r="H12" s="140" t="n"/>
      <c r="I12" s="145" t="n">
        <v>0</v>
      </c>
      <c r="J12" s="143">
        <f>ABS($D12-I12)</f>
        <v/>
      </c>
      <c r="K12" s="140" t="n"/>
      <c r="L12" s="145" t="n">
        <v>0.1</v>
      </c>
      <c r="M12" s="143">
        <f>ABS($D12-L12)</f>
        <v/>
      </c>
      <c r="N12" s="158" t="n"/>
      <c r="O12" s="145" t="n">
        <v>0.15</v>
      </c>
      <c r="P12" s="143">
        <f>ABS($D12-O12)</f>
        <v/>
      </c>
      <c r="Q12" s="158" t="n"/>
      <c r="R12" s="145" t="n">
        <v>0</v>
      </c>
      <c r="S12" s="143">
        <f>ABS($D12-R12)</f>
        <v/>
      </c>
      <c r="T12" s="158" t="n"/>
      <c r="U12" s="145" t="n">
        <v>0.05</v>
      </c>
      <c r="V12" s="143">
        <f>ABS($D12-U12)</f>
        <v/>
      </c>
      <c r="W12" s="158" t="n"/>
      <c r="X12" s="145" t="n">
        <v>0</v>
      </c>
      <c r="Y12" s="143">
        <f>ABS($D12-X12)</f>
        <v/>
      </c>
      <c r="Z12" s="158" t="n"/>
      <c r="AA12" s="145" t="n">
        <v>0</v>
      </c>
      <c r="AB12" s="143">
        <f>ABS($D12-AA12)</f>
        <v/>
      </c>
      <c r="AC12" s="158" t="n"/>
      <c r="AE12" s="232" t="n"/>
      <c r="AF12" s="199" t="inlineStr">
        <is>
          <t>Analyzing Object</t>
        </is>
      </c>
      <c r="AG12" s="208">
        <f>AVERAGE(V39:V44)</f>
        <v/>
      </c>
      <c r="AH12" s="232" t="n"/>
      <c r="AI12" s="232" t="n"/>
    </row>
    <row r="13" ht="20" customHeight="1" s="270">
      <c r="A13" s="150" t="inlineStr">
        <is>
          <t>GPT4</t>
        </is>
      </c>
      <c r="B13" s="128" t="inlineStr">
        <is>
          <t>Analyzing Object</t>
        </is>
      </c>
      <c r="C13" s="121" t="inlineStr">
        <is>
          <t>Confused</t>
        </is>
      </c>
      <c r="D13" s="138">
        <f>COUNTIFS(STUDY03_DATA!C:C,A13,STUDY03_DATA!D:D,B13,STUDY03_DATA!F:F,C13)/'META DATA'!$B$2</f>
        <v/>
      </c>
      <c r="E13" s="154" t="n"/>
      <c r="F13" s="145" t="n">
        <v>0</v>
      </c>
      <c r="G13" s="143">
        <f>ABS($D13-F13)</f>
        <v/>
      </c>
      <c r="H13" s="140" t="n"/>
      <c r="I13" s="145" t="n">
        <v>0.05</v>
      </c>
      <c r="J13" s="143">
        <f>ABS($D13-I13)</f>
        <v/>
      </c>
      <c r="K13" s="140" t="n"/>
      <c r="L13" s="145" t="n">
        <v>0.15</v>
      </c>
      <c r="M13" s="143">
        <f>ABS($D13-L13)</f>
        <v/>
      </c>
      <c r="N13" s="158" t="n"/>
      <c r="O13" s="145" t="n">
        <v>0</v>
      </c>
      <c r="P13" s="143">
        <f>ABS($D13-O13)</f>
        <v/>
      </c>
      <c r="Q13" s="158" t="n"/>
      <c r="R13" s="145" t="n">
        <v>0</v>
      </c>
      <c r="S13" s="143">
        <f>ABS($D13-R13)</f>
        <v/>
      </c>
      <c r="T13" s="158" t="n"/>
      <c r="U13" s="145" t="n">
        <v>0.15</v>
      </c>
      <c r="V13" s="143">
        <f>ABS($D13-U13)</f>
        <v/>
      </c>
      <c r="W13" s="158" t="n"/>
      <c r="X13" s="145" t="n">
        <v>0.1</v>
      </c>
      <c r="Y13" s="143">
        <f>ABS($D13-X13)</f>
        <v/>
      </c>
      <c r="Z13" s="158" t="n"/>
      <c r="AA13" s="145" t="n">
        <v>0</v>
      </c>
      <c r="AB13" s="143">
        <f>ABS($D13-AA13)</f>
        <v/>
      </c>
      <c r="AC13" s="158" t="n"/>
      <c r="AE13" s="232" t="n"/>
      <c r="AF13" s="199" t="inlineStr">
        <is>
          <t>Found Object</t>
        </is>
      </c>
      <c r="AG13" s="208">
        <f>AVERAGE(V45:V50)</f>
        <v/>
      </c>
      <c r="AH13" s="232" t="n"/>
      <c r="AI13" s="232" t="n"/>
      <c r="AW13" s="179" t="inlineStr">
        <is>
          <t>WFI</t>
        </is>
      </c>
    </row>
    <row r="14" ht="20" customHeight="1" s="270">
      <c r="A14" s="150" t="inlineStr">
        <is>
          <t>GPT4</t>
        </is>
      </c>
      <c r="B14" s="128" t="inlineStr">
        <is>
          <t>Analyzing Object</t>
        </is>
      </c>
      <c r="C14" s="121" t="inlineStr">
        <is>
          <t>None</t>
        </is>
      </c>
      <c r="D14" s="138">
        <f>COUNTIFS(STUDY03_DATA!C:C,A14,STUDY03_DATA!D:D,B14,STUDY03_DATA!F:F,C14)/'META DATA'!$B$2</f>
        <v/>
      </c>
      <c r="E14" s="154" t="n"/>
      <c r="F14" s="145" t="n">
        <v>0</v>
      </c>
      <c r="G14" s="143">
        <f>ABS($D14-F14)</f>
        <v/>
      </c>
      <c r="H14" s="140" t="n"/>
      <c r="I14" s="145" t="n">
        <v>0</v>
      </c>
      <c r="J14" s="143">
        <f>ABS($D14-I14)</f>
        <v/>
      </c>
      <c r="K14" s="140" t="n"/>
      <c r="L14" s="145" t="n">
        <v>0.05</v>
      </c>
      <c r="M14" s="143">
        <f>ABS($D14-L14)</f>
        <v/>
      </c>
      <c r="N14" s="158" t="n"/>
      <c r="O14" s="145" t="n">
        <v>0</v>
      </c>
      <c r="P14" s="143">
        <f>ABS($D14-O14)</f>
        <v/>
      </c>
      <c r="Q14" s="158" t="n"/>
      <c r="R14" s="145" t="n">
        <v>0.1</v>
      </c>
      <c r="S14" s="143">
        <f>ABS($D14-R14)</f>
        <v/>
      </c>
      <c r="T14" s="158" t="n"/>
      <c r="U14" s="145" t="n">
        <v>0.05</v>
      </c>
      <c r="V14" s="143">
        <f>ABS($D14-U14)</f>
        <v/>
      </c>
      <c r="W14" s="158" t="n"/>
      <c r="X14" s="145" t="n">
        <v>0.05</v>
      </c>
      <c r="Y14" s="143">
        <f>ABS($D14-X14)</f>
        <v/>
      </c>
      <c r="Z14" s="158" t="n"/>
      <c r="AA14" s="145" t="n">
        <v>0</v>
      </c>
      <c r="AB14" s="143">
        <f>ABS($D14-AA14)</f>
        <v/>
      </c>
      <c r="AC14" s="158" t="n"/>
      <c r="AE14" s="232" t="n"/>
      <c r="AF14" s="199" t="inlineStr">
        <is>
          <t>Needs Help</t>
        </is>
      </c>
      <c r="AG14" s="208">
        <f>AVERAGE(V51:V56)</f>
        <v/>
      </c>
      <c r="AH14" s="232" t="n"/>
      <c r="AI14" s="232" t="n"/>
      <c r="AW14" s="179" t="inlineStr">
        <is>
          <t>AO</t>
        </is>
      </c>
    </row>
    <row r="15" ht="20" customHeight="1" s="270" thickBot="1">
      <c r="A15" s="150" t="inlineStr">
        <is>
          <t>GPT4</t>
        </is>
      </c>
      <c r="B15" s="128" t="inlineStr">
        <is>
          <t>Found Object</t>
        </is>
      </c>
      <c r="C15" s="121" t="inlineStr">
        <is>
          <t>Waiting for Input</t>
        </is>
      </c>
      <c r="D15" s="134">
        <f>COUNTIFS(STUDY03_DATA!C:C,A15,STUDY03_DATA!D:D,B15,STUDY03_DATA!F:F,C15)/'META DATA'!$B$2</f>
        <v/>
      </c>
      <c r="E15" s="154" t="n"/>
      <c r="F15" s="144">
        <f t="array" ref="F15:F20">LLM_FO_01!S2:S7</f>
        <v/>
      </c>
      <c r="G15" s="143">
        <f>ABS($D15-F15)</f>
        <v/>
      </c>
      <c r="H15" s="140" t="n"/>
      <c r="I15" s="144">
        <f t="array" ref="I15:I20">LLM_FO_02!S2:S7</f>
        <v/>
      </c>
      <c r="J15" s="143">
        <f>ABS($D15-I15)</f>
        <v/>
      </c>
      <c r="K15" s="140" t="n"/>
      <c r="L15" s="144">
        <f t="array" ref="L15:L20">LLM_FO_03!S2:S7</f>
        <v/>
      </c>
      <c r="M15" s="143">
        <f>ABS($D15-L15)</f>
        <v/>
      </c>
      <c r="N15" s="158" t="n"/>
      <c r="O15" s="144">
        <f t="array" ref="O15:O20">LLM_FO_04!S2:S7</f>
        <v/>
      </c>
      <c r="P15" s="143">
        <f>ABS($D15-O15)</f>
        <v/>
      </c>
      <c r="Q15" s="158" t="n"/>
      <c r="R15" s="144">
        <f t="array" ref="R15:R20">LLM_FO_05!S2:S7</f>
        <v/>
      </c>
      <c r="S15" s="143">
        <f>ABS($D15-R15)</f>
        <v/>
      </c>
      <c r="T15" s="158" t="n"/>
      <c r="U15" s="144">
        <f t="array" ref="U15:U20">LLM_FO_06!S2:S7</f>
        <v/>
      </c>
      <c r="V15" s="143">
        <f>ABS($D15-U15)</f>
        <v/>
      </c>
      <c r="W15" s="158" t="n"/>
      <c r="X15" s="144">
        <f t="array" ref="X15:X20">LLM_FO_07!S2:S7</f>
        <v/>
      </c>
      <c r="Y15" s="143">
        <f>ABS($D15-X15)</f>
        <v/>
      </c>
      <c r="Z15" s="158" t="n"/>
      <c r="AA15" s="144">
        <f t="array" ref="AA15:AA20">LLM_FO_08!S2:S7</f>
        <v/>
      </c>
      <c r="AB15" s="143">
        <f>ABS($D15-AA15)</f>
        <v/>
      </c>
      <c r="AC15" s="158" t="n"/>
      <c r="AE15" s="233" t="n"/>
      <c r="AF15" s="198" t="inlineStr">
        <is>
          <t>Confused</t>
        </is>
      </c>
      <c r="AG15" s="209">
        <f>AVERAGE(V57:V62)</f>
        <v/>
      </c>
      <c r="AH15" s="233" t="n"/>
      <c r="AI15" s="232" t="n"/>
      <c r="AW15" s="179" t="inlineStr">
        <is>
          <t>FO</t>
        </is>
      </c>
    </row>
    <row r="16" ht="20" customHeight="1" s="270">
      <c r="A16" s="150" t="inlineStr">
        <is>
          <t>GPT4</t>
        </is>
      </c>
      <c r="B16" s="128" t="inlineStr">
        <is>
          <t>Found Object</t>
        </is>
      </c>
      <c r="C16" s="122" t="inlineStr">
        <is>
          <t>Analyzing Object</t>
        </is>
      </c>
      <c r="D16" s="134">
        <f>COUNTIFS(STUDY03_DATA!C:C,A16,STUDY03_DATA!D:D,B16,STUDY03_DATA!F:F,C16)/'META DATA'!$B$2</f>
        <v/>
      </c>
      <c r="E16" s="154" t="n"/>
      <c r="F16" s="144" t="n">
        <v>0.9</v>
      </c>
      <c r="G16" s="143">
        <f>ABS($D16-F16)</f>
        <v/>
      </c>
      <c r="H16" s="140" t="n"/>
      <c r="I16" s="144" t="n">
        <v>0.8</v>
      </c>
      <c r="J16" s="143">
        <f>ABS($D16-I16)</f>
        <v/>
      </c>
      <c r="K16" s="140" t="n"/>
      <c r="L16" s="144" t="n">
        <v>0.8</v>
      </c>
      <c r="M16" s="143">
        <f>ABS($D16-L16)</f>
        <v/>
      </c>
      <c r="N16" s="158" t="n"/>
      <c r="O16" s="144" t="n">
        <v>0.8</v>
      </c>
      <c r="P16" s="143">
        <f>ABS($D16-O16)</f>
        <v/>
      </c>
      <c r="Q16" s="158" t="n"/>
      <c r="R16" s="144" t="n">
        <v>0.75</v>
      </c>
      <c r="S16" s="143">
        <f>ABS($D16-R16)</f>
        <v/>
      </c>
      <c r="T16" s="158" t="n"/>
      <c r="U16" s="144" t="n">
        <v>0.8</v>
      </c>
      <c r="V16" s="143">
        <f>ABS($D16-U16)</f>
        <v/>
      </c>
      <c r="W16" s="158" t="n"/>
      <c r="X16" s="144" t="n">
        <v>0.9</v>
      </c>
      <c r="Y16" s="143">
        <f>ABS($D16-X16)</f>
        <v/>
      </c>
      <c r="Z16" s="158" t="n"/>
      <c r="AA16" s="144" t="n">
        <v>0.65</v>
      </c>
      <c r="AB16" s="143">
        <f>ABS($D16-AA16)</f>
        <v/>
      </c>
      <c r="AC16" s="158" t="n"/>
      <c r="AE16" s="258" t="inlineStr">
        <is>
          <t>Random</t>
        </is>
      </c>
      <c r="AF16" s="195" t="inlineStr">
        <is>
          <t>Waiting for Input</t>
        </is>
      </c>
      <c r="AG16" s="204">
        <f>AVERAGE(V63:V68)</f>
        <v/>
      </c>
      <c r="AH16" s="252">
        <f>AVERAGE(AG16:AG20)</f>
        <v/>
      </c>
      <c r="AI16" s="232" t="n"/>
      <c r="AW16" s="179" t="inlineStr">
        <is>
          <t>NH</t>
        </is>
      </c>
    </row>
    <row r="17" ht="20" customHeight="1" s="270">
      <c r="A17" s="150" t="inlineStr">
        <is>
          <t>GPT4</t>
        </is>
      </c>
      <c r="B17" s="128" t="inlineStr">
        <is>
          <t>Found Object</t>
        </is>
      </c>
      <c r="C17" s="122" t="inlineStr">
        <is>
          <t>Found Object</t>
        </is>
      </c>
      <c r="D17" s="134">
        <f>COUNTIFS(STUDY03_DATA!C:C,A17,STUDY03_DATA!D:D,B17,STUDY03_DATA!F:F,C17)/'META DATA'!$B$2</f>
        <v/>
      </c>
      <c r="E17" s="154" t="n"/>
      <c r="F17" s="144" t="n">
        <v>0</v>
      </c>
      <c r="G17" s="143">
        <f>ABS($D17-F17)</f>
        <v/>
      </c>
      <c r="H17" s="140" t="n"/>
      <c r="I17" s="144" t="n">
        <v>0.1</v>
      </c>
      <c r="J17" s="143">
        <f>ABS($D17-I17)</f>
        <v/>
      </c>
      <c r="K17" s="140" t="n"/>
      <c r="L17" s="144" t="n">
        <v>0.05</v>
      </c>
      <c r="M17" s="143">
        <f>ABS($D17-L17)</f>
        <v/>
      </c>
      <c r="N17" s="158" t="n"/>
      <c r="O17" s="144" t="n">
        <v>0.15</v>
      </c>
      <c r="P17" s="143">
        <f>ABS($D17-O17)</f>
        <v/>
      </c>
      <c r="Q17" s="158" t="n"/>
      <c r="R17" s="144" t="n">
        <v>0.2</v>
      </c>
      <c r="S17" s="143">
        <f>ABS($D17-R17)</f>
        <v/>
      </c>
      <c r="T17" s="158" t="n"/>
      <c r="U17" s="144" t="n">
        <v>0.05</v>
      </c>
      <c r="V17" s="143">
        <f>ABS($D17-U17)</f>
        <v/>
      </c>
      <c r="W17" s="158" t="n"/>
      <c r="X17" s="144" t="n">
        <v>0.1</v>
      </c>
      <c r="Y17" s="143">
        <f>ABS($D17-X17)</f>
        <v/>
      </c>
      <c r="Z17" s="158" t="n"/>
      <c r="AA17" s="144" t="n">
        <v>0.3</v>
      </c>
      <c r="AB17" s="143">
        <f>ABS($D17-AA17)</f>
        <v/>
      </c>
      <c r="AC17" s="158" t="n"/>
      <c r="AE17" s="232" t="n"/>
      <c r="AF17" s="196" t="inlineStr">
        <is>
          <t>Analyzing Object</t>
        </is>
      </c>
      <c r="AG17" s="205">
        <f>AVERAGE(V69:V74)</f>
        <v/>
      </c>
      <c r="AH17" s="232" t="n"/>
      <c r="AI17" s="232" t="n"/>
      <c r="AW17" s="179" t="inlineStr">
        <is>
          <t>C</t>
        </is>
      </c>
    </row>
    <row r="18" ht="20" customHeight="1" s="270">
      <c r="A18" s="150" t="inlineStr">
        <is>
          <t>GPT4</t>
        </is>
      </c>
      <c r="B18" s="128" t="inlineStr">
        <is>
          <t>Found Object</t>
        </is>
      </c>
      <c r="C18" s="122" t="inlineStr">
        <is>
          <t>Needs Help</t>
        </is>
      </c>
      <c r="D18" s="134">
        <f>COUNTIFS(STUDY03_DATA!C:C,A18,STUDY03_DATA!D:D,B18,STUDY03_DATA!F:F,C18)/'META DATA'!$B$2</f>
        <v/>
      </c>
      <c r="E18" s="154" t="n"/>
      <c r="F18" s="144" t="n">
        <v>0</v>
      </c>
      <c r="G18" s="143">
        <f>ABS($D18-F18)</f>
        <v/>
      </c>
      <c r="H18" s="140" t="n"/>
      <c r="I18" s="144" t="n">
        <v>0.05</v>
      </c>
      <c r="J18" s="143">
        <f>ABS($D18-I18)</f>
        <v/>
      </c>
      <c r="K18" s="140" t="n"/>
      <c r="L18" s="144" t="n">
        <v>0.05</v>
      </c>
      <c r="M18" s="143">
        <f>ABS($D18-L18)</f>
        <v/>
      </c>
      <c r="N18" s="158" t="n"/>
      <c r="O18" s="144" t="n">
        <v>0.05</v>
      </c>
      <c r="P18" s="143">
        <f>ABS($D18-O18)</f>
        <v/>
      </c>
      <c r="Q18" s="158" t="n"/>
      <c r="R18" s="144" t="n">
        <v>0</v>
      </c>
      <c r="S18" s="143">
        <f>ABS($D18-R18)</f>
        <v/>
      </c>
      <c r="T18" s="158" t="n"/>
      <c r="U18" s="144" t="n">
        <v>0.05</v>
      </c>
      <c r="V18" s="143">
        <f>ABS($D18-U18)</f>
        <v/>
      </c>
      <c r="W18" s="158" t="n"/>
      <c r="X18" s="144" t="n">
        <v>0</v>
      </c>
      <c r="Y18" s="143">
        <f>ABS($D18-X18)</f>
        <v/>
      </c>
      <c r="Z18" s="158" t="n"/>
      <c r="AA18" s="144" t="n">
        <v>0</v>
      </c>
      <c r="AB18" s="143">
        <f>ABS($D18-AA18)</f>
        <v/>
      </c>
      <c r="AC18" s="158" t="n"/>
      <c r="AE18" s="232" t="n"/>
      <c r="AF18" s="196" t="inlineStr">
        <is>
          <t>Found Object</t>
        </is>
      </c>
      <c r="AG18" s="205">
        <f>AVERAGE(V75:V80)</f>
        <v/>
      </c>
      <c r="AH18" s="232" t="n"/>
      <c r="AI18" s="232" t="n"/>
      <c r="AW18" s="179" t="inlineStr">
        <is>
          <t>NONE</t>
        </is>
      </c>
    </row>
    <row r="19" ht="20" customHeight="1" s="270">
      <c r="A19" s="150" t="inlineStr">
        <is>
          <t>GPT4</t>
        </is>
      </c>
      <c r="B19" s="128" t="inlineStr">
        <is>
          <t>Found Object</t>
        </is>
      </c>
      <c r="C19" s="121" t="inlineStr">
        <is>
          <t>Confused</t>
        </is>
      </c>
      <c r="D19" s="134">
        <f>COUNTIFS(STUDY03_DATA!C:C,A19,STUDY03_DATA!D:D,B19,STUDY03_DATA!F:F,C19)/'META DATA'!$B$2</f>
        <v/>
      </c>
      <c r="E19" s="154" t="n"/>
      <c r="F19" s="144" t="n">
        <v>0.1</v>
      </c>
      <c r="G19" s="143">
        <f>ABS($D19-F19)</f>
        <v/>
      </c>
      <c r="H19" s="140" t="n"/>
      <c r="I19" s="144" t="n">
        <v>0.05</v>
      </c>
      <c r="J19" s="143">
        <f>ABS($D19-I19)</f>
        <v/>
      </c>
      <c r="K19" s="140" t="n"/>
      <c r="L19" s="144" t="n">
        <v>0</v>
      </c>
      <c r="M19" s="143">
        <f>ABS($D19-L19)</f>
        <v/>
      </c>
      <c r="N19" s="158" t="n"/>
      <c r="O19" s="144" t="n">
        <v>0</v>
      </c>
      <c r="P19" s="143">
        <f>ABS($D19-O19)</f>
        <v/>
      </c>
      <c r="Q19" s="158" t="n"/>
      <c r="R19" s="144" t="n">
        <v>0</v>
      </c>
      <c r="S19" s="143">
        <f>ABS($D19-R19)</f>
        <v/>
      </c>
      <c r="T19" s="158" t="n"/>
      <c r="U19" s="144" t="n">
        <v>0</v>
      </c>
      <c r="V19" s="143">
        <f>ABS($D19-U19)</f>
        <v/>
      </c>
      <c r="W19" s="158" t="n"/>
      <c r="X19" s="144" t="n">
        <v>0</v>
      </c>
      <c r="Y19" s="143">
        <f>ABS($D19-X19)</f>
        <v/>
      </c>
      <c r="Z19" s="158" t="n"/>
      <c r="AA19" s="144" t="n">
        <v>0</v>
      </c>
      <c r="AB19" s="143">
        <f>ABS($D19-AA19)</f>
        <v/>
      </c>
      <c r="AC19" s="158" t="n"/>
      <c r="AE19" s="232" t="n"/>
      <c r="AF19" s="196" t="inlineStr">
        <is>
          <t>Needs Help</t>
        </is>
      </c>
      <c r="AG19" s="205">
        <f>AVERAGE(V81:V86)</f>
        <v/>
      </c>
      <c r="AH19" s="232" t="n"/>
      <c r="AI19" s="232" t="n"/>
    </row>
    <row r="20" ht="20" customHeight="1" s="270" thickBot="1">
      <c r="A20" s="150" t="inlineStr">
        <is>
          <t>GPT4</t>
        </is>
      </c>
      <c r="B20" s="128" t="inlineStr">
        <is>
          <t>Found Object</t>
        </is>
      </c>
      <c r="C20" s="121" t="inlineStr">
        <is>
          <t>None</t>
        </is>
      </c>
      <c r="D20" s="134">
        <f>COUNTIFS(STUDY03_DATA!C:C,A20,STUDY03_DATA!D:D,B20,STUDY03_DATA!F:F,C20)/'META DATA'!$B$2</f>
        <v/>
      </c>
      <c r="E20" s="154" t="n"/>
      <c r="F20" s="144" t="n">
        <v>0</v>
      </c>
      <c r="G20" s="143">
        <f>ABS($D20-F20)</f>
        <v/>
      </c>
      <c r="H20" s="140" t="n"/>
      <c r="I20" s="144" t="n">
        <v>0</v>
      </c>
      <c r="J20" s="143">
        <f>ABS($D20-I20)</f>
        <v/>
      </c>
      <c r="K20" s="140" t="n"/>
      <c r="L20" s="144" t="n">
        <v>0</v>
      </c>
      <c r="M20" s="143">
        <f>ABS($D20-L20)</f>
        <v/>
      </c>
      <c r="N20" s="158" t="n"/>
      <c r="O20" s="144" t="n">
        <v>0</v>
      </c>
      <c r="P20" s="143">
        <f>ABS($D20-O20)</f>
        <v/>
      </c>
      <c r="Q20" s="158" t="n"/>
      <c r="R20" s="144" t="n">
        <v>0</v>
      </c>
      <c r="S20" s="143">
        <f>ABS($D20-R20)</f>
        <v/>
      </c>
      <c r="T20" s="158" t="n"/>
      <c r="U20" s="144" t="n">
        <v>0</v>
      </c>
      <c r="V20" s="143">
        <f>ABS($D20-U20)</f>
        <v/>
      </c>
      <c r="W20" s="158" t="n"/>
      <c r="X20" s="144" t="n">
        <v>0</v>
      </c>
      <c r="Y20" s="143">
        <f>ABS($D20-X20)</f>
        <v/>
      </c>
      <c r="Z20" s="158" t="n"/>
      <c r="AA20" s="144" t="n">
        <v>0.05</v>
      </c>
      <c r="AB20" s="143">
        <f>ABS($D20-AA20)</f>
        <v/>
      </c>
      <c r="AC20" s="158" t="n"/>
      <c r="AE20" s="233" t="n"/>
      <c r="AF20" s="197" t="inlineStr">
        <is>
          <t>Confused</t>
        </is>
      </c>
      <c r="AG20" s="206">
        <f>AVERAGE(V87:V92)</f>
        <v/>
      </c>
      <c r="AH20" s="233" t="n"/>
      <c r="AI20" s="233" t="n"/>
    </row>
    <row r="21" ht="20" customHeight="1" s="270">
      <c r="A21" s="150" t="inlineStr">
        <is>
          <t>GPT4</t>
        </is>
      </c>
      <c r="B21" s="128" t="inlineStr">
        <is>
          <t>Needs Help</t>
        </is>
      </c>
      <c r="C21" s="121" t="inlineStr">
        <is>
          <t>Waiting for Input</t>
        </is>
      </c>
      <c r="D21" s="138">
        <f>COUNTIFS(STUDY03_DATA!C:C,A21,STUDY03_DATA!D:D,B21,STUDY03_DATA!F:F,C21)/'META DATA'!$B$2</f>
        <v/>
      </c>
      <c r="E21" s="154" t="n"/>
      <c r="F21" s="145">
        <f t="array" ref="F21:F26">LLM_NH_01!S2:S7</f>
        <v/>
      </c>
      <c r="G21" s="143">
        <f>ABS($D21-F21)</f>
        <v/>
      </c>
      <c r="H21" s="140" t="n"/>
      <c r="I21" s="145">
        <f t="array" ref="I21:I26">LLM_NH_02!S2:S7</f>
        <v/>
      </c>
      <c r="J21" s="143">
        <f>ABS($D21-I21)</f>
        <v/>
      </c>
      <c r="K21" s="140" t="n"/>
      <c r="L21" s="145">
        <f t="array" ref="L21:L26">LLM_NH_03!S2:S7</f>
        <v/>
      </c>
      <c r="M21" s="143">
        <f>ABS($D21-L21)</f>
        <v/>
      </c>
      <c r="N21" s="158" t="n"/>
      <c r="O21" s="145">
        <f t="array" ref="O21:O26">LLM_NH_04!S2:S7</f>
        <v/>
      </c>
      <c r="P21" s="143">
        <f>ABS($D21-O21)</f>
        <v/>
      </c>
      <c r="Q21" s="158" t="n"/>
      <c r="R21" s="145">
        <f t="array" ref="R21:R26">LLM_NH_05!S2:S7</f>
        <v/>
      </c>
      <c r="S21" s="143">
        <f>ABS($D21-R21)</f>
        <v/>
      </c>
      <c r="T21" s="158" t="n"/>
      <c r="U21" s="145">
        <f t="array" ref="U21:U26">LLM_NH_06!S2:S7</f>
        <v/>
      </c>
      <c r="V21" s="143">
        <f>ABS($D21-U21)</f>
        <v/>
      </c>
      <c r="W21" s="158" t="n"/>
      <c r="X21" s="145">
        <f t="array" ref="X21:X26">LLM_NH_07!S2:S7</f>
        <v/>
      </c>
      <c r="Y21" s="143">
        <f>ABS($D21-X21)</f>
        <v/>
      </c>
      <c r="Z21" s="158" t="n"/>
      <c r="AA21" s="145">
        <f t="array" ref="AA21:AA26">LLM_NH_08!S2:S7</f>
        <v/>
      </c>
      <c r="AB21" s="143">
        <f>ABS($D21-AA21)</f>
        <v/>
      </c>
      <c r="AC21" s="158" t="n"/>
    </row>
    <row r="22" ht="20" customHeight="1" s="270" thickBot="1">
      <c r="A22" s="150" t="inlineStr">
        <is>
          <t>GPT4</t>
        </is>
      </c>
      <c r="B22" s="128" t="inlineStr">
        <is>
          <t>Needs Help</t>
        </is>
      </c>
      <c r="C22" s="122" t="inlineStr">
        <is>
          <t>Analyzing Object</t>
        </is>
      </c>
      <c r="D22" s="138">
        <f>COUNTIFS(STUDY03_DATA!C:C,A22,STUDY03_DATA!D:D,B22,STUDY03_DATA!F:F,C22)/'META DATA'!$B$2</f>
        <v/>
      </c>
      <c r="E22" s="154" t="n"/>
      <c r="F22" s="145" t="n">
        <v>0</v>
      </c>
      <c r="G22" s="143">
        <f>ABS($D22-F22)</f>
        <v/>
      </c>
      <c r="H22" s="140" t="n"/>
      <c r="I22" s="145" t="n">
        <v>0</v>
      </c>
      <c r="J22" s="143">
        <f>ABS($D22-I22)</f>
        <v/>
      </c>
      <c r="K22" s="140" t="n"/>
      <c r="L22" s="145" t="n">
        <v>0</v>
      </c>
      <c r="M22" s="143">
        <f>ABS($D22-L22)</f>
        <v/>
      </c>
      <c r="N22" s="158" t="n"/>
      <c r="O22" s="145" t="n">
        <v>0</v>
      </c>
      <c r="P22" s="143">
        <f>ABS($D22-O22)</f>
        <v/>
      </c>
      <c r="Q22" s="158" t="n"/>
      <c r="R22" s="145" t="n">
        <v>0.15</v>
      </c>
      <c r="S22" s="143">
        <f>ABS($D22-R22)</f>
        <v/>
      </c>
      <c r="T22" s="158" t="n"/>
      <c r="U22" s="145" t="n">
        <v>0.1</v>
      </c>
      <c r="V22" s="143">
        <f>ABS($D22-U22)</f>
        <v/>
      </c>
      <c r="W22" s="158" t="n"/>
      <c r="X22" s="145" t="n">
        <v>0</v>
      </c>
      <c r="Y22" s="143">
        <f>ABS($D22-X22)</f>
        <v/>
      </c>
      <c r="Z22" s="158" t="n"/>
      <c r="AA22" s="145" t="n">
        <v>0.05</v>
      </c>
      <c r="AB22" s="143">
        <f>ABS($D22-AA22)</f>
        <v/>
      </c>
      <c r="AC22" s="158" t="n"/>
      <c r="AK22" s="179" t="inlineStr">
        <is>
          <t>GPT GENERATED CONFUSED</t>
        </is>
      </c>
    </row>
    <row r="23" ht="20" customHeight="1" s="270" thickBot="1">
      <c r="A23" s="150" t="inlineStr">
        <is>
          <t>GPT4</t>
        </is>
      </c>
      <c r="B23" s="128" t="inlineStr">
        <is>
          <t>Needs Help</t>
        </is>
      </c>
      <c r="C23" s="122" t="inlineStr">
        <is>
          <t>Found Object</t>
        </is>
      </c>
      <c r="D23" s="138">
        <f>COUNTIFS(STUDY03_DATA!C:C,A23,STUDY03_DATA!D:D,B23,STUDY03_DATA!F:F,C23)/'META DATA'!$B$2</f>
        <v/>
      </c>
      <c r="E23" s="154" t="n"/>
      <c r="F23" s="145" t="n">
        <v>0</v>
      </c>
      <c r="G23" s="143">
        <f>ABS($D23-F23)</f>
        <v/>
      </c>
      <c r="H23" s="140" t="n"/>
      <c r="I23" s="145" t="n">
        <v>0</v>
      </c>
      <c r="J23" s="143">
        <f>ABS($D23-I23)</f>
        <v/>
      </c>
      <c r="K23" s="140" t="n"/>
      <c r="L23" s="145" t="n">
        <v>0.05</v>
      </c>
      <c r="M23" s="143">
        <f>ABS($D23-L23)</f>
        <v/>
      </c>
      <c r="N23" s="158" t="n"/>
      <c r="O23" s="145" t="n">
        <v>0</v>
      </c>
      <c r="P23" s="143">
        <f>ABS($D23-O23)</f>
        <v/>
      </c>
      <c r="Q23" s="158" t="n"/>
      <c r="R23" s="145" t="n">
        <v>0.05</v>
      </c>
      <c r="S23" s="143">
        <f>ABS($D23-R23)</f>
        <v/>
      </c>
      <c r="T23" s="158" t="n"/>
      <c r="U23" s="145" t="n">
        <v>0</v>
      </c>
      <c r="V23" s="143">
        <f>ABS($D23-U23)</f>
        <v/>
      </c>
      <c r="W23" s="158" t="n"/>
      <c r="X23" s="145" t="n">
        <v>0</v>
      </c>
      <c r="Y23" s="143">
        <f>ABS($D23-X23)</f>
        <v/>
      </c>
      <c r="Z23" s="158" t="n"/>
      <c r="AA23" s="145" t="n">
        <v>0</v>
      </c>
      <c r="AB23" s="143">
        <f>ABS($D23-AA23)</f>
        <v/>
      </c>
      <c r="AC23" s="158" t="n"/>
      <c r="AE23" s="256" t="inlineStr">
        <is>
          <t>ACCURACY PROXY VALIDATION DATA (ALIGNMENT) | Attempt 6</t>
        </is>
      </c>
      <c r="AF23" s="257" t="n"/>
      <c r="AG23" s="257" t="n"/>
      <c r="AH23" s="257" t="n"/>
      <c r="AI23" s="242" t="n"/>
    </row>
    <row r="24" ht="20" customHeight="1" s="270" thickBot="1">
      <c r="A24" s="150" t="inlineStr">
        <is>
          <t>GPT4</t>
        </is>
      </c>
      <c r="B24" s="128" t="inlineStr">
        <is>
          <t>Needs Help</t>
        </is>
      </c>
      <c r="C24" s="122" t="inlineStr">
        <is>
          <t>Needs Help</t>
        </is>
      </c>
      <c r="D24" s="138">
        <f>COUNTIFS(STUDY03_DATA!C:C,A24,STUDY03_DATA!D:D,B24,STUDY03_DATA!F:F,C24)/'META DATA'!$B$2</f>
        <v/>
      </c>
      <c r="E24" s="154" t="n"/>
      <c r="F24" s="145" t="n">
        <v>0.4</v>
      </c>
      <c r="G24" s="143">
        <f>ABS($D24-F24)</f>
        <v/>
      </c>
      <c r="H24" s="140" t="n"/>
      <c r="I24" s="145" t="n">
        <v>0.4</v>
      </c>
      <c r="J24" s="143">
        <f>ABS($D24-I24)</f>
        <v/>
      </c>
      <c r="K24" s="140" t="n"/>
      <c r="L24" s="145" t="n">
        <v>0.25</v>
      </c>
      <c r="M24" s="143">
        <f>ABS($D24-L24)</f>
        <v/>
      </c>
      <c r="N24" s="158" t="n"/>
      <c r="O24" s="145" t="n">
        <v>0.5</v>
      </c>
      <c r="P24" s="143">
        <f>ABS($D24-O24)</f>
        <v/>
      </c>
      <c r="Q24" s="158" t="n"/>
      <c r="R24" s="145" t="n">
        <v>0.05</v>
      </c>
      <c r="S24" s="143">
        <f>ABS($D24-R24)</f>
        <v/>
      </c>
      <c r="T24" s="158" t="n"/>
      <c r="U24" s="145" t="n">
        <v>0.45</v>
      </c>
      <c r="V24" s="143">
        <f>ABS($D24-U24)</f>
        <v/>
      </c>
      <c r="W24" s="158" t="n"/>
      <c r="X24" s="145" t="n">
        <v>0.3</v>
      </c>
      <c r="Y24" s="143">
        <f>ABS($D24-X24)</f>
        <v/>
      </c>
      <c r="Z24" s="158" t="n"/>
      <c r="AA24" s="145" t="n">
        <v>0.25</v>
      </c>
      <c r="AB24" s="143">
        <f>ABS($D24-AA24)</f>
        <v/>
      </c>
      <c r="AC24" s="158" t="n"/>
      <c r="AE24" s="180" t="inlineStr">
        <is>
          <t>Condition</t>
        </is>
      </c>
      <c r="AF24" s="181" t="inlineStr">
        <is>
          <t>State</t>
        </is>
      </c>
      <c r="AG24" s="203" t="inlineStr">
        <is>
          <t>Alignment by State</t>
        </is>
      </c>
      <c r="AH24" s="181" t="inlineStr">
        <is>
          <t>Alignment by Cond</t>
        </is>
      </c>
      <c r="AI24" s="222" t="inlineStr">
        <is>
          <t>Overall Alignment</t>
        </is>
      </c>
    </row>
    <row r="25" ht="20" customHeight="1" s="270">
      <c r="A25" s="150" t="inlineStr">
        <is>
          <t>GPT4</t>
        </is>
      </c>
      <c r="B25" s="128" t="inlineStr">
        <is>
          <t>Needs Help</t>
        </is>
      </c>
      <c r="C25" s="121" t="inlineStr">
        <is>
          <t>Confused</t>
        </is>
      </c>
      <c r="D25" s="138">
        <f>COUNTIFS(STUDY03_DATA!C:C,A25,STUDY03_DATA!D:D,B25,STUDY03_DATA!F:F,C25)/'META DATA'!$B$2</f>
        <v/>
      </c>
      <c r="E25" s="154" t="n"/>
      <c r="F25" s="145" t="n">
        <v>0.4</v>
      </c>
      <c r="G25" s="143">
        <f>ABS($D25-F25)</f>
        <v/>
      </c>
      <c r="H25" s="140" t="n"/>
      <c r="I25" s="145" t="n">
        <v>0.45</v>
      </c>
      <c r="J25" s="143">
        <f>ABS($D25-I25)</f>
        <v/>
      </c>
      <c r="K25" s="140" t="n"/>
      <c r="L25" s="145" t="n">
        <v>0.55</v>
      </c>
      <c r="M25" s="143">
        <f>ABS($D25-L25)</f>
        <v/>
      </c>
      <c r="N25" s="158" t="n"/>
      <c r="O25" s="145" t="n">
        <v>0.45</v>
      </c>
      <c r="P25" s="143">
        <f>ABS($D25-O25)</f>
        <v/>
      </c>
      <c r="Q25" s="158" t="n"/>
      <c r="R25" s="145" t="n">
        <v>0.25</v>
      </c>
      <c r="S25" s="143">
        <f>ABS($D25-R25)</f>
        <v/>
      </c>
      <c r="T25" s="158" t="n"/>
      <c r="U25" s="145" t="n">
        <v>0.35</v>
      </c>
      <c r="V25" s="143">
        <f>ABS($D25-U25)</f>
        <v/>
      </c>
      <c r="W25" s="158" t="n"/>
      <c r="X25" s="145" t="n">
        <v>0.7</v>
      </c>
      <c r="Y25" s="143">
        <f>ABS($D25-X25)</f>
        <v/>
      </c>
      <c r="Z25" s="158" t="n"/>
      <c r="AA25" s="145" t="n">
        <v>0.55</v>
      </c>
      <c r="AB25" s="143">
        <f>ABS($D25-AA25)</f>
        <v/>
      </c>
      <c r="AC25" s="158" t="n"/>
      <c r="AE25" s="250" t="inlineStr">
        <is>
          <t>GPT4</t>
        </is>
      </c>
      <c r="AF25" s="213" t="inlineStr">
        <is>
          <t>Waiting for Input</t>
        </is>
      </c>
      <c r="AG25" s="210">
        <f>1-AG6</f>
        <v/>
      </c>
      <c r="AH25" s="239">
        <f>AVERAGE(AG25:AG29)</f>
        <v/>
      </c>
      <c r="AI25" s="259">
        <f>AVERAGE(AH25,AH30,AH35)</f>
        <v/>
      </c>
    </row>
    <row r="26" ht="20" customHeight="1" s="270">
      <c r="A26" s="150" t="inlineStr">
        <is>
          <t>GPT4</t>
        </is>
      </c>
      <c r="B26" s="128" t="inlineStr">
        <is>
          <t>Needs Help</t>
        </is>
      </c>
      <c r="C26" s="121" t="inlineStr">
        <is>
          <t>None</t>
        </is>
      </c>
      <c r="D26" s="138">
        <f>COUNTIFS(STUDY03_DATA!C:C,A26,STUDY03_DATA!D:D,B26,STUDY03_DATA!F:F,C26)/'META DATA'!$B$2</f>
        <v/>
      </c>
      <c r="E26" s="154" t="n"/>
      <c r="F26" s="145" t="n">
        <v>0.05</v>
      </c>
      <c r="G26" s="143">
        <f>ABS($D26-F26)</f>
        <v/>
      </c>
      <c r="H26" s="140" t="n"/>
      <c r="I26" s="145" t="n">
        <v>0.05</v>
      </c>
      <c r="J26" s="143">
        <f>ABS($D26-I26)</f>
        <v/>
      </c>
      <c r="K26" s="140" t="n"/>
      <c r="L26" s="145" t="n">
        <v>0</v>
      </c>
      <c r="M26" s="143">
        <f>ABS($D26-L26)</f>
        <v/>
      </c>
      <c r="N26" s="158" t="n"/>
      <c r="O26" s="145" t="n">
        <v>0</v>
      </c>
      <c r="P26" s="143">
        <f>ABS($D26-O26)</f>
        <v/>
      </c>
      <c r="Q26" s="158" t="n"/>
      <c r="R26" s="145" t="n">
        <v>0</v>
      </c>
      <c r="S26" s="143">
        <f>ABS($D26-R26)</f>
        <v/>
      </c>
      <c r="T26" s="158" t="n"/>
      <c r="U26" s="145" t="n">
        <v>0.05</v>
      </c>
      <c r="V26" s="143">
        <f>ABS($D26-U26)</f>
        <v/>
      </c>
      <c r="W26" s="158" t="n"/>
      <c r="X26" s="145" t="n">
        <v>0</v>
      </c>
      <c r="Y26" s="143">
        <f>ABS($D26-X26)</f>
        <v/>
      </c>
      <c r="Z26" s="158" t="n"/>
      <c r="AA26" s="145" t="n">
        <v>0</v>
      </c>
      <c r="AB26" s="143">
        <f>ABS($D26-AA26)</f>
        <v/>
      </c>
      <c r="AC26" s="158" t="n"/>
      <c r="AE26" s="232" t="n"/>
      <c r="AF26" s="214" t="inlineStr">
        <is>
          <t>Analyzing Object</t>
        </is>
      </c>
      <c r="AG26" s="211">
        <f>1-AG7</f>
        <v/>
      </c>
      <c r="AH26" s="232" t="n"/>
      <c r="AI26" s="244" t="n"/>
    </row>
    <row r="27" ht="20" customHeight="1" s="270">
      <c r="A27" s="150" t="inlineStr">
        <is>
          <t>GPT4</t>
        </is>
      </c>
      <c r="B27" s="127" t="inlineStr">
        <is>
          <t>Confused</t>
        </is>
      </c>
      <c r="C27" s="121" t="inlineStr">
        <is>
          <t>Waiting for Input</t>
        </is>
      </c>
      <c r="D27" s="134">
        <f>COUNTIFS(STUDY03_DATA!C:C,A27,STUDY03_DATA!D:D,B27,STUDY03_DATA!F:F,C27)/'META DATA'!$B$2</f>
        <v/>
      </c>
      <c r="E27" s="154" t="n"/>
      <c r="F27" s="144">
        <f t="array" ref="F27:F32">LLM_C_01!S2:S7</f>
        <v/>
      </c>
      <c r="G27" s="143">
        <f>ABS($D27-F27)</f>
        <v/>
      </c>
      <c r="H27" s="140" t="n"/>
      <c r="I27" s="144">
        <f t="array" ref="I27:I32">LLM_C_02!S2:S7</f>
        <v/>
      </c>
      <c r="J27" s="143">
        <f>ABS($D27-I27)</f>
        <v/>
      </c>
      <c r="K27" s="140" t="n"/>
      <c r="L27" s="144">
        <f t="array" ref="L27:L32">LLM_C_03!S2:S7</f>
        <v/>
      </c>
      <c r="M27" s="143">
        <f>ABS($D27-L27)</f>
        <v/>
      </c>
      <c r="N27" s="158" t="n"/>
      <c r="O27" s="144">
        <f t="array" ref="O27:O32">LLM_C_04!S2:S7</f>
        <v/>
      </c>
      <c r="P27" s="143">
        <f>ABS($D27-O27)</f>
        <v/>
      </c>
      <c r="Q27" s="158" t="n"/>
      <c r="R27" s="144">
        <f t="array" ref="R27:R32">LLM_C_05!S2:S7</f>
        <v/>
      </c>
      <c r="S27" s="143">
        <f>ABS($D27-R27)</f>
        <v/>
      </c>
      <c r="T27" s="158" t="n"/>
      <c r="U27" s="144">
        <f t="array" ref="U27:U32">LLM_C_06!S2:S7</f>
        <v/>
      </c>
      <c r="V27" s="143">
        <f>ABS($D27-U27)</f>
        <v/>
      </c>
      <c r="W27" s="158" t="n"/>
      <c r="X27" s="144">
        <f t="array" ref="X27:X32">LLM_C_07!S2:S7</f>
        <v/>
      </c>
      <c r="Y27" s="143">
        <f>ABS($D27-X27)</f>
        <v/>
      </c>
      <c r="Z27" s="158" t="n"/>
      <c r="AA27" s="144">
        <f t="array" ref="AA27:AA32">LLM_C_08!S2:S7</f>
        <v/>
      </c>
      <c r="AB27" s="143">
        <f>ABS($D27-AA27)</f>
        <v/>
      </c>
      <c r="AC27" s="158" t="n"/>
      <c r="AE27" s="232" t="n"/>
      <c r="AF27" s="214" t="inlineStr">
        <is>
          <t>Found Object</t>
        </is>
      </c>
      <c r="AG27" s="211">
        <f>1-AG8</f>
        <v/>
      </c>
      <c r="AH27" s="232" t="n"/>
      <c r="AI27" s="244" t="n"/>
    </row>
    <row r="28" ht="20" customHeight="1" s="270">
      <c r="A28" s="150" t="inlineStr">
        <is>
          <t>GPT4</t>
        </is>
      </c>
      <c r="B28" s="127" t="inlineStr">
        <is>
          <t>Confused</t>
        </is>
      </c>
      <c r="C28" s="122" t="inlineStr">
        <is>
          <t>Analyzing Object</t>
        </is>
      </c>
      <c r="D28" s="134">
        <f>COUNTIFS(STUDY03_DATA!C:C,A28,STUDY03_DATA!D:D,B28,STUDY03_DATA!F:F,C28)/'META DATA'!$B$2</f>
        <v/>
      </c>
      <c r="E28" s="154" t="n"/>
      <c r="F28" s="144" t="n">
        <v>0</v>
      </c>
      <c r="G28" s="143">
        <f>ABS($D28-F28)</f>
        <v/>
      </c>
      <c r="H28" s="140" t="n"/>
      <c r="I28" s="144" t="n">
        <v>0</v>
      </c>
      <c r="J28" s="143">
        <f>ABS($D28-I28)</f>
        <v/>
      </c>
      <c r="K28" s="140" t="n"/>
      <c r="L28" s="144" t="n">
        <v>0.05</v>
      </c>
      <c r="M28" s="143">
        <f>ABS($D28-L28)</f>
        <v/>
      </c>
      <c r="N28" s="158" t="n"/>
      <c r="O28" s="144" t="n">
        <v>0</v>
      </c>
      <c r="P28" s="143">
        <f>ABS($D28-O28)</f>
        <v/>
      </c>
      <c r="Q28" s="158" t="n"/>
      <c r="R28" s="144" t="n">
        <v>0.1</v>
      </c>
      <c r="S28" s="143">
        <f>ABS($D28-R28)</f>
        <v/>
      </c>
      <c r="T28" s="158" t="n"/>
      <c r="U28" s="144" t="n">
        <v>0</v>
      </c>
      <c r="V28" s="143">
        <f>ABS($D28-U28)</f>
        <v/>
      </c>
      <c r="W28" s="158" t="n"/>
      <c r="X28" s="144" t="n">
        <v>0</v>
      </c>
      <c r="Y28" s="143">
        <f>ABS($D28-X28)</f>
        <v/>
      </c>
      <c r="Z28" s="158" t="n"/>
      <c r="AA28" s="144" t="n">
        <v>0.05</v>
      </c>
      <c r="AB28" s="143">
        <f>ABS($D28-AA28)</f>
        <v/>
      </c>
      <c r="AC28" s="158" t="n"/>
      <c r="AE28" s="232" t="n"/>
      <c r="AF28" s="214" t="inlineStr">
        <is>
          <t>Needs Help</t>
        </is>
      </c>
      <c r="AG28" s="211">
        <f>1-AG9</f>
        <v/>
      </c>
      <c r="AH28" s="232" t="n"/>
      <c r="AI28" s="244" t="n"/>
    </row>
    <row r="29" ht="20" customHeight="1" s="270" thickBot="1">
      <c r="A29" s="150" t="inlineStr">
        <is>
          <t>GPT4</t>
        </is>
      </c>
      <c r="B29" s="127" t="inlineStr">
        <is>
          <t>Confused</t>
        </is>
      </c>
      <c r="C29" s="122" t="inlineStr">
        <is>
          <t>Found Object</t>
        </is>
      </c>
      <c r="D29" s="134">
        <f>COUNTIFS(STUDY03_DATA!C:C,A29,STUDY03_DATA!D:D,B29,STUDY03_DATA!F:F,C29)/'META DATA'!$B$2</f>
        <v/>
      </c>
      <c r="E29" s="154" t="n"/>
      <c r="F29" s="144" t="n">
        <v>0</v>
      </c>
      <c r="G29" s="143">
        <f>ABS($D29-F29)</f>
        <v/>
      </c>
      <c r="H29" s="140" t="n"/>
      <c r="I29" s="144" t="n">
        <v>0</v>
      </c>
      <c r="J29" s="143">
        <f>ABS($D29-I29)</f>
        <v/>
      </c>
      <c r="K29" s="140" t="n"/>
      <c r="L29" s="144" t="n">
        <v>0.05</v>
      </c>
      <c r="M29" s="143">
        <f>ABS($D29-L29)</f>
        <v/>
      </c>
      <c r="N29" s="158" t="n"/>
      <c r="O29" s="144" t="n">
        <v>0</v>
      </c>
      <c r="P29" s="143">
        <f>ABS($D29-O29)</f>
        <v/>
      </c>
      <c r="Q29" s="158" t="n"/>
      <c r="R29" s="144" t="n">
        <v>0.05</v>
      </c>
      <c r="S29" s="143">
        <f>ABS($D29-R29)</f>
        <v/>
      </c>
      <c r="T29" s="158" t="n"/>
      <c r="U29" s="144" t="n">
        <v>0.05</v>
      </c>
      <c r="V29" s="143">
        <f>ABS($D29-U29)</f>
        <v/>
      </c>
      <c r="W29" s="158" t="n"/>
      <c r="X29" s="144" t="n">
        <v>0</v>
      </c>
      <c r="Y29" s="143">
        <f>ABS($D29-X29)</f>
        <v/>
      </c>
      <c r="Z29" s="158" t="n"/>
      <c r="AA29" s="144" t="n">
        <v>0</v>
      </c>
      <c r="AB29" s="143">
        <f>ABS($D29-AA29)</f>
        <v/>
      </c>
      <c r="AC29" s="158" t="n"/>
      <c r="AE29" s="233" t="n"/>
      <c r="AF29" s="215" t="inlineStr">
        <is>
          <t>Confused</t>
        </is>
      </c>
      <c r="AG29" s="212">
        <f>1-AG10</f>
        <v/>
      </c>
      <c r="AH29" s="233" t="n"/>
      <c r="AI29" s="244" t="n"/>
    </row>
    <row r="30" ht="20" customHeight="1" s="270">
      <c r="A30" s="150" t="inlineStr">
        <is>
          <t>GPT4</t>
        </is>
      </c>
      <c r="B30" s="127" t="inlineStr">
        <is>
          <t>Confused</t>
        </is>
      </c>
      <c r="C30" s="122" t="inlineStr">
        <is>
          <t>Needs Help</t>
        </is>
      </c>
      <c r="D30" s="134">
        <f>COUNTIFS(STUDY03_DATA!C:C,A30,STUDY03_DATA!D:D,B30,STUDY03_DATA!F:F,C30)/'META DATA'!$B$2</f>
        <v/>
      </c>
      <c r="E30" s="154" t="n"/>
      <c r="F30" s="144" t="n">
        <v>0.05</v>
      </c>
      <c r="G30" s="143">
        <f>ABS($D30-F30)</f>
        <v/>
      </c>
      <c r="H30" s="140" t="n"/>
      <c r="I30" s="144" t="n">
        <v>0.05</v>
      </c>
      <c r="J30" s="143">
        <f>ABS($D30-I30)</f>
        <v/>
      </c>
      <c r="K30" s="140" t="n"/>
      <c r="L30" s="144" t="n">
        <v>0.1</v>
      </c>
      <c r="M30" s="143">
        <f>ABS($D30-L30)</f>
        <v/>
      </c>
      <c r="N30" s="158" t="n"/>
      <c r="O30" s="144" t="n">
        <v>0.15</v>
      </c>
      <c r="P30" s="143">
        <f>ABS($D30-O30)</f>
        <v/>
      </c>
      <c r="Q30" s="158" t="n"/>
      <c r="R30" s="144" t="n">
        <v>0</v>
      </c>
      <c r="S30" s="143">
        <f>ABS($D30-R30)</f>
        <v/>
      </c>
      <c r="T30" s="158" t="n"/>
      <c r="U30" s="144" t="n">
        <v>0.05</v>
      </c>
      <c r="V30" s="143">
        <f>ABS($D30-U30)</f>
        <v/>
      </c>
      <c r="W30" s="158" t="n"/>
      <c r="X30" s="144" t="n">
        <v>0</v>
      </c>
      <c r="Y30" s="143">
        <f>ABS($D30-X30)</f>
        <v/>
      </c>
      <c r="Z30" s="158" t="n"/>
      <c r="AA30" s="144" t="n">
        <v>0.1</v>
      </c>
      <c r="AB30" s="143">
        <f>ABS($D30-AA30)</f>
        <v/>
      </c>
      <c r="AC30" s="158" t="n"/>
      <c r="AE30" s="251" t="inlineStr">
        <is>
          <t>Human</t>
        </is>
      </c>
      <c r="AF30" s="216" t="inlineStr">
        <is>
          <t>Waiting for Input</t>
        </is>
      </c>
      <c r="AG30" s="221">
        <f>1-AG11</f>
        <v/>
      </c>
      <c r="AH30" s="240">
        <f>AVERAGE(AG30:AG34)</f>
        <v/>
      </c>
      <c r="AI30" s="244" t="n"/>
    </row>
    <row r="31" ht="20" customHeight="1" s="270">
      <c r="A31" s="150" t="inlineStr">
        <is>
          <t>GPT4</t>
        </is>
      </c>
      <c r="B31" s="127" t="inlineStr">
        <is>
          <t>Confused</t>
        </is>
      </c>
      <c r="C31" s="121" t="inlineStr">
        <is>
          <t>Confused</t>
        </is>
      </c>
      <c r="D31" s="134">
        <f>COUNTIFS(STUDY03_DATA!C:C,A31,STUDY03_DATA!D:D,B31,STUDY03_DATA!F:F,C31)/'META DATA'!$B$2</f>
        <v/>
      </c>
      <c r="E31" s="154" t="n"/>
      <c r="F31" s="144" t="n">
        <v>0.75</v>
      </c>
      <c r="G31" s="143">
        <f>ABS($D31-F31)</f>
        <v/>
      </c>
      <c r="H31" s="140" t="n"/>
      <c r="I31" s="144" t="n">
        <v>0.8</v>
      </c>
      <c r="J31" s="143">
        <f>ABS($D31-I31)</f>
        <v/>
      </c>
      <c r="K31" s="140" t="n"/>
      <c r="L31" s="144" t="n">
        <v>0.55</v>
      </c>
      <c r="M31" s="143">
        <f>ABS($D31-L31)</f>
        <v/>
      </c>
      <c r="N31" s="158" t="n"/>
      <c r="O31" s="144" t="n">
        <v>0.8</v>
      </c>
      <c r="P31" s="143">
        <f>ABS($D31-O31)</f>
        <v/>
      </c>
      <c r="Q31" s="158" t="n"/>
      <c r="R31" s="144" t="n">
        <v>0.6</v>
      </c>
      <c r="S31" s="143">
        <f>ABS($D31-R31)</f>
        <v/>
      </c>
      <c r="T31" s="158" t="n"/>
      <c r="U31" s="144" t="n">
        <v>0.65</v>
      </c>
      <c r="V31" s="143">
        <f>ABS($D31-U31)</f>
        <v/>
      </c>
      <c r="W31" s="158" t="n"/>
      <c r="X31" s="144" t="n">
        <v>0.9</v>
      </c>
      <c r="Y31" s="143">
        <f>ABS($D31-X31)</f>
        <v/>
      </c>
      <c r="Z31" s="158" t="n"/>
      <c r="AA31" s="144" t="n">
        <v>0.55</v>
      </c>
      <c r="AB31" s="143">
        <f>ABS($D31-AA31)</f>
        <v/>
      </c>
      <c r="AC31" s="158" t="n"/>
      <c r="AE31" s="232" t="n"/>
      <c r="AF31" s="217" t="inlineStr">
        <is>
          <t>Analyzing Object</t>
        </is>
      </c>
      <c r="AG31" s="223">
        <f>1-AG12</f>
        <v/>
      </c>
      <c r="AH31" s="232" t="n"/>
      <c r="AI31" s="244" t="n"/>
    </row>
    <row r="32" ht="20" customHeight="1" s="270">
      <c r="A32" s="150" t="inlineStr">
        <is>
          <t>GPT4</t>
        </is>
      </c>
      <c r="B32" s="127" t="inlineStr">
        <is>
          <t>Confused</t>
        </is>
      </c>
      <c r="C32" s="121" t="inlineStr">
        <is>
          <t>None</t>
        </is>
      </c>
      <c r="D32" s="134">
        <f>COUNTIFS(STUDY03_DATA!C:C,A32,STUDY03_DATA!D:D,B32,STUDY03_DATA!F:F,C32)/'META DATA'!$B$2</f>
        <v/>
      </c>
      <c r="E32" s="154" t="n"/>
      <c r="F32" s="144" t="n">
        <v>0</v>
      </c>
      <c r="G32" s="143">
        <f>ABS($D32-F32)</f>
        <v/>
      </c>
      <c r="H32" s="140" t="n"/>
      <c r="I32" s="144" t="n">
        <v>0.05</v>
      </c>
      <c r="J32" s="143">
        <f>ABS($D32-I32)</f>
        <v/>
      </c>
      <c r="K32" s="140" t="n"/>
      <c r="L32" s="144" t="n">
        <v>0</v>
      </c>
      <c r="M32" s="143">
        <f>ABS($D32-L32)</f>
        <v/>
      </c>
      <c r="N32" s="158" t="n"/>
      <c r="O32" s="144" t="n">
        <v>0</v>
      </c>
      <c r="P32" s="143">
        <f>ABS($D32-O32)</f>
        <v/>
      </c>
      <c r="Q32" s="158" t="n"/>
      <c r="R32" s="144" t="n">
        <v>0</v>
      </c>
      <c r="S32" s="143">
        <f>ABS($D32-R32)</f>
        <v/>
      </c>
      <c r="T32" s="158" t="n"/>
      <c r="U32" s="144" t="n">
        <v>0</v>
      </c>
      <c r="V32" s="143">
        <f>ABS($D32-U32)</f>
        <v/>
      </c>
      <c r="W32" s="158" t="n"/>
      <c r="X32" s="144" t="n">
        <v>0.05</v>
      </c>
      <c r="Y32" s="143">
        <f>ABS($D32-X32)</f>
        <v/>
      </c>
      <c r="Z32" s="158" t="n"/>
      <c r="AA32" s="144" t="n">
        <v>0.1</v>
      </c>
      <c r="AB32" s="143">
        <f>ABS($D32-AA32)</f>
        <v/>
      </c>
      <c r="AC32" s="158" t="n"/>
      <c r="AE32" s="232" t="n"/>
      <c r="AF32" s="217" t="inlineStr">
        <is>
          <t>Found Object</t>
        </is>
      </c>
      <c r="AG32" s="223">
        <f>1-AG13</f>
        <v/>
      </c>
      <c r="AH32" s="232" t="n"/>
      <c r="AI32" s="244" t="n"/>
    </row>
    <row r="33" ht="20" customHeight="1" s="270">
      <c r="A33" s="151" t="inlineStr">
        <is>
          <t>Human</t>
        </is>
      </c>
      <c r="B33" s="129" t="inlineStr">
        <is>
          <t>Waiting for Input</t>
        </is>
      </c>
      <c r="C33" s="123" t="inlineStr">
        <is>
          <t>Waiting for Input</t>
        </is>
      </c>
      <c r="D33" s="138">
        <f>COUNTIFS(STUDY03_DATA!C:C,A33,STUDY03_DATA!D:D,B33,STUDY03_DATA!F:F,C33)/'META DATA'!$B$2</f>
        <v/>
      </c>
      <c r="E33" s="154" t="n"/>
      <c r="F33" s="145">
        <f t="array" ref="F33:F38">HUM_WFI_01!S2:S7</f>
        <v/>
      </c>
      <c r="G33" s="143">
        <f>ABS($D33-F33)</f>
        <v/>
      </c>
      <c r="H33" s="140" t="n"/>
      <c r="I33" s="145">
        <f t="array" ref="I33:I38">HUM_WFI_02!S2:S7</f>
        <v/>
      </c>
      <c r="J33" s="143">
        <f>ABS($D33-I33)</f>
        <v/>
      </c>
      <c r="K33" s="140" t="n"/>
      <c r="L33" s="145">
        <f t="array" ref="L33:L38">HUM_WFI_03!S2:S7</f>
        <v/>
      </c>
      <c r="M33" s="143">
        <f>ABS($D33-L33)</f>
        <v/>
      </c>
      <c r="N33" s="158" t="n"/>
      <c r="O33" s="145">
        <f t="array" ref="O33:O38">HUM_WFI_04!S2:S7</f>
        <v/>
      </c>
      <c r="P33" s="143">
        <f>ABS($D33-O33)</f>
        <v/>
      </c>
      <c r="Q33" s="158" t="n"/>
      <c r="R33" s="145">
        <f t="array" ref="R33:R38">HUM_WFI_05!S2:S7</f>
        <v/>
      </c>
      <c r="S33" s="143">
        <f>ABS($D33-R33)</f>
        <v/>
      </c>
      <c r="T33" s="158" t="n"/>
      <c r="U33" s="145">
        <f t="array" ref="U33:U38">HUM_WFI_06!S2:S7</f>
        <v/>
      </c>
      <c r="V33" s="143">
        <f>ABS($D33-U33)</f>
        <v/>
      </c>
      <c r="W33" s="158" t="n"/>
      <c r="X33" s="145">
        <f t="array" ref="X33:X38">HUM_WFI_07!S2:S7</f>
        <v/>
      </c>
      <c r="Y33" s="143">
        <f>ABS($D33-X33)</f>
        <v/>
      </c>
      <c r="Z33" s="158" t="n"/>
      <c r="AA33" s="145">
        <f t="array" ref="AA33:AA38">HUM_WFI_08!S2:S7</f>
        <v/>
      </c>
      <c r="AB33" s="143">
        <f>ABS($D33-AA33)</f>
        <v/>
      </c>
      <c r="AC33" s="158" t="n"/>
      <c r="AE33" s="232" t="n"/>
      <c r="AF33" s="217" t="inlineStr">
        <is>
          <t>Needs Help</t>
        </is>
      </c>
      <c r="AG33" s="223">
        <f>1-AG14</f>
        <v/>
      </c>
      <c r="AH33" s="232" t="n"/>
      <c r="AI33" s="244" t="n"/>
    </row>
    <row r="34" ht="20" customHeight="1" s="270" thickBot="1">
      <c r="A34" s="151" t="inlineStr">
        <is>
          <t>Human</t>
        </is>
      </c>
      <c r="B34" s="129" t="inlineStr">
        <is>
          <t>Waiting for Input</t>
        </is>
      </c>
      <c r="C34" s="124" t="inlineStr">
        <is>
          <t>Analyzing Object</t>
        </is>
      </c>
      <c r="D34" s="138">
        <f>COUNTIFS(STUDY03_DATA!C:C,A34,STUDY03_DATA!D:D,B34,STUDY03_DATA!F:F,C34)/'META DATA'!$B$2</f>
        <v/>
      </c>
      <c r="E34" s="154" t="n"/>
      <c r="F34" s="145" t="n">
        <v>0</v>
      </c>
      <c r="G34" s="143">
        <f>ABS($D34-F34)</f>
        <v/>
      </c>
      <c r="H34" s="140" t="n"/>
      <c r="I34" s="145" t="n">
        <v>0.25</v>
      </c>
      <c r="J34" s="143">
        <f>ABS($D34-I34)</f>
        <v/>
      </c>
      <c r="K34" s="140" t="n"/>
      <c r="L34" s="145" t="n">
        <v>0.15</v>
      </c>
      <c r="M34" s="143">
        <f>ABS($D34-L34)</f>
        <v/>
      </c>
      <c r="N34" s="158" t="n"/>
      <c r="O34" s="145" t="n">
        <v>0.05</v>
      </c>
      <c r="P34" s="143">
        <f>ABS($D34-O34)</f>
        <v/>
      </c>
      <c r="Q34" s="158" t="n"/>
      <c r="R34" s="145" t="n">
        <v>0.4</v>
      </c>
      <c r="S34" s="143">
        <f>ABS($D34-R34)</f>
        <v/>
      </c>
      <c r="T34" s="158" t="n"/>
      <c r="U34" s="145" t="n">
        <v>0.2</v>
      </c>
      <c r="V34" s="143">
        <f>ABS($D34-U34)</f>
        <v/>
      </c>
      <c r="W34" s="158" t="n"/>
      <c r="X34" s="145" t="n">
        <v>0.15</v>
      </c>
      <c r="Y34" s="143">
        <f>ABS($D34-X34)</f>
        <v/>
      </c>
      <c r="Z34" s="158" t="n"/>
      <c r="AA34" s="145" t="n">
        <v>0.15</v>
      </c>
      <c r="AB34" s="143">
        <f>ABS($D34-AA34)</f>
        <v/>
      </c>
      <c r="AC34" s="158" t="n"/>
      <c r="AE34" s="233" t="n"/>
      <c r="AF34" s="216" t="inlineStr">
        <is>
          <t>Confused</t>
        </is>
      </c>
      <c r="AG34" s="224">
        <f>1-AG15</f>
        <v/>
      </c>
      <c r="AH34" s="233" t="n"/>
      <c r="AI34" s="244" t="n"/>
    </row>
    <row r="35" ht="20" customHeight="1" s="270">
      <c r="A35" s="151" t="inlineStr">
        <is>
          <t>Human</t>
        </is>
      </c>
      <c r="B35" s="129" t="inlineStr">
        <is>
          <t>Waiting for Input</t>
        </is>
      </c>
      <c r="C35" s="124" t="inlineStr">
        <is>
          <t>Found Object</t>
        </is>
      </c>
      <c r="D35" s="138">
        <f>COUNTIFS(STUDY03_DATA!C:C,A35,STUDY03_DATA!D:D,B35,STUDY03_DATA!F:F,C35)/'META DATA'!$B$2</f>
        <v/>
      </c>
      <c r="E35" s="154" t="n"/>
      <c r="F35" s="145" t="n">
        <v>0</v>
      </c>
      <c r="G35" s="143">
        <f>ABS($D35-F35)</f>
        <v/>
      </c>
      <c r="H35" s="140" t="n"/>
      <c r="I35" s="145" t="n">
        <v>0</v>
      </c>
      <c r="J35" s="143">
        <f>ABS($D35-I35)</f>
        <v/>
      </c>
      <c r="K35" s="140" t="n"/>
      <c r="L35" s="145" t="n">
        <v>0.1</v>
      </c>
      <c r="M35" s="143">
        <f>ABS($D35-L35)</f>
        <v/>
      </c>
      <c r="N35" s="158" t="n"/>
      <c r="O35" s="145" t="n">
        <v>0</v>
      </c>
      <c r="P35" s="143">
        <f>ABS($D35-O35)</f>
        <v/>
      </c>
      <c r="Q35" s="158" t="n"/>
      <c r="R35" s="145" t="n">
        <v>0.15</v>
      </c>
      <c r="S35" s="143">
        <f>ABS($D35-R35)</f>
        <v/>
      </c>
      <c r="T35" s="158" t="n"/>
      <c r="U35" s="145" t="n">
        <v>0</v>
      </c>
      <c r="V35" s="143">
        <f>ABS($D35-U35)</f>
        <v/>
      </c>
      <c r="W35" s="158" t="n"/>
      <c r="X35" s="145" t="n">
        <v>0</v>
      </c>
      <c r="Y35" s="143">
        <f>ABS($D35-X35)</f>
        <v/>
      </c>
      <c r="Z35" s="158" t="n"/>
      <c r="AA35" s="145" t="n">
        <v>0.05</v>
      </c>
      <c r="AB35" s="143">
        <f>ABS($D35-AA35)</f>
        <v/>
      </c>
      <c r="AC35" s="158" t="n"/>
      <c r="AE35" s="258" t="inlineStr">
        <is>
          <t>Random</t>
        </is>
      </c>
      <c r="AF35" s="218" t="inlineStr">
        <is>
          <t>Waiting for Input</t>
        </is>
      </c>
      <c r="AG35" s="204">
        <f>1-AG16</f>
        <v/>
      </c>
      <c r="AH35" s="252">
        <f>AVERAGE(AG35:AG39)</f>
        <v/>
      </c>
      <c r="AI35" s="244" t="n"/>
    </row>
    <row r="36" ht="20" customHeight="1" s="270">
      <c r="A36" s="151" t="inlineStr">
        <is>
          <t>Human</t>
        </is>
      </c>
      <c r="B36" s="129" t="inlineStr">
        <is>
          <t>Waiting for Input</t>
        </is>
      </c>
      <c r="C36" s="124" t="inlineStr">
        <is>
          <t>Needs Help</t>
        </is>
      </c>
      <c r="D36" s="138">
        <f>COUNTIFS(STUDY03_DATA!C:C,A36,STUDY03_DATA!D:D,B36,STUDY03_DATA!F:F,C36)/'META DATA'!$B$2</f>
        <v/>
      </c>
      <c r="E36" s="154" t="n"/>
      <c r="F36" s="145" t="n">
        <v>0.25</v>
      </c>
      <c r="G36" s="143">
        <f>ABS($D36-F36)</f>
        <v/>
      </c>
      <c r="H36" s="140" t="n"/>
      <c r="I36" s="145" t="n">
        <v>0.05</v>
      </c>
      <c r="J36" s="143">
        <f>ABS($D36-I36)</f>
        <v/>
      </c>
      <c r="K36" s="140" t="n"/>
      <c r="L36" s="145" t="n">
        <v>0.15</v>
      </c>
      <c r="M36" s="143">
        <f>ABS($D36-L36)</f>
        <v/>
      </c>
      <c r="N36" s="158" t="n"/>
      <c r="O36" s="145" t="n">
        <v>0.2</v>
      </c>
      <c r="P36" s="143">
        <f>ABS($D36-O36)</f>
        <v/>
      </c>
      <c r="Q36" s="158" t="n"/>
      <c r="R36" s="145" t="n">
        <v>0</v>
      </c>
      <c r="S36" s="143">
        <f>ABS($D36-R36)</f>
        <v/>
      </c>
      <c r="T36" s="158" t="n"/>
      <c r="U36" s="145" t="n">
        <v>0.15</v>
      </c>
      <c r="V36" s="143">
        <f>ABS($D36-U36)</f>
        <v/>
      </c>
      <c r="W36" s="158" t="n"/>
      <c r="X36" s="145" t="n">
        <v>0.25</v>
      </c>
      <c r="Y36" s="143">
        <f>ABS($D36-X36)</f>
        <v/>
      </c>
      <c r="Z36" s="158" t="n"/>
      <c r="AA36" s="145" t="n">
        <v>0.05</v>
      </c>
      <c r="AB36" s="143">
        <f>ABS($D36-AA36)</f>
        <v/>
      </c>
      <c r="AC36" s="158" t="n"/>
      <c r="AE36" s="232" t="n"/>
      <c r="AF36" s="219" t="inlineStr">
        <is>
          <t>Analyzing Object</t>
        </is>
      </c>
      <c r="AG36" s="205">
        <f>1-AG17</f>
        <v/>
      </c>
      <c r="AH36" s="232" t="n"/>
      <c r="AI36" s="244" t="n"/>
    </row>
    <row r="37" ht="20" customHeight="1" s="270">
      <c r="A37" s="151" t="inlineStr">
        <is>
          <t>Human</t>
        </is>
      </c>
      <c r="B37" s="129" t="inlineStr">
        <is>
          <t>Waiting for Input</t>
        </is>
      </c>
      <c r="C37" s="123" t="inlineStr">
        <is>
          <t>Confused</t>
        </is>
      </c>
      <c r="D37" s="138">
        <f>COUNTIFS(STUDY03_DATA!C:C,A37,STUDY03_DATA!D:D,B37,STUDY03_DATA!F:F,C37)/'META DATA'!$B$2</f>
        <v/>
      </c>
      <c r="E37" s="154" t="n"/>
      <c r="F37" s="145" t="n">
        <v>0.15</v>
      </c>
      <c r="G37" s="143">
        <f>ABS($D37-F37)</f>
        <v/>
      </c>
      <c r="H37" s="140" t="n"/>
      <c r="I37" s="145" t="n">
        <v>0.05</v>
      </c>
      <c r="J37" s="143">
        <f>ABS($D37-I37)</f>
        <v/>
      </c>
      <c r="K37" s="140" t="n"/>
      <c r="L37" s="145" t="n">
        <v>0.1</v>
      </c>
      <c r="M37" s="143">
        <f>ABS($D37-L37)</f>
        <v/>
      </c>
      <c r="N37" s="158" t="n"/>
      <c r="O37" s="145" t="n">
        <v>0.15</v>
      </c>
      <c r="P37" s="143">
        <f>ABS($D37-O37)</f>
        <v/>
      </c>
      <c r="Q37" s="158" t="n"/>
      <c r="R37" s="145" t="n">
        <v>0</v>
      </c>
      <c r="S37" s="143">
        <f>ABS($D37-R37)</f>
        <v/>
      </c>
      <c r="T37" s="158" t="n"/>
      <c r="U37" s="145" t="n">
        <v>0.05</v>
      </c>
      <c r="V37" s="143">
        <f>ABS($D37-U37)</f>
        <v/>
      </c>
      <c r="W37" s="158" t="n"/>
      <c r="X37" s="145" t="n">
        <v>0.2</v>
      </c>
      <c r="Y37" s="143">
        <f>ABS($D37-X37)</f>
        <v/>
      </c>
      <c r="Z37" s="158" t="n"/>
      <c r="AA37" s="145" t="n">
        <v>0</v>
      </c>
      <c r="AB37" s="143">
        <f>ABS($D37-AA37)</f>
        <v/>
      </c>
      <c r="AC37" s="158" t="n"/>
      <c r="AE37" s="232" t="n"/>
      <c r="AF37" s="219" t="inlineStr">
        <is>
          <t>Found Object</t>
        </is>
      </c>
      <c r="AG37" s="205">
        <f>1-AG18</f>
        <v/>
      </c>
      <c r="AH37" s="232" t="n"/>
      <c r="AI37" s="244" t="n"/>
    </row>
    <row r="38" ht="20" customHeight="1" s="270">
      <c r="A38" s="151" t="inlineStr">
        <is>
          <t>Human</t>
        </is>
      </c>
      <c r="B38" s="129" t="inlineStr">
        <is>
          <t>Waiting for Input</t>
        </is>
      </c>
      <c r="C38" s="123" t="inlineStr">
        <is>
          <t>None</t>
        </is>
      </c>
      <c r="D38" s="138">
        <f>COUNTIFS(STUDY03_DATA!C:C,A38,STUDY03_DATA!D:D,B38,STUDY03_DATA!F:F,C38)/'META DATA'!$B$2</f>
        <v/>
      </c>
      <c r="E38" s="154" t="n"/>
      <c r="F38" s="145" t="n">
        <v>0.1</v>
      </c>
      <c r="G38" s="143">
        <f>ABS($D38-F38)</f>
        <v/>
      </c>
      <c r="H38" s="140" t="n"/>
      <c r="I38" s="145" t="n">
        <v>0.1</v>
      </c>
      <c r="J38" s="143">
        <f>ABS($D38-I38)</f>
        <v/>
      </c>
      <c r="K38" s="140" t="n"/>
      <c r="L38" s="145" t="n">
        <v>0</v>
      </c>
      <c r="M38" s="143">
        <f>ABS($D38-L38)</f>
        <v/>
      </c>
      <c r="N38" s="158" t="n"/>
      <c r="O38" s="145" t="n">
        <v>0</v>
      </c>
      <c r="P38" s="143">
        <f>ABS($D38-O38)</f>
        <v/>
      </c>
      <c r="Q38" s="158" t="n"/>
      <c r="R38" s="145" t="n">
        <v>0.05</v>
      </c>
      <c r="S38" s="143">
        <f>ABS($D38-R38)</f>
        <v/>
      </c>
      <c r="T38" s="158" t="n"/>
      <c r="U38" s="145" t="n">
        <v>0.05</v>
      </c>
      <c r="V38" s="143">
        <f>ABS($D38-U38)</f>
        <v/>
      </c>
      <c r="W38" s="158" t="n"/>
      <c r="X38" s="145" t="n">
        <v>0</v>
      </c>
      <c r="Y38" s="143">
        <f>ABS($D38-X38)</f>
        <v/>
      </c>
      <c r="Z38" s="158" t="n"/>
      <c r="AA38" s="145" t="n">
        <v>0</v>
      </c>
      <c r="AB38" s="143">
        <f>ABS($D38-AA38)</f>
        <v/>
      </c>
      <c r="AC38" s="158" t="n"/>
      <c r="AE38" s="232" t="n"/>
      <c r="AF38" s="219" t="inlineStr">
        <is>
          <t>Needs Help</t>
        </is>
      </c>
      <c r="AG38" s="205">
        <f>1-AG19</f>
        <v/>
      </c>
      <c r="AH38" s="232" t="n"/>
      <c r="AI38" s="244" t="n"/>
    </row>
    <row r="39" ht="20" customHeight="1" s="270" thickBot="1">
      <c r="A39" s="151" t="inlineStr">
        <is>
          <t>Human</t>
        </is>
      </c>
      <c r="B39" s="130" t="inlineStr">
        <is>
          <t>Analyzing Object</t>
        </is>
      </c>
      <c r="C39" s="123" t="inlineStr">
        <is>
          <t>Waiting for Input</t>
        </is>
      </c>
      <c r="D39" s="134">
        <f>COUNTIFS(STUDY03_DATA!C:C,A39,STUDY03_DATA!D:D,B39,STUDY03_DATA!F:F,C39)/'META DATA'!$B$2</f>
        <v/>
      </c>
      <c r="E39" s="154" t="n"/>
      <c r="F39" s="144">
        <f t="array" ref="F39:F44">HUM_AO_01!S2:S7</f>
        <v/>
      </c>
      <c r="G39" s="143">
        <f>ABS($D39-F39)</f>
        <v/>
      </c>
      <c r="H39" s="140" t="n"/>
      <c r="I39" s="144">
        <f t="array" ref="I39:I44">HUM_AO_02!S2:S7</f>
        <v/>
      </c>
      <c r="J39" s="143">
        <f>ABS($D39-I39)</f>
        <v/>
      </c>
      <c r="K39" s="140" t="n"/>
      <c r="L39" s="144">
        <f t="array" ref="L39:L44">HUM_AO_03!S2:S7</f>
        <v/>
      </c>
      <c r="M39" s="143">
        <f>ABS($D39-L39)</f>
        <v/>
      </c>
      <c r="N39" s="158" t="n"/>
      <c r="O39" s="144">
        <f t="array" ref="O39:O44">HUM_AO_04!S2:S7</f>
        <v/>
      </c>
      <c r="P39" s="143">
        <f>ABS($D39-O39)</f>
        <v/>
      </c>
      <c r="Q39" s="158" t="n"/>
      <c r="R39" s="144">
        <f t="array" ref="R39:R44">HUM_AO_05!S2:S7</f>
        <v/>
      </c>
      <c r="S39" s="143">
        <f>ABS($D39-R39)</f>
        <v/>
      </c>
      <c r="T39" s="158" t="n"/>
      <c r="U39" s="144">
        <f t="array" ref="U39:U44">HUM_AO_06!S2:S7</f>
        <v/>
      </c>
      <c r="V39" s="143">
        <f>ABS($D39-U39)</f>
        <v/>
      </c>
      <c r="W39" s="158" t="n"/>
      <c r="X39" s="144">
        <f t="array" ref="X39:X44">HUM_AO_07!S2:S7</f>
        <v/>
      </c>
      <c r="Y39" s="143">
        <f>ABS($D39-X39)</f>
        <v/>
      </c>
      <c r="Z39" s="158" t="n"/>
      <c r="AA39" s="144">
        <f t="array" ref="AA39:AA44">HUM_AO_08!S2:S7</f>
        <v/>
      </c>
      <c r="AB39" s="143">
        <f>ABS($D39-AA39)</f>
        <v/>
      </c>
      <c r="AC39" s="158" t="n"/>
      <c r="AE39" s="233" t="n"/>
      <c r="AF39" s="220" t="inlineStr">
        <is>
          <t>Confused</t>
        </is>
      </c>
      <c r="AG39" s="206">
        <f>1-AG20</f>
        <v/>
      </c>
      <c r="AH39" s="233" t="n"/>
      <c r="AI39" s="246" t="n"/>
    </row>
    <row r="40" ht="20" customHeight="1" s="270" thickBot="1">
      <c r="A40" s="151" t="inlineStr">
        <is>
          <t>Human</t>
        </is>
      </c>
      <c r="B40" s="130" t="inlineStr">
        <is>
          <t>Analyzing Object</t>
        </is>
      </c>
      <c r="C40" s="124" t="inlineStr">
        <is>
          <t>Analyzing Object</t>
        </is>
      </c>
      <c r="D40" s="134">
        <f>COUNTIFS(STUDY03_DATA!C:C,A40,STUDY03_DATA!D:D,B40,STUDY03_DATA!F:F,C40)/'META DATA'!$B$2</f>
        <v/>
      </c>
      <c r="E40" s="154" t="n"/>
      <c r="F40" s="144" t="n">
        <v>0.75</v>
      </c>
      <c r="G40" s="143">
        <f>ABS($D40-F40)</f>
        <v/>
      </c>
      <c r="H40" s="140" t="n"/>
      <c r="I40" s="144" t="n">
        <v>0.45</v>
      </c>
      <c r="J40" s="143">
        <f>ABS($D40-I40)</f>
        <v/>
      </c>
      <c r="K40" s="140" t="n"/>
      <c r="L40" s="144" t="n">
        <v>0.25</v>
      </c>
      <c r="M40" s="143">
        <f>ABS($D40-L40)</f>
        <v/>
      </c>
      <c r="N40" s="158" t="n"/>
      <c r="O40" s="144" t="n">
        <v>0.85</v>
      </c>
      <c r="P40" s="143">
        <f>ABS($D40-O40)</f>
        <v/>
      </c>
      <c r="Q40" s="158" t="n"/>
      <c r="R40" s="144" t="n">
        <v>0.7</v>
      </c>
      <c r="S40" s="143">
        <f>ABS($D40-R40)</f>
        <v/>
      </c>
      <c r="T40" s="158" t="n"/>
      <c r="U40" s="144" t="n">
        <v>0.6</v>
      </c>
      <c r="V40" s="143">
        <f>ABS($D40-U40)</f>
        <v/>
      </c>
      <c r="W40" s="158" t="n"/>
      <c r="X40" s="144" t="n">
        <v>0.8</v>
      </c>
      <c r="Y40" s="143">
        <f>ABS($D40-X40)</f>
        <v/>
      </c>
      <c r="Z40" s="158" t="n"/>
      <c r="AA40" s="144" t="n">
        <v>0.65</v>
      </c>
      <c r="AB40" s="143">
        <f>ABS($D40-AA40)</f>
        <v/>
      </c>
      <c r="AC40" s="158" t="n"/>
    </row>
    <row r="41" ht="20" customHeight="1" s="270" thickBot="1">
      <c r="A41" s="151" t="inlineStr">
        <is>
          <t>Human</t>
        </is>
      </c>
      <c r="B41" s="130" t="inlineStr">
        <is>
          <t>Analyzing Object</t>
        </is>
      </c>
      <c r="C41" s="124" t="inlineStr">
        <is>
          <t>Found Object</t>
        </is>
      </c>
      <c r="D41" s="134">
        <f>COUNTIFS(STUDY03_DATA!C:C,A41,STUDY03_DATA!D:D,B41,STUDY03_DATA!F:F,C41)/'META DATA'!$B$2</f>
        <v/>
      </c>
      <c r="E41" s="154" t="n"/>
      <c r="F41" s="144" t="n">
        <v>0</v>
      </c>
      <c r="G41" s="143">
        <f>ABS($D41-F41)</f>
        <v/>
      </c>
      <c r="H41" s="140" t="n"/>
      <c r="I41" s="144" t="n">
        <v>0.2</v>
      </c>
      <c r="J41" s="143">
        <f>ABS($D41-I41)</f>
        <v/>
      </c>
      <c r="K41" s="140" t="n"/>
      <c r="L41" s="144" t="n">
        <v>0.1</v>
      </c>
      <c r="M41" s="143">
        <f>ABS($D41-L41)</f>
        <v/>
      </c>
      <c r="N41" s="158" t="n"/>
      <c r="O41" s="144" t="n">
        <v>0</v>
      </c>
      <c r="P41" s="143">
        <f>ABS($D41-O41)</f>
        <v/>
      </c>
      <c r="Q41" s="158" t="n"/>
      <c r="R41" s="144" t="n">
        <v>0.15</v>
      </c>
      <c r="S41" s="143">
        <f>ABS($D41-R41)</f>
        <v/>
      </c>
      <c r="T41" s="158" t="n"/>
      <c r="U41" s="144" t="n">
        <v>0.05</v>
      </c>
      <c r="V41" s="143">
        <f>ABS($D41-U41)</f>
        <v/>
      </c>
      <c r="W41" s="158" t="n"/>
      <c r="X41" s="144" t="n">
        <v>0.1</v>
      </c>
      <c r="Y41" s="143">
        <f>ABS($D41-X41)</f>
        <v/>
      </c>
      <c r="Z41" s="158" t="n"/>
      <c r="AA41" s="144" t="n">
        <v>0.15</v>
      </c>
      <c r="AB41" s="143">
        <f>ABS($D41-AA41)</f>
        <v/>
      </c>
      <c r="AC41" s="158" t="n"/>
      <c r="AE41" s="234" t="inlineStr">
        <is>
          <t>USER STUDY 03 Classification Accuracy Data</t>
        </is>
      </c>
      <c r="AF41" s="235" t="n"/>
      <c r="AG41" s="235" t="n"/>
      <c r="AH41" s="236" t="n"/>
    </row>
    <row r="42" ht="20" customHeight="1" s="270" thickBot="1">
      <c r="A42" s="151" t="inlineStr">
        <is>
          <t>Human</t>
        </is>
      </c>
      <c r="B42" s="130" t="inlineStr">
        <is>
          <t>Analyzing Object</t>
        </is>
      </c>
      <c r="C42" s="124" t="inlineStr">
        <is>
          <t>Needs Help</t>
        </is>
      </c>
      <c r="D42" s="134">
        <f>COUNTIFS(STUDY03_DATA!C:C,A42,STUDY03_DATA!D:D,B42,STUDY03_DATA!F:F,C42)/'META DATA'!$B$2</f>
        <v/>
      </c>
      <c r="E42" s="154" t="n"/>
      <c r="F42" s="144" t="n">
        <v>0</v>
      </c>
      <c r="G42" s="143">
        <f>ABS($D42-F42)</f>
        <v/>
      </c>
      <c r="H42" s="140" t="n"/>
      <c r="I42" s="144" t="n">
        <v>0</v>
      </c>
      <c r="J42" s="143">
        <f>ABS($D42-I42)</f>
        <v/>
      </c>
      <c r="K42" s="140" t="n"/>
      <c r="L42" s="144" t="n">
        <v>0.1</v>
      </c>
      <c r="M42" s="143">
        <f>ABS($D42-L42)</f>
        <v/>
      </c>
      <c r="N42" s="158" t="n"/>
      <c r="O42" s="144" t="n">
        <v>0</v>
      </c>
      <c r="P42" s="143">
        <f>ABS($D42-O42)</f>
        <v/>
      </c>
      <c r="Q42" s="158" t="n"/>
      <c r="R42" s="144" t="n">
        <v>0</v>
      </c>
      <c r="S42" s="143">
        <f>ABS($D42-R42)</f>
        <v/>
      </c>
      <c r="T42" s="158" t="n"/>
      <c r="U42" s="144" t="n">
        <v>0</v>
      </c>
      <c r="V42" s="143">
        <f>ABS($D42-U42)</f>
        <v/>
      </c>
      <c r="W42" s="158" t="n"/>
      <c r="X42" s="144" t="n">
        <v>0.05</v>
      </c>
      <c r="Y42" s="143">
        <f>ABS($D42-X42)</f>
        <v/>
      </c>
      <c r="Z42" s="158" t="n"/>
      <c r="AA42" s="144" t="n">
        <v>0</v>
      </c>
      <c r="AB42" s="143">
        <f>ABS($D42-AA42)</f>
        <v/>
      </c>
      <c r="AC42" s="158" t="n"/>
      <c r="AE42" s="194" t="inlineStr">
        <is>
          <t>Condition</t>
        </is>
      </c>
      <c r="AF42" s="183" t="inlineStr">
        <is>
          <t>State</t>
        </is>
      </c>
      <c r="AG42" s="183" t="inlineStr">
        <is>
          <t xml:space="preserve">Percentage </t>
        </is>
      </c>
      <c r="AH42" s="184" t="inlineStr">
        <is>
          <t>Average</t>
        </is>
      </c>
    </row>
    <row r="43" ht="20" customHeight="1" s="270">
      <c r="A43" s="151" t="inlineStr">
        <is>
          <t>Human</t>
        </is>
      </c>
      <c r="B43" s="130" t="inlineStr">
        <is>
          <t>Analyzing Object</t>
        </is>
      </c>
      <c r="C43" s="123" t="inlineStr">
        <is>
          <t>Confused</t>
        </is>
      </c>
      <c r="D43" s="134">
        <f>COUNTIFS(STUDY03_DATA!C:C,A43,STUDY03_DATA!D:D,B43,STUDY03_DATA!F:F,C43)/'META DATA'!$B$2</f>
        <v/>
      </c>
      <c r="E43" s="154" t="n"/>
      <c r="F43" s="144" t="n">
        <v>0.1</v>
      </c>
      <c r="G43" s="143">
        <f>ABS($D43-F43)</f>
        <v/>
      </c>
      <c r="H43" s="140" t="n"/>
      <c r="I43" s="144" t="n">
        <v>0.25</v>
      </c>
      <c r="J43" s="143">
        <f>ABS($D43-I43)</f>
        <v/>
      </c>
      <c r="K43" s="140" t="n"/>
      <c r="L43" s="144" t="n">
        <v>0.4</v>
      </c>
      <c r="M43" s="143">
        <f>ABS($D43-L43)</f>
        <v/>
      </c>
      <c r="N43" s="158" t="n"/>
      <c r="O43" s="144" t="n">
        <v>0.15</v>
      </c>
      <c r="P43" s="143">
        <f>ABS($D43-O43)</f>
        <v/>
      </c>
      <c r="Q43" s="158" t="n"/>
      <c r="R43" s="144" t="n">
        <v>0.05</v>
      </c>
      <c r="S43" s="143">
        <f>ABS($D43-R43)</f>
        <v/>
      </c>
      <c r="T43" s="158" t="n"/>
      <c r="U43" s="144" t="n">
        <v>0.15</v>
      </c>
      <c r="V43" s="143">
        <f>ABS($D43-U43)</f>
        <v/>
      </c>
      <c r="W43" s="158" t="n"/>
      <c r="X43" s="144" t="n">
        <v>0.05</v>
      </c>
      <c r="Y43" s="143">
        <f>ABS($D43-X43)</f>
        <v/>
      </c>
      <c r="Z43" s="158" t="n"/>
      <c r="AA43" s="144" t="n">
        <v>0.15</v>
      </c>
      <c r="AB43" s="143">
        <f>ABS($D43-AA43)</f>
        <v/>
      </c>
      <c r="AC43" s="158" t="n"/>
      <c r="AE43" s="260" t="inlineStr">
        <is>
          <t>GPT4</t>
        </is>
      </c>
      <c r="AF43" s="213" t="inlineStr">
        <is>
          <t>Waiting for Input</t>
        </is>
      </c>
      <c r="AG43" s="185" t="n">
        <v>0.7333333333333333</v>
      </c>
      <c r="AH43" s="262" t="n">
        <v>0.46</v>
      </c>
    </row>
    <row r="44" ht="20" customHeight="1" s="270">
      <c r="A44" s="151" t="inlineStr">
        <is>
          <t>Human</t>
        </is>
      </c>
      <c r="B44" s="130" t="inlineStr">
        <is>
          <t>Analyzing Object</t>
        </is>
      </c>
      <c r="C44" s="123" t="inlineStr">
        <is>
          <t>None</t>
        </is>
      </c>
      <c r="D44" s="134">
        <f>COUNTIFS(STUDY03_DATA!C:C,A44,STUDY03_DATA!D:D,B44,STUDY03_DATA!F:F,C44)/'META DATA'!$B$2</f>
        <v/>
      </c>
      <c r="E44" s="154" t="n"/>
      <c r="F44" s="144" t="n">
        <v>0.05</v>
      </c>
      <c r="G44" s="143">
        <f>ABS($D44-F44)</f>
        <v/>
      </c>
      <c r="H44" s="140" t="n"/>
      <c r="I44" s="144" t="n">
        <v>0.05</v>
      </c>
      <c r="J44" s="143">
        <f>ABS($D44-I44)</f>
        <v/>
      </c>
      <c r="K44" s="140" t="n"/>
      <c r="L44" s="144" t="n">
        <v>0.05</v>
      </c>
      <c r="M44" s="143">
        <f>ABS($D44-L44)</f>
        <v/>
      </c>
      <c r="N44" s="158" t="n"/>
      <c r="O44" s="144" t="n">
        <v>0</v>
      </c>
      <c r="P44" s="143">
        <f>ABS($D44-O44)</f>
        <v/>
      </c>
      <c r="Q44" s="158" t="n"/>
      <c r="R44" s="144" t="n">
        <v>0</v>
      </c>
      <c r="S44" s="143">
        <f>ABS($D44-R44)</f>
        <v/>
      </c>
      <c r="T44" s="158" t="n"/>
      <c r="U44" s="144" t="n">
        <v>0.1</v>
      </c>
      <c r="V44" s="143">
        <f>ABS($D44-U44)</f>
        <v/>
      </c>
      <c r="W44" s="158" t="n"/>
      <c r="X44" s="144" t="n">
        <v>0</v>
      </c>
      <c r="Y44" s="143">
        <f>ABS($D44-X44)</f>
        <v/>
      </c>
      <c r="Z44" s="158" t="n"/>
      <c r="AA44" s="144" t="n">
        <v>0.05</v>
      </c>
      <c r="AB44" s="143">
        <f>ABS($D44-AA44)</f>
        <v/>
      </c>
      <c r="AC44" s="158" t="n"/>
      <c r="AE44" s="232" t="n"/>
      <c r="AF44" s="214" t="inlineStr">
        <is>
          <t>Analyzing Object</t>
        </is>
      </c>
      <c r="AG44" s="186" t="n">
        <v>0.3333333333333333</v>
      </c>
      <c r="AH44" s="232" t="n"/>
    </row>
    <row r="45" ht="20" customHeight="1" s="270">
      <c r="A45" s="151" t="inlineStr">
        <is>
          <t>Human</t>
        </is>
      </c>
      <c r="B45" s="130" t="inlineStr">
        <is>
          <t>Found Object</t>
        </is>
      </c>
      <c r="C45" s="123" t="inlineStr">
        <is>
          <t>Waiting for Input</t>
        </is>
      </c>
      <c r="D45" s="138">
        <f>COUNTIFS(STUDY03_DATA!C:C,A45,STUDY03_DATA!D:D,B45,STUDY03_DATA!F:F,C45)/'META DATA'!$B$2</f>
        <v/>
      </c>
      <c r="E45" s="154" t="n"/>
      <c r="F45" s="145">
        <f t="array" ref="F45:F50">HUM_FO_01!S2:S7</f>
        <v/>
      </c>
      <c r="G45" s="143">
        <f>ABS($D45-F45)</f>
        <v/>
      </c>
      <c r="H45" s="140" t="n"/>
      <c r="I45" s="145">
        <f t="array" ref="I45:I50">HUM_FO_02!S2:S7</f>
        <v/>
      </c>
      <c r="J45" s="143">
        <f>ABS($D45-I45)</f>
        <v/>
      </c>
      <c r="K45" s="140" t="n"/>
      <c r="L45" s="145">
        <f t="array" ref="L45:L50">HUM_FO_03!S2:S7</f>
        <v/>
      </c>
      <c r="M45" s="143">
        <f>ABS($D45-L45)</f>
        <v/>
      </c>
      <c r="N45" s="158" t="n"/>
      <c r="O45" s="145">
        <f t="array" ref="O45:O50">HUM_FO_04!S2:S7</f>
        <v/>
      </c>
      <c r="P45" s="143">
        <f>ABS($D45-O45)</f>
        <v/>
      </c>
      <c r="Q45" s="158" t="n"/>
      <c r="R45" s="145">
        <f t="array" ref="R45:R50">HUM_FO_05!S2:S7</f>
        <v/>
      </c>
      <c r="S45" s="143">
        <f>ABS($D45-R45)</f>
        <v/>
      </c>
      <c r="T45" s="158" t="n"/>
      <c r="U45" s="145">
        <f t="array" ref="U45:U50">HUM_FO_06!S2:S7</f>
        <v/>
      </c>
      <c r="V45" s="143">
        <f>ABS($D45-U45)</f>
        <v/>
      </c>
      <c r="W45" s="158" t="n"/>
      <c r="X45" s="145">
        <f t="array" ref="X45:X50">HUM_FO_07!S2:S7</f>
        <v/>
      </c>
      <c r="Y45" s="143">
        <f>ABS($D45-X45)</f>
        <v/>
      </c>
      <c r="Z45" s="158" t="n"/>
      <c r="AA45" s="145">
        <f t="array" ref="AA45:AA50">HUM_FO_08!S2:S7</f>
        <v/>
      </c>
      <c r="AB45" s="143">
        <f>ABS($D45-AA45)</f>
        <v/>
      </c>
      <c r="AC45" s="158" t="n"/>
      <c r="AE45" s="232" t="n"/>
      <c r="AF45" s="214" t="inlineStr">
        <is>
          <t>Found Object</t>
        </is>
      </c>
      <c r="AG45" s="186" t="n">
        <v>0.4</v>
      </c>
      <c r="AH45" s="232" t="n"/>
    </row>
    <row r="46" ht="20" customHeight="1" s="270">
      <c r="A46" s="151" t="inlineStr">
        <is>
          <t>Human</t>
        </is>
      </c>
      <c r="B46" s="130" t="inlineStr">
        <is>
          <t>Found Object</t>
        </is>
      </c>
      <c r="C46" s="124" t="inlineStr">
        <is>
          <t>Analyzing Object</t>
        </is>
      </c>
      <c r="D46" s="138">
        <f>COUNTIFS(STUDY03_DATA!C:C,A46,STUDY03_DATA!D:D,B46,STUDY03_DATA!F:F,C46)/'META DATA'!$B$2</f>
        <v/>
      </c>
      <c r="E46" s="154" t="n"/>
      <c r="F46" s="145" t="n">
        <v>0.4</v>
      </c>
      <c r="G46" s="143">
        <f>ABS($D46-F46)</f>
        <v/>
      </c>
      <c r="H46" s="140" t="n"/>
      <c r="I46" s="145" t="n">
        <v>0.45</v>
      </c>
      <c r="J46" s="143">
        <f>ABS($D46-I46)</f>
        <v/>
      </c>
      <c r="K46" s="140" t="n"/>
      <c r="L46" s="145" t="n">
        <v>0.55</v>
      </c>
      <c r="M46" s="143">
        <f>ABS($D46-L46)</f>
        <v/>
      </c>
      <c r="N46" s="158" t="n"/>
      <c r="O46" s="145" t="n">
        <v>0.7</v>
      </c>
      <c r="P46" s="143">
        <f>ABS($D46-O46)</f>
        <v/>
      </c>
      <c r="Q46" s="158" t="n"/>
      <c r="R46" s="145" t="n">
        <v>0.75</v>
      </c>
      <c r="S46" s="143">
        <f>ABS($D46-R46)</f>
        <v/>
      </c>
      <c r="T46" s="158" t="n"/>
      <c r="U46" s="145" t="n">
        <v>0.55</v>
      </c>
      <c r="V46" s="143">
        <f>ABS($D46-U46)</f>
        <v/>
      </c>
      <c r="W46" s="158" t="n"/>
      <c r="X46" s="145" t="n">
        <v>0.7</v>
      </c>
      <c r="Y46" s="143">
        <f>ABS($D46-X46)</f>
        <v/>
      </c>
      <c r="Z46" s="158" t="n"/>
      <c r="AA46" s="145" t="n">
        <v>0.6</v>
      </c>
      <c r="AB46" s="143">
        <f>ABS($D46-AA46)</f>
        <v/>
      </c>
      <c r="AC46" s="158" t="n"/>
      <c r="AE46" s="232" t="n"/>
      <c r="AF46" s="214" t="inlineStr">
        <is>
          <t>Needs Help</t>
        </is>
      </c>
      <c r="AG46" s="186" t="n">
        <v>0.5166666666666667</v>
      </c>
      <c r="AH46" s="232" t="n"/>
    </row>
    <row r="47" ht="20" customHeight="1" s="270" thickBot="1">
      <c r="A47" s="151" t="inlineStr">
        <is>
          <t>Human</t>
        </is>
      </c>
      <c r="B47" s="130" t="inlineStr">
        <is>
          <t>Found Object</t>
        </is>
      </c>
      <c r="C47" s="124" t="inlineStr">
        <is>
          <t>Found Object</t>
        </is>
      </c>
      <c r="D47" s="138">
        <f>COUNTIFS(STUDY03_DATA!C:C,A47,STUDY03_DATA!D:D,B47,STUDY03_DATA!F:F,C47)/'META DATA'!$B$2</f>
        <v/>
      </c>
      <c r="E47" s="154" t="n"/>
      <c r="F47" s="145" t="n">
        <v>0.3</v>
      </c>
      <c r="G47" s="143">
        <f>ABS($D47-F47)</f>
        <v/>
      </c>
      <c r="H47" s="140" t="n"/>
      <c r="I47" s="145" t="n">
        <v>0.15</v>
      </c>
      <c r="J47" s="143">
        <f>ABS($D47-I47)</f>
        <v/>
      </c>
      <c r="K47" s="140" t="n"/>
      <c r="L47" s="145" t="n">
        <v>0.1</v>
      </c>
      <c r="M47" s="143">
        <f>ABS($D47-L47)</f>
        <v/>
      </c>
      <c r="N47" s="158" t="n"/>
      <c r="O47" s="145" t="n">
        <v>0.15</v>
      </c>
      <c r="P47" s="143">
        <f>ABS($D47-O47)</f>
        <v/>
      </c>
      <c r="Q47" s="158" t="n"/>
      <c r="R47" s="145" t="n">
        <v>0.15</v>
      </c>
      <c r="S47" s="143">
        <f>ABS($D47-R47)</f>
        <v/>
      </c>
      <c r="T47" s="158" t="n"/>
      <c r="U47" s="145" t="n">
        <v>0.4</v>
      </c>
      <c r="V47" s="143">
        <f>ABS($D47-U47)</f>
        <v/>
      </c>
      <c r="W47" s="158" t="n"/>
      <c r="X47" s="145" t="n">
        <v>0.2</v>
      </c>
      <c r="Y47" s="143">
        <f>ABS($D47-X47)</f>
        <v/>
      </c>
      <c r="Z47" s="158" t="n"/>
      <c r="AA47" s="145" t="n">
        <v>0.25</v>
      </c>
      <c r="AB47" s="143">
        <f>ABS($D47-AA47)</f>
        <v/>
      </c>
      <c r="AC47" s="158" t="n"/>
      <c r="AE47" s="233" t="n"/>
      <c r="AF47" s="215" t="inlineStr">
        <is>
          <t>Confused</t>
        </is>
      </c>
      <c r="AG47" s="187" t="n">
        <v>0.3166666666666667</v>
      </c>
      <c r="AH47" s="233" t="n"/>
    </row>
    <row r="48" ht="20" customHeight="1" s="270">
      <c r="A48" s="151" t="inlineStr">
        <is>
          <t>Human</t>
        </is>
      </c>
      <c r="B48" s="130" t="inlineStr">
        <is>
          <t>Found Object</t>
        </is>
      </c>
      <c r="C48" s="124" t="inlineStr">
        <is>
          <t>Needs Help</t>
        </is>
      </c>
      <c r="D48" s="138">
        <f>COUNTIFS(STUDY03_DATA!C:C,A48,STUDY03_DATA!D:D,B48,STUDY03_DATA!F:F,C48)/'META DATA'!$B$2</f>
        <v/>
      </c>
      <c r="E48" s="154" t="n"/>
      <c r="F48" s="145" t="n">
        <v>0.05</v>
      </c>
      <c r="G48" s="143">
        <f>ABS($D48-F48)</f>
        <v/>
      </c>
      <c r="H48" s="140" t="n"/>
      <c r="I48" s="145" t="n">
        <v>0.05</v>
      </c>
      <c r="J48" s="143">
        <f>ABS($D48-I48)</f>
        <v/>
      </c>
      <c r="K48" s="140" t="n"/>
      <c r="L48" s="145" t="n">
        <v>0</v>
      </c>
      <c r="M48" s="143">
        <f>ABS($D48-L48)</f>
        <v/>
      </c>
      <c r="N48" s="158" t="n"/>
      <c r="O48" s="145" t="n">
        <v>0</v>
      </c>
      <c r="P48" s="143">
        <f>ABS($D48-O48)</f>
        <v/>
      </c>
      <c r="Q48" s="158" t="n"/>
      <c r="R48" s="145" t="n">
        <v>0</v>
      </c>
      <c r="S48" s="143">
        <f>ABS($D48-R48)</f>
        <v/>
      </c>
      <c r="T48" s="158" t="n"/>
      <c r="U48" s="145" t="n">
        <v>0</v>
      </c>
      <c r="V48" s="143">
        <f>ABS($D48-U48)</f>
        <v/>
      </c>
      <c r="W48" s="158" t="n"/>
      <c r="X48" s="145" t="n">
        <v>0.05</v>
      </c>
      <c r="Y48" s="143">
        <f>ABS($D48-X48)</f>
        <v/>
      </c>
      <c r="Z48" s="158" t="n"/>
      <c r="AA48" s="145" t="n">
        <v>0.05</v>
      </c>
      <c r="AB48" s="143">
        <f>ABS($D48-AA48)</f>
        <v/>
      </c>
      <c r="AC48" s="158" t="n"/>
      <c r="AE48" s="231" t="inlineStr">
        <is>
          <t>Human</t>
        </is>
      </c>
      <c r="AF48" s="216" t="inlineStr">
        <is>
          <t>Waiting for Input</t>
        </is>
      </c>
      <c r="AG48" s="188" t="n">
        <v>0.65</v>
      </c>
      <c r="AH48" s="238" t="n">
        <v>0.4266666666666667</v>
      </c>
    </row>
    <row r="49" ht="20" customHeight="1" s="270">
      <c r="A49" s="151" t="inlineStr">
        <is>
          <t>Human</t>
        </is>
      </c>
      <c r="B49" s="130" t="inlineStr">
        <is>
          <t>Found Object</t>
        </is>
      </c>
      <c r="C49" s="123" t="inlineStr">
        <is>
          <t>Confused</t>
        </is>
      </c>
      <c r="D49" s="138">
        <f>COUNTIFS(STUDY03_DATA!C:C,A49,STUDY03_DATA!D:D,B49,STUDY03_DATA!F:F,C49)/'META DATA'!$B$2</f>
        <v/>
      </c>
      <c r="E49" s="154" t="n"/>
      <c r="F49" s="145" t="n">
        <v>0.05</v>
      </c>
      <c r="G49" s="143">
        <f>ABS($D49-F49)</f>
        <v/>
      </c>
      <c r="H49" s="140" t="n"/>
      <c r="I49" s="145" t="n">
        <v>0.1</v>
      </c>
      <c r="J49" s="143">
        <f>ABS($D49-I49)</f>
        <v/>
      </c>
      <c r="K49" s="140" t="n"/>
      <c r="L49" s="145" t="n">
        <v>0.05</v>
      </c>
      <c r="M49" s="143">
        <f>ABS($D49-L49)</f>
        <v/>
      </c>
      <c r="N49" s="158" t="n"/>
      <c r="O49" s="145" t="n">
        <v>0.1</v>
      </c>
      <c r="P49" s="143">
        <f>ABS($D49-O49)</f>
        <v/>
      </c>
      <c r="Q49" s="158" t="n"/>
      <c r="R49" s="145" t="n">
        <v>0</v>
      </c>
      <c r="S49" s="143">
        <f>ABS($D49-R49)</f>
        <v/>
      </c>
      <c r="T49" s="158" t="n"/>
      <c r="U49" s="145" t="n">
        <v>0.05</v>
      </c>
      <c r="V49" s="143">
        <f>ABS($D49-U49)</f>
        <v/>
      </c>
      <c r="W49" s="158" t="n"/>
      <c r="X49" s="145" t="n">
        <v>0.05</v>
      </c>
      <c r="Y49" s="143">
        <f>ABS($D49-X49)</f>
        <v/>
      </c>
      <c r="Z49" s="158" t="n"/>
      <c r="AA49" s="145" t="n">
        <v>0.05</v>
      </c>
      <c r="AB49" s="143">
        <f>ABS($D49-AA49)</f>
        <v/>
      </c>
      <c r="AC49" s="158" t="n"/>
      <c r="AE49" s="232" t="n"/>
      <c r="AF49" s="217" t="inlineStr">
        <is>
          <t>Analyzing Object</t>
        </is>
      </c>
      <c r="AG49" s="189" t="n">
        <v>0.55</v>
      </c>
      <c r="AH49" s="232" t="n"/>
    </row>
    <row r="50" ht="20" customHeight="1" s="270">
      <c r="A50" s="151" t="inlineStr">
        <is>
          <t>Human</t>
        </is>
      </c>
      <c r="B50" s="130" t="inlineStr">
        <is>
          <t>Found Object</t>
        </is>
      </c>
      <c r="C50" s="123" t="inlineStr">
        <is>
          <t>None</t>
        </is>
      </c>
      <c r="D50" s="138">
        <f>COUNTIFS(STUDY03_DATA!C:C,A50,STUDY03_DATA!D:D,B50,STUDY03_DATA!F:F,C50)/'META DATA'!$B$2</f>
        <v/>
      </c>
      <c r="E50" s="154" t="n"/>
      <c r="F50" s="145" t="n">
        <v>0</v>
      </c>
      <c r="G50" s="143">
        <f>ABS($D50-F50)</f>
        <v/>
      </c>
      <c r="H50" s="140" t="n"/>
      <c r="I50" s="145" t="n">
        <v>0</v>
      </c>
      <c r="J50" s="143">
        <f>ABS($D50-I50)</f>
        <v/>
      </c>
      <c r="K50" s="140" t="n"/>
      <c r="L50" s="145" t="n">
        <v>0.05</v>
      </c>
      <c r="M50" s="143">
        <f>ABS($D50-L50)</f>
        <v/>
      </c>
      <c r="N50" s="158" t="n"/>
      <c r="O50" s="145" t="n">
        <v>0</v>
      </c>
      <c r="P50" s="143">
        <f>ABS($D50-O50)</f>
        <v/>
      </c>
      <c r="Q50" s="158" t="n"/>
      <c r="R50" s="145" t="n">
        <v>0.05</v>
      </c>
      <c r="S50" s="143">
        <f>ABS($D50-R50)</f>
        <v/>
      </c>
      <c r="T50" s="158" t="n"/>
      <c r="U50" s="145" t="n">
        <v>0</v>
      </c>
      <c r="V50" s="143">
        <f>ABS($D50-U50)</f>
        <v/>
      </c>
      <c r="W50" s="158" t="n"/>
      <c r="X50" s="145" t="n">
        <v>0</v>
      </c>
      <c r="Y50" s="143">
        <f>ABS($D50-X50)</f>
        <v/>
      </c>
      <c r="Z50" s="158" t="n"/>
      <c r="AA50" s="145" t="n">
        <v>0</v>
      </c>
      <c r="AB50" s="143">
        <f>ABS($D50-AA50)</f>
        <v/>
      </c>
      <c r="AC50" s="158" t="n"/>
      <c r="AE50" s="232" t="n"/>
      <c r="AF50" s="217" t="inlineStr">
        <is>
          <t>Found Object</t>
        </is>
      </c>
      <c r="AG50" s="189" t="n">
        <v>0.4833333333333333</v>
      </c>
      <c r="AH50" s="232" t="n"/>
    </row>
    <row r="51" ht="20" customHeight="1" s="270">
      <c r="A51" s="151" t="inlineStr">
        <is>
          <t>Human</t>
        </is>
      </c>
      <c r="B51" s="130" t="inlineStr">
        <is>
          <t>Needs Help</t>
        </is>
      </c>
      <c r="C51" s="123" t="inlineStr">
        <is>
          <t>Waiting for Input</t>
        </is>
      </c>
      <c r="D51" s="134">
        <f>COUNTIFS(STUDY03_DATA!C:C,A51,STUDY03_DATA!D:D,B51,STUDY03_DATA!F:F,C51)/'META DATA'!$B$2</f>
        <v/>
      </c>
      <c r="E51" s="154" t="n"/>
      <c r="F51" s="144">
        <f t="array" ref="F51:F56">HUM_NH_01!S2:S7</f>
        <v/>
      </c>
      <c r="G51" s="143">
        <f>ABS($D51-F51)</f>
        <v/>
      </c>
      <c r="H51" s="140" t="n"/>
      <c r="I51" s="144">
        <f t="array" ref="I51:I56">HUM_NH_02!S2:S7</f>
        <v/>
      </c>
      <c r="J51" s="143">
        <f>ABS($D51-I51)</f>
        <v/>
      </c>
      <c r="K51" s="140" t="n"/>
      <c r="L51" s="144">
        <f t="array" ref="L51:L56">HUM_NH_03!S2:S7</f>
        <v/>
      </c>
      <c r="M51" s="143">
        <f>ABS($D51-L51)</f>
        <v/>
      </c>
      <c r="N51" s="158" t="n"/>
      <c r="O51" s="144">
        <f t="array" ref="O51:O56">HUM_NH_04!S2:S7</f>
        <v/>
      </c>
      <c r="P51" s="143">
        <f>ABS($D51-O51)</f>
        <v/>
      </c>
      <c r="Q51" s="158" t="n"/>
      <c r="R51" s="144">
        <f t="array" ref="R51:R56">HUM_NH_05!S2:S7</f>
        <v/>
      </c>
      <c r="S51" s="143">
        <f>ABS($D51-R51)</f>
        <v/>
      </c>
      <c r="T51" s="158" t="n"/>
      <c r="U51" s="144">
        <f t="array" ref="U51:U56">HUM_NH_06!S2:S7</f>
        <v/>
      </c>
      <c r="V51" s="143">
        <f>ABS($D51-U51)</f>
        <v/>
      </c>
      <c r="W51" s="158" t="n"/>
      <c r="X51" s="144">
        <f t="array" ref="X51:X56">HUM_NH_07!S2:S7</f>
        <v/>
      </c>
      <c r="Y51" s="143">
        <f>ABS($D51-X51)</f>
        <v/>
      </c>
      <c r="Z51" s="158" t="n"/>
      <c r="AA51" s="144">
        <f t="array" ref="AA51:AA56">HUM_NH_08!S2:S7</f>
        <v/>
      </c>
      <c r="AB51" s="143">
        <f>ABS($D51-AA51)</f>
        <v/>
      </c>
      <c r="AC51" s="158" t="n"/>
      <c r="AE51" s="232" t="n"/>
      <c r="AF51" s="217" t="inlineStr">
        <is>
          <t>Needs Help</t>
        </is>
      </c>
      <c r="AG51" s="189" t="n">
        <v>0.1833333333333333</v>
      </c>
      <c r="AH51" s="232" t="n"/>
    </row>
    <row r="52" ht="20" customHeight="1" s="270" thickBot="1">
      <c r="A52" s="151" t="inlineStr">
        <is>
          <t>Human</t>
        </is>
      </c>
      <c r="B52" s="130" t="inlineStr">
        <is>
          <t>Needs Help</t>
        </is>
      </c>
      <c r="C52" s="124" t="inlineStr">
        <is>
          <t>Analyzing Object</t>
        </is>
      </c>
      <c r="D52" s="134">
        <f>COUNTIFS(STUDY03_DATA!C:C,A52,STUDY03_DATA!D:D,B52,STUDY03_DATA!F:F,C52)/'META DATA'!$B$2</f>
        <v/>
      </c>
      <c r="E52" s="154" t="n"/>
      <c r="F52" s="144" t="n">
        <v>0</v>
      </c>
      <c r="G52" s="143">
        <f>ABS($D52-F52)</f>
        <v/>
      </c>
      <c r="H52" s="140" t="n"/>
      <c r="I52" s="144" t="n">
        <v>0</v>
      </c>
      <c r="J52" s="143">
        <f>ABS($D52-I52)</f>
        <v/>
      </c>
      <c r="K52" s="140" t="n"/>
      <c r="L52" s="144" t="n">
        <v>0</v>
      </c>
      <c r="M52" s="143">
        <f>ABS($D52-L52)</f>
        <v/>
      </c>
      <c r="N52" s="158" t="n"/>
      <c r="O52" s="144" t="n">
        <v>0</v>
      </c>
      <c r="P52" s="143">
        <f>ABS($D52-O52)</f>
        <v/>
      </c>
      <c r="Q52" s="158" t="n"/>
      <c r="R52" s="144" t="n">
        <v>0.3</v>
      </c>
      <c r="S52" s="143">
        <f>ABS($D52-R52)</f>
        <v/>
      </c>
      <c r="T52" s="158" t="n"/>
      <c r="U52" s="144" t="n">
        <v>0.05</v>
      </c>
      <c r="V52" s="143">
        <f>ABS($D52-U52)</f>
        <v/>
      </c>
      <c r="W52" s="158" t="n"/>
      <c r="X52" s="144" t="n">
        <v>0</v>
      </c>
      <c r="Y52" s="143">
        <f>ABS($D52-X52)</f>
        <v/>
      </c>
      <c r="Z52" s="158" t="n"/>
      <c r="AA52" s="144" t="n">
        <v>0.05</v>
      </c>
      <c r="AB52" s="143">
        <f>ABS($D52-AA52)</f>
        <v/>
      </c>
      <c r="AC52" s="158" t="n"/>
      <c r="AE52" s="233" t="n"/>
      <c r="AF52" s="216" t="inlineStr">
        <is>
          <t>Confused</t>
        </is>
      </c>
      <c r="AG52" s="190" t="n">
        <v>0.2666666666666667</v>
      </c>
      <c r="AH52" s="233" t="n"/>
    </row>
    <row r="53" ht="20" customHeight="1" s="270">
      <c r="A53" s="151" t="inlineStr">
        <is>
          <t>Human</t>
        </is>
      </c>
      <c r="B53" s="130" t="inlineStr">
        <is>
          <t>Needs Help</t>
        </is>
      </c>
      <c r="C53" s="124" t="inlineStr">
        <is>
          <t>Found Object</t>
        </is>
      </c>
      <c r="D53" s="134">
        <f>COUNTIFS(STUDY03_DATA!C:C,A53,STUDY03_DATA!D:D,B53,STUDY03_DATA!F:F,C53)/'META DATA'!$B$2</f>
        <v/>
      </c>
      <c r="E53" s="154" t="n"/>
      <c r="F53" s="144" t="n">
        <v>0</v>
      </c>
      <c r="G53" s="143">
        <f>ABS($D53-F53)</f>
        <v/>
      </c>
      <c r="H53" s="140" t="n"/>
      <c r="I53" s="144" t="n">
        <v>0</v>
      </c>
      <c r="J53" s="143">
        <f>ABS($D53-I53)</f>
        <v/>
      </c>
      <c r="K53" s="140" t="n"/>
      <c r="L53" s="144" t="n">
        <v>0</v>
      </c>
      <c r="M53" s="143">
        <f>ABS($D53-L53)</f>
        <v/>
      </c>
      <c r="N53" s="158" t="n"/>
      <c r="O53" s="144" t="n">
        <v>0</v>
      </c>
      <c r="P53" s="143">
        <f>ABS($D53-O53)</f>
        <v/>
      </c>
      <c r="Q53" s="158" t="n"/>
      <c r="R53" s="144" t="n">
        <v>0.05</v>
      </c>
      <c r="S53" s="143">
        <f>ABS($D53-R53)</f>
        <v/>
      </c>
      <c r="T53" s="158" t="n"/>
      <c r="U53" s="144" t="n">
        <v>0</v>
      </c>
      <c r="V53" s="143">
        <f>ABS($D53-U53)</f>
        <v/>
      </c>
      <c r="W53" s="158" t="n"/>
      <c r="X53" s="144" t="n">
        <v>0</v>
      </c>
      <c r="Y53" s="143">
        <f>ABS($D53-X53)</f>
        <v/>
      </c>
      <c r="Z53" s="158" t="n"/>
      <c r="AA53" s="144" t="n">
        <v>0</v>
      </c>
      <c r="AB53" s="143">
        <f>ABS($D53-AA53)</f>
        <v/>
      </c>
      <c r="AC53" s="158" t="n"/>
      <c r="AE53" s="237" t="inlineStr">
        <is>
          <t>Random</t>
        </is>
      </c>
      <c r="AF53" s="218" t="inlineStr">
        <is>
          <t>Waiting for Input</t>
        </is>
      </c>
      <c r="AG53" s="191" t="n">
        <v>0.01666666666666667</v>
      </c>
      <c r="AH53" s="261" t="n">
        <v>0.09</v>
      </c>
    </row>
    <row r="54" ht="20" customHeight="1" s="270">
      <c r="A54" s="151" t="inlineStr">
        <is>
          <t>Human</t>
        </is>
      </c>
      <c r="B54" s="130" t="inlineStr">
        <is>
          <t>Needs Help</t>
        </is>
      </c>
      <c r="C54" s="124" t="inlineStr">
        <is>
          <t>Needs Help</t>
        </is>
      </c>
      <c r="D54" s="134">
        <f>COUNTIFS(STUDY03_DATA!C:C,A54,STUDY03_DATA!D:D,B54,STUDY03_DATA!F:F,C54)/'META DATA'!$B$2</f>
        <v/>
      </c>
      <c r="E54" s="154" t="n"/>
      <c r="F54" s="144" t="n">
        <v>0.3</v>
      </c>
      <c r="G54" s="143">
        <f>ABS($D54-F54)</f>
        <v/>
      </c>
      <c r="H54" s="140" t="n"/>
      <c r="I54" s="144" t="n">
        <v>0.4</v>
      </c>
      <c r="J54" s="143">
        <f>ABS($D54-I54)</f>
        <v/>
      </c>
      <c r="K54" s="140" t="n"/>
      <c r="L54" s="144" t="n">
        <v>0.1</v>
      </c>
      <c r="M54" s="143">
        <f>ABS($D54-L54)</f>
        <v/>
      </c>
      <c r="N54" s="158" t="n"/>
      <c r="O54" s="144" t="n">
        <v>0.4</v>
      </c>
      <c r="P54" s="143">
        <f>ABS($D54-O54)</f>
        <v/>
      </c>
      <c r="Q54" s="158" t="n"/>
      <c r="R54" s="144" t="n">
        <v>0</v>
      </c>
      <c r="S54" s="143">
        <f>ABS($D54-R54)</f>
        <v/>
      </c>
      <c r="T54" s="158" t="n"/>
      <c r="U54" s="144" t="n">
        <v>0.55</v>
      </c>
      <c r="V54" s="143">
        <f>ABS($D54-U54)</f>
        <v/>
      </c>
      <c r="W54" s="158" t="n"/>
      <c r="X54" s="144" t="n">
        <v>0.3</v>
      </c>
      <c r="Y54" s="143">
        <f>ABS($D54-X54)</f>
        <v/>
      </c>
      <c r="Z54" s="158" t="n"/>
      <c r="AA54" s="144" t="n">
        <v>0.3</v>
      </c>
      <c r="AB54" s="143">
        <f>ABS($D54-AA54)</f>
        <v/>
      </c>
      <c r="AC54" s="158" t="n"/>
      <c r="AE54" s="232" t="n"/>
      <c r="AF54" s="219" t="inlineStr">
        <is>
          <t>Analyzing Object</t>
        </is>
      </c>
      <c r="AG54" s="192" t="n">
        <v>0.01666666666666667</v>
      </c>
      <c r="AH54" s="232" t="n"/>
    </row>
    <row r="55" ht="20" customHeight="1" s="270">
      <c r="A55" s="151" t="inlineStr">
        <is>
          <t>Human</t>
        </is>
      </c>
      <c r="B55" s="130" t="inlineStr">
        <is>
          <t>Needs Help</t>
        </is>
      </c>
      <c r="C55" s="123" t="inlineStr">
        <is>
          <t>Confused</t>
        </is>
      </c>
      <c r="D55" s="134">
        <f>COUNTIFS(STUDY03_DATA!C:C,A55,STUDY03_DATA!D:D,B55,STUDY03_DATA!F:F,C55)/'META DATA'!$B$2</f>
        <v/>
      </c>
      <c r="E55" s="154" t="n"/>
      <c r="F55" s="144" t="n">
        <v>0.7</v>
      </c>
      <c r="G55" s="143">
        <f>ABS($D55-F55)</f>
        <v/>
      </c>
      <c r="H55" s="140" t="n"/>
      <c r="I55" s="144" t="n">
        <v>0.6</v>
      </c>
      <c r="J55" s="143">
        <f>ABS($D55-I55)</f>
        <v/>
      </c>
      <c r="K55" s="140" t="n"/>
      <c r="L55" s="144" t="n">
        <v>0.7</v>
      </c>
      <c r="M55" s="143">
        <f>ABS($D55-L55)</f>
        <v/>
      </c>
      <c r="N55" s="158" t="n"/>
      <c r="O55" s="144" t="n">
        <v>0.6</v>
      </c>
      <c r="P55" s="143">
        <f>ABS($D55-O55)</f>
        <v/>
      </c>
      <c r="Q55" s="158" t="n"/>
      <c r="R55" s="144" t="n">
        <v>0.25</v>
      </c>
      <c r="S55" s="143">
        <f>ABS($D55-R55)</f>
        <v/>
      </c>
      <c r="T55" s="158" t="n"/>
      <c r="U55" s="144" t="n">
        <v>0.4</v>
      </c>
      <c r="V55" s="143">
        <f>ABS($D55-U55)</f>
        <v/>
      </c>
      <c r="W55" s="158" t="n"/>
      <c r="X55" s="144" t="n">
        <v>0.7</v>
      </c>
      <c r="Y55" s="143">
        <f>ABS($D55-X55)</f>
        <v/>
      </c>
      <c r="Z55" s="158" t="n"/>
      <c r="AA55" s="144" t="n">
        <v>0.5</v>
      </c>
      <c r="AB55" s="143">
        <f>ABS($D55-AA55)</f>
        <v/>
      </c>
      <c r="AC55" s="158" t="n"/>
      <c r="AE55" s="232" t="n"/>
      <c r="AF55" s="219" t="inlineStr">
        <is>
          <t>Found Object</t>
        </is>
      </c>
      <c r="AG55" s="192" t="n">
        <v>0.1666666666666667</v>
      </c>
      <c r="AH55" s="232" t="n"/>
    </row>
    <row r="56" ht="20" customHeight="1" s="270">
      <c r="A56" s="151" t="inlineStr">
        <is>
          <t>Human</t>
        </is>
      </c>
      <c r="B56" s="130" t="inlineStr">
        <is>
          <t>Needs Help</t>
        </is>
      </c>
      <c r="C56" s="123" t="inlineStr">
        <is>
          <t>None</t>
        </is>
      </c>
      <c r="D56" s="134">
        <f>COUNTIFS(STUDY03_DATA!C:C,A56,STUDY03_DATA!D:D,B56,STUDY03_DATA!F:F,C56)/'META DATA'!$B$2</f>
        <v/>
      </c>
      <c r="E56" s="154" t="n"/>
      <c r="F56" s="144" t="n">
        <v>0</v>
      </c>
      <c r="G56" s="143">
        <f>ABS($D56-F56)</f>
        <v/>
      </c>
      <c r="H56" s="140" t="n"/>
      <c r="I56" s="144" t="n">
        <v>0</v>
      </c>
      <c r="J56" s="143">
        <f>ABS($D56-I56)</f>
        <v/>
      </c>
      <c r="K56" s="140" t="n"/>
      <c r="L56" s="144" t="n">
        <v>0.05</v>
      </c>
      <c r="M56" s="143">
        <f>ABS($D56-L56)</f>
        <v/>
      </c>
      <c r="N56" s="158" t="n"/>
      <c r="O56" s="144" t="n">
        <v>0</v>
      </c>
      <c r="P56" s="143">
        <f>ABS($D56-O56)</f>
        <v/>
      </c>
      <c r="Q56" s="158" t="n"/>
      <c r="R56" s="144" t="n">
        <v>0</v>
      </c>
      <c r="S56" s="143">
        <f>ABS($D56-R56)</f>
        <v/>
      </c>
      <c r="T56" s="158" t="n"/>
      <c r="U56" s="144" t="n">
        <v>0</v>
      </c>
      <c r="V56" s="143">
        <f>ABS($D56-U56)</f>
        <v/>
      </c>
      <c r="W56" s="158" t="n"/>
      <c r="X56" s="144" t="n">
        <v>0</v>
      </c>
      <c r="Y56" s="143">
        <f>ABS($D56-X56)</f>
        <v/>
      </c>
      <c r="Z56" s="158" t="n"/>
      <c r="AA56" s="144" t="n">
        <v>0</v>
      </c>
      <c r="AB56" s="143">
        <f>ABS($D56-AA56)</f>
        <v/>
      </c>
      <c r="AC56" s="158" t="n"/>
      <c r="AE56" s="232" t="n"/>
      <c r="AF56" s="219" t="inlineStr">
        <is>
          <t>Needs Help</t>
        </is>
      </c>
      <c r="AG56" s="192" t="n">
        <v>0.06666666666666667</v>
      </c>
      <c r="AH56" s="232" t="n"/>
    </row>
    <row r="57" ht="20" customHeight="1" s="270" thickBot="1">
      <c r="A57" s="151" t="inlineStr">
        <is>
          <t>Human</t>
        </is>
      </c>
      <c r="B57" s="129" t="inlineStr">
        <is>
          <t>Confused</t>
        </is>
      </c>
      <c r="C57" s="123" t="inlineStr">
        <is>
          <t>Waiting for Input</t>
        </is>
      </c>
      <c r="D57" s="138">
        <f>COUNTIFS(STUDY03_DATA!C:C,A57,STUDY03_DATA!D:D,B57,STUDY03_DATA!F:F,C57)/'META DATA'!$B$2</f>
        <v/>
      </c>
      <c r="E57" s="154" t="n"/>
      <c r="F57" s="145">
        <f t="array" ref="F57:F62">HUM_C_01!S2:S7</f>
        <v/>
      </c>
      <c r="G57" s="143">
        <f>ABS($D57-F57)</f>
        <v/>
      </c>
      <c r="H57" s="140" t="n"/>
      <c r="I57" s="145">
        <f t="array" ref="I57:I62">HUM_C_02!S2:S7</f>
        <v/>
      </c>
      <c r="J57" s="143">
        <f>ABS($D57-I57)</f>
        <v/>
      </c>
      <c r="K57" s="140" t="n"/>
      <c r="L57" s="145">
        <f t="array" ref="L57:L62">HUM_C_03!S2:S7</f>
        <v/>
      </c>
      <c r="M57" s="143">
        <f>ABS($D57-L57)</f>
        <v/>
      </c>
      <c r="N57" s="158" t="n"/>
      <c r="O57" s="145">
        <f t="array" ref="O57:O62">HUM_C_04!S2:S7</f>
        <v/>
      </c>
      <c r="P57" s="143">
        <f>ABS($D57-O57)</f>
        <v/>
      </c>
      <c r="Q57" s="158" t="n"/>
      <c r="R57" s="145">
        <f t="array" ref="R57:R62">HUM_C_05!S2:S7</f>
        <v/>
      </c>
      <c r="S57" s="143">
        <f>ABS($D57-R57)</f>
        <v/>
      </c>
      <c r="T57" s="158" t="n"/>
      <c r="U57" s="145">
        <f t="array" ref="U57:U62">HUM_C_06!S2:S7</f>
        <v/>
      </c>
      <c r="V57" s="143">
        <f>ABS($D57-U57)</f>
        <v/>
      </c>
      <c r="W57" s="158" t="n"/>
      <c r="X57" s="145">
        <f t="array" ref="X57:X62">HUM_C_07!S2:S7</f>
        <v/>
      </c>
      <c r="Y57" s="143">
        <f>ABS($D57-X57)</f>
        <v/>
      </c>
      <c r="Z57" s="158" t="n"/>
      <c r="AA57" s="145">
        <f t="array" ref="AA57:AA62">HUM_C_08!S2:S7</f>
        <v/>
      </c>
      <c r="AB57" s="143">
        <f>ABS($D57-AA57)</f>
        <v/>
      </c>
      <c r="AC57" s="158" t="n"/>
      <c r="AE57" s="233" t="n"/>
      <c r="AF57" s="220" t="inlineStr">
        <is>
          <t>Confused</t>
        </is>
      </c>
      <c r="AG57" s="193" t="n">
        <v>0.1833333333333333</v>
      </c>
      <c r="AH57" s="233" t="n"/>
    </row>
    <row r="58" ht="20" customHeight="1" s="270">
      <c r="A58" s="151" t="inlineStr">
        <is>
          <t>Human</t>
        </is>
      </c>
      <c r="B58" s="129" t="inlineStr">
        <is>
          <t>Confused</t>
        </is>
      </c>
      <c r="C58" s="124" t="inlineStr">
        <is>
          <t>Analyzing Object</t>
        </is>
      </c>
      <c r="D58" s="138">
        <f>COUNTIFS(STUDY03_DATA!C:C,A58,STUDY03_DATA!D:D,B58,STUDY03_DATA!F:F,C58)/'META DATA'!$B$2</f>
        <v/>
      </c>
      <c r="E58" s="154" t="n"/>
      <c r="F58" s="145" t="n">
        <v>0.15</v>
      </c>
      <c r="G58" s="143">
        <f>ABS($D58-F58)</f>
        <v/>
      </c>
      <c r="H58" s="140" t="n"/>
      <c r="I58" s="145" t="n">
        <v>0</v>
      </c>
      <c r="J58" s="143">
        <f>ABS($D58-I58)</f>
        <v/>
      </c>
      <c r="K58" s="140" t="n"/>
      <c r="L58" s="145" t="n">
        <v>0</v>
      </c>
      <c r="M58" s="143">
        <f>ABS($D58-L58)</f>
        <v/>
      </c>
      <c r="N58" s="158" t="n"/>
      <c r="O58" s="145" t="n">
        <v>0.05</v>
      </c>
      <c r="P58" s="143">
        <f>ABS($D58-O58)</f>
        <v/>
      </c>
      <c r="Q58" s="158" t="n"/>
      <c r="R58" s="145" t="n">
        <v>0.3</v>
      </c>
      <c r="S58" s="143">
        <f>ABS($D58-R58)</f>
        <v/>
      </c>
      <c r="T58" s="158" t="n"/>
      <c r="U58" s="145" t="n">
        <v>0</v>
      </c>
      <c r="V58" s="143">
        <f>ABS($D58-U58)</f>
        <v/>
      </c>
      <c r="W58" s="158" t="n"/>
      <c r="X58" s="145" t="n">
        <v>0.1</v>
      </c>
      <c r="Y58" s="143">
        <f>ABS($D58-X58)</f>
        <v/>
      </c>
      <c r="Z58" s="158" t="n"/>
      <c r="AA58" s="145" t="n">
        <v>0.15</v>
      </c>
      <c r="AB58" s="143">
        <f>ABS($D58-AA58)</f>
        <v/>
      </c>
      <c r="AC58" s="158" t="n"/>
    </row>
    <row r="59" ht="20" customHeight="1" s="270">
      <c r="A59" s="151" t="inlineStr">
        <is>
          <t>Human</t>
        </is>
      </c>
      <c r="B59" s="129" t="inlineStr">
        <is>
          <t>Confused</t>
        </is>
      </c>
      <c r="C59" s="124" t="inlineStr">
        <is>
          <t>Found Object</t>
        </is>
      </c>
      <c r="D59" s="138">
        <f>COUNTIFS(STUDY03_DATA!C:C,A59,STUDY03_DATA!D:D,B59,STUDY03_DATA!F:F,C59)/'META DATA'!$B$2</f>
        <v/>
      </c>
      <c r="E59" s="154" t="n"/>
      <c r="F59" s="145" t="n">
        <v>0</v>
      </c>
      <c r="G59" s="143">
        <f>ABS($D59-F59)</f>
        <v/>
      </c>
      <c r="H59" s="140" t="n"/>
      <c r="I59" s="145" t="n">
        <v>0</v>
      </c>
      <c r="J59" s="143">
        <f>ABS($D59-I59)</f>
        <v/>
      </c>
      <c r="K59" s="140" t="n"/>
      <c r="L59" s="145" t="n">
        <v>0.05</v>
      </c>
      <c r="M59" s="143">
        <f>ABS($D59-L59)</f>
        <v/>
      </c>
      <c r="N59" s="158" t="n"/>
      <c r="O59" s="145" t="n">
        <v>0</v>
      </c>
      <c r="P59" s="143">
        <f>ABS($D59-O59)</f>
        <v/>
      </c>
      <c r="Q59" s="158" t="n"/>
      <c r="R59" s="145" t="n">
        <v>0</v>
      </c>
      <c r="S59" s="143">
        <f>ABS($D59-R59)</f>
        <v/>
      </c>
      <c r="T59" s="158" t="n"/>
      <c r="U59" s="145" t="n">
        <v>0</v>
      </c>
      <c r="V59" s="143">
        <f>ABS($D59-U59)</f>
        <v/>
      </c>
      <c r="W59" s="158" t="n"/>
      <c r="X59" s="145" t="n">
        <v>0</v>
      </c>
      <c r="Y59" s="143">
        <f>ABS($D59-X59)</f>
        <v/>
      </c>
      <c r="Z59" s="158" t="n"/>
      <c r="AA59" s="145" t="n">
        <v>0.05</v>
      </c>
      <c r="AB59" s="143">
        <f>ABS($D59-AA59)</f>
        <v/>
      </c>
      <c r="AC59" s="158" t="n"/>
    </row>
    <row r="60" ht="20" customHeight="1" s="270">
      <c r="A60" s="151" t="inlineStr">
        <is>
          <t>Human</t>
        </is>
      </c>
      <c r="B60" s="129" t="inlineStr">
        <is>
          <t>Confused</t>
        </is>
      </c>
      <c r="C60" s="124" t="inlineStr">
        <is>
          <t>Needs Help</t>
        </is>
      </c>
      <c r="D60" s="138">
        <f>COUNTIFS(STUDY03_DATA!C:C,A60,STUDY03_DATA!D:D,B60,STUDY03_DATA!F:F,C60)/'META DATA'!$B$2</f>
        <v/>
      </c>
      <c r="E60" s="154" t="n"/>
      <c r="F60" s="145" t="n">
        <v>0.2</v>
      </c>
      <c r="G60" s="143">
        <f>ABS($D60-F60)</f>
        <v/>
      </c>
      <c r="H60" s="140" t="n"/>
      <c r="I60" s="145" t="n">
        <v>0.1</v>
      </c>
      <c r="J60" s="143">
        <f>ABS($D60-I60)</f>
        <v/>
      </c>
      <c r="K60" s="140" t="n"/>
      <c r="L60" s="145" t="n">
        <v>0.2</v>
      </c>
      <c r="M60" s="143">
        <f>ABS($D60-L60)</f>
        <v/>
      </c>
      <c r="N60" s="158" t="n"/>
      <c r="O60" s="145" t="n">
        <v>0.3</v>
      </c>
      <c r="P60" s="143">
        <f>ABS($D60-O60)</f>
        <v/>
      </c>
      <c r="Q60" s="158" t="n"/>
      <c r="R60" s="145" t="n">
        <v>0</v>
      </c>
      <c r="S60" s="143">
        <f>ABS($D60-R60)</f>
        <v/>
      </c>
      <c r="T60" s="158" t="n"/>
      <c r="U60" s="145" t="n">
        <v>0.25</v>
      </c>
      <c r="V60" s="143">
        <f>ABS($D60-U60)</f>
        <v/>
      </c>
      <c r="W60" s="158" t="n"/>
      <c r="X60" s="145" t="n">
        <v>0.4</v>
      </c>
      <c r="Y60" s="143">
        <f>ABS($D60-X60)</f>
        <v/>
      </c>
      <c r="Z60" s="158" t="n"/>
      <c r="AA60" s="145" t="n">
        <v>0.35</v>
      </c>
      <c r="AB60" s="143">
        <f>ABS($D60-AA60)</f>
        <v/>
      </c>
      <c r="AC60" s="158" t="n"/>
    </row>
    <row r="61" ht="20" customHeight="1" s="270">
      <c r="A61" s="151" t="inlineStr">
        <is>
          <t>Human</t>
        </is>
      </c>
      <c r="B61" s="129" t="inlineStr">
        <is>
          <t>Confused</t>
        </is>
      </c>
      <c r="C61" s="123" t="inlineStr">
        <is>
          <t>Confused</t>
        </is>
      </c>
      <c r="D61" s="138">
        <f>COUNTIFS(STUDY03_DATA!C:C,A61,STUDY03_DATA!D:D,B61,STUDY03_DATA!F:F,C61)/'META DATA'!$B$2</f>
        <v/>
      </c>
      <c r="E61" s="154" t="n"/>
      <c r="F61" s="145" t="n">
        <v>0.35</v>
      </c>
      <c r="G61" s="143">
        <f>ABS($D61-F61)</f>
        <v/>
      </c>
      <c r="H61" s="140" t="n"/>
      <c r="I61" s="145" t="n">
        <v>0.35</v>
      </c>
      <c r="J61" s="143">
        <f>ABS($D61-I61)</f>
        <v/>
      </c>
      <c r="K61" s="140" t="n"/>
      <c r="L61" s="145" t="n">
        <v>0.55</v>
      </c>
      <c r="M61" s="143">
        <f>ABS($D61-L61)</f>
        <v/>
      </c>
      <c r="N61" s="158" t="n"/>
      <c r="O61" s="145" t="n">
        <v>0.4</v>
      </c>
      <c r="P61" s="143">
        <f>ABS($D61-O61)</f>
        <v/>
      </c>
      <c r="Q61" s="158" t="n"/>
      <c r="R61" s="145" t="n">
        <v>0.15</v>
      </c>
      <c r="S61" s="143">
        <f>ABS($D61-R61)</f>
        <v/>
      </c>
      <c r="T61" s="158" t="n"/>
      <c r="U61" s="145" t="n">
        <v>0.35</v>
      </c>
      <c r="V61" s="143">
        <f>ABS($D61-U61)</f>
        <v/>
      </c>
      <c r="W61" s="158" t="n"/>
      <c r="X61" s="145" t="n">
        <v>0.4</v>
      </c>
      <c r="Y61" s="143">
        <f>ABS($D61-X61)</f>
        <v/>
      </c>
      <c r="Z61" s="158" t="n"/>
      <c r="AA61" s="145" t="n">
        <v>0.25</v>
      </c>
      <c r="AB61" s="143">
        <f>ABS($D61-AA61)</f>
        <v/>
      </c>
      <c r="AC61" s="158" t="n"/>
    </row>
    <row r="62" ht="20" customHeight="1" s="270">
      <c r="A62" s="151" t="inlineStr">
        <is>
          <t>Human</t>
        </is>
      </c>
      <c r="B62" s="129" t="inlineStr">
        <is>
          <t>Confused</t>
        </is>
      </c>
      <c r="C62" s="123" t="inlineStr">
        <is>
          <t>None</t>
        </is>
      </c>
      <c r="D62" s="138">
        <f>COUNTIFS(STUDY03_DATA!C:C,A62,STUDY03_DATA!D:D,B62,STUDY03_DATA!F:F,C62)/'META DATA'!$B$2</f>
        <v/>
      </c>
      <c r="E62" s="154" t="n"/>
      <c r="F62" s="145" t="n">
        <v>0</v>
      </c>
      <c r="G62" s="143">
        <f>ABS($D62-F62)</f>
        <v/>
      </c>
      <c r="H62" s="140" t="n"/>
      <c r="I62" s="145" t="n">
        <v>0</v>
      </c>
      <c r="J62" s="143">
        <f>ABS($D62-I62)</f>
        <v/>
      </c>
      <c r="K62" s="140" t="n"/>
      <c r="L62" s="145" t="n">
        <v>0.05</v>
      </c>
      <c r="M62" s="143">
        <f>ABS($D62-L62)</f>
        <v/>
      </c>
      <c r="N62" s="158" t="n"/>
      <c r="O62" s="145" t="n">
        <v>0</v>
      </c>
      <c r="P62" s="143">
        <f>ABS($D62-O62)</f>
        <v/>
      </c>
      <c r="Q62" s="158" t="n"/>
      <c r="R62" s="145" t="n">
        <v>0</v>
      </c>
      <c r="S62" s="143">
        <f>ABS($D62-R62)</f>
        <v/>
      </c>
      <c r="T62" s="158" t="n"/>
      <c r="U62" s="145" t="n">
        <v>0</v>
      </c>
      <c r="V62" s="143">
        <f>ABS($D62-U62)</f>
        <v/>
      </c>
      <c r="W62" s="158" t="n"/>
      <c r="X62" s="145" t="n">
        <v>0</v>
      </c>
      <c r="Y62" s="143">
        <f>ABS($D62-X62)</f>
        <v/>
      </c>
      <c r="Z62" s="158" t="n"/>
      <c r="AA62" s="145" t="n">
        <v>0.05</v>
      </c>
      <c r="AB62" s="143">
        <f>ABS($D62-AA62)</f>
        <v/>
      </c>
      <c r="AC62" s="158" t="n"/>
    </row>
    <row r="63" ht="20" customHeight="1" s="270">
      <c r="A63" s="152" t="inlineStr">
        <is>
          <t>Random</t>
        </is>
      </c>
      <c r="B63" s="131" t="inlineStr">
        <is>
          <t>Waiting for Input</t>
        </is>
      </c>
      <c r="C63" s="125" t="inlineStr">
        <is>
          <t>Waiting for Input</t>
        </is>
      </c>
      <c r="D63" s="134">
        <f>COUNTIFS(STUDY03_DATA!C:C,A63,STUDY03_DATA!D:D,B63,STUDY03_DATA!F:F,C63)/'META DATA'!$B$2</f>
        <v/>
      </c>
      <c r="E63" s="154" t="n"/>
      <c r="F63" s="144">
        <f t="array" ref="F63:F68">RAN_WFI_01!S2:S7</f>
        <v/>
      </c>
      <c r="G63" s="143">
        <f>ABS($D63-F63)</f>
        <v/>
      </c>
      <c r="H63" s="140" t="n"/>
      <c r="I63" s="144">
        <f t="array" ref="I63:I68">RAN_WFI_02!S2:S7</f>
        <v/>
      </c>
      <c r="J63" s="143">
        <f>ABS($D63-I63)</f>
        <v/>
      </c>
      <c r="K63" s="140" t="n"/>
      <c r="L63" s="144">
        <f t="array" ref="L63:L68">RAN_WFI_03!S2:S7</f>
        <v/>
      </c>
      <c r="M63" s="143">
        <f>ABS($D63-L63)</f>
        <v/>
      </c>
      <c r="N63" s="158" t="n"/>
      <c r="O63" s="144">
        <f t="array" ref="O63:O68">RAN_WFI_04!S2:S7</f>
        <v/>
      </c>
      <c r="P63" s="143">
        <f>ABS($D63-O63)</f>
        <v/>
      </c>
      <c r="Q63" s="158" t="n"/>
      <c r="R63" s="144">
        <f t="array" ref="R63:R68">RAN_WFI_05!S2:S7</f>
        <v/>
      </c>
      <c r="S63" s="143">
        <f>ABS($D63-R63)</f>
        <v/>
      </c>
      <c r="T63" s="158" t="n"/>
      <c r="U63" s="144">
        <f t="array" ref="U63:U68">RAN_WFI_06!S2:S7</f>
        <v/>
      </c>
      <c r="V63" s="143">
        <f>ABS($D63-U63)</f>
        <v/>
      </c>
      <c r="W63" s="158" t="n"/>
      <c r="X63" s="144">
        <f t="array" ref="X63:X68">RAN_WFI_07!S2:S7</f>
        <v/>
      </c>
      <c r="Y63" s="143">
        <f>ABS($D63-X63)</f>
        <v/>
      </c>
      <c r="Z63" s="158" t="n"/>
      <c r="AA63" s="144">
        <f t="array" ref="AA63:AA68">RAN_WFI_08!S2:S7</f>
        <v/>
      </c>
      <c r="AB63" s="143">
        <f>ABS($D63-AA63)</f>
        <v/>
      </c>
      <c r="AC63" s="158" t="n"/>
    </row>
    <row r="64" ht="20" customHeight="1" s="270">
      <c r="A64" s="152" t="inlineStr">
        <is>
          <t>Random</t>
        </is>
      </c>
      <c r="B64" s="131" t="inlineStr">
        <is>
          <t>Waiting for Input</t>
        </is>
      </c>
      <c r="C64" s="126" t="inlineStr">
        <is>
          <t>Analyzing Object</t>
        </is>
      </c>
      <c r="D64" s="134">
        <f>COUNTIFS(STUDY03_DATA!C:C,A64,STUDY03_DATA!D:D,B64,STUDY03_DATA!F:F,C64)/'META DATA'!$B$2</f>
        <v/>
      </c>
      <c r="E64" s="154" t="n"/>
      <c r="F64" s="144" t="n">
        <v>0.25</v>
      </c>
      <c r="G64" s="143">
        <f>ABS($D64-F64)</f>
        <v/>
      </c>
      <c r="H64" s="140" t="n"/>
      <c r="I64" s="144" t="n">
        <v>0.15</v>
      </c>
      <c r="J64" s="143">
        <f>ABS($D64-I64)</f>
        <v/>
      </c>
      <c r="K64" s="140" t="n"/>
      <c r="L64" s="144" t="n">
        <v>0.2</v>
      </c>
      <c r="M64" s="143">
        <f>ABS($D64-L64)</f>
        <v/>
      </c>
      <c r="N64" s="158" t="n"/>
      <c r="O64" s="144" t="n">
        <v>0.15</v>
      </c>
      <c r="P64" s="143">
        <f>ABS($D64-O64)</f>
        <v/>
      </c>
      <c r="Q64" s="158" t="n"/>
      <c r="R64" s="144" t="n">
        <v>0.75</v>
      </c>
      <c r="S64" s="143">
        <f>ABS($D64-R64)</f>
        <v/>
      </c>
      <c r="T64" s="158" t="n"/>
      <c r="U64" s="144" t="n">
        <v>0.15</v>
      </c>
      <c r="V64" s="143">
        <f>ABS($D64-U64)</f>
        <v/>
      </c>
      <c r="W64" s="158" t="n"/>
      <c r="X64" s="144" t="n">
        <v>0.2</v>
      </c>
      <c r="Y64" s="143">
        <f>ABS($D64-X64)</f>
        <v/>
      </c>
      <c r="Z64" s="158" t="n"/>
      <c r="AA64" s="144" t="n">
        <v>0.4</v>
      </c>
      <c r="AB64" s="143">
        <f>ABS($D64-AA64)</f>
        <v/>
      </c>
      <c r="AC64" s="158" t="n"/>
    </row>
    <row r="65" ht="20" customHeight="1" s="270">
      <c r="A65" s="152" t="inlineStr">
        <is>
          <t>Random</t>
        </is>
      </c>
      <c r="B65" s="131" t="inlineStr">
        <is>
          <t>Waiting for Input</t>
        </is>
      </c>
      <c r="C65" s="126" t="inlineStr">
        <is>
          <t>Found Object</t>
        </is>
      </c>
      <c r="D65" s="134">
        <f>COUNTIFS(STUDY03_DATA!C:C,A65,STUDY03_DATA!D:D,B65,STUDY03_DATA!F:F,C65)/'META DATA'!$B$2</f>
        <v/>
      </c>
      <c r="E65" s="154" t="n"/>
      <c r="F65" s="144" t="n">
        <v>0.05</v>
      </c>
      <c r="G65" s="143">
        <f>ABS($D65-F65)</f>
        <v/>
      </c>
      <c r="H65" s="140" t="n"/>
      <c r="I65" s="144" t="n">
        <v>0.05</v>
      </c>
      <c r="J65" s="143">
        <f>ABS($D65-I65)</f>
        <v/>
      </c>
      <c r="K65" s="140" t="n"/>
      <c r="L65" s="144" t="n">
        <v>0</v>
      </c>
      <c r="M65" s="143">
        <f>ABS($D65-L65)</f>
        <v/>
      </c>
      <c r="N65" s="158" t="n"/>
      <c r="O65" s="144" t="n">
        <v>0</v>
      </c>
      <c r="P65" s="143">
        <f>ABS($D65-O65)</f>
        <v/>
      </c>
      <c r="Q65" s="158" t="n"/>
      <c r="R65" s="144" t="n">
        <v>0.2</v>
      </c>
      <c r="S65" s="143">
        <f>ABS($D65-R65)</f>
        <v/>
      </c>
      <c r="T65" s="158" t="n"/>
      <c r="U65" s="144" t="n">
        <v>0.05</v>
      </c>
      <c r="V65" s="143">
        <f>ABS($D65-U65)</f>
        <v/>
      </c>
      <c r="W65" s="158" t="n"/>
      <c r="X65" s="144" t="n">
        <v>0.2</v>
      </c>
      <c r="Y65" s="143">
        <f>ABS($D65-X65)</f>
        <v/>
      </c>
      <c r="Z65" s="158" t="n"/>
      <c r="AA65" s="144" t="n">
        <v>0</v>
      </c>
      <c r="AB65" s="143">
        <f>ABS($D65-AA65)</f>
        <v/>
      </c>
      <c r="AC65" s="158" t="n"/>
    </row>
    <row r="66" ht="20" customHeight="1" s="270">
      <c r="A66" s="152" t="inlineStr">
        <is>
          <t>Random</t>
        </is>
      </c>
      <c r="B66" s="131" t="inlineStr">
        <is>
          <t>Waiting for Input</t>
        </is>
      </c>
      <c r="C66" s="126" t="inlineStr">
        <is>
          <t>Needs Help</t>
        </is>
      </c>
      <c r="D66" s="134">
        <f>COUNTIFS(STUDY03_DATA!C:C,A66,STUDY03_DATA!D:D,B66,STUDY03_DATA!F:F,C66)/'META DATA'!$B$2</f>
        <v/>
      </c>
      <c r="E66" s="154" t="n"/>
      <c r="F66" s="144" t="n">
        <v>0.1</v>
      </c>
      <c r="G66" s="143">
        <f>ABS($D66-F66)</f>
        <v/>
      </c>
      <c r="H66" s="140" t="n"/>
      <c r="I66" s="144" t="n">
        <v>0.05</v>
      </c>
      <c r="J66" s="143">
        <f>ABS($D66-I66)</f>
        <v/>
      </c>
      <c r="K66" s="140" t="n"/>
      <c r="L66" s="144" t="n">
        <v>0</v>
      </c>
      <c r="M66" s="143">
        <f>ABS($D66-L66)</f>
        <v/>
      </c>
      <c r="N66" s="158" t="n"/>
      <c r="O66" s="144" t="n">
        <v>0</v>
      </c>
      <c r="P66" s="143">
        <f>ABS($D66-O66)</f>
        <v/>
      </c>
      <c r="Q66" s="158" t="n"/>
      <c r="R66" s="144" t="n">
        <v>0</v>
      </c>
      <c r="S66" s="143">
        <f>ABS($D66-R66)</f>
        <v/>
      </c>
      <c r="T66" s="158" t="n"/>
      <c r="U66" s="144" t="n">
        <v>0.1</v>
      </c>
      <c r="V66" s="143">
        <f>ABS($D66-U66)</f>
        <v/>
      </c>
      <c r="W66" s="158" t="n"/>
      <c r="X66" s="144" t="n">
        <v>0.1</v>
      </c>
      <c r="Y66" s="143">
        <f>ABS($D66-X66)</f>
        <v/>
      </c>
      <c r="Z66" s="158" t="n"/>
      <c r="AA66" s="144" t="n">
        <v>0.15</v>
      </c>
      <c r="AB66" s="143">
        <f>ABS($D66-AA66)</f>
        <v/>
      </c>
      <c r="AC66" s="158" t="n"/>
    </row>
    <row r="67" ht="20" customHeight="1" s="270">
      <c r="A67" s="152" t="inlineStr">
        <is>
          <t>Random</t>
        </is>
      </c>
      <c r="B67" s="131" t="inlineStr">
        <is>
          <t>Waiting for Input</t>
        </is>
      </c>
      <c r="C67" s="125" t="inlineStr">
        <is>
          <t>Confused</t>
        </is>
      </c>
      <c r="D67" s="134">
        <f>COUNTIFS(STUDY03_DATA!C:C,A67,STUDY03_DATA!D:D,B67,STUDY03_DATA!F:F,C67)/'META DATA'!$B$2</f>
        <v/>
      </c>
      <c r="E67" s="154" t="n"/>
      <c r="F67" s="144" t="n">
        <v>0.6</v>
      </c>
      <c r="G67" s="143">
        <f>ABS($D67-F67)</f>
        <v/>
      </c>
      <c r="H67" s="140" t="n"/>
      <c r="I67" s="144" t="n">
        <v>0.75</v>
      </c>
      <c r="J67" s="143">
        <f>ABS($D67-I67)</f>
        <v/>
      </c>
      <c r="K67" s="140" t="n"/>
      <c r="L67" s="144" t="n">
        <v>0.75</v>
      </c>
      <c r="M67" s="143">
        <f>ABS($D67-L67)</f>
        <v/>
      </c>
      <c r="N67" s="158" t="n"/>
      <c r="O67" s="144" t="n">
        <v>0.8</v>
      </c>
      <c r="P67" s="143">
        <f>ABS($D67-O67)</f>
        <v/>
      </c>
      <c r="Q67" s="158" t="n"/>
      <c r="R67" s="144" t="n">
        <v>0.05</v>
      </c>
      <c r="S67" s="143">
        <f>ABS($D67-R67)</f>
        <v/>
      </c>
      <c r="T67" s="158" t="n"/>
      <c r="U67" s="144" t="n">
        <v>0.65</v>
      </c>
      <c r="V67" s="143">
        <f>ABS($D67-U67)</f>
        <v/>
      </c>
      <c r="W67" s="158" t="n"/>
      <c r="X67" s="144" t="n">
        <v>0.5</v>
      </c>
      <c r="Y67" s="143">
        <f>ABS($D67-X67)</f>
        <v/>
      </c>
      <c r="Z67" s="158" t="n"/>
      <c r="AA67" s="144" t="n">
        <v>0.45</v>
      </c>
      <c r="AB67" s="143">
        <f>ABS($D67-AA67)</f>
        <v/>
      </c>
      <c r="AC67" s="158" t="n"/>
    </row>
    <row r="68" ht="20" customHeight="1" s="270">
      <c r="A68" s="152" t="inlineStr">
        <is>
          <t>Random</t>
        </is>
      </c>
      <c r="B68" s="131" t="inlineStr">
        <is>
          <t>Waiting for Input</t>
        </is>
      </c>
      <c r="C68" s="125" t="inlineStr">
        <is>
          <t>None</t>
        </is>
      </c>
      <c r="D68" s="134">
        <f>COUNTIFS(STUDY03_DATA!C:C,A68,STUDY03_DATA!D:D,B68,STUDY03_DATA!F:F,C68)/'META DATA'!$B$2</f>
        <v/>
      </c>
      <c r="E68" s="154" t="n"/>
      <c r="F68" s="144" t="n">
        <v>0</v>
      </c>
      <c r="G68" s="143">
        <f>ABS($D68-F68)</f>
        <v/>
      </c>
      <c r="H68" s="140" t="n"/>
      <c r="I68" s="144" t="n">
        <v>0</v>
      </c>
      <c r="J68" s="143">
        <f>ABS($D68-I68)</f>
        <v/>
      </c>
      <c r="K68" s="140" t="n"/>
      <c r="L68" s="144" t="n">
        <v>0</v>
      </c>
      <c r="M68" s="143">
        <f>ABS($D68-L68)</f>
        <v/>
      </c>
      <c r="N68" s="158" t="n"/>
      <c r="O68" s="144" t="n">
        <v>0</v>
      </c>
      <c r="P68" s="143">
        <f>ABS($D68-O68)</f>
        <v/>
      </c>
      <c r="Q68" s="158" t="n"/>
      <c r="R68" s="144" t="n">
        <v>0</v>
      </c>
      <c r="S68" s="143">
        <f>ABS($D68-R68)</f>
        <v/>
      </c>
      <c r="T68" s="158" t="n"/>
      <c r="U68" s="144" t="n">
        <v>0</v>
      </c>
      <c r="V68" s="143">
        <f>ABS($D68-U68)</f>
        <v/>
      </c>
      <c r="W68" s="158" t="n"/>
      <c r="X68" s="144" t="n">
        <v>0</v>
      </c>
      <c r="Y68" s="143">
        <f>ABS($D68-X68)</f>
        <v/>
      </c>
      <c r="Z68" s="158" t="n"/>
      <c r="AA68" s="144" t="n">
        <v>0</v>
      </c>
      <c r="AB68" s="143">
        <f>ABS($D68-AA68)</f>
        <v/>
      </c>
      <c r="AC68" s="158" t="n"/>
    </row>
    <row r="69" ht="20" customHeight="1" s="270">
      <c r="A69" s="152" t="inlineStr">
        <is>
          <t>Random</t>
        </is>
      </c>
      <c r="B69" s="132" t="inlineStr">
        <is>
          <t>Analyzing Object</t>
        </is>
      </c>
      <c r="C69" s="125" t="inlineStr">
        <is>
          <t>Waiting for Input</t>
        </is>
      </c>
      <c r="D69" s="138">
        <f>COUNTIFS(STUDY03_DATA!C:C,A69,STUDY03_DATA!D:D,B69,STUDY03_DATA!F:F,C69)/'META DATA'!$B$2</f>
        <v/>
      </c>
      <c r="E69" s="154" t="n"/>
      <c r="F69" s="145">
        <f t="array" ref="F69:F74">RAN_AO_01!S2:S7</f>
        <v/>
      </c>
      <c r="G69" s="143">
        <f>ABS($D69-F69)</f>
        <v/>
      </c>
      <c r="H69" s="140" t="n"/>
      <c r="I69" s="145">
        <f t="array" ref="I69:I74">RAN_AO_02!S2:S7</f>
        <v/>
      </c>
      <c r="J69" s="143">
        <f>ABS($D69-I69)</f>
        <v/>
      </c>
      <c r="K69" s="140" t="n"/>
      <c r="L69" s="145">
        <f t="array" ref="L69:L74">RAN_AO_03!S2:S7</f>
        <v/>
      </c>
      <c r="M69" s="143">
        <f>ABS($D69-L69)</f>
        <v/>
      </c>
      <c r="N69" s="158" t="n"/>
      <c r="O69" s="145">
        <f t="array" ref="O69:O74">RAN_AO_04!S2:S7</f>
        <v/>
      </c>
      <c r="P69" s="143">
        <f>ABS($D69-O69)</f>
        <v/>
      </c>
      <c r="Q69" s="158" t="n"/>
      <c r="R69" s="145">
        <f t="array" ref="R69:R74">RAN_AO_05!S2:S7</f>
        <v/>
      </c>
      <c r="S69" s="143">
        <f>ABS($D69-R69)</f>
        <v/>
      </c>
      <c r="T69" s="158" t="n"/>
      <c r="U69" s="145">
        <f t="array" ref="U69:U74">RAN_AO_06!S2:S7</f>
        <v/>
      </c>
      <c r="V69" s="143">
        <f>ABS($D69-U69)</f>
        <v/>
      </c>
      <c r="W69" s="158" t="n"/>
      <c r="X69" s="145">
        <f t="array" ref="X69:X74">RAN_AO_07!S2:S7</f>
        <v/>
      </c>
      <c r="Y69" s="143">
        <f>ABS($D69-X69)</f>
        <v/>
      </c>
      <c r="Z69" s="158" t="n"/>
      <c r="AA69" s="145">
        <f t="array" ref="AA69:AA74">RAN_AO_08!S2:S7</f>
        <v/>
      </c>
      <c r="AB69" s="143">
        <f>ABS($D69-AA69)</f>
        <v/>
      </c>
      <c r="AC69" s="158" t="n"/>
    </row>
    <row r="70" ht="20" customHeight="1" s="270">
      <c r="A70" s="152" t="inlineStr">
        <is>
          <t>Random</t>
        </is>
      </c>
      <c r="B70" s="132" t="inlineStr">
        <is>
          <t>Analyzing Object</t>
        </is>
      </c>
      <c r="C70" s="126" t="inlineStr">
        <is>
          <t>Analyzing Object</t>
        </is>
      </c>
      <c r="D70" s="138">
        <f>COUNTIFS(STUDY03_DATA!C:C,A70,STUDY03_DATA!D:D,B70,STUDY03_DATA!F:F,C70)/'META DATA'!$B$2</f>
        <v/>
      </c>
      <c r="E70" s="154" t="n"/>
      <c r="F70" s="145" t="n">
        <v>0</v>
      </c>
      <c r="G70" s="143">
        <f>ABS($D70-F70)</f>
        <v/>
      </c>
      <c r="H70" s="140" t="n"/>
      <c r="I70" s="145" t="n">
        <v>0.05</v>
      </c>
      <c r="J70" s="143">
        <f>ABS($D70-I70)</f>
        <v/>
      </c>
      <c r="K70" s="140" t="n"/>
      <c r="L70" s="145" t="n">
        <v>0</v>
      </c>
      <c r="M70" s="143">
        <f>ABS($D70-L70)</f>
        <v/>
      </c>
      <c r="N70" s="158" t="n"/>
      <c r="O70" s="145" t="n">
        <v>0</v>
      </c>
      <c r="P70" s="143">
        <f>ABS($D70-O70)</f>
        <v/>
      </c>
      <c r="Q70" s="158" t="n"/>
      <c r="R70" s="145" t="n">
        <v>0.45</v>
      </c>
      <c r="S70" s="143">
        <f>ABS($D70-R70)</f>
        <v/>
      </c>
      <c r="T70" s="158" t="n"/>
      <c r="U70" s="145" t="n">
        <v>0.05</v>
      </c>
      <c r="V70" s="143">
        <f>ABS($D70-U70)</f>
        <v/>
      </c>
      <c r="W70" s="158" t="n"/>
      <c r="X70" s="145" t="n">
        <v>0.05</v>
      </c>
      <c r="Y70" s="143">
        <f>ABS($D70-X70)</f>
        <v/>
      </c>
      <c r="Z70" s="158" t="n"/>
      <c r="AA70" s="145" t="n">
        <v>0.05</v>
      </c>
      <c r="AB70" s="143">
        <f>ABS($D70-AA70)</f>
        <v/>
      </c>
      <c r="AC70" s="158" t="n"/>
    </row>
    <row r="71" ht="20" customHeight="1" s="270">
      <c r="A71" s="152" t="inlineStr">
        <is>
          <t>Random</t>
        </is>
      </c>
      <c r="B71" s="132" t="inlineStr">
        <is>
          <t>Analyzing Object</t>
        </is>
      </c>
      <c r="C71" s="126" t="inlineStr">
        <is>
          <t>Found Object</t>
        </is>
      </c>
      <c r="D71" s="138">
        <f>COUNTIFS(STUDY03_DATA!C:C,A71,STUDY03_DATA!D:D,B71,STUDY03_DATA!F:F,C71)/'META DATA'!$B$2</f>
        <v/>
      </c>
      <c r="E71" s="154" t="n"/>
      <c r="F71" s="145" t="n">
        <v>0</v>
      </c>
      <c r="G71" s="143">
        <f>ABS($D71-F71)</f>
        <v/>
      </c>
      <c r="H71" s="140" t="n"/>
      <c r="I71" s="145" t="n">
        <v>0</v>
      </c>
      <c r="J71" s="143">
        <f>ABS($D71-I71)</f>
        <v/>
      </c>
      <c r="K71" s="140" t="n"/>
      <c r="L71" s="145" t="n">
        <v>0</v>
      </c>
      <c r="M71" s="143">
        <f>ABS($D71-L71)</f>
        <v/>
      </c>
      <c r="N71" s="158" t="n"/>
      <c r="O71" s="145" t="n">
        <v>0</v>
      </c>
      <c r="P71" s="143">
        <f>ABS($D71-O71)</f>
        <v/>
      </c>
      <c r="Q71" s="158" t="n"/>
      <c r="R71" s="145" t="n">
        <v>0.05</v>
      </c>
      <c r="S71" s="143">
        <f>ABS($D71-R71)</f>
        <v/>
      </c>
      <c r="T71" s="158" t="n"/>
      <c r="U71" s="145" t="n">
        <v>0.05</v>
      </c>
      <c r="V71" s="143">
        <f>ABS($D71-U71)</f>
        <v/>
      </c>
      <c r="W71" s="158" t="n"/>
      <c r="X71" s="145" t="n">
        <v>0</v>
      </c>
      <c r="Y71" s="143">
        <f>ABS($D71-X71)</f>
        <v/>
      </c>
      <c r="Z71" s="158" t="n"/>
      <c r="AA71" s="145" t="n">
        <v>0</v>
      </c>
      <c r="AB71" s="143">
        <f>ABS($D71-AA71)</f>
        <v/>
      </c>
      <c r="AC71" s="158" t="n"/>
    </row>
    <row r="72" ht="20" customHeight="1" s="270">
      <c r="A72" s="152" t="inlineStr">
        <is>
          <t>Random</t>
        </is>
      </c>
      <c r="B72" s="132" t="inlineStr">
        <is>
          <t>Analyzing Object</t>
        </is>
      </c>
      <c r="C72" s="126" t="inlineStr">
        <is>
          <t>Needs Help</t>
        </is>
      </c>
      <c r="D72" s="138">
        <f>COUNTIFS(STUDY03_DATA!C:C,A72,STUDY03_DATA!D:D,B72,STUDY03_DATA!F:F,C72)/'META DATA'!$B$2</f>
        <v/>
      </c>
      <c r="E72" s="154" t="n"/>
      <c r="F72" s="145" t="n">
        <v>0.45</v>
      </c>
      <c r="G72" s="143">
        <f>ABS($D72-F72)</f>
        <v/>
      </c>
      <c r="H72" s="140" t="n"/>
      <c r="I72" s="145" t="n">
        <v>0.15</v>
      </c>
      <c r="J72" s="143">
        <f>ABS($D72-I72)</f>
        <v/>
      </c>
      <c r="K72" s="140" t="n"/>
      <c r="L72" s="145" t="n">
        <v>0.3</v>
      </c>
      <c r="M72" s="143">
        <f>ABS($D72-L72)</f>
        <v/>
      </c>
      <c r="N72" s="158" t="n"/>
      <c r="O72" s="145" t="n">
        <v>0.15</v>
      </c>
      <c r="P72" s="143">
        <f>ABS($D72-O72)</f>
        <v/>
      </c>
      <c r="Q72" s="158" t="n"/>
      <c r="R72" s="145" t="n">
        <v>0.05</v>
      </c>
      <c r="S72" s="143">
        <f>ABS($D72-R72)</f>
        <v/>
      </c>
      <c r="T72" s="158" t="n"/>
      <c r="U72" s="145" t="n">
        <v>0.25</v>
      </c>
      <c r="V72" s="143">
        <f>ABS($D72-U72)</f>
        <v/>
      </c>
      <c r="W72" s="158" t="n"/>
      <c r="X72" s="145" t="n">
        <v>0.4</v>
      </c>
      <c r="Y72" s="143">
        <f>ABS($D72-X72)</f>
        <v/>
      </c>
      <c r="Z72" s="158" t="n"/>
      <c r="AA72" s="145" t="n">
        <v>0.25</v>
      </c>
      <c r="AB72" s="143">
        <f>ABS($D72-AA72)</f>
        <v/>
      </c>
      <c r="AC72" s="158" t="n"/>
    </row>
    <row r="73" ht="20" customHeight="1" s="270">
      <c r="A73" s="152" t="inlineStr">
        <is>
          <t>Random</t>
        </is>
      </c>
      <c r="B73" s="132" t="inlineStr">
        <is>
          <t>Analyzing Object</t>
        </is>
      </c>
      <c r="C73" s="125" t="inlineStr">
        <is>
          <t>Confused</t>
        </is>
      </c>
      <c r="D73" s="138">
        <f>COUNTIFS(STUDY03_DATA!C:C,A73,STUDY03_DATA!D:D,B73,STUDY03_DATA!F:F,C73)/'META DATA'!$B$2</f>
        <v/>
      </c>
      <c r="E73" s="154" t="n"/>
      <c r="F73" s="145" t="n">
        <v>0.55</v>
      </c>
      <c r="G73" s="143">
        <f>ABS($D73-F73)</f>
        <v/>
      </c>
      <c r="H73" s="140" t="n"/>
      <c r="I73" s="145" t="n">
        <v>0.75</v>
      </c>
      <c r="J73" s="143">
        <f>ABS($D73-I73)</f>
        <v/>
      </c>
      <c r="K73" s="140" t="n"/>
      <c r="L73" s="145" t="n">
        <v>0.5</v>
      </c>
      <c r="M73" s="143">
        <f>ABS($D73-L73)</f>
        <v/>
      </c>
      <c r="N73" s="158" t="n"/>
      <c r="O73" s="145" t="n">
        <v>0.85</v>
      </c>
      <c r="P73" s="143">
        <f>ABS($D73-O73)</f>
        <v/>
      </c>
      <c r="Q73" s="158" t="n"/>
      <c r="R73" s="145" t="n">
        <v>0.05</v>
      </c>
      <c r="S73" s="143">
        <f>ABS($D73-R73)</f>
        <v/>
      </c>
      <c r="T73" s="158" t="n"/>
      <c r="U73" s="145" t="n">
        <v>0.55</v>
      </c>
      <c r="V73" s="143">
        <f>ABS($D73-U73)</f>
        <v/>
      </c>
      <c r="W73" s="158" t="n"/>
      <c r="X73" s="145" t="n">
        <v>0.55</v>
      </c>
      <c r="Y73" s="143">
        <f>ABS($D73-X73)</f>
        <v/>
      </c>
      <c r="Z73" s="158" t="n"/>
      <c r="AA73" s="145" t="n">
        <v>0.6</v>
      </c>
      <c r="AB73" s="143">
        <f>ABS($D73-AA73)</f>
        <v/>
      </c>
      <c r="AC73" s="158" t="n"/>
    </row>
    <row r="74" ht="20" customHeight="1" s="270">
      <c r="A74" s="152" t="inlineStr">
        <is>
          <t>Random</t>
        </is>
      </c>
      <c r="B74" s="132" t="inlineStr">
        <is>
          <t>Analyzing Object</t>
        </is>
      </c>
      <c r="C74" s="125" t="inlineStr">
        <is>
          <t>None</t>
        </is>
      </c>
      <c r="D74" s="138">
        <f>COUNTIFS(STUDY03_DATA!C:C,A74,STUDY03_DATA!D:D,B74,STUDY03_DATA!F:F,C74)/'META DATA'!$B$2</f>
        <v/>
      </c>
      <c r="E74" s="154" t="n"/>
      <c r="F74" s="145" t="n">
        <v>0</v>
      </c>
      <c r="G74" s="143">
        <f>ABS($D74-F74)</f>
        <v/>
      </c>
      <c r="H74" s="140" t="n"/>
      <c r="I74" s="145" t="n">
        <v>0</v>
      </c>
      <c r="J74" s="143">
        <f>ABS($D74-I74)</f>
        <v/>
      </c>
      <c r="K74" s="140" t="n"/>
      <c r="L74" s="145" t="n">
        <v>0.1</v>
      </c>
      <c r="M74" s="143">
        <f>ABS($D74-L74)</f>
        <v/>
      </c>
      <c r="N74" s="158" t="n"/>
      <c r="O74" s="145" t="n">
        <v>0</v>
      </c>
      <c r="P74" s="143">
        <f>ABS($D74-O74)</f>
        <v/>
      </c>
      <c r="Q74" s="158" t="n"/>
      <c r="R74" s="145" t="n">
        <v>0.05</v>
      </c>
      <c r="S74" s="143">
        <f>ABS($D74-R74)</f>
        <v/>
      </c>
      <c r="T74" s="158" t="n"/>
      <c r="U74" s="145" t="n">
        <v>0</v>
      </c>
      <c r="V74" s="143">
        <f>ABS($D74-U74)</f>
        <v/>
      </c>
      <c r="W74" s="158" t="n"/>
      <c r="X74" s="145" t="n">
        <v>0</v>
      </c>
      <c r="Y74" s="143">
        <f>ABS($D74-X74)</f>
        <v/>
      </c>
      <c r="Z74" s="158" t="n"/>
      <c r="AA74" s="145" t="n">
        <v>0.05</v>
      </c>
      <c r="AB74" s="143">
        <f>ABS($D74-AA74)</f>
        <v/>
      </c>
      <c r="AC74" s="158" t="n"/>
    </row>
    <row r="75" ht="20" customHeight="1" s="270">
      <c r="A75" s="152" t="inlineStr">
        <is>
          <t>Random</t>
        </is>
      </c>
      <c r="B75" s="132" t="inlineStr">
        <is>
          <t>Found Object</t>
        </is>
      </c>
      <c r="C75" s="125" t="inlineStr">
        <is>
          <t>Waiting for Input</t>
        </is>
      </c>
      <c r="D75" s="134">
        <f>COUNTIFS(STUDY03_DATA!C:C,A75,STUDY03_DATA!D:D,B75,STUDY03_DATA!F:F,C75)/'META DATA'!$B$2</f>
        <v/>
      </c>
      <c r="E75" s="154" t="n"/>
      <c r="F75" s="144">
        <f t="array" ref="F75:F80">RAN_FO_01!S2:S7</f>
        <v/>
      </c>
      <c r="G75" s="143">
        <f>ABS($D75-F75)</f>
        <v/>
      </c>
      <c r="H75" s="140" t="n"/>
      <c r="I75" s="144">
        <f t="array" ref="I75:I80">RAN_FO_02!S2:S7</f>
        <v/>
      </c>
      <c r="J75" s="143">
        <f>ABS($D75-I75)</f>
        <v/>
      </c>
      <c r="K75" s="140" t="n"/>
      <c r="L75" s="144">
        <f t="array" ref="L75:L80">RAN_FO_03!S2:S7</f>
        <v/>
      </c>
      <c r="M75" s="143">
        <f>ABS($D75-L75)</f>
        <v/>
      </c>
      <c r="N75" s="158" t="n"/>
      <c r="O75" s="144">
        <f t="array" ref="O75:O80">RAN_FO_04!S2:S7</f>
        <v/>
      </c>
      <c r="P75" s="143">
        <f>ABS($D75-O75)</f>
        <v/>
      </c>
      <c r="Q75" s="158" t="n"/>
      <c r="R75" s="144">
        <f t="array" ref="R75:R80">RAN_FO_05!S2:S7</f>
        <v/>
      </c>
      <c r="S75" s="143">
        <f>ABS($D75-R75)</f>
        <v/>
      </c>
      <c r="T75" s="158" t="n"/>
      <c r="U75" s="144">
        <f t="array" ref="U75:U80">RAN_FO_06!S2:S7</f>
        <v/>
      </c>
      <c r="V75" s="143">
        <f>ABS($D75-U75)</f>
        <v/>
      </c>
      <c r="W75" s="158" t="n"/>
      <c r="X75" s="144">
        <f t="array" ref="X75:X80">RAN_FO_07!S2:S7</f>
        <v/>
      </c>
      <c r="Y75" s="143">
        <f>ABS($D75-X75)</f>
        <v/>
      </c>
      <c r="Z75" s="158" t="n"/>
      <c r="AA75" s="144">
        <f t="array" ref="AA75:AA80">RAN_FO_08!S2:S7</f>
        <v/>
      </c>
      <c r="AB75" s="143">
        <f>ABS($D75-AA75)</f>
        <v/>
      </c>
      <c r="AC75" s="158" t="n"/>
    </row>
    <row r="76" ht="20" customHeight="1" s="270">
      <c r="A76" s="152" t="inlineStr">
        <is>
          <t>Random</t>
        </is>
      </c>
      <c r="B76" s="132" t="inlineStr">
        <is>
          <t>Found Object</t>
        </is>
      </c>
      <c r="C76" s="126" t="inlineStr">
        <is>
          <t>Analyzing Object</t>
        </is>
      </c>
      <c r="D76" s="134">
        <f>COUNTIFS(STUDY03_DATA!C:C,A76,STUDY03_DATA!D:D,B76,STUDY03_DATA!F:F,C76)/'META DATA'!$B$2</f>
        <v/>
      </c>
      <c r="E76" s="154" t="n"/>
      <c r="F76" s="144" t="n">
        <v>0.05</v>
      </c>
      <c r="G76" s="143">
        <f>ABS($D76-F76)</f>
        <v/>
      </c>
      <c r="H76" s="140" t="n"/>
      <c r="I76" s="144" t="n">
        <v>0.2</v>
      </c>
      <c r="J76" s="143">
        <f>ABS($D76-I76)</f>
        <v/>
      </c>
      <c r="K76" s="140" t="n"/>
      <c r="L76" s="144" t="n">
        <v>0.2</v>
      </c>
      <c r="M76" s="143">
        <f>ABS($D76-L76)</f>
        <v/>
      </c>
      <c r="N76" s="158" t="n"/>
      <c r="O76" s="144" t="n">
        <v>0.15</v>
      </c>
      <c r="P76" s="143">
        <f>ABS($D76-O76)</f>
        <v/>
      </c>
      <c r="Q76" s="158" t="n"/>
      <c r="R76" s="144" t="n">
        <v>0.5</v>
      </c>
      <c r="S76" s="143">
        <f>ABS($D76-R76)</f>
        <v/>
      </c>
      <c r="T76" s="158" t="n"/>
      <c r="U76" s="144" t="n">
        <v>0.15</v>
      </c>
      <c r="V76" s="143">
        <f>ABS($D76-U76)</f>
        <v/>
      </c>
      <c r="W76" s="158" t="n"/>
      <c r="X76" s="144" t="n">
        <v>0.3</v>
      </c>
      <c r="Y76" s="143">
        <f>ABS($D76-X76)</f>
        <v/>
      </c>
      <c r="Z76" s="158" t="n"/>
      <c r="AA76" s="144" t="n">
        <v>0.35</v>
      </c>
      <c r="AB76" s="143">
        <f>ABS($D76-AA76)</f>
        <v/>
      </c>
      <c r="AC76" s="158" t="n"/>
    </row>
    <row r="77" ht="20" customHeight="1" s="270">
      <c r="A77" s="152" t="inlineStr">
        <is>
          <t>Random</t>
        </is>
      </c>
      <c r="B77" s="132" t="inlineStr">
        <is>
          <t>Found Object</t>
        </is>
      </c>
      <c r="C77" s="126" t="inlineStr">
        <is>
          <t>Found Object</t>
        </is>
      </c>
      <c r="D77" s="134">
        <f>COUNTIFS(STUDY03_DATA!C:C,A77,STUDY03_DATA!D:D,B77,STUDY03_DATA!F:F,C77)/'META DATA'!$B$2</f>
        <v/>
      </c>
      <c r="E77" s="154" t="n"/>
      <c r="F77" s="144" t="n">
        <v>0.05</v>
      </c>
      <c r="G77" s="143">
        <f>ABS($D77-F77)</f>
        <v/>
      </c>
      <c r="H77" s="140" t="n"/>
      <c r="I77" s="144" t="n">
        <v>0.05</v>
      </c>
      <c r="J77" s="143">
        <f>ABS($D77-I77)</f>
        <v/>
      </c>
      <c r="K77" s="140" t="n"/>
      <c r="L77" s="144" t="n">
        <v>0</v>
      </c>
      <c r="M77" s="143">
        <f>ABS($D77-L77)</f>
        <v/>
      </c>
      <c r="N77" s="158" t="n"/>
      <c r="O77" s="144" t="n">
        <v>0.05</v>
      </c>
      <c r="P77" s="143">
        <f>ABS($D77-O77)</f>
        <v/>
      </c>
      <c r="Q77" s="158" t="n"/>
      <c r="R77" s="144" t="n">
        <v>0.3</v>
      </c>
      <c r="S77" s="143">
        <f>ABS($D77-R77)</f>
        <v/>
      </c>
      <c r="T77" s="158" t="n"/>
      <c r="U77" s="144" t="n">
        <v>0.25</v>
      </c>
      <c r="V77" s="143">
        <f>ABS($D77-U77)</f>
        <v/>
      </c>
      <c r="W77" s="158" t="n"/>
      <c r="X77" s="144" t="n">
        <v>0.2</v>
      </c>
      <c r="Y77" s="143">
        <f>ABS($D77-X77)</f>
        <v/>
      </c>
      <c r="Z77" s="158" t="n"/>
      <c r="AA77" s="144" t="n">
        <v>0.05</v>
      </c>
      <c r="AB77" s="143">
        <f>ABS($D77-AA77)</f>
        <v/>
      </c>
      <c r="AC77" s="158" t="n"/>
    </row>
    <row r="78" ht="20" customHeight="1" s="270">
      <c r="A78" s="152" t="inlineStr">
        <is>
          <t>Random</t>
        </is>
      </c>
      <c r="B78" s="132" t="inlineStr">
        <is>
          <t>Found Object</t>
        </is>
      </c>
      <c r="C78" s="126" t="inlineStr">
        <is>
          <t>Needs Help</t>
        </is>
      </c>
      <c r="D78" s="134">
        <f>COUNTIFS(STUDY03_DATA!C:C,A78,STUDY03_DATA!D:D,B78,STUDY03_DATA!F:F,C78)/'META DATA'!$B$2</f>
        <v/>
      </c>
      <c r="E78" s="154" t="n"/>
      <c r="F78" s="144" t="n">
        <v>0.1</v>
      </c>
      <c r="G78" s="143">
        <f>ABS($D78-F78)</f>
        <v/>
      </c>
      <c r="H78" s="140" t="n"/>
      <c r="I78" s="144" t="n">
        <v>0.05</v>
      </c>
      <c r="J78" s="143">
        <f>ABS($D78-I78)</f>
        <v/>
      </c>
      <c r="K78" s="140" t="n"/>
      <c r="L78" s="144" t="n">
        <v>0</v>
      </c>
      <c r="M78" s="143">
        <f>ABS($D78-L78)</f>
        <v/>
      </c>
      <c r="N78" s="158" t="n"/>
      <c r="O78" s="144" t="n">
        <v>0</v>
      </c>
      <c r="P78" s="143">
        <f>ABS($D78-O78)</f>
        <v/>
      </c>
      <c r="Q78" s="158" t="n"/>
      <c r="R78" s="144" t="n">
        <v>0</v>
      </c>
      <c r="S78" s="143">
        <f>ABS($D78-R78)</f>
        <v/>
      </c>
      <c r="T78" s="158" t="n"/>
      <c r="U78" s="144" t="n">
        <v>0.1</v>
      </c>
      <c r="V78" s="143">
        <f>ABS($D78-U78)</f>
        <v/>
      </c>
      <c r="W78" s="158" t="n"/>
      <c r="X78" s="144" t="n">
        <v>0</v>
      </c>
      <c r="Y78" s="143">
        <f>ABS($D78-X78)</f>
        <v/>
      </c>
      <c r="Z78" s="158" t="n"/>
      <c r="AA78" s="144" t="n">
        <v>0.05</v>
      </c>
      <c r="AB78" s="143">
        <f>ABS($D78-AA78)</f>
        <v/>
      </c>
      <c r="AC78" s="158" t="n"/>
    </row>
    <row r="79" ht="20" customHeight="1" s="270">
      <c r="A79" s="152" t="inlineStr">
        <is>
          <t>Random</t>
        </is>
      </c>
      <c r="B79" s="132" t="inlineStr">
        <is>
          <t>Found Object</t>
        </is>
      </c>
      <c r="C79" s="125" t="inlineStr">
        <is>
          <t>Confused</t>
        </is>
      </c>
      <c r="D79" s="134">
        <f>COUNTIFS(STUDY03_DATA!C:C,A79,STUDY03_DATA!D:D,B79,STUDY03_DATA!F:F,C79)/'META DATA'!$B$2</f>
        <v/>
      </c>
      <c r="E79" s="154" t="n"/>
      <c r="F79" s="144" t="n">
        <v>0.65</v>
      </c>
      <c r="G79" s="143">
        <f>ABS($D79-F79)</f>
        <v/>
      </c>
      <c r="H79" s="140" t="n"/>
      <c r="I79" s="144" t="n">
        <v>0.65</v>
      </c>
      <c r="J79" s="143">
        <f>ABS($D79-I79)</f>
        <v/>
      </c>
      <c r="K79" s="140" t="n"/>
      <c r="L79" s="144" t="n">
        <v>0.6</v>
      </c>
      <c r="M79" s="143">
        <f>ABS($D79-L79)</f>
        <v/>
      </c>
      <c r="N79" s="158" t="n"/>
      <c r="O79" s="144" t="n">
        <v>0.75</v>
      </c>
      <c r="P79" s="143">
        <f>ABS($D79-O79)</f>
        <v/>
      </c>
      <c r="Q79" s="158" t="n"/>
      <c r="R79" s="144" t="n">
        <v>0.1</v>
      </c>
      <c r="S79" s="143">
        <f>ABS($D79-R79)</f>
        <v/>
      </c>
      <c r="T79" s="158" t="n"/>
      <c r="U79" s="144" t="n">
        <v>0.4</v>
      </c>
      <c r="V79" s="143">
        <f>ABS($D79-U79)</f>
        <v/>
      </c>
      <c r="W79" s="158" t="n"/>
      <c r="X79" s="144" t="n">
        <v>0.5</v>
      </c>
      <c r="Y79" s="143">
        <f>ABS($D79-X79)</f>
        <v/>
      </c>
      <c r="Z79" s="158" t="n"/>
      <c r="AA79" s="144" t="n">
        <v>0.55</v>
      </c>
      <c r="AB79" s="143">
        <f>ABS($D79-AA79)</f>
        <v/>
      </c>
      <c r="AC79" s="158" t="n"/>
    </row>
    <row r="80" ht="20" customHeight="1" s="270">
      <c r="A80" s="152" t="inlineStr">
        <is>
          <t>Random</t>
        </is>
      </c>
      <c r="B80" s="132" t="inlineStr">
        <is>
          <t>Found Object</t>
        </is>
      </c>
      <c r="C80" s="125" t="inlineStr">
        <is>
          <t>None</t>
        </is>
      </c>
      <c r="D80" s="134">
        <f>COUNTIFS(STUDY03_DATA!C:C,A80,STUDY03_DATA!D:D,B80,STUDY03_DATA!F:F,C80)/'META DATA'!$B$2</f>
        <v/>
      </c>
      <c r="E80" s="154" t="n"/>
      <c r="F80" s="144" t="n">
        <v>0.15</v>
      </c>
      <c r="G80" s="143">
        <f>ABS($D80-F80)</f>
        <v/>
      </c>
      <c r="H80" s="140" t="n"/>
      <c r="I80" s="144" t="n">
        <v>0</v>
      </c>
      <c r="J80" s="143">
        <f>ABS($D80-I80)</f>
        <v/>
      </c>
      <c r="K80" s="140" t="n"/>
      <c r="L80" s="144" t="n">
        <v>0.1</v>
      </c>
      <c r="M80" s="143">
        <f>ABS($D80-L80)</f>
        <v/>
      </c>
      <c r="N80" s="158" t="n"/>
      <c r="O80" s="144" t="n">
        <v>0.05</v>
      </c>
      <c r="P80" s="143">
        <f>ABS($D80-O80)</f>
        <v/>
      </c>
      <c r="Q80" s="158" t="n"/>
      <c r="R80" s="144" t="n">
        <v>0.05</v>
      </c>
      <c r="S80" s="143">
        <f>ABS($D80-R80)</f>
        <v/>
      </c>
      <c r="T80" s="158" t="n"/>
      <c r="U80" s="144" t="n">
        <v>0.1</v>
      </c>
      <c r="V80" s="143">
        <f>ABS($D80-U80)</f>
        <v/>
      </c>
      <c r="W80" s="158" t="n"/>
      <c r="X80" s="144" t="n">
        <v>0</v>
      </c>
      <c r="Y80" s="143">
        <f>ABS($D80-X80)</f>
        <v/>
      </c>
      <c r="Z80" s="158" t="n"/>
      <c r="AA80" s="144" t="n">
        <v>0</v>
      </c>
      <c r="AB80" s="143">
        <f>ABS($D80-AA80)</f>
        <v/>
      </c>
      <c r="AC80" s="158" t="n"/>
    </row>
    <row r="81" ht="20" customHeight="1" s="270">
      <c r="A81" s="152" t="inlineStr">
        <is>
          <t>Random</t>
        </is>
      </c>
      <c r="B81" s="132" t="inlineStr">
        <is>
          <t>Needs Help</t>
        </is>
      </c>
      <c r="C81" s="125" t="inlineStr">
        <is>
          <t>Waiting for Input</t>
        </is>
      </c>
      <c r="D81" s="138">
        <f>COUNTIFS(STUDY03_DATA!C:C,A81,STUDY03_DATA!D:D,B81,STUDY03_DATA!F:F,C81)/'META DATA'!$B$2</f>
        <v/>
      </c>
      <c r="E81" s="154" t="n"/>
      <c r="F81" s="145">
        <f t="array" ref="F81:F86">RAN_NH_01!S2:S7</f>
        <v/>
      </c>
      <c r="G81" s="143">
        <f>ABS($D81-F81)</f>
        <v/>
      </c>
      <c r="H81" s="140" t="n"/>
      <c r="I81" s="145">
        <f t="array" ref="I81:I86">RAN_NH_02!S2:S7</f>
        <v/>
      </c>
      <c r="J81" s="143">
        <f>ABS($D81-I81)</f>
        <v/>
      </c>
      <c r="K81" s="140" t="n"/>
      <c r="L81" s="145">
        <f t="array" ref="L81:L86">RAN_NH_03!S2:S7</f>
        <v/>
      </c>
      <c r="M81" s="143">
        <f>ABS($D81-L81)</f>
        <v/>
      </c>
      <c r="N81" s="158" t="n"/>
      <c r="O81" s="145">
        <f t="array" ref="O81:O86">RAN_NH_04!S2:S7</f>
        <v/>
      </c>
      <c r="P81" s="143">
        <f>ABS($D81-O81)</f>
        <v/>
      </c>
      <c r="Q81" s="158" t="n"/>
      <c r="R81" s="145">
        <f t="array" ref="R81:R86">RAN_NH_05!S2:S7</f>
        <v/>
      </c>
      <c r="S81" s="143">
        <f>ABS($D81-R81)</f>
        <v/>
      </c>
      <c r="T81" s="158" t="n"/>
      <c r="U81" s="145">
        <f t="array" ref="U81:U86">RAN_NH_06!S2:S7</f>
        <v/>
      </c>
      <c r="V81" s="143">
        <f>ABS($D81-U81)</f>
        <v/>
      </c>
      <c r="W81" s="158" t="n"/>
      <c r="X81" s="145">
        <f t="array" ref="X81:X86">RAN_NH_07!S2:S7</f>
        <v/>
      </c>
      <c r="Y81" s="143">
        <f>ABS($D81-X81)</f>
        <v/>
      </c>
      <c r="Z81" s="158" t="n"/>
      <c r="AA81" s="145">
        <f t="array" ref="AA81:AA86">RAN_NH_08!S2:S7</f>
        <v/>
      </c>
      <c r="AB81" s="143">
        <f>ABS($D81-AA81)</f>
        <v/>
      </c>
      <c r="AC81" s="158" t="n"/>
    </row>
    <row r="82" ht="20" customHeight="1" s="270">
      <c r="A82" s="152" t="inlineStr">
        <is>
          <t>Random</t>
        </is>
      </c>
      <c r="B82" s="132" t="inlineStr">
        <is>
          <t>Needs Help</t>
        </is>
      </c>
      <c r="C82" s="126" t="inlineStr">
        <is>
          <t>Analyzing Object</t>
        </is>
      </c>
      <c r="D82" s="138">
        <f>COUNTIFS(STUDY03_DATA!C:C,A82,STUDY03_DATA!D:D,B82,STUDY03_DATA!F:F,C82)/'META DATA'!$B$2</f>
        <v/>
      </c>
      <c r="E82" s="154" t="n"/>
      <c r="F82" s="145" t="n">
        <v>0.25</v>
      </c>
      <c r="G82" s="143">
        <f>ABS($D82-F82)</f>
        <v/>
      </c>
      <c r="H82" s="140" t="n"/>
      <c r="I82" s="145" t="n">
        <v>0.15</v>
      </c>
      <c r="J82" s="143">
        <f>ABS($D82-I82)</f>
        <v/>
      </c>
      <c r="K82" s="140" t="n"/>
      <c r="L82" s="145" t="n">
        <v>0.1</v>
      </c>
      <c r="M82" s="143">
        <f>ABS($D82-L82)</f>
        <v/>
      </c>
      <c r="N82" s="158" t="n"/>
      <c r="O82" s="145" t="n">
        <v>0</v>
      </c>
      <c r="P82" s="143">
        <f>ABS($D82-O82)</f>
        <v/>
      </c>
      <c r="Q82" s="158" t="n"/>
      <c r="R82" s="145" t="n">
        <v>0.15</v>
      </c>
      <c r="S82" s="143">
        <f>ABS($D82-R82)</f>
        <v/>
      </c>
      <c r="T82" s="158" t="n"/>
      <c r="U82" s="145" t="n">
        <v>0.05</v>
      </c>
      <c r="V82" s="143">
        <f>ABS($D82-U82)</f>
        <v/>
      </c>
      <c r="W82" s="158" t="n"/>
      <c r="X82" s="145" t="n">
        <v>0.15</v>
      </c>
      <c r="Y82" s="143">
        <f>ABS($D82-X82)</f>
        <v/>
      </c>
      <c r="Z82" s="158" t="n"/>
      <c r="AA82" s="145" t="n">
        <v>0.05</v>
      </c>
      <c r="AB82" s="143">
        <f>ABS($D82-AA82)</f>
        <v/>
      </c>
      <c r="AC82" s="158" t="n"/>
    </row>
    <row r="83" ht="20" customHeight="1" s="270">
      <c r="A83" s="152" t="inlineStr">
        <is>
          <t>Random</t>
        </is>
      </c>
      <c r="B83" s="132" t="inlineStr">
        <is>
          <t>Needs Help</t>
        </is>
      </c>
      <c r="C83" s="126" t="inlineStr">
        <is>
          <t>Found Object</t>
        </is>
      </c>
      <c r="D83" s="138">
        <f>COUNTIFS(STUDY03_DATA!C:C,A83,STUDY03_DATA!D:D,B83,STUDY03_DATA!F:F,C83)/'META DATA'!$B$2</f>
        <v/>
      </c>
      <c r="E83" s="154" t="n"/>
      <c r="F83" s="146" t="n">
        <v>0.05</v>
      </c>
      <c r="G83" s="143">
        <f>ABS($D83-F83)</f>
        <v/>
      </c>
      <c r="H83" s="140" t="n"/>
      <c r="I83" s="146" t="n">
        <v>0.3</v>
      </c>
      <c r="J83" s="143">
        <f>ABS($D83-I83)</f>
        <v/>
      </c>
      <c r="K83" s="140" t="n"/>
      <c r="L83" s="146" t="n">
        <v>0.1</v>
      </c>
      <c r="M83" s="143">
        <f>ABS($D83-L83)</f>
        <v/>
      </c>
      <c r="N83" s="158" t="n"/>
      <c r="O83" s="146" t="n">
        <v>0.1</v>
      </c>
      <c r="P83" s="143">
        <f>ABS($D83-O83)</f>
        <v/>
      </c>
      <c r="Q83" s="158" t="n"/>
      <c r="R83" s="146" t="n">
        <v>0.65</v>
      </c>
      <c r="S83" s="143">
        <f>ABS($D83-R83)</f>
        <v/>
      </c>
      <c r="T83" s="158" t="n"/>
      <c r="U83" s="146" t="n">
        <v>0.3</v>
      </c>
      <c r="V83" s="143">
        <f>ABS($D83-U83)</f>
        <v/>
      </c>
      <c r="W83" s="158" t="n"/>
      <c r="X83" s="146" t="n">
        <v>0.35</v>
      </c>
      <c r="Y83" s="143">
        <f>ABS($D83-X83)</f>
        <v/>
      </c>
      <c r="Z83" s="158" t="n"/>
      <c r="AA83" s="146" t="n">
        <v>0.5</v>
      </c>
      <c r="AB83" s="143">
        <f>ABS($D83-AA83)</f>
        <v/>
      </c>
      <c r="AC83" s="158" t="n"/>
    </row>
    <row r="84" ht="20" customHeight="1" s="270">
      <c r="A84" s="152" t="inlineStr">
        <is>
          <t>Random</t>
        </is>
      </c>
      <c r="B84" s="132" t="inlineStr">
        <is>
          <t>Needs Help</t>
        </is>
      </c>
      <c r="C84" s="126" t="inlineStr">
        <is>
          <t>Needs Help</t>
        </is>
      </c>
      <c r="D84" s="138">
        <f>COUNTIFS(STUDY03_DATA!C:C,A84,STUDY03_DATA!D:D,B84,STUDY03_DATA!F:F,C84)/'META DATA'!$B$2</f>
        <v/>
      </c>
      <c r="E84" s="154" t="n"/>
      <c r="F84" s="146" t="n">
        <v>0.1</v>
      </c>
      <c r="G84" s="143">
        <f>ABS($D84-F84)</f>
        <v/>
      </c>
      <c r="H84" s="140" t="n"/>
      <c r="I84" s="146" t="n">
        <v>0.1</v>
      </c>
      <c r="J84" s="143">
        <f>ABS($D84-I84)</f>
        <v/>
      </c>
      <c r="K84" s="140" t="n"/>
      <c r="L84" s="146" t="n">
        <v>0.15</v>
      </c>
      <c r="M84" s="143">
        <f>ABS($D84-L84)</f>
        <v/>
      </c>
      <c r="N84" s="158" t="n"/>
      <c r="O84" s="146" t="n">
        <v>0.1</v>
      </c>
      <c r="P84" s="143">
        <f>ABS($D84-O84)</f>
        <v/>
      </c>
      <c r="Q84" s="158" t="n"/>
      <c r="R84" s="146" t="n">
        <v>0</v>
      </c>
      <c r="S84" s="143">
        <f>ABS($D84-R84)</f>
        <v/>
      </c>
      <c r="T84" s="158" t="n"/>
      <c r="U84" s="146" t="n">
        <v>0.2</v>
      </c>
      <c r="V84" s="143">
        <f>ABS($D84-U84)</f>
        <v/>
      </c>
      <c r="W84" s="158" t="n"/>
      <c r="X84" s="146" t="n">
        <v>0</v>
      </c>
      <c r="Y84" s="143">
        <f>ABS($D84-X84)</f>
        <v/>
      </c>
      <c r="Z84" s="158" t="n"/>
      <c r="AA84" s="146" t="n">
        <v>0.15</v>
      </c>
      <c r="AB84" s="143">
        <f>ABS($D84-AA84)</f>
        <v/>
      </c>
      <c r="AC84" s="158" t="n"/>
    </row>
    <row r="85" ht="20" customHeight="1" s="270">
      <c r="A85" s="152" t="inlineStr">
        <is>
          <t>Random</t>
        </is>
      </c>
      <c r="B85" s="132" t="inlineStr">
        <is>
          <t>Needs Help</t>
        </is>
      </c>
      <c r="C85" s="125" t="inlineStr">
        <is>
          <t>Confused</t>
        </is>
      </c>
      <c r="D85" s="138">
        <f>COUNTIFS(STUDY03_DATA!C:C,A85,STUDY03_DATA!D:D,B85,STUDY03_DATA!F:F,C85)/'META DATA'!$B$2</f>
        <v/>
      </c>
      <c r="E85" s="154" t="n"/>
      <c r="F85" s="146" t="n">
        <v>0.55</v>
      </c>
      <c r="G85" s="143">
        <f>ABS($D85-F85)</f>
        <v/>
      </c>
      <c r="H85" s="140" t="n"/>
      <c r="I85" s="146" t="n">
        <v>0.45</v>
      </c>
      <c r="J85" s="143">
        <f>ABS($D85-I85)</f>
        <v/>
      </c>
      <c r="K85" s="140" t="n"/>
      <c r="L85" s="146" t="n">
        <v>0.65</v>
      </c>
      <c r="M85" s="143">
        <f>ABS($D85-L85)</f>
        <v/>
      </c>
      <c r="N85" s="158" t="n"/>
      <c r="O85" s="146" t="n">
        <v>0.8</v>
      </c>
      <c r="P85" s="143">
        <f>ABS($D85-O85)</f>
        <v/>
      </c>
      <c r="Q85" s="158" t="n"/>
      <c r="R85" s="146" t="n">
        <v>0.1</v>
      </c>
      <c r="S85" s="143">
        <f>ABS($D85-R85)</f>
        <v/>
      </c>
      <c r="T85" s="158" t="n"/>
      <c r="U85" s="146" t="n">
        <v>0.45</v>
      </c>
      <c r="V85" s="143">
        <f>ABS($D85-U85)</f>
        <v/>
      </c>
      <c r="W85" s="158" t="n"/>
      <c r="X85" s="146" t="n">
        <v>0.5</v>
      </c>
      <c r="Y85" s="143">
        <f>ABS($D85-X85)</f>
        <v/>
      </c>
      <c r="Z85" s="158" t="n"/>
      <c r="AA85" s="146" t="n">
        <v>0.3</v>
      </c>
      <c r="AB85" s="143">
        <f>ABS($D85-AA85)</f>
        <v/>
      </c>
      <c r="AC85" s="158" t="n"/>
    </row>
    <row r="86" ht="20" customHeight="1" s="270">
      <c r="A86" s="152" t="inlineStr">
        <is>
          <t>Random</t>
        </is>
      </c>
      <c r="B86" s="132" t="inlineStr">
        <is>
          <t>Needs Help</t>
        </is>
      </c>
      <c r="C86" s="125" t="inlineStr">
        <is>
          <t>None</t>
        </is>
      </c>
      <c r="D86" s="138">
        <f>COUNTIFS(STUDY03_DATA!C:C,A86,STUDY03_DATA!D:D,B86,STUDY03_DATA!F:F,C86)/'META DATA'!$B$2</f>
        <v/>
      </c>
      <c r="E86" s="154" t="n"/>
      <c r="F86" s="146" t="n">
        <v>0.05</v>
      </c>
      <c r="G86" s="143">
        <f>ABS($D86-F86)</f>
        <v/>
      </c>
      <c r="H86" s="140" t="n"/>
      <c r="I86" s="146" t="n">
        <v>0</v>
      </c>
      <c r="J86" s="143">
        <f>ABS($D86-I86)</f>
        <v/>
      </c>
      <c r="K86" s="140" t="n"/>
      <c r="L86" s="146" t="n">
        <v>0</v>
      </c>
      <c r="M86" s="143">
        <f>ABS($D86-L86)</f>
        <v/>
      </c>
      <c r="N86" s="158" t="n"/>
      <c r="O86" s="146" t="n">
        <v>0</v>
      </c>
      <c r="P86" s="143">
        <f>ABS($D86-O86)</f>
        <v/>
      </c>
      <c r="Q86" s="158" t="n"/>
      <c r="R86" s="146" t="n">
        <v>0</v>
      </c>
      <c r="S86" s="143">
        <f>ABS($D86-R86)</f>
        <v/>
      </c>
      <c r="T86" s="158" t="n"/>
      <c r="U86" s="146" t="n">
        <v>0</v>
      </c>
      <c r="V86" s="143">
        <f>ABS($D86-U86)</f>
        <v/>
      </c>
      <c r="W86" s="158" t="n"/>
      <c r="X86" s="146" t="n">
        <v>0</v>
      </c>
      <c r="Y86" s="143">
        <f>ABS($D86-X86)</f>
        <v/>
      </c>
      <c r="Z86" s="158" t="n"/>
      <c r="AA86" s="146" t="n">
        <v>0</v>
      </c>
      <c r="AB86" s="143">
        <f>ABS($D86-AA86)</f>
        <v/>
      </c>
      <c r="AC86" s="158" t="n"/>
    </row>
    <row r="87" ht="20" customHeight="1" s="270">
      <c r="A87" s="152" t="inlineStr">
        <is>
          <t>Random</t>
        </is>
      </c>
      <c r="B87" s="131" t="inlineStr">
        <is>
          <t>Confused</t>
        </is>
      </c>
      <c r="C87" s="125" t="inlineStr">
        <is>
          <t>Waiting for Input</t>
        </is>
      </c>
      <c r="D87" s="134">
        <f>COUNTIFS(STUDY03_DATA!C:C,A87,STUDY03_DATA!D:D,B87,STUDY03_DATA!F:F,C87)/'META DATA'!$B$2</f>
        <v/>
      </c>
      <c r="E87" s="154" t="n"/>
      <c r="F87" s="147">
        <f t="array" ref="F87:F92">RAN_C_01!S2:S7</f>
        <v/>
      </c>
      <c r="G87" s="143">
        <f>ABS($D87-F87)</f>
        <v/>
      </c>
      <c r="H87" s="140" t="n"/>
      <c r="I87" s="147">
        <f t="array" ref="I87:I92">RAN_C_02!S2:S7</f>
        <v/>
      </c>
      <c r="J87" s="143">
        <f>ABS($D87-I87)</f>
        <v/>
      </c>
      <c r="K87" s="140" t="n"/>
      <c r="L87" s="147">
        <f t="array" ref="L87:L92">RAN_C_03!S2:S7</f>
        <v/>
      </c>
      <c r="M87" s="143">
        <f>ABS($D87-L87)</f>
        <v/>
      </c>
      <c r="N87" s="158" t="n"/>
      <c r="O87" s="147">
        <f t="array" ref="O87:O92">RAN_C_04!S2:S7</f>
        <v/>
      </c>
      <c r="P87" s="143">
        <f>ABS($D87-O87)</f>
        <v/>
      </c>
      <c r="Q87" s="158" t="n"/>
      <c r="R87" s="147">
        <f t="array" ref="R87:R92">RAN_C_05!S2:S7</f>
        <v/>
      </c>
      <c r="S87" s="143">
        <f>ABS($D87-R87)</f>
        <v/>
      </c>
      <c r="T87" s="158" t="n"/>
      <c r="U87" s="147">
        <f t="array" ref="U87:U92">RAN_C_06!S2:S7</f>
        <v/>
      </c>
      <c r="V87" s="143">
        <f>ABS($D87-U87)</f>
        <v/>
      </c>
      <c r="W87" s="158" t="n"/>
      <c r="X87" s="147">
        <f t="array" ref="X87:X92">RAN_C_07!S2:S7</f>
        <v/>
      </c>
      <c r="Y87" s="143">
        <f>ABS($D87-X87)</f>
        <v/>
      </c>
      <c r="Z87" s="158" t="n"/>
      <c r="AA87" s="147">
        <f t="array" ref="AA87:AA92">RAN_C_08!S2:S7</f>
        <v/>
      </c>
      <c r="AB87" s="143">
        <f>ABS($D87-AA87)</f>
        <v/>
      </c>
      <c r="AC87" s="158" t="n"/>
    </row>
    <row r="88" ht="20" customHeight="1" s="270">
      <c r="A88" s="152" t="inlineStr">
        <is>
          <t>Random</t>
        </is>
      </c>
      <c r="B88" s="131" t="inlineStr">
        <is>
          <t>Confused</t>
        </is>
      </c>
      <c r="C88" s="126" t="inlineStr">
        <is>
          <t>Analyzing Object</t>
        </is>
      </c>
      <c r="D88" s="134">
        <f>COUNTIFS(STUDY03_DATA!C:C,A88,STUDY03_DATA!D:D,B88,STUDY03_DATA!F:F,C88)/'META DATA'!$B$2</f>
        <v/>
      </c>
      <c r="E88" s="154" t="n"/>
      <c r="F88" s="147" t="n">
        <v>0</v>
      </c>
      <c r="G88" s="143">
        <f>ABS($D88-F88)</f>
        <v/>
      </c>
      <c r="H88" s="140" t="n"/>
      <c r="I88" s="147" t="n">
        <v>0</v>
      </c>
      <c r="J88" s="143">
        <f>ABS($D88-I88)</f>
        <v/>
      </c>
      <c r="K88" s="140" t="n"/>
      <c r="L88" s="147" t="n">
        <v>0</v>
      </c>
      <c r="M88" s="143">
        <f>ABS($D88-L88)</f>
        <v/>
      </c>
      <c r="N88" s="158" t="n"/>
      <c r="O88" s="147" t="n">
        <v>0</v>
      </c>
      <c r="P88" s="143">
        <f>ABS($D88-O88)</f>
        <v/>
      </c>
      <c r="Q88" s="158" t="n"/>
      <c r="R88" s="147" t="n">
        <v>0.4</v>
      </c>
      <c r="S88" s="143">
        <f>ABS($D88-R88)</f>
        <v/>
      </c>
      <c r="T88" s="158" t="n"/>
      <c r="U88" s="147" t="n">
        <v>0.05</v>
      </c>
      <c r="V88" s="143">
        <f>ABS($D88-U88)</f>
        <v/>
      </c>
      <c r="W88" s="158" t="n"/>
      <c r="X88" s="147" t="n">
        <v>0</v>
      </c>
      <c r="Y88" s="143">
        <f>ABS($D88-X88)</f>
        <v/>
      </c>
      <c r="Z88" s="158" t="n"/>
      <c r="AA88" s="147" t="n">
        <v>0</v>
      </c>
      <c r="AB88" s="143">
        <f>ABS($D88-AA88)</f>
        <v/>
      </c>
      <c r="AC88" s="158" t="n"/>
    </row>
    <row r="89" ht="20" customHeight="1" s="270">
      <c r="A89" s="152" t="inlineStr">
        <is>
          <t>Random</t>
        </is>
      </c>
      <c r="B89" s="131" t="inlineStr">
        <is>
          <t>Confused</t>
        </is>
      </c>
      <c r="C89" s="126" t="inlineStr">
        <is>
          <t>Found Object</t>
        </is>
      </c>
      <c r="D89" s="134">
        <f>COUNTIFS(STUDY03_DATA!C:C,A89,STUDY03_DATA!D:D,B89,STUDY03_DATA!F:F,C89)/'META DATA'!$B$2</f>
        <v/>
      </c>
      <c r="E89" s="154" t="n"/>
      <c r="F89" s="147" t="n">
        <v>0</v>
      </c>
      <c r="G89" s="143">
        <f>ABS($D89-F89)</f>
        <v/>
      </c>
      <c r="H89" s="140" t="n"/>
      <c r="I89" s="147" t="n">
        <v>0</v>
      </c>
      <c r="J89" s="143">
        <f>ABS($D89-I89)</f>
        <v/>
      </c>
      <c r="K89" s="140" t="n"/>
      <c r="L89" s="147" t="n">
        <v>0</v>
      </c>
      <c r="M89" s="143">
        <f>ABS($D89-L89)</f>
        <v/>
      </c>
      <c r="N89" s="158" t="n"/>
      <c r="O89" s="147" t="n">
        <v>0</v>
      </c>
      <c r="P89" s="143">
        <f>ABS($D89-O89)</f>
        <v/>
      </c>
      <c r="Q89" s="158" t="n"/>
      <c r="R89" s="147" t="n">
        <v>0.1</v>
      </c>
      <c r="S89" s="143">
        <f>ABS($D89-R89)</f>
        <v/>
      </c>
      <c r="T89" s="158" t="n"/>
      <c r="U89" s="147" t="n">
        <v>0.05</v>
      </c>
      <c r="V89" s="143">
        <f>ABS($D89-U89)</f>
        <v/>
      </c>
      <c r="W89" s="158" t="n"/>
      <c r="X89" s="147" t="n">
        <v>0</v>
      </c>
      <c r="Y89" s="143">
        <f>ABS($D89-X89)</f>
        <v/>
      </c>
      <c r="Z89" s="158" t="n"/>
      <c r="AA89" s="147" t="n">
        <v>0</v>
      </c>
      <c r="AB89" s="143">
        <f>ABS($D89-AA89)</f>
        <v/>
      </c>
      <c r="AC89" s="158" t="n"/>
    </row>
    <row r="90" ht="20" customHeight="1" s="270">
      <c r="A90" s="152" t="inlineStr">
        <is>
          <t>Random</t>
        </is>
      </c>
      <c r="B90" s="131" t="inlineStr">
        <is>
          <t>Confused</t>
        </is>
      </c>
      <c r="C90" s="126" t="inlineStr">
        <is>
          <t>Needs Help</t>
        </is>
      </c>
      <c r="D90" s="134">
        <f>COUNTIFS(STUDY03_DATA!C:C,A90,STUDY03_DATA!D:D,B90,STUDY03_DATA!F:F,C90)/'META DATA'!$B$2</f>
        <v/>
      </c>
      <c r="E90" s="154" t="n"/>
      <c r="F90" s="147" t="n">
        <v>0.15</v>
      </c>
      <c r="G90" s="143">
        <f>ABS($D90-F90)</f>
        <v/>
      </c>
      <c r="H90" s="140" t="n"/>
      <c r="I90" s="147" t="n">
        <v>0.3</v>
      </c>
      <c r="J90" s="143">
        <f>ABS($D90-I90)</f>
        <v/>
      </c>
      <c r="K90" s="140" t="n"/>
      <c r="L90" s="147" t="n">
        <v>0.05</v>
      </c>
      <c r="M90" s="143">
        <f>ABS($D90-L90)</f>
        <v/>
      </c>
      <c r="N90" s="158" t="n"/>
      <c r="O90" s="147" t="n">
        <v>0.1</v>
      </c>
      <c r="P90" s="143">
        <f>ABS($D90-O90)</f>
        <v/>
      </c>
      <c r="Q90" s="158" t="n"/>
      <c r="R90" s="147" t="n">
        <v>0</v>
      </c>
      <c r="S90" s="143">
        <f>ABS($D90-R90)</f>
        <v/>
      </c>
      <c r="T90" s="158" t="n"/>
      <c r="U90" s="147" t="n">
        <v>0.25</v>
      </c>
      <c r="V90" s="143">
        <f>ABS($D90-U90)</f>
        <v/>
      </c>
      <c r="W90" s="158" t="n"/>
      <c r="X90" s="147" t="n">
        <v>0.2</v>
      </c>
      <c r="Y90" s="143">
        <f>ABS($D90-X90)</f>
        <v/>
      </c>
      <c r="Z90" s="158" t="n"/>
      <c r="AA90" s="147" t="n">
        <v>0.3</v>
      </c>
      <c r="AB90" s="143">
        <f>ABS($D90-AA90)</f>
        <v/>
      </c>
      <c r="AC90" s="158" t="n"/>
    </row>
    <row r="91" ht="20" customHeight="1" s="270">
      <c r="A91" s="152" t="inlineStr">
        <is>
          <t>Random</t>
        </is>
      </c>
      <c r="B91" s="131" t="inlineStr">
        <is>
          <t>Confused</t>
        </is>
      </c>
      <c r="C91" s="125" t="inlineStr">
        <is>
          <t>Confused</t>
        </is>
      </c>
      <c r="D91" s="134">
        <f>COUNTIFS(STUDY03_DATA!C:C,A91,STUDY03_DATA!D:D,B91,STUDY03_DATA!F:F,C91)/'META DATA'!$B$2</f>
        <v/>
      </c>
      <c r="E91" s="154" t="n"/>
      <c r="F91" s="147" t="n">
        <v>0.85</v>
      </c>
      <c r="G91" s="143">
        <f>ABS($D91-F91)</f>
        <v/>
      </c>
      <c r="H91" s="140" t="n"/>
      <c r="I91" s="147" t="n">
        <v>0.7</v>
      </c>
      <c r="J91" s="143">
        <f>ABS($D91-I91)</f>
        <v/>
      </c>
      <c r="K91" s="140" t="n"/>
      <c r="L91" s="147" t="n">
        <v>0.9</v>
      </c>
      <c r="M91" s="143">
        <f>ABS($D91-L91)</f>
        <v/>
      </c>
      <c r="N91" s="158" t="n"/>
      <c r="O91" s="147" t="n">
        <v>0.9</v>
      </c>
      <c r="P91" s="143">
        <f>ABS($D91-O91)</f>
        <v/>
      </c>
      <c r="Q91" s="158" t="n"/>
      <c r="R91" s="147" t="n">
        <v>0.15</v>
      </c>
      <c r="S91" s="143">
        <f>ABS($D91-R91)</f>
        <v/>
      </c>
      <c r="T91" s="158" t="n"/>
      <c r="U91" s="147" t="n">
        <v>0.6</v>
      </c>
      <c r="V91" s="143">
        <f>ABS($D91-U91)</f>
        <v/>
      </c>
      <c r="W91" s="158" t="n"/>
      <c r="X91" s="147" t="n">
        <v>0.75</v>
      </c>
      <c r="Y91" s="143">
        <f>ABS($D91-X91)</f>
        <v/>
      </c>
      <c r="Z91" s="158" t="n"/>
      <c r="AA91" s="147" t="n">
        <v>0.65</v>
      </c>
      <c r="AB91" s="143">
        <f>ABS($D91-AA91)</f>
        <v/>
      </c>
      <c r="AC91" s="158" t="n"/>
    </row>
    <row r="92" ht="20" customHeight="1" s="270" thickBot="1">
      <c r="A92" s="152" t="inlineStr">
        <is>
          <t>Random</t>
        </is>
      </c>
      <c r="B92" s="131" t="inlineStr">
        <is>
          <t>Confused</t>
        </is>
      </c>
      <c r="C92" s="125" t="inlineStr">
        <is>
          <t>None</t>
        </is>
      </c>
      <c r="D92" s="134">
        <f>COUNTIFS(STUDY03_DATA!C:C,A92,STUDY03_DATA!D:D,B92,STUDY03_DATA!F:F,C92)/'META DATA'!$B$2</f>
        <v/>
      </c>
      <c r="E92" s="154" t="n"/>
      <c r="F92" s="148" t="n">
        <v>0</v>
      </c>
      <c r="G92" s="149">
        <f>ABS($D92-F92)</f>
        <v/>
      </c>
      <c r="H92" s="140" t="n"/>
      <c r="I92" s="148" t="n">
        <v>0</v>
      </c>
      <c r="J92" s="149">
        <f>ABS($D92-I92)</f>
        <v/>
      </c>
      <c r="K92" s="140" t="n"/>
      <c r="L92" s="148" t="n">
        <v>0.05</v>
      </c>
      <c r="M92" s="149">
        <f>ABS($D92-L92)</f>
        <v/>
      </c>
      <c r="N92" s="158" t="n"/>
      <c r="O92" s="148" t="n">
        <v>0</v>
      </c>
      <c r="P92" s="149">
        <f>ABS($D92-O92)</f>
        <v/>
      </c>
      <c r="Q92" s="158" t="n"/>
      <c r="R92" s="148" t="n">
        <v>0</v>
      </c>
      <c r="S92" s="149">
        <f>ABS($D92-R92)</f>
        <v/>
      </c>
      <c r="T92" s="158" t="n"/>
      <c r="U92" s="148" t="n">
        <v>0.05</v>
      </c>
      <c r="V92" s="149">
        <f>ABS($D92-U92)</f>
        <v/>
      </c>
      <c r="W92" s="158" t="n"/>
      <c r="X92" s="148" t="n">
        <v>0</v>
      </c>
      <c r="Y92" s="149">
        <f>ABS($D92-X92)</f>
        <v/>
      </c>
      <c r="Z92" s="158" t="n"/>
      <c r="AA92" s="148" t="n">
        <v>0</v>
      </c>
      <c r="AB92" s="149">
        <f>ABS($D92-AA92)</f>
        <v/>
      </c>
      <c r="AC92" s="158" t="n"/>
    </row>
    <row r="93" ht="17" customHeight="1" s="270" thickBot="1">
      <c r="F93" s="160" t="inlineStr">
        <is>
          <t>Average Error</t>
        </is>
      </c>
      <c r="G93" s="161">
        <f>AVERAGE(G3:G92)</f>
        <v/>
      </c>
      <c r="H93" s="162" t="n"/>
      <c r="I93" s="160" t="inlineStr">
        <is>
          <t>Average Error</t>
        </is>
      </c>
      <c r="J93" s="161">
        <f>AVERAGE(J3:J92)</f>
        <v/>
      </c>
      <c r="K93" s="162" t="n"/>
      <c r="L93" s="160" t="inlineStr">
        <is>
          <t>Average Error</t>
        </is>
      </c>
      <c r="M93" s="161">
        <f>AVERAGE(M3:M92)</f>
        <v/>
      </c>
      <c r="N93" s="163" t="n"/>
      <c r="O93" s="160" t="inlineStr">
        <is>
          <t>Average Error</t>
        </is>
      </c>
      <c r="P93" s="161">
        <f>AVERAGE(P3:P92)</f>
        <v/>
      </c>
      <c r="Q93" s="163" t="n"/>
      <c r="R93" s="160" t="inlineStr">
        <is>
          <t>Average Error</t>
        </is>
      </c>
      <c r="S93" s="161">
        <f>AVERAGE(S3:S92)</f>
        <v/>
      </c>
      <c r="T93" s="163" t="n"/>
      <c r="U93" s="160" t="inlineStr">
        <is>
          <t>Average Error</t>
        </is>
      </c>
      <c r="V93" s="161">
        <f>AVERAGE(V3:V92)</f>
        <v/>
      </c>
      <c r="W93" s="163" t="n"/>
      <c r="X93" s="160" t="inlineStr">
        <is>
          <t>Average Error</t>
        </is>
      </c>
      <c r="Y93" s="161">
        <f>AVERAGE(Y3:Y92)</f>
        <v/>
      </c>
      <c r="Z93" s="158" t="n"/>
      <c r="AA93" s="160" t="inlineStr">
        <is>
          <t>Average Error</t>
        </is>
      </c>
      <c r="AB93" s="161">
        <f>AVERAGE(AB3:AB92)</f>
        <v/>
      </c>
      <c r="AC93" s="158" t="n"/>
    </row>
    <row r="94" ht="16" customHeight="1" s="270" thickBot="1">
      <c r="F94" s="253" t="inlineStr">
        <is>
          <t>temperature_coefficient = 1.0  
frequency_penalty_coefficient = 1.0
top_p_coefficient=1.0                   
omission_probability = 0.5</t>
        </is>
      </c>
      <c r="G94" s="242" t="n"/>
      <c r="I94" s="241" t="inlineStr">
        <is>
          <t>kept same as attempt 1</t>
        </is>
      </c>
      <c r="J94" s="242" t="n"/>
      <c r="L94" s="241" t="inlineStr">
        <is>
          <t>increased omission_probability = 0.65</t>
        </is>
      </c>
      <c r="M94" s="242" t="n"/>
      <c r="N94" s="158" t="n"/>
      <c r="O94" s="241" t="inlineStr">
        <is>
          <t>decreased omission_probability = 0.35</t>
        </is>
      </c>
      <c r="P94" s="242" t="n"/>
      <c r="Q94" s="158" t="n"/>
      <c r="R94" s="241" t="inlineStr">
        <is>
          <t>added expression summary randomization using the word 'inventively'</t>
        </is>
      </c>
      <c r="S94" s="242" t="n"/>
      <c r="T94" s="158" t="n"/>
      <c r="U94" s="241" t="inlineStr">
        <is>
          <t>removed word 'inventivly' to make summaries very plain and concise with omission_probability = 0.5</t>
        </is>
      </c>
      <c r="V94" s="242" t="n"/>
      <c r="W94" s="158" t="n"/>
      <c r="X94" s="241" t="inlineStr">
        <is>
          <t xml:space="preserve">decreased omission_probability = 0.3	</t>
        </is>
      </c>
      <c r="Y94" s="242" t="n"/>
      <c r="Z94" s="158" t="n"/>
      <c r="AA94" s="241" t="inlineStr">
        <is>
          <t>matched conditions from attempt 06</t>
        </is>
      </c>
      <c r="AB94" s="242" t="n"/>
      <c r="AC94" s="158" t="n"/>
    </row>
    <row r="95">
      <c r="F95" s="243" t="n"/>
      <c r="G95" s="244" t="n"/>
      <c r="I95" s="243" t="n"/>
      <c r="J95" s="244" t="n"/>
      <c r="L95" s="243" t="n"/>
      <c r="M95" s="244" t="n"/>
      <c r="N95" s="159" t="n"/>
      <c r="O95" s="243" t="n"/>
      <c r="P95" s="244" t="n"/>
      <c r="Q95" s="159" t="n"/>
      <c r="R95" s="243" t="n"/>
      <c r="S95" s="244" t="n"/>
      <c r="T95" s="159" t="n"/>
      <c r="U95" s="243" t="n"/>
      <c r="V95" s="244" t="n"/>
      <c r="W95" s="159" t="n"/>
      <c r="X95" s="243" t="n"/>
      <c r="Y95" s="244" t="n"/>
      <c r="Z95" s="159" t="n"/>
      <c r="AA95" s="243" t="n"/>
      <c r="AB95" s="244" t="n"/>
      <c r="AC95" s="159" t="n"/>
    </row>
    <row r="96">
      <c r="F96" s="243" t="n"/>
      <c r="G96" s="244" t="n"/>
      <c r="I96" s="243" t="n"/>
      <c r="J96" s="244" t="n"/>
      <c r="L96" s="243" t="n"/>
      <c r="M96" s="244" t="n"/>
      <c r="N96" s="159" t="n"/>
      <c r="O96" s="243" t="n"/>
      <c r="P96" s="244" t="n"/>
      <c r="Q96" s="159" t="n"/>
      <c r="R96" s="243" t="n"/>
      <c r="S96" s="244" t="n"/>
      <c r="T96" s="159" t="n"/>
      <c r="U96" s="243" t="n"/>
      <c r="V96" s="244" t="n"/>
      <c r="W96" s="159" t="n"/>
      <c r="X96" s="243" t="n"/>
      <c r="Y96" s="244" t="n"/>
      <c r="Z96" s="159" t="n"/>
      <c r="AA96" s="243" t="n"/>
      <c r="AB96" s="244" t="n"/>
      <c r="AC96" s="159" t="n"/>
    </row>
    <row r="97">
      <c r="F97" s="243" t="n"/>
      <c r="G97" s="244" t="n"/>
      <c r="I97" s="243" t="n"/>
      <c r="J97" s="244" t="n"/>
      <c r="L97" s="243" t="n"/>
      <c r="M97" s="244" t="n"/>
      <c r="N97" s="159" t="n"/>
      <c r="O97" s="243" t="n"/>
      <c r="P97" s="244" t="n"/>
      <c r="Q97" s="159" t="n"/>
      <c r="R97" s="243" t="n"/>
      <c r="S97" s="244" t="n"/>
      <c r="T97" s="159" t="n"/>
      <c r="U97" s="243" t="n"/>
      <c r="V97" s="244" t="n"/>
      <c r="W97" s="159" t="n"/>
      <c r="X97" s="243" t="n"/>
      <c r="Y97" s="244" t="n"/>
      <c r="Z97" s="159" t="n"/>
      <c r="AA97" s="243" t="n"/>
      <c r="AB97" s="244" t="n"/>
      <c r="AC97" s="159" t="n"/>
    </row>
    <row r="98">
      <c r="F98" s="243" t="n"/>
      <c r="G98" s="244" t="n"/>
      <c r="I98" s="243" t="n"/>
      <c r="J98" s="244" t="n"/>
      <c r="L98" s="243" t="n"/>
      <c r="M98" s="244" t="n"/>
      <c r="N98" s="159" t="n"/>
      <c r="O98" s="243" t="n"/>
      <c r="P98" s="244" t="n"/>
      <c r="Q98" s="159" t="n"/>
      <c r="R98" s="243" t="n"/>
      <c r="S98" s="244" t="n"/>
      <c r="T98" s="159" t="n"/>
      <c r="U98" s="243" t="n"/>
      <c r="V98" s="244" t="n"/>
      <c r="W98" s="159" t="n"/>
      <c r="X98" s="243" t="n"/>
      <c r="Y98" s="244" t="n"/>
      <c r="Z98" s="159" t="n"/>
      <c r="AA98" s="243" t="n"/>
      <c r="AB98" s="244" t="n"/>
      <c r="AC98" s="159" t="n"/>
    </row>
    <row r="99">
      <c r="F99" s="243" t="n"/>
      <c r="G99" s="244" t="n"/>
      <c r="I99" s="243" t="n"/>
      <c r="J99" s="244" t="n"/>
      <c r="L99" s="243" t="n"/>
      <c r="M99" s="244" t="n"/>
      <c r="N99" s="159" t="n"/>
      <c r="O99" s="243" t="n"/>
      <c r="P99" s="244" t="n"/>
      <c r="Q99" s="159" t="n"/>
      <c r="R99" s="243" t="n"/>
      <c r="S99" s="244" t="n"/>
      <c r="T99" s="159" t="n"/>
      <c r="U99" s="243" t="n"/>
      <c r="V99" s="244" t="n"/>
      <c r="W99" s="159" t="n"/>
      <c r="X99" s="243" t="n"/>
      <c r="Y99" s="244" t="n"/>
      <c r="Z99" s="159" t="n"/>
      <c r="AA99" s="243" t="n"/>
      <c r="AB99" s="244" t="n"/>
      <c r="AC99" s="159" t="n"/>
    </row>
    <row r="100">
      <c r="F100" s="243" t="n"/>
      <c r="G100" s="244" t="n"/>
      <c r="I100" s="243" t="n"/>
      <c r="J100" s="244" t="n"/>
      <c r="L100" s="243" t="n"/>
      <c r="M100" s="244" t="n"/>
      <c r="N100" s="159" t="n"/>
      <c r="O100" s="243" t="n"/>
      <c r="P100" s="244" t="n"/>
      <c r="Q100" s="159" t="n"/>
      <c r="R100" s="243" t="n"/>
      <c r="S100" s="244" t="n"/>
      <c r="T100" s="159" t="n"/>
      <c r="U100" s="243" t="n"/>
      <c r="V100" s="244" t="n"/>
      <c r="W100" s="159" t="n"/>
      <c r="X100" s="243" t="n"/>
      <c r="Y100" s="244" t="n"/>
      <c r="Z100" s="159" t="n"/>
      <c r="AA100" s="243" t="n"/>
      <c r="AB100" s="244" t="n"/>
      <c r="AC100" s="159" t="n"/>
    </row>
    <row r="101">
      <c r="F101" s="243" t="n"/>
      <c r="G101" s="244" t="n"/>
      <c r="I101" s="243" t="n"/>
      <c r="J101" s="244" t="n"/>
      <c r="L101" s="243" t="n"/>
      <c r="M101" s="244" t="n"/>
      <c r="N101" s="159" t="n"/>
      <c r="O101" s="243" t="n"/>
      <c r="P101" s="244" t="n"/>
      <c r="Q101" s="159" t="n"/>
      <c r="R101" s="243" t="n"/>
      <c r="S101" s="244" t="n"/>
      <c r="T101" s="159" t="n"/>
      <c r="U101" s="243" t="n"/>
      <c r="V101" s="244" t="n"/>
      <c r="W101" s="159" t="n"/>
      <c r="X101" s="243" t="n"/>
      <c r="Y101" s="244" t="n"/>
      <c r="Z101" s="159" t="n"/>
      <c r="AA101" s="243" t="n"/>
      <c r="AB101" s="244" t="n"/>
      <c r="AC101" s="159" t="n"/>
    </row>
    <row r="102">
      <c r="F102" s="243" t="n"/>
      <c r="G102" s="244" t="n"/>
      <c r="I102" s="243" t="n"/>
      <c r="J102" s="244" t="n"/>
      <c r="L102" s="243" t="n"/>
      <c r="M102" s="244" t="n"/>
      <c r="N102" s="159" t="n"/>
      <c r="O102" s="243" t="n"/>
      <c r="P102" s="244" t="n"/>
      <c r="Q102" s="159" t="n"/>
      <c r="R102" s="243" t="n"/>
      <c r="S102" s="244" t="n"/>
      <c r="T102" s="159" t="n"/>
      <c r="U102" s="243" t="n"/>
      <c r="V102" s="244" t="n"/>
      <c r="W102" s="159" t="n"/>
      <c r="X102" s="243" t="n"/>
      <c r="Y102" s="244" t="n"/>
      <c r="Z102" s="159" t="n"/>
      <c r="AA102" s="243" t="n"/>
      <c r="AB102" s="244" t="n"/>
      <c r="AC102" s="159" t="n"/>
    </row>
    <row r="103" ht="17" customHeight="1" s="270" thickBot="1">
      <c r="F103" s="245" t="n"/>
      <c r="G103" s="246" t="n"/>
      <c r="I103" s="245" t="n"/>
      <c r="J103" s="246" t="n"/>
      <c r="L103" s="245" t="n"/>
      <c r="M103" s="246" t="n"/>
      <c r="N103" s="159" t="n"/>
      <c r="O103" s="245" t="n"/>
      <c r="P103" s="246" t="n"/>
      <c r="Q103" s="159" t="n"/>
      <c r="R103" s="245" t="n"/>
      <c r="S103" s="246" t="n"/>
      <c r="T103" s="159" t="n"/>
      <c r="U103" s="245" t="n"/>
      <c r="V103" s="246" t="n"/>
      <c r="W103" s="159" t="n"/>
      <c r="X103" s="245" t="n"/>
      <c r="Y103" s="246" t="n"/>
      <c r="Z103" s="159" t="n"/>
      <c r="AA103" s="245" t="n"/>
      <c r="AB103" s="246" t="n"/>
      <c r="AC103" s="159" t="n"/>
    </row>
    <row r="104">
      <c r="N104" s="159" t="n"/>
      <c r="Q104" s="159" t="n"/>
      <c r="T104" s="159" t="n"/>
      <c r="W104" s="159" t="n"/>
      <c r="Z104" s="159" t="n"/>
      <c r="AC104" s="159" t="n"/>
    </row>
    <row r="105">
      <c r="J105" s="156" t="n"/>
      <c r="M105" s="156" t="n"/>
      <c r="N105" s="159" t="n"/>
      <c r="P105" s="156" t="n"/>
      <c r="Q105" s="159" t="n"/>
      <c r="S105" s="156" t="n"/>
      <c r="T105" s="159" t="n"/>
      <c r="V105" s="156" t="n"/>
      <c r="W105" s="159" t="n"/>
      <c r="Y105" s="156" t="n"/>
      <c r="Z105" s="159" t="n"/>
      <c r="AB105" s="156" t="n"/>
      <c r="AC105" s="159" t="n"/>
    </row>
    <row r="106">
      <c r="N106" s="159" t="n"/>
      <c r="Q106" s="159" t="n"/>
      <c r="T106" s="159" t="n"/>
      <c r="W106" s="159" t="n"/>
      <c r="Z106" s="159" t="n"/>
      <c r="AC106" s="159" t="n"/>
    </row>
    <row r="107">
      <c r="N107" s="159" t="n"/>
      <c r="Q107" s="159" t="n"/>
      <c r="T107" s="159" t="n"/>
      <c r="W107" s="159" t="n"/>
      <c r="Z107" s="159" t="n"/>
      <c r="AC107" s="159" t="n"/>
    </row>
  </sheetData>
  <mergeCells count="42">
    <mergeCell ref="AE48:AE52"/>
    <mergeCell ref="AE4:AI4"/>
    <mergeCell ref="AE53:AE57"/>
    <mergeCell ref="AH48:AH52"/>
    <mergeCell ref="AH6:AH10"/>
    <mergeCell ref="R94:S103"/>
    <mergeCell ref="AA1:AB1"/>
    <mergeCell ref="C1:C2"/>
    <mergeCell ref="AH30:AH34"/>
    <mergeCell ref="AI6:AI20"/>
    <mergeCell ref="AE6:AE10"/>
    <mergeCell ref="AH11:AH15"/>
    <mergeCell ref="AE30:AE34"/>
    <mergeCell ref="O1:P1"/>
    <mergeCell ref="AH16:AH20"/>
    <mergeCell ref="B1:B2"/>
    <mergeCell ref="F94:G103"/>
    <mergeCell ref="AH25:AH29"/>
    <mergeCell ref="AE11:AE15"/>
    <mergeCell ref="AE23:AI23"/>
    <mergeCell ref="AE41:AH41"/>
    <mergeCell ref="AE35:AE39"/>
    <mergeCell ref="L94:M103"/>
    <mergeCell ref="X94:Y103"/>
    <mergeCell ref="AE16:AE20"/>
    <mergeCell ref="L1:M1"/>
    <mergeCell ref="O94:P103"/>
    <mergeCell ref="AE25:AE29"/>
    <mergeCell ref="AI25:AI39"/>
    <mergeCell ref="I1:J1"/>
    <mergeCell ref="I94:J103"/>
    <mergeCell ref="X1:Y1"/>
    <mergeCell ref="AE43:AE47"/>
    <mergeCell ref="AA94:AB103"/>
    <mergeCell ref="AH35:AH39"/>
    <mergeCell ref="AH53:AH57"/>
    <mergeCell ref="U1:V1"/>
    <mergeCell ref="U94:V103"/>
    <mergeCell ref="AH43:AH47"/>
    <mergeCell ref="F1:G1"/>
    <mergeCell ref="R1:S1"/>
    <mergeCell ref="A1:A2"/>
  </mergeCells>
  <conditionalFormatting sqref="D3:F92">
    <cfRule type="cellIs" priority="28" operator="greaterThan" dxfId="3">
      <formula>0.35</formula>
    </cfRule>
  </conditionalFormatting>
  <conditionalFormatting sqref="G3:G92 J3:J92">
    <cfRule type="colorScale" priority="21">
      <colorScale>
        <cfvo type="num" val="0"/>
        <cfvo type="num" val="0.6"/>
        <color theme="6" tint="0.3999755851924192"/>
        <color rgb="FFFF5C56"/>
      </colorScale>
    </cfRule>
  </conditionalFormatting>
  <conditionalFormatting sqref="H3:I92">
    <cfRule type="cellIs" priority="20" operator="greaterThan" dxfId="3">
      <formula>0.35</formula>
    </cfRule>
  </conditionalFormatting>
  <conditionalFormatting sqref="K3:L92">
    <cfRule type="cellIs" priority="11" operator="greaterThan" dxfId="3">
      <formula>0.35</formula>
    </cfRule>
  </conditionalFormatting>
  <conditionalFormatting sqref="M3:M92">
    <cfRule type="colorScale" priority="12">
      <colorScale>
        <cfvo type="num" val="0"/>
        <cfvo type="num" val="0.6"/>
        <color theme="6" tint="0.3999755851924192"/>
        <color rgb="FFFF5C56"/>
      </colorScale>
    </cfRule>
  </conditionalFormatting>
  <conditionalFormatting sqref="O3:O92">
    <cfRule type="cellIs" priority="9" operator="greaterThan" dxfId="3">
      <formula>0.35</formula>
    </cfRule>
  </conditionalFormatting>
  <conditionalFormatting sqref="P3:P92">
    <cfRule type="colorScale" priority="10">
      <colorScale>
        <cfvo type="num" val="0"/>
        <cfvo type="num" val="0.6"/>
        <color theme="6" tint="0.3999755851924192"/>
        <color rgb="FFFF5C56"/>
      </colorScale>
    </cfRule>
  </conditionalFormatting>
  <conditionalFormatting sqref="R3:R92">
    <cfRule type="cellIs" priority="7" operator="greaterThan" dxfId="3">
      <formula>0.35</formula>
    </cfRule>
  </conditionalFormatting>
  <conditionalFormatting sqref="S3:S92">
    <cfRule type="colorScale" priority="8">
      <colorScale>
        <cfvo type="num" val="0"/>
        <cfvo type="num" val="0.6"/>
        <color theme="6" tint="0.3999755851924192"/>
        <color rgb="FFFF5C56"/>
      </colorScale>
    </cfRule>
  </conditionalFormatting>
  <conditionalFormatting sqref="U3:U92">
    <cfRule type="cellIs" priority="5" operator="greaterThan" dxfId="3">
      <formula>0.35</formula>
    </cfRule>
  </conditionalFormatting>
  <conditionalFormatting sqref="V3:V92">
    <cfRule type="colorScale" priority="6">
      <colorScale>
        <cfvo type="num" val="0"/>
        <cfvo type="num" val="0.6"/>
        <color theme="6" tint="0.3999755851924192"/>
        <color rgb="FFFF5C56"/>
      </colorScale>
    </cfRule>
  </conditionalFormatting>
  <conditionalFormatting sqref="X3:X92">
    <cfRule type="cellIs" priority="3" operator="greaterThan" dxfId="3">
      <formula>0.35</formula>
    </cfRule>
  </conditionalFormatting>
  <conditionalFormatting sqref="Y3:Y92">
    <cfRule type="colorScale" priority="4">
      <colorScale>
        <cfvo type="num" val="0"/>
        <cfvo type="num" val="0.6"/>
        <color theme="6" tint="0.3999755851924192"/>
        <color rgb="FFFF5C56"/>
      </colorScale>
    </cfRule>
  </conditionalFormatting>
  <conditionalFormatting sqref="AA3:AA92">
    <cfRule type="cellIs" priority="1" operator="greaterThan" dxfId="3">
      <formula>0.35</formula>
    </cfRule>
  </conditionalFormatting>
  <conditionalFormatting sqref="AB3:AB92">
    <cfRule type="colorScale" priority="2">
      <colorScale>
        <cfvo type="num" val="0"/>
        <cfvo type="num" val="0.6"/>
        <color theme="6" tint="0.3999755851924192"/>
        <color rgb="FFFF5C56"/>
      </colorScale>
    </cfRule>
  </conditionalFormatting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22" sqref="B22"/>
    </sheetView>
  </sheetViews>
  <sheetFormatPr baseColWidth="10" defaultRowHeight="16" outlineLevelCol="0"/>
  <cols>
    <col width="27.33203125" customWidth="1" style="270" min="1" max="10"/>
  </cols>
  <sheetData>
    <row r="1" ht="17" customHeight="1" s="270" thickBot="1"/>
    <row r="2" ht="23" customHeight="1" s="270" thickBot="1">
      <c r="A2" s="1" t="inlineStr">
        <is>
          <t xml:space="preserve">Participants =  </t>
        </is>
      </c>
      <c r="B2" s="2" t="n">
        <v>60</v>
      </c>
      <c r="C2" s="3" t="n"/>
    </row>
    <row r="3" ht="23" customHeight="1" s="270" thickBot="1">
      <c r="A3" s="3" t="n"/>
      <c r="B3" s="3" t="n"/>
      <c r="C3" s="3" t="n"/>
    </row>
    <row r="4" ht="22" customHeight="1" s="270">
      <c r="A4" s="9" t="inlineStr">
        <is>
          <t>GPT4</t>
        </is>
      </c>
      <c r="B4" s="10" t="inlineStr">
        <is>
          <t>Waiting for Input</t>
        </is>
      </c>
      <c r="C4" s="11" t="inlineStr">
        <is>
          <t>Waiting for Input</t>
        </is>
      </c>
    </row>
    <row r="5" ht="22" customHeight="1" s="270">
      <c r="A5" s="12" t="inlineStr">
        <is>
          <t>Human</t>
        </is>
      </c>
      <c r="B5" s="13" t="inlineStr">
        <is>
          <t>Analyzing Object</t>
        </is>
      </c>
      <c r="C5" s="14" t="inlineStr">
        <is>
          <t>Analyzing Object</t>
        </is>
      </c>
    </row>
    <row r="6" ht="22" customHeight="1" s="270">
      <c r="A6" s="12" t="inlineStr">
        <is>
          <t>Random</t>
        </is>
      </c>
      <c r="B6" s="13" t="inlineStr">
        <is>
          <t>Found Object</t>
        </is>
      </c>
      <c r="C6" s="14" t="inlineStr">
        <is>
          <t>Found Object</t>
        </is>
      </c>
    </row>
    <row r="7" ht="22" customHeight="1" s="270">
      <c r="A7" s="12" t="n"/>
      <c r="B7" s="13" t="inlineStr">
        <is>
          <t>Needs Help</t>
        </is>
      </c>
      <c r="C7" s="14" t="inlineStr">
        <is>
          <t>Needs Help</t>
        </is>
      </c>
    </row>
    <row r="8" ht="22" customHeight="1" s="270">
      <c r="A8" s="12" t="n"/>
      <c r="B8" s="18" t="inlineStr">
        <is>
          <t>Confused</t>
        </is>
      </c>
      <c r="C8" s="19" t="inlineStr">
        <is>
          <t>Confused</t>
        </is>
      </c>
    </row>
    <row r="9" ht="23" customHeight="1" s="270" thickBot="1">
      <c r="A9" s="20" t="n"/>
      <c r="B9" s="21" t="n"/>
      <c r="C9" s="22" t="inlineStr">
        <is>
          <t>None</t>
        </is>
      </c>
    </row>
    <row r="10" ht="17" customHeight="1" s="270" thickBot="1"/>
    <row r="11" ht="22" customHeight="1" s="270" thickBot="1">
      <c r="B11" s="48" t="inlineStr">
        <is>
          <t>Body Tilt</t>
        </is>
      </c>
      <c r="C11" s="49" t="inlineStr">
        <is>
          <t>Body Lean</t>
        </is>
      </c>
      <c r="D11" s="49" t="inlineStr">
        <is>
          <t>Body Turn</t>
        </is>
      </c>
      <c r="E11" s="49" t="inlineStr">
        <is>
          <t>Body Height</t>
        </is>
      </c>
      <c r="F11" s="49" t="inlineStr">
        <is>
          <t>Body Direction</t>
        </is>
      </c>
      <c r="G11" s="49" t="inlineStr">
        <is>
          <t>Pose Duration</t>
        </is>
      </c>
      <c r="H11" s="49" t="inlineStr">
        <is>
          <t>Velocity</t>
        </is>
      </c>
      <c r="I11" s="50" t="inlineStr">
        <is>
          <t>Smoothness</t>
        </is>
      </c>
    </row>
    <row r="12" ht="20" customHeight="1" s="270" thickBot="1">
      <c r="A12" s="32" t="n">
        <v>0</v>
      </c>
      <c r="B12" s="33" t="inlineStr">
        <is>
          <t>left</t>
        </is>
      </c>
      <c r="C12" s="34" t="inlineStr">
        <is>
          <t>backward</t>
        </is>
      </c>
      <c r="D12" s="34" t="inlineStr">
        <is>
          <t>left</t>
        </is>
      </c>
      <c r="E12" s="34" t="inlineStr">
        <is>
          <t>low</t>
        </is>
      </c>
      <c r="F12" s="35" t="inlineStr">
        <is>
          <t>nan</t>
        </is>
      </c>
      <c r="G12" s="34" t="inlineStr">
        <is>
          <t>short</t>
        </is>
      </c>
      <c r="H12" s="34" t="inlineStr">
        <is>
          <t>slow</t>
        </is>
      </c>
      <c r="I12" s="36" t="inlineStr">
        <is>
          <t>nan</t>
        </is>
      </c>
      <c r="J12" s="37" t="n"/>
    </row>
    <row r="13" ht="20" customHeight="1" s="270" thickBot="1">
      <c r="A13" s="38" t="n">
        <v>1</v>
      </c>
      <c r="B13" s="39" t="inlineStr">
        <is>
          <t>neutral</t>
        </is>
      </c>
      <c r="C13" s="40" t="inlineStr">
        <is>
          <t>neutral</t>
        </is>
      </c>
      <c r="D13" s="40" t="inlineStr">
        <is>
          <t>neutral</t>
        </is>
      </c>
      <c r="E13" s="40" t="inlineStr">
        <is>
          <t>neutral</t>
        </is>
      </c>
      <c r="F13" s="40" t="inlineStr">
        <is>
          <t>user</t>
        </is>
      </c>
      <c r="G13" s="40" t="inlineStr">
        <is>
          <t>medium</t>
        </is>
      </c>
      <c r="H13" s="40" t="inlineStr">
        <is>
          <t>medium</t>
        </is>
      </c>
      <c r="I13" s="41" t="inlineStr">
        <is>
          <t>smooth</t>
        </is>
      </c>
      <c r="J13" s="42" t="inlineStr">
        <is>
          <t>ALL defalts are at IDX 1</t>
        </is>
      </c>
    </row>
    <row r="14" ht="20" customHeight="1" s="270" thickBot="1">
      <c r="A14" s="43" t="n">
        <v>2</v>
      </c>
      <c r="B14" s="44" t="inlineStr">
        <is>
          <t>right</t>
        </is>
      </c>
      <c r="C14" s="45" t="inlineStr">
        <is>
          <t>forward</t>
        </is>
      </c>
      <c r="D14" s="45" t="inlineStr">
        <is>
          <t>right</t>
        </is>
      </c>
      <c r="E14" s="45" t="inlineStr">
        <is>
          <t>high</t>
        </is>
      </c>
      <c r="F14" s="46" t="inlineStr">
        <is>
          <t>object</t>
        </is>
      </c>
      <c r="G14" s="45" t="inlineStr">
        <is>
          <t>long</t>
        </is>
      </c>
      <c r="H14" s="45" t="inlineStr">
        <is>
          <t>fast</t>
        </is>
      </c>
      <c r="I14" s="47" t="inlineStr">
        <is>
          <t>shaky</t>
        </is>
      </c>
      <c r="J14" s="37" t="n"/>
    </row>
    <row r="17" ht="17" customHeight="1" s="270" thickBot="1"/>
    <row r="18" ht="17" customHeight="1" s="270" thickBot="1">
      <c r="F18" s="96" t="n"/>
      <c r="G18" s="97" t="inlineStr">
        <is>
          <t>COUNTER TOOL</t>
        </is>
      </c>
      <c r="H18" s="98" t="n"/>
    </row>
    <row r="19">
      <c r="F19" s="84" t="inlineStr">
        <is>
          <t>S01</t>
        </is>
      </c>
      <c r="G19" s="87" t="inlineStr">
        <is>
          <t>Waiting for Input</t>
        </is>
      </c>
      <c r="H19" s="88">
        <f>COUNTIF(F$2:F$21, "S01") / COUNTA(F$2:F$21)</f>
        <v/>
      </c>
    </row>
    <row r="20">
      <c r="F20" s="85" t="inlineStr">
        <is>
          <t>S02</t>
        </is>
      </c>
      <c r="G20" s="89" t="inlineStr">
        <is>
          <t>Analyzing Object</t>
        </is>
      </c>
      <c r="H20" s="90">
        <f>COUNTIF(F$2:F$21, "S02") / COUNTA(F$2:F$21)</f>
        <v/>
      </c>
    </row>
    <row r="21">
      <c r="F21" s="85" t="inlineStr">
        <is>
          <t>S03</t>
        </is>
      </c>
      <c r="G21" s="89" t="inlineStr">
        <is>
          <t>Found Object</t>
        </is>
      </c>
      <c r="H21" s="90">
        <f>COUNTIF(F$2:F$21, "S03") / COUNTA(F$2:F$21)</f>
        <v/>
      </c>
    </row>
    <row r="22">
      <c r="F22" s="85" t="inlineStr">
        <is>
          <t>S04</t>
        </is>
      </c>
      <c r="G22" s="89" t="inlineStr">
        <is>
          <t>Needs Help</t>
        </is>
      </c>
      <c r="H22" s="90">
        <f>COUNTIF(F$2:F$21, "S04") / COUNTA(F$2:F$21)</f>
        <v/>
      </c>
    </row>
    <row r="23">
      <c r="F23" s="85" t="inlineStr">
        <is>
          <t>S05</t>
        </is>
      </c>
      <c r="G23" s="89" t="inlineStr">
        <is>
          <t>Confused</t>
        </is>
      </c>
      <c r="H23" s="90">
        <f>COUNTIF(F$2:F$21, "S05") / COUNTA(F$2:F$21)</f>
        <v/>
      </c>
    </row>
    <row r="24" ht="17" customHeight="1" s="270" thickBot="1">
      <c r="F24" s="86" t="inlineStr">
        <is>
          <t>S06</t>
        </is>
      </c>
      <c r="G24" s="91" t="inlineStr">
        <is>
          <t>None of the Above</t>
        </is>
      </c>
      <c r="H24" s="92">
        <f>COUNTIF(F$2:F$21, "S06") / COUNTA(F$2:F$21)</f>
        <v/>
      </c>
    </row>
    <row r="25" ht="17" customHeight="1" s="270" thickBot="1">
      <c r="F25" s="95" t="n"/>
      <c r="G25" s="93" t="inlineStr">
        <is>
          <t>Total</t>
        </is>
      </c>
      <c r="H25" s="94">
        <f>SUM(H19:H24)</f>
        <v/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1"/>
  <sheetViews>
    <sheetView workbookViewId="0">
      <selection activeCell="H24" sqref="H24"/>
    </sheetView>
  </sheetViews>
  <sheetFormatPr baseColWidth="10" defaultRowHeight="16" outlineLevelCol="0"/>
  <cols>
    <col width="16.5" bestFit="1" customWidth="1" style="270" min="1" max="1"/>
    <col width="34.33203125" bestFit="1" customWidth="1" style="270" min="2" max="2"/>
    <col width="16.33203125" bestFit="1" customWidth="1" style="270" min="3" max="3"/>
    <col width="19.33203125" bestFit="1" customWidth="1" style="270" min="4" max="4"/>
    <col width="21" bestFit="1" customWidth="1" style="270" min="5" max="5"/>
    <col width="19.33203125" bestFit="1" customWidth="1" style="270" min="6" max="6"/>
    <col width="20.1640625" bestFit="1" customWidth="1" style="270" min="7" max="7"/>
    <col width="18.33203125" bestFit="1" customWidth="1" style="270" min="8" max="8"/>
    <col width="14" bestFit="1" customWidth="1" style="270" min="9" max="9"/>
  </cols>
  <sheetData>
    <row r="1" ht="22" customHeight="1" s="270">
      <c r="A1" s="26" t="inlineStr">
        <is>
          <t>datapoint</t>
        </is>
      </c>
      <c r="B1" s="27" t="inlineStr">
        <is>
          <t>Previous Study (Y=1, N=2)</t>
        </is>
      </c>
      <c r="C1" s="27" t="inlineStr">
        <is>
          <t>condition</t>
        </is>
      </c>
      <c r="D1" s="27" t="inlineStr">
        <is>
          <t>real_state</t>
        </is>
      </c>
      <c r="E1" s="27" t="inlineStr">
        <is>
          <t>real_state_idx</t>
        </is>
      </c>
      <c r="F1" s="27" t="inlineStr">
        <is>
          <t>response</t>
        </is>
      </c>
      <c r="G1" s="27" t="inlineStr">
        <is>
          <t>response_idx</t>
        </is>
      </c>
      <c r="H1" s="27" t="inlineStr">
        <is>
          <t>confidence</t>
        </is>
      </c>
      <c r="I1" s="28" t="inlineStr">
        <is>
          <t>correct</t>
        </is>
      </c>
    </row>
    <row r="2" ht="22" customHeight="1" s="270">
      <c r="A2" s="29" t="n">
        <v>0</v>
      </c>
      <c r="B2" s="29" t="inlineStr">
        <is>
          <t>1</t>
        </is>
      </c>
      <c r="C2" s="30" t="inlineStr">
        <is>
          <t>GPT4</t>
        </is>
      </c>
      <c r="D2" s="29" t="inlineStr">
        <is>
          <t>Waiting for Input</t>
        </is>
      </c>
      <c r="E2" s="29">
        <f>MATCH(D2, {"Waiting for Input","Analyzing Object","Found Object","Needs Help","Confused","None"}, 0) - 1</f>
        <v/>
      </c>
      <c r="F2" s="29" t="inlineStr">
        <is>
          <t>Waiting for Input</t>
        </is>
      </c>
      <c r="G2" s="29">
        <f>MATCH(F2, {"Waiting for Input","Analyzing Object","Found Object","Needs Help","Confused","None"}, 0) - 1</f>
        <v/>
      </c>
      <c r="H2" s="29" t="n">
        <v>3</v>
      </c>
      <c r="I2" s="29">
        <f>IF(E2=G2, 1, 0)</f>
        <v/>
      </c>
    </row>
    <row r="3" ht="22" customHeight="1" s="270">
      <c r="A3" s="29" t="n">
        <v>1</v>
      </c>
      <c r="B3" s="29" t="inlineStr">
        <is>
          <t>1</t>
        </is>
      </c>
      <c r="C3" s="30" t="inlineStr">
        <is>
          <t>GPT4</t>
        </is>
      </c>
      <c r="D3" s="29" t="inlineStr">
        <is>
          <t>Waiting for Input</t>
        </is>
      </c>
      <c r="E3" s="29">
        <f>MATCH(D3, {"Waiting for Input","Analyzing Object","Found Object","Needs Help","Confused","None"}, 0) - 1</f>
        <v/>
      </c>
      <c r="F3" s="29" t="inlineStr">
        <is>
          <t>Waiting for Input</t>
        </is>
      </c>
      <c r="G3" s="29">
        <f>MATCH(F3, {"Waiting for Input","Analyzing Object","Found Object","Needs Help","Confused","None"}, 0) - 1</f>
        <v/>
      </c>
      <c r="H3" s="29" t="n">
        <v>4</v>
      </c>
      <c r="I3" s="29">
        <f>IF(E3=G3, 1, 0)</f>
        <v/>
      </c>
    </row>
    <row r="4" ht="22" customHeight="1" s="270">
      <c r="A4" s="29" t="n">
        <v>2</v>
      </c>
      <c r="B4" s="29" t="inlineStr">
        <is>
          <t>1</t>
        </is>
      </c>
      <c r="C4" s="30" t="inlineStr">
        <is>
          <t>GPT4</t>
        </is>
      </c>
      <c r="D4" s="29" t="inlineStr">
        <is>
          <t>Waiting for Input</t>
        </is>
      </c>
      <c r="E4" s="29">
        <f>MATCH(D4, {"Waiting for Input","Analyzing Object","Found Object","Needs Help","Confused","None"}, 0) - 1</f>
        <v/>
      </c>
      <c r="F4" s="29" t="inlineStr">
        <is>
          <t>Confused</t>
        </is>
      </c>
      <c r="G4" s="29">
        <f>MATCH(F4, {"Waiting for Input","Analyzing Object","Found Object","Needs Help","Confused","None"}, 0) - 1</f>
        <v/>
      </c>
      <c r="H4" s="29" t="n">
        <v>2</v>
      </c>
      <c r="I4" s="29">
        <f>IF(E4=G4, 1, 0)</f>
        <v/>
      </c>
    </row>
    <row r="5" ht="22" customHeight="1" s="270">
      <c r="A5" s="29" t="n">
        <v>3</v>
      </c>
      <c r="B5" s="29" t="inlineStr">
        <is>
          <t>2</t>
        </is>
      </c>
      <c r="C5" s="30" t="inlineStr">
        <is>
          <t>GPT4</t>
        </is>
      </c>
      <c r="D5" s="29" t="inlineStr">
        <is>
          <t>Waiting for Input</t>
        </is>
      </c>
      <c r="E5" s="29">
        <f>MATCH(D5, {"Waiting for Input","Analyzing Object","Found Object","Needs Help","Confused","None"}, 0) - 1</f>
        <v/>
      </c>
      <c r="F5" s="29" t="inlineStr">
        <is>
          <t>Waiting for Input</t>
        </is>
      </c>
      <c r="G5" s="29">
        <f>MATCH(F5, {"Waiting for Input","Analyzing Object","Found Object","Needs Help","Confused","None"}, 0) - 1</f>
        <v/>
      </c>
      <c r="H5" s="29" t="n">
        <v>5</v>
      </c>
      <c r="I5" s="29">
        <f>IF(E5=G5, 1, 0)</f>
        <v/>
      </c>
    </row>
    <row r="6" ht="22" customHeight="1" s="270">
      <c r="A6" s="29" t="n">
        <v>4</v>
      </c>
      <c r="B6" s="29" t="inlineStr">
        <is>
          <t>2</t>
        </is>
      </c>
      <c r="C6" s="30" t="inlineStr">
        <is>
          <t>GPT4</t>
        </is>
      </c>
      <c r="D6" s="29" t="inlineStr">
        <is>
          <t>Waiting for Input</t>
        </is>
      </c>
      <c r="E6" s="29">
        <f>MATCH(D6, {"Waiting for Input","Analyzing Object","Found Object","Needs Help","Confused","None"}, 0) - 1</f>
        <v/>
      </c>
      <c r="F6" s="29" t="inlineStr">
        <is>
          <t>Waiting for Input</t>
        </is>
      </c>
      <c r="G6" s="29">
        <f>MATCH(F6, {"Waiting for Input","Analyzing Object","Found Object","Needs Help","Confused","None"}, 0) - 1</f>
        <v/>
      </c>
      <c r="H6" s="29" t="n">
        <v>4</v>
      </c>
      <c r="I6" s="29">
        <f>IF(E6=G6, 1, 0)</f>
        <v/>
      </c>
    </row>
    <row r="7" ht="22" customHeight="1" s="270">
      <c r="A7" s="29" t="n">
        <v>5</v>
      </c>
      <c r="B7" s="29" t="inlineStr">
        <is>
          <t>1</t>
        </is>
      </c>
      <c r="C7" s="30" t="inlineStr">
        <is>
          <t>GPT4</t>
        </is>
      </c>
      <c r="D7" s="29" t="inlineStr">
        <is>
          <t>Waiting for Input</t>
        </is>
      </c>
      <c r="E7" s="29">
        <f>MATCH(D7, {"Waiting for Input","Analyzing Object","Found Object","Needs Help","Confused","None"}, 0) - 1</f>
        <v/>
      </c>
      <c r="F7" s="29" t="inlineStr">
        <is>
          <t>Waiting for Input</t>
        </is>
      </c>
      <c r="G7" s="29">
        <f>MATCH(F7, {"Waiting for Input","Analyzing Object","Found Object","Needs Help","Confused","None"}, 0) - 1</f>
        <v/>
      </c>
      <c r="H7" s="29" t="n">
        <v>5</v>
      </c>
      <c r="I7" s="29">
        <f>IF(E7=G7, 1, 0)</f>
        <v/>
      </c>
    </row>
    <row r="8" ht="22" customHeight="1" s="270">
      <c r="A8" s="29" t="n">
        <v>6</v>
      </c>
      <c r="B8" s="29" t="inlineStr">
        <is>
          <t>2</t>
        </is>
      </c>
      <c r="C8" s="30" t="inlineStr">
        <is>
          <t>GPT4</t>
        </is>
      </c>
      <c r="D8" s="29" t="inlineStr">
        <is>
          <t>Waiting for Input</t>
        </is>
      </c>
      <c r="E8" s="29">
        <f>MATCH(D8, {"Waiting for Input","Analyzing Object","Found Object","Needs Help","Confused","None"}, 0) - 1</f>
        <v/>
      </c>
      <c r="F8" s="31" t="inlineStr">
        <is>
          <t>None</t>
        </is>
      </c>
      <c r="G8" s="29">
        <f>MATCH(F8, {"Waiting for Input","Analyzing Object","Found Object","Needs Help","Confused","None"}, 0) - 1</f>
        <v/>
      </c>
      <c r="H8" s="29" t="n">
        <v>1</v>
      </c>
      <c r="I8" s="29">
        <f>IF(E8=G8, 1, 0)</f>
        <v/>
      </c>
    </row>
    <row r="9" ht="22" customHeight="1" s="270">
      <c r="A9" s="29" t="n">
        <v>7</v>
      </c>
      <c r="B9" s="29" t="inlineStr">
        <is>
          <t>1</t>
        </is>
      </c>
      <c r="C9" s="30" t="inlineStr">
        <is>
          <t>GPT4</t>
        </is>
      </c>
      <c r="D9" s="29" t="inlineStr">
        <is>
          <t>Waiting for Input</t>
        </is>
      </c>
      <c r="E9" s="29">
        <f>MATCH(D9, {"Waiting for Input","Analyzing Object","Found Object","Needs Help","Confused","None"}, 0) - 1</f>
        <v/>
      </c>
      <c r="F9" s="29" t="inlineStr">
        <is>
          <t>Waiting for Input</t>
        </is>
      </c>
      <c r="G9" s="29">
        <f>MATCH(F9, {"Waiting for Input","Analyzing Object","Found Object","Needs Help","Confused","None"}, 0) - 1</f>
        <v/>
      </c>
      <c r="H9" s="29" t="n">
        <v>3</v>
      </c>
      <c r="I9" s="29">
        <f>IF(E9=G9, 1, 0)</f>
        <v/>
      </c>
    </row>
    <row r="10" ht="22" customHeight="1" s="270">
      <c r="A10" s="29" t="n">
        <v>8</v>
      </c>
      <c r="B10" s="29" t="inlineStr">
        <is>
          <t>1</t>
        </is>
      </c>
      <c r="C10" s="30" t="inlineStr">
        <is>
          <t>GPT4</t>
        </is>
      </c>
      <c r="D10" s="29" t="inlineStr">
        <is>
          <t>Waiting for Input</t>
        </is>
      </c>
      <c r="E10" s="29">
        <f>MATCH(D10, {"Waiting for Input","Analyzing Object","Found Object","Needs Help","Confused","None"}, 0) - 1</f>
        <v/>
      </c>
      <c r="F10" s="31" t="inlineStr">
        <is>
          <t>None</t>
        </is>
      </c>
      <c r="G10" s="29">
        <f>MATCH(F10, {"Waiting for Input","Analyzing Object","Found Object","Needs Help","Confused","None"}, 0) - 1</f>
        <v/>
      </c>
      <c r="H10" s="29" t="n">
        <v>2</v>
      </c>
      <c r="I10" s="29">
        <f>IF(E10=G10, 1, 0)</f>
        <v/>
      </c>
    </row>
    <row r="11" ht="22" customHeight="1" s="270">
      <c r="A11" s="29" t="n">
        <v>9</v>
      </c>
      <c r="B11" s="29" t="inlineStr">
        <is>
          <t>1</t>
        </is>
      </c>
      <c r="C11" s="30" t="inlineStr">
        <is>
          <t>GPT4</t>
        </is>
      </c>
      <c r="D11" s="29" t="inlineStr">
        <is>
          <t>Waiting for Input</t>
        </is>
      </c>
      <c r="E11" s="29">
        <f>MATCH(D11, {"Waiting for Input","Analyzing Object","Found Object","Needs Help","Confused","None"}, 0) - 1</f>
        <v/>
      </c>
      <c r="F11" s="29" t="inlineStr">
        <is>
          <t>Waiting for Input</t>
        </is>
      </c>
      <c r="G11" s="29">
        <f>MATCH(F11, {"Waiting for Input","Analyzing Object","Found Object","Needs Help","Confused","None"}, 0) - 1</f>
        <v/>
      </c>
      <c r="H11" s="29" t="n">
        <v>5</v>
      </c>
      <c r="I11" s="29">
        <f>IF(E11=G11, 1, 0)</f>
        <v/>
      </c>
    </row>
    <row r="12" ht="22" customHeight="1" s="270">
      <c r="A12" s="29" t="n">
        <v>10</v>
      </c>
      <c r="B12" s="29" t="inlineStr">
        <is>
          <t>2</t>
        </is>
      </c>
      <c r="C12" s="30" t="inlineStr">
        <is>
          <t>GPT4</t>
        </is>
      </c>
      <c r="D12" s="29" t="inlineStr">
        <is>
          <t>Waiting for Input</t>
        </is>
      </c>
      <c r="E12" s="29">
        <f>MATCH(D12, {"Waiting for Input","Analyzing Object","Found Object","Needs Help","Confused","None"}, 0) - 1</f>
        <v/>
      </c>
      <c r="F12" s="29" t="inlineStr">
        <is>
          <t>Waiting for Input</t>
        </is>
      </c>
      <c r="G12" s="29">
        <f>MATCH(F12, {"Waiting for Input","Analyzing Object","Found Object","Needs Help","Confused","None"}, 0) - 1</f>
        <v/>
      </c>
      <c r="H12" s="29" t="n">
        <v>5</v>
      </c>
      <c r="I12" s="29">
        <f>IF(E12=G12, 1, 0)</f>
        <v/>
      </c>
    </row>
    <row r="13" ht="22" customHeight="1" s="270">
      <c r="A13" s="29" t="n">
        <v>11</v>
      </c>
      <c r="B13" s="29" t="inlineStr">
        <is>
          <t>2</t>
        </is>
      </c>
      <c r="C13" s="30" t="inlineStr">
        <is>
          <t>GPT4</t>
        </is>
      </c>
      <c r="D13" s="29" t="inlineStr">
        <is>
          <t>Waiting for Input</t>
        </is>
      </c>
      <c r="E13" s="29">
        <f>MATCH(D13, {"Waiting for Input","Analyzing Object","Found Object","Needs Help","Confused","None"}, 0) - 1</f>
        <v/>
      </c>
      <c r="F13" s="29" t="inlineStr">
        <is>
          <t>Waiting for Input</t>
        </is>
      </c>
      <c r="G13" s="29">
        <f>MATCH(F13, {"Waiting for Input","Analyzing Object","Found Object","Needs Help","Confused","None"}, 0) - 1</f>
        <v/>
      </c>
      <c r="H13" s="29" t="n">
        <v>5</v>
      </c>
      <c r="I13" s="29">
        <f>IF(E13=G13, 1, 0)</f>
        <v/>
      </c>
    </row>
    <row r="14" ht="22" customHeight="1" s="270">
      <c r="A14" s="29" t="n">
        <v>12</v>
      </c>
      <c r="B14" s="29" t="inlineStr">
        <is>
          <t>2</t>
        </is>
      </c>
      <c r="C14" s="30" t="inlineStr">
        <is>
          <t>GPT4</t>
        </is>
      </c>
      <c r="D14" s="29" t="inlineStr">
        <is>
          <t>Waiting for Input</t>
        </is>
      </c>
      <c r="E14" s="29">
        <f>MATCH(D14, {"Waiting for Input","Analyzing Object","Found Object","Needs Help","Confused","None"}, 0) - 1</f>
        <v/>
      </c>
      <c r="F14" s="29" t="inlineStr">
        <is>
          <t>Waiting for Input</t>
        </is>
      </c>
      <c r="G14" s="29">
        <f>MATCH(F14, {"Waiting for Input","Analyzing Object","Found Object","Needs Help","Confused","None"}, 0) - 1</f>
        <v/>
      </c>
      <c r="H14" s="29" t="n">
        <v>2</v>
      </c>
      <c r="I14" s="29">
        <f>IF(E14=G14, 1, 0)</f>
        <v/>
      </c>
    </row>
    <row r="15" ht="22" customHeight="1" s="270">
      <c r="A15" s="29" t="n">
        <v>13</v>
      </c>
      <c r="B15" s="29" t="inlineStr">
        <is>
          <t>2</t>
        </is>
      </c>
      <c r="C15" s="30" t="inlineStr">
        <is>
          <t>GPT4</t>
        </is>
      </c>
      <c r="D15" s="29" t="inlineStr">
        <is>
          <t>Waiting for Input</t>
        </is>
      </c>
      <c r="E15" s="29">
        <f>MATCH(D15, {"Waiting for Input","Analyzing Object","Found Object","Needs Help","Confused","None"}, 0) - 1</f>
        <v/>
      </c>
      <c r="F15" s="29" t="inlineStr">
        <is>
          <t>Waiting for Input</t>
        </is>
      </c>
      <c r="G15" s="29">
        <f>MATCH(F15, {"Waiting for Input","Analyzing Object","Found Object","Needs Help","Confused","None"}, 0) - 1</f>
        <v/>
      </c>
      <c r="H15" s="29" t="n">
        <v>2</v>
      </c>
      <c r="I15" s="29">
        <f>IF(E15=G15, 1, 0)</f>
        <v/>
      </c>
    </row>
    <row r="16" ht="22" customHeight="1" s="270">
      <c r="A16" s="29" t="n">
        <v>14</v>
      </c>
      <c r="B16" s="29" t="inlineStr">
        <is>
          <t>1</t>
        </is>
      </c>
      <c r="C16" s="30" t="inlineStr">
        <is>
          <t>GPT4</t>
        </is>
      </c>
      <c r="D16" s="29" t="inlineStr">
        <is>
          <t>Waiting for Input</t>
        </is>
      </c>
      <c r="E16" s="29">
        <f>MATCH(D16, {"Waiting for Input","Analyzing Object","Found Object","Needs Help","Confused","None"}, 0) - 1</f>
        <v/>
      </c>
      <c r="F16" s="29" t="inlineStr">
        <is>
          <t>Waiting for Input</t>
        </is>
      </c>
      <c r="G16" s="29">
        <f>MATCH(F16, {"Waiting for Input","Analyzing Object","Found Object","Needs Help","Confused","None"}, 0) - 1</f>
        <v/>
      </c>
      <c r="H16" s="29" t="n">
        <v>3</v>
      </c>
      <c r="I16" s="29">
        <f>IF(E16=G16, 1, 0)</f>
        <v/>
      </c>
    </row>
    <row r="17" ht="22" customHeight="1" s="270">
      <c r="A17" s="29" t="n">
        <v>15</v>
      </c>
      <c r="B17" s="29" t="inlineStr">
        <is>
          <t>1</t>
        </is>
      </c>
      <c r="C17" s="30" t="inlineStr">
        <is>
          <t>GPT4</t>
        </is>
      </c>
      <c r="D17" s="29" t="inlineStr">
        <is>
          <t>Waiting for Input</t>
        </is>
      </c>
      <c r="E17" s="29">
        <f>MATCH(D17, {"Waiting for Input","Analyzing Object","Found Object","Needs Help","Confused","None"}, 0) - 1</f>
        <v/>
      </c>
      <c r="F17" s="29" t="inlineStr">
        <is>
          <t>Waiting for Input</t>
        </is>
      </c>
      <c r="G17" s="29">
        <f>MATCH(F17, {"Waiting for Input","Analyzing Object","Found Object","Needs Help","Confused","None"}, 0) - 1</f>
        <v/>
      </c>
      <c r="H17" s="29" t="n">
        <v>4</v>
      </c>
      <c r="I17" s="29">
        <f>IF(E17=G17, 1, 0)</f>
        <v/>
      </c>
    </row>
    <row r="18" ht="22" customHeight="1" s="270">
      <c r="A18" s="29" t="n">
        <v>16</v>
      </c>
      <c r="B18" s="29" t="inlineStr">
        <is>
          <t>1</t>
        </is>
      </c>
      <c r="C18" s="30" t="inlineStr">
        <is>
          <t>GPT4</t>
        </is>
      </c>
      <c r="D18" s="29" t="inlineStr">
        <is>
          <t>Waiting for Input</t>
        </is>
      </c>
      <c r="E18" s="29">
        <f>MATCH(D18, {"Waiting for Input","Analyzing Object","Found Object","Needs Help","Confused","None"}, 0) - 1</f>
        <v/>
      </c>
      <c r="F18" s="29" t="inlineStr">
        <is>
          <t>Confused</t>
        </is>
      </c>
      <c r="G18" s="29">
        <f>MATCH(F18, {"Waiting for Input","Analyzing Object","Found Object","Needs Help","Confused","None"}, 0) - 1</f>
        <v/>
      </c>
      <c r="H18" s="29" t="n">
        <v>1</v>
      </c>
      <c r="I18" s="29">
        <f>IF(E18=G18, 1, 0)</f>
        <v/>
      </c>
    </row>
    <row r="19" ht="22" customHeight="1" s="270">
      <c r="A19" s="29" t="n">
        <v>17</v>
      </c>
      <c r="B19" s="29" t="inlineStr">
        <is>
          <t>2</t>
        </is>
      </c>
      <c r="C19" s="30" t="inlineStr">
        <is>
          <t>GPT4</t>
        </is>
      </c>
      <c r="D19" s="29" t="inlineStr">
        <is>
          <t>Waiting for Input</t>
        </is>
      </c>
      <c r="E19" s="29">
        <f>MATCH(D19, {"Waiting for Input","Analyzing Object","Found Object","Needs Help","Confused","None"}, 0) - 1</f>
        <v/>
      </c>
      <c r="F19" s="29" t="inlineStr">
        <is>
          <t>Needs Help</t>
        </is>
      </c>
      <c r="G19" s="29">
        <f>MATCH(F19, {"Waiting for Input","Analyzing Object","Found Object","Needs Help","Confused","None"}, 0) - 1</f>
        <v/>
      </c>
      <c r="H19" s="29" t="n">
        <v>2</v>
      </c>
      <c r="I19" s="29">
        <f>IF(E19=G19, 1, 0)</f>
        <v/>
      </c>
    </row>
    <row r="20" ht="22" customHeight="1" s="270">
      <c r="A20" s="29" t="n">
        <v>18</v>
      </c>
      <c r="B20" s="29" t="inlineStr">
        <is>
          <t>2</t>
        </is>
      </c>
      <c r="C20" s="30" t="inlineStr">
        <is>
          <t>GPT4</t>
        </is>
      </c>
      <c r="D20" s="29" t="inlineStr">
        <is>
          <t>Waiting for Input</t>
        </is>
      </c>
      <c r="E20" s="29">
        <f>MATCH(D20, {"Waiting for Input","Analyzing Object","Found Object","Needs Help","Confused","None"}, 0) - 1</f>
        <v/>
      </c>
      <c r="F20" s="29" t="inlineStr">
        <is>
          <t>Waiting for Input</t>
        </is>
      </c>
      <c r="G20" s="29">
        <f>MATCH(F20, {"Waiting for Input","Analyzing Object","Found Object","Needs Help","Confused","None"}, 0) - 1</f>
        <v/>
      </c>
      <c r="H20" s="29" t="n">
        <v>5</v>
      </c>
      <c r="I20" s="29">
        <f>IF(E20=G20, 1, 0)</f>
        <v/>
      </c>
    </row>
    <row r="21" ht="22" customHeight="1" s="270">
      <c r="A21" s="29" t="n">
        <v>19</v>
      </c>
      <c r="B21" s="29" t="inlineStr">
        <is>
          <t>1</t>
        </is>
      </c>
      <c r="C21" s="30" t="inlineStr">
        <is>
          <t>GPT4</t>
        </is>
      </c>
      <c r="D21" s="29" t="inlineStr">
        <is>
          <t>Waiting for Input</t>
        </is>
      </c>
      <c r="E21" s="29">
        <f>MATCH(D21, {"Waiting for Input","Analyzing Object","Found Object","Needs Help","Confused","None"}, 0) - 1</f>
        <v/>
      </c>
      <c r="F21" s="29" t="inlineStr">
        <is>
          <t>Waiting for Input</t>
        </is>
      </c>
      <c r="G21" s="29">
        <f>MATCH(F21, {"Waiting for Input","Analyzing Object","Found Object","Needs Help","Confused","None"}, 0) - 1</f>
        <v/>
      </c>
      <c r="H21" s="29" t="n">
        <v>3</v>
      </c>
      <c r="I21" s="29">
        <f>IF(E21=G21, 1, 0)</f>
        <v/>
      </c>
    </row>
    <row r="22" ht="22" customHeight="1" s="270">
      <c r="A22" s="29" t="n">
        <v>20</v>
      </c>
      <c r="B22" s="29" t="inlineStr">
        <is>
          <t>1</t>
        </is>
      </c>
      <c r="C22" s="30" t="inlineStr">
        <is>
          <t>GPT4</t>
        </is>
      </c>
      <c r="D22" s="29" t="inlineStr">
        <is>
          <t>Waiting for Input</t>
        </is>
      </c>
      <c r="E22" s="29">
        <f>MATCH(D22, {"Waiting for Input","Analyzing Object","Found Object","Needs Help","Confused","None"}, 0) - 1</f>
        <v/>
      </c>
      <c r="F22" s="31" t="inlineStr">
        <is>
          <t>None</t>
        </is>
      </c>
      <c r="G22" s="29">
        <f>MATCH(F22, {"Waiting for Input","Analyzing Object","Found Object","Needs Help","Confused","None"}, 0) - 1</f>
        <v/>
      </c>
      <c r="H22" s="29" t="n">
        <v>2</v>
      </c>
      <c r="I22" s="29">
        <f>IF(E22=G22, 1, 0)</f>
        <v/>
      </c>
    </row>
    <row r="23" ht="22" customHeight="1" s="270">
      <c r="A23" s="29" t="n">
        <v>21</v>
      </c>
      <c r="B23" s="29" t="inlineStr">
        <is>
          <t>2</t>
        </is>
      </c>
      <c r="C23" s="30" t="inlineStr">
        <is>
          <t>GPT4</t>
        </is>
      </c>
      <c r="D23" s="29" t="inlineStr">
        <is>
          <t>Waiting for Input</t>
        </is>
      </c>
      <c r="E23" s="29">
        <f>MATCH(D23, {"Waiting for Input","Analyzing Object","Found Object","Needs Help","Confused","None"}, 0) - 1</f>
        <v/>
      </c>
      <c r="F23" s="29" t="inlineStr">
        <is>
          <t>Waiting for Input</t>
        </is>
      </c>
      <c r="G23" s="29">
        <f>MATCH(F23, {"Waiting for Input","Analyzing Object","Found Object","Needs Help","Confused","None"}, 0) - 1</f>
        <v/>
      </c>
      <c r="H23" s="29" t="n">
        <v>3</v>
      </c>
      <c r="I23" s="29">
        <f>IF(E23=G23, 1, 0)</f>
        <v/>
      </c>
    </row>
    <row r="24" ht="22" customHeight="1" s="270">
      <c r="A24" s="29" t="n">
        <v>22</v>
      </c>
      <c r="B24" s="29" t="inlineStr">
        <is>
          <t>2</t>
        </is>
      </c>
      <c r="C24" s="30" t="inlineStr">
        <is>
          <t>GPT4</t>
        </is>
      </c>
      <c r="D24" s="29" t="inlineStr">
        <is>
          <t>Waiting for Input</t>
        </is>
      </c>
      <c r="E24" s="29">
        <f>MATCH(D24, {"Waiting for Input","Analyzing Object","Found Object","Needs Help","Confused","None"}, 0) - 1</f>
        <v/>
      </c>
      <c r="F24" s="29" t="inlineStr">
        <is>
          <t>Waiting for Input</t>
        </is>
      </c>
      <c r="G24" s="29">
        <f>MATCH(F24, {"Waiting for Input","Analyzing Object","Found Object","Needs Help","Confused","None"}, 0) - 1</f>
        <v/>
      </c>
      <c r="H24" s="29" t="n">
        <v>5</v>
      </c>
      <c r="I24" s="29">
        <f>IF(E24=G24, 1, 0)</f>
        <v/>
      </c>
    </row>
    <row r="25" ht="22" customHeight="1" s="270">
      <c r="A25" s="29" t="n">
        <v>23</v>
      </c>
      <c r="B25" s="29" t="inlineStr">
        <is>
          <t>1</t>
        </is>
      </c>
      <c r="C25" s="30" t="inlineStr">
        <is>
          <t>GPT4</t>
        </is>
      </c>
      <c r="D25" s="29" t="inlineStr">
        <is>
          <t>Waiting for Input</t>
        </is>
      </c>
      <c r="E25" s="29">
        <f>MATCH(D25, {"Waiting for Input","Analyzing Object","Found Object","Needs Help","Confused","None"}, 0) - 1</f>
        <v/>
      </c>
      <c r="F25" s="29" t="inlineStr">
        <is>
          <t>Waiting for Input</t>
        </is>
      </c>
      <c r="G25" s="29">
        <f>MATCH(F25, {"Waiting for Input","Analyzing Object","Found Object","Needs Help","Confused","None"}, 0) - 1</f>
        <v/>
      </c>
      <c r="H25" s="29" t="n">
        <v>2</v>
      </c>
      <c r="I25" s="29">
        <f>IF(E25=G25, 1, 0)</f>
        <v/>
      </c>
    </row>
    <row r="26" ht="22" customHeight="1" s="270">
      <c r="A26" s="29" t="n">
        <v>24</v>
      </c>
      <c r="B26" s="29" t="inlineStr">
        <is>
          <t>1</t>
        </is>
      </c>
      <c r="C26" s="30" t="inlineStr">
        <is>
          <t>GPT4</t>
        </is>
      </c>
      <c r="D26" s="29" t="inlineStr">
        <is>
          <t>Waiting for Input</t>
        </is>
      </c>
      <c r="E26" s="29">
        <f>MATCH(D26, {"Waiting for Input","Analyzing Object","Found Object","Needs Help","Confused","None"}, 0) - 1</f>
        <v/>
      </c>
      <c r="F26" s="29" t="inlineStr">
        <is>
          <t>Waiting for Input</t>
        </is>
      </c>
      <c r="G26" s="29">
        <f>MATCH(F26, {"Waiting for Input","Analyzing Object","Found Object","Needs Help","Confused","None"}, 0) - 1</f>
        <v/>
      </c>
      <c r="H26" s="29" t="n">
        <v>4</v>
      </c>
      <c r="I26" s="29">
        <f>IF(E26=G26, 1, 0)</f>
        <v/>
      </c>
    </row>
    <row r="27" ht="22" customHeight="1" s="270">
      <c r="A27" s="29" t="n">
        <v>25</v>
      </c>
      <c r="B27" s="29" t="inlineStr">
        <is>
          <t>2</t>
        </is>
      </c>
      <c r="C27" s="30" t="inlineStr">
        <is>
          <t>GPT4</t>
        </is>
      </c>
      <c r="D27" s="29" t="inlineStr">
        <is>
          <t>Waiting for Input</t>
        </is>
      </c>
      <c r="E27" s="29">
        <f>MATCH(D27, {"Waiting for Input","Analyzing Object","Found Object","Needs Help","Confused","None"}, 0) - 1</f>
        <v/>
      </c>
      <c r="F27" s="29" t="inlineStr">
        <is>
          <t>Waiting for Input</t>
        </is>
      </c>
      <c r="G27" s="29">
        <f>MATCH(F27, {"Waiting for Input","Analyzing Object","Found Object","Needs Help","Confused","None"}, 0) - 1</f>
        <v/>
      </c>
      <c r="H27" s="29" t="n">
        <v>3</v>
      </c>
      <c r="I27" s="29">
        <f>IF(E27=G27, 1, 0)</f>
        <v/>
      </c>
    </row>
    <row r="28" ht="22" customHeight="1" s="270">
      <c r="A28" s="29" t="n">
        <v>26</v>
      </c>
      <c r="B28" s="29" t="inlineStr">
        <is>
          <t>2</t>
        </is>
      </c>
      <c r="C28" s="30" t="inlineStr">
        <is>
          <t>GPT4</t>
        </is>
      </c>
      <c r="D28" s="29" t="inlineStr">
        <is>
          <t>Waiting for Input</t>
        </is>
      </c>
      <c r="E28" s="29">
        <f>MATCH(D28, {"Waiting for Input","Analyzing Object","Found Object","Needs Help","Confused","None"}, 0) - 1</f>
        <v/>
      </c>
      <c r="F28" s="29" t="inlineStr">
        <is>
          <t>Waiting for Input</t>
        </is>
      </c>
      <c r="G28" s="29">
        <f>MATCH(F28, {"Waiting for Input","Analyzing Object","Found Object","Needs Help","Confused","None"}, 0) - 1</f>
        <v/>
      </c>
      <c r="H28" s="29" t="n">
        <v>3</v>
      </c>
      <c r="I28" s="29">
        <f>IF(E28=G28, 1, 0)</f>
        <v/>
      </c>
    </row>
    <row r="29" ht="22" customHeight="1" s="270">
      <c r="A29" s="29" t="n">
        <v>27</v>
      </c>
      <c r="B29" s="29" t="inlineStr">
        <is>
          <t>2</t>
        </is>
      </c>
      <c r="C29" s="30" t="inlineStr">
        <is>
          <t>GPT4</t>
        </is>
      </c>
      <c r="D29" s="29" t="inlineStr">
        <is>
          <t>Waiting for Input</t>
        </is>
      </c>
      <c r="E29" s="29">
        <f>MATCH(D29, {"Waiting for Input","Analyzing Object","Found Object","Needs Help","Confused","None"}, 0) - 1</f>
        <v/>
      </c>
      <c r="F29" s="29" t="inlineStr">
        <is>
          <t>Waiting for Input</t>
        </is>
      </c>
      <c r="G29" s="29">
        <f>MATCH(F29, {"Waiting for Input","Analyzing Object","Found Object","Needs Help","Confused","None"}, 0) - 1</f>
        <v/>
      </c>
      <c r="H29" s="29" t="n">
        <v>3</v>
      </c>
      <c r="I29" s="29">
        <f>IF(E29=G29, 1, 0)</f>
        <v/>
      </c>
    </row>
    <row r="30" ht="22" customHeight="1" s="270">
      <c r="A30" s="29" t="n">
        <v>28</v>
      </c>
      <c r="B30" s="29" t="inlineStr">
        <is>
          <t>2</t>
        </is>
      </c>
      <c r="C30" s="30" t="inlineStr">
        <is>
          <t>GPT4</t>
        </is>
      </c>
      <c r="D30" s="29" t="inlineStr">
        <is>
          <t>Waiting for Input</t>
        </is>
      </c>
      <c r="E30" s="29">
        <f>MATCH(D30, {"Waiting for Input","Analyzing Object","Found Object","Needs Help","Confused","None"}, 0) - 1</f>
        <v/>
      </c>
      <c r="F30" s="29" t="inlineStr">
        <is>
          <t>Waiting for Input</t>
        </is>
      </c>
      <c r="G30" s="29">
        <f>MATCH(F30, {"Waiting for Input","Analyzing Object","Found Object","Needs Help","Confused","None"}, 0) - 1</f>
        <v/>
      </c>
      <c r="H30" s="29" t="n">
        <v>3</v>
      </c>
      <c r="I30" s="29">
        <f>IF(E30=G30, 1, 0)</f>
        <v/>
      </c>
    </row>
    <row r="31" ht="22" customHeight="1" s="270">
      <c r="A31" s="29" t="n">
        <v>29</v>
      </c>
      <c r="B31" s="29" t="inlineStr">
        <is>
          <t>2</t>
        </is>
      </c>
      <c r="C31" s="30" t="inlineStr">
        <is>
          <t>GPT4</t>
        </is>
      </c>
      <c r="D31" s="29" t="inlineStr">
        <is>
          <t>Waiting for Input</t>
        </is>
      </c>
      <c r="E31" s="29">
        <f>MATCH(D31, {"Waiting for Input","Analyzing Object","Found Object","Needs Help","Confused","None"}, 0) - 1</f>
        <v/>
      </c>
      <c r="F31" s="29" t="inlineStr">
        <is>
          <t>Waiting for Input</t>
        </is>
      </c>
      <c r="G31" s="29">
        <f>MATCH(F31, {"Waiting for Input","Analyzing Object","Found Object","Needs Help","Confused","None"}, 0) - 1</f>
        <v/>
      </c>
      <c r="H31" s="29" t="n">
        <v>4</v>
      </c>
      <c r="I31" s="29">
        <f>IF(E31=G31, 1, 0)</f>
        <v/>
      </c>
    </row>
    <row r="32" ht="22" customHeight="1" s="270">
      <c r="A32" s="29" t="n">
        <v>30</v>
      </c>
      <c r="B32" s="29" t="inlineStr">
        <is>
          <t>2</t>
        </is>
      </c>
      <c r="C32" s="30" t="inlineStr">
        <is>
          <t>GPT4</t>
        </is>
      </c>
      <c r="D32" s="29" t="inlineStr">
        <is>
          <t>Waiting for Input</t>
        </is>
      </c>
      <c r="E32" s="29">
        <f>MATCH(D32, {"Waiting for Input","Analyzing Object","Found Object","Needs Help","Confused","None"}, 0) - 1</f>
        <v/>
      </c>
      <c r="F32" s="29" t="inlineStr">
        <is>
          <t>Waiting for Input</t>
        </is>
      </c>
      <c r="G32" s="29">
        <f>MATCH(F32, {"Waiting for Input","Analyzing Object","Found Object","Needs Help","Confused","None"}, 0) - 1</f>
        <v/>
      </c>
      <c r="H32" s="29" t="n">
        <v>5</v>
      </c>
      <c r="I32" s="29">
        <f>IF(E32=G32, 1, 0)</f>
        <v/>
      </c>
    </row>
    <row r="33" ht="22" customHeight="1" s="270">
      <c r="A33" s="29" t="n">
        <v>31</v>
      </c>
      <c r="B33" s="29" t="inlineStr">
        <is>
          <t>1</t>
        </is>
      </c>
      <c r="C33" s="30" t="inlineStr">
        <is>
          <t>GPT4</t>
        </is>
      </c>
      <c r="D33" s="29" t="inlineStr">
        <is>
          <t>Waiting for Input</t>
        </is>
      </c>
      <c r="E33" s="29">
        <f>MATCH(D33, {"Waiting for Input","Analyzing Object","Found Object","Needs Help","Confused","None"}, 0) - 1</f>
        <v/>
      </c>
      <c r="F33" s="29" t="inlineStr">
        <is>
          <t>Waiting for Input</t>
        </is>
      </c>
      <c r="G33" s="29">
        <f>MATCH(F33, {"Waiting for Input","Analyzing Object","Found Object","Needs Help","Confused","None"}, 0) - 1</f>
        <v/>
      </c>
      <c r="H33" s="29" t="n">
        <v>2</v>
      </c>
      <c r="I33" s="29">
        <f>IF(E33=G33, 1, 0)</f>
        <v/>
      </c>
    </row>
    <row r="34" ht="22" customHeight="1" s="270">
      <c r="A34" s="29" t="n">
        <v>32</v>
      </c>
      <c r="B34" s="29" t="inlineStr">
        <is>
          <t>2</t>
        </is>
      </c>
      <c r="C34" s="30" t="inlineStr">
        <is>
          <t>GPT4</t>
        </is>
      </c>
      <c r="D34" s="29" t="inlineStr">
        <is>
          <t>Waiting for Input</t>
        </is>
      </c>
      <c r="E34" s="29">
        <f>MATCH(D34, {"Waiting for Input","Analyzing Object","Found Object","Needs Help","Confused","None"}, 0) - 1</f>
        <v/>
      </c>
      <c r="F34" s="31" t="inlineStr">
        <is>
          <t>None</t>
        </is>
      </c>
      <c r="G34" s="29">
        <f>MATCH(F34, {"Waiting for Input","Analyzing Object","Found Object","Needs Help","Confused","None"}, 0) - 1</f>
        <v/>
      </c>
      <c r="H34" s="29" t="n">
        <v>3</v>
      </c>
      <c r="I34" s="29">
        <f>IF(E34=G34, 1, 0)</f>
        <v/>
      </c>
    </row>
    <row r="35" ht="22" customHeight="1" s="270">
      <c r="A35" s="29" t="n">
        <v>33</v>
      </c>
      <c r="B35" s="29" t="inlineStr">
        <is>
          <t>1</t>
        </is>
      </c>
      <c r="C35" s="30" t="inlineStr">
        <is>
          <t>GPT4</t>
        </is>
      </c>
      <c r="D35" s="29" t="inlineStr">
        <is>
          <t>Waiting for Input</t>
        </is>
      </c>
      <c r="E35" s="29">
        <f>MATCH(D35, {"Waiting for Input","Analyzing Object","Found Object","Needs Help","Confused","None"}, 0) - 1</f>
        <v/>
      </c>
      <c r="F35" s="29" t="inlineStr">
        <is>
          <t>Waiting for Input</t>
        </is>
      </c>
      <c r="G35" s="29">
        <f>MATCH(F35, {"Waiting for Input","Analyzing Object","Found Object","Needs Help","Confused","None"}, 0) - 1</f>
        <v/>
      </c>
      <c r="H35" s="29" t="n">
        <v>4</v>
      </c>
      <c r="I35" s="29">
        <f>IF(E35=G35, 1, 0)</f>
        <v/>
      </c>
    </row>
    <row r="36" ht="22" customHeight="1" s="270">
      <c r="A36" s="29" t="n">
        <v>34</v>
      </c>
      <c r="B36" s="29" t="inlineStr">
        <is>
          <t>1</t>
        </is>
      </c>
      <c r="C36" s="30" t="inlineStr">
        <is>
          <t>GPT4</t>
        </is>
      </c>
      <c r="D36" s="29" t="inlineStr">
        <is>
          <t>Waiting for Input</t>
        </is>
      </c>
      <c r="E36" s="29">
        <f>MATCH(D36, {"Waiting for Input","Analyzing Object","Found Object","Needs Help","Confused","None"}, 0) - 1</f>
        <v/>
      </c>
      <c r="F36" s="29" t="inlineStr">
        <is>
          <t>Waiting for Input</t>
        </is>
      </c>
      <c r="G36" s="29">
        <f>MATCH(F36, {"Waiting for Input","Analyzing Object","Found Object","Needs Help","Confused","None"}, 0) - 1</f>
        <v/>
      </c>
      <c r="H36" s="29" t="n">
        <v>4</v>
      </c>
      <c r="I36" s="29">
        <f>IF(E36=G36, 1, 0)</f>
        <v/>
      </c>
    </row>
    <row r="37" ht="22" customHeight="1" s="270">
      <c r="A37" s="29" t="n">
        <v>35</v>
      </c>
      <c r="B37" s="29" t="inlineStr">
        <is>
          <t>1</t>
        </is>
      </c>
      <c r="C37" s="30" t="inlineStr">
        <is>
          <t>GPT4</t>
        </is>
      </c>
      <c r="D37" s="29" t="inlineStr">
        <is>
          <t>Waiting for Input</t>
        </is>
      </c>
      <c r="E37" s="29">
        <f>MATCH(D37, {"Waiting for Input","Analyzing Object","Found Object","Needs Help","Confused","None"}, 0) - 1</f>
        <v/>
      </c>
      <c r="F37" s="29" t="inlineStr">
        <is>
          <t>Waiting for Input</t>
        </is>
      </c>
      <c r="G37" s="29">
        <f>MATCH(F37, {"Waiting for Input","Analyzing Object","Found Object","Needs Help","Confused","None"}, 0) - 1</f>
        <v/>
      </c>
      <c r="H37" s="29" t="n">
        <v>4</v>
      </c>
      <c r="I37" s="29">
        <f>IF(E37=G37, 1, 0)</f>
        <v/>
      </c>
    </row>
    <row r="38" ht="22" customHeight="1" s="270">
      <c r="A38" s="29" t="n">
        <v>36</v>
      </c>
      <c r="B38" s="29" t="inlineStr">
        <is>
          <t>2</t>
        </is>
      </c>
      <c r="C38" s="30" t="inlineStr">
        <is>
          <t>GPT4</t>
        </is>
      </c>
      <c r="D38" s="29" t="inlineStr">
        <is>
          <t>Waiting for Input</t>
        </is>
      </c>
      <c r="E38" s="29">
        <f>MATCH(D38, {"Waiting for Input","Analyzing Object","Found Object","Needs Help","Confused","None"}, 0) - 1</f>
        <v/>
      </c>
      <c r="F38" s="29" t="inlineStr">
        <is>
          <t>Confused</t>
        </is>
      </c>
      <c r="G38" s="29">
        <f>MATCH(F38, {"Waiting for Input","Analyzing Object","Found Object","Needs Help","Confused","None"}, 0) - 1</f>
        <v/>
      </c>
      <c r="H38" s="29" t="n">
        <v>2</v>
      </c>
      <c r="I38" s="29">
        <f>IF(E38=G38, 1, 0)</f>
        <v/>
      </c>
    </row>
    <row r="39" ht="22" customHeight="1" s="270">
      <c r="A39" s="29" t="n">
        <v>37</v>
      </c>
      <c r="B39" s="29" t="inlineStr">
        <is>
          <t>2</t>
        </is>
      </c>
      <c r="C39" s="30" t="inlineStr">
        <is>
          <t>GPT4</t>
        </is>
      </c>
      <c r="D39" s="29" t="inlineStr">
        <is>
          <t>Waiting for Input</t>
        </is>
      </c>
      <c r="E39" s="29">
        <f>MATCH(D39, {"Waiting for Input","Analyzing Object","Found Object","Needs Help","Confused","None"}, 0) - 1</f>
        <v/>
      </c>
      <c r="F39" s="29" t="inlineStr">
        <is>
          <t>Needs Help</t>
        </is>
      </c>
      <c r="G39" s="29">
        <f>MATCH(F39, {"Waiting for Input","Analyzing Object","Found Object","Needs Help","Confused","None"}, 0) - 1</f>
        <v/>
      </c>
      <c r="H39" s="29" t="n">
        <v>4</v>
      </c>
      <c r="I39" s="29">
        <f>IF(E39=G39, 1, 0)</f>
        <v/>
      </c>
    </row>
    <row r="40" ht="22" customHeight="1" s="270">
      <c r="A40" s="29" t="n">
        <v>38</v>
      </c>
      <c r="B40" s="29" t="inlineStr">
        <is>
          <t>1</t>
        </is>
      </c>
      <c r="C40" s="30" t="inlineStr">
        <is>
          <t>GPT4</t>
        </is>
      </c>
      <c r="D40" s="29" t="inlineStr">
        <is>
          <t>Waiting for Input</t>
        </is>
      </c>
      <c r="E40" s="29">
        <f>MATCH(D40, {"Waiting for Input","Analyzing Object","Found Object","Needs Help","Confused","None"}, 0) - 1</f>
        <v/>
      </c>
      <c r="F40" s="29" t="inlineStr">
        <is>
          <t>Waiting for Input</t>
        </is>
      </c>
      <c r="G40" s="29">
        <f>MATCH(F40, {"Waiting for Input","Analyzing Object","Found Object","Needs Help","Confused","None"}, 0) - 1</f>
        <v/>
      </c>
      <c r="H40" s="29" t="n">
        <v>5</v>
      </c>
      <c r="I40" s="29">
        <f>IF(E40=G40, 1, 0)</f>
        <v/>
      </c>
    </row>
    <row r="41" ht="22" customHeight="1" s="270">
      <c r="A41" s="29" t="n">
        <v>39</v>
      </c>
      <c r="B41" s="29" t="inlineStr">
        <is>
          <t>1</t>
        </is>
      </c>
      <c r="C41" s="30" t="inlineStr">
        <is>
          <t>GPT4</t>
        </is>
      </c>
      <c r="D41" s="29" t="inlineStr">
        <is>
          <t>Waiting for Input</t>
        </is>
      </c>
      <c r="E41" s="29">
        <f>MATCH(D41, {"Waiting for Input","Analyzing Object","Found Object","Needs Help","Confused","None"}, 0) - 1</f>
        <v/>
      </c>
      <c r="F41" s="29" t="inlineStr">
        <is>
          <t>Waiting for Input</t>
        </is>
      </c>
      <c r="G41" s="29">
        <f>MATCH(F41, {"Waiting for Input","Analyzing Object","Found Object","Needs Help","Confused","None"}, 0) - 1</f>
        <v/>
      </c>
      <c r="H41" s="29" t="n">
        <v>2</v>
      </c>
      <c r="I41" s="29">
        <f>IF(E41=G41, 1, 0)</f>
        <v/>
      </c>
    </row>
    <row r="42" ht="22" customHeight="1" s="270">
      <c r="A42" s="29" t="n">
        <v>40</v>
      </c>
      <c r="B42" s="29" t="inlineStr">
        <is>
          <t>1</t>
        </is>
      </c>
      <c r="C42" s="30" t="inlineStr">
        <is>
          <t>GPT4</t>
        </is>
      </c>
      <c r="D42" s="29" t="inlineStr">
        <is>
          <t>Waiting for Input</t>
        </is>
      </c>
      <c r="E42" s="29">
        <f>MATCH(D42, {"Waiting for Input","Analyzing Object","Found Object","Needs Help","Confused","None"}, 0) - 1</f>
        <v/>
      </c>
      <c r="F42" s="29" t="inlineStr">
        <is>
          <t>Analyzing Object</t>
        </is>
      </c>
      <c r="G42" s="29">
        <f>MATCH(F42, {"Waiting for Input","Analyzing Object","Found Object","Needs Help","Confused","None"}, 0) - 1</f>
        <v/>
      </c>
      <c r="H42" s="29" t="n">
        <v>5</v>
      </c>
      <c r="I42" s="29">
        <f>IF(E42=G42, 1, 0)</f>
        <v/>
      </c>
    </row>
    <row r="43" ht="22" customHeight="1" s="270">
      <c r="A43" s="29" t="n">
        <v>41</v>
      </c>
      <c r="B43" s="29" t="inlineStr">
        <is>
          <t>2</t>
        </is>
      </c>
      <c r="C43" s="30" t="inlineStr">
        <is>
          <t>GPT4</t>
        </is>
      </c>
      <c r="D43" s="29" t="inlineStr">
        <is>
          <t>Waiting for Input</t>
        </is>
      </c>
      <c r="E43" s="29">
        <f>MATCH(D43, {"Waiting for Input","Analyzing Object","Found Object","Needs Help","Confused","None"}, 0) - 1</f>
        <v/>
      </c>
      <c r="F43" s="31" t="inlineStr">
        <is>
          <t>None</t>
        </is>
      </c>
      <c r="G43" s="29">
        <f>MATCH(F43, {"Waiting for Input","Analyzing Object","Found Object","Needs Help","Confused","None"}, 0) - 1</f>
        <v/>
      </c>
      <c r="H43" s="29" t="n">
        <v>3</v>
      </c>
      <c r="I43" s="29">
        <f>IF(E43=G43, 1, 0)</f>
        <v/>
      </c>
    </row>
    <row r="44" ht="22" customHeight="1" s="270">
      <c r="A44" s="29" t="n">
        <v>42</v>
      </c>
      <c r="B44" s="29" t="inlineStr">
        <is>
          <t>2</t>
        </is>
      </c>
      <c r="C44" s="30" t="inlineStr">
        <is>
          <t>GPT4</t>
        </is>
      </c>
      <c r="D44" s="29" t="inlineStr">
        <is>
          <t>Waiting for Input</t>
        </is>
      </c>
      <c r="E44" s="29">
        <f>MATCH(D44, {"Waiting for Input","Analyzing Object","Found Object","Needs Help","Confused","None"}, 0) - 1</f>
        <v/>
      </c>
      <c r="F44" s="29" t="inlineStr">
        <is>
          <t>Waiting for Input</t>
        </is>
      </c>
      <c r="G44" s="29">
        <f>MATCH(F44, {"Waiting for Input","Analyzing Object","Found Object","Needs Help","Confused","None"}, 0) - 1</f>
        <v/>
      </c>
      <c r="H44" s="29" t="n">
        <v>1</v>
      </c>
      <c r="I44" s="29">
        <f>IF(E44=G44, 1, 0)</f>
        <v/>
      </c>
    </row>
    <row r="45" ht="22" customHeight="1" s="270">
      <c r="A45" s="29" t="n">
        <v>43</v>
      </c>
      <c r="B45" s="29" t="inlineStr">
        <is>
          <t>2</t>
        </is>
      </c>
      <c r="C45" s="30" t="inlineStr">
        <is>
          <t>GPT4</t>
        </is>
      </c>
      <c r="D45" s="29" t="inlineStr">
        <is>
          <t>Waiting for Input</t>
        </is>
      </c>
      <c r="E45" s="29">
        <f>MATCH(D45, {"Waiting for Input","Analyzing Object","Found Object","Needs Help","Confused","None"}, 0) - 1</f>
        <v/>
      </c>
      <c r="F45" s="29" t="inlineStr">
        <is>
          <t>Waiting for Input</t>
        </is>
      </c>
      <c r="G45" s="29">
        <f>MATCH(F45, {"Waiting for Input","Analyzing Object","Found Object","Needs Help","Confused","None"}, 0) - 1</f>
        <v/>
      </c>
      <c r="H45" s="29" t="n">
        <v>1</v>
      </c>
      <c r="I45" s="29">
        <f>IF(E45=G45, 1, 0)</f>
        <v/>
      </c>
    </row>
    <row r="46" ht="22" customHeight="1" s="270">
      <c r="A46" s="29" t="n">
        <v>44</v>
      </c>
      <c r="B46" s="29" t="inlineStr">
        <is>
          <t>2</t>
        </is>
      </c>
      <c r="C46" s="30" t="inlineStr">
        <is>
          <t>GPT4</t>
        </is>
      </c>
      <c r="D46" s="29" t="inlineStr">
        <is>
          <t>Waiting for Input</t>
        </is>
      </c>
      <c r="E46" s="29">
        <f>MATCH(D46, {"Waiting for Input","Analyzing Object","Found Object","Needs Help","Confused","None"}, 0) - 1</f>
        <v/>
      </c>
      <c r="F46" s="29" t="inlineStr">
        <is>
          <t>Waiting for Input</t>
        </is>
      </c>
      <c r="G46" s="29">
        <f>MATCH(F46, {"Waiting for Input","Analyzing Object","Found Object","Needs Help","Confused","None"}, 0) - 1</f>
        <v/>
      </c>
      <c r="H46" s="29" t="n">
        <v>4</v>
      </c>
      <c r="I46" s="29">
        <f>IF(E46=G46, 1, 0)</f>
        <v/>
      </c>
    </row>
    <row r="47" ht="22" customHeight="1" s="270">
      <c r="A47" s="29" t="n">
        <v>45</v>
      </c>
      <c r="B47" s="29" t="inlineStr">
        <is>
          <t>2</t>
        </is>
      </c>
      <c r="C47" s="30" t="inlineStr">
        <is>
          <t>GPT4</t>
        </is>
      </c>
      <c r="D47" s="29" t="inlineStr">
        <is>
          <t>Waiting for Input</t>
        </is>
      </c>
      <c r="E47" s="29">
        <f>MATCH(D47, {"Waiting for Input","Analyzing Object","Found Object","Needs Help","Confused","None"}, 0) - 1</f>
        <v/>
      </c>
      <c r="F47" s="29" t="inlineStr">
        <is>
          <t>Waiting for Input</t>
        </is>
      </c>
      <c r="G47" s="29">
        <f>MATCH(F47, {"Waiting for Input","Analyzing Object","Found Object","Needs Help","Confused","None"}, 0) - 1</f>
        <v/>
      </c>
      <c r="H47" s="29" t="n">
        <v>3</v>
      </c>
      <c r="I47" s="29">
        <f>IF(E47=G47, 1, 0)</f>
        <v/>
      </c>
    </row>
    <row r="48" ht="22" customHeight="1" s="270">
      <c r="A48" s="29" t="n">
        <v>46</v>
      </c>
      <c r="B48" s="29" t="inlineStr">
        <is>
          <t>2</t>
        </is>
      </c>
      <c r="C48" s="30" t="inlineStr">
        <is>
          <t>GPT4</t>
        </is>
      </c>
      <c r="D48" s="29" t="inlineStr">
        <is>
          <t>Waiting for Input</t>
        </is>
      </c>
      <c r="E48" s="29">
        <f>MATCH(D48, {"Waiting for Input","Analyzing Object","Found Object","Needs Help","Confused","None"}, 0) - 1</f>
        <v/>
      </c>
      <c r="F48" s="29" t="inlineStr">
        <is>
          <t>Waiting for Input</t>
        </is>
      </c>
      <c r="G48" s="29">
        <f>MATCH(F48, {"Waiting for Input","Analyzing Object","Found Object","Needs Help","Confused","None"}, 0) - 1</f>
        <v/>
      </c>
      <c r="H48" s="29" t="n">
        <v>3</v>
      </c>
      <c r="I48" s="29">
        <f>IF(E48=G48, 1, 0)</f>
        <v/>
      </c>
    </row>
    <row r="49" ht="22" customHeight="1" s="270">
      <c r="A49" s="29" t="n">
        <v>47</v>
      </c>
      <c r="B49" s="29" t="inlineStr">
        <is>
          <t>2</t>
        </is>
      </c>
      <c r="C49" s="30" t="inlineStr">
        <is>
          <t>GPT4</t>
        </is>
      </c>
      <c r="D49" s="29" t="inlineStr">
        <is>
          <t>Waiting for Input</t>
        </is>
      </c>
      <c r="E49" s="29">
        <f>MATCH(D49, {"Waiting for Input","Analyzing Object","Found Object","Needs Help","Confused","None"}, 0) - 1</f>
        <v/>
      </c>
      <c r="F49" s="29" t="inlineStr">
        <is>
          <t>Waiting for Input</t>
        </is>
      </c>
      <c r="G49" s="29">
        <f>MATCH(F49, {"Waiting for Input","Analyzing Object","Found Object","Needs Help","Confused","None"}, 0) - 1</f>
        <v/>
      </c>
      <c r="H49" s="29" t="n">
        <v>2</v>
      </c>
      <c r="I49" s="29">
        <f>IF(E49=G49, 1, 0)</f>
        <v/>
      </c>
    </row>
    <row r="50" ht="22" customHeight="1" s="270">
      <c r="A50" s="29" t="n">
        <v>48</v>
      </c>
      <c r="B50" s="29" t="inlineStr">
        <is>
          <t>2</t>
        </is>
      </c>
      <c r="C50" s="30" t="inlineStr">
        <is>
          <t>GPT4</t>
        </is>
      </c>
      <c r="D50" s="29" t="inlineStr">
        <is>
          <t>Waiting for Input</t>
        </is>
      </c>
      <c r="E50" s="29">
        <f>MATCH(D50, {"Waiting for Input","Analyzing Object","Found Object","Needs Help","Confused","None"}, 0) - 1</f>
        <v/>
      </c>
      <c r="F50" s="29" t="inlineStr">
        <is>
          <t>Needs Help</t>
        </is>
      </c>
      <c r="G50" s="29">
        <f>MATCH(F50, {"Waiting for Input","Analyzing Object","Found Object","Needs Help","Confused","None"}, 0) - 1</f>
        <v/>
      </c>
      <c r="H50" s="29" t="n">
        <v>4</v>
      </c>
      <c r="I50" s="29">
        <f>IF(E50=G50, 1, 0)</f>
        <v/>
      </c>
    </row>
    <row r="51" ht="22" customHeight="1" s="270">
      <c r="A51" s="29" t="n">
        <v>49</v>
      </c>
      <c r="B51" s="29" t="inlineStr">
        <is>
          <t>2</t>
        </is>
      </c>
      <c r="C51" s="30" t="inlineStr">
        <is>
          <t>GPT4</t>
        </is>
      </c>
      <c r="D51" s="29" t="inlineStr">
        <is>
          <t>Waiting for Input</t>
        </is>
      </c>
      <c r="E51" s="29">
        <f>MATCH(D51, {"Waiting for Input","Analyzing Object","Found Object","Needs Help","Confused","None"}, 0) - 1</f>
        <v/>
      </c>
      <c r="F51" s="31" t="inlineStr">
        <is>
          <t>None</t>
        </is>
      </c>
      <c r="G51" s="29">
        <f>MATCH(F51, {"Waiting for Input","Analyzing Object","Found Object","Needs Help","Confused","None"}, 0) - 1</f>
        <v/>
      </c>
      <c r="H51" s="29" t="n">
        <v>1</v>
      </c>
      <c r="I51" s="29">
        <f>IF(E51=G51, 1, 0)</f>
        <v/>
      </c>
    </row>
    <row r="52" ht="22" customHeight="1" s="270">
      <c r="A52" s="29" t="n">
        <v>50</v>
      </c>
      <c r="B52" s="29" t="inlineStr">
        <is>
          <t>2</t>
        </is>
      </c>
      <c r="C52" s="30" t="inlineStr">
        <is>
          <t>GPT4</t>
        </is>
      </c>
      <c r="D52" s="29" t="inlineStr">
        <is>
          <t>Waiting for Input</t>
        </is>
      </c>
      <c r="E52" s="29">
        <f>MATCH(D52, {"Waiting for Input","Analyzing Object","Found Object","Needs Help","Confused","None"}, 0) - 1</f>
        <v/>
      </c>
      <c r="F52" s="29" t="inlineStr">
        <is>
          <t>Waiting for Input</t>
        </is>
      </c>
      <c r="G52" s="29">
        <f>MATCH(F52, {"Waiting for Input","Analyzing Object","Found Object","Needs Help","Confused","None"}, 0) - 1</f>
        <v/>
      </c>
      <c r="H52" s="29" t="n">
        <v>5</v>
      </c>
      <c r="I52" s="29">
        <f>IF(E52=G52, 1, 0)</f>
        <v/>
      </c>
    </row>
    <row r="53" ht="22" customHeight="1" s="270">
      <c r="A53" s="29" t="n">
        <v>51</v>
      </c>
      <c r="B53" s="29" t="inlineStr">
        <is>
          <t>1</t>
        </is>
      </c>
      <c r="C53" s="30" t="inlineStr">
        <is>
          <t>GPT4</t>
        </is>
      </c>
      <c r="D53" s="29" t="inlineStr">
        <is>
          <t>Waiting for Input</t>
        </is>
      </c>
      <c r="E53" s="29">
        <f>MATCH(D53, {"Waiting for Input","Analyzing Object","Found Object","Needs Help","Confused","None"}, 0) - 1</f>
        <v/>
      </c>
      <c r="F53" s="31" t="inlineStr">
        <is>
          <t>None</t>
        </is>
      </c>
      <c r="G53" s="29">
        <f>MATCH(F53, {"Waiting for Input","Analyzing Object","Found Object","Needs Help","Confused","None"}, 0) - 1</f>
        <v/>
      </c>
      <c r="H53" s="29" t="n">
        <v>3</v>
      </c>
      <c r="I53" s="29">
        <f>IF(E53=G53, 1, 0)</f>
        <v/>
      </c>
    </row>
    <row r="54" ht="22" customHeight="1" s="270">
      <c r="A54" s="29" t="n">
        <v>52</v>
      </c>
      <c r="B54" s="29" t="inlineStr">
        <is>
          <t>2</t>
        </is>
      </c>
      <c r="C54" s="30" t="inlineStr">
        <is>
          <t>GPT4</t>
        </is>
      </c>
      <c r="D54" s="29" t="inlineStr">
        <is>
          <t>Waiting for Input</t>
        </is>
      </c>
      <c r="E54" s="29">
        <f>MATCH(D54, {"Waiting for Input","Analyzing Object","Found Object","Needs Help","Confused","None"}, 0) - 1</f>
        <v/>
      </c>
      <c r="F54" s="29" t="inlineStr">
        <is>
          <t>Waiting for Input</t>
        </is>
      </c>
      <c r="G54" s="29">
        <f>MATCH(F54, {"Waiting for Input","Analyzing Object","Found Object","Needs Help","Confused","None"}, 0) - 1</f>
        <v/>
      </c>
      <c r="H54" s="29" t="n">
        <v>5</v>
      </c>
      <c r="I54" s="29">
        <f>IF(E54=G54, 1, 0)</f>
        <v/>
      </c>
    </row>
    <row r="55" ht="22" customHeight="1" s="270">
      <c r="A55" s="29" t="n">
        <v>53</v>
      </c>
      <c r="B55" s="29" t="inlineStr">
        <is>
          <t>2</t>
        </is>
      </c>
      <c r="C55" s="30" t="inlineStr">
        <is>
          <t>GPT4</t>
        </is>
      </c>
      <c r="D55" s="29" t="inlineStr">
        <is>
          <t>Waiting for Input</t>
        </is>
      </c>
      <c r="E55" s="29">
        <f>MATCH(D55, {"Waiting for Input","Analyzing Object","Found Object","Needs Help","Confused","None"}, 0) - 1</f>
        <v/>
      </c>
      <c r="F55" s="29" t="inlineStr">
        <is>
          <t>Found Object</t>
        </is>
      </c>
      <c r="G55" s="29">
        <f>MATCH(F55, {"Waiting for Input","Analyzing Object","Found Object","Needs Help","Confused","None"}, 0) - 1</f>
        <v/>
      </c>
      <c r="H55" s="29" t="n">
        <v>3</v>
      </c>
      <c r="I55" s="29">
        <f>IF(E55=G55, 1, 0)</f>
        <v/>
      </c>
    </row>
    <row r="56" ht="22" customHeight="1" s="270">
      <c r="A56" s="29" t="n">
        <v>54</v>
      </c>
      <c r="B56" s="29" t="inlineStr">
        <is>
          <t>1</t>
        </is>
      </c>
      <c r="C56" s="30" t="inlineStr">
        <is>
          <t>GPT4</t>
        </is>
      </c>
      <c r="D56" s="29" t="inlineStr">
        <is>
          <t>Waiting for Input</t>
        </is>
      </c>
      <c r="E56" s="29">
        <f>MATCH(D56, {"Waiting for Input","Analyzing Object","Found Object","Needs Help","Confused","None"}, 0) - 1</f>
        <v/>
      </c>
      <c r="F56" s="29" t="inlineStr">
        <is>
          <t>Waiting for Input</t>
        </is>
      </c>
      <c r="G56" s="29">
        <f>MATCH(F56, {"Waiting for Input","Analyzing Object","Found Object","Needs Help","Confused","None"}, 0) - 1</f>
        <v/>
      </c>
      <c r="H56" s="29" t="n">
        <v>4</v>
      </c>
      <c r="I56" s="29">
        <f>IF(E56=G56, 1, 0)</f>
        <v/>
      </c>
    </row>
    <row r="57" ht="22" customHeight="1" s="270">
      <c r="A57" s="29" t="n">
        <v>55</v>
      </c>
      <c r="B57" s="29" t="inlineStr">
        <is>
          <t>2</t>
        </is>
      </c>
      <c r="C57" s="30" t="inlineStr">
        <is>
          <t>GPT4</t>
        </is>
      </c>
      <c r="D57" s="29" t="inlineStr">
        <is>
          <t>Waiting for Input</t>
        </is>
      </c>
      <c r="E57" s="29">
        <f>MATCH(D57, {"Waiting for Input","Analyzing Object","Found Object","Needs Help","Confused","None"}, 0) - 1</f>
        <v/>
      </c>
      <c r="F57" s="29" t="inlineStr">
        <is>
          <t>Waiting for Input</t>
        </is>
      </c>
      <c r="G57" s="29">
        <f>MATCH(F57, {"Waiting for Input","Analyzing Object","Found Object","Needs Help","Confused","None"}, 0) - 1</f>
        <v/>
      </c>
      <c r="H57" s="29" t="n">
        <v>4</v>
      </c>
      <c r="I57" s="29">
        <f>IF(E57=G57, 1, 0)</f>
        <v/>
      </c>
    </row>
    <row r="58" ht="22" customHeight="1" s="270">
      <c r="A58" s="29" t="n">
        <v>56</v>
      </c>
      <c r="B58" s="29" t="inlineStr">
        <is>
          <t>2</t>
        </is>
      </c>
      <c r="C58" s="30" t="inlineStr">
        <is>
          <t>GPT4</t>
        </is>
      </c>
      <c r="D58" s="29" t="inlineStr">
        <is>
          <t>Waiting for Input</t>
        </is>
      </c>
      <c r="E58" s="29">
        <f>MATCH(D58, {"Waiting for Input","Analyzing Object","Found Object","Needs Help","Confused","None"}, 0) - 1</f>
        <v/>
      </c>
      <c r="F58" s="29" t="inlineStr">
        <is>
          <t>Waiting for Input</t>
        </is>
      </c>
      <c r="G58" s="29">
        <f>MATCH(F58, {"Waiting for Input","Analyzing Object","Found Object","Needs Help","Confused","None"}, 0) - 1</f>
        <v/>
      </c>
      <c r="H58" s="29" t="n">
        <v>5</v>
      </c>
      <c r="I58" s="29">
        <f>IF(E58=G58, 1, 0)</f>
        <v/>
      </c>
    </row>
    <row r="59" ht="22" customHeight="1" s="270">
      <c r="A59" s="29" t="n">
        <v>57</v>
      </c>
      <c r="B59" s="29" t="inlineStr">
        <is>
          <t>2</t>
        </is>
      </c>
      <c r="C59" s="30" t="inlineStr">
        <is>
          <t>GPT4</t>
        </is>
      </c>
      <c r="D59" s="29" t="inlineStr">
        <is>
          <t>Waiting for Input</t>
        </is>
      </c>
      <c r="E59" s="29">
        <f>MATCH(D59, {"Waiting for Input","Analyzing Object","Found Object","Needs Help","Confused","None"}, 0) - 1</f>
        <v/>
      </c>
      <c r="F59" s="29" t="inlineStr">
        <is>
          <t>Waiting for Input</t>
        </is>
      </c>
      <c r="G59" s="29">
        <f>MATCH(F59, {"Waiting for Input","Analyzing Object","Found Object","Needs Help","Confused","None"}, 0) - 1</f>
        <v/>
      </c>
      <c r="H59" s="29" t="n">
        <v>3</v>
      </c>
      <c r="I59" s="29">
        <f>IF(E59=G59, 1, 0)</f>
        <v/>
      </c>
    </row>
    <row r="60" ht="22" customHeight="1" s="270">
      <c r="A60" s="29" t="n">
        <v>58</v>
      </c>
      <c r="B60" s="29" t="inlineStr">
        <is>
          <t>1</t>
        </is>
      </c>
      <c r="C60" s="30" t="inlineStr">
        <is>
          <t>GPT4</t>
        </is>
      </c>
      <c r="D60" s="29" t="inlineStr">
        <is>
          <t>Waiting for Input</t>
        </is>
      </c>
      <c r="E60" s="29">
        <f>MATCH(D60, {"Waiting for Input","Analyzing Object","Found Object","Needs Help","Confused","None"}, 0) - 1</f>
        <v/>
      </c>
      <c r="F60" s="29" t="inlineStr">
        <is>
          <t>Waiting for Input</t>
        </is>
      </c>
      <c r="G60" s="29">
        <f>MATCH(F60, {"Waiting for Input","Analyzing Object","Found Object","Needs Help","Confused","None"}, 0) - 1</f>
        <v/>
      </c>
      <c r="H60" s="29" t="n">
        <v>5</v>
      </c>
      <c r="I60" s="29">
        <f>IF(E60=G60, 1, 0)</f>
        <v/>
      </c>
    </row>
    <row r="61" ht="22" customHeight="1" s="270">
      <c r="A61" s="29" t="n">
        <v>59</v>
      </c>
      <c r="B61" s="29" t="inlineStr">
        <is>
          <t>2</t>
        </is>
      </c>
      <c r="C61" s="30" t="inlineStr">
        <is>
          <t>GPT4</t>
        </is>
      </c>
      <c r="D61" s="29" t="inlineStr">
        <is>
          <t>Waiting for Input</t>
        </is>
      </c>
      <c r="E61" s="29">
        <f>MATCH(D61, {"Waiting for Input","Analyzing Object","Found Object","Needs Help","Confused","None"}, 0) - 1</f>
        <v/>
      </c>
      <c r="F61" s="29" t="inlineStr">
        <is>
          <t>Confused</t>
        </is>
      </c>
      <c r="G61" s="29">
        <f>MATCH(F61, {"Waiting for Input","Analyzing Object","Found Object","Needs Help","Confused","None"}, 0) - 1</f>
        <v/>
      </c>
      <c r="H61" s="29" t="n">
        <v>2</v>
      </c>
      <c r="I61" s="29">
        <f>IF(E61=G61, 1, 0)</f>
        <v/>
      </c>
    </row>
    <row r="62" ht="22" customHeight="1" s="270">
      <c r="A62" s="29" t="n">
        <v>60</v>
      </c>
      <c r="B62" s="29" t="inlineStr">
        <is>
          <t>1</t>
        </is>
      </c>
      <c r="C62" s="30" t="inlineStr">
        <is>
          <t>Human</t>
        </is>
      </c>
      <c r="D62" s="29" t="inlineStr">
        <is>
          <t>Waiting for Input</t>
        </is>
      </c>
      <c r="E62" s="29">
        <f>MATCH(D62, {"Waiting for Input","Analyzing Object","Found Object","Needs Help","Confused","None"}, 0) - 1</f>
        <v/>
      </c>
      <c r="F62" s="29" t="inlineStr">
        <is>
          <t>Waiting for Input</t>
        </is>
      </c>
      <c r="G62" s="29">
        <f>MATCH(F62, {"Waiting for Input","Analyzing Object","Found Object","Needs Help","Confused","None"}, 0) - 1</f>
        <v/>
      </c>
      <c r="H62" s="29" t="n">
        <v>4</v>
      </c>
      <c r="I62" s="29">
        <f>IF(E62=G62, 1, 0)</f>
        <v/>
      </c>
    </row>
    <row r="63" ht="22" customHeight="1" s="270">
      <c r="A63" s="29" t="n">
        <v>61</v>
      </c>
      <c r="B63" s="29" t="inlineStr">
        <is>
          <t>1</t>
        </is>
      </c>
      <c r="C63" s="30" t="inlineStr">
        <is>
          <t>Human</t>
        </is>
      </c>
      <c r="D63" s="29" t="inlineStr">
        <is>
          <t>Waiting for Input</t>
        </is>
      </c>
      <c r="E63" s="29">
        <f>MATCH(D63, {"Waiting for Input","Analyzing Object","Found Object","Needs Help","Confused","None"}, 0) - 1</f>
        <v/>
      </c>
      <c r="F63" s="29" t="inlineStr">
        <is>
          <t>Waiting for Input</t>
        </is>
      </c>
      <c r="G63" s="29">
        <f>MATCH(F63, {"Waiting for Input","Analyzing Object","Found Object","Needs Help","Confused","None"}, 0) - 1</f>
        <v/>
      </c>
      <c r="H63" s="29" t="n">
        <v>4</v>
      </c>
      <c r="I63" s="29">
        <f>IF(E63=G63, 1, 0)</f>
        <v/>
      </c>
    </row>
    <row r="64" ht="22" customHeight="1" s="270">
      <c r="A64" s="29" t="n">
        <v>62</v>
      </c>
      <c r="B64" s="29" t="inlineStr">
        <is>
          <t>1</t>
        </is>
      </c>
      <c r="C64" s="30" t="inlineStr">
        <is>
          <t>Human</t>
        </is>
      </c>
      <c r="D64" s="29" t="inlineStr">
        <is>
          <t>Waiting for Input</t>
        </is>
      </c>
      <c r="E64" s="29">
        <f>MATCH(D64, {"Waiting for Input","Analyzing Object","Found Object","Needs Help","Confused","None"}, 0) - 1</f>
        <v/>
      </c>
      <c r="F64" s="29" t="inlineStr">
        <is>
          <t>Waiting for Input</t>
        </is>
      </c>
      <c r="G64" s="29">
        <f>MATCH(F64, {"Waiting for Input","Analyzing Object","Found Object","Needs Help","Confused","None"}, 0) - 1</f>
        <v/>
      </c>
      <c r="H64" s="29" t="n">
        <v>2</v>
      </c>
      <c r="I64" s="29">
        <f>IF(E64=G64, 1, 0)</f>
        <v/>
      </c>
    </row>
    <row r="65" ht="22" customHeight="1" s="270">
      <c r="A65" s="29" t="n">
        <v>63</v>
      </c>
      <c r="B65" s="29" t="inlineStr">
        <is>
          <t>2</t>
        </is>
      </c>
      <c r="C65" s="30" t="inlineStr">
        <is>
          <t>Human</t>
        </is>
      </c>
      <c r="D65" s="29" t="inlineStr">
        <is>
          <t>Waiting for Input</t>
        </is>
      </c>
      <c r="E65" s="29">
        <f>MATCH(D65, {"Waiting for Input","Analyzing Object","Found Object","Needs Help","Confused","None"}, 0) - 1</f>
        <v/>
      </c>
      <c r="F65" s="29" t="inlineStr">
        <is>
          <t>Analyzing Object</t>
        </is>
      </c>
      <c r="G65" s="29">
        <f>MATCH(F65, {"Waiting for Input","Analyzing Object","Found Object","Needs Help","Confused","None"}, 0) - 1</f>
        <v/>
      </c>
      <c r="H65" s="29" t="n">
        <v>3</v>
      </c>
      <c r="I65" s="29">
        <f>IF(E65=G65, 1, 0)</f>
        <v/>
      </c>
    </row>
    <row r="66" ht="22" customHeight="1" s="270">
      <c r="A66" s="29" t="n">
        <v>64</v>
      </c>
      <c r="B66" s="29" t="inlineStr">
        <is>
          <t>2</t>
        </is>
      </c>
      <c r="C66" s="30" t="inlineStr">
        <is>
          <t>Human</t>
        </is>
      </c>
      <c r="D66" s="29" t="inlineStr">
        <is>
          <t>Waiting for Input</t>
        </is>
      </c>
      <c r="E66" s="29">
        <f>MATCH(D66, {"Waiting for Input","Analyzing Object","Found Object","Needs Help","Confused","None"}, 0) - 1</f>
        <v/>
      </c>
      <c r="F66" s="29" t="inlineStr">
        <is>
          <t>Waiting for Input</t>
        </is>
      </c>
      <c r="G66" s="29">
        <f>MATCH(F66, {"Waiting for Input","Analyzing Object","Found Object","Needs Help","Confused","None"}, 0) - 1</f>
        <v/>
      </c>
      <c r="H66" s="29" t="n">
        <v>3</v>
      </c>
      <c r="I66" s="29">
        <f>IF(E66=G66, 1, 0)</f>
        <v/>
      </c>
    </row>
    <row r="67" ht="22" customHeight="1" s="270">
      <c r="A67" s="29" t="n">
        <v>65</v>
      </c>
      <c r="B67" s="29" t="inlineStr">
        <is>
          <t>1</t>
        </is>
      </c>
      <c r="C67" s="30" t="inlineStr">
        <is>
          <t>Human</t>
        </is>
      </c>
      <c r="D67" s="29" t="inlineStr">
        <is>
          <t>Waiting for Input</t>
        </is>
      </c>
      <c r="E67" s="29">
        <f>MATCH(D67, {"Waiting for Input","Analyzing Object","Found Object","Needs Help","Confused","None"}, 0) - 1</f>
        <v/>
      </c>
      <c r="F67" s="29" t="inlineStr">
        <is>
          <t>Confused</t>
        </is>
      </c>
      <c r="G67" s="29">
        <f>MATCH(F67, {"Waiting for Input","Analyzing Object","Found Object","Needs Help","Confused","None"}, 0) - 1</f>
        <v/>
      </c>
      <c r="H67" s="29" t="n">
        <v>5</v>
      </c>
      <c r="I67" s="29">
        <f>IF(E67=G67, 1, 0)</f>
        <v/>
      </c>
    </row>
    <row r="68" ht="22" customHeight="1" s="270">
      <c r="A68" s="29" t="n">
        <v>66</v>
      </c>
      <c r="B68" s="29" t="inlineStr">
        <is>
          <t>2</t>
        </is>
      </c>
      <c r="C68" s="30" t="inlineStr">
        <is>
          <t>Human</t>
        </is>
      </c>
      <c r="D68" s="29" t="inlineStr">
        <is>
          <t>Waiting for Input</t>
        </is>
      </c>
      <c r="E68" s="29">
        <f>MATCH(D68, {"Waiting for Input","Analyzing Object","Found Object","Needs Help","Confused","None"}, 0) - 1</f>
        <v/>
      </c>
      <c r="F68" s="29" t="inlineStr">
        <is>
          <t>Waiting for Input</t>
        </is>
      </c>
      <c r="G68" s="29">
        <f>MATCH(F68, {"Waiting for Input","Analyzing Object","Found Object","Needs Help","Confused","None"}, 0) - 1</f>
        <v/>
      </c>
      <c r="H68" s="29" t="n">
        <v>5</v>
      </c>
      <c r="I68" s="29">
        <f>IF(E68=G68, 1, 0)</f>
        <v/>
      </c>
    </row>
    <row r="69" ht="22" customHeight="1" s="270">
      <c r="A69" s="29" t="n">
        <v>67</v>
      </c>
      <c r="B69" s="29" t="inlineStr">
        <is>
          <t>1</t>
        </is>
      </c>
      <c r="C69" s="30" t="inlineStr">
        <is>
          <t>Human</t>
        </is>
      </c>
      <c r="D69" s="29" t="inlineStr">
        <is>
          <t>Waiting for Input</t>
        </is>
      </c>
      <c r="E69" s="29">
        <f>MATCH(D69, {"Waiting for Input","Analyzing Object","Found Object","Needs Help","Confused","None"}, 0) - 1</f>
        <v/>
      </c>
      <c r="F69" s="29" t="inlineStr">
        <is>
          <t>Waiting for Input</t>
        </is>
      </c>
      <c r="G69" s="29">
        <f>MATCH(F69, {"Waiting for Input","Analyzing Object","Found Object","Needs Help","Confused","None"}, 0) - 1</f>
        <v/>
      </c>
      <c r="H69" s="29" t="n">
        <v>4</v>
      </c>
      <c r="I69" s="29">
        <f>IF(E69=G69, 1, 0)</f>
        <v/>
      </c>
    </row>
    <row r="70" ht="22" customHeight="1" s="270">
      <c r="A70" s="29" t="n">
        <v>68</v>
      </c>
      <c r="B70" s="29" t="inlineStr">
        <is>
          <t>1</t>
        </is>
      </c>
      <c r="C70" s="30" t="inlineStr">
        <is>
          <t>Human</t>
        </is>
      </c>
      <c r="D70" s="29" t="inlineStr">
        <is>
          <t>Waiting for Input</t>
        </is>
      </c>
      <c r="E70" s="29">
        <f>MATCH(D70, {"Waiting for Input","Analyzing Object","Found Object","Needs Help","Confused","None"}, 0) - 1</f>
        <v/>
      </c>
      <c r="F70" s="29" t="inlineStr">
        <is>
          <t>Waiting for Input</t>
        </is>
      </c>
      <c r="G70" s="29">
        <f>MATCH(F70, {"Waiting for Input","Analyzing Object","Found Object","Needs Help","Confused","None"}, 0) - 1</f>
        <v/>
      </c>
      <c r="H70" s="29" t="n">
        <v>3</v>
      </c>
      <c r="I70" s="29">
        <f>IF(E70=G70, 1, 0)</f>
        <v/>
      </c>
    </row>
    <row r="71" ht="22" customHeight="1" s="270">
      <c r="A71" s="29" t="n">
        <v>69</v>
      </c>
      <c r="B71" s="29" t="inlineStr">
        <is>
          <t>1</t>
        </is>
      </c>
      <c r="C71" s="30" t="inlineStr">
        <is>
          <t>Human</t>
        </is>
      </c>
      <c r="D71" s="29" t="inlineStr">
        <is>
          <t>Waiting for Input</t>
        </is>
      </c>
      <c r="E71" s="29">
        <f>MATCH(D71, {"Waiting for Input","Analyzing Object","Found Object","Needs Help","Confused","None"}, 0) - 1</f>
        <v/>
      </c>
      <c r="F71" s="29" t="inlineStr">
        <is>
          <t>Waiting for Input</t>
        </is>
      </c>
      <c r="G71" s="29">
        <f>MATCH(F71, {"Waiting for Input","Analyzing Object","Found Object","Needs Help","Confused","None"}, 0) - 1</f>
        <v/>
      </c>
      <c r="H71" s="29" t="n">
        <v>5</v>
      </c>
      <c r="I71" s="29">
        <f>IF(E71=G71, 1, 0)</f>
        <v/>
      </c>
    </row>
    <row r="72" ht="22" customHeight="1" s="270">
      <c r="A72" s="29" t="n">
        <v>70</v>
      </c>
      <c r="B72" s="29" t="inlineStr">
        <is>
          <t>2</t>
        </is>
      </c>
      <c r="C72" s="30" t="inlineStr">
        <is>
          <t>Human</t>
        </is>
      </c>
      <c r="D72" s="29" t="inlineStr">
        <is>
          <t>Waiting for Input</t>
        </is>
      </c>
      <c r="E72" s="29">
        <f>MATCH(D72, {"Waiting for Input","Analyzing Object","Found Object","Needs Help","Confused","None"}, 0) - 1</f>
        <v/>
      </c>
      <c r="F72" s="29" t="inlineStr">
        <is>
          <t>Waiting for Input</t>
        </is>
      </c>
      <c r="G72" s="29">
        <f>MATCH(F72, {"Waiting for Input","Analyzing Object","Found Object","Needs Help","Confused","None"}, 0) - 1</f>
        <v/>
      </c>
      <c r="H72" s="29" t="n">
        <v>5</v>
      </c>
      <c r="I72" s="29">
        <f>IF(E72=G72, 1, 0)</f>
        <v/>
      </c>
    </row>
    <row r="73" ht="22" customHeight="1" s="270">
      <c r="A73" s="29" t="n">
        <v>71</v>
      </c>
      <c r="B73" s="29" t="inlineStr">
        <is>
          <t>2</t>
        </is>
      </c>
      <c r="C73" s="30" t="inlineStr">
        <is>
          <t>Human</t>
        </is>
      </c>
      <c r="D73" s="29" t="inlineStr">
        <is>
          <t>Waiting for Input</t>
        </is>
      </c>
      <c r="E73" s="29">
        <f>MATCH(D73, {"Waiting for Input","Analyzing Object","Found Object","Needs Help","Confused","None"}, 0) - 1</f>
        <v/>
      </c>
      <c r="F73" s="31" t="inlineStr">
        <is>
          <t>None</t>
        </is>
      </c>
      <c r="G73" s="29">
        <f>MATCH(F73, {"Waiting for Input","Analyzing Object","Found Object","Needs Help","Confused","None"}, 0) - 1</f>
        <v/>
      </c>
      <c r="H73" s="29" t="n">
        <v>5</v>
      </c>
      <c r="I73" s="29">
        <f>IF(E73=G73, 1, 0)</f>
        <v/>
      </c>
    </row>
    <row r="74" ht="22" customHeight="1" s="270">
      <c r="A74" s="29" t="n">
        <v>72</v>
      </c>
      <c r="B74" s="29" t="inlineStr">
        <is>
          <t>2</t>
        </is>
      </c>
      <c r="C74" s="30" t="inlineStr">
        <is>
          <t>Human</t>
        </is>
      </c>
      <c r="D74" s="29" t="inlineStr">
        <is>
          <t>Waiting for Input</t>
        </is>
      </c>
      <c r="E74" s="29">
        <f>MATCH(D74, {"Waiting for Input","Analyzing Object","Found Object","Needs Help","Confused","None"}, 0) - 1</f>
        <v/>
      </c>
      <c r="F74" s="29" t="inlineStr">
        <is>
          <t>Waiting for Input</t>
        </is>
      </c>
      <c r="G74" s="29">
        <f>MATCH(F74, {"Waiting for Input","Analyzing Object","Found Object","Needs Help","Confused","None"}, 0) - 1</f>
        <v/>
      </c>
      <c r="H74" s="29" t="n">
        <v>2</v>
      </c>
      <c r="I74" s="29">
        <f>IF(E74=G74, 1, 0)</f>
        <v/>
      </c>
    </row>
    <row r="75" ht="22" customHeight="1" s="270">
      <c r="A75" s="29" t="n">
        <v>73</v>
      </c>
      <c r="B75" s="29" t="inlineStr">
        <is>
          <t>2</t>
        </is>
      </c>
      <c r="C75" s="30" t="inlineStr">
        <is>
          <t>Human</t>
        </is>
      </c>
      <c r="D75" s="29" t="inlineStr">
        <is>
          <t>Waiting for Input</t>
        </is>
      </c>
      <c r="E75" s="29">
        <f>MATCH(D75, {"Waiting for Input","Analyzing Object","Found Object","Needs Help","Confused","None"}, 0) - 1</f>
        <v/>
      </c>
      <c r="F75" s="29" t="inlineStr">
        <is>
          <t>Waiting for Input</t>
        </is>
      </c>
      <c r="G75" s="29">
        <f>MATCH(F75, {"Waiting for Input","Analyzing Object","Found Object","Needs Help","Confused","None"}, 0) - 1</f>
        <v/>
      </c>
      <c r="H75" s="29" t="n">
        <v>2</v>
      </c>
      <c r="I75" s="29">
        <f>IF(E75=G75, 1, 0)</f>
        <v/>
      </c>
    </row>
    <row r="76" ht="22" customHeight="1" s="270">
      <c r="A76" s="29" t="n">
        <v>74</v>
      </c>
      <c r="B76" s="29" t="inlineStr">
        <is>
          <t>1</t>
        </is>
      </c>
      <c r="C76" s="30" t="inlineStr">
        <is>
          <t>Human</t>
        </is>
      </c>
      <c r="D76" s="29" t="inlineStr">
        <is>
          <t>Waiting for Input</t>
        </is>
      </c>
      <c r="E76" s="29">
        <f>MATCH(D76, {"Waiting for Input","Analyzing Object","Found Object","Needs Help","Confused","None"}, 0) - 1</f>
        <v/>
      </c>
      <c r="F76" s="29" t="inlineStr">
        <is>
          <t>Waiting for Input</t>
        </is>
      </c>
      <c r="G76" s="29">
        <f>MATCH(F76, {"Waiting for Input","Analyzing Object","Found Object","Needs Help","Confused","None"}, 0) - 1</f>
        <v/>
      </c>
      <c r="H76" s="29" t="n">
        <v>5</v>
      </c>
      <c r="I76" s="29">
        <f>IF(E76=G76, 1, 0)</f>
        <v/>
      </c>
    </row>
    <row r="77" ht="22" customHeight="1" s="270">
      <c r="A77" s="29" t="n">
        <v>75</v>
      </c>
      <c r="B77" s="29" t="inlineStr">
        <is>
          <t>1</t>
        </is>
      </c>
      <c r="C77" s="30" t="inlineStr">
        <is>
          <t>Human</t>
        </is>
      </c>
      <c r="D77" s="29" t="inlineStr">
        <is>
          <t>Waiting for Input</t>
        </is>
      </c>
      <c r="E77" s="29">
        <f>MATCH(D77, {"Waiting for Input","Analyzing Object","Found Object","Needs Help","Confused","None"}, 0) - 1</f>
        <v/>
      </c>
      <c r="F77" s="29" t="inlineStr">
        <is>
          <t>Waiting for Input</t>
        </is>
      </c>
      <c r="G77" s="29">
        <f>MATCH(F77, {"Waiting for Input","Analyzing Object","Found Object","Needs Help","Confused","None"}, 0) - 1</f>
        <v/>
      </c>
      <c r="H77" s="29" t="n">
        <v>2</v>
      </c>
      <c r="I77" s="29">
        <f>IF(E77=G77, 1, 0)</f>
        <v/>
      </c>
    </row>
    <row r="78" ht="22" customHeight="1" s="270">
      <c r="A78" s="29" t="n">
        <v>76</v>
      </c>
      <c r="B78" s="29" t="inlineStr">
        <is>
          <t>1</t>
        </is>
      </c>
      <c r="C78" s="30" t="inlineStr">
        <is>
          <t>Human</t>
        </is>
      </c>
      <c r="D78" s="29" t="inlineStr">
        <is>
          <t>Waiting for Input</t>
        </is>
      </c>
      <c r="E78" s="29">
        <f>MATCH(D78, {"Waiting for Input","Analyzing Object","Found Object","Needs Help","Confused","None"}, 0) - 1</f>
        <v/>
      </c>
      <c r="F78" s="29" t="inlineStr">
        <is>
          <t>Waiting for Input</t>
        </is>
      </c>
      <c r="G78" s="29">
        <f>MATCH(F78, {"Waiting for Input","Analyzing Object","Found Object","Needs Help","Confused","None"}, 0) - 1</f>
        <v/>
      </c>
      <c r="H78" s="29" t="n">
        <v>4</v>
      </c>
      <c r="I78" s="29">
        <f>IF(E78=G78, 1, 0)</f>
        <v/>
      </c>
    </row>
    <row r="79" ht="22" customHeight="1" s="270">
      <c r="A79" s="29" t="n">
        <v>77</v>
      </c>
      <c r="B79" s="29" t="inlineStr">
        <is>
          <t>2</t>
        </is>
      </c>
      <c r="C79" s="30" t="inlineStr">
        <is>
          <t>Human</t>
        </is>
      </c>
      <c r="D79" s="29" t="inlineStr">
        <is>
          <t>Waiting for Input</t>
        </is>
      </c>
      <c r="E79" s="29">
        <f>MATCH(D79, {"Waiting for Input","Analyzing Object","Found Object","Needs Help","Confused","None"}, 0) - 1</f>
        <v/>
      </c>
      <c r="F79" s="29" t="inlineStr">
        <is>
          <t>Waiting for Input</t>
        </is>
      </c>
      <c r="G79" s="29">
        <f>MATCH(F79, {"Waiting for Input","Analyzing Object","Found Object","Needs Help","Confused","None"}, 0) - 1</f>
        <v/>
      </c>
      <c r="H79" s="29" t="n">
        <v>3</v>
      </c>
      <c r="I79" s="29">
        <f>IF(E79=G79, 1, 0)</f>
        <v/>
      </c>
    </row>
    <row r="80" ht="22" customHeight="1" s="270">
      <c r="A80" s="29" t="n">
        <v>78</v>
      </c>
      <c r="B80" s="29" t="inlineStr">
        <is>
          <t>2</t>
        </is>
      </c>
      <c r="C80" s="30" t="inlineStr">
        <is>
          <t>Human</t>
        </is>
      </c>
      <c r="D80" s="29" t="inlineStr">
        <is>
          <t>Waiting for Input</t>
        </is>
      </c>
      <c r="E80" s="29">
        <f>MATCH(D80, {"Waiting for Input","Analyzing Object","Found Object","Needs Help","Confused","None"}, 0) - 1</f>
        <v/>
      </c>
      <c r="F80" s="29" t="inlineStr">
        <is>
          <t>Waiting for Input</t>
        </is>
      </c>
      <c r="G80" s="29">
        <f>MATCH(F80, {"Waiting for Input","Analyzing Object","Found Object","Needs Help","Confused","None"}, 0) - 1</f>
        <v/>
      </c>
      <c r="H80" s="29" t="n">
        <v>4</v>
      </c>
      <c r="I80" s="29">
        <f>IF(E80=G80, 1, 0)</f>
        <v/>
      </c>
    </row>
    <row r="81" ht="22" customHeight="1" s="270">
      <c r="A81" s="29" t="n">
        <v>79</v>
      </c>
      <c r="B81" s="29" t="inlineStr">
        <is>
          <t>1</t>
        </is>
      </c>
      <c r="C81" s="30" t="inlineStr">
        <is>
          <t>Human</t>
        </is>
      </c>
      <c r="D81" s="29" t="inlineStr">
        <is>
          <t>Waiting for Input</t>
        </is>
      </c>
      <c r="E81" s="29">
        <f>MATCH(D81, {"Waiting for Input","Analyzing Object","Found Object","Needs Help","Confused","None"}, 0) - 1</f>
        <v/>
      </c>
      <c r="F81" s="29" t="inlineStr">
        <is>
          <t>Waiting for Input</t>
        </is>
      </c>
      <c r="G81" s="29">
        <f>MATCH(F81, {"Waiting for Input","Analyzing Object","Found Object","Needs Help","Confused","None"}, 0) - 1</f>
        <v/>
      </c>
      <c r="H81" s="29" t="n">
        <v>3</v>
      </c>
      <c r="I81" s="29">
        <f>IF(E81=G81, 1, 0)</f>
        <v/>
      </c>
    </row>
    <row r="82" ht="22" customHeight="1" s="270">
      <c r="A82" s="29" t="n">
        <v>80</v>
      </c>
      <c r="B82" s="29" t="inlineStr">
        <is>
          <t>1</t>
        </is>
      </c>
      <c r="C82" s="30" t="inlineStr">
        <is>
          <t>Human</t>
        </is>
      </c>
      <c r="D82" s="29" t="inlineStr">
        <is>
          <t>Waiting for Input</t>
        </is>
      </c>
      <c r="E82" s="29">
        <f>MATCH(D82, {"Waiting for Input","Analyzing Object","Found Object","Needs Help","Confused","None"}, 0) - 1</f>
        <v/>
      </c>
      <c r="F82" s="31" t="inlineStr">
        <is>
          <t>None</t>
        </is>
      </c>
      <c r="G82" s="29">
        <f>MATCH(F82, {"Waiting for Input","Analyzing Object","Found Object","Needs Help","Confused","None"}, 0) - 1</f>
        <v/>
      </c>
      <c r="H82" s="29" t="n">
        <v>2</v>
      </c>
      <c r="I82" s="29">
        <f>IF(E82=G82, 1, 0)</f>
        <v/>
      </c>
    </row>
    <row r="83" ht="22" customHeight="1" s="270">
      <c r="A83" s="29" t="n">
        <v>81</v>
      </c>
      <c r="B83" s="29" t="inlineStr">
        <is>
          <t>2</t>
        </is>
      </c>
      <c r="C83" s="30" t="inlineStr">
        <is>
          <t>Human</t>
        </is>
      </c>
      <c r="D83" s="29" t="inlineStr">
        <is>
          <t>Waiting for Input</t>
        </is>
      </c>
      <c r="E83" s="29">
        <f>MATCH(D83, {"Waiting for Input","Analyzing Object","Found Object","Needs Help","Confused","None"}, 0) - 1</f>
        <v/>
      </c>
      <c r="F83" s="29" t="inlineStr">
        <is>
          <t>Found Object</t>
        </is>
      </c>
      <c r="G83" s="29">
        <f>MATCH(F83, {"Waiting for Input","Analyzing Object","Found Object","Needs Help","Confused","None"}, 0) - 1</f>
        <v/>
      </c>
      <c r="H83" s="29" t="n">
        <v>3</v>
      </c>
      <c r="I83" s="29">
        <f>IF(E83=G83, 1, 0)</f>
        <v/>
      </c>
    </row>
    <row r="84" ht="22" customHeight="1" s="270">
      <c r="A84" s="29" t="n">
        <v>82</v>
      </c>
      <c r="B84" s="29" t="inlineStr">
        <is>
          <t>2</t>
        </is>
      </c>
      <c r="C84" s="30" t="inlineStr">
        <is>
          <t>Human</t>
        </is>
      </c>
      <c r="D84" s="29" t="inlineStr">
        <is>
          <t>Waiting for Input</t>
        </is>
      </c>
      <c r="E84" s="29">
        <f>MATCH(D84, {"Waiting for Input","Analyzing Object","Found Object","Needs Help","Confused","None"}, 0) - 1</f>
        <v/>
      </c>
      <c r="F84" s="29" t="inlineStr">
        <is>
          <t>Waiting for Input</t>
        </is>
      </c>
      <c r="G84" s="29">
        <f>MATCH(F84, {"Waiting for Input","Analyzing Object","Found Object","Needs Help","Confused","None"}, 0) - 1</f>
        <v/>
      </c>
      <c r="H84" s="29" t="n">
        <v>5</v>
      </c>
      <c r="I84" s="29">
        <f>IF(E84=G84, 1, 0)</f>
        <v/>
      </c>
    </row>
    <row r="85" ht="22" customHeight="1" s="270">
      <c r="A85" s="29" t="n">
        <v>83</v>
      </c>
      <c r="B85" s="29" t="inlineStr">
        <is>
          <t>1</t>
        </is>
      </c>
      <c r="C85" s="30" t="inlineStr">
        <is>
          <t>Human</t>
        </is>
      </c>
      <c r="D85" s="29" t="inlineStr">
        <is>
          <t>Waiting for Input</t>
        </is>
      </c>
      <c r="E85" s="29">
        <f>MATCH(D85, {"Waiting for Input","Analyzing Object","Found Object","Needs Help","Confused","None"}, 0) - 1</f>
        <v/>
      </c>
      <c r="F85" s="29" t="inlineStr">
        <is>
          <t>Waiting for Input</t>
        </is>
      </c>
      <c r="G85" s="29">
        <f>MATCH(F85, {"Waiting for Input","Analyzing Object","Found Object","Needs Help","Confused","None"}, 0) - 1</f>
        <v/>
      </c>
      <c r="H85" s="29" t="n">
        <v>1</v>
      </c>
      <c r="I85" s="29">
        <f>IF(E85=G85, 1, 0)</f>
        <v/>
      </c>
    </row>
    <row r="86" ht="22" customHeight="1" s="270">
      <c r="A86" s="29" t="n">
        <v>84</v>
      </c>
      <c r="B86" s="29" t="inlineStr">
        <is>
          <t>1</t>
        </is>
      </c>
      <c r="C86" s="30" t="inlineStr">
        <is>
          <t>Human</t>
        </is>
      </c>
      <c r="D86" s="29" t="inlineStr">
        <is>
          <t>Waiting for Input</t>
        </is>
      </c>
      <c r="E86" s="29">
        <f>MATCH(D86, {"Waiting for Input","Analyzing Object","Found Object","Needs Help","Confused","None"}, 0) - 1</f>
        <v/>
      </c>
      <c r="F86" s="29" t="inlineStr">
        <is>
          <t>Waiting for Input</t>
        </is>
      </c>
      <c r="G86" s="29">
        <f>MATCH(F86, {"Waiting for Input","Analyzing Object","Found Object","Needs Help","Confused","None"}, 0) - 1</f>
        <v/>
      </c>
      <c r="H86" s="29" t="n">
        <v>3</v>
      </c>
      <c r="I86" s="29">
        <f>IF(E86=G86, 1, 0)</f>
        <v/>
      </c>
    </row>
    <row r="87" ht="22" customHeight="1" s="270">
      <c r="A87" s="29" t="n">
        <v>85</v>
      </c>
      <c r="B87" s="29" t="inlineStr">
        <is>
          <t>2</t>
        </is>
      </c>
      <c r="C87" s="30" t="inlineStr">
        <is>
          <t>Human</t>
        </is>
      </c>
      <c r="D87" s="29" t="inlineStr">
        <is>
          <t>Waiting for Input</t>
        </is>
      </c>
      <c r="E87" s="29">
        <f>MATCH(D87, {"Waiting for Input","Analyzing Object","Found Object","Needs Help","Confused","None"}, 0) - 1</f>
        <v/>
      </c>
      <c r="F87" s="29" t="inlineStr">
        <is>
          <t>Needs Help</t>
        </is>
      </c>
      <c r="G87" s="29">
        <f>MATCH(F87, {"Waiting for Input","Analyzing Object","Found Object","Needs Help","Confused","None"}, 0) - 1</f>
        <v/>
      </c>
      <c r="H87" s="29" t="n">
        <v>2</v>
      </c>
      <c r="I87" s="29">
        <f>IF(E87=G87, 1, 0)</f>
        <v/>
      </c>
    </row>
    <row r="88" ht="22" customHeight="1" s="270">
      <c r="A88" s="29" t="n">
        <v>86</v>
      </c>
      <c r="B88" s="29" t="inlineStr">
        <is>
          <t>2</t>
        </is>
      </c>
      <c r="C88" s="30" t="inlineStr">
        <is>
          <t>Human</t>
        </is>
      </c>
      <c r="D88" s="29" t="inlineStr">
        <is>
          <t>Waiting for Input</t>
        </is>
      </c>
      <c r="E88" s="29">
        <f>MATCH(D88, {"Waiting for Input","Analyzing Object","Found Object","Needs Help","Confused","None"}, 0) - 1</f>
        <v/>
      </c>
      <c r="F88" s="29" t="inlineStr">
        <is>
          <t>Waiting for Input</t>
        </is>
      </c>
      <c r="G88" s="29">
        <f>MATCH(F88, {"Waiting for Input","Analyzing Object","Found Object","Needs Help","Confused","None"}, 0) - 1</f>
        <v/>
      </c>
      <c r="H88" s="29" t="n">
        <v>3</v>
      </c>
      <c r="I88" s="29">
        <f>IF(E88=G88, 1, 0)</f>
        <v/>
      </c>
    </row>
    <row r="89" ht="22" customHeight="1" s="270">
      <c r="A89" s="29" t="n">
        <v>87</v>
      </c>
      <c r="B89" s="29" t="inlineStr">
        <is>
          <t>2</t>
        </is>
      </c>
      <c r="C89" s="30" t="inlineStr">
        <is>
          <t>Human</t>
        </is>
      </c>
      <c r="D89" s="29" t="inlineStr">
        <is>
          <t>Waiting for Input</t>
        </is>
      </c>
      <c r="E89" s="29">
        <f>MATCH(D89, {"Waiting for Input","Analyzing Object","Found Object","Needs Help","Confused","None"}, 0) - 1</f>
        <v/>
      </c>
      <c r="F89" s="29" t="inlineStr">
        <is>
          <t>Waiting for Input</t>
        </is>
      </c>
      <c r="G89" s="29">
        <f>MATCH(F89, {"Waiting for Input","Analyzing Object","Found Object","Needs Help","Confused","None"}, 0) - 1</f>
        <v/>
      </c>
      <c r="H89" s="29" t="n">
        <v>4</v>
      </c>
      <c r="I89" s="29">
        <f>IF(E89=G89, 1, 0)</f>
        <v/>
      </c>
    </row>
    <row r="90" ht="22" customHeight="1" s="270">
      <c r="A90" s="29" t="n">
        <v>88</v>
      </c>
      <c r="B90" s="29" t="inlineStr">
        <is>
          <t>2</t>
        </is>
      </c>
      <c r="C90" s="30" t="inlineStr">
        <is>
          <t>Human</t>
        </is>
      </c>
      <c r="D90" s="29" t="inlineStr">
        <is>
          <t>Waiting for Input</t>
        </is>
      </c>
      <c r="E90" s="29">
        <f>MATCH(D90, {"Waiting for Input","Analyzing Object","Found Object","Needs Help","Confused","None"}, 0) - 1</f>
        <v/>
      </c>
      <c r="F90" s="29" t="inlineStr">
        <is>
          <t>Waiting for Input</t>
        </is>
      </c>
      <c r="G90" s="29">
        <f>MATCH(F90, {"Waiting for Input","Analyzing Object","Found Object","Needs Help","Confused","None"}, 0) - 1</f>
        <v/>
      </c>
      <c r="H90" s="29" t="n">
        <v>3</v>
      </c>
      <c r="I90" s="29">
        <f>IF(E90=G90, 1, 0)</f>
        <v/>
      </c>
    </row>
    <row r="91" ht="22" customHeight="1" s="270">
      <c r="A91" s="29" t="n">
        <v>89</v>
      </c>
      <c r="B91" s="29" t="inlineStr">
        <is>
          <t>2</t>
        </is>
      </c>
      <c r="C91" s="30" t="inlineStr">
        <is>
          <t>Human</t>
        </is>
      </c>
      <c r="D91" s="29" t="inlineStr">
        <is>
          <t>Waiting for Input</t>
        </is>
      </c>
      <c r="E91" s="29">
        <f>MATCH(D91, {"Waiting for Input","Analyzing Object","Found Object","Needs Help","Confused","None"}, 0) - 1</f>
        <v/>
      </c>
      <c r="F91" s="29" t="inlineStr">
        <is>
          <t>Needs Help</t>
        </is>
      </c>
      <c r="G91" s="29">
        <f>MATCH(F91, {"Waiting for Input","Analyzing Object","Found Object","Needs Help","Confused","None"}, 0) - 1</f>
        <v/>
      </c>
      <c r="H91" s="29" t="n">
        <v>2</v>
      </c>
      <c r="I91" s="29">
        <f>IF(E91=G91, 1, 0)</f>
        <v/>
      </c>
    </row>
    <row r="92" ht="22" customHeight="1" s="270">
      <c r="A92" s="29" t="n">
        <v>90</v>
      </c>
      <c r="B92" s="29" t="inlineStr">
        <is>
          <t>2</t>
        </is>
      </c>
      <c r="C92" s="30" t="inlineStr">
        <is>
          <t>Human</t>
        </is>
      </c>
      <c r="D92" s="29" t="inlineStr">
        <is>
          <t>Waiting for Input</t>
        </is>
      </c>
      <c r="E92" s="29">
        <f>MATCH(D92, {"Waiting for Input","Analyzing Object","Found Object","Needs Help","Confused","None"}, 0) - 1</f>
        <v/>
      </c>
      <c r="F92" s="29" t="inlineStr">
        <is>
          <t>Waiting for Input</t>
        </is>
      </c>
      <c r="G92" s="29">
        <f>MATCH(F92, {"Waiting for Input","Analyzing Object","Found Object","Needs Help","Confused","None"}, 0) - 1</f>
        <v/>
      </c>
      <c r="H92" s="29" t="n">
        <v>5</v>
      </c>
      <c r="I92" s="29">
        <f>IF(E92=G92, 1, 0)</f>
        <v/>
      </c>
    </row>
    <row r="93" ht="22" customHeight="1" s="270">
      <c r="A93" s="29" t="n">
        <v>91</v>
      </c>
      <c r="B93" s="29" t="inlineStr">
        <is>
          <t>1</t>
        </is>
      </c>
      <c r="C93" s="30" t="inlineStr">
        <is>
          <t>Human</t>
        </is>
      </c>
      <c r="D93" s="29" t="inlineStr">
        <is>
          <t>Waiting for Input</t>
        </is>
      </c>
      <c r="E93" s="29">
        <f>MATCH(D93, {"Waiting for Input","Analyzing Object","Found Object","Needs Help","Confused","None"}, 0) - 1</f>
        <v/>
      </c>
      <c r="F93" s="29" t="inlineStr">
        <is>
          <t>Waiting for Input</t>
        </is>
      </c>
      <c r="G93" s="29">
        <f>MATCH(F93, {"Waiting for Input","Analyzing Object","Found Object","Needs Help","Confused","None"}, 0) - 1</f>
        <v/>
      </c>
      <c r="H93" s="29" t="n">
        <v>4</v>
      </c>
      <c r="I93" s="29">
        <f>IF(E93=G93, 1, 0)</f>
        <v/>
      </c>
    </row>
    <row r="94" ht="22" customHeight="1" s="270">
      <c r="A94" s="29" t="n">
        <v>92</v>
      </c>
      <c r="B94" s="29" t="inlineStr">
        <is>
          <t>2</t>
        </is>
      </c>
      <c r="C94" s="30" t="inlineStr">
        <is>
          <t>Human</t>
        </is>
      </c>
      <c r="D94" s="29" t="inlineStr">
        <is>
          <t>Waiting for Input</t>
        </is>
      </c>
      <c r="E94" s="29">
        <f>MATCH(D94, {"Waiting for Input","Analyzing Object","Found Object","Needs Help","Confused","None"}, 0) - 1</f>
        <v/>
      </c>
      <c r="F94" s="29" t="inlineStr">
        <is>
          <t>Waiting for Input</t>
        </is>
      </c>
      <c r="G94" s="29">
        <f>MATCH(F94, {"Waiting for Input","Analyzing Object","Found Object","Needs Help","Confused","None"}, 0) - 1</f>
        <v/>
      </c>
      <c r="H94" s="29" t="n">
        <v>4</v>
      </c>
      <c r="I94" s="29">
        <f>IF(E94=G94, 1, 0)</f>
        <v/>
      </c>
    </row>
    <row r="95" ht="22" customHeight="1" s="270">
      <c r="A95" s="29" t="n">
        <v>93</v>
      </c>
      <c r="B95" s="29" t="inlineStr">
        <is>
          <t>1</t>
        </is>
      </c>
      <c r="C95" s="30" t="inlineStr">
        <is>
          <t>Human</t>
        </is>
      </c>
      <c r="D95" s="29" t="inlineStr">
        <is>
          <t>Waiting for Input</t>
        </is>
      </c>
      <c r="E95" s="29">
        <f>MATCH(D95, {"Waiting for Input","Analyzing Object","Found Object","Needs Help","Confused","None"}, 0) - 1</f>
        <v/>
      </c>
      <c r="F95" s="29" t="inlineStr">
        <is>
          <t>Found Object</t>
        </is>
      </c>
      <c r="G95" s="29">
        <f>MATCH(F95, {"Waiting for Input","Analyzing Object","Found Object","Needs Help","Confused","None"}, 0) - 1</f>
        <v/>
      </c>
      <c r="H95" s="29" t="n">
        <v>3</v>
      </c>
      <c r="I95" s="29">
        <f>IF(E95=G95, 1, 0)</f>
        <v/>
      </c>
    </row>
    <row r="96" ht="22" customHeight="1" s="270">
      <c r="A96" s="29" t="n">
        <v>94</v>
      </c>
      <c r="B96" s="29" t="inlineStr">
        <is>
          <t>1</t>
        </is>
      </c>
      <c r="C96" s="30" t="inlineStr">
        <is>
          <t>Human</t>
        </is>
      </c>
      <c r="D96" s="29" t="inlineStr">
        <is>
          <t>Waiting for Input</t>
        </is>
      </c>
      <c r="E96" s="29">
        <f>MATCH(D96, {"Waiting for Input","Analyzing Object","Found Object","Needs Help","Confused","None"}, 0) - 1</f>
        <v/>
      </c>
      <c r="F96" s="29" t="inlineStr">
        <is>
          <t>Analyzing Object</t>
        </is>
      </c>
      <c r="G96" s="29">
        <f>MATCH(F96, {"Waiting for Input","Analyzing Object","Found Object","Needs Help","Confused","None"}, 0) - 1</f>
        <v/>
      </c>
      <c r="H96" s="29" t="n">
        <v>3</v>
      </c>
      <c r="I96" s="29">
        <f>IF(E96=G96, 1, 0)</f>
        <v/>
      </c>
    </row>
    <row r="97" ht="22" customHeight="1" s="270">
      <c r="A97" s="29" t="n">
        <v>95</v>
      </c>
      <c r="B97" s="29" t="inlineStr">
        <is>
          <t>1</t>
        </is>
      </c>
      <c r="C97" s="30" t="inlineStr">
        <is>
          <t>Human</t>
        </is>
      </c>
      <c r="D97" s="29" t="inlineStr">
        <is>
          <t>Waiting for Input</t>
        </is>
      </c>
      <c r="E97" s="29">
        <f>MATCH(D97, {"Waiting for Input","Analyzing Object","Found Object","Needs Help","Confused","None"}, 0) - 1</f>
        <v/>
      </c>
      <c r="F97" s="29" t="inlineStr">
        <is>
          <t>Waiting for Input</t>
        </is>
      </c>
      <c r="G97" s="29">
        <f>MATCH(F97, {"Waiting for Input","Analyzing Object","Found Object","Needs Help","Confused","None"}, 0) - 1</f>
        <v/>
      </c>
      <c r="H97" s="29" t="n">
        <v>5</v>
      </c>
      <c r="I97" s="29">
        <f>IF(E97=G97, 1, 0)</f>
        <v/>
      </c>
    </row>
    <row r="98" ht="22" customHeight="1" s="270">
      <c r="A98" s="29" t="n">
        <v>96</v>
      </c>
      <c r="B98" s="29" t="inlineStr">
        <is>
          <t>2</t>
        </is>
      </c>
      <c r="C98" s="30" t="inlineStr">
        <is>
          <t>Human</t>
        </is>
      </c>
      <c r="D98" s="29" t="inlineStr">
        <is>
          <t>Waiting for Input</t>
        </is>
      </c>
      <c r="E98" s="29">
        <f>MATCH(D98, {"Waiting for Input","Analyzing Object","Found Object","Needs Help","Confused","None"}, 0) - 1</f>
        <v/>
      </c>
      <c r="F98" s="29" t="inlineStr">
        <is>
          <t>Waiting for Input</t>
        </is>
      </c>
      <c r="G98" s="29">
        <f>MATCH(F98, {"Waiting for Input","Analyzing Object","Found Object","Needs Help","Confused","None"}, 0) - 1</f>
        <v/>
      </c>
      <c r="H98" s="29" t="n">
        <v>1</v>
      </c>
      <c r="I98" s="29">
        <f>IF(E98=G98, 1, 0)</f>
        <v/>
      </c>
    </row>
    <row r="99" ht="22" customHeight="1" s="270">
      <c r="A99" s="29" t="n">
        <v>97</v>
      </c>
      <c r="B99" s="29" t="inlineStr">
        <is>
          <t>2</t>
        </is>
      </c>
      <c r="C99" s="30" t="inlineStr">
        <is>
          <t>Human</t>
        </is>
      </c>
      <c r="D99" s="29" t="inlineStr">
        <is>
          <t>Waiting for Input</t>
        </is>
      </c>
      <c r="E99" s="29">
        <f>MATCH(D99, {"Waiting for Input","Analyzing Object","Found Object","Needs Help","Confused","None"}, 0) - 1</f>
        <v/>
      </c>
      <c r="F99" s="29" t="inlineStr">
        <is>
          <t>Confused</t>
        </is>
      </c>
      <c r="G99" s="29">
        <f>MATCH(F99, {"Waiting for Input","Analyzing Object","Found Object","Needs Help","Confused","None"}, 0) - 1</f>
        <v/>
      </c>
      <c r="H99" s="29" t="n">
        <v>5</v>
      </c>
      <c r="I99" s="29">
        <f>IF(E99=G99, 1, 0)</f>
        <v/>
      </c>
    </row>
    <row r="100" ht="22" customHeight="1" s="270">
      <c r="A100" s="29" t="n">
        <v>98</v>
      </c>
      <c r="B100" s="29" t="inlineStr">
        <is>
          <t>1</t>
        </is>
      </c>
      <c r="C100" s="30" t="inlineStr">
        <is>
          <t>Human</t>
        </is>
      </c>
      <c r="D100" s="29" t="inlineStr">
        <is>
          <t>Waiting for Input</t>
        </is>
      </c>
      <c r="E100" s="29">
        <f>MATCH(D100, {"Waiting for Input","Analyzing Object","Found Object","Needs Help","Confused","None"}, 0) - 1</f>
        <v/>
      </c>
      <c r="F100" s="29" t="inlineStr">
        <is>
          <t>Waiting for Input</t>
        </is>
      </c>
      <c r="G100" s="29">
        <f>MATCH(F100, {"Waiting for Input","Analyzing Object","Found Object","Needs Help","Confused","None"}, 0) - 1</f>
        <v/>
      </c>
      <c r="H100" s="29" t="n">
        <v>4</v>
      </c>
      <c r="I100" s="29">
        <f>IF(E100=G100, 1, 0)</f>
        <v/>
      </c>
    </row>
    <row r="101" ht="22" customHeight="1" s="270">
      <c r="A101" s="29" t="n">
        <v>99</v>
      </c>
      <c r="B101" s="29" t="inlineStr">
        <is>
          <t>1</t>
        </is>
      </c>
      <c r="C101" s="30" t="inlineStr">
        <is>
          <t>Human</t>
        </is>
      </c>
      <c r="D101" s="29" t="inlineStr">
        <is>
          <t>Waiting for Input</t>
        </is>
      </c>
      <c r="E101" s="29">
        <f>MATCH(D101, {"Waiting for Input","Analyzing Object","Found Object","Needs Help","Confused","None"}, 0) - 1</f>
        <v/>
      </c>
      <c r="F101" s="31" t="inlineStr">
        <is>
          <t>None</t>
        </is>
      </c>
      <c r="G101" s="29">
        <f>MATCH(F101, {"Waiting for Input","Analyzing Object","Found Object","Needs Help","Confused","None"}, 0) - 1</f>
        <v/>
      </c>
      <c r="H101" s="29" t="n">
        <v>5</v>
      </c>
      <c r="I101" s="29">
        <f>IF(E101=G101, 1, 0)</f>
        <v/>
      </c>
    </row>
    <row r="102" ht="22" customHeight="1" s="270">
      <c r="A102" s="29" t="n">
        <v>100</v>
      </c>
      <c r="B102" s="29" t="inlineStr">
        <is>
          <t>1</t>
        </is>
      </c>
      <c r="C102" s="30" t="inlineStr">
        <is>
          <t>Human</t>
        </is>
      </c>
      <c r="D102" s="29" t="inlineStr">
        <is>
          <t>Waiting for Input</t>
        </is>
      </c>
      <c r="E102" s="29">
        <f>MATCH(D102, {"Waiting for Input","Analyzing Object","Found Object","Needs Help","Confused","None"}, 0) - 1</f>
        <v/>
      </c>
      <c r="F102" s="29" t="inlineStr">
        <is>
          <t>Analyzing Object</t>
        </is>
      </c>
      <c r="G102" s="29">
        <f>MATCH(F102, {"Waiting for Input","Analyzing Object","Found Object","Needs Help","Confused","None"}, 0) - 1</f>
        <v/>
      </c>
      <c r="H102" s="29" t="n">
        <v>4</v>
      </c>
      <c r="I102" s="29">
        <f>IF(E102=G102, 1, 0)</f>
        <v/>
      </c>
    </row>
    <row r="103" ht="22" customHeight="1" s="270">
      <c r="A103" s="29" t="n">
        <v>101</v>
      </c>
      <c r="B103" s="29" t="inlineStr">
        <is>
          <t>2</t>
        </is>
      </c>
      <c r="C103" s="30" t="inlineStr">
        <is>
          <t>Human</t>
        </is>
      </c>
      <c r="D103" s="29" t="inlineStr">
        <is>
          <t>Waiting for Input</t>
        </is>
      </c>
      <c r="E103" s="29">
        <f>MATCH(D103, {"Waiting for Input","Analyzing Object","Found Object","Needs Help","Confused","None"}, 0) - 1</f>
        <v/>
      </c>
      <c r="F103" s="29" t="inlineStr">
        <is>
          <t>Waiting for Input</t>
        </is>
      </c>
      <c r="G103" s="29">
        <f>MATCH(F103, {"Waiting for Input","Analyzing Object","Found Object","Needs Help","Confused","None"}, 0) - 1</f>
        <v/>
      </c>
      <c r="H103" s="29" t="n">
        <v>4</v>
      </c>
      <c r="I103" s="29">
        <f>IF(E103=G103, 1, 0)</f>
        <v/>
      </c>
    </row>
    <row r="104" ht="22" customHeight="1" s="270">
      <c r="A104" s="29" t="n">
        <v>102</v>
      </c>
      <c r="B104" s="29" t="inlineStr">
        <is>
          <t>2</t>
        </is>
      </c>
      <c r="C104" s="30" t="inlineStr">
        <is>
          <t>Human</t>
        </is>
      </c>
      <c r="D104" s="29" t="inlineStr">
        <is>
          <t>Waiting for Input</t>
        </is>
      </c>
      <c r="E104" s="29">
        <f>MATCH(D104, {"Waiting for Input","Analyzing Object","Found Object","Needs Help","Confused","None"}, 0) - 1</f>
        <v/>
      </c>
      <c r="F104" s="29" t="inlineStr">
        <is>
          <t>Waiting for Input</t>
        </is>
      </c>
      <c r="G104" s="29">
        <f>MATCH(F104, {"Waiting for Input","Analyzing Object","Found Object","Needs Help","Confused","None"}, 0) - 1</f>
        <v/>
      </c>
      <c r="H104" s="29" t="n">
        <v>5</v>
      </c>
      <c r="I104" s="29">
        <f>IF(E104=G104, 1, 0)</f>
        <v/>
      </c>
    </row>
    <row r="105" ht="22" customHeight="1" s="270">
      <c r="A105" s="29" t="n">
        <v>103</v>
      </c>
      <c r="B105" s="29" t="inlineStr">
        <is>
          <t>2</t>
        </is>
      </c>
      <c r="C105" s="30" t="inlineStr">
        <is>
          <t>Human</t>
        </is>
      </c>
      <c r="D105" s="29" t="inlineStr">
        <is>
          <t>Waiting for Input</t>
        </is>
      </c>
      <c r="E105" s="29">
        <f>MATCH(D105, {"Waiting for Input","Analyzing Object","Found Object","Needs Help","Confused","None"}, 0) - 1</f>
        <v/>
      </c>
      <c r="F105" s="29" t="inlineStr">
        <is>
          <t>Waiting for Input</t>
        </is>
      </c>
      <c r="G105" s="29">
        <f>MATCH(F105, {"Waiting for Input","Analyzing Object","Found Object","Needs Help","Confused","None"}, 0) - 1</f>
        <v/>
      </c>
      <c r="H105" s="29" t="n">
        <v>3</v>
      </c>
      <c r="I105" s="29">
        <f>IF(E105=G105, 1, 0)</f>
        <v/>
      </c>
    </row>
    <row r="106" ht="22" customHeight="1" s="270">
      <c r="A106" s="29" t="n">
        <v>104</v>
      </c>
      <c r="B106" s="29" t="inlineStr">
        <is>
          <t>2</t>
        </is>
      </c>
      <c r="C106" s="30" t="inlineStr">
        <is>
          <t>Human</t>
        </is>
      </c>
      <c r="D106" s="29" t="inlineStr">
        <is>
          <t>Waiting for Input</t>
        </is>
      </c>
      <c r="E106" s="29">
        <f>MATCH(D106, {"Waiting for Input","Analyzing Object","Found Object","Needs Help","Confused","None"}, 0) - 1</f>
        <v/>
      </c>
      <c r="F106" s="29" t="inlineStr">
        <is>
          <t>Waiting for Input</t>
        </is>
      </c>
      <c r="G106" s="29">
        <f>MATCH(F106, {"Waiting for Input","Analyzing Object","Found Object","Needs Help","Confused","None"}, 0) - 1</f>
        <v/>
      </c>
      <c r="H106" s="29" t="n">
        <v>3</v>
      </c>
      <c r="I106" s="29">
        <f>IF(E106=G106, 1, 0)</f>
        <v/>
      </c>
    </row>
    <row r="107" ht="22" customHeight="1" s="270">
      <c r="A107" s="29" t="n">
        <v>105</v>
      </c>
      <c r="B107" s="29" t="inlineStr">
        <is>
          <t>2</t>
        </is>
      </c>
      <c r="C107" s="30" t="inlineStr">
        <is>
          <t>Human</t>
        </is>
      </c>
      <c r="D107" s="29" t="inlineStr">
        <is>
          <t>Waiting for Input</t>
        </is>
      </c>
      <c r="E107" s="29">
        <f>MATCH(D107, {"Waiting for Input","Analyzing Object","Found Object","Needs Help","Confused","None"}, 0) - 1</f>
        <v/>
      </c>
      <c r="F107" s="29" t="inlineStr">
        <is>
          <t>Found Object</t>
        </is>
      </c>
      <c r="G107" s="29">
        <f>MATCH(F107, {"Waiting for Input","Analyzing Object","Found Object","Needs Help","Confused","None"}, 0) - 1</f>
        <v/>
      </c>
      <c r="H107" s="29" t="n">
        <v>3</v>
      </c>
      <c r="I107" s="29">
        <f>IF(E107=G107, 1, 0)</f>
        <v/>
      </c>
    </row>
    <row r="108" ht="22" customHeight="1" s="270">
      <c r="A108" s="29" t="n">
        <v>106</v>
      </c>
      <c r="B108" s="29" t="inlineStr">
        <is>
          <t>2</t>
        </is>
      </c>
      <c r="C108" s="30" t="inlineStr">
        <is>
          <t>Human</t>
        </is>
      </c>
      <c r="D108" s="29" t="inlineStr">
        <is>
          <t>Waiting for Input</t>
        </is>
      </c>
      <c r="E108" s="29">
        <f>MATCH(D108, {"Waiting for Input","Analyzing Object","Found Object","Needs Help","Confused","None"}, 0) - 1</f>
        <v/>
      </c>
      <c r="F108" s="29" t="inlineStr">
        <is>
          <t>Confused</t>
        </is>
      </c>
      <c r="G108" s="29">
        <f>MATCH(F108, {"Waiting for Input","Analyzing Object","Found Object","Needs Help","Confused","None"}, 0) - 1</f>
        <v/>
      </c>
      <c r="H108" s="29" t="n">
        <v>3</v>
      </c>
      <c r="I108" s="29">
        <f>IF(E108=G108, 1, 0)</f>
        <v/>
      </c>
    </row>
    <row r="109" ht="22" customHeight="1" s="270">
      <c r="A109" s="29" t="n">
        <v>107</v>
      </c>
      <c r="B109" s="29" t="inlineStr">
        <is>
          <t>2</t>
        </is>
      </c>
      <c r="C109" s="30" t="inlineStr">
        <is>
          <t>Human</t>
        </is>
      </c>
      <c r="D109" s="29" t="inlineStr">
        <is>
          <t>Waiting for Input</t>
        </is>
      </c>
      <c r="E109" s="29">
        <f>MATCH(D109, {"Waiting for Input","Analyzing Object","Found Object","Needs Help","Confused","None"}, 0) - 1</f>
        <v/>
      </c>
      <c r="F109" s="31" t="inlineStr">
        <is>
          <t>None</t>
        </is>
      </c>
      <c r="G109" s="29">
        <f>MATCH(F109, {"Waiting for Input","Analyzing Object","Found Object","Needs Help","Confused","None"}, 0) - 1</f>
        <v/>
      </c>
      <c r="H109" s="29" t="n">
        <v>2</v>
      </c>
      <c r="I109" s="29">
        <f>IF(E109=G109, 1, 0)</f>
        <v/>
      </c>
    </row>
    <row r="110" ht="22" customHeight="1" s="270">
      <c r="A110" s="29" t="n">
        <v>108</v>
      </c>
      <c r="B110" s="29" t="inlineStr">
        <is>
          <t>2</t>
        </is>
      </c>
      <c r="C110" s="30" t="inlineStr">
        <is>
          <t>Human</t>
        </is>
      </c>
      <c r="D110" s="29" t="inlineStr">
        <is>
          <t>Waiting for Input</t>
        </is>
      </c>
      <c r="E110" s="29">
        <f>MATCH(D110, {"Waiting for Input","Analyzing Object","Found Object","Needs Help","Confused","None"}, 0) - 1</f>
        <v/>
      </c>
      <c r="F110" s="29" t="inlineStr">
        <is>
          <t>Waiting for Input</t>
        </is>
      </c>
      <c r="G110" s="29">
        <f>MATCH(F110, {"Waiting for Input","Analyzing Object","Found Object","Needs Help","Confused","None"}, 0) - 1</f>
        <v/>
      </c>
      <c r="H110" s="29" t="n">
        <v>4</v>
      </c>
      <c r="I110" s="29">
        <f>IF(E110=G110, 1, 0)</f>
        <v/>
      </c>
    </row>
    <row r="111" ht="22" customHeight="1" s="270">
      <c r="A111" s="29" t="n">
        <v>109</v>
      </c>
      <c r="B111" s="29" t="inlineStr">
        <is>
          <t>2</t>
        </is>
      </c>
      <c r="C111" s="30" t="inlineStr">
        <is>
          <t>Human</t>
        </is>
      </c>
      <c r="D111" s="29" t="inlineStr">
        <is>
          <t>Waiting for Input</t>
        </is>
      </c>
      <c r="E111" s="29">
        <f>MATCH(D111, {"Waiting for Input","Analyzing Object","Found Object","Needs Help","Confused","None"}, 0) - 1</f>
        <v/>
      </c>
      <c r="F111" s="29" t="inlineStr">
        <is>
          <t>Waiting for Input</t>
        </is>
      </c>
      <c r="G111" s="29">
        <f>MATCH(F111, {"Waiting for Input","Analyzing Object","Found Object","Needs Help","Confused","None"}, 0) - 1</f>
        <v/>
      </c>
      <c r="H111" s="29" t="n">
        <v>4</v>
      </c>
      <c r="I111" s="29">
        <f>IF(E111=G111, 1, 0)</f>
        <v/>
      </c>
    </row>
    <row r="112" ht="22" customHeight="1" s="270">
      <c r="A112" s="29" t="n">
        <v>110</v>
      </c>
      <c r="B112" s="29" t="inlineStr">
        <is>
          <t>2</t>
        </is>
      </c>
      <c r="C112" s="30" t="inlineStr">
        <is>
          <t>Human</t>
        </is>
      </c>
      <c r="D112" s="29" t="inlineStr">
        <is>
          <t>Waiting for Input</t>
        </is>
      </c>
      <c r="E112" s="29">
        <f>MATCH(D112, {"Waiting for Input","Analyzing Object","Found Object","Needs Help","Confused","None"}, 0) - 1</f>
        <v/>
      </c>
      <c r="F112" s="29" t="inlineStr">
        <is>
          <t>Waiting for Input</t>
        </is>
      </c>
      <c r="G112" s="29">
        <f>MATCH(F112, {"Waiting for Input","Analyzing Object","Found Object","Needs Help","Confused","None"}, 0) - 1</f>
        <v/>
      </c>
      <c r="H112" s="29" t="n">
        <v>4</v>
      </c>
      <c r="I112" s="29">
        <f>IF(E112=G112, 1, 0)</f>
        <v/>
      </c>
    </row>
    <row r="113" ht="22" customHeight="1" s="270">
      <c r="A113" s="29" t="n">
        <v>111</v>
      </c>
      <c r="B113" s="29" t="inlineStr">
        <is>
          <t>1</t>
        </is>
      </c>
      <c r="C113" s="30" t="inlineStr">
        <is>
          <t>Human</t>
        </is>
      </c>
      <c r="D113" s="29" t="inlineStr">
        <is>
          <t>Waiting for Input</t>
        </is>
      </c>
      <c r="E113" s="29">
        <f>MATCH(D113, {"Waiting for Input","Analyzing Object","Found Object","Needs Help","Confused","None"}, 0) - 1</f>
        <v/>
      </c>
      <c r="F113" s="29" t="inlineStr">
        <is>
          <t>Found Object</t>
        </is>
      </c>
      <c r="G113" s="29">
        <f>MATCH(F113, {"Waiting for Input","Analyzing Object","Found Object","Needs Help","Confused","None"}, 0) - 1</f>
        <v/>
      </c>
      <c r="H113" s="29" t="n">
        <v>3</v>
      </c>
      <c r="I113" s="29">
        <f>IF(E113=G113, 1, 0)</f>
        <v/>
      </c>
    </row>
    <row r="114" ht="22" customHeight="1" s="270">
      <c r="A114" s="29" t="n">
        <v>112</v>
      </c>
      <c r="B114" s="29" t="inlineStr">
        <is>
          <t>2</t>
        </is>
      </c>
      <c r="C114" s="30" t="inlineStr">
        <is>
          <t>Human</t>
        </is>
      </c>
      <c r="D114" s="29" t="inlineStr">
        <is>
          <t>Waiting for Input</t>
        </is>
      </c>
      <c r="E114" s="29">
        <f>MATCH(D114, {"Waiting for Input","Analyzing Object","Found Object","Needs Help","Confused","None"}, 0) - 1</f>
        <v/>
      </c>
      <c r="F114" s="29" t="inlineStr">
        <is>
          <t>Confused</t>
        </is>
      </c>
      <c r="G114" s="29">
        <f>MATCH(F114, {"Waiting for Input","Analyzing Object","Found Object","Needs Help","Confused","None"}, 0) - 1</f>
        <v/>
      </c>
      <c r="H114" s="29" t="n">
        <v>3</v>
      </c>
      <c r="I114" s="29">
        <f>IF(E114=G114, 1, 0)</f>
        <v/>
      </c>
    </row>
    <row r="115" ht="22" customHeight="1" s="270">
      <c r="A115" s="29" t="n">
        <v>113</v>
      </c>
      <c r="B115" s="29" t="inlineStr">
        <is>
          <t>2</t>
        </is>
      </c>
      <c r="C115" s="30" t="inlineStr">
        <is>
          <t>Human</t>
        </is>
      </c>
      <c r="D115" s="29" t="inlineStr">
        <is>
          <t>Waiting for Input</t>
        </is>
      </c>
      <c r="E115" s="29">
        <f>MATCH(D115, {"Waiting for Input","Analyzing Object","Found Object","Needs Help","Confused","None"}, 0) - 1</f>
        <v/>
      </c>
      <c r="F115" s="29" t="inlineStr">
        <is>
          <t>Analyzing Object</t>
        </is>
      </c>
      <c r="G115" s="29">
        <f>MATCH(F115, {"Waiting for Input","Analyzing Object","Found Object","Needs Help","Confused","None"}, 0) - 1</f>
        <v/>
      </c>
      <c r="H115" s="29" t="n">
        <v>4</v>
      </c>
      <c r="I115" s="29">
        <f>IF(E115=G115, 1, 0)</f>
        <v/>
      </c>
    </row>
    <row r="116" ht="22" customHeight="1" s="270">
      <c r="A116" s="29" t="n">
        <v>114</v>
      </c>
      <c r="B116" s="29" t="inlineStr">
        <is>
          <t>1</t>
        </is>
      </c>
      <c r="C116" s="30" t="inlineStr">
        <is>
          <t>Human</t>
        </is>
      </c>
      <c r="D116" s="29" t="inlineStr">
        <is>
          <t>Waiting for Input</t>
        </is>
      </c>
      <c r="E116" s="29">
        <f>MATCH(D116, {"Waiting for Input","Analyzing Object","Found Object","Needs Help","Confused","None"}, 0) - 1</f>
        <v/>
      </c>
      <c r="F116" s="29" t="inlineStr">
        <is>
          <t>Needs Help</t>
        </is>
      </c>
      <c r="G116" s="29">
        <f>MATCH(F116, {"Waiting for Input","Analyzing Object","Found Object","Needs Help","Confused","None"}, 0) - 1</f>
        <v/>
      </c>
      <c r="H116" s="29" t="n">
        <v>3</v>
      </c>
      <c r="I116" s="29">
        <f>IF(E116=G116, 1, 0)</f>
        <v/>
      </c>
    </row>
    <row r="117" ht="22" customHeight="1" s="270">
      <c r="A117" s="29" t="n">
        <v>115</v>
      </c>
      <c r="B117" s="29" t="inlineStr">
        <is>
          <t>2</t>
        </is>
      </c>
      <c r="C117" s="30" t="inlineStr">
        <is>
          <t>Human</t>
        </is>
      </c>
      <c r="D117" s="29" t="inlineStr">
        <is>
          <t>Waiting for Input</t>
        </is>
      </c>
      <c r="E117" s="29">
        <f>MATCH(D117, {"Waiting for Input","Analyzing Object","Found Object","Needs Help","Confused","None"}, 0) - 1</f>
        <v/>
      </c>
      <c r="F117" s="29" t="inlineStr">
        <is>
          <t>Waiting for Input</t>
        </is>
      </c>
      <c r="G117" s="29">
        <f>MATCH(F117, {"Waiting for Input","Analyzing Object","Found Object","Needs Help","Confused","None"}, 0) - 1</f>
        <v/>
      </c>
      <c r="H117" s="29" t="n">
        <v>2</v>
      </c>
      <c r="I117" s="29">
        <f>IF(E117=G117, 1, 0)</f>
        <v/>
      </c>
    </row>
    <row r="118" ht="22" customHeight="1" s="270">
      <c r="A118" s="29" t="n">
        <v>116</v>
      </c>
      <c r="B118" s="29" t="inlineStr">
        <is>
          <t>2</t>
        </is>
      </c>
      <c r="C118" s="30" t="inlineStr">
        <is>
          <t>Human</t>
        </is>
      </c>
      <c r="D118" s="29" t="inlineStr">
        <is>
          <t>Waiting for Input</t>
        </is>
      </c>
      <c r="E118" s="29">
        <f>MATCH(D118, {"Waiting for Input","Analyzing Object","Found Object","Needs Help","Confused","None"}, 0) - 1</f>
        <v/>
      </c>
      <c r="F118" s="29" t="inlineStr">
        <is>
          <t>Waiting for Input</t>
        </is>
      </c>
      <c r="G118" s="29">
        <f>MATCH(F118, {"Waiting for Input","Analyzing Object","Found Object","Needs Help","Confused","None"}, 0) - 1</f>
        <v/>
      </c>
      <c r="H118" s="29" t="n">
        <v>3</v>
      </c>
      <c r="I118" s="29">
        <f>IF(E118=G118, 1, 0)</f>
        <v/>
      </c>
    </row>
    <row r="119" ht="22" customHeight="1" s="270">
      <c r="A119" s="29" t="n">
        <v>117</v>
      </c>
      <c r="B119" s="29" t="inlineStr">
        <is>
          <t>2</t>
        </is>
      </c>
      <c r="C119" s="30" t="inlineStr">
        <is>
          <t>Human</t>
        </is>
      </c>
      <c r="D119" s="29" t="inlineStr">
        <is>
          <t>Waiting for Input</t>
        </is>
      </c>
      <c r="E119" s="29">
        <f>MATCH(D119, {"Waiting for Input","Analyzing Object","Found Object","Needs Help","Confused","None"}, 0) - 1</f>
        <v/>
      </c>
      <c r="F119" s="29" t="inlineStr">
        <is>
          <t>Waiting for Input</t>
        </is>
      </c>
      <c r="G119" s="29">
        <f>MATCH(F119, {"Waiting for Input","Analyzing Object","Found Object","Needs Help","Confused","None"}, 0) - 1</f>
        <v/>
      </c>
      <c r="H119" s="29" t="n">
        <v>3</v>
      </c>
      <c r="I119" s="29">
        <f>IF(E119=G119, 1, 0)</f>
        <v/>
      </c>
    </row>
    <row r="120" ht="22" customHeight="1" s="270">
      <c r="A120" s="29" t="n">
        <v>118</v>
      </c>
      <c r="B120" s="29" t="inlineStr">
        <is>
          <t>1</t>
        </is>
      </c>
      <c r="C120" s="30" t="inlineStr">
        <is>
          <t>Human</t>
        </is>
      </c>
      <c r="D120" s="29" t="inlineStr">
        <is>
          <t>Waiting for Input</t>
        </is>
      </c>
      <c r="E120" s="29">
        <f>MATCH(D120, {"Waiting for Input","Analyzing Object","Found Object","Needs Help","Confused","None"}, 0) - 1</f>
        <v/>
      </c>
      <c r="F120" s="29" t="inlineStr">
        <is>
          <t>Found Object</t>
        </is>
      </c>
      <c r="G120" s="29">
        <f>MATCH(F120, {"Waiting for Input","Analyzing Object","Found Object","Needs Help","Confused","None"}, 0) - 1</f>
        <v/>
      </c>
      <c r="H120" s="29" t="n">
        <v>5</v>
      </c>
      <c r="I120" s="29">
        <f>IF(E120=G120, 1, 0)</f>
        <v/>
      </c>
    </row>
    <row r="121" ht="22" customHeight="1" s="270">
      <c r="A121" s="29" t="n">
        <v>119</v>
      </c>
      <c r="B121" s="29" t="inlineStr">
        <is>
          <t>2</t>
        </is>
      </c>
      <c r="C121" s="30" t="inlineStr">
        <is>
          <t>Human</t>
        </is>
      </c>
      <c r="D121" s="29" t="inlineStr">
        <is>
          <t>Waiting for Input</t>
        </is>
      </c>
      <c r="E121" s="29">
        <f>MATCH(D121, {"Waiting for Input","Analyzing Object","Found Object","Needs Help","Confused","None"}, 0) - 1</f>
        <v/>
      </c>
      <c r="F121" s="29" t="inlineStr">
        <is>
          <t>Analyzing Object</t>
        </is>
      </c>
      <c r="G121" s="29">
        <f>MATCH(F121, {"Waiting for Input","Analyzing Object","Found Object","Needs Help","Confused","None"}, 0) - 1</f>
        <v/>
      </c>
      <c r="H121" s="29" t="n">
        <v>4</v>
      </c>
      <c r="I121" s="29">
        <f>IF(E121=G121, 1, 0)</f>
        <v/>
      </c>
    </row>
    <row r="122" ht="22" customHeight="1" s="270">
      <c r="A122" s="29" t="n">
        <v>120</v>
      </c>
      <c r="B122" s="29" t="inlineStr">
        <is>
          <t>1</t>
        </is>
      </c>
      <c r="C122" s="30" t="inlineStr">
        <is>
          <t>Random</t>
        </is>
      </c>
      <c r="D122" s="29" t="inlineStr">
        <is>
          <t>Waiting for Input</t>
        </is>
      </c>
      <c r="E122" s="29">
        <f>MATCH(D122, {"Waiting for Input","Analyzing Object","Found Object","Needs Help","Confused","None"}, 0) - 1</f>
        <v/>
      </c>
      <c r="F122" s="29" t="inlineStr">
        <is>
          <t>Analyzing Object</t>
        </is>
      </c>
      <c r="G122" s="29">
        <f>MATCH(F122, {"Waiting for Input","Analyzing Object","Found Object","Needs Help","Confused","None"}, 0) - 1</f>
        <v/>
      </c>
      <c r="H122" s="29" t="n">
        <v>3</v>
      </c>
      <c r="I122" s="29">
        <f>IF(E122=G122, 1, 0)</f>
        <v/>
      </c>
    </row>
    <row r="123" ht="22" customHeight="1" s="270">
      <c r="A123" s="29" t="n">
        <v>121</v>
      </c>
      <c r="B123" s="29" t="inlineStr">
        <is>
          <t>1</t>
        </is>
      </c>
      <c r="C123" s="30" t="inlineStr">
        <is>
          <t>Random</t>
        </is>
      </c>
      <c r="D123" s="29" t="inlineStr">
        <is>
          <t>Waiting for Input</t>
        </is>
      </c>
      <c r="E123" s="29">
        <f>MATCH(D123, {"Waiting for Input","Analyzing Object","Found Object","Needs Help","Confused","None"}, 0) - 1</f>
        <v/>
      </c>
      <c r="F123" s="29" t="inlineStr">
        <is>
          <t>Confused</t>
        </is>
      </c>
      <c r="G123" s="29">
        <f>MATCH(F123, {"Waiting for Input","Analyzing Object","Found Object","Needs Help","Confused","None"}, 0) - 1</f>
        <v/>
      </c>
      <c r="H123" s="29" t="n">
        <v>2</v>
      </c>
      <c r="I123" s="29">
        <f>IF(E123=G123, 1, 0)</f>
        <v/>
      </c>
    </row>
    <row r="124" ht="22" customHeight="1" s="270">
      <c r="A124" s="29" t="n">
        <v>122</v>
      </c>
      <c r="B124" s="29" t="inlineStr">
        <is>
          <t>1</t>
        </is>
      </c>
      <c r="C124" s="30" t="inlineStr">
        <is>
          <t>Random</t>
        </is>
      </c>
      <c r="D124" s="29" t="inlineStr">
        <is>
          <t>Waiting for Input</t>
        </is>
      </c>
      <c r="E124" s="29">
        <f>MATCH(D124, {"Waiting for Input","Analyzing Object","Found Object","Needs Help","Confused","None"}, 0) - 1</f>
        <v/>
      </c>
      <c r="F124" s="29" t="inlineStr">
        <is>
          <t>Confused</t>
        </is>
      </c>
      <c r="G124" s="29">
        <f>MATCH(F124, {"Waiting for Input","Analyzing Object","Found Object","Needs Help","Confused","None"}, 0) - 1</f>
        <v/>
      </c>
      <c r="H124" s="29" t="n">
        <v>1</v>
      </c>
      <c r="I124" s="29">
        <f>IF(E124=G124, 1, 0)</f>
        <v/>
      </c>
    </row>
    <row r="125" ht="22" customHeight="1" s="270">
      <c r="A125" s="29" t="n">
        <v>123</v>
      </c>
      <c r="B125" s="29" t="inlineStr">
        <is>
          <t>2</t>
        </is>
      </c>
      <c r="C125" s="30" t="inlineStr">
        <is>
          <t>Random</t>
        </is>
      </c>
      <c r="D125" s="29" t="inlineStr">
        <is>
          <t>Waiting for Input</t>
        </is>
      </c>
      <c r="E125" s="29">
        <f>MATCH(D125, {"Waiting for Input","Analyzing Object","Found Object","Needs Help","Confused","None"}, 0) - 1</f>
        <v/>
      </c>
      <c r="F125" s="29" t="inlineStr">
        <is>
          <t>Needs Help</t>
        </is>
      </c>
      <c r="G125" s="29">
        <f>MATCH(F125, {"Waiting for Input","Analyzing Object","Found Object","Needs Help","Confused","None"}, 0) - 1</f>
        <v/>
      </c>
      <c r="H125" s="29" t="n">
        <v>4</v>
      </c>
      <c r="I125" s="29">
        <f>IF(E125=G125, 1, 0)</f>
        <v/>
      </c>
    </row>
    <row r="126" ht="22" customHeight="1" s="270">
      <c r="A126" s="29" t="n">
        <v>124</v>
      </c>
      <c r="B126" s="29" t="inlineStr">
        <is>
          <t>2</t>
        </is>
      </c>
      <c r="C126" s="30" t="inlineStr">
        <is>
          <t>Random</t>
        </is>
      </c>
      <c r="D126" s="29" t="inlineStr">
        <is>
          <t>Waiting for Input</t>
        </is>
      </c>
      <c r="E126" s="29">
        <f>MATCH(D126, {"Waiting for Input","Analyzing Object","Found Object","Needs Help","Confused","None"}, 0) - 1</f>
        <v/>
      </c>
      <c r="F126" s="31" t="inlineStr">
        <is>
          <t>None</t>
        </is>
      </c>
      <c r="G126" s="29">
        <f>MATCH(F126, {"Waiting for Input","Analyzing Object","Found Object","Needs Help","Confused","None"}, 0) - 1</f>
        <v/>
      </c>
      <c r="H126" s="29" t="n">
        <v>2</v>
      </c>
      <c r="I126" s="29">
        <f>IF(E126=G126, 1, 0)</f>
        <v/>
      </c>
    </row>
    <row r="127" ht="22" customHeight="1" s="270">
      <c r="A127" s="29" t="n">
        <v>125</v>
      </c>
      <c r="B127" s="29" t="inlineStr">
        <is>
          <t>1</t>
        </is>
      </c>
      <c r="C127" s="30" t="inlineStr">
        <is>
          <t>Random</t>
        </is>
      </c>
      <c r="D127" s="29" t="inlineStr">
        <is>
          <t>Waiting for Input</t>
        </is>
      </c>
      <c r="E127" s="29">
        <f>MATCH(D127, {"Waiting for Input","Analyzing Object","Found Object","Needs Help","Confused","None"}, 0) - 1</f>
        <v/>
      </c>
      <c r="F127" s="29" t="inlineStr">
        <is>
          <t>Found Object</t>
        </is>
      </c>
      <c r="G127" s="29">
        <f>MATCH(F127, {"Waiting for Input","Analyzing Object","Found Object","Needs Help","Confused","None"}, 0) - 1</f>
        <v/>
      </c>
      <c r="H127" s="29" t="n">
        <v>5</v>
      </c>
      <c r="I127" s="29">
        <f>IF(E127=G127, 1, 0)</f>
        <v/>
      </c>
    </row>
    <row r="128" ht="22" customHeight="1" s="270">
      <c r="A128" s="29" t="n">
        <v>126</v>
      </c>
      <c r="B128" s="29" t="inlineStr">
        <is>
          <t>2</t>
        </is>
      </c>
      <c r="C128" s="30" t="inlineStr">
        <is>
          <t>Random</t>
        </is>
      </c>
      <c r="D128" s="29" t="inlineStr">
        <is>
          <t>Waiting for Input</t>
        </is>
      </c>
      <c r="E128" s="29">
        <f>MATCH(D128, {"Waiting for Input","Analyzing Object","Found Object","Needs Help","Confused","None"}, 0) - 1</f>
        <v/>
      </c>
      <c r="F128" s="29" t="inlineStr">
        <is>
          <t>Confused</t>
        </is>
      </c>
      <c r="G128" s="29">
        <f>MATCH(F128, {"Waiting for Input","Analyzing Object","Found Object","Needs Help","Confused","None"}, 0) - 1</f>
        <v/>
      </c>
      <c r="H128" s="29" t="n">
        <v>2</v>
      </c>
      <c r="I128" s="29">
        <f>IF(E128=G128, 1, 0)</f>
        <v/>
      </c>
    </row>
    <row r="129" ht="22" customHeight="1" s="270">
      <c r="A129" s="29" t="n">
        <v>127</v>
      </c>
      <c r="B129" s="29" t="inlineStr">
        <is>
          <t>1</t>
        </is>
      </c>
      <c r="C129" s="30" t="inlineStr">
        <is>
          <t>Random</t>
        </is>
      </c>
      <c r="D129" s="29" t="inlineStr">
        <is>
          <t>Waiting for Input</t>
        </is>
      </c>
      <c r="E129" s="29">
        <f>MATCH(D129, {"Waiting for Input","Analyzing Object","Found Object","Needs Help","Confused","None"}, 0) - 1</f>
        <v/>
      </c>
      <c r="F129" s="29" t="inlineStr">
        <is>
          <t>Found Object</t>
        </is>
      </c>
      <c r="G129" s="29">
        <f>MATCH(F129, {"Waiting for Input","Analyzing Object","Found Object","Needs Help","Confused","None"}, 0) - 1</f>
        <v/>
      </c>
      <c r="H129" s="29" t="n">
        <v>3</v>
      </c>
      <c r="I129" s="29">
        <f>IF(E129=G129, 1, 0)</f>
        <v/>
      </c>
    </row>
    <row r="130" ht="22" customHeight="1" s="270">
      <c r="A130" s="29" t="n">
        <v>128</v>
      </c>
      <c r="B130" s="29" t="inlineStr">
        <is>
          <t>1</t>
        </is>
      </c>
      <c r="C130" s="30" t="inlineStr">
        <is>
          <t>Random</t>
        </is>
      </c>
      <c r="D130" s="29" t="inlineStr">
        <is>
          <t>Waiting for Input</t>
        </is>
      </c>
      <c r="E130" s="29">
        <f>MATCH(D130, {"Waiting for Input","Analyzing Object","Found Object","Needs Help","Confused","None"}, 0) - 1</f>
        <v/>
      </c>
      <c r="F130" s="29" t="inlineStr">
        <is>
          <t>Confused</t>
        </is>
      </c>
      <c r="G130" s="29">
        <f>MATCH(F130, {"Waiting for Input","Analyzing Object","Found Object","Needs Help","Confused","None"}, 0) - 1</f>
        <v/>
      </c>
      <c r="H130" s="29" t="n">
        <v>3</v>
      </c>
      <c r="I130" s="29">
        <f>IF(E130=G130, 1, 0)</f>
        <v/>
      </c>
    </row>
    <row r="131" ht="22" customHeight="1" s="270">
      <c r="A131" s="29" t="n">
        <v>129</v>
      </c>
      <c r="B131" s="29" t="inlineStr">
        <is>
          <t>1</t>
        </is>
      </c>
      <c r="C131" s="30" t="inlineStr">
        <is>
          <t>Random</t>
        </is>
      </c>
      <c r="D131" s="29" t="inlineStr">
        <is>
          <t>Waiting for Input</t>
        </is>
      </c>
      <c r="E131" s="29">
        <f>MATCH(D131, {"Waiting for Input","Analyzing Object","Found Object","Needs Help","Confused","None"}, 0) - 1</f>
        <v/>
      </c>
      <c r="F131" s="29" t="inlineStr">
        <is>
          <t>Confused</t>
        </is>
      </c>
      <c r="G131" s="29">
        <f>MATCH(F131, {"Waiting for Input","Analyzing Object","Found Object","Needs Help","Confused","None"}, 0) - 1</f>
        <v/>
      </c>
      <c r="H131" s="29" t="n">
        <v>1</v>
      </c>
      <c r="I131" s="29">
        <f>IF(E131=G131, 1, 0)</f>
        <v/>
      </c>
    </row>
    <row r="132" ht="22" customHeight="1" s="270">
      <c r="A132" s="29" t="n">
        <v>130</v>
      </c>
      <c r="B132" s="29" t="inlineStr">
        <is>
          <t>2</t>
        </is>
      </c>
      <c r="C132" s="30" t="inlineStr">
        <is>
          <t>Random</t>
        </is>
      </c>
      <c r="D132" s="29" t="inlineStr">
        <is>
          <t>Waiting for Input</t>
        </is>
      </c>
      <c r="E132" s="29">
        <f>MATCH(D132, {"Waiting for Input","Analyzing Object","Found Object","Needs Help","Confused","None"}, 0) - 1</f>
        <v/>
      </c>
      <c r="F132" s="29" t="inlineStr">
        <is>
          <t>Found Object</t>
        </is>
      </c>
      <c r="G132" s="29">
        <f>MATCH(F132, {"Waiting for Input","Analyzing Object","Found Object","Needs Help","Confused","None"}, 0) - 1</f>
        <v/>
      </c>
      <c r="H132" s="29" t="n">
        <v>4</v>
      </c>
      <c r="I132" s="29">
        <f>IF(E132=G132, 1, 0)</f>
        <v/>
      </c>
    </row>
    <row r="133" ht="22" customHeight="1" s="270">
      <c r="A133" s="29" t="n">
        <v>131</v>
      </c>
      <c r="B133" s="29" t="inlineStr">
        <is>
          <t>2</t>
        </is>
      </c>
      <c r="C133" s="30" t="inlineStr">
        <is>
          <t>Random</t>
        </is>
      </c>
      <c r="D133" s="29" t="inlineStr">
        <is>
          <t>Waiting for Input</t>
        </is>
      </c>
      <c r="E133" s="29">
        <f>MATCH(D133, {"Waiting for Input","Analyzing Object","Found Object","Needs Help","Confused","None"}, 0) - 1</f>
        <v/>
      </c>
      <c r="F133" s="29" t="inlineStr">
        <is>
          <t>Analyzing Object</t>
        </is>
      </c>
      <c r="G133" s="29">
        <f>MATCH(F133, {"Waiting for Input","Analyzing Object","Found Object","Needs Help","Confused","None"}, 0) - 1</f>
        <v/>
      </c>
      <c r="H133" s="29" t="n">
        <v>4</v>
      </c>
      <c r="I133" s="29">
        <f>IF(E133=G133, 1, 0)</f>
        <v/>
      </c>
    </row>
    <row r="134" ht="22" customHeight="1" s="270">
      <c r="A134" s="29" t="n">
        <v>132</v>
      </c>
      <c r="B134" s="29" t="inlineStr">
        <is>
          <t>2</t>
        </is>
      </c>
      <c r="C134" s="30" t="inlineStr">
        <is>
          <t>Random</t>
        </is>
      </c>
      <c r="D134" s="29" t="inlineStr">
        <is>
          <t>Waiting for Input</t>
        </is>
      </c>
      <c r="E134" s="29">
        <f>MATCH(D134, {"Waiting for Input","Analyzing Object","Found Object","Needs Help","Confused","None"}, 0) - 1</f>
        <v/>
      </c>
      <c r="F134" s="29" t="inlineStr">
        <is>
          <t>Confused</t>
        </is>
      </c>
      <c r="G134" s="29">
        <f>MATCH(F134, {"Waiting for Input","Analyzing Object","Found Object","Needs Help","Confused","None"}, 0) - 1</f>
        <v/>
      </c>
      <c r="H134" s="29" t="n">
        <v>2</v>
      </c>
      <c r="I134" s="29">
        <f>IF(E134=G134, 1, 0)</f>
        <v/>
      </c>
    </row>
    <row r="135" ht="22" customHeight="1" s="270">
      <c r="A135" s="29" t="n">
        <v>133</v>
      </c>
      <c r="B135" s="29" t="inlineStr">
        <is>
          <t>2</t>
        </is>
      </c>
      <c r="C135" s="30" t="inlineStr">
        <is>
          <t>Random</t>
        </is>
      </c>
      <c r="D135" s="29" t="inlineStr">
        <is>
          <t>Waiting for Input</t>
        </is>
      </c>
      <c r="E135" s="29">
        <f>MATCH(D135, {"Waiting for Input","Analyzing Object","Found Object","Needs Help","Confused","None"}, 0) - 1</f>
        <v/>
      </c>
      <c r="F135" s="29" t="inlineStr">
        <is>
          <t>Found Object</t>
        </is>
      </c>
      <c r="G135" s="29">
        <f>MATCH(F135, {"Waiting for Input","Analyzing Object","Found Object","Needs Help","Confused","None"}, 0) - 1</f>
        <v/>
      </c>
      <c r="H135" s="29" t="n">
        <v>3</v>
      </c>
      <c r="I135" s="29">
        <f>IF(E135=G135, 1, 0)</f>
        <v/>
      </c>
    </row>
    <row r="136" ht="22" customHeight="1" s="270">
      <c r="A136" s="29" t="n">
        <v>134</v>
      </c>
      <c r="B136" s="29" t="inlineStr">
        <is>
          <t>1</t>
        </is>
      </c>
      <c r="C136" s="30" t="inlineStr">
        <is>
          <t>Random</t>
        </is>
      </c>
      <c r="D136" s="29" t="inlineStr">
        <is>
          <t>Waiting for Input</t>
        </is>
      </c>
      <c r="E136" s="29">
        <f>MATCH(D136, {"Waiting for Input","Analyzing Object","Found Object","Needs Help","Confused","None"}, 0) - 1</f>
        <v/>
      </c>
      <c r="F136" s="29" t="inlineStr">
        <is>
          <t>Found Object</t>
        </is>
      </c>
      <c r="G136" s="29">
        <f>MATCH(F136, {"Waiting for Input","Analyzing Object","Found Object","Needs Help","Confused","None"}, 0) - 1</f>
        <v/>
      </c>
      <c r="H136" s="29" t="n">
        <v>4</v>
      </c>
      <c r="I136" s="29">
        <f>IF(E136=G136, 1, 0)</f>
        <v/>
      </c>
    </row>
    <row r="137" ht="22" customHeight="1" s="270">
      <c r="A137" s="29" t="n">
        <v>135</v>
      </c>
      <c r="B137" s="29" t="inlineStr">
        <is>
          <t>1</t>
        </is>
      </c>
      <c r="C137" s="30" t="inlineStr">
        <is>
          <t>Random</t>
        </is>
      </c>
      <c r="D137" s="29" t="inlineStr">
        <is>
          <t>Waiting for Input</t>
        </is>
      </c>
      <c r="E137" s="29">
        <f>MATCH(D137, {"Waiting for Input","Analyzing Object","Found Object","Needs Help","Confused","None"}, 0) - 1</f>
        <v/>
      </c>
      <c r="F137" s="29" t="inlineStr">
        <is>
          <t>Confused</t>
        </is>
      </c>
      <c r="G137" s="29">
        <f>MATCH(F137, {"Waiting for Input","Analyzing Object","Found Object","Needs Help","Confused","None"}, 0) - 1</f>
        <v/>
      </c>
      <c r="H137" s="29" t="n">
        <v>2</v>
      </c>
      <c r="I137" s="29">
        <f>IF(E137=G137, 1, 0)</f>
        <v/>
      </c>
    </row>
    <row r="138" ht="22" customHeight="1" s="270">
      <c r="A138" s="29" t="n">
        <v>136</v>
      </c>
      <c r="B138" s="29" t="inlineStr">
        <is>
          <t>1</t>
        </is>
      </c>
      <c r="C138" s="30" t="inlineStr">
        <is>
          <t>Random</t>
        </is>
      </c>
      <c r="D138" s="29" t="inlineStr">
        <is>
          <t>Waiting for Input</t>
        </is>
      </c>
      <c r="E138" s="29">
        <f>MATCH(D138, {"Waiting for Input","Analyzing Object","Found Object","Needs Help","Confused","None"}, 0) - 1</f>
        <v/>
      </c>
      <c r="F138" s="29" t="inlineStr">
        <is>
          <t>Confused</t>
        </is>
      </c>
      <c r="G138" s="29">
        <f>MATCH(F138, {"Waiting for Input","Analyzing Object","Found Object","Needs Help","Confused","None"}, 0) - 1</f>
        <v/>
      </c>
      <c r="H138" s="29" t="n">
        <v>1</v>
      </c>
      <c r="I138" s="29">
        <f>IF(E138=G138, 1, 0)</f>
        <v/>
      </c>
    </row>
    <row r="139" ht="22" customHeight="1" s="270">
      <c r="A139" s="29" t="n">
        <v>137</v>
      </c>
      <c r="B139" s="29" t="inlineStr">
        <is>
          <t>2</t>
        </is>
      </c>
      <c r="C139" s="30" t="inlineStr">
        <is>
          <t>Random</t>
        </is>
      </c>
      <c r="D139" s="29" t="inlineStr">
        <is>
          <t>Waiting for Input</t>
        </is>
      </c>
      <c r="E139" s="29">
        <f>MATCH(D139, {"Waiting for Input","Analyzing Object","Found Object","Needs Help","Confused","None"}, 0) - 1</f>
        <v/>
      </c>
      <c r="F139" s="29" t="inlineStr">
        <is>
          <t>Confused</t>
        </is>
      </c>
      <c r="G139" s="29">
        <f>MATCH(F139, {"Waiting for Input","Analyzing Object","Found Object","Needs Help","Confused","None"}, 0) - 1</f>
        <v/>
      </c>
      <c r="H139" s="29" t="n">
        <v>2</v>
      </c>
      <c r="I139" s="29">
        <f>IF(E139=G139, 1, 0)</f>
        <v/>
      </c>
    </row>
    <row r="140" ht="22" customHeight="1" s="270">
      <c r="A140" s="29" t="n">
        <v>138</v>
      </c>
      <c r="B140" s="29" t="inlineStr">
        <is>
          <t>2</t>
        </is>
      </c>
      <c r="C140" s="30" t="inlineStr">
        <is>
          <t>Random</t>
        </is>
      </c>
      <c r="D140" s="29" t="inlineStr">
        <is>
          <t>Waiting for Input</t>
        </is>
      </c>
      <c r="E140" s="29">
        <f>MATCH(D140, {"Waiting for Input","Analyzing Object","Found Object","Needs Help","Confused","None"}, 0) - 1</f>
        <v/>
      </c>
      <c r="F140" s="29" t="inlineStr">
        <is>
          <t>Analyzing Object</t>
        </is>
      </c>
      <c r="G140" s="29">
        <f>MATCH(F140, {"Waiting for Input","Analyzing Object","Found Object","Needs Help","Confused","None"}, 0) - 1</f>
        <v/>
      </c>
      <c r="H140" s="29" t="n">
        <v>2</v>
      </c>
      <c r="I140" s="29">
        <f>IF(E140=G140, 1, 0)</f>
        <v/>
      </c>
    </row>
    <row r="141" ht="22" customHeight="1" s="270">
      <c r="A141" s="29" t="n">
        <v>139</v>
      </c>
      <c r="B141" s="29" t="inlineStr">
        <is>
          <t>1</t>
        </is>
      </c>
      <c r="C141" s="30" t="inlineStr">
        <is>
          <t>Random</t>
        </is>
      </c>
      <c r="D141" s="29" t="inlineStr">
        <is>
          <t>Waiting for Input</t>
        </is>
      </c>
      <c r="E141" s="29">
        <f>MATCH(D141, {"Waiting for Input","Analyzing Object","Found Object","Needs Help","Confused","None"}, 0) - 1</f>
        <v/>
      </c>
      <c r="F141" s="29" t="inlineStr">
        <is>
          <t>Needs Help</t>
        </is>
      </c>
      <c r="G141" s="29">
        <f>MATCH(F141, {"Waiting for Input","Analyzing Object","Found Object","Needs Help","Confused","None"}, 0) - 1</f>
        <v/>
      </c>
      <c r="H141" s="29" t="n">
        <v>4</v>
      </c>
      <c r="I141" s="29">
        <f>IF(E141=G141, 1, 0)</f>
        <v/>
      </c>
    </row>
    <row r="142" ht="22" customHeight="1" s="270">
      <c r="A142" s="29" t="n">
        <v>140</v>
      </c>
      <c r="B142" s="29" t="inlineStr">
        <is>
          <t>1</t>
        </is>
      </c>
      <c r="C142" s="30" t="inlineStr">
        <is>
          <t>Random</t>
        </is>
      </c>
      <c r="D142" s="29" t="inlineStr">
        <is>
          <t>Waiting for Input</t>
        </is>
      </c>
      <c r="E142" s="29">
        <f>MATCH(D142, {"Waiting for Input","Analyzing Object","Found Object","Needs Help","Confused","None"}, 0) - 1</f>
        <v/>
      </c>
      <c r="F142" s="29" t="inlineStr">
        <is>
          <t>Confused</t>
        </is>
      </c>
      <c r="G142" s="29">
        <f>MATCH(F142, {"Waiting for Input","Analyzing Object","Found Object","Needs Help","Confused","None"}, 0) - 1</f>
        <v/>
      </c>
      <c r="H142" s="29" t="n">
        <v>2</v>
      </c>
      <c r="I142" s="29">
        <f>IF(E142=G142, 1, 0)</f>
        <v/>
      </c>
    </row>
    <row r="143" ht="22" customHeight="1" s="270">
      <c r="A143" s="29" t="n">
        <v>141</v>
      </c>
      <c r="B143" s="29" t="inlineStr">
        <is>
          <t>2</t>
        </is>
      </c>
      <c r="C143" s="30" t="inlineStr">
        <is>
          <t>Random</t>
        </is>
      </c>
      <c r="D143" s="29" t="inlineStr">
        <is>
          <t>Waiting for Input</t>
        </is>
      </c>
      <c r="E143" s="29">
        <f>MATCH(D143, {"Waiting for Input","Analyzing Object","Found Object","Needs Help","Confused","None"}, 0) - 1</f>
        <v/>
      </c>
      <c r="F143" s="29" t="inlineStr">
        <is>
          <t>Analyzing Object</t>
        </is>
      </c>
      <c r="G143" s="29">
        <f>MATCH(F143, {"Waiting for Input","Analyzing Object","Found Object","Needs Help","Confused","None"}, 0) - 1</f>
        <v/>
      </c>
      <c r="H143" s="29" t="n">
        <v>2</v>
      </c>
      <c r="I143" s="29">
        <f>IF(E143=G143, 1, 0)</f>
        <v/>
      </c>
    </row>
    <row r="144" ht="22" customHeight="1" s="270">
      <c r="A144" s="29" t="n">
        <v>142</v>
      </c>
      <c r="B144" s="29" t="inlineStr">
        <is>
          <t>2</t>
        </is>
      </c>
      <c r="C144" s="30" t="inlineStr">
        <is>
          <t>Random</t>
        </is>
      </c>
      <c r="D144" s="29" t="inlineStr">
        <is>
          <t>Waiting for Input</t>
        </is>
      </c>
      <c r="E144" s="29">
        <f>MATCH(D144, {"Waiting for Input","Analyzing Object","Found Object","Needs Help","Confused","None"}, 0) - 1</f>
        <v/>
      </c>
      <c r="F144" s="29" t="inlineStr">
        <is>
          <t>Confused</t>
        </is>
      </c>
      <c r="G144" s="29">
        <f>MATCH(F144, {"Waiting for Input","Analyzing Object","Found Object","Needs Help","Confused","None"}, 0) - 1</f>
        <v/>
      </c>
      <c r="H144" s="29" t="n">
        <v>2</v>
      </c>
      <c r="I144" s="29">
        <f>IF(E144=G144, 1, 0)</f>
        <v/>
      </c>
    </row>
    <row r="145" ht="22" customHeight="1" s="270">
      <c r="A145" s="29" t="n">
        <v>143</v>
      </c>
      <c r="B145" s="29" t="inlineStr">
        <is>
          <t>1</t>
        </is>
      </c>
      <c r="C145" s="30" t="inlineStr">
        <is>
          <t>Random</t>
        </is>
      </c>
      <c r="D145" s="29" t="inlineStr">
        <is>
          <t>Waiting for Input</t>
        </is>
      </c>
      <c r="E145" s="29">
        <f>MATCH(D145, {"Waiting for Input","Analyzing Object","Found Object","Needs Help","Confused","None"}, 0) - 1</f>
        <v/>
      </c>
      <c r="F145" s="31" t="inlineStr">
        <is>
          <t>None</t>
        </is>
      </c>
      <c r="G145" s="29">
        <f>MATCH(F145, {"Waiting for Input","Analyzing Object","Found Object","Needs Help","Confused","None"}, 0) - 1</f>
        <v/>
      </c>
      <c r="H145" s="29" t="n">
        <v>5</v>
      </c>
      <c r="I145" s="29">
        <f>IF(E145=G145, 1, 0)</f>
        <v/>
      </c>
    </row>
    <row r="146" ht="22" customHeight="1" s="270">
      <c r="A146" s="29" t="n">
        <v>144</v>
      </c>
      <c r="B146" s="29" t="inlineStr">
        <is>
          <t>1</t>
        </is>
      </c>
      <c r="C146" s="30" t="inlineStr">
        <is>
          <t>Random</t>
        </is>
      </c>
      <c r="D146" s="29" t="inlineStr">
        <is>
          <t>Waiting for Input</t>
        </is>
      </c>
      <c r="E146" s="29">
        <f>MATCH(D146, {"Waiting for Input","Analyzing Object","Found Object","Needs Help","Confused","None"}, 0) - 1</f>
        <v/>
      </c>
      <c r="F146" s="29" t="inlineStr">
        <is>
          <t>Analyzing Object</t>
        </is>
      </c>
      <c r="G146" s="29">
        <f>MATCH(F146, {"Waiting for Input","Analyzing Object","Found Object","Needs Help","Confused","None"}, 0) - 1</f>
        <v/>
      </c>
      <c r="H146" s="29" t="n">
        <v>4</v>
      </c>
      <c r="I146" s="29">
        <f>IF(E146=G146, 1, 0)</f>
        <v/>
      </c>
    </row>
    <row r="147" ht="22" customHeight="1" s="270">
      <c r="A147" s="29" t="n">
        <v>145</v>
      </c>
      <c r="B147" s="29" t="inlineStr">
        <is>
          <t>2</t>
        </is>
      </c>
      <c r="C147" s="30" t="inlineStr">
        <is>
          <t>Random</t>
        </is>
      </c>
      <c r="D147" s="29" t="inlineStr">
        <is>
          <t>Waiting for Input</t>
        </is>
      </c>
      <c r="E147" s="29">
        <f>MATCH(D147, {"Waiting for Input","Analyzing Object","Found Object","Needs Help","Confused","None"}, 0) - 1</f>
        <v/>
      </c>
      <c r="F147" s="29" t="inlineStr">
        <is>
          <t>Confused</t>
        </is>
      </c>
      <c r="G147" s="29">
        <f>MATCH(F147, {"Waiting for Input","Analyzing Object","Found Object","Needs Help","Confused","None"}, 0) - 1</f>
        <v/>
      </c>
      <c r="H147" s="29" t="n">
        <v>2</v>
      </c>
      <c r="I147" s="29">
        <f>IF(E147=G147, 1, 0)</f>
        <v/>
      </c>
    </row>
    <row r="148" ht="22" customHeight="1" s="270">
      <c r="A148" s="29" t="n">
        <v>146</v>
      </c>
      <c r="B148" s="29" t="inlineStr">
        <is>
          <t>2</t>
        </is>
      </c>
      <c r="C148" s="30" t="inlineStr">
        <is>
          <t>Random</t>
        </is>
      </c>
      <c r="D148" s="29" t="inlineStr">
        <is>
          <t>Waiting for Input</t>
        </is>
      </c>
      <c r="E148" s="29">
        <f>MATCH(D148, {"Waiting for Input","Analyzing Object","Found Object","Needs Help","Confused","None"}, 0) - 1</f>
        <v/>
      </c>
      <c r="F148" s="29" t="inlineStr">
        <is>
          <t>Needs Help</t>
        </is>
      </c>
      <c r="G148" s="29">
        <f>MATCH(F148, {"Waiting for Input","Analyzing Object","Found Object","Needs Help","Confused","None"}, 0) - 1</f>
        <v/>
      </c>
      <c r="H148" s="29" t="n">
        <v>3</v>
      </c>
      <c r="I148" s="29">
        <f>IF(E148=G148, 1, 0)</f>
        <v/>
      </c>
    </row>
    <row r="149" ht="22" customHeight="1" s="270">
      <c r="A149" s="29" t="n">
        <v>147</v>
      </c>
      <c r="B149" s="29" t="inlineStr">
        <is>
          <t>2</t>
        </is>
      </c>
      <c r="C149" s="30" t="inlineStr">
        <is>
          <t>Random</t>
        </is>
      </c>
      <c r="D149" s="29" t="inlineStr">
        <is>
          <t>Waiting for Input</t>
        </is>
      </c>
      <c r="E149" s="29">
        <f>MATCH(D149, {"Waiting for Input","Analyzing Object","Found Object","Needs Help","Confused","None"}, 0) - 1</f>
        <v/>
      </c>
      <c r="F149" s="29" t="inlineStr">
        <is>
          <t>Found Object</t>
        </is>
      </c>
      <c r="G149" s="29">
        <f>MATCH(F149, {"Waiting for Input","Analyzing Object","Found Object","Needs Help","Confused","None"}, 0) - 1</f>
        <v/>
      </c>
      <c r="H149" s="29" t="n">
        <v>3</v>
      </c>
      <c r="I149" s="29">
        <f>IF(E149=G149, 1, 0)</f>
        <v/>
      </c>
    </row>
    <row r="150" ht="22" customHeight="1" s="270">
      <c r="A150" s="29" t="n">
        <v>148</v>
      </c>
      <c r="B150" s="29" t="inlineStr">
        <is>
          <t>2</t>
        </is>
      </c>
      <c r="C150" s="30" t="inlineStr">
        <is>
          <t>Random</t>
        </is>
      </c>
      <c r="D150" s="29" t="inlineStr">
        <is>
          <t>Waiting for Input</t>
        </is>
      </c>
      <c r="E150" s="29">
        <f>MATCH(D150, {"Waiting for Input","Analyzing Object","Found Object","Needs Help","Confused","None"}, 0) - 1</f>
        <v/>
      </c>
      <c r="F150" s="29" t="inlineStr">
        <is>
          <t>Confused</t>
        </is>
      </c>
      <c r="G150" s="29">
        <f>MATCH(F150, {"Waiting for Input","Analyzing Object","Found Object","Needs Help","Confused","None"}, 0) - 1</f>
        <v/>
      </c>
      <c r="H150" s="29" t="n">
        <v>3</v>
      </c>
      <c r="I150" s="29">
        <f>IF(E150=G150, 1, 0)</f>
        <v/>
      </c>
    </row>
    <row r="151" ht="22" customHeight="1" s="270">
      <c r="A151" s="29" t="n">
        <v>149</v>
      </c>
      <c r="B151" s="29" t="inlineStr">
        <is>
          <t>2</t>
        </is>
      </c>
      <c r="C151" s="30" t="inlineStr">
        <is>
          <t>Random</t>
        </is>
      </c>
      <c r="D151" s="29" t="inlineStr">
        <is>
          <t>Waiting for Input</t>
        </is>
      </c>
      <c r="E151" s="29">
        <f>MATCH(D151, {"Waiting for Input","Analyzing Object","Found Object","Needs Help","Confused","None"}, 0) - 1</f>
        <v/>
      </c>
      <c r="F151" s="29" t="inlineStr">
        <is>
          <t>Confused</t>
        </is>
      </c>
      <c r="G151" s="29">
        <f>MATCH(F151, {"Waiting for Input","Analyzing Object","Found Object","Needs Help","Confused","None"}, 0) - 1</f>
        <v/>
      </c>
      <c r="H151" s="29" t="n">
        <v>2</v>
      </c>
      <c r="I151" s="29">
        <f>IF(E151=G151, 1, 0)</f>
        <v/>
      </c>
    </row>
    <row r="152" ht="22" customHeight="1" s="270">
      <c r="A152" s="29" t="n">
        <v>150</v>
      </c>
      <c r="B152" s="29" t="inlineStr">
        <is>
          <t>2</t>
        </is>
      </c>
      <c r="C152" s="30" t="inlineStr">
        <is>
          <t>Random</t>
        </is>
      </c>
      <c r="D152" s="29" t="inlineStr">
        <is>
          <t>Waiting for Input</t>
        </is>
      </c>
      <c r="E152" s="29">
        <f>MATCH(D152, {"Waiting for Input","Analyzing Object","Found Object","Needs Help","Confused","None"}, 0) - 1</f>
        <v/>
      </c>
      <c r="F152" s="29" t="inlineStr">
        <is>
          <t>Analyzing Object</t>
        </is>
      </c>
      <c r="G152" s="29">
        <f>MATCH(F152, {"Waiting for Input","Analyzing Object","Found Object","Needs Help","Confused","None"}, 0) - 1</f>
        <v/>
      </c>
      <c r="H152" s="29" t="n">
        <v>4</v>
      </c>
      <c r="I152" s="29">
        <f>IF(E152=G152, 1, 0)</f>
        <v/>
      </c>
    </row>
    <row r="153" ht="22" customHeight="1" s="270">
      <c r="A153" s="29" t="n">
        <v>151</v>
      </c>
      <c r="B153" s="29" t="inlineStr">
        <is>
          <t>1</t>
        </is>
      </c>
      <c r="C153" s="30" t="inlineStr">
        <is>
          <t>Random</t>
        </is>
      </c>
      <c r="D153" s="29" t="inlineStr">
        <is>
          <t>Waiting for Input</t>
        </is>
      </c>
      <c r="E153" s="29">
        <f>MATCH(D153, {"Waiting for Input","Analyzing Object","Found Object","Needs Help","Confused","None"}, 0) - 1</f>
        <v/>
      </c>
      <c r="F153" s="29" t="inlineStr">
        <is>
          <t>Confused</t>
        </is>
      </c>
      <c r="G153" s="29">
        <f>MATCH(F153, {"Waiting for Input","Analyzing Object","Found Object","Needs Help","Confused","None"}, 0) - 1</f>
        <v/>
      </c>
      <c r="H153" s="29" t="n">
        <v>2</v>
      </c>
      <c r="I153" s="29">
        <f>IF(E153=G153, 1, 0)</f>
        <v/>
      </c>
    </row>
    <row r="154" ht="22" customHeight="1" s="270">
      <c r="A154" s="29" t="n">
        <v>152</v>
      </c>
      <c r="B154" s="29" t="inlineStr">
        <is>
          <t>2</t>
        </is>
      </c>
      <c r="C154" s="30" t="inlineStr">
        <is>
          <t>Random</t>
        </is>
      </c>
      <c r="D154" s="29" t="inlineStr">
        <is>
          <t>Waiting for Input</t>
        </is>
      </c>
      <c r="E154" s="29">
        <f>MATCH(D154, {"Waiting for Input","Analyzing Object","Found Object","Needs Help","Confused","None"}, 0) - 1</f>
        <v/>
      </c>
      <c r="F154" s="29" t="inlineStr">
        <is>
          <t>Confused</t>
        </is>
      </c>
      <c r="G154" s="29">
        <f>MATCH(F154, {"Waiting for Input","Analyzing Object","Found Object","Needs Help","Confused","None"}, 0) - 1</f>
        <v/>
      </c>
      <c r="H154" s="29" t="n">
        <v>3</v>
      </c>
      <c r="I154" s="29">
        <f>IF(E154=G154, 1, 0)</f>
        <v/>
      </c>
    </row>
    <row r="155" ht="22" customHeight="1" s="270">
      <c r="A155" s="29" t="n">
        <v>153</v>
      </c>
      <c r="B155" s="29" t="inlineStr">
        <is>
          <t>1</t>
        </is>
      </c>
      <c r="C155" s="30" t="inlineStr">
        <is>
          <t>Random</t>
        </is>
      </c>
      <c r="D155" s="29" t="inlineStr">
        <is>
          <t>Waiting for Input</t>
        </is>
      </c>
      <c r="E155" s="29">
        <f>MATCH(D155, {"Waiting for Input","Analyzing Object","Found Object","Needs Help","Confused","None"}, 0) - 1</f>
        <v/>
      </c>
      <c r="F155" s="29" t="inlineStr">
        <is>
          <t>Needs Help</t>
        </is>
      </c>
      <c r="G155" s="29">
        <f>MATCH(F155, {"Waiting for Input","Analyzing Object","Found Object","Needs Help","Confused","None"}, 0) - 1</f>
        <v/>
      </c>
      <c r="H155" s="29" t="n">
        <v>4</v>
      </c>
      <c r="I155" s="29">
        <f>IF(E155=G155, 1, 0)</f>
        <v/>
      </c>
    </row>
    <row r="156" ht="22" customHeight="1" s="270">
      <c r="A156" s="29" t="n">
        <v>154</v>
      </c>
      <c r="B156" s="29" t="inlineStr">
        <is>
          <t>1</t>
        </is>
      </c>
      <c r="C156" s="30" t="inlineStr">
        <is>
          <t>Random</t>
        </is>
      </c>
      <c r="D156" s="29" t="inlineStr">
        <is>
          <t>Waiting for Input</t>
        </is>
      </c>
      <c r="E156" s="29">
        <f>MATCH(D156, {"Waiting for Input","Analyzing Object","Found Object","Needs Help","Confused","None"}, 0) - 1</f>
        <v/>
      </c>
      <c r="F156" s="29" t="inlineStr">
        <is>
          <t>Confused</t>
        </is>
      </c>
      <c r="G156" s="29">
        <f>MATCH(F156, {"Waiting for Input","Analyzing Object","Found Object","Needs Help","Confused","None"}, 0) - 1</f>
        <v/>
      </c>
      <c r="H156" s="29" t="n">
        <v>3</v>
      </c>
      <c r="I156" s="29">
        <f>IF(E156=G156, 1, 0)</f>
        <v/>
      </c>
    </row>
    <row r="157" ht="22" customHeight="1" s="270">
      <c r="A157" s="29" t="n">
        <v>155</v>
      </c>
      <c r="B157" s="29" t="inlineStr">
        <is>
          <t>1</t>
        </is>
      </c>
      <c r="C157" s="30" t="inlineStr">
        <is>
          <t>Random</t>
        </is>
      </c>
      <c r="D157" s="29" t="inlineStr">
        <is>
          <t>Waiting for Input</t>
        </is>
      </c>
      <c r="E157" s="29">
        <f>MATCH(D157, {"Waiting for Input","Analyzing Object","Found Object","Needs Help","Confused","None"}, 0) - 1</f>
        <v/>
      </c>
      <c r="F157" s="29" t="inlineStr">
        <is>
          <t>Confused</t>
        </is>
      </c>
      <c r="G157" s="29">
        <f>MATCH(F157, {"Waiting for Input","Analyzing Object","Found Object","Needs Help","Confused","None"}, 0) - 1</f>
        <v/>
      </c>
      <c r="H157" s="29" t="n">
        <v>3</v>
      </c>
      <c r="I157" s="29">
        <f>IF(E157=G157, 1, 0)</f>
        <v/>
      </c>
    </row>
    <row r="158" ht="22" customHeight="1" s="270">
      <c r="A158" s="29" t="n">
        <v>156</v>
      </c>
      <c r="B158" s="29" t="inlineStr">
        <is>
          <t>2</t>
        </is>
      </c>
      <c r="C158" s="30" t="inlineStr">
        <is>
          <t>Random</t>
        </is>
      </c>
      <c r="D158" s="29" t="inlineStr">
        <is>
          <t>Waiting for Input</t>
        </is>
      </c>
      <c r="E158" s="29">
        <f>MATCH(D158, {"Waiting for Input","Analyzing Object","Found Object","Needs Help","Confused","None"}, 0) - 1</f>
        <v/>
      </c>
      <c r="F158" s="29" t="inlineStr">
        <is>
          <t>Needs Help</t>
        </is>
      </c>
      <c r="G158" s="29">
        <f>MATCH(F158, {"Waiting for Input","Analyzing Object","Found Object","Needs Help","Confused","None"}, 0) - 1</f>
        <v/>
      </c>
      <c r="H158" s="29" t="n">
        <v>3</v>
      </c>
      <c r="I158" s="29">
        <f>IF(E158=G158, 1, 0)</f>
        <v/>
      </c>
    </row>
    <row r="159" ht="22" customHeight="1" s="270">
      <c r="A159" s="29" t="n">
        <v>157</v>
      </c>
      <c r="B159" s="29" t="inlineStr">
        <is>
          <t>2</t>
        </is>
      </c>
      <c r="C159" s="30" t="inlineStr">
        <is>
          <t>Random</t>
        </is>
      </c>
      <c r="D159" s="29" t="inlineStr">
        <is>
          <t>Waiting for Input</t>
        </is>
      </c>
      <c r="E159" s="29">
        <f>MATCH(D159, {"Waiting for Input","Analyzing Object","Found Object","Needs Help","Confused","None"}, 0) - 1</f>
        <v/>
      </c>
      <c r="F159" s="29" t="inlineStr">
        <is>
          <t>Waiting for Input</t>
        </is>
      </c>
      <c r="G159" s="29">
        <f>MATCH(F159, {"Waiting for Input","Analyzing Object","Found Object","Needs Help","Confused","None"}, 0) - 1</f>
        <v/>
      </c>
      <c r="H159" s="29" t="n">
        <v>5</v>
      </c>
      <c r="I159" s="29">
        <f>IF(E159=G159, 1, 0)</f>
        <v/>
      </c>
    </row>
    <row r="160" ht="22" customHeight="1" s="270">
      <c r="A160" s="29" t="n">
        <v>158</v>
      </c>
      <c r="B160" s="29" t="inlineStr">
        <is>
          <t>1</t>
        </is>
      </c>
      <c r="C160" s="30" t="inlineStr">
        <is>
          <t>Random</t>
        </is>
      </c>
      <c r="D160" s="29" t="inlineStr">
        <is>
          <t>Waiting for Input</t>
        </is>
      </c>
      <c r="E160" s="29">
        <f>MATCH(D160, {"Waiting for Input","Analyzing Object","Found Object","Needs Help","Confused","None"}, 0) - 1</f>
        <v/>
      </c>
      <c r="F160" s="29" t="inlineStr">
        <is>
          <t>Found Object</t>
        </is>
      </c>
      <c r="G160" s="29">
        <f>MATCH(F160, {"Waiting for Input","Analyzing Object","Found Object","Needs Help","Confused","None"}, 0) - 1</f>
        <v/>
      </c>
      <c r="H160" s="29" t="n">
        <v>2</v>
      </c>
      <c r="I160" s="29">
        <f>IF(E160=G160, 1, 0)</f>
        <v/>
      </c>
    </row>
    <row r="161" ht="22" customHeight="1" s="270">
      <c r="A161" s="29" t="n">
        <v>159</v>
      </c>
      <c r="B161" s="29" t="inlineStr">
        <is>
          <t>1</t>
        </is>
      </c>
      <c r="C161" s="30" t="inlineStr">
        <is>
          <t>Random</t>
        </is>
      </c>
      <c r="D161" s="29" t="inlineStr">
        <is>
          <t>Waiting for Input</t>
        </is>
      </c>
      <c r="E161" s="29">
        <f>MATCH(D161, {"Waiting for Input","Analyzing Object","Found Object","Needs Help","Confused","None"}, 0) - 1</f>
        <v/>
      </c>
      <c r="F161" s="29" t="inlineStr">
        <is>
          <t>Confused</t>
        </is>
      </c>
      <c r="G161" s="29">
        <f>MATCH(F161, {"Waiting for Input","Analyzing Object","Found Object","Needs Help","Confused","None"}, 0) - 1</f>
        <v/>
      </c>
      <c r="H161" s="29" t="n">
        <v>4</v>
      </c>
      <c r="I161" s="29">
        <f>IF(E161=G161, 1, 0)</f>
        <v/>
      </c>
    </row>
    <row r="162" ht="22" customHeight="1" s="270">
      <c r="A162" s="29" t="n">
        <v>160</v>
      </c>
      <c r="B162" s="29" t="inlineStr">
        <is>
          <t>1</t>
        </is>
      </c>
      <c r="C162" s="30" t="inlineStr">
        <is>
          <t>Random</t>
        </is>
      </c>
      <c r="D162" s="29" t="inlineStr">
        <is>
          <t>Waiting for Input</t>
        </is>
      </c>
      <c r="E162" s="29">
        <f>MATCH(D162, {"Waiting for Input","Analyzing Object","Found Object","Needs Help","Confused","None"}, 0) - 1</f>
        <v/>
      </c>
      <c r="F162" s="29" t="inlineStr">
        <is>
          <t>Found Object</t>
        </is>
      </c>
      <c r="G162" s="29">
        <f>MATCH(F162, {"Waiting for Input","Analyzing Object","Found Object","Needs Help","Confused","None"}, 0) - 1</f>
        <v/>
      </c>
      <c r="H162" s="29" t="n">
        <v>3</v>
      </c>
      <c r="I162" s="29">
        <f>IF(E162=G162, 1, 0)</f>
        <v/>
      </c>
    </row>
    <row r="163" ht="22" customHeight="1" s="270">
      <c r="A163" s="29" t="n">
        <v>161</v>
      </c>
      <c r="B163" s="29" t="inlineStr">
        <is>
          <t>2</t>
        </is>
      </c>
      <c r="C163" s="30" t="inlineStr">
        <is>
          <t>Random</t>
        </is>
      </c>
      <c r="D163" s="29" t="inlineStr">
        <is>
          <t>Waiting for Input</t>
        </is>
      </c>
      <c r="E163" s="29">
        <f>MATCH(D163, {"Waiting for Input","Analyzing Object","Found Object","Needs Help","Confused","None"}, 0) - 1</f>
        <v/>
      </c>
      <c r="F163" s="29" t="inlineStr">
        <is>
          <t>Found Object</t>
        </is>
      </c>
      <c r="G163" s="29">
        <f>MATCH(F163, {"Waiting for Input","Analyzing Object","Found Object","Needs Help","Confused","None"}, 0) - 1</f>
        <v/>
      </c>
      <c r="H163" s="29" t="n">
        <v>2</v>
      </c>
      <c r="I163" s="29">
        <f>IF(E163=G163, 1, 0)</f>
        <v/>
      </c>
    </row>
    <row r="164" ht="22" customHeight="1" s="270">
      <c r="A164" s="29" t="n">
        <v>162</v>
      </c>
      <c r="B164" s="29" t="inlineStr">
        <is>
          <t>2</t>
        </is>
      </c>
      <c r="C164" s="30" t="inlineStr">
        <is>
          <t>Random</t>
        </is>
      </c>
      <c r="D164" s="29" t="inlineStr">
        <is>
          <t>Waiting for Input</t>
        </is>
      </c>
      <c r="E164" s="29">
        <f>MATCH(D164, {"Waiting for Input","Analyzing Object","Found Object","Needs Help","Confused","None"}, 0) - 1</f>
        <v/>
      </c>
      <c r="F164" s="29" t="inlineStr">
        <is>
          <t>Needs Help</t>
        </is>
      </c>
      <c r="G164" s="29">
        <f>MATCH(F164, {"Waiting for Input","Analyzing Object","Found Object","Needs Help","Confused","None"}, 0) - 1</f>
        <v/>
      </c>
      <c r="H164" s="29" t="n">
        <v>5</v>
      </c>
      <c r="I164" s="29">
        <f>IF(E164=G164, 1, 0)</f>
        <v/>
      </c>
    </row>
    <row r="165" ht="22" customHeight="1" s="270">
      <c r="A165" s="29" t="n">
        <v>163</v>
      </c>
      <c r="B165" s="29" t="inlineStr">
        <is>
          <t>2</t>
        </is>
      </c>
      <c r="C165" s="30" t="inlineStr">
        <is>
          <t>Random</t>
        </is>
      </c>
      <c r="D165" s="29" t="inlineStr">
        <is>
          <t>Waiting for Input</t>
        </is>
      </c>
      <c r="E165" s="29">
        <f>MATCH(D165, {"Waiting for Input","Analyzing Object","Found Object","Needs Help","Confused","None"}, 0) - 1</f>
        <v/>
      </c>
      <c r="F165" s="29" t="inlineStr">
        <is>
          <t>Found Object</t>
        </is>
      </c>
      <c r="G165" s="29">
        <f>MATCH(F165, {"Waiting for Input","Analyzing Object","Found Object","Needs Help","Confused","None"}, 0) - 1</f>
        <v/>
      </c>
      <c r="H165" s="29" t="n">
        <v>2</v>
      </c>
      <c r="I165" s="29">
        <f>IF(E165=G165, 1, 0)</f>
        <v/>
      </c>
    </row>
    <row r="166" ht="22" customHeight="1" s="270">
      <c r="A166" s="29" t="n">
        <v>164</v>
      </c>
      <c r="B166" s="29" t="inlineStr">
        <is>
          <t>2</t>
        </is>
      </c>
      <c r="C166" s="30" t="inlineStr">
        <is>
          <t>Random</t>
        </is>
      </c>
      <c r="D166" s="29" t="inlineStr">
        <is>
          <t>Waiting for Input</t>
        </is>
      </c>
      <c r="E166" s="29">
        <f>MATCH(D166, {"Waiting for Input","Analyzing Object","Found Object","Needs Help","Confused","None"}, 0) - 1</f>
        <v/>
      </c>
      <c r="F166" s="29" t="inlineStr">
        <is>
          <t>Found Object</t>
        </is>
      </c>
      <c r="G166" s="29">
        <f>MATCH(F166, {"Waiting for Input","Analyzing Object","Found Object","Needs Help","Confused","None"}, 0) - 1</f>
        <v/>
      </c>
      <c r="H166" s="29" t="n">
        <v>3</v>
      </c>
      <c r="I166" s="29">
        <f>IF(E166=G166, 1, 0)</f>
        <v/>
      </c>
    </row>
    <row r="167" ht="22" customHeight="1" s="270">
      <c r="A167" s="29" t="n">
        <v>165</v>
      </c>
      <c r="B167" s="29" t="inlineStr">
        <is>
          <t>2</t>
        </is>
      </c>
      <c r="C167" s="30" t="inlineStr">
        <is>
          <t>Random</t>
        </is>
      </c>
      <c r="D167" s="29" t="inlineStr">
        <is>
          <t>Waiting for Input</t>
        </is>
      </c>
      <c r="E167" s="29">
        <f>MATCH(D167, {"Waiting for Input","Analyzing Object","Found Object","Needs Help","Confused","None"}, 0) - 1</f>
        <v/>
      </c>
      <c r="F167" s="29" t="inlineStr">
        <is>
          <t>Analyzing Object</t>
        </is>
      </c>
      <c r="G167" s="29">
        <f>MATCH(F167, {"Waiting for Input","Analyzing Object","Found Object","Needs Help","Confused","None"}, 0) - 1</f>
        <v/>
      </c>
      <c r="H167" s="29" t="n">
        <v>4</v>
      </c>
      <c r="I167" s="29">
        <f>IF(E167=G167, 1, 0)</f>
        <v/>
      </c>
    </row>
    <row r="168" ht="22" customHeight="1" s="270">
      <c r="A168" s="29" t="n">
        <v>166</v>
      </c>
      <c r="B168" s="29" t="inlineStr">
        <is>
          <t>2</t>
        </is>
      </c>
      <c r="C168" s="30" t="inlineStr">
        <is>
          <t>Random</t>
        </is>
      </c>
      <c r="D168" s="29" t="inlineStr">
        <is>
          <t>Waiting for Input</t>
        </is>
      </c>
      <c r="E168" s="29">
        <f>MATCH(D168, {"Waiting for Input","Analyzing Object","Found Object","Needs Help","Confused","None"}, 0) - 1</f>
        <v/>
      </c>
      <c r="F168" s="29" t="inlineStr">
        <is>
          <t>Found Object</t>
        </is>
      </c>
      <c r="G168" s="29">
        <f>MATCH(F168, {"Waiting for Input","Analyzing Object","Found Object","Needs Help","Confused","None"}, 0) - 1</f>
        <v/>
      </c>
      <c r="H168" s="29" t="n">
        <v>3</v>
      </c>
      <c r="I168" s="29">
        <f>IF(E168=G168, 1, 0)</f>
        <v/>
      </c>
    </row>
    <row r="169" ht="22" customHeight="1" s="270">
      <c r="A169" s="29" t="n">
        <v>167</v>
      </c>
      <c r="B169" s="29" t="inlineStr">
        <is>
          <t>2</t>
        </is>
      </c>
      <c r="C169" s="30" t="inlineStr">
        <is>
          <t>Random</t>
        </is>
      </c>
      <c r="D169" s="29" t="inlineStr">
        <is>
          <t>Waiting for Input</t>
        </is>
      </c>
      <c r="E169" s="29">
        <f>MATCH(D169, {"Waiting for Input","Analyzing Object","Found Object","Needs Help","Confused","None"}, 0) - 1</f>
        <v/>
      </c>
      <c r="F169" s="29" t="inlineStr">
        <is>
          <t>Analyzing Object</t>
        </is>
      </c>
      <c r="G169" s="29">
        <f>MATCH(F169, {"Waiting for Input","Analyzing Object","Found Object","Needs Help","Confused","None"}, 0) - 1</f>
        <v/>
      </c>
      <c r="H169" s="29" t="n">
        <v>2</v>
      </c>
      <c r="I169" s="29">
        <f>IF(E169=G169, 1, 0)</f>
        <v/>
      </c>
    </row>
    <row r="170" ht="22" customHeight="1" s="270">
      <c r="A170" s="29" t="n">
        <v>168</v>
      </c>
      <c r="B170" s="29" t="inlineStr">
        <is>
          <t>2</t>
        </is>
      </c>
      <c r="C170" s="30" t="inlineStr">
        <is>
          <t>Random</t>
        </is>
      </c>
      <c r="D170" s="29" t="inlineStr">
        <is>
          <t>Waiting for Input</t>
        </is>
      </c>
      <c r="E170" s="29">
        <f>MATCH(D170, {"Waiting for Input","Analyzing Object","Found Object","Needs Help","Confused","None"}, 0) - 1</f>
        <v/>
      </c>
      <c r="F170" s="29" t="inlineStr">
        <is>
          <t>Found Object</t>
        </is>
      </c>
      <c r="G170" s="29">
        <f>MATCH(F170, {"Waiting for Input","Analyzing Object","Found Object","Needs Help","Confused","None"}, 0) - 1</f>
        <v/>
      </c>
      <c r="H170" s="29" t="n">
        <v>4</v>
      </c>
      <c r="I170" s="29">
        <f>IF(E170=G170, 1, 0)</f>
        <v/>
      </c>
    </row>
    <row r="171" ht="22" customHeight="1" s="270">
      <c r="A171" s="29" t="n">
        <v>169</v>
      </c>
      <c r="B171" s="29" t="inlineStr">
        <is>
          <t>2</t>
        </is>
      </c>
      <c r="C171" s="30" t="inlineStr">
        <is>
          <t>Random</t>
        </is>
      </c>
      <c r="D171" s="29" t="inlineStr">
        <is>
          <t>Waiting for Input</t>
        </is>
      </c>
      <c r="E171" s="29">
        <f>MATCH(D171, {"Waiting for Input","Analyzing Object","Found Object","Needs Help","Confused","None"}, 0) - 1</f>
        <v/>
      </c>
      <c r="F171" s="29" t="inlineStr">
        <is>
          <t>Confused</t>
        </is>
      </c>
      <c r="G171" s="29">
        <f>MATCH(F171, {"Waiting for Input","Analyzing Object","Found Object","Needs Help","Confused","None"}, 0) - 1</f>
        <v/>
      </c>
      <c r="H171" s="29" t="n">
        <v>2</v>
      </c>
      <c r="I171" s="29">
        <f>IF(E171=G171, 1, 0)</f>
        <v/>
      </c>
    </row>
    <row r="172" ht="22" customHeight="1" s="270">
      <c r="A172" s="29" t="n">
        <v>170</v>
      </c>
      <c r="B172" s="29" t="inlineStr">
        <is>
          <t>2</t>
        </is>
      </c>
      <c r="C172" s="30" t="inlineStr">
        <is>
          <t>Random</t>
        </is>
      </c>
      <c r="D172" s="29" t="inlineStr">
        <is>
          <t>Waiting for Input</t>
        </is>
      </c>
      <c r="E172" s="29">
        <f>MATCH(D172, {"Waiting for Input","Analyzing Object","Found Object","Needs Help","Confused","None"}, 0) - 1</f>
        <v/>
      </c>
      <c r="F172" s="29" t="inlineStr">
        <is>
          <t>Confused</t>
        </is>
      </c>
      <c r="G172" s="29">
        <f>MATCH(F172, {"Waiting for Input","Analyzing Object","Found Object","Needs Help","Confused","None"}, 0) - 1</f>
        <v/>
      </c>
      <c r="H172" s="29" t="n">
        <v>3</v>
      </c>
      <c r="I172" s="29">
        <f>IF(E172=G172, 1, 0)</f>
        <v/>
      </c>
    </row>
    <row r="173" ht="22" customHeight="1" s="270">
      <c r="A173" s="29" t="n">
        <v>171</v>
      </c>
      <c r="B173" s="29" t="inlineStr">
        <is>
          <t>1</t>
        </is>
      </c>
      <c r="C173" s="30" t="inlineStr">
        <is>
          <t>Random</t>
        </is>
      </c>
      <c r="D173" s="29" t="inlineStr">
        <is>
          <t>Waiting for Input</t>
        </is>
      </c>
      <c r="E173" s="29">
        <f>MATCH(D173, {"Waiting for Input","Analyzing Object","Found Object","Needs Help","Confused","None"}, 0) - 1</f>
        <v/>
      </c>
      <c r="F173" s="29" t="inlineStr">
        <is>
          <t>Found Object</t>
        </is>
      </c>
      <c r="G173" s="29">
        <f>MATCH(F173, {"Waiting for Input","Analyzing Object","Found Object","Needs Help","Confused","None"}, 0) - 1</f>
        <v/>
      </c>
      <c r="H173" s="29" t="n">
        <v>4</v>
      </c>
      <c r="I173" s="29">
        <f>IF(E173=G173, 1, 0)</f>
        <v/>
      </c>
    </row>
    <row r="174" ht="22" customHeight="1" s="270">
      <c r="A174" s="29" t="n">
        <v>172</v>
      </c>
      <c r="B174" s="29" t="inlineStr">
        <is>
          <t>2</t>
        </is>
      </c>
      <c r="C174" s="30" t="inlineStr">
        <is>
          <t>Random</t>
        </is>
      </c>
      <c r="D174" s="29" t="inlineStr">
        <is>
          <t>Waiting for Input</t>
        </is>
      </c>
      <c r="E174" s="29">
        <f>MATCH(D174, {"Waiting for Input","Analyzing Object","Found Object","Needs Help","Confused","None"}, 0) - 1</f>
        <v/>
      </c>
      <c r="F174" s="29" t="inlineStr">
        <is>
          <t>Needs Help</t>
        </is>
      </c>
      <c r="G174" s="29">
        <f>MATCH(F174, {"Waiting for Input","Analyzing Object","Found Object","Needs Help","Confused","None"}, 0) - 1</f>
        <v/>
      </c>
      <c r="H174" s="29" t="n">
        <v>3</v>
      </c>
      <c r="I174" s="29">
        <f>IF(E174=G174, 1, 0)</f>
        <v/>
      </c>
    </row>
    <row r="175" ht="22" customHeight="1" s="270">
      <c r="A175" s="29" t="n">
        <v>173</v>
      </c>
      <c r="B175" s="29" t="inlineStr">
        <is>
          <t>2</t>
        </is>
      </c>
      <c r="C175" s="30" t="inlineStr">
        <is>
          <t>Random</t>
        </is>
      </c>
      <c r="D175" s="29" t="inlineStr">
        <is>
          <t>Waiting for Input</t>
        </is>
      </c>
      <c r="E175" s="29">
        <f>MATCH(D175, {"Waiting for Input","Analyzing Object","Found Object","Needs Help","Confused","None"}, 0) - 1</f>
        <v/>
      </c>
      <c r="F175" s="29" t="inlineStr">
        <is>
          <t>Needs Help</t>
        </is>
      </c>
      <c r="G175" s="29">
        <f>MATCH(F175, {"Waiting for Input","Analyzing Object","Found Object","Needs Help","Confused","None"}, 0) - 1</f>
        <v/>
      </c>
      <c r="H175" s="29" t="n">
        <v>3</v>
      </c>
      <c r="I175" s="29">
        <f>IF(E175=G175, 1, 0)</f>
        <v/>
      </c>
    </row>
    <row r="176" ht="22" customHeight="1" s="270">
      <c r="A176" s="29" t="n">
        <v>174</v>
      </c>
      <c r="B176" s="29" t="inlineStr">
        <is>
          <t>1</t>
        </is>
      </c>
      <c r="C176" s="30" t="inlineStr">
        <is>
          <t>Random</t>
        </is>
      </c>
      <c r="D176" s="29" t="inlineStr">
        <is>
          <t>Waiting for Input</t>
        </is>
      </c>
      <c r="E176" s="29">
        <f>MATCH(D176, {"Waiting for Input","Analyzing Object","Found Object","Needs Help","Confused","None"}, 0) - 1</f>
        <v/>
      </c>
      <c r="F176" s="29" t="inlineStr">
        <is>
          <t>Confused</t>
        </is>
      </c>
      <c r="G176" s="29">
        <f>MATCH(F176, {"Waiting for Input","Analyzing Object","Found Object","Needs Help","Confused","None"}, 0) - 1</f>
        <v/>
      </c>
      <c r="H176" s="29" t="n">
        <v>2</v>
      </c>
      <c r="I176" s="29">
        <f>IF(E176=G176, 1, 0)</f>
        <v/>
      </c>
    </row>
    <row r="177" ht="22" customHeight="1" s="270">
      <c r="A177" s="29" t="n">
        <v>175</v>
      </c>
      <c r="B177" s="29" t="inlineStr">
        <is>
          <t>2</t>
        </is>
      </c>
      <c r="C177" s="30" t="inlineStr">
        <is>
          <t>Random</t>
        </is>
      </c>
      <c r="D177" s="29" t="inlineStr">
        <is>
          <t>Waiting for Input</t>
        </is>
      </c>
      <c r="E177" s="29">
        <f>MATCH(D177, {"Waiting for Input","Analyzing Object","Found Object","Needs Help","Confused","None"}, 0) - 1</f>
        <v/>
      </c>
      <c r="F177" s="29" t="inlineStr">
        <is>
          <t>Needs Help</t>
        </is>
      </c>
      <c r="G177" s="29">
        <f>MATCH(F177, {"Waiting for Input","Analyzing Object","Found Object","Needs Help","Confused","None"}, 0) - 1</f>
        <v/>
      </c>
      <c r="H177" s="29" t="n">
        <v>1</v>
      </c>
      <c r="I177" s="29">
        <f>IF(E177=G177, 1, 0)</f>
        <v/>
      </c>
    </row>
    <row r="178" ht="22" customHeight="1" s="270">
      <c r="A178" s="29" t="n">
        <v>176</v>
      </c>
      <c r="B178" s="29" t="inlineStr">
        <is>
          <t>2</t>
        </is>
      </c>
      <c r="C178" s="30" t="inlineStr">
        <is>
          <t>Random</t>
        </is>
      </c>
      <c r="D178" s="29" t="inlineStr">
        <is>
          <t>Waiting for Input</t>
        </is>
      </c>
      <c r="E178" s="29">
        <f>MATCH(D178, {"Waiting for Input","Analyzing Object","Found Object","Needs Help","Confused","None"}, 0) - 1</f>
        <v/>
      </c>
      <c r="F178" s="29" t="inlineStr">
        <is>
          <t>Analyzing Object</t>
        </is>
      </c>
      <c r="G178" s="29">
        <f>MATCH(F178, {"Waiting for Input","Analyzing Object","Found Object","Needs Help","Confused","None"}, 0) - 1</f>
        <v/>
      </c>
      <c r="H178" s="29" t="n">
        <v>3</v>
      </c>
      <c r="I178" s="29">
        <f>IF(E178=G178, 1, 0)</f>
        <v/>
      </c>
    </row>
    <row r="179" ht="22" customHeight="1" s="270">
      <c r="A179" s="29" t="n">
        <v>177</v>
      </c>
      <c r="B179" s="29" t="inlineStr">
        <is>
          <t>2</t>
        </is>
      </c>
      <c r="C179" s="30" t="inlineStr">
        <is>
          <t>Random</t>
        </is>
      </c>
      <c r="D179" s="29" t="inlineStr">
        <is>
          <t>Waiting for Input</t>
        </is>
      </c>
      <c r="E179" s="29">
        <f>MATCH(D179, {"Waiting for Input","Analyzing Object","Found Object","Needs Help","Confused","None"}, 0) - 1</f>
        <v/>
      </c>
      <c r="F179" s="29" t="inlineStr">
        <is>
          <t>Confused</t>
        </is>
      </c>
      <c r="G179" s="29">
        <f>MATCH(F179, {"Waiting for Input","Analyzing Object","Found Object","Needs Help","Confused","None"}, 0) - 1</f>
        <v/>
      </c>
      <c r="H179" s="29" t="n">
        <v>3</v>
      </c>
      <c r="I179" s="29">
        <f>IF(E179=G179, 1, 0)</f>
        <v/>
      </c>
    </row>
    <row r="180" ht="22" customHeight="1" s="270">
      <c r="A180" s="29" t="n">
        <v>178</v>
      </c>
      <c r="B180" s="29" t="inlineStr">
        <is>
          <t>1</t>
        </is>
      </c>
      <c r="C180" s="30" t="inlineStr">
        <is>
          <t>Random</t>
        </is>
      </c>
      <c r="D180" s="29" t="inlineStr">
        <is>
          <t>Waiting for Input</t>
        </is>
      </c>
      <c r="E180" s="29">
        <f>MATCH(D180, {"Waiting for Input","Analyzing Object","Found Object","Needs Help","Confused","None"}, 0) - 1</f>
        <v/>
      </c>
      <c r="F180" s="31" t="inlineStr">
        <is>
          <t>None</t>
        </is>
      </c>
      <c r="G180" s="29">
        <f>MATCH(F180, {"Waiting for Input","Analyzing Object","Found Object","Needs Help","Confused","None"}, 0) - 1</f>
        <v/>
      </c>
      <c r="H180" s="29" t="n">
        <v>1</v>
      </c>
      <c r="I180" s="29">
        <f>IF(E180=G180, 1, 0)</f>
        <v/>
      </c>
    </row>
    <row r="181" ht="22" customHeight="1" s="270">
      <c r="A181" s="29" t="n">
        <v>179</v>
      </c>
      <c r="B181" s="29" t="inlineStr">
        <is>
          <t>2</t>
        </is>
      </c>
      <c r="C181" s="30" t="inlineStr">
        <is>
          <t>Random</t>
        </is>
      </c>
      <c r="D181" s="29" t="inlineStr">
        <is>
          <t>Waiting for Input</t>
        </is>
      </c>
      <c r="E181" s="29">
        <f>MATCH(D181, {"Waiting for Input","Analyzing Object","Found Object","Needs Help","Confused","None"}, 0) - 1</f>
        <v/>
      </c>
      <c r="F181" s="29" t="inlineStr">
        <is>
          <t>Found Object</t>
        </is>
      </c>
      <c r="G181" s="29">
        <f>MATCH(F181, {"Waiting for Input","Analyzing Object","Found Object","Needs Help","Confused","None"}, 0) - 1</f>
        <v/>
      </c>
      <c r="H181" s="29" t="n">
        <v>1</v>
      </c>
      <c r="I181" s="29">
        <f>IF(E181=G181, 1, 0)</f>
        <v/>
      </c>
    </row>
    <row r="182" ht="22" customHeight="1" s="270">
      <c r="A182" s="29" t="n">
        <v>180</v>
      </c>
      <c r="B182" s="29" t="inlineStr">
        <is>
          <t>1</t>
        </is>
      </c>
      <c r="C182" s="30" t="inlineStr">
        <is>
          <t>GPT4</t>
        </is>
      </c>
      <c r="D182" s="29" t="inlineStr">
        <is>
          <t>Analyzing Object</t>
        </is>
      </c>
      <c r="E182" s="29">
        <f>MATCH(D182, {"Waiting for Input","Analyzing Object","Found Object","Needs Help","Confused","None"}, 0) - 1</f>
        <v/>
      </c>
      <c r="F182" s="31" t="inlineStr">
        <is>
          <t>Found Object</t>
        </is>
      </c>
      <c r="G182" s="29">
        <f>MATCH(F182, {"Waiting for Input","Analyzing Object","Found Object","Needs Help","Confused","None"}, 0) - 1</f>
        <v/>
      </c>
      <c r="H182" s="29" t="n">
        <v>4</v>
      </c>
      <c r="I182" s="29">
        <f>IF(E182=G182, 1, 0)</f>
        <v/>
      </c>
    </row>
    <row r="183" ht="22" customHeight="1" s="270">
      <c r="A183" s="29" t="n">
        <v>181</v>
      </c>
      <c r="B183" s="29" t="inlineStr">
        <is>
          <t>1</t>
        </is>
      </c>
      <c r="C183" s="30" t="inlineStr">
        <is>
          <t>GPT4</t>
        </is>
      </c>
      <c r="D183" s="29" t="inlineStr">
        <is>
          <t>Analyzing Object</t>
        </is>
      </c>
      <c r="E183" s="29">
        <f>MATCH(D183, {"Waiting for Input","Analyzing Object","Found Object","Needs Help","Confused","None"}, 0) - 1</f>
        <v/>
      </c>
      <c r="F183" s="31" t="inlineStr">
        <is>
          <t>Analyzing Object</t>
        </is>
      </c>
      <c r="G183" s="29">
        <f>MATCH(F183, {"Waiting for Input","Analyzing Object","Found Object","Needs Help","Confused","None"}, 0) - 1</f>
        <v/>
      </c>
      <c r="H183" s="29" t="n">
        <v>2</v>
      </c>
      <c r="I183" s="29">
        <f>IF(E183=G183, 1, 0)</f>
        <v/>
      </c>
    </row>
    <row r="184" ht="22" customHeight="1" s="270">
      <c r="A184" s="29" t="n">
        <v>182</v>
      </c>
      <c r="B184" s="29" t="inlineStr">
        <is>
          <t>1</t>
        </is>
      </c>
      <c r="C184" s="30" t="inlineStr">
        <is>
          <t>GPT4</t>
        </is>
      </c>
      <c r="D184" s="29" t="inlineStr">
        <is>
          <t>Analyzing Object</t>
        </is>
      </c>
      <c r="E184" s="29">
        <f>MATCH(D184, {"Waiting for Input","Analyzing Object","Found Object","Needs Help","Confused","None"}, 0) - 1</f>
        <v/>
      </c>
      <c r="F184" s="31" t="inlineStr">
        <is>
          <t>Confused</t>
        </is>
      </c>
      <c r="G184" s="29">
        <f>MATCH(F184, {"Waiting for Input","Analyzing Object","Found Object","Needs Help","Confused","None"}, 0) - 1</f>
        <v/>
      </c>
      <c r="H184" s="29" t="n">
        <v>3</v>
      </c>
      <c r="I184" s="29">
        <f>IF(E184=G184, 1, 0)</f>
        <v/>
      </c>
    </row>
    <row r="185" ht="22" customHeight="1" s="270">
      <c r="A185" s="29" t="n">
        <v>183</v>
      </c>
      <c r="B185" s="29" t="inlineStr">
        <is>
          <t>2</t>
        </is>
      </c>
      <c r="C185" s="30" t="inlineStr">
        <is>
          <t>GPT4</t>
        </is>
      </c>
      <c r="D185" s="29" t="inlineStr">
        <is>
          <t>Analyzing Object</t>
        </is>
      </c>
      <c r="E185" s="29">
        <f>MATCH(D185, {"Waiting for Input","Analyzing Object","Found Object","Needs Help","Confused","None"}, 0) - 1</f>
        <v/>
      </c>
      <c r="F185" s="31" t="inlineStr">
        <is>
          <t>Analyzing Object</t>
        </is>
      </c>
      <c r="G185" s="29">
        <f>MATCH(F185, {"Waiting for Input","Analyzing Object","Found Object","Needs Help","Confused","None"}, 0) - 1</f>
        <v/>
      </c>
      <c r="H185" s="29" t="n">
        <v>3</v>
      </c>
      <c r="I185" s="29">
        <f>IF(E185=G185, 1, 0)</f>
        <v/>
      </c>
    </row>
    <row r="186" ht="22" customHeight="1" s="270">
      <c r="A186" s="29" t="n">
        <v>184</v>
      </c>
      <c r="B186" s="29" t="inlineStr">
        <is>
          <t>2</t>
        </is>
      </c>
      <c r="C186" s="30" t="inlineStr">
        <is>
          <t>GPT4</t>
        </is>
      </c>
      <c r="D186" s="29" t="inlineStr">
        <is>
          <t>Analyzing Object</t>
        </is>
      </c>
      <c r="E186" s="29">
        <f>MATCH(D186, {"Waiting for Input","Analyzing Object","Found Object","Needs Help","Confused","None"}, 0) - 1</f>
        <v/>
      </c>
      <c r="F186" s="31" t="inlineStr">
        <is>
          <t>Found Object</t>
        </is>
      </c>
      <c r="G186" s="29">
        <f>MATCH(F186, {"Waiting for Input","Analyzing Object","Found Object","Needs Help","Confused","None"}, 0) - 1</f>
        <v/>
      </c>
      <c r="H186" s="29" t="n">
        <v>5</v>
      </c>
      <c r="I186" s="29">
        <f>IF(E186=G186, 1, 0)</f>
        <v/>
      </c>
    </row>
    <row r="187" ht="22" customHeight="1" s="270">
      <c r="A187" s="29" t="n">
        <v>185</v>
      </c>
      <c r="B187" s="29" t="inlineStr">
        <is>
          <t>1</t>
        </is>
      </c>
      <c r="C187" s="30" t="inlineStr">
        <is>
          <t>GPT4</t>
        </is>
      </c>
      <c r="D187" s="29" t="inlineStr">
        <is>
          <t>Analyzing Object</t>
        </is>
      </c>
      <c r="E187" s="29">
        <f>MATCH(D187, {"Waiting for Input","Analyzing Object","Found Object","Needs Help","Confused","None"}, 0) - 1</f>
        <v/>
      </c>
      <c r="F187" s="31" t="inlineStr">
        <is>
          <t>Analyzing Object</t>
        </is>
      </c>
      <c r="G187" s="29">
        <f>MATCH(F187, {"Waiting for Input","Analyzing Object","Found Object","Needs Help","Confused","None"}, 0) - 1</f>
        <v/>
      </c>
      <c r="H187" s="29" t="n">
        <v>5</v>
      </c>
      <c r="I187" s="29">
        <f>IF(E187=G187, 1, 0)</f>
        <v/>
      </c>
    </row>
    <row r="188" ht="22" customHeight="1" s="270">
      <c r="A188" s="29" t="n">
        <v>186</v>
      </c>
      <c r="B188" s="29" t="inlineStr">
        <is>
          <t>2</t>
        </is>
      </c>
      <c r="C188" s="30" t="inlineStr">
        <is>
          <t>GPT4</t>
        </is>
      </c>
      <c r="D188" s="29" t="inlineStr">
        <is>
          <t>Analyzing Object</t>
        </is>
      </c>
      <c r="E188" s="29">
        <f>MATCH(D188, {"Waiting for Input","Analyzing Object","Found Object","Needs Help","Confused","None"}, 0) - 1</f>
        <v/>
      </c>
      <c r="F188" s="31" t="inlineStr">
        <is>
          <t>Waiting for Input</t>
        </is>
      </c>
      <c r="G188" s="29">
        <f>MATCH(F188, {"Waiting for Input","Analyzing Object","Found Object","Needs Help","Confused","None"}, 0) - 1</f>
        <v/>
      </c>
      <c r="H188" s="29" t="n">
        <v>3</v>
      </c>
      <c r="I188" s="29">
        <f>IF(E188=G188, 1, 0)</f>
        <v/>
      </c>
    </row>
    <row r="189" ht="22" customHeight="1" s="270">
      <c r="A189" s="29" t="n">
        <v>187</v>
      </c>
      <c r="B189" s="29" t="inlineStr">
        <is>
          <t>1</t>
        </is>
      </c>
      <c r="C189" s="30" t="inlineStr">
        <is>
          <t>GPT4</t>
        </is>
      </c>
      <c r="D189" s="29" t="inlineStr">
        <is>
          <t>Analyzing Object</t>
        </is>
      </c>
      <c r="E189" s="29">
        <f>MATCH(D189, {"Waiting for Input","Analyzing Object","Found Object","Needs Help","Confused","None"}, 0) - 1</f>
        <v/>
      </c>
      <c r="F189" s="31" t="inlineStr">
        <is>
          <t>Found Object</t>
        </is>
      </c>
      <c r="G189" s="29">
        <f>MATCH(F189, {"Waiting for Input","Analyzing Object","Found Object","Needs Help","Confused","None"}, 0) - 1</f>
        <v/>
      </c>
      <c r="H189" s="29" t="n">
        <v>4</v>
      </c>
      <c r="I189" s="29">
        <f>IF(E189=G189, 1, 0)</f>
        <v/>
      </c>
    </row>
    <row r="190" ht="22" customHeight="1" s="270">
      <c r="A190" s="29" t="n">
        <v>188</v>
      </c>
      <c r="B190" s="29" t="inlineStr">
        <is>
          <t>1</t>
        </is>
      </c>
      <c r="C190" s="30" t="inlineStr">
        <is>
          <t>GPT4</t>
        </is>
      </c>
      <c r="D190" s="29" t="inlineStr">
        <is>
          <t>Analyzing Object</t>
        </is>
      </c>
      <c r="E190" s="29">
        <f>MATCH(D190, {"Waiting for Input","Analyzing Object","Found Object","Needs Help","Confused","None"}, 0) - 1</f>
        <v/>
      </c>
      <c r="F190" s="31" t="inlineStr">
        <is>
          <t>Found Object</t>
        </is>
      </c>
      <c r="G190" s="29">
        <f>MATCH(F190, {"Waiting for Input","Analyzing Object","Found Object","Needs Help","Confused","None"}, 0) - 1</f>
        <v/>
      </c>
      <c r="H190" s="29" t="n">
        <v>4</v>
      </c>
      <c r="I190" s="29">
        <f>IF(E190=G190, 1, 0)</f>
        <v/>
      </c>
    </row>
    <row r="191" ht="22" customHeight="1" s="270">
      <c r="A191" s="29" t="n">
        <v>189</v>
      </c>
      <c r="B191" s="29" t="inlineStr">
        <is>
          <t>1</t>
        </is>
      </c>
      <c r="C191" s="30" t="inlineStr">
        <is>
          <t>GPT4</t>
        </is>
      </c>
      <c r="D191" s="29" t="inlineStr">
        <is>
          <t>Analyzing Object</t>
        </is>
      </c>
      <c r="E191" s="29">
        <f>MATCH(D191, {"Waiting for Input","Analyzing Object","Found Object","Needs Help","Confused","None"}, 0) - 1</f>
        <v/>
      </c>
      <c r="F191" s="31" t="inlineStr">
        <is>
          <t>Found Object</t>
        </is>
      </c>
      <c r="G191" s="29">
        <f>MATCH(F191, {"Waiting for Input","Analyzing Object","Found Object","Needs Help","Confused","None"}, 0) - 1</f>
        <v/>
      </c>
      <c r="H191" s="29" t="n">
        <v>4</v>
      </c>
      <c r="I191" s="29">
        <f>IF(E191=G191, 1, 0)</f>
        <v/>
      </c>
    </row>
    <row r="192" ht="22" customHeight="1" s="270">
      <c r="A192" s="29" t="n">
        <v>190</v>
      </c>
      <c r="B192" s="29" t="inlineStr">
        <is>
          <t>2</t>
        </is>
      </c>
      <c r="C192" s="30" t="inlineStr">
        <is>
          <t>GPT4</t>
        </is>
      </c>
      <c r="D192" s="29" t="inlineStr">
        <is>
          <t>Analyzing Object</t>
        </is>
      </c>
      <c r="E192" s="29">
        <f>MATCH(D192, {"Waiting for Input","Analyzing Object","Found Object","Needs Help","Confused","None"}, 0) - 1</f>
        <v/>
      </c>
      <c r="F192" s="31" t="inlineStr">
        <is>
          <t>Analyzing Object</t>
        </is>
      </c>
      <c r="G192" s="29">
        <f>MATCH(F192, {"Waiting for Input","Analyzing Object","Found Object","Needs Help","Confused","None"}, 0) - 1</f>
        <v/>
      </c>
      <c r="H192" s="29" t="n">
        <v>5</v>
      </c>
      <c r="I192" s="29">
        <f>IF(E192=G192, 1, 0)</f>
        <v/>
      </c>
    </row>
    <row r="193" ht="22" customHeight="1" s="270">
      <c r="A193" s="29" t="n">
        <v>191</v>
      </c>
      <c r="B193" s="29" t="inlineStr">
        <is>
          <t>2</t>
        </is>
      </c>
      <c r="C193" s="30" t="inlineStr">
        <is>
          <t>GPT4</t>
        </is>
      </c>
      <c r="D193" s="29" t="inlineStr">
        <is>
          <t>Analyzing Object</t>
        </is>
      </c>
      <c r="E193" s="29">
        <f>MATCH(D193, {"Waiting for Input","Analyzing Object","Found Object","Needs Help","Confused","None"}, 0) - 1</f>
        <v/>
      </c>
      <c r="F193" s="31" t="inlineStr">
        <is>
          <t>Found Object</t>
        </is>
      </c>
      <c r="G193" s="29">
        <f>MATCH(F193, {"Waiting for Input","Analyzing Object","Found Object","Needs Help","Confused","None"}, 0) - 1</f>
        <v/>
      </c>
      <c r="H193" s="29" t="n">
        <v>5</v>
      </c>
      <c r="I193" s="29">
        <f>IF(E193=G193, 1, 0)</f>
        <v/>
      </c>
    </row>
    <row r="194" ht="22" customHeight="1" s="270">
      <c r="A194" s="29" t="n">
        <v>192</v>
      </c>
      <c r="B194" s="29" t="inlineStr">
        <is>
          <t>2</t>
        </is>
      </c>
      <c r="C194" s="30" t="inlineStr">
        <is>
          <t>GPT4</t>
        </is>
      </c>
      <c r="D194" s="29" t="inlineStr">
        <is>
          <t>Analyzing Object</t>
        </is>
      </c>
      <c r="E194" s="29">
        <f>MATCH(D194, {"Waiting for Input","Analyzing Object","Found Object","Needs Help","Confused","None"}, 0) - 1</f>
        <v/>
      </c>
      <c r="F194" s="31" t="inlineStr">
        <is>
          <t>Found Object</t>
        </is>
      </c>
      <c r="G194" s="29">
        <f>MATCH(F194, {"Waiting for Input","Analyzing Object","Found Object","Needs Help","Confused","None"}, 0) - 1</f>
        <v/>
      </c>
      <c r="H194" s="29" t="n">
        <v>2</v>
      </c>
      <c r="I194" s="29">
        <f>IF(E194=G194, 1, 0)</f>
        <v/>
      </c>
    </row>
    <row r="195" ht="22" customHeight="1" s="270">
      <c r="A195" s="29" t="n">
        <v>193</v>
      </c>
      <c r="B195" s="29" t="inlineStr">
        <is>
          <t>2</t>
        </is>
      </c>
      <c r="C195" s="30" t="inlineStr">
        <is>
          <t>GPT4</t>
        </is>
      </c>
      <c r="D195" s="29" t="inlineStr">
        <is>
          <t>Analyzing Object</t>
        </is>
      </c>
      <c r="E195" s="29">
        <f>MATCH(D195, {"Waiting for Input","Analyzing Object","Found Object","Needs Help","Confused","None"}, 0) - 1</f>
        <v/>
      </c>
      <c r="F195" s="31" t="inlineStr">
        <is>
          <t>Analyzing Object</t>
        </is>
      </c>
      <c r="G195" s="29">
        <f>MATCH(F195, {"Waiting for Input","Analyzing Object","Found Object","Needs Help","Confused","None"}, 0) - 1</f>
        <v/>
      </c>
      <c r="H195" s="29" t="n">
        <v>5</v>
      </c>
      <c r="I195" s="29">
        <f>IF(E195=G195, 1, 0)</f>
        <v/>
      </c>
    </row>
    <row r="196" ht="22" customHeight="1" s="270">
      <c r="A196" s="29" t="n">
        <v>194</v>
      </c>
      <c r="B196" s="29" t="inlineStr">
        <is>
          <t>1</t>
        </is>
      </c>
      <c r="C196" s="30" t="inlineStr">
        <is>
          <t>GPT4</t>
        </is>
      </c>
      <c r="D196" s="29" t="inlineStr">
        <is>
          <t>Analyzing Object</t>
        </is>
      </c>
      <c r="E196" s="29">
        <f>MATCH(D196, {"Waiting for Input","Analyzing Object","Found Object","Needs Help","Confused","None"}, 0) - 1</f>
        <v/>
      </c>
      <c r="F196" s="31" t="inlineStr">
        <is>
          <t>Analyzing Object</t>
        </is>
      </c>
      <c r="G196" s="29">
        <f>MATCH(F196, {"Waiting for Input","Analyzing Object","Found Object","Needs Help","Confused","None"}, 0) - 1</f>
        <v/>
      </c>
      <c r="H196" s="29" t="n">
        <v>3</v>
      </c>
      <c r="I196" s="29">
        <f>IF(E196=G196, 1, 0)</f>
        <v/>
      </c>
    </row>
    <row r="197" ht="22" customHeight="1" s="270">
      <c r="A197" s="29" t="n">
        <v>195</v>
      </c>
      <c r="B197" s="29" t="inlineStr">
        <is>
          <t>1</t>
        </is>
      </c>
      <c r="C197" s="30" t="inlineStr">
        <is>
          <t>GPT4</t>
        </is>
      </c>
      <c r="D197" s="29" t="inlineStr">
        <is>
          <t>Analyzing Object</t>
        </is>
      </c>
      <c r="E197" s="29">
        <f>MATCH(D197, {"Waiting for Input","Analyzing Object","Found Object","Needs Help","Confused","None"}, 0) - 1</f>
        <v/>
      </c>
      <c r="F197" s="31" t="inlineStr">
        <is>
          <t>Analyzing Object</t>
        </is>
      </c>
      <c r="G197" s="29">
        <f>MATCH(F197, {"Waiting for Input","Analyzing Object","Found Object","Needs Help","Confused","None"}, 0) - 1</f>
        <v/>
      </c>
      <c r="H197" s="29" t="n">
        <v>4</v>
      </c>
      <c r="I197" s="29">
        <f>IF(E197=G197, 1, 0)</f>
        <v/>
      </c>
    </row>
    <row r="198" ht="22" customHeight="1" s="270">
      <c r="A198" s="29" t="n">
        <v>196</v>
      </c>
      <c r="B198" s="29" t="inlineStr">
        <is>
          <t>1</t>
        </is>
      </c>
      <c r="C198" s="30" t="inlineStr">
        <is>
          <t>GPT4</t>
        </is>
      </c>
      <c r="D198" s="29" t="inlineStr">
        <is>
          <t>Analyzing Object</t>
        </is>
      </c>
      <c r="E198" s="29">
        <f>MATCH(D198, {"Waiting for Input","Analyzing Object","Found Object","Needs Help","Confused","None"}, 0) - 1</f>
        <v/>
      </c>
      <c r="F198" s="31" t="inlineStr">
        <is>
          <t>Found Object</t>
        </is>
      </c>
      <c r="G198" s="29">
        <f>MATCH(F198, {"Waiting for Input","Analyzing Object","Found Object","Needs Help","Confused","None"}, 0) - 1</f>
        <v/>
      </c>
      <c r="H198" s="29" t="n">
        <v>2</v>
      </c>
      <c r="I198" s="29">
        <f>IF(E198=G198, 1, 0)</f>
        <v/>
      </c>
    </row>
    <row r="199" ht="22" customHeight="1" s="270">
      <c r="A199" s="29" t="n">
        <v>197</v>
      </c>
      <c r="B199" s="29" t="inlineStr">
        <is>
          <t>2</t>
        </is>
      </c>
      <c r="C199" s="30" t="inlineStr">
        <is>
          <t>GPT4</t>
        </is>
      </c>
      <c r="D199" s="29" t="inlineStr">
        <is>
          <t>Analyzing Object</t>
        </is>
      </c>
      <c r="E199" s="29">
        <f>MATCH(D199, {"Waiting for Input","Analyzing Object","Found Object","Needs Help","Confused","None"}, 0) - 1</f>
        <v/>
      </c>
      <c r="F199" s="31" t="inlineStr">
        <is>
          <t>Found Object</t>
        </is>
      </c>
      <c r="G199" s="29">
        <f>MATCH(F199, {"Waiting for Input","Analyzing Object","Found Object","Needs Help","Confused","None"}, 0) - 1</f>
        <v/>
      </c>
      <c r="H199" s="29" t="n">
        <v>4</v>
      </c>
      <c r="I199" s="29">
        <f>IF(E199=G199, 1, 0)</f>
        <v/>
      </c>
    </row>
    <row r="200" ht="22" customHeight="1" s="270">
      <c r="A200" s="29" t="n">
        <v>198</v>
      </c>
      <c r="B200" s="29" t="inlineStr">
        <is>
          <t>2</t>
        </is>
      </c>
      <c r="C200" s="30" t="inlineStr">
        <is>
          <t>GPT4</t>
        </is>
      </c>
      <c r="D200" s="29" t="inlineStr">
        <is>
          <t>Analyzing Object</t>
        </is>
      </c>
      <c r="E200" s="29">
        <f>MATCH(D200, {"Waiting for Input","Analyzing Object","Found Object","Needs Help","Confused","None"}, 0) - 1</f>
        <v/>
      </c>
      <c r="F200" s="31" t="inlineStr">
        <is>
          <t>Found Object</t>
        </is>
      </c>
      <c r="G200" s="29">
        <f>MATCH(F200, {"Waiting for Input","Analyzing Object","Found Object","Needs Help","Confused","None"}, 0) - 1</f>
        <v/>
      </c>
      <c r="H200" s="29" t="n">
        <v>4</v>
      </c>
      <c r="I200" s="29">
        <f>IF(E200=G200, 1, 0)</f>
        <v/>
      </c>
    </row>
    <row r="201" ht="22" customHeight="1" s="270">
      <c r="A201" s="29" t="n">
        <v>199</v>
      </c>
      <c r="B201" s="29" t="inlineStr">
        <is>
          <t>1</t>
        </is>
      </c>
      <c r="C201" s="30" t="inlineStr">
        <is>
          <t>GPT4</t>
        </is>
      </c>
      <c r="D201" s="29" t="inlineStr">
        <is>
          <t>Analyzing Object</t>
        </is>
      </c>
      <c r="E201" s="29">
        <f>MATCH(D201, {"Waiting for Input","Analyzing Object","Found Object","Needs Help","Confused","None"}, 0) - 1</f>
        <v/>
      </c>
      <c r="F201" s="31" t="inlineStr">
        <is>
          <t>Waiting for Input</t>
        </is>
      </c>
      <c r="G201" s="29">
        <f>MATCH(F201, {"Waiting for Input","Analyzing Object","Found Object","Needs Help","Confused","None"}, 0) - 1</f>
        <v/>
      </c>
      <c r="H201" s="29" t="n">
        <v>4</v>
      </c>
      <c r="I201" s="29">
        <f>IF(E201=G201, 1, 0)</f>
        <v/>
      </c>
    </row>
    <row r="202" ht="22" customHeight="1" s="270">
      <c r="A202" s="29" t="n">
        <v>200</v>
      </c>
      <c r="B202" s="29" t="inlineStr">
        <is>
          <t>1</t>
        </is>
      </c>
      <c r="C202" s="30" t="inlineStr">
        <is>
          <t>GPT4</t>
        </is>
      </c>
      <c r="D202" s="29" t="inlineStr">
        <is>
          <t>Analyzing Object</t>
        </is>
      </c>
      <c r="E202" s="29">
        <f>MATCH(D202, {"Waiting for Input","Analyzing Object","Found Object","Needs Help","Confused","None"}, 0) - 1</f>
        <v/>
      </c>
      <c r="F202" s="31" t="inlineStr">
        <is>
          <t>Confused</t>
        </is>
      </c>
      <c r="G202" s="29">
        <f>MATCH(F202, {"Waiting for Input","Analyzing Object","Found Object","Needs Help","Confused","None"}, 0) - 1</f>
        <v/>
      </c>
      <c r="H202" s="29" t="n">
        <v>2</v>
      </c>
      <c r="I202" s="29">
        <f>IF(E202=G202, 1, 0)</f>
        <v/>
      </c>
    </row>
    <row r="203" ht="22" customHeight="1" s="270">
      <c r="A203" s="29" t="n">
        <v>201</v>
      </c>
      <c r="B203" s="29" t="inlineStr">
        <is>
          <t>2</t>
        </is>
      </c>
      <c r="C203" s="30" t="inlineStr">
        <is>
          <t>GPT4</t>
        </is>
      </c>
      <c r="D203" s="29" t="inlineStr">
        <is>
          <t>Analyzing Object</t>
        </is>
      </c>
      <c r="E203" s="29">
        <f>MATCH(D203, {"Waiting for Input","Analyzing Object","Found Object","Needs Help","Confused","None"}, 0) - 1</f>
        <v/>
      </c>
      <c r="F203" s="31" t="inlineStr">
        <is>
          <t>Found Object</t>
        </is>
      </c>
      <c r="G203" s="29">
        <f>MATCH(F203, {"Waiting for Input","Analyzing Object","Found Object","Needs Help","Confused","None"}, 0) - 1</f>
        <v/>
      </c>
      <c r="H203" s="29" t="n">
        <v>4</v>
      </c>
      <c r="I203" s="29">
        <f>IF(E203=G203, 1, 0)</f>
        <v/>
      </c>
    </row>
    <row r="204" ht="22" customHeight="1" s="270">
      <c r="A204" s="29" t="n">
        <v>202</v>
      </c>
      <c r="B204" s="29" t="inlineStr">
        <is>
          <t>2</t>
        </is>
      </c>
      <c r="C204" s="30" t="inlineStr">
        <is>
          <t>GPT4</t>
        </is>
      </c>
      <c r="D204" s="29" t="inlineStr">
        <is>
          <t>Analyzing Object</t>
        </is>
      </c>
      <c r="E204" s="29">
        <f>MATCH(D204, {"Waiting for Input","Analyzing Object","Found Object","Needs Help","Confused","None"}, 0) - 1</f>
        <v/>
      </c>
      <c r="F204" s="31" t="inlineStr">
        <is>
          <t>Found Object</t>
        </is>
      </c>
      <c r="G204" s="29">
        <f>MATCH(F204, {"Waiting for Input","Analyzing Object","Found Object","Needs Help","Confused","None"}, 0) - 1</f>
        <v/>
      </c>
      <c r="H204" s="29" t="n">
        <v>5</v>
      </c>
      <c r="I204" s="29">
        <f>IF(E204=G204, 1, 0)</f>
        <v/>
      </c>
    </row>
    <row r="205" ht="22" customHeight="1" s="270">
      <c r="A205" s="29" t="n">
        <v>203</v>
      </c>
      <c r="B205" s="29" t="inlineStr">
        <is>
          <t>1</t>
        </is>
      </c>
      <c r="C205" s="30" t="inlineStr">
        <is>
          <t>GPT4</t>
        </is>
      </c>
      <c r="D205" s="29" t="inlineStr">
        <is>
          <t>Analyzing Object</t>
        </is>
      </c>
      <c r="E205" s="29">
        <f>MATCH(D205, {"Waiting for Input","Analyzing Object","Found Object","Needs Help","Confused","None"}, 0) - 1</f>
        <v/>
      </c>
      <c r="F205" s="31" t="inlineStr">
        <is>
          <t>Waiting for Input</t>
        </is>
      </c>
      <c r="G205" s="29">
        <f>MATCH(F205, {"Waiting for Input","Analyzing Object","Found Object","Needs Help","Confused","None"}, 0) - 1</f>
        <v/>
      </c>
      <c r="H205" s="29" t="n">
        <v>2</v>
      </c>
      <c r="I205" s="29">
        <f>IF(E205=G205, 1, 0)</f>
        <v/>
      </c>
    </row>
    <row r="206" ht="22" customHeight="1" s="270">
      <c r="A206" s="29" t="n">
        <v>204</v>
      </c>
      <c r="B206" s="29" t="inlineStr">
        <is>
          <t>1</t>
        </is>
      </c>
      <c r="C206" s="30" t="inlineStr">
        <is>
          <t>GPT4</t>
        </is>
      </c>
      <c r="D206" s="29" t="inlineStr">
        <is>
          <t>Analyzing Object</t>
        </is>
      </c>
      <c r="E206" s="29">
        <f>MATCH(D206, {"Waiting for Input","Analyzing Object","Found Object","Needs Help","Confused","None"}, 0) - 1</f>
        <v/>
      </c>
      <c r="F206" s="31" t="inlineStr">
        <is>
          <t>Analyzing Object</t>
        </is>
      </c>
      <c r="G206" s="29">
        <f>MATCH(F206, {"Waiting for Input","Analyzing Object","Found Object","Needs Help","Confused","None"}, 0) - 1</f>
        <v/>
      </c>
      <c r="H206" s="29" t="n">
        <v>4</v>
      </c>
      <c r="I206" s="29">
        <f>IF(E206=G206, 1, 0)</f>
        <v/>
      </c>
    </row>
    <row r="207" ht="22" customHeight="1" s="270">
      <c r="A207" s="29" t="n">
        <v>205</v>
      </c>
      <c r="B207" s="29" t="inlineStr">
        <is>
          <t>2</t>
        </is>
      </c>
      <c r="C207" s="30" t="inlineStr">
        <is>
          <t>GPT4</t>
        </is>
      </c>
      <c r="D207" s="29" t="inlineStr">
        <is>
          <t>Analyzing Object</t>
        </is>
      </c>
      <c r="E207" s="29">
        <f>MATCH(D207, {"Waiting for Input","Analyzing Object","Found Object","Needs Help","Confused","None"}, 0) - 1</f>
        <v/>
      </c>
      <c r="F207" s="31" t="inlineStr">
        <is>
          <t>Needs Help</t>
        </is>
      </c>
      <c r="G207" s="29">
        <f>MATCH(F207, {"Waiting for Input","Analyzing Object","Found Object","Needs Help","Confused","None"}, 0) - 1</f>
        <v/>
      </c>
      <c r="H207" s="29" t="n">
        <v>2</v>
      </c>
      <c r="I207" s="29">
        <f>IF(E207=G207, 1, 0)</f>
        <v/>
      </c>
    </row>
    <row r="208" ht="22" customHeight="1" s="270">
      <c r="A208" s="29" t="n">
        <v>206</v>
      </c>
      <c r="B208" s="29" t="inlineStr">
        <is>
          <t>2</t>
        </is>
      </c>
      <c r="C208" s="30" t="inlineStr">
        <is>
          <t>GPT4</t>
        </is>
      </c>
      <c r="D208" s="29" t="inlineStr">
        <is>
          <t>Analyzing Object</t>
        </is>
      </c>
      <c r="E208" s="29">
        <f>MATCH(D208, {"Waiting for Input","Analyzing Object","Found Object","Needs Help","Confused","None"}, 0) - 1</f>
        <v/>
      </c>
      <c r="F208" s="31" t="inlineStr">
        <is>
          <t>Found Object</t>
        </is>
      </c>
      <c r="G208" s="29">
        <f>MATCH(F208, {"Waiting for Input","Analyzing Object","Found Object","Needs Help","Confused","None"}, 0) - 1</f>
        <v/>
      </c>
      <c r="H208" s="29" t="n">
        <v>3</v>
      </c>
      <c r="I208" s="29">
        <f>IF(E208=G208, 1, 0)</f>
        <v/>
      </c>
    </row>
    <row r="209" ht="22" customHeight="1" s="270">
      <c r="A209" s="29" t="n">
        <v>207</v>
      </c>
      <c r="B209" s="29" t="inlineStr">
        <is>
          <t>2</t>
        </is>
      </c>
      <c r="C209" s="30" t="inlineStr">
        <is>
          <t>GPT4</t>
        </is>
      </c>
      <c r="D209" s="29" t="inlineStr">
        <is>
          <t>Analyzing Object</t>
        </is>
      </c>
      <c r="E209" s="29">
        <f>MATCH(D209, {"Waiting for Input","Analyzing Object","Found Object","Needs Help","Confused","None"}, 0) - 1</f>
        <v/>
      </c>
      <c r="F209" s="31" t="inlineStr">
        <is>
          <t>Found Object</t>
        </is>
      </c>
      <c r="G209" s="29">
        <f>MATCH(F209, {"Waiting for Input","Analyzing Object","Found Object","Needs Help","Confused","None"}, 0) - 1</f>
        <v/>
      </c>
      <c r="H209" s="29" t="n">
        <v>3</v>
      </c>
      <c r="I209" s="29">
        <f>IF(E209=G209, 1, 0)</f>
        <v/>
      </c>
    </row>
    <row r="210" ht="22" customHeight="1" s="270">
      <c r="A210" s="29" t="n">
        <v>208</v>
      </c>
      <c r="B210" s="29" t="inlineStr">
        <is>
          <t>2</t>
        </is>
      </c>
      <c r="C210" s="30" t="inlineStr">
        <is>
          <t>GPT4</t>
        </is>
      </c>
      <c r="D210" s="29" t="inlineStr">
        <is>
          <t>Analyzing Object</t>
        </is>
      </c>
      <c r="E210" s="29">
        <f>MATCH(D210, {"Waiting for Input","Analyzing Object","Found Object","Needs Help","Confused","None"}, 0) - 1</f>
        <v/>
      </c>
      <c r="F210" s="31" t="inlineStr">
        <is>
          <t>Found Object</t>
        </is>
      </c>
      <c r="G210" s="29">
        <f>MATCH(F210, {"Waiting for Input","Analyzing Object","Found Object","Needs Help","Confused","None"}, 0) - 1</f>
        <v/>
      </c>
      <c r="H210" s="29" t="n">
        <v>4</v>
      </c>
      <c r="I210" s="29">
        <f>IF(E210=G210, 1, 0)</f>
        <v/>
      </c>
    </row>
    <row r="211" ht="22" customHeight="1" s="270">
      <c r="A211" s="29" t="n">
        <v>209</v>
      </c>
      <c r="B211" s="29" t="inlineStr">
        <is>
          <t>2</t>
        </is>
      </c>
      <c r="C211" s="30" t="inlineStr">
        <is>
          <t>GPT4</t>
        </is>
      </c>
      <c r="D211" s="29" t="inlineStr">
        <is>
          <t>Analyzing Object</t>
        </is>
      </c>
      <c r="E211" s="29">
        <f>MATCH(D211, {"Waiting for Input","Analyzing Object","Found Object","Needs Help","Confused","None"}, 0) - 1</f>
        <v/>
      </c>
      <c r="F211" s="31" t="inlineStr">
        <is>
          <t>Found Object</t>
        </is>
      </c>
      <c r="G211" s="29">
        <f>MATCH(F211, {"Waiting for Input","Analyzing Object","Found Object","Needs Help","Confused","None"}, 0) - 1</f>
        <v/>
      </c>
      <c r="H211" s="29" t="n">
        <v>3</v>
      </c>
      <c r="I211" s="29">
        <f>IF(E211=G211, 1, 0)</f>
        <v/>
      </c>
    </row>
    <row r="212" ht="22" customHeight="1" s="270">
      <c r="A212" s="29" t="n">
        <v>210</v>
      </c>
      <c r="B212" s="29" t="inlineStr">
        <is>
          <t>2</t>
        </is>
      </c>
      <c r="C212" s="30" t="inlineStr">
        <is>
          <t>GPT4</t>
        </is>
      </c>
      <c r="D212" s="29" t="inlineStr">
        <is>
          <t>Analyzing Object</t>
        </is>
      </c>
      <c r="E212" s="29">
        <f>MATCH(D212, {"Waiting for Input","Analyzing Object","Found Object","Needs Help","Confused","None"}, 0) - 1</f>
        <v/>
      </c>
      <c r="F212" s="31" t="inlineStr">
        <is>
          <t>None</t>
        </is>
      </c>
      <c r="G212" s="29">
        <f>MATCH(F212, {"Waiting for Input","Analyzing Object","Found Object","Needs Help","Confused","None"}, 0) - 1</f>
        <v/>
      </c>
      <c r="H212" s="29" t="n">
        <v>2</v>
      </c>
      <c r="I212" s="29">
        <f>IF(E212=G212, 1, 0)</f>
        <v/>
      </c>
    </row>
    <row r="213" ht="22" customHeight="1" s="270">
      <c r="A213" s="29" t="n">
        <v>211</v>
      </c>
      <c r="B213" s="29" t="inlineStr">
        <is>
          <t>1</t>
        </is>
      </c>
      <c r="C213" s="30" t="inlineStr">
        <is>
          <t>GPT4</t>
        </is>
      </c>
      <c r="D213" s="29" t="inlineStr">
        <is>
          <t>Analyzing Object</t>
        </is>
      </c>
      <c r="E213" s="29">
        <f>MATCH(D213, {"Waiting for Input","Analyzing Object","Found Object","Needs Help","Confused","None"}, 0) - 1</f>
        <v/>
      </c>
      <c r="F213" s="31" t="inlineStr">
        <is>
          <t>Analyzing Object</t>
        </is>
      </c>
      <c r="G213" s="29">
        <f>MATCH(F213, {"Waiting for Input","Analyzing Object","Found Object","Needs Help","Confused","None"}, 0) - 1</f>
        <v/>
      </c>
      <c r="H213" s="29" t="n">
        <v>5</v>
      </c>
      <c r="I213" s="29">
        <f>IF(E213=G213, 1, 0)</f>
        <v/>
      </c>
    </row>
    <row r="214" ht="22" customHeight="1" s="270">
      <c r="A214" s="29" t="n">
        <v>212</v>
      </c>
      <c r="B214" s="29" t="inlineStr">
        <is>
          <t>2</t>
        </is>
      </c>
      <c r="C214" s="30" t="inlineStr">
        <is>
          <t>GPT4</t>
        </is>
      </c>
      <c r="D214" s="29" t="inlineStr">
        <is>
          <t>Analyzing Object</t>
        </is>
      </c>
      <c r="E214" s="29">
        <f>MATCH(D214, {"Waiting for Input","Analyzing Object","Found Object","Needs Help","Confused","None"}, 0) - 1</f>
        <v/>
      </c>
      <c r="F214" s="31" t="inlineStr">
        <is>
          <t>Found Object</t>
        </is>
      </c>
      <c r="G214" s="29">
        <f>MATCH(F214, {"Waiting for Input","Analyzing Object","Found Object","Needs Help","Confused","None"}, 0) - 1</f>
        <v/>
      </c>
      <c r="H214" s="29" t="n">
        <v>3</v>
      </c>
      <c r="I214" s="29">
        <f>IF(E214=G214, 1, 0)</f>
        <v/>
      </c>
    </row>
    <row r="215" ht="22" customHeight="1" s="270">
      <c r="A215" s="29" t="n">
        <v>213</v>
      </c>
      <c r="B215" s="29" t="inlineStr">
        <is>
          <t>1</t>
        </is>
      </c>
      <c r="C215" s="30" t="inlineStr">
        <is>
          <t>GPT4</t>
        </is>
      </c>
      <c r="D215" s="29" t="inlineStr">
        <is>
          <t>Analyzing Object</t>
        </is>
      </c>
      <c r="E215" s="29">
        <f>MATCH(D215, {"Waiting for Input","Analyzing Object","Found Object","Needs Help","Confused","None"}, 0) - 1</f>
        <v/>
      </c>
      <c r="F215" s="31" t="inlineStr">
        <is>
          <t>Found Object</t>
        </is>
      </c>
      <c r="G215" s="29">
        <f>MATCH(F215, {"Waiting for Input","Analyzing Object","Found Object","Needs Help","Confused","None"}, 0) - 1</f>
        <v/>
      </c>
      <c r="H215" s="29" t="n">
        <v>5</v>
      </c>
      <c r="I215" s="29">
        <f>IF(E215=G215, 1, 0)</f>
        <v/>
      </c>
    </row>
    <row r="216" ht="22" customHeight="1" s="270">
      <c r="A216" s="29" t="n">
        <v>214</v>
      </c>
      <c r="B216" s="29" t="inlineStr">
        <is>
          <t>1</t>
        </is>
      </c>
      <c r="C216" s="30" t="inlineStr">
        <is>
          <t>GPT4</t>
        </is>
      </c>
      <c r="D216" s="29" t="inlineStr">
        <is>
          <t>Analyzing Object</t>
        </is>
      </c>
      <c r="E216" s="29">
        <f>MATCH(D216, {"Waiting for Input","Analyzing Object","Found Object","Needs Help","Confused","None"}, 0) - 1</f>
        <v/>
      </c>
      <c r="F216" s="31" t="inlineStr">
        <is>
          <t>Analyzing Object</t>
        </is>
      </c>
      <c r="G216" s="29">
        <f>MATCH(F216, {"Waiting for Input","Analyzing Object","Found Object","Needs Help","Confused","None"}, 0) - 1</f>
        <v/>
      </c>
      <c r="H216" s="29" t="n">
        <v>4</v>
      </c>
      <c r="I216" s="29">
        <f>IF(E216=G216, 1, 0)</f>
        <v/>
      </c>
    </row>
    <row r="217" ht="22" customHeight="1" s="270">
      <c r="A217" s="29" t="n">
        <v>215</v>
      </c>
      <c r="B217" s="29" t="inlineStr">
        <is>
          <t>1</t>
        </is>
      </c>
      <c r="C217" s="30" t="inlineStr">
        <is>
          <t>GPT4</t>
        </is>
      </c>
      <c r="D217" s="29" t="inlineStr">
        <is>
          <t>Analyzing Object</t>
        </is>
      </c>
      <c r="E217" s="29">
        <f>MATCH(D217, {"Waiting for Input","Analyzing Object","Found Object","Needs Help","Confused","None"}, 0) - 1</f>
        <v/>
      </c>
      <c r="F217" s="31" t="inlineStr">
        <is>
          <t>Found Object</t>
        </is>
      </c>
      <c r="G217" s="29">
        <f>MATCH(F217, {"Waiting for Input","Analyzing Object","Found Object","Needs Help","Confused","None"}, 0) - 1</f>
        <v/>
      </c>
      <c r="H217" s="29" t="n">
        <v>5</v>
      </c>
      <c r="I217" s="29">
        <f>IF(E217=G217, 1, 0)</f>
        <v/>
      </c>
    </row>
    <row r="218" ht="22" customHeight="1" s="270">
      <c r="A218" s="29" t="n">
        <v>216</v>
      </c>
      <c r="B218" s="29" t="inlineStr">
        <is>
          <t>2</t>
        </is>
      </c>
      <c r="C218" s="30" t="inlineStr">
        <is>
          <t>GPT4</t>
        </is>
      </c>
      <c r="D218" s="29" t="inlineStr">
        <is>
          <t>Analyzing Object</t>
        </is>
      </c>
      <c r="E218" s="29">
        <f>MATCH(D218, {"Waiting for Input","Analyzing Object","Found Object","Needs Help","Confused","None"}, 0) - 1</f>
        <v/>
      </c>
      <c r="F218" s="31" t="inlineStr">
        <is>
          <t>Found Object</t>
        </is>
      </c>
      <c r="G218" s="29">
        <f>MATCH(F218, {"Waiting for Input","Analyzing Object","Found Object","Needs Help","Confused","None"}, 0) - 1</f>
        <v/>
      </c>
      <c r="H218" s="29" t="n">
        <v>1</v>
      </c>
      <c r="I218" s="29">
        <f>IF(E218=G218, 1, 0)</f>
        <v/>
      </c>
    </row>
    <row r="219" ht="22" customHeight="1" s="270">
      <c r="A219" s="29" t="n">
        <v>217</v>
      </c>
      <c r="B219" s="29" t="inlineStr">
        <is>
          <t>2</t>
        </is>
      </c>
      <c r="C219" s="30" t="inlineStr">
        <is>
          <t>GPT4</t>
        </is>
      </c>
      <c r="D219" s="29" t="inlineStr">
        <is>
          <t>Analyzing Object</t>
        </is>
      </c>
      <c r="E219" s="29">
        <f>MATCH(D219, {"Waiting for Input","Analyzing Object","Found Object","Needs Help","Confused","None"}, 0) - 1</f>
        <v/>
      </c>
      <c r="F219" s="31" t="inlineStr">
        <is>
          <t>Needs Help</t>
        </is>
      </c>
      <c r="G219" s="29">
        <f>MATCH(F219, {"Waiting for Input","Analyzing Object","Found Object","Needs Help","Confused","None"}, 0) - 1</f>
        <v/>
      </c>
      <c r="H219" s="29" t="n">
        <v>4</v>
      </c>
      <c r="I219" s="29">
        <f>IF(E219=G219, 1, 0)</f>
        <v/>
      </c>
    </row>
    <row r="220" ht="22" customHeight="1" s="270">
      <c r="A220" s="29" t="n">
        <v>218</v>
      </c>
      <c r="B220" s="29" t="inlineStr">
        <is>
          <t>1</t>
        </is>
      </c>
      <c r="C220" s="30" t="inlineStr">
        <is>
          <t>GPT4</t>
        </is>
      </c>
      <c r="D220" s="29" t="inlineStr">
        <is>
          <t>Analyzing Object</t>
        </is>
      </c>
      <c r="E220" s="29">
        <f>MATCH(D220, {"Waiting for Input","Analyzing Object","Found Object","Needs Help","Confused","None"}, 0) - 1</f>
        <v/>
      </c>
      <c r="F220" s="31" t="inlineStr">
        <is>
          <t>Analyzing Object</t>
        </is>
      </c>
      <c r="G220" s="29">
        <f>MATCH(F220, {"Waiting for Input","Analyzing Object","Found Object","Needs Help","Confused","None"}, 0) - 1</f>
        <v/>
      </c>
      <c r="H220" s="29" t="n">
        <v>4</v>
      </c>
      <c r="I220" s="29">
        <f>IF(E220=G220, 1, 0)</f>
        <v/>
      </c>
    </row>
    <row r="221" ht="22" customHeight="1" s="270">
      <c r="A221" s="29" t="n">
        <v>219</v>
      </c>
      <c r="B221" s="29" t="inlineStr">
        <is>
          <t>1</t>
        </is>
      </c>
      <c r="C221" s="30" t="inlineStr">
        <is>
          <t>GPT4</t>
        </is>
      </c>
      <c r="D221" s="29" t="inlineStr">
        <is>
          <t>Analyzing Object</t>
        </is>
      </c>
      <c r="E221" s="29">
        <f>MATCH(D221, {"Waiting for Input","Analyzing Object","Found Object","Needs Help","Confused","None"}, 0) - 1</f>
        <v/>
      </c>
      <c r="F221" s="31" t="inlineStr">
        <is>
          <t>Found Object</t>
        </is>
      </c>
      <c r="G221" s="29">
        <f>MATCH(F221, {"Waiting for Input","Analyzing Object","Found Object","Needs Help","Confused","None"}, 0) - 1</f>
        <v/>
      </c>
      <c r="H221" s="29" t="n">
        <v>3</v>
      </c>
      <c r="I221" s="29">
        <f>IF(E221=G221, 1, 0)</f>
        <v/>
      </c>
    </row>
    <row r="222" ht="22" customHeight="1" s="270">
      <c r="A222" s="29" t="n">
        <v>220</v>
      </c>
      <c r="B222" s="29" t="inlineStr">
        <is>
          <t>1</t>
        </is>
      </c>
      <c r="C222" s="30" t="inlineStr">
        <is>
          <t>GPT4</t>
        </is>
      </c>
      <c r="D222" s="29" t="inlineStr">
        <is>
          <t>Analyzing Object</t>
        </is>
      </c>
      <c r="E222" s="29">
        <f>MATCH(D222, {"Waiting for Input","Analyzing Object","Found Object","Needs Help","Confused","None"}, 0) - 1</f>
        <v/>
      </c>
      <c r="F222" s="31" t="inlineStr">
        <is>
          <t>Waiting for Input</t>
        </is>
      </c>
      <c r="G222" s="29">
        <f>MATCH(F222, {"Waiting for Input","Analyzing Object","Found Object","Needs Help","Confused","None"}, 0) - 1</f>
        <v/>
      </c>
      <c r="H222" s="29" t="n">
        <v>3</v>
      </c>
      <c r="I222" s="29">
        <f>IF(E222=G222, 1, 0)</f>
        <v/>
      </c>
    </row>
    <row r="223" ht="22" customHeight="1" s="270">
      <c r="A223" s="29" t="n">
        <v>221</v>
      </c>
      <c r="B223" s="29" t="inlineStr">
        <is>
          <t>2</t>
        </is>
      </c>
      <c r="C223" s="30" t="inlineStr">
        <is>
          <t>GPT4</t>
        </is>
      </c>
      <c r="D223" s="29" t="inlineStr">
        <is>
          <t>Analyzing Object</t>
        </is>
      </c>
      <c r="E223" s="29">
        <f>MATCH(D223, {"Waiting for Input","Analyzing Object","Found Object","Needs Help","Confused","None"}, 0) - 1</f>
        <v/>
      </c>
      <c r="F223" s="31" t="inlineStr">
        <is>
          <t>Waiting for Input</t>
        </is>
      </c>
      <c r="G223" s="29">
        <f>MATCH(F223, {"Waiting for Input","Analyzing Object","Found Object","Needs Help","Confused","None"}, 0) - 1</f>
        <v/>
      </c>
      <c r="H223" s="29" t="n">
        <v>2</v>
      </c>
      <c r="I223" s="29">
        <f>IF(E223=G223, 1, 0)</f>
        <v/>
      </c>
    </row>
    <row r="224" ht="22" customHeight="1" s="270">
      <c r="A224" s="29" t="n">
        <v>222</v>
      </c>
      <c r="B224" s="29" t="inlineStr">
        <is>
          <t>2</t>
        </is>
      </c>
      <c r="C224" s="30" t="inlineStr">
        <is>
          <t>GPT4</t>
        </is>
      </c>
      <c r="D224" s="29" t="inlineStr">
        <is>
          <t>Analyzing Object</t>
        </is>
      </c>
      <c r="E224" s="29">
        <f>MATCH(D224, {"Waiting for Input","Analyzing Object","Found Object","Needs Help","Confused","None"}, 0) - 1</f>
        <v/>
      </c>
      <c r="F224" s="31" t="inlineStr">
        <is>
          <t>Found Object</t>
        </is>
      </c>
      <c r="G224" s="29">
        <f>MATCH(F224, {"Waiting for Input","Analyzing Object","Found Object","Needs Help","Confused","None"}, 0) - 1</f>
        <v/>
      </c>
      <c r="H224" s="29" t="n">
        <v>5</v>
      </c>
      <c r="I224" s="29">
        <f>IF(E224=G224, 1, 0)</f>
        <v/>
      </c>
    </row>
    <row r="225" ht="22" customHeight="1" s="270">
      <c r="A225" s="29" t="n">
        <v>223</v>
      </c>
      <c r="B225" s="29" t="inlineStr">
        <is>
          <t>2</t>
        </is>
      </c>
      <c r="C225" s="30" t="inlineStr">
        <is>
          <t>GPT4</t>
        </is>
      </c>
      <c r="D225" s="29" t="inlineStr">
        <is>
          <t>Analyzing Object</t>
        </is>
      </c>
      <c r="E225" s="29">
        <f>MATCH(D225, {"Waiting for Input","Analyzing Object","Found Object","Needs Help","Confused","None"}, 0) - 1</f>
        <v/>
      </c>
      <c r="F225" s="31" t="inlineStr">
        <is>
          <t>Found Object</t>
        </is>
      </c>
      <c r="G225" s="29">
        <f>MATCH(F225, {"Waiting for Input","Analyzing Object","Found Object","Needs Help","Confused","None"}, 0) - 1</f>
        <v/>
      </c>
      <c r="H225" s="29" t="n">
        <v>3</v>
      </c>
      <c r="I225" s="29">
        <f>IF(E225=G225, 1, 0)</f>
        <v/>
      </c>
    </row>
    <row r="226" ht="22" customHeight="1" s="270">
      <c r="A226" s="29" t="n">
        <v>224</v>
      </c>
      <c r="B226" s="29" t="inlineStr">
        <is>
          <t>2</t>
        </is>
      </c>
      <c r="C226" s="30" t="inlineStr">
        <is>
          <t>GPT4</t>
        </is>
      </c>
      <c r="D226" s="29" t="inlineStr">
        <is>
          <t>Analyzing Object</t>
        </is>
      </c>
      <c r="E226" s="29">
        <f>MATCH(D226, {"Waiting for Input","Analyzing Object","Found Object","Needs Help","Confused","None"}, 0) - 1</f>
        <v/>
      </c>
      <c r="F226" s="31" t="inlineStr">
        <is>
          <t>Found Object</t>
        </is>
      </c>
      <c r="G226" s="29">
        <f>MATCH(F226, {"Waiting for Input","Analyzing Object","Found Object","Needs Help","Confused","None"}, 0) - 1</f>
        <v/>
      </c>
      <c r="H226" s="29" t="n">
        <v>4</v>
      </c>
      <c r="I226" s="29">
        <f>IF(E226=G226, 1, 0)</f>
        <v/>
      </c>
    </row>
    <row r="227" ht="22" customHeight="1" s="270">
      <c r="A227" s="29" t="n">
        <v>225</v>
      </c>
      <c r="B227" s="29" t="inlineStr">
        <is>
          <t>2</t>
        </is>
      </c>
      <c r="C227" s="30" t="inlineStr">
        <is>
          <t>GPT4</t>
        </is>
      </c>
      <c r="D227" s="29" t="inlineStr">
        <is>
          <t>Analyzing Object</t>
        </is>
      </c>
      <c r="E227" s="29">
        <f>MATCH(D227, {"Waiting for Input","Analyzing Object","Found Object","Needs Help","Confused","None"}, 0) - 1</f>
        <v/>
      </c>
      <c r="F227" s="31" t="inlineStr">
        <is>
          <t>Analyzing Object</t>
        </is>
      </c>
      <c r="G227" s="29">
        <f>MATCH(F227, {"Waiting for Input","Analyzing Object","Found Object","Needs Help","Confused","None"}, 0) - 1</f>
        <v/>
      </c>
      <c r="H227" s="29" t="n">
        <v>3</v>
      </c>
      <c r="I227" s="29">
        <f>IF(E227=G227, 1, 0)</f>
        <v/>
      </c>
    </row>
    <row r="228" ht="22" customHeight="1" s="270">
      <c r="A228" s="29" t="n">
        <v>226</v>
      </c>
      <c r="B228" s="29" t="inlineStr">
        <is>
          <t>2</t>
        </is>
      </c>
      <c r="C228" s="30" t="inlineStr">
        <is>
          <t>GPT4</t>
        </is>
      </c>
      <c r="D228" s="29" t="inlineStr">
        <is>
          <t>Analyzing Object</t>
        </is>
      </c>
      <c r="E228" s="29">
        <f>MATCH(D228, {"Waiting for Input","Analyzing Object","Found Object","Needs Help","Confused","None"}, 0) - 1</f>
        <v/>
      </c>
      <c r="F228" s="31" t="inlineStr">
        <is>
          <t>Analyzing Object</t>
        </is>
      </c>
      <c r="G228" s="29">
        <f>MATCH(F228, {"Waiting for Input","Analyzing Object","Found Object","Needs Help","Confused","None"}, 0) - 1</f>
        <v/>
      </c>
      <c r="H228" s="29" t="n">
        <v>3</v>
      </c>
      <c r="I228" s="29">
        <f>IF(E228=G228, 1, 0)</f>
        <v/>
      </c>
    </row>
    <row r="229" ht="22" customHeight="1" s="270">
      <c r="A229" s="29" t="n">
        <v>227</v>
      </c>
      <c r="B229" s="29" t="inlineStr">
        <is>
          <t>2</t>
        </is>
      </c>
      <c r="C229" s="30" t="inlineStr">
        <is>
          <t>GPT4</t>
        </is>
      </c>
      <c r="D229" s="29" t="inlineStr">
        <is>
          <t>Analyzing Object</t>
        </is>
      </c>
      <c r="E229" s="29">
        <f>MATCH(D229, {"Waiting for Input","Analyzing Object","Found Object","Needs Help","Confused","None"}, 0) - 1</f>
        <v/>
      </c>
      <c r="F229" s="31" t="inlineStr">
        <is>
          <t>Analyzing Object</t>
        </is>
      </c>
      <c r="G229" s="29">
        <f>MATCH(F229, {"Waiting for Input","Analyzing Object","Found Object","Needs Help","Confused","None"}, 0) - 1</f>
        <v/>
      </c>
      <c r="H229" s="29" t="n">
        <v>2</v>
      </c>
      <c r="I229" s="29">
        <f>IF(E229=G229, 1, 0)</f>
        <v/>
      </c>
    </row>
    <row r="230" ht="22" customHeight="1" s="270">
      <c r="A230" s="29" t="n">
        <v>228</v>
      </c>
      <c r="B230" s="29" t="inlineStr">
        <is>
          <t>2</t>
        </is>
      </c>
      <c r="C230" s="30" t="inlineStr">
        <is>
          <t>GPT4</t>
        </is>
      </c>
      <c r="D230" s="29" t="inlineStr">
        <is>
          <t>Analyzing Object</t>
        </is>
      </c>
      <c r="E230" s="29">
        <f>MATCH(D230, {"Waiting for Input","Analyzing Object","Found Object","Needs Help","Confused","None"}, 0) - 1</f>
        <v/>
      </c>
      <c r="F230" s="31" t="inlineStr">
        <is>
          <t>Found Object</t>
        </is>
      </c>
      <c r="G230" s="29">
        <f>MATCH(F230, {"Waiting for Input","Analyzing Object","Found Object","Needs Help","Confused","None"}, 0) - 1</f>
        <v/>
      </c>
      <c r="H230" s="29" t="n">
        <v>4</v>
      </c>
      <c r="I230" s="29">
        <f>IF(E230=G230, 1, 0)</f>
        <v/>
      </c>
    </row>
    <row r="231" ht="22" customHeight="1" s="270">
      <c r="A231" s="29" t="n">
        <v>229</v>
      </c>
      <c r="B231" s="29" t="inlineStr">
        <is>
          <t>2</t>
        </is>
      </c>
      <c r="C231" s="30" t="inlineStr">
        <is>
          <t>GPT4</t>
        </is>
      </c>
      <c r="D231" s="29" t="inlineStr">
        <is>
          <t>Analyzing Object</t>
        </is>
      </c>
      <c r="E231" s="29">
        <f>MATCH(D231, {"Waiting for Input","Analyzing Object","Found Object","Needs Help","Confused","None"}, 0) - 1</f>
        <v/>
      </c>
      <c r="F231" s="31" t="inlineStr">
        <is>
          <t>Found Object</t>
        </is>
      </c>
      <c r="G231" s="29">
        <f>MATCH(F231, {"Waiting for Input","Analyzing Object","Found Object","Needs Help","Confused","None"}, 0) - 1</f>
        <v/>
      </c>
      <c r="H231" s="29" t="n">
        <v>3</v>
      </c>
      <c r="I231" s="29">
        <f>IF(E231=G231, 1, 0)</f>
        <v/>
      </c>
    </row>
    <row r="232" ht="22" customHeight="1" s="270">
      <c r="A232" s="29" t="n">
        <v>230</v>
      </c>
      <c r="B232" s="29" t="inlineStr">
        <is>
          <t>2</t>
        </is>
      </c>
      <c r="C232" s="30" t="inlineStr">
        <is>
          <t>GPT4</t>
        </is>
      </c>
      <c r="D232" s="29" t="inlineStr">
        <is>
          <t>Analyzing Object</t>
        </is>
      </c>
      <c r="E232" s="29">
        <f>MATCH(D232, {"Waiting for Input","Analyzing Object","Found Object","Needs Help","Confused","None"}, 0) - 1</f>
        <v/>
      </c>
      <c r="F232" s="31" t="inlineStr">
        <is>
          <t>Analyzing Object</t>
        </is>
      </c>
      <c r="G232" s="29">
        <f>MATCH(F232, {"Waiting for Input","Analyzing Object","Found Object","Needs Help","Confused","None"}, 0) - 1</f>
        <v/>
      </c>
      <c r="H232" s="29" t="n">
        <v>5</v>
      </c>
      <c r="I232" s="29">
        <f>IF(E232=G232, 1, 0)</f>
        <v/>
      </c>
    </row>
    <row r="233" ht="22" customHeight="1" s="270">
      <c r="A233" s="29" t="n">
        <v>231</v>
      </c>
      <c r="B233" s="29" t="inlineStr">
        <is>
          <t>1</t>
        </is>
      </c>
      <c r="C233" s="30" t="inlineStr">
        <is>
          <t>GPT4</t>
        </is>
      </c>
      <c r="D233" s="29" t="inlineStr">
        <is>
          <t>Analyzing Object</t>
        </is>
      </c>
      <c r="E233" s="29">
        <f>MATCH(D233, {"Waiting for Input","Analyzing Object","Found Object","Needs Help","Confused","None"}, 0) - 1</f>
        <v/>
      </c>
      <c r="F233" s="31" t="inlineStr">
        <is>
          <t>Found Object</t>
        </is>
      </c>
      <c r="G233" s="29">
        <f>MATCH(F233, {"Waiting for Input","Analyzing Object","Found Object","Needs Help","Confused","None"}, 0) - 1</f>
        <v/>
      </c>
      <c r="H233" s="29" t="n">
        <v>4</v>
      </c>
      <c r="I233" s="29">
        <f>IF(E233=G233, 1, 0)</f>
        <v/>
      </c>
    </row>
    <row r="234" ht="22" customHeight="1" s="270">
      <c r="A234" s="29" t="n">
        <v>232</v>
      </c>
      <c r="B234" s="29" t="inlineStr">
        <is>
          <t>2</t>
        </is>
      </c>
      <c r="C234" s="30" t="inlineStr">
        <is>
          <t>GPT4</t>
        </is>
      </c>
      <c r="D234" s="29" t="inlineStr">
        <is>
          <t>Analyzing Object</t>
        </is>
      </c>
      <c r="E234" s="29">
        <f>MATCH(D234, {"Waiting for Input","Analyzing Object","Found Object","Needs Help","Confused","None"}, 0) - 1</f>
        <v/>
      </c>
      <c r="F234" s="31" t="inlineStr">
        <is>
          <t>Analyzing Object</t>
        </is>
      </c>
      <c r="G234" s="29">
        <f>MATCH(F234, {"Waiting for Input","Analyzing Object","Found Object","Needs Help","Confused","None"}, 0) - 1</f>
        <v/>
      </c>
      <c r="H234" s="29" t="n">
        <v>2</v>
      </c>
      <c r="I234" s="29">
        <f>IF(E234=G234, 1, 0)</f>
        <v/>
      </c>
    </row>
    <row r="235" ht="22" customHeight="1" s="270">
      <c r="A235" s="29" t="n">
        <v>233</v>
      </c>
      <c r="B235" s="29" t="inlineStr">
        <is>
          <t>2</t>
        </is>
      </c>
      <c r="C235" s="30" t="inlineStr">
        <is>
          <t>GPT4</t>
        </is>
      </c>
      <c r="D235" s="29" t="inlineStr">
        <is>
          <t>Analyzing Object</t>
        </is>
      </c>
      <c r="E235" s="29">
        <f>MATCH(D235, {"Waiting for Input","Analyzing Object","Found Object","Needs Help","Confused","None"}, 0) - 1</f>
        <v/>
      </c>
      <c r="F235" s="31" t="inlineStr">
        <is>
          <t>Found Object</t>
        </is>
      </c>
      <c r="G235" s="29">
        <f>MATCH(F235, {"Waiting for Input","Analyzing Object","Found Object","Needs Help","Confused","None"}, 0) - 1</f>
        <v/>
      </c>
      <c r="H235" s="29" t="n">
        <v>3</v>
      </c>
      <c r="I235" s="29">
        <f>IF(E235=G235, 1, 0)</f>
        <v/>
      </c>
    </row>
    <row r="236" ht="22" customHeight="1" s="270">
      <c r="A236" s="29" t="n">
        <v>234</v>
      </c>
      <c r="B236" s="29" t="inlineStr">
        <is>
          <t>1</t>
        </is>
      </c>
      <c r="C236" s="30" t="inlineStr">
        <is>
          <t>GPT4</t>
        </is>
      </c>
      <c r="D236" s="29" t="inlineStr">
        <is>
          <t>Analyzing Object</t>
        </is>
      </c>
      <c r="E236" s="29">
        <f>MATCH(D236, {"Waiting for Input","Analyzing Object","Found Object","Needs Help","Confused","None"}, 0) - 1</f>
        <v/>
      </c>
      <c r="F236" s="31" t="inlineStr">
        <is>
          <t>Found Object</t>
        </is>
      </c>
      <c r="G236" s="29">
        <f>MATCH(F236, {"Waiting for Input","Analyzing Object","Found Object","Needs Help","Confused","None"}, 0) - 1</f>
        <v/>
      </c>
      <c r="H236" s="29" t="n">
        <v>3</v>
      </c>
      <c r="I236" s="29">
        <f>IF(E236=G236, 1, 0)</f>
        <v/>
      </c>
    </row>
    <row r="237" ht="22" customHeight="1" s="270">
      <c r="A237" s="29" t="n">
        <v>235</v>
      </c>
      <c r="B237" s="29" t="inlineStr">
        <is>
          <t>2</t>
        </is>
      </c>
      <c r="C237" s="30" t="inlineStr">
        <is>
          <t>GPT4</t>
        </is>
      </c>
      <c r="D237" s="29" t="inlineStr">
        <is>
          <t>Analyzing Object</t>
        </is>
      </c>
      <c r="E237" s="29">
        <f>MATCH(D237, {"Waiting for Input","Analyzing Object","Found Object","Needs Help","Confused","None"}, 0) - 1</f>
        <v/>
      </c>
      <c r="F237" s="31" t="inlineStr">
        <is>
          <t>Analyzing Object</t>
        </is>
      </c>
      <c r="G237" s="29">
        <f>MATCH(F237, {"Waiting for Input","Analyzing Object","Found Object","Needs Help","Confused","None"}, 0) - 1</f>
        <v/>
      </c>
      <c r="H237" s="29" t="n">
        <v>5</v>
      </c>
      <c r="I237" s="29">
        <f>IF(E237=G237, 1, 0)</f>
        <v/>
      </c>
    </row>
    <row r="238" ht="22" customHeight="1" s="270">
      <c r="A238" s="29" t="n">
        <v>236</v>
      </c>
      <c r="B238" s="29" t="inlineStr">
        <is>
          <t>2</t>
        </is>
      </c>
      <c r="C238" s="30" t="inlineStr">
        <is>
          <t>GPT4</t>
        </is>
      </c>
      <c r="D238" s="29" t="inlineStr">
        <is>
          <t>Analyzing Object</t>
        </is>
      </c>
      <c r="E238" s="29">
        <f>MATCH(D238, {"Waiting for Input","Analyzing Object","Found Object","Needs Help","Confused","None"}, 0) - 1</f>
        <v/>
      </c>
      <c r="F238" s="31" t="inlineStr">
        <is>
          <t>Found Object</t>
        </is>
      </c>
      <c r="G238" s="29">
        <f>MATCH(F238, {"Waiting for Input","Analyzing Object","Found Object","Needs Help","Confused","None"}, 0) - 1</f>
        <v/>
      </c>
      <c r="H238" s="29" t="n">
        <v>4</v>
      </c>
      <c r="I238" s="29">
        <f>IF(E238=G238, 1, 0)</f>
        <v/>
      </c>
    </row>
    <row r="239" ht="22" customHeight="1" s="270">
      <c r="A239" s="29" t="n">
        <v>237</v>
      </c>
      <c r="B239" s="29" t="inlineStr">
        <is>
          <t>2</t>
        </is>
      </c>
      <c r="C239" s="30" t="inlineStr">
        <is>
          <t>GPT4</t>
        </is>
      </c>
      <c r="D239" s="29" t="inlineStr">
        <is>
          <t>Analyzing Object</t>
        </is>
      </c>
      <c r="E239" s="29">
        <f>MATCH(D239, {"Waiting for Input","Analyzing Object","Found Object","Needs Help","Confused","None"}, 0) - 1</f>
        <v/>
      </c>
      <c r="F239" s="31" t="inlineStr">
        <is>
          <t>Analyzing Object</t>
        </is>
      </c>
      <c r="G239" s="29">
        <f>MATCH(F239, {"Waiting for Input","Analyzing Object","Found Object","Needs Help","Confused","None"}, 0) - 1</f>
        <v/>
      </c>
      <c r="H239" s="29" t="n">
        <v>3</v>
      </c>
      <c r="I239" s="29">
        <f>IF(E239=G239, 1, 0)</f>
        <v/>
      </c>
    </row>
    <row r="240" ht="22" customHeight="1" s="270">
      <c r="A240" s="29" t="n">
        <v>238</v>
      </c>
      <c r="B240" s="29" t="inlineStr">
        <is>
          <t>1</t>
        </is>
      </c>
      <c r="C240" s="30" t="inlineStr">
        <is>
          <t>GPT4</t>
        </is>
      </c>
      <c r="D240" s="29" t="inlineStr">
        <is>
          <t>Analyzing Object</t>
        </is>
      </c>
      <c r="E240" s="29">
        <f>MATCH(D240, {"Waiting for Input","Analyzing Object","Found Object","Needs Help","Confused","None"}, 0) - 1</f>
        <v/>
      </c>
      <c r="F240" s="31" t="inlineStr">
        <is>
          <t>Analyzing Object</t>
        </is>
      </c>
      <c r="G240" s="29">
        <f>MATCH(F240, {"Waiting for Input","Analyzing Object","Found Object","Needs Help","Confused","None"}, 0) - 1</f>
        <v/>
      </c>
      <c r="H240" s="29" t="n">
        <v>5</v>
      </c>
      <c r="I240" s="29">
        <f>IF(E240=G240, 1, 0)</f>
        <v/>
      </c>
    </row>
    <row r="241" ht="22" customHeight="1" s="270">
      <c r="A241" s="29" t="n">
        <v>239</v>
      </c>
      <c r="B241" s="29" t="inlineStr">
        <is>
          <t>2</t>
        </is>
      </c>
      <c r="C241" s="30" t="inlineStr">
        <is>
          <t>GPT4</t>
        </is>
      </c>
      <c r="D241" s="29" t="inlineStr">
        <is>
          <t>Analyzing Object</t>
        </is>
      </c>
      <c r="E241" s="29">
        <f>MATCH(D241, {"Waiting for Input","Analyzing Object","Found Object","Needs Help","Confused","None"}, 0) - 1</f>
        <v/>
      </c>
      <c r="F241" s="31" t="inlineStr">
        <is>
          <t>Analyzing Object</t>
        </is>
      </c>
      <c r="G241" s="29">
        <f>MATCH(F241, {"Waiting for Input","Analyzing Object","Found Object","Needs Help","Confused","None"}, 0) - 1</f>
        <v/>
      </c>
      <c r="H241" s="29" t="n">
        <v>4</v>
      </c>
      <c r="I241" s="29">
        <f>IF(E241=G241, 1, 0)</f>
        <v/>
      </c>
    </row>
    <row r="242" ht="22" customHeight="1" s="270">
      <c r="A242" s="29" t="n">
        <v>240</v>
      </c>
      <c r="B242" s="29" t="inlineStr">
        <is>
          <t>1</t>
        </is>
      </c>
      <c r="C242" s="30" t="inlineStr">
        <is>
          <t>Human</t>
        </is>
      </c>
      <c r="D242" s="29" t="inlineStr">
        <is>
          <t>Analyzing Object</t>
        </is>
      </c>
      <c r="E242" s="29">
        <f>MATCH(D242, {"Waiting for Input","Analyzing Object","Found Object","Needs Help","Confused","None"}, 0) - 1</f>
        <v/>
      </c>
      <c r="F242" s="31" t="inlineStr">
        <is>
          <t>Analyzing Object</t>
        </is>
      </c>
      <c r="G242" s="29">
        <f>MATCH(F242, {"Waiting for Input","Analyzing Object","Found Object","Needs Help","Confused","None"}, 0) - 1</f>
        <v/>
      </c>
      <c r="H242" s="29" t="n">
        <v>3</v>
      </c>
      <c r="I242" s="29">
        <f>IF(E242=G242, 1, 0)</f>
        <v/>
      </c>
    </row>
    <row r="243" ht="22" customHeight="1" s="270">
      <c r="A243" s="29" t="n">
        <v>241</v>
      </c>
      <c r="B243" s="29" t="inlineStr">
        <is>
          <t>1</t>
        </is>
      </c>
      <c r="C243" s="30" t="inlineStr">
        <is>
          <t>Human</t>
        </is>
      </c>
      <c r="D243" s="29" t="inlineStr">
        <is>
          <t>Analyzing Object</t>
        </is>
      </c>
      <c r="E243" s="29">
        <f>MATCH(D243, {"Waiting for Input","Analyzing Object","Found Object","Needs Help","Confused","None"}, 0) - 1</f>
        <v/>
      </c>
      <c r="F243" s="31" t="inlineStr">
        <is>
          <t>Analyzing Object</t>
        </is>
      </c>
      <c r="G243" s="29">
        <f>MATCH(F243, {"Waiting for Input","Analyzing Object","Found Object","Needs Help","Confused","None"}, 0) - 1</f>
        <v/>
      </c>
      <c r="H243" s="29" t="n">
        <v>4</v>
      </c>
      <c r="I243" s="29">
        <f>IF(E243=G243, 1, 0)</f>
        <v/>
      </c>
    </row>
    <row r="244" ht="22" customHeight="1" s="270">
      <c r="A244" s="29" t="n">
        <v>242</v>
      </c>
      <c r="B244" s="29" t="inlineStr">
        <is>
          <t>1</t>
        </is>
      </c>
      <c r="C244" s="30" t="inlineStr">
        <is>
          <t>Human</t>
        </is>
      </c>
      <c r="D244" s="29" t="inlineStr">
        <is>
          <t>Analyzing Object</t>
        </is>
      </c>
      <c r="E244" s="29">
        <f>MATCH(D244, {"Waiting for Input","Analyzing Object","Found Object","Needs Help","Confused","None"}, 0) - 1</f>
        <v/>
      </c>
      <c r="F244" s="31" t="inlineStr">
        <is>
          <t>Analyzing Object</t>
        </is>
      </c>
      <c r="G244" s="29">
        <f>MATCH(F244, {"Waiting for Input","Analyzing Object","Found Object","Needs Help","Confused","None"}, 0) - 1</f>
        <v/>
      </c>
      <c r="H244" s="29" t="n">
        <v>3</v>
      </c>
      <c r="I244" s="29">
        <f>IF(E244=G244, 1, 0)</f>
        <v/>
      </c>
    </row>
    <row r="245" ht="22" customHeight="1" s="270">
      <c r="A245" s="29" t="n">
        <v>243</v>
      </c>
      <c r="B245" s="29" t="inlineStr">
        <is>
          <t>2</t>
        </is>
      </c>
      <c r="C245" s="30" t="inlineStr">
        <is>
          <t>Human</t>
        </is>
      </c>
      <c r="D245" s="29" t="inlineStr">
        <is>
          <t>Analyzing Object</t>
        </is>
      </c>
      <c r="E245" s="29">
        <f>MATCH(D245, {"Waiting for Input","Analyzing Object","Found Object","Needs Help","Confused","None"}, 0) - 1</f>
        <v/>
      </c>
      <c r="F245" s="31" t="inlineStr">
        <is>
          <t>Analyzing Object</t>
        </is>
      </c>
      <c r="G245" s="29">
        <f>MATCH(F245, {"Waiting for Input","Analyzing Object","Found Object","Needs Help","Confused","None"}, 0) - 1</f>
        <v/>
      </c>
      <c r="H245" s="29" t="n">
        <v>4</v>
      </c>
      <c r="I245" s="29">
        <f>IF(E245=G245, 1, 0)</f>
        <v/>
      </c>
    </row>
    <row r="246" ht="22" customHeight="1" s="270">
      <c r="A246" s="29" t="n">
        <v>244</v>
      </c>
      <c r="B246" s="29" t="inlineStr">
        <is>
          <t>2</t>
        </is>
      </c>
      <c r="C246" s="30" t="inlineStr">
        <is>
          <t>Human</t>
        </is>
      </c>
      <c r="D246" s="29" t="inlineStr">
        <is>
          <t>Analyzing Object</t>
        </is>
      </c>
      <c r="E246" s="29">
        <f>MATCH(D246, {"Waiting for Input","Analyzing Object","Found Object","Needs Help","Confused","None"}, 0) - 1</f>
        <v/>
      </c>
      <c r="F246" s="31" t="inlineStr">
        <is>
          <t>Found Object</t>
        </is>
      </c>
      <c r="G246" s="29">
        <f>MATCH(F246, {"Waiting for Input","Analyzing Object","Found Object","Needs Help","Confused","None"}, 0) - 1</f>
        <v/>
      </c>
      <c r="H246" s="29" t="n">
        <v>3</v>
      </c>
      <c r="I246" s="29">
        <f>IF(E246=G246, 1, 0)</f>
        <v/>
      </c>
    </row>
    <row r="247" ht="22" customHeight="1" s="270">
      <c r="A247" s="29" t="n">
        <v>245</v>
      </c>
      <c r="B247" s="29" t="inlineStr">
        <is>
          <t>1</t>
        </is>
      </c>
      <c r="C247" s="30" t="inlineStr">
        <is>
          <t>Human</t>
        </is>
      </c>
      <c r="D247" s="29" t="inlineStr">
        <is>
          <t>Analyzing Object</t>
        </is>
      </c>
      <c r="E247" s="29">
        <f>MATCH(D247, {"Waiting for Input","Analyzing Object","Found Object","Needs Help","Confused","None"}, 0) - 1</f>
        <v/>
      </c>
      <c r="F247" s="31" t="inlineStr">
        <is>
          <t>Analyzing Object</t>
        </is>
      </c>
      <c r="G247" s="29">
        <f>MATCH(F247, {"Waiting for Input","Analyzing Object","Found Object","Needs Help","Confused","None"}, 0) - 1</f>
        <v/>
      </c>
      <c r="H247" s="29" t="n">
        <v>5</v>
      </c>
      <c r="I247" s="29">
        <f>IF(E247=G247, 1, 0)</f>
        <v/>
      </c>
    </row>
    <row r="248" ht="22" customHeight="1" s="270">
      <c r="A248" s="29" t="n">
        <v>246</v>
      </c>
      <c r="B248" s="29" t="inlineStr">
        <is>
          <t>2</t>
        </is>
      </c>
      <c r="C248" s="30" t="inlineStr">
        <is>
          <t>Human</t>
        </is>
      </c>
      <c r="D248" s="29" t="inlineStr">
        <is>
          <t>Analyzing Object</t>
        </is>
      </c>
      <c r="E248" s="29">
        <f>MATCH(D248, {"Waiting for Input","Analyzing Object","Found Object","Needs Help","Confused","None"}, 0) - 1</f>
        <v/>
      </c>
      <c r="F248" s="31" t="inlineStr">
        <is>
          <t>Found Object</t>
        </is>
      </c>
      <c r="G248" s="29">
        <f>MATCH(F248, {"Waiting for Input","Analyzing Object","Found Object","Needs Help","Confused","None"}, 0) - 1</f>
        <v/>
      </c>
      <c r="H248" s="29" t="n">
        <v>4</v>
      </c>
      <c r="I248" s="29">
        <f>IF(E248=G248, 1, 0)</f>
        <v/>
      </c>
    </row>
    <row r="249" ht="22" customHeight="1" s="270">
      <c r="A249" s="29" t="n">
        <v>247</v>
      </c>
      <c r="B249" s="29" t="inlineStr">
        <is>
          <t>1</t>
        </is>
      </c>
      <c r="C249" s="30" t="inlineStr">
        <is>
          <t>Human</t>
        </is>
      </c>
      <c r="D249" s="29" t="inlineStr">
        <is>
          <t>Analyzing Object</t>
        </is>
      </c>
      <c r="E249" s="29">
        <f>MATCH(D249, {"Waiting for Input","Analyzing Object","Found Object","Needs Help","Confused","None"}, 0) - 1</f>
        <v/>
      </c>
      <c r="F249" s="31" t="inlineStr">
        <is>
          <t>Analyzing Object</t>
        </is>
      </c>
      <c r="G249" s="29">
        <f>MATCH(F249, {"Waiting for Input","Analyzing Object","Found Object","Needs Help","Confused","None"}, 0) - 1</f>
        <v/>
      </c>
      <c r="H249" s="29" t="n">
        <v>4</v>
      </c>
      <c r="I249" s="29">
        <f>IF(E249=G249, 1, 0)</f>
        <v/>
      </c>
    </row>
    <row r="250" ht="22" customHeight="1" s="270">
      <c r="A250" s="29" t="n">
        <v>248</v>
      </c>
      <c r="B250" s="29" t="inlineStr">
        <is>
          <t>1</t>
        </is>
      </c>
      <c r="C250" s="30" t="inlineStr">
        <is>
          <t>Human</t>
        </is>
      </c>
      <c r="D250" s="29" t="inlineStr">
        <is>
          <t>Analyzing Object</t>
        </is>
      </c>
      <c r="E250" s="29">
        <f>MATCH(D250, {"Waiting for Input","Analyzing Object","Found Object","Needs Help","Confused","None"}, 0) - 1</f>
        <v/>
      </c>
      <c r="F250" s="31" t="inlineStr">
        <is>
          <t>Found Object</t>
        </is>
      </c>
      <c r="G250" s="29">
        <f>MATCH(F250, {"Waiting for Input","Analyzing Object","Found Object","Needs Help","Confused","None"}, 0) - 1</f>
        <v/>
      </c>
      <c r="H250" s="29" t="n">
        <v>4</v>
      </c>
      <c r="I250" s="29">
        <f>IF(E250=G250, 1, 0)</f>
        <v/>
      </c>
    </row>
    <row r="251" ht="22" customHeight="1" s="270">
      <c r="A251" s="29" t="n">
        <v>249</v>
      </c>
      <c r="B251" s="29" t="inlineStr">
        <is>
          <t>1</t>
        </is>
      </c>
      <c r="C251" s="30" t="inlineStr">
        <is>
          <t>Human</t>
        </is>
      </c>
      <c r="D251" s="29" t="inlineStr">
        <is>
          <t>Analyzing Object</t>
        </is>
      </c>
      <c r="E251" s="29">
        <f>MATCH(D251, {"Waiting for Input","Analyzing Object","Found Object","Needs Help","Confused","None"}, 0) - 1</f>
        <v/>
      </c>
      <c r="F251" s="31" t="inlineStr">
        <is>
          <t>Analyzing Object</t>
        </is>
      </c>
      <c r="G251" s="29">
        <f>MATCH(F251, {"Waiting for Input","Analyzing Object","Found Object","Needs Help","Confused","None"}, 0) - 1</f>
        <v/>
      </c>
      <c r="H251" s="29" t="n">
        <v>4</v>
      </c>
      <c r="I251" s="29">
        <f>IF(E251=G251, 1, 0)</f>
        <v/>
      </c>
    </row>
    <row r="252" ht="22" customHeight="1" s="270">
      <c r="A252" s="29" t="n">
        <v>250</v>
      </c>
      <c r="B252" s="29" t="inlineStr">
        <is>
          <t>2</t>
        </is>
      </c>
      <c r="C252" s="30" t="inlineStr">
        <is>
          <t>Human</t>
        </is>
      </c>
      <c r="D252" s="29" t="inlineStr">
        <is>
          <t>Analyzing Object</t>
        </is>
      </c>
      <c r="E252" s="29">
        <f>MATCH(D252, {"Waiting for Input","Analyzing Object","Found Object","Needs Help","Confused","None"}, 0) - 1</f>
        <v/>
      </c>
      <c r="F252" s="31" t="inlineStr">
        <is>
          <t>Analyzing Object</t>
        </is>
      </c>
      <c r="G252" s="29">
        <f>MATCH(F252, {"Waiting for Input","Analyzing Object","Found Object","Needs Help","Confused","None"}, 0) - 1</f>
        <v/>
      </c>
      <c r="H252" s="29" t="n">
        <v>4</v>
      </c>
      <c r="I252" s="29">
        <f>IF(E252=G252, 1, 0)</f>
        <v/>
      </c>
    </row>
    <row r="253" ht="22" customHeight="1" s="270">
      <c r="A253" s="29" t="n">
        <v>251</v>
      </c>
      <c r="B253" s="29" t="inlineStr">
        <is>
          <t>2</t>
        </is>
      </c>
      <c r="C253" s="30" t="inlineStr">
        <is>
          <t>Human</t>
        </is>
      </c>
      <c r="D253" s="29" t="inlineStr">
        <is>
          <t>Analyzing Object</t>
        </is>
      </c>
      <c r="E253" s="29">
        <f>MATCH(D253, {"Waiting for Input","Analyzing Object","Found Object","Needs Help","Confused","None"}, 0) - 1</f>
        <v/>
      </c>
      <c r="F253" s="31" t="inlineStr">
        <is>
          <t>Found Object</t>
        </is>
      </c>
      <c r="G253" s="29">
        <f>MATCH(F253, {"Waiting for Input","Analyzing Object","Found Object","Needs Help","Confused","None"}, 0) - 1</f>
        <v/>
      </c>
      <c r="H253" s="29" t="n">
        <v>4</v>
      </c>
      <c r="I253" s="29">
        <f>IF(E253=G253, 1, 0)</f>
        <v/>
      </c>
    </row>
    <row r="254" ht="22" customHeight="1" s="270">
      <c r="A254" s="29" t="n">
        <v>252</v>
      </c>
      <c r="B254" s="29" t="inlineStr">
        <is>
          <t>2</t>
        </is>
      </c>
      <c r="C254" s="30" t="inlineStr">
        <is>
          <t>Human</t>
        </is>
      </c>
      <c r="D254" s="29" t="inlineStr">
        <is>
          <t>Analyzing Object</t>
        </is>
      </c>
      <c r="E254" s="29">
        <f>MATCH(D254, {"Waiting for Input","Analyzing Object","Found Object","Needs Help","Confused","None"}, 0) - 1</f>
        <v/>
      </c>
      <c r="F254" s="31" t="inlineStr">
        <is>
          <t>Found Object</t>
        </is>
      </c>
      <c r="G254" s="29">
        <f>MATCH(F254, {"Waiting for Input","Analyzing Object","Found Object","Needs Help","Confused","None"}, 0) - 1</f>
        <v/>
      </c>
      <c r="H254" s="29" t="n">
        <v>3</v>
      </c>
      <c r="I254" s="29">
        <f>IF(E254=G254, 1, 0)</f>
        <v/>
      </c>
    </row>
    <row r="255" ht="22" customHeight="1" s="270">
      <c r="A255" s="29" t="n">
        <v>253</v>
      </c>
      <c r="B255" s="29" t="inlineStr">
        <is>
          <t>2</t>
        </is>
      </c>
      <c r="C255" s="30" t="inlineStr">
        <is>
          <t>Human</t>
        </is>
      </c>
      <c r="D255" s="29" t="inlineStr">
        <is>
          <t>Analyzing Object</t>
        </is>
      </c>
      <c r="E255" s="29">
        <f>MATCH(D255, {"Waiting for Input","Analyzing Object","Found Object","Needs Help","Confused","None"}, 0) - 1</f>
        <v/>
      </c>
      <c r="F255" s="31" t="inlineStr">
        <is>
          <t>Analyzing Object</t>
        </is>
      </c>
      <c r="G255" s="29">
        <f>MATCH(F255, {"Waiting for Input","Analyzing Object","Found Object","Needs Help","Confused","None"}, 0) - 1</f>
        <v/>
      </c>
      <c r="H255" s="29" t="n">
        <v>5</v>
      </c>
      <c r="I255" s="29">
        <f>IF(E255=G255, 1, 0)</f>
        <v/>
      </c>
    </row>
    <row r="256" ht="22" customHeight="1" s="270">
      <c r="A256" s="29" t="n">
        <v>254</v>
      </c>
      <c r="B256" s="29" t="inlineStr">
        <is>
          <t>1</t>
        </is>
      </c>
      <c r="C256" s="30" t="inlineStr">
        <is>
          <t>Human</t>
        </is>
      </c>
      <c r="D256" s="29" t="inlineStr">
        <is>
          <t>Analyzing Object</t>
        </is>
      </c>
      <c r="E256" s="29">
        <f>MATCH(D256, {"Waiting for Input","Analyzing Object","Found Object","Needs Help","Confused","None"}, 0) - 1</f>
        <v/>
      </c>
      <c r="F256" s="31" t="inlineStr">
        <is>
          <t>Analyzing Object</t>
        </is>
      </c>
      <c r="G256" s="29">
        <f>MATCH(F256, {"Waiting for Input","Analyzing Object","Found Object","Needs Help","Confused","None"}, 0) - 1</f>
        <v/>
      </c>
      <c r="H256" s="29" t="n">
        <v>4</v>
      </c>
      <c r="I256" s="29">
        <f>IF(E256=G256, 1, 0)</f>
        <v/>
      </c>
    </row>
    <row r="257" ht="22" customHeight="1" s="270">
      <c r="A257" s="29" t="n">
        <v>255</v>
      </c>
      <c r="B257" s="29" t="inlineStr">
        <is>
          <t>1</t>
        </is>
      </c>
      <c r="C257" s="30" t="inlineStr">
        <is>
          <t>Human</t>
        </is>
      </c>
      <c r="D257" s="29" t="inlineStr">
        <is>
          <t>Analyzing Object</t>
        </is>
      </c>
      <c r="E257" s="29">
        <f>MATCH(D257, {"Waiting for Input","Analyzing Object","Found Object","Needs Help","Confused","None"}, 0) - 1</f>
        <v/>
      </c>
      <c r="F257" s="31" t="inlineStr">
        <is>
          <t>Found Object</t>
        </is>
      </c>
      <c r="G257" s="29">
        <f>MATCH(F257, {"Waiting for Input","Analyzing Object","Found Object","Needs Help","Confused","None"}, 0) - 1</f>
        <v/>
      </c>
      <c r="H257" s="29" t="n">
        <v>4</v>
      </c>
      <c r="I257" s="29">
        <f>IF(E257=G257, 1, 0)</f>
        <v/>
      </c>
    </row>
    <row r="258" ht="22" customHeight="1" s="270">
      <c r="A258" s="29" t="n">
        <v>256</v>
      </c>
      <c r="B258" s="29" t="inlineStr">
        <is>
          <t>1</t>
        </is>
      </c>
      <c r="C258" s="30" t="inlineStr">
        <is>
          <t>Human</t>
        </is>
      </c>
      <c r="D258" s="29" t="inlineStr">
        <is>
          <t>Analyzing Object</t>
        </is>
      </c>
      <c r="E258" s="29">
        <f>MATCH(D258, {"Waiting for Input","Analyzing Object","Found Object","Needs Help","Confused","None"}, 0) - 1</f>
        <v/>
      </c>
      <c r="F258" s="31" t="inlineStr">
        <is>
          <t>Analyzing Object</t>
        </is>
      </c>
      <c r="G258" s="29">
        <f>MATCH(F258, {"Waiting for Input","Analyzing Object","Found Object","Needs Help","Confused","None"}, 0) - 1</f>
        <v/>
      </c>
      <c r="H258" s="29" t="n">
        <v>2</v>
      </c>
      <c r="I258" s="29">
        <f>IF(E258=G258, 1, 0)</f>
        <v/>
      </c>
    </row>
    <row r="259" ht="22" customHeight="1" s="270">
      <c r="A259" s="29" t="n">
        <v>257</v>
      </c>
      <c r="B259" s="29" t="inlineStr">
        <is>
          <t>2</t>
        </is>
      </c>
      <c r="C259" s="30" t="inlineStr">
        <is>
          <t>Human</t>
        </is>
      </c>
      <c r="D259" s="29" t="inlineStr">
        <is>
          <t>Analyzing Object</t>
        </is>
      </c>
      <c r="E259" s="29">
        <f>MATCH(D259, {"Waiting for Input","Analyzing Object","Found Object","Needs Help","Confused","None"}, 0) - 1</f>
        <v/>
      </c>
      <c r="F259" s="31" t="inlineStr">
        <is>
          <t>Found Object</t>
        </is>
      </c>
      <c r="G259" s="29">
        <f>MATCH(F259, {"Waiting for Input","Analyzing Object","Found Object","Needs Help","Confused","None"}, 0) - 1</f>
        <v/>
      </c>
      <c r="H259" s="29" t="n">
        <v>5</v>
      </c>
      <c r="I259" s="29">
        <f>IF(E259=G259, 1, 0)</f>
        <v/>
      </c>
    </row>
    <row r="260" ht="22" customHeight="1" s="270">
      <c r="A260" s="29" t="n">
        <v>258</v>
      </c>
      <c r="B260" s="29" t="inlineStr">
        <is>
          <t>2</t>
        </is>
      </c>
      <c r="C260" s="30" t="inlineStr">
        <is>
          <t>Human</t>
        </is>
      </c>
      <c r="D260" s="29" t="inlineStr">
        <is>
          <t>Analyzing Object</t>
        </is>
      </c>
      <c r="E260" s="29">
        <f>MATCH(D260, {"Waiting for Input","Analyzing Object","Found Object","Needs Help","Confused","None"}, 0) - 1</f>
        <v/>
      </c>
      <c r="F260" s="31" t="inlineStr">
        <is>
          <t>Found Object</t>
        </is>
      </c>
      <c r="G260" s="29">
        <f>MATCH(F260, {"Waiting for Input","Analyzing Object","Found Object","Needs Help","Confused","None"}, 0) - 1</f>
        <v/>
      </c>
      <c r="H260" s="29" t="n">
        <v>4</v>
      </c>
      <c r="I260" s="29">
        <f>IF(E260=G260, 1, 0)</f>
        <v/>
      </c>
    </row>
    <row r="261" ht="22" customHeight="1" s="270">
      <c r="A261" s="29" t="n">
        <v>259</v>
      </c>
      <c r="B261" s="29" t="inlineStr">
        <is>
          <t>1</t>
        </is>
      </c>
      <c r="C261" s="30" t="inlineStr">
        <is>
          <t>Human</t>
        </is>
      </c>
      <c r="D261" s="29" t="inlineStr">
        <is>
          <t>Analyzing Object</t>
        </is>
      </c>
      <c r="E261" s="29">
        <f>MATCH(D261, {"Waiting for Input","Analyzing Object","Found Object","Needs Help","Confused","None"}, 0) - 1</f>
        <v/>
      </c>
      <c r="F261" s="31" t="inlineStr">
        <is>
          <t>Found Object</t>
        </is>
      </c>
      <c r="G261" s="29">
        <f>MATCH(F261, {"Waiting for Input","Analyzing Object","Found Object","Needs Help","Confused","None"}, 0) - 1</f>
        <v/>
      </c>
      <c r="H261" s="29" t="n">
        <v>5</v>
      </c>
      <c r="I261" s="29">
        <f>IF(E261=G261, 1, 0)</f>
        <v/>
      </c>
    </row>
    <row r="262" ht="22" customHeight="1" s="270">
      <c r="A262" s="29" t="n">
        <v>260</v>
      </c>
      <c r="B262" s="29" t="inlineStr">
        <is>
          <t>1</t>
        </is>
      </c>
      <c r="C262" s="30" t="inlineStr">
        <is>
          <t>Human</t>
        </is>
      </c>
      <c r="D262" s="29" t="inlineStr">
        <is>
          <t>Analyzing Object</t>
        </is>
      </c>
      <c r="E262" s="29">
        <f>MATCH(D262, {"Waiting for Input","Analyzing Object","Found Object","Needs Help","Confused","None"}, 0) - 1</f>
        <v/>
      </c>
      <c r="F262" s="31" t="inlineStr">
        <is>
          <t>Analyzing Object</t>
        </is>
      </c>
      <c r="G262" s="29">
        <f>MATCH(F262, {"Waiting for Input","Analyzing Object","Found Object","Needs Help","Confused","None"}, 0) - 1</f>
        <v/>
      </c>
      <c r="H262" s="29" t="n">
        <v>3</v>
      </c>
      <c r="I262" s="29">
        <f>IF(E262=G262, 1, 0)</f>
        <v/>
      </c>
    </row>
    <row r="263" ht="22" customHeight="1" s="270">
      <c r="A263" s="29" t="n">
        <v>261</v>
      </c>
      <c r="B263" s="29" t="inlineStr">
        <is>
          <t>2</t>
        </is>
      </c>
      <c r="C263" s="30" t="inlineStr">
        <is>
          <t>Human</t>
        </is>
      </c>
      <c r="D263" s="29" t="inlineStr">
        <is>
          <t>Analyzing Object</t>
        </is>
      </c>
      <c r="E263" s="29">
        <f>MATCH(D263, {"Waiting for Input","Analyzing Object","Found Object","Needs Help","Confused","None"}, 0) - 1</f>
        <v/>
      </c>
      <c r="F263" s="31" t="inlineStr">
        <is>
          <t>Analyzing Object</t>
        </is>
      </c>
      <c r="G263" s="29">
        <f>MATCH(F263, {"Waiting for Input","Analyzing Object","Found Object","Needs Help","Confused","None"}, 0) - 1</f>
        <v/>
      </c>
      <c r="H263" s="29" t="n">
        <v>4</v>
      </c>
      <c r="I263" s="29">
        <f>IF(E263=G263, 1, 0)</f>
        <v/>
      </c>
    </row>
    <row r="264" ht="22" customHeight="1" s="270">
      <c r="A264" s="29" t="n">
        <v>262</v>
      </c>
      <c r="B264" s="29" t="inlineStr">
        <is>
          <t>2</t>
        </is>
      </c>
      <c r="C264" s="30" t="inlineStr">
        <is>
          <t>Human</t>
        </is>
      </c>
      <c r="D264" s="29" t="inlineStr">
        <is>
          <t>Analyzing Object</t>
        </is>
      </c>
      <c r="E264" s="29">
        <f>MATCH(D264, {"Waiting for Input","Analyzing Object","Found Object","Needs Help","Confused","None"}, 0) - 1</f>
        <v/>
      </c>
      <c r="F264" s="31" t="inlineStr">
        <is>
          <t>Analyzing Object</t>
        </is>
      </c>
      <c r="G264" s="29">
        <f>MATCH(F264, {"Waiting for Input","Analyzing Object","Found Object","Needs Help","Confused","None"}, 0) - 1</f>
        <v/>
      </c>
      <c r="H264" s="29" t="n">
        <v>4</v>
      </c>
      <c r="I264" s="29">
        <f>IF(E264=G264, 1, 0)</f>
        <v/>
      </c>
    </row>
    <row r="265" ht="22" customHeight="1" s="270">
      <c r="A265" s="29" t="n">
        <v>263</v>
      </c>
      <c r="B265" s="29" t="inlineStr">
        <is>
          <t>1</t>
        </is>
      </c>
      <c r="C265" s="30" t="inlineStr">
        <is>
          <t>Human</t>
        </is>
      </c>
      <c r="D265" s="29" t="inlineStr">
        <is>
          <t>Analyzing Object</t>
        </is>
      </c>
      <c r="E265" s="29">
        <f>MATCH(D265, {"Waiting for Input","Analyzing Object","Found Object","Needs Help","Confused","None"}, 0) - 1</f>
        <v/>
      </c>
      <c r="F265" s="31" t="inlineStr">
        <is>
          <t>Found Object</t>
        </is>
      </c>
      <c r="G265" s="29">
        <f>MATCH(F265, {"Waiting for Input","Analyzing Object","Found Object","Needs Help","Confused","None"}, 0) - 1</f>
        <v/>
      </c>
      <c r="H265" s="29" t="n">
        <v>5</v>
      </c>
      <c r="I265" s="29">
        <f>IF(E265=G265, 1, 0)</f>
        <v/>
      </c>
    </row>
    <row r="266" ht="22" customHeight="1" s="270">
      <c r="A266" s="29" t="n">
        <v>264</v>
      </c>
      <c r="B266" s="29" t="inlineStr">
        <is>
          <t>1</t>
        </is>
      </c>
      <c r="C266" s="30" t="inlineStr">
        <is>
          <t>Human</t>
        </is>
      </c>
      <c r="D266" s="29" t="inlineStr">
        <is>
          <t>Analyzing Object</t>
        </is>
      </c>
      <c r="E266" s="29">
        <f>MATCH(D266, {"Waiting for Input","Analyzing Object","Found Object","Needs Help","Confused","None"}, 0) - 1</f>
        <v/>
      </c>
      <c r="F266" s="31" t="inlineStr">
        <is>
          <t>Analyzing Object</t>
        </is>
      </c>
      <c r="G266" s="29">
        <f>MATCH(F266, {"Waiting for Input","Analyzing Object","Found Object","Needs Help","Confused","None"}, 0) - 1</f>
        <v/>
      </c>
      <c r="H266" s="29" t="n">
        <v>4</v>
      </c>
      <c r="I266" s="29">
        <f>IF(E266=G266, 1, 0)</f>
        <v/>
      </c>
    </row>
    <row r="267" ht="22" customHeight="1" s="270">
      <c r="A267" s="29" t="n">
        <v>265</v>
      </c>
      <c r="B267" s="29" t="inlineStr">
        <is>
          <t>2</t>
        </is>
      </c>
      <c r="C267" s="30" t="inlineStr">
        <is>
          <t>Human</t>
        </is>
      </c>
      <c r="D267" s="29" t="inlineStr">
        <is>
          <t>Analyzing Object</t>
        </is>
      </c>
      <c r="E267" s="29">
        <f>MATCH(D267, {"Waiting for Input","Analyzing Object","Found Object","Needs Help","Confused","None"}, 0) - 1</f>
        <v/>
      </c>
      <c r="F267" s="31" t="inlineStr">
        <is>
          <t>Analyzing Object</t>
        </is>
      </c>
      <c r="G267" s="29">
        <f>MATCH(F267, {"Waiting for Input","Analyzing Object","Found Object","Needs Help","Confused","None"}, 0) - 1</f>
        <v/>
      </c>
      <c r="H267" s="29" t="n">
        <v>2</v>
      </c>
      <c r="I267" s="29">
        <f>IF(E267=G267, 1, 0)</f>
        <v/>
      </c>
    </row>
    <row r="268" ht="22" customHeight="1" s="270">
      <c r="A268" s="29" t="n">
        <v>266</v>
      </c>
      <c r="B268" s="29" t="inlineStr">
        <is>
          <t>2</t>
        </is>
      </c>
      <c r="C268" s="30" t="inlineStr">
        <is>
          <t>Human</t>
        </is>
      </c>
      <c r="D268" s="29" t="inlineStr">
        <is>
          <t>Analyzing Object</t>
        </is>
      </c>
      <c r="E268" s="29">
        <f>MATCH(D268, {"Waiting for Input","Analyzing Object","Found Object","Needs Help","Confused","None"}, 0) - 1</f>
        <v/>
      </c>
      <c r="F268" s="31" t="inlineStr">
        <is>
          <t>Analyzing Object</t>
        </is>
      </c>
      <c r="G268" s="29">
        <f>MATCH(F268, {"Waiting for Input","Analyzing Object","Found Object","Needs Help","Confused","None"}, 0) - 1</f>
        <v/>
      </c>
      <c r="H268" s="29" t="n">
        <v>3</v>
      </c>
      <c r="I268" s="29">
        <f>IF(E268=G268, 1, 0)</f>
        <v/>
      </c>
    </row>
    <row r="269" ht="22" customHeight="1" s="270">
      <c r="A269" s="29" t="n">
        <v>267</v>
      </c>
      <c r="B269" s="29" t="inlineStr">
        <is>
          <t>2</t>
        </is>
      </c>
      <c r="C269" s="30" t="inlineStr">
        <is>
          <t>Human</t>
        </is>
      </c>
      <c r="D269" s="29" t="inlineStr">
        <is>
          <t>Analyzing Object</t>
        </is>
      </c>
      <c r="E269" s="29">
        <f>MATCH(D269, {"Waiting for Input","Analyzing Object","Found Object","Needs Help","Confused","None"}, 0) - 1</f>
        <v/>
      </c>
      <c r="F269" s="31" t="inlineStr">
        <is>
          <t>Analyzing Object</t>
        </is>
      </c>
      <c r="G269" s="29">
        <f>MATCH(F269, {"Waiting for Input","Analyzing Object","Found Object","Needs Help","Confused","None"}, 0) - 1</f>
        <v/>
      </c>
      <c r="H269" s="29" t="n">
        <v>4</v>
      </c>
      <c r="I269" s="29">
        <f>IF(E269=G269, 1, 0)</f>
        <v/>
      </c>
    </row>
    <row r="270" ht="22" customHeight="1" s="270">
      <c r="A270" s="29" t="n">
        <v>268</v>
      </c>
      <c r="B270" s="29" t="inlineStr">
        <is>
          <t>2</t>
        </is>
      </c>
      <c r="C270" s="30" t="inlineStr">
        <is>
          <t>Human</t>
        </is>
      </c>
      <c r="D270" s="29" t="inlineStr">
        <is>
          <t>Analyzing Object</t>
        </is>
      </c>
      <c r="E270" s="29">
        <f>MATCH(D270, {"Waiting for Input","Analyzing Object","Found Object","Needs Help","Confused","None"}, 0) - 1</f>
        <v/>
      </c>
      <c r="F270" s="31" t="inlineStr">
        <is>
          <t>Found Object</t>
        </is>
      </c>
      <c r="G270" s="29">
        <f>MATCH(F270, {"Waiting for Input","Analyzing Object","Found Object","Needs Help","Confused","None"}, 0) - 1</f>
        <v/>
      </c>
      <c r="H270" s="29" t="n">
        <v>4</v>
      </c>
      <c r="I270" s="29">
        <f>IF(E270=G270, 1, 0)</f>
        <v/>
      </c>
    </row>
    <row r="271" ht="22" customHeight="1" s="270">
      <c r="A271" s="29" t="n">
        <v>269</v>
      </c>
      <c r="B271" s="29" t="inlineStr">
        <is>
          <t>2</t>
        </is>
      </c>
      <c r="C271" s="30" t="inlineStr">
        <is>
          <t>Human</t>
        </is>
      </c>
      <c r="D271" s="29" t="inlineStr">
        <is>
          <t>Analyzing Object</t>
        </is>
      </c>
      <c r="E271" s="29">
        <f>MATCH(D271, {"Waiting for Input","Analyzing Object","Found Object","Needs Help","Confused","None"}, 0) - 1</f>
        <v/>
      </c>
      <c r="F271" s="31" t="inlineStr">
        <is>
          <t>Analyzing Object</t>
        </is>
      </c>
      <c r="G271" s="29">
        <f>MATCH(F271, {"Waiting for Input","Analyzing Object","Found Object","Needs Help","Confused","None"}, 0) - 1</f>
        <v/>
      </c>
      <c r="H271" s="29" t="n">
        <v>4</v>
      </c>
      <c r="I271" s="29">
        <f>IF(E271=G271, 1, 0)</f>
        <v/>
      </c>
    </row>
    <row r="272" ht="22" customHeight="1" s="270">
      <c r="A272" s="29" t="n">
        <v>270</v>
      </c>
      <c r="B272" s="29" t="inlineStr">
        <is>
          <t>2</t>
        </is>
      </c>
      <c r="C272" s="30" t="inlineStr">
        <is>
          <t>Human</t>
        </is>
      </c>
      <c r="D272" s="29" t="inlineStr">
        <is>
          <t>Analyzing Object</t>
        </is>
      </c>
      <c r="E272" s="29">
        <f>MATCH(D272, {"Waiting for Input","Analyzing Object","Found Object","Needs Help","Confused","None"}, 0) - 1</f>
        <v/>
      </c>
      <c r="F272" s="31" t="inlineStr">
        <is>
          <t>Found Object</t>
        </is>
      </c>
      <c r="G272" s="29">
        <f>MATCH(F272, {"Waiting for Input","Analyzing Object","Found Object","Needs Help","Confused","None"}, 0) - 1</f>
        <v/>
      </c>
      <c r="H272" s="29" t="n">
        <v>5</v>
      </c>
      <c r="I272" s="29">
        <f>IF(E272=G272, 1, 0)</f>
        <v/>
      </c>
    </row>
    <row r="273" ht="22" customHeight="1" s="270">
      <c r="A273" s="29" t="n">
        <v>271</v>
      </c>
      <c r="B273" s="29" t="inlineStr">
        <is>
          <t>1</t>
        </is>
      </c>
      <c r="C273" s="30" t="inlineStr">
        <is>
          <t>Human</t>
        </is>
      </c>
      <c r="D273" s="29" t="inlineStr">
        <is>
          <t>Analyzing Object</t>
        </is>
      </c>
      <c r="E273" s="29">
        <f>MATCH(D273, {"Waiting for Input","Analyzing Object","Found Object","Needs Help","Confused","None"}, 0) - 1</f>
        <v/>
      </c>
      <c r="F273" s="31" t="inlineStr">
        <is>
          <t>Found Object</t>
        </is>
      </c>
      <c r="G273" s="29">
        <f>MATCH(F273, {"Waiting for Input","Analyzing Object","Found Object","Needs Help","Confused","None"}, 0) - 1</f>
        <v/>
      </c>
      <c r="H273" s="29" t="n">
        <v>4</v>
      </c>
      <c r="I273" s="29">
        <f>IF(E273=G273, 1, 0)</f>
        <v/>
      </c>
    </row>
    <row r="274" ht="22" customHeight="1" s="270">
      <c r="A274" s="29" t="n">
        <v>272</v>
      </c>
      <c r="B274" s="29" t="inlineStr">
        <is>
          <t>2</t>
        </is>
      </c>
      <c r="C274" s="30" t="inlineStr">
        <is>
          <t>Human</t>
        </is>
      </c>
      <c r="D274" s="29" t="inlineStr">
        <is>
          <t>Analyzing Object</t>
        </is>
      </c>
      <c r="E274" s="29">
        <f>MATCH(D274, {"Waiting for Input","Analyzing Object","Found Object","Needs Help","Confused","None"}, 0) - 1</f>
        <v/>
      </c>
      <c r="F274" s="31" t="inlineStr">
        <is>
          <t>Analyzing Object</t>
        </is>
      </c>
      <c r="G274" s="29">
        <f>MATCH(F274, {"Waiting for Input","Analyzing Object","Found Object","Needs Help","Confused","None"}, 0) - 1</f>
        <v/>
      </c>
      <c r="H274" s="29" t="n">
        <v>5</v>
      </c>
      <c r="I274" s="29">
        <f>IF(E274=G274, 1, 0)</f>
        <v/>
      </c>
    </row>
    <row r="275" ht="22" customHeight="1" s="270">
      <c r="A275" s="29" t="n">
        <v>273</v>
      </c>
      <c r="B275" s="29" t="inlineStr">
        <is>
          <t>1</t>
        </is>
      </c>
      <c r="C275" s="30" t="inlineStr">
        <is>
          <t>Human</t>
        </is>
      </c>
      <c r="D275" s="29" t="inlineStr">
        <is>
          <t>Analyzing Object</t>
        </is>
      </c>
      <c r="E275" s="29">
        <f>MATCH(D275, {"Waiting for Input","Analyzing Object","Found Object","Needs Help","Confused","None"}, 0) - 1</f>
        <v/>
      </c>
      <c r="F275" s="31" t="inlineStr">
        <is>
          <t>Analyzing Object</t>
        </is>
      </c>
      <c r="G275" s="29">
        <f>MATCH(F275, {"Waiting for Input","Analyzing Object","Found Object","Needs Help","Confused","None"}, 0) - 1</f>
        <v/>
      </c>
      <c r="H275" s="29" t="n">
        <v>5</v>
      </c>
      <c r="I275" s="29">
        <f>IF(E275=G275, 1, 0)</f>
        <v/>
      </c>
    </row>
    <row r="276" ht="22" customHeight="1" s="270">
      <c r="A276" s="29" t="n">
        <v>274</v>
      </c>
      <c r="B276" s="29" t="inlineStr">
        <is>
          <t>1</t>
        </is>
      </c>
      <c r="C276" s="30" t="inlineStr">
        <is>
          <t>Human</t>
        </is>
      </c>
      <c r="D276" s="29" t="inlineStr">
        <is>
          <t>Analyzing Object</t>
        </is>
      </c>
      <c r="E276" s="29">
        <f>MATCH(D276, {"Waiting for Input","Analyzing Object","Found Object","Needs Help","Confused","None"}, 0) - 1</f>
        <v/>
      </c>
      <c r="F276" s="31" t="inlineStr">
        <is>
          <t>Found Object</t>
        </is>
      </c>
      <c r="G276" s="29">
        <f>MATCH(F276, {"Waiting for Input","Analyzing Object","Found Object","Needs Help","Confused","None"}, 0) - 1</f>
        <v/>
      </c>
      <c r="H276" s="29" t="n">
        <v>4</v>
      </c>
      <c r="I276" s="29">
        <f>IF(E276=G276, 1, 0)</f>
        <v/>
      </c>
    </row>
    <row r="277" ht="22" customHeight="1" s="270">
      <c r="A277" s="29" t="n">
        <v>275</v>
      </c>
      <c r="B277" s="29" t="inlineStr">
        <is>
          <t>1</t>
        </is>
      </c>
      <c r="C277" s="30" t="inlineStr">
        <is>
          <t>Human</t>
        </is>
      </c>
      <c r="D277" s="29" t="inlineStr">
        <is>
          <t>Analyzing Object</t>
        </is>
      </c>
      <c r="E277" s="29">
        <f>MATCH(D277, {"Waiting for Input","Analyzing Object","Found Object","Needs Help","Confused","None"}, 0) - 1</f>
        <v/>
      </c>
      <c r="F277" s="31" t="inlineStr">
        <is>
          <t>Analyzing Object</t>
        </is>
      </c>
      <c r="G277" s="29">
        <f>MATCH(F277, {"Waiting for Input","Analyzing Object","Found Object","Needs Help","Confused","None"}, 0) - 1</f>
        <v/>
      </c>
      <c r="H277" s="29" t="n">
        <v>5</v>
      </c>
      <c r="I277" s="29">
        <f>IF(E277=G277, 1, 0)</f>
        <v/>
      </c>
    </row>
    <row r="278" ht="22" customHeight="1" s="270">
      <c r="A278" s="29" t="n">
        <v>276</v>
      </c>
      <c r="B278" s="29" t="inlineStr">
        <is>
          <t>2</t>
        </is>
      </c>
      <c r="C278" s="30" t="inlineStr">
        <is>
          <t>Human</t>
        </is>
      </c>
      <c r="D278" s="29" t="inlineStr">
        <is>
          <t>Analyzing Object</t>
        </is>
      </c>
      <c r="E278" s="29">
        <f>MATCH(D278, {"Waiting for Input","Analyzing Object","Found Object","Needs Help","Confused","None"}, 0) - 1</f>
        <v/>
      </c>
      <c r="F278" s="31" t="inlineStr">
        <is>
          <t>Found Object</t>
        </is>
      </c>
      <c r="G278" s="29">
        <f>MATCH(F278, {"Waiting for Input","Analyzing Object","Found Object","Needs Help","Confused","None"}, 0) - 1</f>
        <v/>
      </c>
      <c r="H278" s="29" t="n">
        <v>2</v>
      </c>
      <c r="I278" s="29">
        <f>IF(E278=G278, 1, 0)</f>
        <v/>
      </c>
    </row>
    <row r="279" ht="22" customHeight="1" s="270">
      <c r="A279" s="29" t="n">
        <v>277</v>
      </c>
      <c r="B279" s="29" t="inlineStr">
        <is>
          <t>2</t>
        </is>
      </c>
      <c r="C279" s="30" t="inlineStr">
        <is>
          <t>Human</t>
        </is>
      </c>
      <c r="D279" s="29" t="inlineStr">
        <is>
          <t>Analyzing Object</t>
        </is>
      </c>
      <c r="E279" s="29">
        <f>MATCH(D279, {"Waiting for Input","Analyzing Object","Found Object","Needs Help","Confused","None"}, 0) - 1</f>
        <v/>
      </c>
      <c r="F279" s="31" t="inlineStr">
        <is>
          <t>Found Object</t>
        </is>
      </c>
      <c r="G279" s="29">
        <f>MATCH(F279, {"Waiting for Input","Analyzing Object","Found Object","Needs Help","Confused","None"}, 0) - 1</f>
        <v/>
      </c>
      <c r="H279" s="29" t="n">
        <v>5</v>
      </c>
      <c r="I279" s="29">
        <f>IF(E279=G279, 1, 0)</f>
        <v/>
      </c>
    </row>
    <row r="280" ht="22" customHeight="1" s="270">
      <c r="A280" s="29" t="n">
        <v>278</v>
      </c>
      <c r="B280" s="29" t="inlineStr">
        <is>
          <t>1</t>
        </is>
      </c>
      <c r="C280" s="30" t="inlineStr">
        <is>
          <t>Human</t>
        </is>
      </c>
      <c r="D280" s="29" t="inlineStr">
        <is>
          <t>Analyzing Object</t>
        </is>
      </c>
      <c r="E280" s="29">
        <f>MATCH(D280, {"Waiting for Input","Analyzing Object","Found Object","Needs Help","Confused","None"}, 0) - 1</f>
        <v/>
      </c>
      <c r="F280" s="31" t="inlineStr">
        <is>
          <t>Analyzing Object</t>
        </is>
      </c>
      <c r="G280" s="29">
        <f>MATCH(F280, {"Waiting for Input","Analyzing Object","Found Object","Needs Help","Confused","None"}, 0) - 1</f>
        <v/>
      </c>
      <c r="H280" s="29" t="n">
        <v>4</v>
      </c>
      <c r="I280" s="29">
        <f>IF(E280=G280, 1, 0)</f>
        <v/>
      </c>
    </row>
    <row r="281" ht="22" customHeight="1" s="270">
      <c r="A281" s="29" t="n">
        <v>279</v>
      </c>
      <c r="B281" s="29" t="inlineStr">
        <is>
          <t>1</t>
        </is>
      </c>
      <c r="C281" s="30" t="inlineStr">
        <is>
          <t>Human</t>
        </is>
      </c>
      <c r="D281" s="29" t="inlineStr">
        <is>
          <t>Analyzing Object</t>
        </is>
      </c>
      <c r="E281" s="29">
        <f>MATCH(D281, {"Waiting for Input","Analyzing Object","Found Object","Needs Help","Confused","None"}, 0) - 1</f>
        <v/>
      </c>
      <c r="F281" s="31" t="inlineStr">
        <is>
          <t>Found Object</t>
        </is>
      </c>
      <c r="G281" s="29">
        <f>MATCH(F281, {"Waiting for Input","Analyzing Object","Found Object","Needs Help","Confused","None"}, 0) - 1</f>
        <v/>
      </c>
      <c r="H281" s="29" t="n">
        <v>5</v>
      </c>
      <c r="I281" s="29">
        <f>IF(E281=G281, 1, 0)</f>
        <v/>
      </c>
    </row>
    <row r="282" ht="22" customHeight="1" s="270">
      <c r="A282" s="29" t="n">
        <v>280</v>
      </c>
      <c r="B282" s="29" t="inlineStr">
        <is>
          <t>1</t>
        </is>
      </c>
      <c r="C282" s="30" t="inlineStr">
        <is>
          <t>Human</t>
        </is>
      </c>
      <c r="D282" s="29" t="inlineStr">
        <is>
          <t>Analyzing Object</t>
        </is>
      </c>
      <c r="E282" s="29">
        <f>MATCH(D282, {"Waiting for Input","Analyzing Object","Found Object","Needs Help","Confused","None"}, 0) - 1</f>
        <v/>
      </c>
      <c r="F282" s="31" t="inlineStr">
        <is>
          <t>Found Object</t>
        </is>
      </c>
      <c r="G282" s="29">
        <f>MATCH(F282, {"Waiting for Input","Analyzing Object","Found Object","Needs Help","Confused","None"}, 0) - 1</f>
        <v/>
      </c>
      <c r="H282" s="29" t="n">
        <v>5</v>
      </c>
      <c r="I282" s="29">
        <f>IF(E282=G282, 1, 0)</f>
        <v/>
      </c>
    </row>
    <row r="283" ht="22" customHeight="1" s="270">
      <c r="A283" s="29" t="n">
        <v>281</v>
      </c>
      <c r="B283" s="29" t="inlineStr">
        <is>
          <t>2</t>
        </is>
      </c>
      <c r="C283" s="30" t="inlineStr">
        <is>
          <t>Human</t>
        </is>
      </c>
      <c r="D283" s="29" t="inlineStr">
        <is>
          <t>Analyzing Object</t>
        </is>
      </c>
      <c r="E283" s="29">
        <f>MATCH(D283, {"Waiting for Input","Analyzing Object","Found Object","Needs Help","Confused","None"}, 0) - 1</f>
        <v/>
      </c>
      <c r="F283" s="31" t="inlineStr">
        <is>
          <t>Analyzing Object</t>
        </is>
      </c>
      <c r="G283" s="29">
        <f>MATCH(F283, {"Waiting for Input","Analyzing Object","Found Object","Needs Help","Confused","None"}, 0) - 1</f>
        <v/>
      </c>
      <c r="H283" s="29" t="n">
        <v>2</v>
      </c>
      <c r="I283" s="29">
        <f>IF(E283=G283, 1, 0)</f>
        <v/>
      </c>
    </row>
    <row r="284" ht="22" customHeight="1" s="270">
      <c r="A284" s="29" t="n">
        <v>282</v>
      </c>
      <c r="B284" s="29" t="inlineStr">
        <is>
          <t>2</t>
        </is>
      </c>
      <c r="C284" s="30" t="inlineStr">
        <is>
          <t>Human</t>
        </is>
      </c>
      <c r="D284" s="29" t="inlineStr">
        <is>
          <t>Analyzing Object</t>
        </is>
      </c>
      <c r="E284" s="29">
        <f>MATCH(D284, {"Waiting for Input","Analyzing Object","Found Object","Needs Help","Confused","None"}, 0) - 1</f>
        <v/>
      </c>
      <c r="F284" s="31" t="inlineStr">
        <is>
          <t>Found Object</t>
        </is>
      </c>
      <c r="G284" s="29">
        <f>MATCH(F284, {"Waiting for Input","Analyzing Object","Found Object","Needs Help","Confused","None"}, 0) - 1</f>
        <v/>
      </c>
      <c r="H284" s="29" t="n">
        <v>3</v>
      </c>
      <c r="I284" s="29">
        <f>IF(E284=G284, 1, 0)</f>
        <v/>
      </c>
    </row>
    <row r="285" ht="22" customHeight="1" s="270">
      <c r="A285" s="29" t="n">
        <v>283</v>
      </c>
      <c r="B285" s="29" t="inlineStr">
        <is>
          <t>2</t>
        </is>
      </c>
      <c r="C285" s="30" t="inlineStr">
        <is>
          <t>Human</t>
        </is>
      </c>
      <c r="D285" s="29" t="inlineStr">
        <is>
          <t>Analyzing Object</t>
        </is>
      </c>
      <c r="E285" s="29">
        <f>MATCH(D285, {"Waiting for Input","Analyzing Object","Found Object","Needs Help","Confused","None"}, 0) - 1</f>
        <v/>
      </c>
      <c r="F285" s="31" t="inlineStr">
        <is>
          <t>Analyzing Object</t>
        </is>
      </c>
      <c r="G285" s="29">
        <f>MATCH(F285, {"Waiting for Input","Analyzing Object","Found Object","Needs Help","Confused","None"}, 0) - 1</f>
        <v/>
      </c>
      <c r="H285" s="29" t="n">
        <v>3</v>
      </c>
      <c r="I285" s="29">
        <f>IF(E285=G285, 1, 0)</f>
        <v/>
      </c>
    </row>
    <row r="286" ht="22" customHeight="1" s="270">
      <c r="A286" s="29" t="n">
        <v>284</v>
      </c>
      <c r="B286" s="29" t="inlineStr">
        <is>
          <t>2</t>
        </is>
      </c>
      <c r="C286" s="30" t="inlineStr">
        <is>
          <t>Human</t>
        </is>
      </c>
      <c r="D286" s="29" t="inlineStr">
        <is>
          <t>Analyzing Object</t>
        </is>
      </c>
      <c r="E286" s="29">
        <f>MATCH(D286, {"Waiting for Input","Analyzing Object","Found Object","Needs Help","Confused","None"}, 0) - 1</f>
        <v/>
      </c>
      <c r="F286" s="31" t="inlineStr">
        <is>
          <t>Analyzing Object</t>
        </is>
      </c>
      <c r="G286" s="29">
        <f>MATCH(F286, {"Waiting for Input","Analyzing Object","Found Object","Needs Help","Confused","None"}, 0) - 1</f>
        <v/>
      </c>
      <c r="H286" s="29" t="n">
        <v>3</v>
      </c>
      <c r="I286" s="29">
        <f>IF(E286=G286, 1, 0)</f>
        <v/>
      </c>
    </row>
    <row r="287" ht="22" customHeight="1" s="270">
      <c r="A287" s="29" t="n">
        <v>285</v>
      </c>
      <c r="B287" s="29" t="inlineStr">
        <is>
          <t>2</t>
        </is>
      </c>
      <c r="C287" s="30" t="inlineStr">
        <is>
          <t>Human</t>
        </is>
      </c>
      <c r="D287" s="29" t="inlineStr">
        <is>
          <t>Analyzing Object</t>
        </is>
      </c>
      <c r="E287" s="29">
        <f>MATCH(D287, {"Waiting for Input","Analyzing Object","Found Object","Needs Help","Confused","None"}, 0) - 1</f>
        <v/>
      </c>
      <c r="F287" s="31" t="inlineStr">
        <is>
          <t>Found Object</t>
        </is>
      </c>
      <c r="G287" s="29">
        <f>MATCH(F287, {"Waiting for Input","Analyzing Object","Found Object","Needs Help","Confused","None"}, 0) - 1</f>
        <v/>
      </c>
      <c r="H287" s="29" t="n">
        <v>3</v>
      </c>
      <c r="I287" s="29">
        <f>IF(E287=G287, 1, 0)</f>
        <v/>
      </c>
    </row>
    <row r="288" ht="22" customHeight="1" s="270">
      <c r="A288" s="29" t="n">
        <v>286</v>
      </c>
      <c r="B288" s="29" t="inlineStr">
        <is>
          <t>2</t>
        </is>
      </c>
      <c r="C288" s="30" t="inlineStr">
        <is>
          <t>Human</t>
        </is>
      </c>
      <c r="D288" s="29" t="inlineStr">
        <is>
          <t>Analyzing Object</t>
        </is>
      </c>
      <c r="E288" s="29">
        <f>MATCH(D288, {"Waiting for Input","Analyzing Object","Found Object","Needs Help","Confused","None"}, 0) - 1</f>
        <v/>
      </c>
      <c r="F288" s="31" t="inlineStr">
        <is>
          <t>Analyzing Object</t>
        </is>
      </c>
      <c r="G288" s="29">
        <f>MATCH(F288, {"Waiting for Input","Analyzing Object","Found Object","Needs Help","Confused","None"}, 0) - 1</f>
        <v/>
      </c>
      <c r="H288" s="29" t="n">
        <v>3</v>
      </c>
      <c r="I288" s="29">
        <f>IF(E288=G288, 1, 0)</f>
        <v/>
      </c>
    </row>
    <row r="289" ht="22" customHeight="1" s="270">
      <c r="A289" s="29" t="n">
        <v>287</v>
      </c>
      <c r="B289" s="29" t="inlineStr">
        <is>
          <t>2</t>
        </is>
      </c>
      <c r="C289" s="30" t="inlineStr">
        <is>
          <t>Human</t>
        </is>
      </c>
      <c r="D289" s="29" t="inlineStr">
        <is>
          <t>Analyzing Object</t>
        </is>
      </c>
      <c r="E289" s="29">
        <f>MATCH(D289, {"Waiting for Input","Analyzing Object","Found Object","Needs Help","Confused","None"}, 0) - 1</f>
        <v/>
      </c>
      <c r="F289" s="31" t="inlineStr">
        <is>
          <t>Found Object</t>
        </is>
      </c>
      <c r="G289" s="29">
        <f>MATCH(F289, {"Waiting for Input","Analyzing Object","Found Object","Needs Help","Confused","None"}, 0) - 1</f>
        <v/>
      </c>
      <c r="H289" s="29" t="n">
        <v>2</v>
      </c>
      <c r="I289" s="29">
        <f>IF(E289=G289, 1, 0)</f>
        <v/>
      </c>
    </row>
    <row r="290" ht="22" customHeight="1" s="270">
      <c r="A290" s="29" t="n">
        <v>288</v>
      </c>
      <c r="B290" s="29" t="inlineStr">
        <is>
          <t>2</t>
        </is>
      </c>
      <c r="C290" s="30" t="inlineStr">
        <is>
          <t>Human</t>
        </is>
      </c>
      <c r="D290" s="29" t="inlineStr">
        <is>
          <t>Analyzing Object</t>
        </is>
      </c>
      <c r="E290" s="29">
        <f>MATCH(D290, {"Waiting for Input","Analyzing Object","Found Object","Needs Help","Confused","None"}, 0) - 1</f>
        <v/>
      </c>
      <c r="F290" s="31" t="inlineStr">
        <is>
          <t>Analyzing Object</t>
        </is>
      </c>
      <c r="G290" s="29">
        <f>MATCH(F290, {"Waiting for Input","Analyzing Object","Found Object","Needs Help","Confused","None"}, 0) - 1</f>
        <v/>
      </c>
      <c r="H290" s="29" t="n">
        <v>5</v>
      </c>
      <c r="I290" s="29">
        <f>IF(E290=G290, 1, 0)</f>
        <v/>
      </c>
    </row>
    <row r="291" ht="22" customHeight="1" s="270">
      <c r="A291" s="29" t="n">
        <v>289</v>
      </c>
      <c r="B291" s="29" t="inlineStr">
        <is>
          <t>2</t>
        </is>
      </c>
      <c r="C291" s="30" t="inlineStr">
        <is>
          <t>Human</t>
        </is>
      </c>
      <c r="D291" s="29" t="inlineStr">
        <is>
          <t>Analyzing Object</t>
        </is>
      </c>
      <c r="E291" s="29">
        <f>MATCH(D291, {"Waiting for Input","Analyzing Object","Found Object","Needs Help","Confused","None"}, 0) - 1</f>
        <v/>
      </c>
      <c r="F291" s="31" t="inlineStr">
        <is>
          <t>Found Object</t>
        </is>
      </c>
      <c r="G291" s="29">
        <f>MATCH(F291, {"Waiting for Input","Analyzing Object","Found Object","Needs Help","Confused","None"}, 0) - 1</f>
        <v/>
      </c>
      <c r="H291" s="29" t="n">
        <v>4</v>
      </c>
      <c r="I291" s="29">
        <f>IF(E291=G291, 1, 0)</f>
        <v/>
      </c>
    </row>
    <row r="292" ht="22" customHeight="1" s="270">
      <c r="A292" s="29" t="n">
        <v>290</v>
      </c>
      <c r="B292" s="29" t="inlineStr">
        <is>
          <t>2</t>
        </is>
      </c>
      <c r="C292" s="30" t="inlineStr">
        <is>
          <t>Human</t>
        </is>
      </c>
      <c r="D292" s="29" t="inlineStr">
        <is>
          <t>Analyzing Object</t>
        </is>
      </c>
      <c r="E292" s="29">
        <f>MATCH(D292, {"Waiting for Input","Analyzing Object","Found Object","Needs Help","Confused","None"}, 0) - 1</f>
        <v/>
      </c>
      <c r="F292" s="31" t="inlineStr">
        <is>
          <t>Confused</t>
        </is>
      </c>
      <c r="G292" s="29">
        <f>MATCH(F292, {"Waiting for Input","Analyzing Object","Found Object","Needs Help","Confused","None"}, 0) - 1</f>
        <v/>
      </c>
      <c r="H292" s="29" t="n">
        <v>3</v>
      </c>
      <c r="I292" s="29">
        <f>IF(E292=G292, 1, 0)</f>
        <v/>
      </c>
    </row>
    <row r="293" ht="22" customHeight="1" s="270">
      <c r="A293" s="29" t="n">
        <v>291</v>
      </c>
      <c r="B293" s="29" t="inlineStr">
        <is>
          <t>1</t>
        </is>
      </c>
      <c r="C293" s="30" t="inlineStr">
        <is>
          <t>Human</t>
        </is>
      </c>
      <c r="D293" s="29" t="inlineStr">
        <is>
          <t>Analyzing Object</t>
        </is>
      </c>
      <c r="E293" s="29">
        <f>MATCH(D293, {"Waiting for Input","Analyzing Object","Found Object","Needs Help","Confused","None"}, 0) - 1</f>
        <v/>
      </c>
      <c r="F293" s="31" t="inlineStr">
        <is>
          <t>Analyzing Object</t>
        </is>
      </c>
      <c r="G293" s="29">
        <f>MATCH(F293, {"Waiting for Input","Analyzing Object","Found Object","Needs Help","Confused","None"}, 0) - 1</f>
        <v/>
      </c>
      <c r="H293" s="29" t="n">
        <v>4</v>
      </c>
      <c r="I293" s="29">
        <f>IF(E293=G293, 1, 0)</f>
        <v/>
      </c>
    </row>
    <row r="294" ht="22" customHeight="1" s="270">
      <c r="A294" s="29" t="n">
        <v>292</v>
      </c>
      <c r="B294" s="29" t="inlineStr">
        <is>
          <t>2</t>
        </is>
      </c>
      <c r="C294" s="30" t="inlineStr">
        <is>
          <t>Human</t>
        </is>
      </c>
      <c r="D294" s="29" t="inlineStr">
        <is>
          <t>Analyzing Object</t>
        </is>
      </c>
      <c r="E294" s="29">
        <f>MATCH(D294, {"Waiting for Input","Analyzing Object","Found Object","Needs Help","Confused","None"}, 0) - 1</f>
        <v/>
      </c>
      <c r="F294" s="31" t="inlineStr">
        <is>
          <t>Analyzing Object</t>
        </is>
      </c>
      <c r="G294" s="29">
        <f>MATCH(F294, {"Waiting for Input","Analyzing Object","Found Object","Needs Help","Confused","None"}, 0) - 1</f>
        <v/>
      </c>
      <c r="H294" s="29" t="n">
        <v>4</v>
      </c>
      <c r="I294" s="29">
        <f>IF(E294=G294, 1, 0)</f>
        <v/>
      </c>
    </row>
    <row r="295" ht="22" customHeight="1" s="270">
      <c r="A295" s="29" t="n">
        <v>293</v>
      </c>
      <c r="B295" s="29" t="inlineStr">
        <is>
          <t>2</t>
        </is>
      </c>
      <c r="C295" s="30" t="inlineStr">
        <is>
          <t>Human</t>
        </is>
      </c>
      <c r="D295" s="29" t="inlineStr">
        <is>
          <t>Analyzing Object</t>
        </is>
      </c>
      <c r="E295" s="29">
        <f>MATCH(D295, {"Waiting for Input","Analyzing Object","Found Object","Needs Help","Confused","None"}, 0) - 1</f>
        <v/>
      </c>
      <c r="F295" s="31" t="inlineStr">
        <is>
          <t>Found Object</t>
        </is>
      </c>
      <c r="G295" s="29">
        <f>MATCH(F295, {"Waiting for Input","Analyzing Object","Found Object","Needs Help","Confused","None"}, 0) - 1</f>
        <v/>
      </c>
      <c r="H295" s="29" t="n">
        <v>2</v>
      </c>
      <c r="I295" s="29">
        <f>IF(E295=G295, 1, 0)</f>
        <v/>
      </c>
    </row>
    <row r="296" ht="22" customHeight="1" s="270">
      <c r="A296" s="29" t="n">
        <v>294</v>
      </c>
      <c r="B296" s="29" t="inlineStr">
        <is>
          <t>1</t>
        </is>
      </c>
      <c r="C296" s="30" t="inlineStr">
        <is>
          <t>Human</t>
        </is>
      </c>
      <c r="D296" s="29" t="inlineStr">
        <is>
          <t>Analyzing Object</t>
        </is>
      </c>
      <c r="E296" s="29">
        <f>MATCH(D296, {"Waiting for Input","Analyzing Object","Found Object","Needs Help","Confused","None"}, 0) - 1</f>
        <v/>
      </c>
      <c r="F296" s="31" t="inlineStr">
        <is>
          <t>Analyzing Object</t>
        </is>
      </c>
      <c r="G296" s="29">
        <f>MATCH(F296, {"Waiting for Input","Analyzing Object","Found Object","Needs Help","Confused","None"}, 0) - 1</f>
        <v/>
      </c>
      <c r="H296" s="29" t="n">
        <v>4</v>
      </c>
      <c r="I296" s="29">
        <f>IF(E296=G296, 1, 0)</f>
        <v/>
      </c>
    </row>
    <row r="297" ht="22" customHeight="1" s="270">
      <c r="A297" s="29" t="n">
        <v>295</v>
      </c>
      <c r="B297" s="29" t="inlineStr">
        <is>
          <t>2</t>
        </is>
      </c>
      <c r="C297" s="30" t="inlineStr">
        <is>
          <t>Human</t>
        </is>
      </c>
      <c r="D297" s="29" t="inlineStr">
        <is>
          <t>Analyzing Object</t>
        </is>
      </c>
      <c r="E297" s="29">
        <f>MATCH(D297, {"Waiting for Input","Analyzing Object","Found Object","Needs Help","Confused","None"}, 0) - 1</f>
        <v/>
      </c>
      <c r="F297" s="31" t="inlineStr">
        <is>
          <t>Found Object</t>
        </is>
      </c>
      <c r="G297" s="29">
        <f>MATCH(F297, {"Waiting for Input","Analyzing Object","Found Object","Needs Help","Confused","None"}, 0) - 1</f>
        <v/>
      </c>
      <c r="H297" s="29" t="n">
        <v>5</v>
      </c>
      <c r="I297" s="29">
        <f>IF(E297=G297, 1, 0)</f>
        <v/>
      </c>
    </row>
    <row r="298" ht="22" customHeight="1" s="270">
      <c r="A298" s="29" t="n">
        <v>296</v>
      </c>
      <c r="B298" s="29" t="inlineStr">
        <is>
          <t>2</t>
        </is>
      </c>
      <c r="C298" s="30" t="inlineStr">
        <is>
          <t>Human</t>
        </is>
      </c>
      <c r="D298" s="29" t="inlineStr">
        <is>
          <t>Analyzing Object</t>
        </is>
      </c>
      <c r="E298" s="29">
        <f>MATCH(D298, {"Waiting for Input","Analyzing Object","Found Object","Needs Help","Confused","None"}, 0) - 1</f>
        <v/>
      </c>
      <c r="F298" s="31" t="inlineStr">
        <is>
          <t>Found Object</t>
        </is>
      </c>
      <c r="G298" s="29">
        <f>MATCH(F298, {"Waiting for Input","Analyzing Object","Found Object","Needs Help","Confused","None"}, 0) - 1</f>
        <v/>
      </c>
      <c r="H298" s="29" t="n">
        <v>5</v>
      </c>
      <c r="I298" s="29">
        <f>IF(E298=G298, 1, 0)</f>
        <v/>
      </c>
    </row>
    <row r="299" ht="22" customHeight="1" s="270">
      <c r="A299" s="29" t="n">
        <v>297</v>
      </c>
      <c r="B299" s="29" t="inlineStr">
        <is>
          <t>2</t>
        </is>
      </c>
      <c r="C299" s="30" t="inlineStr">
        <is>
          <t>Human</t>
        </is>
      </c>
      <c r="D299" s="29" t="inlineStr">
        <is>
          <t>Analyzing Object</t>
        </is>
      </c>
      <c r="E299" s="29">
        <f>MATCH(D299, {"Waiting for Input","Analyzing Object","Found Object","Needs Help","Confused","None"}, 0) - 1</f>
        <v/>
      </c>
      <c r="F299" s="31" t="inlineStr">
        <is>
          <t>Analyzing Object</t>
        </is>
      </c>
      <c r="G299" s="29">
        <f>MATCH(F299, {"Waiting for Input","Analyzing Object","Found Object","Needs Help","Confused","None"}, 0) - 1</f>
        <v/>
      </c>
      <c r="H299" s="29" t="n">
        <v>3</v>
      </c>
      <c r="I299" s="29">
        <f>IF(E299=G299, 1, 0)</f>
        <v/>
      </c>
    </row>
    <row r="300" ht="22" customHeight="1" s="270">
      <c r="A300" s="29" t="n">
        <v>298</v>
      </c>
      <c r="B300" s="29" t="inlineStr">
        <is>
          <t>1</t>
        </is>
      </c>
      <c r="C300" s="30" t="inlineStr">
        <is>
          <t>Human</t>
        </is>
      </c>
      <c r="D300" s="29" t="inlineStr">
        <is>
          <t>Analyzing Object</t>
        </is>
      </c>
      <c r="E300" s="29">
        <f>MATCH(D300, {"Waiting for Input","Analyzing Object","Found Object","Needs Help","Confused","None"}, 0) - 1</f>
        <v/>
      </c>
      <c r="F300" s="31" t="inlineStr">
        <is>
          <t>Found Object</t>
        </is>
      </c>
      <c r="G300" s="29">
        <f>MATCH(F300, {"Waiting for Input","Analyzing Object","Found Object","Needs Help","Confused","None"}, 0) - 1</f>
        <v/>
      </c>
      <c r="H300" s="29" t="n">
        <v>3</v>
      </c>
      <c r="I300" s="29">
        <f>IF(E300=G300, 1, 0)</f>
        <v/>
      </c>
    </row>
    <row r="301" ht="22" customHeight="1" s="270">
      <c r="A301" s="29" t="n">
        <v>299</v>
      </c>
      <c r="B301" s="29" t="inlineStr">
        <is>
          <t>2</t>
        </is>
      </c>
      <c r="C301" s="30" t="inlineStr">
        <is>
          <t>Human</t>
        </is>
      </c>
      <c r="D301" s="29" t="inlineStr">
        <is>
          <t>Analyzing Object</t>
        </is>
      </c>
      <c r="E301" s="29">
        <f>MATCH(D301, {"Waiting for Input","Analyzing Object","Found Object","Needs Help","Confused","None"}, 0) - 1</f>
        <v/>
      </c>
      <c r="F301" s="31" t="inlineStr">
        <is>
          <t>Analyzing Object</t>
        </is>
      </c>
      <c r="G301" s="29">
        <f>MATCH(F301, {"Waiting for Input","Analyzing Object","Found Object","Needs Help","Confused","None"}, 0) - 1</f>
        <v/>
      </c>
      <c r="H301" s="29" t="n">
        <v>3</v>
      </c>
      <c r="I301" s="29">
        <f>IF(E301=G301, 1, 0)</f>
        <v/>
      </c>
    </row>
    <row r="302" ht="22" customHeight="1" s="270">
      <c r="A302" s="29" t="n">
        <v>300</v>
      </c>
      <c r="B302" s="29" t="inlineStr">
        <is>
          <t>1</t>
        </is>
      </c>
      <c r="C302" s="30" t="inlineStr">
        <is>
          <t>Random</t>
        </is>
      </c>
      <c r="D302" s="29" t="inlineStr">
        <is>
          <t>Analyzing Object</t>
        </is>
      </c>
      <c r="E302" s="29">
        <f>MATCH(D302, {"Waiting for Input","Analyzing Object","Found Object","Needs Help","Confused","None"}, 0) - 1</f>
        <v/>
      </c>
      <c r="F302" s="31" t="inlineStr">
        <is>
          <t>Needs Help</t>
        </is>
      </c>
      <c r="G302" s="29">
        <f>MATCH(F302, {"Waiting for Input","Analyzing Object","Found Object","Needs Help","Confused","None"}, 0) - 1</f>
        <v/>
      </c>
      <c r="H302" s="29" t="n">
        <v>4</v>
      </c>
      <c r="I302" s="29">
        <f>IF(E302=G302, 1, 0)</f>
        <v/>
      </c>
    </row>
    <row r="303" ht="22" customHeight="1" s="270">
      <c r="A303" s="29" t="n">
        <v>301</v>
      </c>
      <c r="B303" s="29" t="inlineStr">
        <is>
          <t>1</t>
        </is>
      </c>
      <c r="C303" s="30" t="inlineStr">
        <is>
          <t>Random</t>
        </is>
      </c>
      <c r="D303" s="29" t="inlineStr">
        <is>
          <t>Analyzing Object</t>
        </is>
      </c>
      <c r="E303" s="29">
        <f>MATCH(D303, {"Waiting for Input","Analyzing Object","Found Object","Needs Help","Confused","None"}, 0) - 1</f>
        <v/>
      </c>
      <c r="F303" s="31" t="inlineStr">
        <is>
          <t>Needs Help</t>
        </is>
      </c>
      <c r="G303" s="29">
        <f>MATCH(F303, {"Waiting for Input","Analyzing Object","Found Object","Needs Help","Confused","None"}, 0) - 1</f>
        <v/>
      </c>
      <c r="H303" s="29" t="n">
        <v>3</v>
      </c>
      <c r="I303" s="29">
        <f>IF(E303=G303, 1, 0)</f>
        <v/>
      </c>
    </row>
    <row r="304" ht="22" customHeight="1" s="270">
      <c r="A304" s="29" t="n">
        <v>302</v>
      </c>
      <c r="B304" s="29" t="inlineStr">
        <is>
          <t>1</t>
        </is>
      </c>
      <c r="C304" s="30" t="inlineStr">
        <is>
          <t>Random</t>
        </is>
      </c>
      <c r="D304" s="29" t="inlineStr">
        <is>
          <t>Analyzing Object</t>
        </is>
      </c>
      <c r="E304" s="29">
        <f>MATCH(D304, {"Waiting for Input","Analyzing Object","Found Object","Needs Help","Confused","None"}, 0) - 1</f>
        <v/>
      </c>
      <c r="F304" s="31" t="inlineStr">
        <is>
          <t>Needs Help</t>
        </is>
      </c>
      <c r="G304" s="29">
        <f>MATCH(F304, {"Waiting for Input","Analyzing Object","Found Object","Needs Help","Confused","None"}, 0) - 1</f>
        <v/>
      </c>
      <c r="H304" s="29" t="n">
        <v>1</v>
      </c>
      <c r="I304" s="29">
        <f>IF(E304=G304, 1, 0)</f>
        <v/>
      </c>
    </row>
    <row r="305" ht="22" customHeight="1" s="270">
      <c r="A305" s="29" t="n">
        <v>303</v>
      </c>
      <c r="B305" s="29" t="inlineStr">
        <is>
          <t>2</t>
        </is>
      </c>
      <c r="C305" s="30" t="inlineStr">
        <is>
          <t>Random</t>
        </is>
      </c>
      <c r="D305" s="29" t="inlineStr">
        <is>
          <t>Analyzing Object</t>
        </is>
      </c>
      <c r="E305" s="29">
        <f>MATCH(D305, {"Waiting for Input","Analyzing Object","Found Object","Needs Help","Confused","None"}, 0) - 1</f>
        <v/>
      </c>
      <c r="F305" s="31" t="inlineStr">
        <is>
          <t>Analyzing Object</t>
        </is>
      </c>
      <c r="G305" s="29">
        <f>MATCH(F305, {"Waiting for Input","Analyzing Object","Found Object","Needs Help","Confused","None"}, 0) - 1</f>
        <v/>
      </c>
      <c r="H305" s="29" t="n">
        <v>1</v>
      </c>
      <c r="I305" s="29">
        <f>IF(E305=G305, 1, 0)</f>
        <v/>
      </c>
    </row>
    <row r="306" ht="22" customHeight="1" s="270">
      <c r="A306" s="29" t="n">
        <v>304</v>
      </c>
      <c r="B306" s="29" t="inlineStr">
        <is>
          <t>2</t>
        </is>
      </c>
      <c r="C306" s="30" t="inlineStr">
        <is>
          <t>Random</t>
        </is>
      </c>
      <c r="D306" s="29" t="inlineStr">
        <is>
          <t>Analyzing Object</t>
        </is>
      </c>
      <c r="E306" s="29">
        <f>MATCH(D306, {"Waiting for Input","Analyzing Object","Found Object","Needs Help","Confused","None"}, 0) - 1</f>
        <v/>
      </c>
      <c r="F306" s="31" t="inlineStr">
        <is>
          <t>Waiting for Input</t>
        </is>
      </c>
      <c r="G306" s="29">
        <f>MATCH(F306, {"Waiting for Input","Analyzing Object","Found Object","Needs Help","Confused","None"}, 0) - 1</f>
        <v/>
      </c>
      <c r="H306" s="29" t="n">
        <v>4</v>
      </c>
      <c r="I306" s="29">
        <f>IF(E306=G306, 1, 0)</f>
        <v/>
      </c>
    </row>
    <row r="307" ht="22" customHeight="1" s="270">
      <c r="A307" s="29" t="n">
        <v>305</v>
      </c>
      <c r="B307" s="29" t="inlineStr">
        <is>
          <t>1</t>
        </is>
      </c>
      <c r="C307" s="30" t="inlineStr">
        <is>
          <t>Random</t>
        </is>
      </c>
      <c r="D307" s="29" t="inlineStr">
        <is>
          <t>Analyzing Object</t>
        </is>
      </c>
      <c r="E307" s="29">
        <f>MATCH(D307, {"Waiting for Input","Analyzing Object","Found Object","Needs Help","Confused","None"}, 0) - 1</f>
        <v/>
      </c>
      <c r="F307" s="31" t="inlineStr">
        <is>
          <t>Waiting for Input</t>
        </is>
      </c>
      <c r="G307" s="29">
        <f>MATCH(F307, {"Waiting for Input","Analyzing Object","Found Object","Needs Help","Confused","None"}, 0) - 1</f>
        <v/>
      </c>
      <c r="H307" s="29" t="n">
        <v>5</v>
      </c>
      <c r="I307" s="29">
        <f>IF(E307=G307, 1, 0)</f>
        <v/>
      </c>
    </row>
    <row r="308" ht="22" customHeight="1" s="270">
      <c r="A308" s="29" t="n">
        <v>306</v>
      </c>
      <c r="B308" s="29" t="inlineStr">
        <is>
          <t>2</t>
        </is>
      </c>
      <c r="C308" s="30" t="inlineStr">
        <is>
          <t>Random</t>
        </is>
      </c>
      <c r="D308" s="29" t="inlineStr">
        <is>
          <t>Analyzing Object</t>
        </is>
      </c>
      <c r="E308" s="29">
        <f>MATCH(D308, {"Waiting for Input","Analyzing Object","Found Object","Needs Help","Confused","None"}, 0) - 1</f>
        <v/>
      </c>
      <c r="F308" s="31" t="inlineStr">
        <is>
          <t>Confused</t>
        </is>
      </c>
      <c r="G308" s="29">
        <f>MATCH(F308, {"Waiting for Input","Analyzing Object","Found Object","Needs Help","Confused","None"}, 0) - 1</f>
        <v/>
      </c>
      <c r="H308" s="29" t="n">
        <v>5</v>
      </c>
      <c r="I308" s="29">
        <f>IF(E308=G308, 1, 0)</f>
        <v/>
      </c>
    </row>
    <row r="309" ht="22" customHeight="1" s="270">
      <c r="A309" s="29" t="n">
        <v>307</v>
      </c>
      <c r="B309" s="29" t="inlineStr">
        <is>
          <t>1</t>
        </is>
      </c>
      <c r="C309" s="30" t="inlineStr">
        <is>
          <t>Random</t>
        </is>
      </c>
      <c r="D309" s="29" t="inlineStr">
        <is>
          <t>Analyzing Object</t>
        </is>
      </c>
      <c r="E309" s="29">
        <f>MATCH(D309, {"Waiting for Input","Analyzing Object","Found Object","Needs Help","Confused","None"}, 0) - 1</f>
        <v/>
      </c>
      <c r="F309" s="31" t="inlineStr">
        <is>
          <t>Waiting for Input</t>
        </is>
      </c>
      <c r="G309" s="29">
        <f>MATCH(F309, {"Waiting for Input","Analyzing Object","Found Object","Needs Help","Confused","None"}, 0) - 1</f>
        <v/>
      </c>
      <c r="H309" s="29" t="n">
        <v>3</v>
      </c>
      <c r="I309" s="29">
        <f>IF(E309=G309, 1, 0)</f>
        <v/>
      </c>
    </row>
    <row r="310" ht="22" customHeight="1" s="270">
      <c r="A310" s="29" t="n">
        <v>308</v>
      </c>
      <c r="B310" s="29" t="inlineStr">
        <is>
          <t>1</t>
        </is>
      </c>
      <c r="C310" s="30" t="inlineStr">
        <is>
          <t>Random</t>
        </is>
      </c>
      <c r="D310" s="29" t="inlineStr">
        <is>
          <t>Analyzing Object</t>
        </is>
      </c>
      <c r="E310" s="29">
        <f>MATCH(D310, {"Waiting for Input","Analyzing Object","Found Object","Needs Help","Confused","None"}, 0) - 1</f>
        <v/>
      </c>
      <c r="F310" s="31" t="inlineStr">
        <is>
          <t>None</t>
        </is>
      </c>
      <c r="G310" s="29">
        <f>MATCH(F310, {"Waiting for Input","Analyzing Object","Found Object","Needs Help","Confused","None"}, 0) - 1</f>
        <v/>
      </c>
      <c r="H310" s="29" t="n">
        <v>2</v>
      </c>
      <c r="I310" s="29">
        <f>IF(E310=G310, 1, 0)</f>
        <v/>
      </c>
    </row>
    <row r="311" ht="22" customHeight="1" s="270">
      <c r="A311" s="29" t="n">
        <v>309</v>
      </c>
      <c r="B311" s="29" t="inlineStr">
        <is>
          <t>1</t>
        </is>
      </c>
      <c r="C311" s="30" t="inlineStr">
        <is>
          <t>Random</t>
        </is>
      </c>
      <c r="D311" s="29" t="inlineStr">
        <is>
          <t>Analyzing Object</t>
        </is>
      </c>
      <c r="E311" s="29">
        <f>MATCH(D311, {"Waiting for Input","Analyzing Object","Found Object","Needs Help","Confused","None"}, 0) - 1</f>
        <v/>
      </c>
      <c r="F311" s="31" t="inlineStr">
        <is>
          <t>Needs Help</t>
        </is>
      </c>
      <c r="G311" s="29">
        <f>MATCH(F311, {"Waiting for Input","Analyzing Object","Found Object","Needs Help","Confused","None"}, 0) - 1</f>
        <v/>
      </c>
      <c r="H311" s="29" t="n">
        <v>2</v>
      </c>
      <c r="I311" s="29">
        <f>IF(E311=G311, 1, 0)</f>
        <v/>
      </c>
    </row>
    <row r="312" ht="22" customHeight="1" s="270">
      <c r="A312" s="29" t="n">
        <v>310</v>
      </c>
      <c r="B312" s="29" t="inlineStr">
        <is>
          <t>2</t>
        </is>
      </c>
      <c r="C312" s="30" t="inlineStr">
        <is>
          <t>Random</t>
        </is>
      </c>
      <c r="D312" s="29" t="inlineStr">
        <is>
          <t>Analyzing Object</t>
        </is>
      </c>
      <c r="E312" s="29">
        <f>MATCH(D312, {"Waiting for Input","Analyzing Object","Found Object","Needs Help","Confused","None"}, 0) - 1</f>
        <v/>
      </c>
      <c r="F312" s="31" t="inlineStr">
        <is>
          <t>Confused</t>
        </is>
      </c>
      <c r="G312" s="29">
        <f>MATCH(F312, {"Waiting for Input","Analyzing Object","Found Object","Needs Help","Confused","None"}, 0) - 1</f>
        <v/>
      </c>
      <c r="H312" s="29" t="n">
        <v>3</v>
      </c>
      <c r="I312" s="29">
        <f>IF(E312=G312, 1, 0)</f>
        <v/>
      </c>
    </row>
    <row r="313" ht="22" customHeight="1" s="270">
      <c r="A313" s="29" t="n">
        <v>311</v>
      </c>
      <c r="B313" s="29" t="inlineStr">
        <is>
          <t>2</t>
        </is>
      </c>
      <c r="C313" s="30" t="inlineStr">
        <is>
          <t>Random</t>
        </is>
      </c>
      <c r="D313" s="29" t="inlineStr">
        <is>
          <t>Analyzing Object</t>
        </is>
      </c>
      <c r="E313" s="29">
        <f>MATCH(D313, {"Waiting for Input","Analyzing Object","Found Object","Needs Help","Confused","None"}, 0) - 1</f>
        <v/>
      </c>
      <c r="F313" s="31" t="inlineStr">
        <is>
          <t>Needs Help</t>
        </is>
      </c>
      <c r="G313" s="29">
        <f>MATCH(F313, {"Waiting for Input","Analyzing Object","Found Object","Needs Help","Confused","None"}, 0) - 1</f>
        <v/>
      </c>
      <c r="H313" s="29" t="n">
        <v>4</v>
      </c>
      <c r="I313" s="29">
        <f>IF(E313=G313, 1, 0)</f>
        <v/>
      </c>
    </row>
    <row r="314" ht="22" customHeight="1" s="270">
      <c r="A314" s="29" t="n">
        <v>312</v>
      </c>
      <c r="B314" s="29" t="inlineStr">
        <is>
          <t>2</t>
        </is>
      </c>
      <c r="C314" s="30" t="inlineStr">
        <is>
          <t>Random</t>
        </is>
      </c>
      <c r="D314" s="29" t="inlineStr">
        <is>
          <t>Analyzing Object</t>
        </is>
      </c>
      <c r="E314" s="29">
        <f>MATCH(D314, {"Waiting for Input","Analyzing Object","Found Object","Needs Help","Confused","None"}, 0) - 1</f>
        <v/>
      </c>
      <c r="F314" s="31" t="inlineStr">
        <is>
          <t>Waiting for Input</t>
        </is>
      </c>
      <c r="G314" s="29">
        <f>MATCH(F314, {"Waiting for Input","Analyzing Object","Found Object","Needs Help","Confused","None"}, 0) - 1</f>
        <v/>
      </c>
      <c r="H314" s="29" t="n">
        <v>3</v>
      </c>
      <c r="I314" s="29">
        <f>IF(E314=G314, 1, 0)</f>
        <v/>
      </c>
    </row>
    <row r="315" ht="22" customHeight="1" s="270">
      <c r="A315" s="29" t="n">
        <v>313</v>
      </c>
      <c r="B315" s="29" t="inlineStr">
        <is>
          <t>2</t>
        </is>
      </c>
      <c r="C315" s="30" t="inlineStr">
        <is>
          <t>Random</t>
        </is>
      </c>
      <c r="D315" s="29" t="inlineStr">
        <is>
          <t>Analyzing Object</t>
        </is>
      </c>
      <c r="E315" s="29">
        <f>MATCH(D315, {"Waiting for Input","Analyzing Object","Found Object","Needs Help","Confused","None"}, 0) - 1</f>
        <v/>
      </c>
      <c r="F315" s="31" t="inlineStr">
        <is>
          <t>Needs Help</t>
        </is>
      </c>
      <c r="G315" s="29">
        <f>MATCH(F315, {"Waiting for Input","Analyzing Object","Found Object","Needs Help","Confused","None"}, 0) - 1</f>
        <v/>
      </c>
      <c r="H315" s="29" t="n">
        <v>3</v>
      </c>
      <c r="I315" s="29">
        <f>IF(E315=G315, 1, 0)</f>
        <v/>
      </c>
    </row>
    <row r="316" ht="22" customHeight="1" s="270">
      <c r="A316" s="29" t="n">
        <v>314</v>
      </c>
      <c r="B316" s="29" t="inlineStr">
        <is>
          <t>1</t>
        </is>
      </c>
      <c r="C316" s="30" t="inlineStr">
        <is>
          <t>Random</t>
        </is>
      </c>
      <c r="D316" s="29" t="inlineStr">
        <is>
          <t>Analyzing Object</t>
        </is>
      </c>
      <c r="E316" s="29">
        <f>MATCH(D316, {"Waiting for Input","Analyzing Object","Found Object","Needs Help","Confused","None"}, 0) - 1</f>
        <v/>
      </c>
      <c r="F316" s="31" t="inlineStr">
        <is>
          <t>Needs Help</t>
        </is>
      </c>
      <c r="G316" s="29">
        <f>MATCH(F316, {"Waiting for Input","Analyzing Object","Found Object","Needs Help","Confused","None"}, 0) - 1</f>
        <v/>
      </c>
      <c r="H316" s="29" t="n">
        <v>5</v>
      </c>
      <c r="I316" s="29">
        <f>IF(E316=G316, 1, 0)</f>
        <v/>
      </c>
    </row>
    <row r="317" ht="22" customHeight="1" s="270">
      <c r="A317" s="29" t="n">
        <v>315</v>
      </c>
      <c r="B317" s="29" t="inlineStr">
        <is>
          <t>1</t>
        </is>
      </c>
      <c r="C317" s="30" t="inlineStr">
        <is>
          <t>Random</t>
        </is>
      </c>
      <c r="D317" s="29" t="inlineStr">
        <is>
          <t>Analyzing Object</t>
        </is>
      </c>
      <c r="E317" s="29">
        <f>MATCH(D317, {"Waiting for Input","Analyzing Object","Found Object","Needs Help","Confused","None"}, 0) - 1</f>
        <v/>
      </c>
      <c r="F317" s="31" t="inlineStr">
        <is>
          <t>Needs Help</t>
        </is>
      </c>
      <c r="G317" s="29">
        <f>MATCH(F317, {"Waiting for Input","Analyzing Object","Found Object","Needs Help","Confused","None"}, 0) - 1</f>
        <v/>
      </c>
      <c r="H317" s="29" t="n">
        <v>2</v>
      </c>
      <c r="I317" s="29">
        <f>IF(E317=G317, 1, 0)</f>
        <v/>
      </c>
    </row>
    <row r="318" ht="22" customHeight="1" s="270">
      <c r="A318" s="29" t="n">
        <v>316</v>
      </c>
      <c r="B318" s="29" t="inlineStr">
        <is>
          <t>1</t>
        </is>
      </c>
      <c r="C318" s="30" t="inlineStr">
        <is>
          <t>Random</t>
        </is>
      </c>
      <c r="D318" s="29" t="inlineStr">
        <is>
          <t>Analyzing Object</t>
        </is>
      </c>
      <c r="E318" s="29">
        <f>MATCH(D318, {"Waiting for Input","Analyzing Object","Found Object","Needs Help","Confused","None"}, 0) - 1</f>
        <v/>
      </c>
      <c r="F318" s="31" t="inlineStr">
        <is>
          <t>Needs Help</t>
        </is>
      </c>
      <c r="G318" s="29">
        <f>MATCH(F318, {"Waiting for Input","Analyzing Object","Found Object","Needs Help","Confused","None"}, 0) - 1</f>
        <v/>
      </c>
      <c r="H318" s="29" t="n">
        <v>3</v>
      </c>
      <c r="I318" s="29">
        <f>IF(E318=G318, 1, 0)</f>
        <v/>
      </c>
    </row>
    <row r="319" ht="22" customHeight="1" s="270">
      <c r="A319" s="29" t="n">
        <v>317</v>
      </c>
      <c r="B319" s="29" t="inlineStr">
        <is>
          <t>2</t>
        </is>
      </c>
      <c r="C319" s="30" t="inlineStr">
        <is>
          <t>Random</t>
        </is>
      </c>
      <c r="D319" s="29" t="inlineStr">
        <is>
          <t>Analyzing Object</t>
        </is>
      </c>
      <c r="E319" s="29">
        <f>MATCH(D319, {"Waiting for Input","Analyzing Object","Found Object","Needs Help","Confused","None"}, 0) - 1</f>
        <v/>
      </c>
      <c r="F319" s="31" t="inlineStr">
        <is>
          <t>Needs Help</t>
        </is>
      </c>
      <c r="G319" s="29">
        <f>MATCH(F319, {"Waiting for Input","Analyzing Object","Found Object","Needs Help","Confused","None"}, 0) - 1</f>
        <v/>
      </c>
      <c r="H319" s="29" t="n">
        <v>2</v>
      </c>
      <c r="I319" s="29">
        <f>IF(E319=G319, 1, 0)</f>
        <v/>
      </c>
    </row>
    <row r="320" ht="22" customHeight="1" s="270">
      <c r="A320" s="29" t="n">
        <v>318</v>
      </c>
      <c r="B320" s="29" t="inlineStr">
        <is>
          <t>2</t>
        </is>
      </c>
      <c r="C320" s="30" t="inlineStr">
        <is>
          <t>Random</t>
        </is>
      </c>
      <c r="D320" s="29" t="inlineStr">
        <is>
          <t>Analyzing Object</t>
        </is>
      </c>
      <c r="E320" s="29">
        <f>MATCH(D320, {"Waiting for Input","Analyzing Object","Found Object","Needs Help","Confused","None"}, 0) - 1</f>
        <v/>
      </c>
      <c r="F320" s="31" t="inlineStr">
        <is>
          <t>Needs Help</t>
        </is>
      </c>
      <c r="G320" s="29">
        <f>MATCH(F320, {"Waiting for Input","Analyzing Object","Found Object","Needs Help","Confused","None"}, 0) - 1</f>
        <v/>
      </c>
      <c r="H320" s="29" t="n">
        <v>2</v>
      </c>
      <c r="I320" s="29">
        <f>IF(E320=G320, 1, 0)</f>
        <v/>
      </c>
    </row>
    <row r="321" ht="22" customHeight="1" s="270">
      <c r="A321" s="29" t="n">
        <v>319</v>
      </c>
      <c r="B321" s="29" t="inlineStr">
        <is>
          <t>1</t>
        </is>
      </c>
      <c r="C321" s="30" t="inlineStr">
        <is>
          <t>Random</t>
        </is>
      </c>
      <c r="D321" s="29" t="inlineStr">
        <is>
          <t>Analyzing Object</t>
        </is>
      </c>
      <c r="E321" s="29">
        <f>MATCH(D321, {"Waiting for Input","Analyzing Object","Found Object","Needs Help","Confused","None"}, 0) - 1</f>
        <v/>
      </c>
      <c r="F321" s="31" t="inlineStr">
        <is>
          <t>Waiting for Input</t>
        </is>
      </c>
      <c r="G321" s="29">
        <f>MATCH(F321, {"Waiting for Input","Analyzing Object","Found Object","Needs Help","Confused","None"}, 0) - 1</f>
        <v/>
      </c>
      <c r="H321" s="29" t="n">
        <v>5</v>
      </c>
      <c r="I321" s="29">
        <f>IF(E321=G321, 1, 0)</f>
        <v/>
      </c>
    </row>
    <row r="322" ht="22" customHeight="1" s="270">
      <c r="A322" s="29" t="n">
        <v>320</v>
      </c>
      <c r="B322" s="29" t="inlineStr">
        <is>
          <t>1</t>
        </is>
      </c>
      <c r="C322" s="30" t="inlineStr">
        <is>
          <t>Random</t>
        </is>
      </c>
      <c r="D322" s="29" t="inlineStr">
        <is>
          <t>Analyzing Object</t>
        </is>
      </c>
      <c r="E322" s="29">
        <f>MATCH(D322, {"Waiting for Input","Analyzing Object","Found Object","Needs Help","Confused","None"}, 0) - 1</f>
        <v/>
      </c>
      <c r="F322" s="31" t="inlineStr">
        <is>
          <t>Found Object</t>
        </is>
      </c>
      <c r="G322" s="29">
        <f>MATCH(F322, {"Waiting for Input","Analyzing Object","Found Object","Needs Help","Confused","None"}, 0) - 1</f>
        <v/>
      </c>
      <c r="H322" s="29" t="n">
        <v>2</v>
      </c>
      <c r="I322" s="29">
        <f>IF(E322=G322, 1, 0)</f>
        <v/>
      </c>
    </row>
    <row r="323" ht="22" customHeight="1" s="270">
      <c r="A323" s="29" t="n">
        <v>321</v>
      </c>
      <c r="B323" s="29" t="inlineStr">
        <is>
          <t>2</t>
        </is>
      </c>
      <c r="C323" s="30" t="inlineStr">
        <is>
          <t>Random</t>
        </is>
      </c>
      <c r="D323" s="29" t="inlineStr">
        <is>
          <t>Analyzing Object</t>
        </is>
      </c>
      <c r="E323" s="29">
        <f>MATCH(D323, {"Waiting for Input","Analyzing Object","Found Object","Needs Help","Confused","None"}, 0) - 1</f>
        <v/>
      </c>
      <c r="F323" s="31" t="inlineStr">
        <is>
          <t>Confused</t>
        </is>
      </c>
      <c r="G323" s="29">
        <f>MATCH(F323, {"Waiting for Input","Analyzing Object","Found Object","Needs Help","Confused","None"}, 0) - 1</f>
        <v/>
      </c>
      <c r="H323" s="29" t="n">
        <v>4</v>
      </c>
      <c r="I323" s="29">
        <f>IF(E323=G323, 1, 0)</f>
        <v/>
      </c>
    </row>
    <row r="324" ht="22" customHeight="1" s="270">
      <c r="A324" s="29" t="n">
        <v>322</v>
      </c>
      <c r="B324" s="29" t="inlineStr">
        <is>
          <t>2</t>
        </is>
      </c>
      <c r="C324" s="30" t="inlineStr">
        <is>
          <t>Random</t>
        </is>
      </c>
      <c r="D324" s="29" t="inlineStr">
        <is>
          <t>Analyzing Object</t>
        </is>
      </c>
      <c r="E324" s="29">
        <f>MATCH(D324, {"Waiting for Input","Analyzing Object","Found Object","Needs Help","Confused","None"}, 0) - 1</f>
        <v/>
      </c>
      <c r="F324" s="31" t="inlineStr">
        <is>
          <t>Needs Help</t>
        </is>
      </c>
      <c r="G324" s="29">
        <f>MATCH(F324, {"Waiting for Input","Analyzing Object","Found Object","Needs Help","Confused","None"}, 0) - 1</f>
        <v/>
      </c>
      <c r="H324" s="29" t="n">
        <v>5</v>
      </c>
      <c r="I324" s="29">
        <f>IF(E324=G324, 1, 0)</f>
        <v/>
      </c>
    </row>
    <row r="325" ht="22" customHeight="1" s="270">
      <c r="A325" s="29" t="n">
        <v>323</v>
      </c>
      <c r="B325" s="29" t="inlineStr">
        <is>
          <t>1</t>
        </is>
      </c>
      <c r="C325" s="30" t="inlineStr">
        <is>
          <t>Random</t>
        </is>
      </c>
      <c r="D325" s="29" t="inlineStr">
        <is>
          <t>Analyzing Object</t>
        </is>
      </c>
      <c r="E325" s="29">
        <f>MATCH(D325, {"Waiting for Input","Analyzing Object","Found Object","Needs Help","Confused","None"}, 0) - 1</f>
        <v/>
      </c>
      <c r="F325" s="31" t="inlineStr">
        <is>
          <t>Waiting for Input</t>
        </is>
      </c>
      <c r="G325" s="29">
        <f>MATCH(F325, {"Waiting for Input","Analyzing Object","Found Object","Needs Help","Confused","None"}, 0) - 1</f>
        <v/>
      </c>
      <c r="H325" s="29" t="n">
        <v>2</v>
      </c>
      <c r="I325" s="29">
        <f>IF(E325=G325, 1, 0)</f>
        <v/>
      </c>
    </row>
    <row r="326" ht="22" customHeight="1" s="270">
      <c r="A326" s="29" t="n">
        <v>324</v>
      </c>
      <c r="B326" s="29" t="inlineStr">
        <is>
          <t>1</t>
        </is>
      </c>
      <c r="C326" s="30" t="inlineStr">
        <is>
          <t>Random</t>
        </is>
      </c>
      <c r="D326" s="29" t="inlineStr">
        <is>
          <t>Analyzing Object</t>
        </is>
      </c>
      <c r="E326" s="29">
        <f>MATCH(D326, {"Waiting for Input","Analyzing Object","Found Object","Needs Help","Confused","None"}, 0) - 1</f>
        <v/>
      </c>
      <c r="F326" s="31" t="inlineStr">
        <is>
          <t>Confused</t>
        </is>
      </c>
      <c r="G326" s="29">
        <f>MATCH(F326, {"Waiting for Input","Analyzing Object","Found Object","Needs Help","Confused","None"}, 0) - 1</f>
        <v/>
      </c>
      <c r="H326" s="29" t="n">
        <v>2</v>
      </c>
      <c r="I326" s="29">
        <f>IF(E326=G326, 1, 0)</f>
        <v/>
      </c>
    </row>
    <row r="327" ht="22" customHeight="1" s="270">
      <c r="A327" s="29" t="n">
        <v>325</v>
      </c>
      <c r="B327" s="29" t="inlineStr">
        <is>
          <t>2</t>
        </is>
      </c>
      <c r="C327" s="30" t="inlineStr">
        <is>
          <t>Random</t>
        </is>
      </c>
      <c r="D327" s="29" t="inlineStr">
        <is>
          <t>Analyzing Object</t>
        </is>
      </c>
      <c r="E327" s="29">
        <f>MATCH(D327, {"Waiting for Input","Analyzing Object","Found Object","Needs Help","Confused","None"}, 0) - 1</f>
        <v/>
      </c>
      <c r="F327" s="31" t="inlineStr">
        <is>
          <t>Needs Help</t>
        </is>
      </c>
      <c r="G327" s="29">
        <f>MATCH(F327, {"Waiting for Input","Analyzing Object","Found Object","Needs Help","Confused","None"}, 0) - 1</f>
        <v/>
      </c>
      <c r="H327" s="29" t="n">
        <v>2</v>
      </c>
      <c r="I327" s="29">
        <f>IF(E327=G327, 1, 0)</f>
        <v/>
      </c>
    </row>
    <row r="328" ht="22" customHeight="1" s="270">
      <c r="A328" s="29" t="n">
        <v>326</v>
      </c>
      <c r="B328" s="29" t="inlineStr">
        <is>
          <t>2</t>
        </is>
      </c>
      <c r="C328" s="30" t="inlineStr">
        <is>
          <t>Random</t>
        </is>
      </c>
      <c r="D328" s="29" t="inlineStr">
        <is>
          <t>Analyzing Object</t>
        </is>
      </c>
      <c r="E328" s="29">
        <f>MATCH(D328, {"Waiting for Input","Analyzing Object","Found Object","Needs Help","Confused","None"}, 0) - 1</f>
        <v/>
      </c>
      <c r="F328" s="31" t="inlineStr">
        <is>
          <t>Needs Help</t>
        </is>
      </c>
      <c r="G328" s="29">
        <f>MATCH(F328, {"Waiting for Input","Analyzing Object","Found Object","Needs Help","Confused","None"}, 0) - 1</f>
        <v/>
      </c>
      <c r="H328" s="29" t="n">
        <v>3</v>
      </c>
      <c r="I328" s="29">
        <f>IF(E328=G328, 1, 0)</f>
        <v/>
      </c>
    </row>
    <row r="329" ht="22" customHeight="1" s="270">
      <c r="A329" s="29" t="n">
        <v>327</v>
      </c>
      <c r="B329" s="29" t="inlineStr">
        <is>
          <t>2</t>
        </is>
      </c>
      <c r="C329" s="30" t="inlineStr">
        <is>
          <t>Random</t>
        </is>
      </c>
      <c r="D329" s="29" t="inlineStr">
        <is>
          <t>Analyzing Object</t>
        </is>
      </c>
      <c r="E329" s="29">
        <f>MATCH(D329, {"Waiting for Input","Analyzing Object","Found Object","Needs Help","Confused","None"}, 0) - 1</f>
        <v/>
      </c>
      <c r="F329" s="31" t="inlineStr">
        <is>
          <t>Found Object</t>
        </is>
      </c>
      <c r="G329" s="29">
        <f>MATCH(F329, {"Waiting for Input","Analyzing Object","Found Object","Needs Help","Confused","None"}, 0) - 1</f>
        <v/>
      </c>
      <c r="H329" s="29" t="n">
        <v>3</v>
      </c>
      <c r="I329" s="29">
        <f>IF(E329=G329, 1, 0)</f>
        <v/>
      </c>
    </row>
    <row r="330" ht="22" customHeight="1" s="270">
      <c r="A330" s="29" t="n">
        <v>328</v>
      </c>
      <c r="B330" s="29" t="inlineStr">
        <is>
          <t>2</t>
        </is>
      </c>
      <c r="C330" s="30" t="inlineStr">
        <is>
          <t>Random</t>
        </is>
      </c>
      <c r="D330" s="29" t="inlineStr">
        <is>
          <t>Analyzing Object</t>
        </is>
      </c>
      <c r="E330" s="29">
        <f>MATCH(D330, {"Waiting for Input","Analyzing Object","Found Object","Needs Help","Confused","None"}, 0) - 1</f>
        <v/>
      </c>
      <c r="F330" s="31" t="inlineStr">
        <is>
          <t>Needs Help</t>
        </is>
      </c>
      <c r="G330" s="29">
        <f>MATCH(F330, {"Waiting for Input","Analyzing Object","Found Object","Needs Help","Confused","None"}, 0) - 1</f>
        <v/>
      </c>
      <c r="H330" s="29" t="n">
        <v>3</v>
      </c>
      <c r="I330" s="29">
        <f>IF(E330=G330, 1, 0)</f>
        <v/>
      </c>
    </row>
    <row r="331" ht="22" customHeight="1" s="270">
      <c r="A331" s="29" t="n">
        <v>329</v>
      </c>
      <c r="B331" s="29" t="inlineStr">
        <is>
          <t>2</t>
        </is>
      </c>
      <c r="C331" s="30" t="inlineStr">
        <is>
          <t>Random</t>
        </is>
      </c>
      <c r="D331" s="29" t="inlineStr">
        <is>
          <t>Analyzing Object</t>
        </is>
      </c>
      <c r="E331" s="29">
        <f>MATCH(D331, {"Waiting for Input","Analyzing Object","Found Object","Needs Help","Confused","None"}, 0) - 1</f>
        <v/>
      </c>
      <c r="F331" s="31" t="inlineStr">
        <is>
          <t>Needs Help</t>
        </is>
      </c>
      <c r="G331" s="29">
        <f>MATCH(F331, {"Waiting for Input","Analyzing Object","Found Object","Needs Help","Confused","None"}, 0) - 1</f>
        <v/>
      </c>
      <c r="H331" s="29" t="n">
        <v>1</v>
      </c>
      <c r="I331" s="29">
        <f>IF(E331=G331, 1, 0)</f>
        <v/>
      </c>
    </row>
    <row r="332" ht="22" customHeight="1" s="270">
      <c r="A332" s="29" t="n">
        <v>330</v>
      </c>
      <c r="B332" s="29" t="inlineStr">
        <is>
          <t>2</t>
        </is>
      </c>
      <c r="C332" s="30" t="inlineStr">
        <is>
          <t>Random</t>
        </is>
      </c>
      <c r="D332" s="29" t="inlineStr">
        <is>
          <t>Analyzing Object</t>
        </is>
      </c>
      <c r="E332" s="29">
        <f>MATCH(D332, {"Waiting for Input","Analyzing Object","Found Object","Needs Help","Confused","None"}, 0) - 1</f>
        <v/>
      </c>
      <c r="F332" s="31" t="inlineStr">
        <is>
          <t>None</t>
        </is>
      </c>
      <c r="G332" s="29">
        <f>MATCH(F332, {"Waiting for Input","Analyzing Object","Found Object","Needs Help","Confused","None"}, 0) - 1</f>
        <v/>
      </c>
      <c r="H332" s="29" t="n">
        <v>3</v>
      </c>
      <c r="I332" s="29">
        <f>IF(E332=G332, 1, 0)</f>
        <v/>
      </c>
    </row>
    <row r="333" ht="22" customHeight="1" s="270">
      <c r="A333" s="29" t="n">
        <v>331</v>
      </c>
      <c r="B333" s="29" t="inlineStr">
        <is>
          <t>1</t>
        </is>
      </c>
      <c r="C333" s="30" t="inlineStr">
        <is>
          <t>Random</t>
        </is>
      </c>
      <c r="D333" s="29" t="inlineStr">
        <is>
          <t>Analyzing Object</t>
        </is>
      </c>
      <c r="E333" s="29">
        <f>MATCH(D333, {"Waiting for Input","Analyzing Object","Found Object","Needs Help","Confused","None"}, 0) - 1</f>
        <v/>
      </c>
      <c r="F333" s="31" t="inlineStr">
        <is>
          <t>Needs Help</t>
        </is>
      </c>
      <c r="G333" s="29">
        <f>MATCH(F333, {"Waiting for Input","Analyzing Object","Found Object","Needs Help","Confused","None"}, 0) - 1</f>
        <v/>
      </c>
      <c r="H333" s="29" t="n">
        <v>5</v>
      </c>
      <c r="I333" s="29">
        <f>IF(E333=G333, 1, 0)</f>
        <v/>
      </c>
    </row>
    <row r="334" ht="22" customHeight="1" s="270">
      <c r="A334" s="29" t="n">
        <v>332</v>
      </c>
      <c r="B334" s="29" t="inlineStr">
        <is>
          <t>2</t>
        </is>
      </c>
      <c r="C334" s="30" t="inlineStr">
        <is>
          <t>Random</t>
        </is>
      </c>
      <c r="D334" s="29" t="inlineStr">
        <is>
          <t>Analyzing Object</t>
        </is>
      </c>
      <c r="E334" s="29">
        <f>MATCH(D334, {"Waiting for Input","Analyzing Object","Found Object","Needs Help","Confused","None"}, 0) - 1</f>
        <v/>
      </c>
      <c r="F334" s="31" t="inlineStr">
        <is>
          <t>Needs Help</t>
        </is>
      </c>
      <c r="G334" s="29">
        <f>MATCH(F334, {"Waiting for Input","Analyzing Object","Found Object","Needs Help","Confused","None"}, 0) - 1</f>
        <v/>
      </c>
      <c r="H334" s="29" t="n">
        <v>3</v>
      </c>
      <c r="I334" s="29">
        <f>IF(E334=G334, 1, 0)</f>
        <v/>
      </c>
    </row>
    <row r="335" ht="22" customHeight="1" s="270">
      <c r="A335" s="29" t="n">
        <v>333</v>
      </c>
      <c r="B335" s="29" t="inlineStr">
        <is>
          <t>1</t>
        </is>
      </c>
      <c r="C335" s="30" t="inlineStr">
        <is>
          <t>Random</t>
        </is>
      </c>
      <c r="D335" s="29" t="inlineStr">
        <is>
          <t>Analyzing Object</t>
        </is>
      </c>
      <c r="E335" s="29">
        <f>MATCH(D335, {"Waiting for Input","Analyzing Object","Found Object","Needs Help","Confused","None"}, 0) - 1</f>
        <v/>
      </c>
      <c r="F335" s="31" t="inlineStr">
        <is>
          <t>Needs Help</t>
        </is>
      </c>
      <c r="G335" s="29">
        <f>MATCH(F335, {"Waiting for Input","Analyzing Object","Found Object","Needs Help","Confused","None"}, 0) - 1</f>
        <v/>
      </c>
      <c r="H335" s="29" t="n">
        <v>2</v>
      </c>
      <c r="I335" s="29">
        <f>IF(E335=G335, 1, 0)</f>
        <v/>
      </c>
    </row>
    <row r="336" ht="22" customHeight="1" s="270">
      <c r="A336" s="29" t="n">
        <v>334</v>
      </c>
      <c r="B336" s="29" t="inlineStr">
        <is>
          <t>1</t>
        </is>
      </c>
      <c r="C336" s="30" t="inlineStr">
        <is>
          <t>Random</t>
        </is>
      </c>
      <c r="D336" s="29" t="inlineStr">
        <is>
          <t>Analyzing Object</t>
        </is>
      </c>
      <c r="E336" s="29">
        <f>MATCH(D336, {"Waiting for Input","Analyzing Object","Found Object","Needs Help","Confused","None"}, 0) - 1</f>
        <v/>
      </c>
      <c r="F336" s="31" t="inlineStr">
        <is>
          <t>Needs Help</t>
        </is>
      </c>
      <c r="G336" s="29">
        <f>MATCH(F336, {"Waiting for Input","Analyzing Object","Found Object","Needs Help","Confused","None"}, 0) - 1</f>
        <v/>
      </c>
      <c r="H336" s="29" t="n">
        <v>3</v>
      </c>
      <c r="I336" s="29">
        <f>IF(E336=G336, 1, 0)</f>
        <v/>
      </c>
    </row>
    <row r="337" ht="22" customHeight="1" s="270">
      <c r="A337" s="29" t="n">
        <v>335</v>
      </c>
      <c r="B337" s="29" t="inlineStr">
        <is>
          <t>1</t>
        </is>
      </c>
      <c r="C337" s="30" t="inlineStr">
        <is>
          <t>Random</t>
        </is>
      </c>
      <c r="D337" s="29" t="inlineStr">
        <is>
          <t>Analyzing Object</t>
        </is>
      </c>
      <c r="E337" s="29">
        <f>MATCH(D337, {"Waiting for Input","Analyzing Object","Found Object","Needs Help","Confused","None"}, 0) - 1</f>
        <v/>
      </c>
      <c r="F337" s="31" t="inlineStr">
        <is>
          <t>Needs Help</t>
        </is>
      </c>
      <c r="G337" s="29">
        <f>MATCH(F337, {"Waiting for Input","Analyzing Object","Found Object","Needs Help","Confused","None"}, 0) - 1</f>
        <v/>
      </c>
      <c r="H337" s="29" t="n">
        <v>3</v>
      </c>
      <c r="I337" s="29">
        <f>IF(E337=G337, 1, 0)</f>
        <v/>
      </c>
    </row>
    <row r="338" ht="22" customHeight="1" s="270">
      <c r="A338" s="29" t="n">
        <v>336</v>
      </c>
      <c r="B338" s="29" t="inlineStr">
        <is>
          <t>2</t>
        </is>
      </c>
      <c r="C338" s="30" t="inlineStr">
        <is>
          <t>Random</t>
        </is>
      </c>
      <c r="D338" s="29" t="inlineStr">
        <is>
          <t>Analyzing Object</t>
        </is>
      </c>
      <c r="E338" s="29">
        <f>MATCH(D338, {"Waiting for Input","Analyzing Object","Found Object","Needs Help","Confused","None"}, 0) - 1</f>
        <v/>
      </c>
      <c r="F338" s="31" t="inlineStr">
        <is>
          <t>Needs Help</t>
        </is>
      </c>
      <c r="G338" s="29">
        <f>MATCH(F338, {"Waiting for Input","Analyzing Object","Found Object","Needs Help","Confused","None"}, 0) - 1</f>
        <v/>
      </c>
      <c r="H338" s="29" t="n">
        <v>4</v>
      </c>
      <c r="I338" s="29">
        <f>IF(E338=G338, 1, 0)</f>
        <v/>
      </c>
    </row>
    <row r="339" ht="22" customHeight="1" s="270">
      <c r="A339" s="29" t="n">
        <v>337</v>
      </c>
      <c r="B339" s="29" t="inlineStr">
        <is>
          <t>2</t>
        </is>
      </c>
      <c r="C339" s="30" t="inlineStr">
        <is>
          <t>Random</t>
        </is>
      </c>
      <c r="D339" s="29" t="inlineStr">
        <is>
          <t>Analyzing Object</t>
        </is>
      </c>
      <c r="E339" s="29">
        <f>MATCH(D339, {"Waiting for Input","Analyzing Object","Found Object","Needs Help","Confused","None"}, 0) - 1</f>
        <v/>
      </c>
      <c r="F339" s="31" t="inlineStr">
        <is>
          <t>Needs Help</t>
        </is>
      </c>
      <c r="G339" s="29">
        <f>MATCH(F339, {"Waiting for Input","Analyzing Object","Found Object","Needs Help","Confused","None"}, 0) - 1</f>
        <v/>
      </c>
      <c r="H339" s="29" t="n">
        <v>5</v>
      </c>
      <c r="I339" s="29">
        <f>IF(E339=G339, 1, 0)</f>
        <v/>
      </c>
    </row>
    <row r="340" ht="22" customHeight="1" s="270">
      <c r="A340" s="29" t="n">
        <v>338</v>
      </c>
      <c r="B340" s="29" t="inlineStr">
        <is>
          <t>1</t>
        </is>
      </c>
      <c r="C340" s="30" t="inlineStr">
        <is>
          <t>Random</t>
        </is>
      </c>
      <c r="D340" s="29" t="inlineStr">
        <is>
          <t>Analyzing Object</t>
        </is>
      </c>
      <c r="E340" s="29">
        <f>MATCH(D340, {"Waiting for Input","Analyzing Object","Found Object","Needs Help","Confused","None"}, 0) - 1</f>
        <v/>
      </c>
      <c r="F340" s="31" t="inlineStr">
        <is>
          <t>None</t>
        </is>
      </c>
      <c r="G340" s="29">
        <f>MATCH(F340, {"Waiting for Input","Analyzing Object","Found Object","Needs Help","Confused","None"}, 0) - 1</f>
        <v/>
      </c>
      <c r="H340" s="29" t="n">
        <v>1</v>
      </c>
      <c r="I340" s="29">
        <f>IF(E340=G340, 1, 0)</f>
        <v/>
      </c>
    </row>
    <row r="341" ht="22" customHeight="1" s="270">
      <c r="A341" s="29" t="n">
        <v>339</v>
      </c>
      <c r="B341" s="29" t="inlineStr">
        <is>
          <t>1</t>
        </is>
      </c>
      <c r="C341" s="30" t="inlineStr">
        <is>
          <t>Random</t>
        </is>
      </c>
      <c r="D341" s="29" t="inlineStr">
        <is>
          <t>Analyzing Object</t>
        </is>
      </c>
      <c r="E341" s="29">
        <f>MATCH(D341, {"Waiting for Input","Analyzing Object","Found Object","Needs Help","Confused","None"}, 0) - 1</f>
        <v/>
      </c>
      <c r="F341" s="31" t="inlineStr">
        <is>
          <t>Needs Help</t>
        </is>
      </c>
      <c r="G341" s="29">
        <f>MATCH(F341, {"Waiting for Input","Analyzing Object","Found Object","Needs Help","Confused","None"}, 0) - 1</f>
        <v/>
      </c>
      <c r="H341" s="29" t="n">
        <v>5</v>
      </c>
      <c r="I341" s="29">
        <f>IF(E341=G341, 1, 0)</f>
        <v/>
      </c>
    </row>
    <row r="342" ht="22" customHeight="1" s="270">
      <c r="A342" s="29" t="n">
        <v>340</v>
      </c>
      <c r="B342" s="29" t="inlineStr">
        <is>
          <t>1</t>
        </is>
      </c>
      <c r="C342" s="30" t="inlineStr">
        <is>
          <t>Random</t>
        </is>
      </c>
      <c r="D342" s="29" t="inlineStr">
        <is>
          <t>Analyzing Object</t>
        </is>
      </c>
      <c r="E342" s="29">
        <f>MATCH(D342, {"Waiting for Input","Analyzing Object","Found Object","Needs Help","Confused","None"}, 0) - 1</f>
        <v/>
      </c>
      <c r="F342" s="31" t="inlineStr">
        <is>
          <t>None</t>
        </is>
      </c>
      <c r="G342" s="29">
        <f>MATCH(F342, {"Waiting for Input","Analyzing Object","Found Object","Needs Help","Confused","None"}, 0) - 1</f>
        <v/>
      </c>
      <c r="H342" s="29" t="n">
        <v>1</v>
      </c>
      <c r="I342" s="29">
        <f>IF(E342=G342, 1, 0)</f>
        <v/>
      </c>
    </row>
    <row r="343" ht="22" customHeight="1" s="270">
      <c r="A343" s="29" t="n">
        <v>341</v>
      </c>
      <c r="B343" s="29" t="inlineStr">
        <is>
          <t>2</t>
        </is>
      </c>
      <c r="C343" s="30" t="inlineStr">
        <is>
          <t>Random</t>
        </is>
      </c>
      <c r="D343" s="29" t="inlineStr">
        <is>
          <t>Analyzing Object</t>
        </is>
      </c>
      <c r="E343" s="29">
        <f>MATCH(D343, {"Waiting for Input","Analyzing Object","Found Object","Needs Help","Confused","None"}, 0) - 1</f>
        <v/>
      </c>
      <c r="F343" s="31" t="inlineStr">
        <is>
          <t>None</t>
        </is>
      </c>
      <c r="G343" s="29">
        <f>MATCH(F343, {"Waiting for Input","Analyzing Object","Found Object","Needs Help","Confused","None"}, 0) - 1</f>
        <v/>
      </c>
      <c r="H343" s="29" t="n">
        <v>2</v>
      </c>
      <c r="I343" s="29">
        <f>IF(E343=G343, 1, 0)</f>
        <v/>
      </c>
    </row>
    <row r="344" ht="22" customHeight="1" s="270">
      <c r="A344" s="29" t="n">
        <v>342</v>
      </c>
      <c r="B344" s="29" t="inlineStr">
        <is>
          <t>2</t>
        </is>
      </c>
      <c r="C344" s="30" t="inlineStr">
        <is>
          <t>Random</t>
        </is>
      </c>
      <c r="D344" s="29" t="inlineStr">
        <is>
          <t>Analyzing Object</t>
        </is>
      </c>
      <c r="E344" s="29">
        <f>MATCH(D344, {"Waiting for Input","Analyzing Object","Found Object","Needs Help","Confused","None"}, 0) - 1</f>
        <v/>
      </c>
      <c r="F344" s="31" t="inlineStr">
        <is>
          <t>Needs Help</t>
        </is>
      </c>
      <c r="G344" s="29">
        <f>MATCH(F344, {"Waiting for Input","Analyzing Object","Found Object","Needs Help","Confused","None"}, 0) - 1</f>
        <v/>
      </c>
      <c r="H344" s="29" t="n">
        <v>3</v>
      </c>
      <c r="I344" s="29">
        <f>IF(E344=G344, 1, 0)</f>
        <v/>
      </c>
    </row>
    <row r="345" ht="22" customHeight="1" s="270">
      <c r="A345" s="29" t="n">
        <v>343</v>
      </c>
      <c r="B345" s="29" t="inlineStr">
        <is>
          <t>2</t>
        </is>
      </c>
      <c r="C345" s="30" t="inlineStr">
        <is>
          <t>Random</t>
        </is>
      </c>
      <c r="D345" s="29" t="inlineStr">
        <is>
          <t>Analyzing Object</t>
        </is>
      </c>
      <c r="E345" s="29">
        <f>MATCH(D345, {"Waiting for Input","Analyzing Object","Found Object","Needs Help","Confused","None"}, 0) - 1</f>
        <v/>
      </c>
      <c r="F345" s="31" t="inlineStr">
        <is>
          <t>Needs Help</t>
        </is>
      </c>
      <c r="G345" s="29">
        <f>MATCH(F345, {"Waiting for Input","Analyzing Object","Found Object","Needs Help","Confused","None"}, 0) - 1</f>
        <v/>
      </c>
      <c r="H345" s="29" t="n">
        <v>1</v>
      </c>
      <c r="I345" s="29">
        <f>IF(E345=G345, 1, 0)</f>
        <v/>
      </c>
    </row>
    <row r="346" ht="22" customHeight="1" s="270">
      <c r="A346" s="29" t="n">
        <v>344</v>
      </c>
      <c r="B346" s="29" t="inlineStr">
        <is>
          <t>2</t>
        </is>
      </c>
      <c r="C346" s="30" t="inlineStr">
        <is>
          <t>Random</t>
        </is>
      </c>
      <c r="D346" s="29" t="inlineStr">
        <is>
          <t>Analyzing Object</t>
        </is>
      </c>
      <c r="E346" s="29">
        <f>MATCH(D346, {"Waiting for Input","Analyzing Object","Found Object","Needs Help","Confused","None"}, 0) - 1</f>
        <v/>
      </c>
      <c r="F346" s="31" t="inlineStr">
        <is>
          <t>Confused</t>
        </is>
      </c>
      <c r="G346" s="29">
        <f>MATCH(F346, {"Waiting for Input","Analyzing Object","Found Object","Needs Help","Confused","None"}, 0) - 1</f>
        <v/>
      </c>
      <c r="H346" s="29" t="n">
        <v>3</v>
      </c>
      <c r="I346" s="29">
        <f>IF(E346=G346, 1, 0)</f>
        <v/>
      </c>
    </row>
    <row r="347" ht="22" customHeight="1" s="270">
      <c r="A347" s="29" t="n">
        <v>345</v>
      </c>
      <c r="B347" s="29" t="inlineStr">
        <is>
          <t>2</t>
        </is>
      </c>
      <c r="C347" s="30" t="inlineStr">
        <is>
          <t>Random</t>
        </is>
      </c>
      <c r="D347" s="29" t="inlineStr">
        <is>
          <t>Analyzing Object</t>
        </is>
      </c>
      <c r="E347" s="29">
        <f>MATCH(D347, {"Waiting for Input","Analyzing Object","Found Object","Needs Help","Confused","None"}, 0) - 1</f>
        <v/>
      </c>
      <c r="F347" s="31" t="inlineStr">
        <is>
          <t>Confused</t>
        </is>
      </c>
      <c r="G347" s="29">
        <f>MATCH(F347, {"Waiting for Input","Analyzing Object","Found Object","Needs Help","Confused","None"}, 0) - 1</f>
        <v/>
      </c>
      <c r="H347" s="29" t="n">
        <v>3</v>
      </c>
      <c r="I347" s="29">
        <f>IF(E347=G347, 1, 0)</f>
        <v/>
      </c>
    </row>
    <row r="348" ht="22" customHeight="1" s="270">
      <c r="A348" s="29" t="n">
        <v>346</v>
      </c>
      <c r="B348" s="29" t="inlineStr">
        <is>
          <t>2</t>
        </is>
      </c>
      <c r="C348" s="30" t="inlineStr">
        <is>
          <t>Random</t>
        </is>
      </c>
      <c r="D348" s="29" t="inlineStr">
        <is>
          <t>Analyzing Object</t>
        </is>
      </c>
      <c r="E348" s="29">
        <f>MATCH(D348, {"Waiting for Input","Analyzing Object","Found Object","Needs Help","Confused","None"}, 0) - 1</f>
        <v/>
      </c>
      <c r="F348" s="31" t="inlineStr">
        <is>
          <t>Needs Help</t>
        </is>
      </c>
      <c r="G348" s="29">
        <f>MATCH(F348, {"Waiting for Input","Analyzing Object","Found Object","Needs Help","Confused","None"}, 0) - 1</f>
        <v/>
      </c>
      <c r="H348" s="29" t="n">
        <v>3</v>
      </c>
      <c r="I348" s="29">
        <f>IF(E348=G348, 1, 0)</f>
        <v/>
      </c>
    </row>
    <row r="349" ht="22" customHeight="1" s="270">
      <c r="A349" s="29" t="n">
        <v>347</v>
      </c>
      <c r="B349" s="29" t="inlineStr">
        <is>
          <t>2</t>
        </is>
      </c>
      <c r="C349" s="30" t="inlineStr">
        <is>
          <t>Random</t>
        </is>
      </c>
      <c r="D349" s="29" t="inlineStr">
        <is>
          <t>Analyzing Object</t>
        </is>
      </c>
      <c r="E349" s="29">
        <f>MATCH(D349, {"Waiting for Input","Analyzing Object","Found Object","Needs Help","Confused","None"}, 0) - 1</f>
        <v/>
      </c>
      <c r="F349" s="31" t="inlineStr">
        <is>
          <t>None</t>
        </is>
      </c>
      <c r="G349" s="29">
        <f>MATCH(F349, {"Waiting for Input","Analyzing Object","Found Object","Needs Help","Confused","None"}, 0) - 1</f>
        <v/>
      </c>
      <c r="H349" s="29" t="n">
        <v>3</v>
      </c>
      <c r="I349" s="29">
        <f>IF(E349=G349, 1, 0)</f>
        <v/>
      </c>
    </row>
    <row r="350" ht="22" customHeight="1" s="270">
      <c r="A350" s="29" t="n">
        <v>348</v>
      </c>
      <c r="B350" s="29" t="inlineStr">
        <is>
          <t>2</t>
        </is>
      </c>
      <c r="C350" s="30" t="inlineStr">
        <is>
          <t>Random</t>
        </is>
      </c>
      <c r="D350" s="29" t="inlineStr">
        <is>
          <t>Analyzing Object</t>
        </is>
      </c>
      <c r="E350" s="29">
        <f>MATCH(D350, {"Waiting for Input","Analyzing Object","Found Object","Needs Help","Confused","None"}, 0) - 1</f>
        <v/>
      </c>
      <c r="F350" s="31" t="inlineStr">
        <is>
          <t>Needs Help</t>
        </is>
      </c>
      <c r="G350" s="29">
        <f>MATCH(F350, {"Waiting for Input","Analyzing Object","Found Object","Needs Help","Confused","None"}, 0) - 1</f>
        <v/>
      </c>
      <c r="H350" s="29" t="n">
        <v>4</v>
      </c>
      <c r="I350" s="29">
        <f>IF(E350=G350, 1, 0)</f>
        <v/>
      </c>
    </row>
    <row r="351" ht="22" customHeight="1" s="270">
      <c r="A351" s="29" t="n">
        <v>349</v>
      </c>
      <c r="B351" s="29" t="inlineStr">
        <is>
          <t>2</t>
        </is>
      </c>
      <c r="C351" s="30" t="inlineStr">
        <is>
          <t>Random</t>
        </is>
      </c>
      <c r="D351" s="29" t="inlineStr">
        <is>
          <t>Analyzing Object</t>
        </is>
      </c>
      <c r="E351" s="29">
        <f>MATCH(D351, {"Waiting for Input","Analyzing Object","Found Object","Needs Help","Confused","None"}, 0) - 1</f>
        <v/>
      </c>
      <c r="F351" s="31" t="inlineStr">
        <is>
          <t>Needs Help</t>
        </is>
      </c>
      <c r="G351" s="29">
        <f>MATCH(F351, {"Waiting for Input","Analyzing Object","Found Object","Needs Help","Confused","None"}, 0) - 1</f>
        <v/>
      </c>
      <c r="H351" s="29" t="n">
        <v>3</v>
      </c>
      <c r="I351" s="29">
        <f>IF(E351=G351, 1, 0)</f>
        <v/>
      </c>
    </row>
    <row r="352" ht="22" customHeight="1" s="270">
      <c r="A352" s="29" t="n">
        <v>350</v>
      </c>
      <c r="B352" s="29" t="inlineStr">
        <is>
          <t>2</t>
        </is>
      </c>
      <c r="C352" s="30" t="inlineStr">
        <is>
          <t>Random</t>
        </is>
      </c>
      <c r="D352" s="29" t="inlineStr">
        <is>
          <t>Analyzing Object</t>
        </is>
      </c>
      <c r="E352" s="29">
        <f>MATCH(D352, {"Waiting for Input","Analyzing Object","Found Object","Needs Help","Confused","None"}, 0) - 1</f>
        <v/>
      </c>
      <c r="F352" s="31" t="inlineStr">
        <is>
          <t>Waiting for Input</t>
        </is>
      </c>
      <c r="G352" s="29">
        <f>MATCH(F352, {"Waiting for Input","Analyzing Object","Found Object","Needs Help","Confused","None"}, 0) - 1</f>
        <v/>
      </c>
      <c r="H352" s="29" t="n">
        <v>2</v>
      </c>
      <c r="I352" s="29">
        <f>IF(E352=G352, 1, 0)</f>
        <v/>
      </c>
    </row>
    <row r="353" ht="22" customHeight="1" s="270">
      <c r="A353" s="29" t="n">
        <v>351</v>
      </c>
      <c r="B353" s="29" t="inlineStr">
        <is>
          <t>1</t>
        </is>
      </c>
      <c r="C353" s="30" t="inlineStr">
        <is>
          <t>Random</t>
        </is>
      </c>
      <c r="D353" s="29" t="inlineStr">
        <is>
          <t>Analyzing Object</t>
        </is>
      </c>
      <c r="E353" s="29">
        <f>MATCH(D353, {"Waiting for Input","Analyzing Object","Found Object","Needs Help","Confused","None"}, 0) - 1</f>
        <v/>
      </c>
      <c r="F353" s="31" t="inlineStr">
        <is>
          <t>None</t>
        </is>
      </c>
      <c r="G353" s="29">
        <f>MATCH(F353, {"Waiting for Input","Analyzing Object","Found Object","Needs Help","Confused","None"}, 0) - 1</f>
        <v/>
      </c>
      <c r="H353" s="29" t="n">
        <v>4</v>
      </c>
      <c r="I353" s="29">
        <f>IF(E353=G353, 1, 0)</f>
        <v/>
      </c>
    </row>
    <row r="354" ht="22" customHeight="1" s="270">
      <c r="A354" s="29" t="n">
        <v>352</v>
      </c>
      <c r="B354" s="29" t="inlineStr">
        <is>
          <t>2</t>
        </is>
      </c>
      <c r="C354" s="30" t="inlineStr">
        <is>
          <t>Random</t>
        </is>
      </c>
      <c r="D354" s="29" t="inlineStr">
        <is>
          <t>Analyzing Object</t>
        </is>
      </c>
      <c r="E354" s="29">
        <f>MATCH(D354, {"Waiting for Input","Analyzing Object","Found Object","Needs Help","Confused","None"}, 0) - 1</f>
        <v/>
      </c>
      <c r="F354" s="31" t="inlineStr">
        <is>
          <t>Needs Help</t>
        </is>
      </c>
      <c r="G354" s="29">
        <f>MATCH(F354, {"Waiting for Input","Analyzing Object","Found Object","Needs Help","Confused","None"}, 0) - 1</f>
        <v/>
      </c>
      <c r="H354" s="29" t="n">
        <v>3</v>
      </c>
      <c r="I354" s="29">
        <f>IF(E354=G354, 1, 0)</f>
        <v/>
      </c>
    </row>
    <row r="355" ht="22" customHeight="1" s="270">
      <c r="A355" s="29" t="n">
        <v>353</v>
      </c>
      <c r="B355" s="29" t="inlineStr">
        <is>
          <t>2</t>
        </is>
      </c>
      <c r="C355" s="30" t="inlineStr">
        <is>
          <t>Random</t>
        </is>
      </c>
      <c r="D355" s="29" t="inlineStr">
        <is>
          <t>Analyzing Object</t>
        </is>
      </c>
      <c r="E355" s="29">
        <f>MATCH(D355, {"Waiting for Input","Analyzing Object","Found Object","Needs Help","Confused","None"}, 0) - 1</f>
        <v/>
      </c>
      <c r="F355" s="31" t="inlineStr">
        <is>
          <t>Confused</t>
        </is>
      </c>
      <c r="G355" s="29">
        <f>MATCH(F355, {"Waiting for Input","Analyzing Object","Found Object","Needs Help","Confused","None"}, 0) - 1</f>
        <v/>
      </c>
      <c r="H355" s="29" t="n">
        <v>2</v>
      </c>
      <c r="I355" s="29">
        <f>IF(E355=G355, 1, 0)</f>
        <v/>
      </c>
    </row>
    <row r="356" ht="22" customHeight="1" s="270">
      <c r="A356" s="29" t="n">
        <v>354</v>
      </c>
      <c r="B356" s="29" t="inlineStr">
        <is>
          <t>1</t>
        </is>
      </c>
      <c r="C356" s="30" t="inlineStr">
        <is>
          <t>Random</t>
        </is>
      </c>
      <c r="D356" s="29" t="inlineStr">
        <is>
          <t>Analyzing Object</t>
        </is>
      </c>
      <c r="E356" s="29">
        <f>MATCH(D356, {"Waiting for Input","Analyzing Object","Found Object","Needs Help","Confused","None"}, 0) - 1</f>
        <v/>
      </c>
      <c r="F356" s="31" t="inlineStr">
        <is>
          <t>Needs Help</t>
        </is>
      </c>
      <c r="G356" s="29">
        <f>MATCH(F356, {"Waiting for Input","Analyzing Object","Found Object","Needs Help","Confused","None"}, 0) - 1</f>
        <v/>
      </c>
      <c r="H356" s="29" t="n">
        <v>3</v>
      </c>
      <c r="I356" s="29">
        <f>IF(E356=G356, 1, 0)</f>
        <v/>
      </c>
    </row>
    <row r="357" ht="22" customHeight="1" s="270">
      <c r="A357" s="29" t="n">
        <v>355</v>
      </c>
      <c r="B357" s="29" t="inlineStr">
        <is>
          <t>2</t>
        </is>
      </c>
      <c r="C357" s="30" t="inlineStr">
        <is>
          <t>Random</t>
        </is>
      </c>
      <c r="D357" s="29" t="inlineStr">
        <is>
          <t>Analyzing Object</t>
        </is>
      </c>
      <c r="E357" s="29">
        <f>MATCH(D357, {"Waiting for Input","Analyzing Object","Found Object","Needs Help","Confused","None"}, 0) - 1</f>
        <v/>
      </c>
      <c r="F357" s="31" t="inlineStr">
        <is>
          <t>Needs Help</t>
        </is>
      </c>
      <c r="G357" s="29">
        <f>MATCH(F357, {"Waiting for Input","Analyzing Object","Found Object","Needs Help","Confused","None"}, 0) - 1</f>
        <v/>
      </c>
      <c r="H357" s="29" t="n">
        <v>1</v>
      </c>
      <c r="I357" s="29">
        <f>IF(E357=G357, 1, 0)</f>
        <v/>
      </c>
    </row>
    <row r="358" ht="22" customHeight="1" s="270">
      <c r="A358" s="29" t="n">
        <v>356</v>
      </c>
      <c r="B358" s="29" t="inlineStr">
        <is>
          <t>2</t>
        </is>
      </c>
      <c r="C358" s="30" t="inlineStr">
        <is>
          <t>Random</t>
        </is>
      </c>
      <c r="D358" s="29" t="inlineStr">
        <is>
          <t>Analyzing Object</t>
        </is>
      </c>
      <c r="E358" s="29">
        <f>MATCH(D358, {"Waiting for Input","Analyzing Object","Found Object","Needs Help","Confused","None"}, 0) - 1</f>
        <v/>
      </c>
      <c r="F358" s="31" t="inlineStr">
        <is>
          <t>Needs Help</t>
        </is>
      </c>
      <c r="G358" s="29">
        <f>MATCH(F358, {"Waiting for Input","Analyzing Object","Found Object","Needs Help","Confused","None"}, 0) - 1</f>
        <v/>
      </c>
      <c r="H358" s="29" t="n">
        <v>2</v>
      </c>
      <c r="I358" s="29">
        <f>IF(E358=G358, 1, 0)</f>
        <v/>
      </c>
    </row>
    <row r="359" ht="22" customHeight="1" s="270">
      <c r="A359" s="29" t="n">
        <v>357</v>
      </c>
      <c r="B359" s="29" t="inlineStr">
        <is>
          <t>2</t>
        </is>
      </c>
      <c r="C359" s="30" t="inlineStr">
        <is>
          <t>Random</t>
        </is>
      </c>
      <c r="D359" s="29" t="inlineStr">
        <is>
          <t>Analyzing Object</t>
        </is>
      </c>
      <c r="E359" s="29">
        <f>MATCH(D359, {"Waiting for Input","Analyzing Object","Found Object","Needs Help","Confused","None"}, 0) - 1</f>
        <v/>
      </c>
      <c r="F359" s="31" t="inlineStr">
        <is>
          <t>Waiting for Input</t>
        </is>
      </c>
      <c r="G359" s="29">
        <f>MATCH(F359, {"Waiting for Input","Analyzing Object","Found Object","Needs Help","Confused","None"}, 0) - 1</f>
        <v/>
      </c>
      <c r="H359" s="29" t="n">
        <v>3</v>
      </c>
      <c r="I359" s="29">
        <f>IF(E359=G359, 1, 0)</f>
        <v/>
      </c>
    </row>
    <row r="360" ht="22" customHeight="1" s="270">
      <c r="A360" s="29" t="n">
        <v>358</v>
      </c>
      <c r="B360" s="29" t="inlineStr">
        <is>
          <t>1</t>
        </is>
      </c>
      <c r="C360" s="30" t="inlineStr">
        <is>
          <t>Random</t>
        </is>
      </c>
      <c r="D360" s="29" t="inlineStr">
        <is>
          <t>Analyzing Object</t>
        </is>
      </c>
      <c r="E360" s="29">
        <f>MATCH(D360, {"Waiting for Input","Analyzing Object","Found Object","Needs Help","Confused","None"}, 0) - 1</f>
        <v/>
      </c>
      <c r="F360" s="31" t="inlineStr">
        <is>
          <t>Needs Help</t>
        </is>
      </c>
      <c r="G360" s="29">
        <f>MATCH(F360, {"Waiting for Input","Analyzing Object","Found Object","Needs Help","Confused","None"}, 0) - 1</f>
        <v/>
      </c>
      <c r="H360" s="29" t="n">
        <v>3</v>
      </c>
      <c r="I360" s="29">
        <f>IF(E360=G360, 1, 0)</f>
        <v/>
      </c>
    </row>
    <row r="361" ht="22" customHeight="1" s="270">
      <c r="A361" s="29" t="n">
        <v>359</v>
      </c>
      <c r="B361" s="29" t="inlineStr">
        <is>
          <t>2</t>
        </is>
      </c>
      <c r="C361" s="30" t="inlineStr">
        <is>
          <t>Random</t>
        </is>
      </c>
      <c r="D361" s="29" t="inlineStr">
        <is>
          <t>Analyzing Object</t>
        </is>
      </c>
      <c r="E361" s="29">
        <f>MATCH(D361, {"Waiting for Input","Analyzing Object","Found Object","Needs Help","Confused","None"}, 0) - 1</f>
        <v/>
      </c>
      <c r="F361" s="31" t="inlineStr">
        <is>
          <t>Needs Help</t>
        </is>
      </c>
      <c r="G361" s="29">
        <f>MATCH(F361, {"Waiting for Input","Analyzing Object","Found Object","Needs Help","Confused","None"}, 0) - 1</f>
        <v/>
      </c>
      <c r="H361" s="29" t="n">
        <v>2</v>
      </c>
      <c r="I361" s="29">
        <f>IF(E361=G361, 1, 0)</f>
        <v/>
      </c>
    </row>
    <row r="362" ht="22" customHeight="1" s="270">
      <c r="A362" s="29" t="n">
        <v>360</v>
      </c>
      <c r="B362" s="29" t="inlineStr">
        <is>
          <t>1</t>
        </is>
      </c>
      <c r="C362" s="30" t="inlineStr">
        <is>
          <t>GPT4</t>
        </is>
      </c>
      <c r="D362" s="29" t="inlineStr">
        <is>
          <t>Found Object</t>
        </is>
      </c>
      <c r="E362" s="29">
        <f>MATCH(D362, {"Waiting for Input","Analyzing Object","Found Object","Needs Help","Confused","None"}, 0) - 1</f>
        <v/>
      </c>
      <c r="F362" s="31" t="inlineStr">
        <is>
          <t>Found Object</t>
        </is>
      </c>
      <c r="G362" s="29">
        <f>MATCH(F362, {"Waiting for Input","Analyzing Object","Found Object","Needs Help","Confused","None"}, 0) - 1</f>
        <v/>
      </c>
      <c r="H362" s="29" t="n">
        <v>4</v>
      </c>
      <c r="I362" s="29">
        <f>IF(E362=G362, 1, 0)</f>
        <v/>
      </c>
    </row>
    <row r="363" ht="22" customHeight="1" s="270">
      <c r="A363" s="29" t="n">
        <v>361</v>
      </c>
      <c r="B363" s="29" t="inlineStr">
        <is>
          <t>1</t>
        </is>
      </c>
      <c r="C363" s="30" t="inlineStr">
        <is>
          <t>GPT4</t>
        </is>
      </c>
      <c r="D363" s="29" t="inlineStr">
        <is>
          <t>Found Object</t>
        </is>
      </c>
      <c r="E363" s="29">
        <f>MATCH(D363, {"Waiting for Input","Analyzing Object","Found Object","Needs Help","Confused","None"}, 0) - 1</f>
        <v/>
      </c>
      <c r="F363" s="31" t="inlineStr">
        <is>
          <t>Analyzing Object</t>
        </is>
      </c>
      <c r="G363" s="29">
        <f>MATCH(F363, {"Waiting for Input","Analyzing Object","Found Object","Needs Help","Confused","None"}, 0) - 1</f>
        <v/>
      </c>
      <c r="H363" s="29" t="n">
        <v>5</v>
      </c>
      <c r="I363" s="29">
        <f>IF(E363=G363, 1, 0)</f>
        <v/>
      </c>
    </row>
    <row r="364" ht="22" customHeight="1" s="270">
      <c r="A364" s="29" t="n">
        <v>362</v>
      </c>
      <c r="B364" s="29" t="inlineStr">
        <is>
          <t>1</t>
        </is>
      </c>
      <c r="C364" s="30" t="inlineStr">
        <is>
          <t>GPT4</t>
        </is>
      </c>
      <c r="D364" s="29" t="inlineStr">
        <is>
          <t>Found Object</t>
        </is>
      </c>
      <c r="E364" s="29">
        <f>MATCH(D364, {"Waiting for Input","Analyzing Object","Found Object","Needs Help","Confused","None"}, 0) - 1</f>
        <v/>
      </c>
      <c r="F364" s="31" t="inlineStr">
        <is>
          <t>Found Object</t>
        </is>
      </c>
      <c r="G364" s="29">
        <f>MATCH(F364, {"Waiting for Input","Analyzing Object","Found Object","Needs Help","Confused","None"}, 0) - 1</f>
        <v/>
      </c>
      <c r="H364" s="29" t="n">
        <v>2</v>
      </c>
      <c r="I364" s="29">
        <f>IF(E364=G364, 1, 0)</f>
        <v/>
      </c>
    </row>
    <row r="365" ht="22" customHeight="1" s="270">
      <c r="A365" s="29" t="n">
        <v>363</v>
      </c>
      <c r="B365" s="29" t="inlineStr">
        <is>
          <t>2</t>
        </is>
      </c>
      <c r="C365" s="30" t="inlineStr">
        <is>
          <t>GPT4</t>
        </is>
      </c>
      <c r="D365" s="29" t="inlineStr">
        <is>
          <t>Found Object</t>
        </is>
      </c>
      <c r="E365" s="29">
        <f>MATCH(D365, {"Waiting for Input","Analyzing Object","Found Object","Needs Help","Confused","None"}, 0) - 1</f>
        <v/>
      </c>
      <c r="F365" s="31" t="inlineStr">
        <is>
          <t>Analyzing Object</t>
        </is>
      </c>
      <c r="G365" s="29">
        <f>MATCH(F365, {"Waiting for Input","Analyzing Object","Found Object","Needs Help","Confused","None"}, 0) - 1</f>
        <v/>
      </c>
      <c r="H365" s="29" t="n">
        <v>3</v>
      </c>
      <c r="I365" s="29">
        <f>IF(E365=G365, 1, 0)</f>
        <v/>
      </c>
    </row>
    <row r="366" ht="22" customHeight="1" s="270">
      <c r="A366" s="29" t="n">
        <v>364</v>
      </c>
      <c r="B366" s="29" t="inlineStr">
        <is>
          <t>2</t>
        </is>
      </c>
      <c r="C366" s="30" t="inlineStr">
        <is>
          <t>GPT4</t>
        </is>
      </c>
      <c r="D366" s="29" t="inlineStr">
        <is>
          <t>Found Object</t>
        </is>
      </c>
      <c r="E366" s="29">
        <f>MATCH(D366, {"Waiting for Input","Analyzing Object","Found Object","Needs Help","Confused","None"}, 0) - 1</f>
        <v/>
      </c>
      <c r="F366" s="31" t="inlineStr">
        <is>
          <t>Analyzing Object</t>
        </is>
      </c>
      <c r="G366" s="29">
        <f>MATCH(F366, {"Waiting for Input","Analyzing Object","Found Object","Needs Help","Confused","None"}, 0) - 1</f>
        <v/>
      </c>
      <c r="H366" s="29" t="n">
        <v>3</v>
      </c>
      <c r="I366" s="29">
        <f>IF(E366=G366, 1, 0)</f>
        <v/>
      </c>
    </row>
    <row r="367" ht="22" customHeight="1" s="270">
      <c r="A367" s="29" t="n">
        <v>365</v>
      </c>
      <c r="B367" s="29" t="inlineStr">
        <is>
          <t>1</t>
        </is>
      </c>
      <c r="C367" s="30" t="inlineStr">
        <is>
          <t>GPT4</t>
        </is>
      </c>
      <c r="D367" s="29" t="inlineStr">
        <is>
          <t>Found Object</t>
        </is>
      </c>
      <c r="E367" s="29">
        <f>MATCH(D367, {"Waiting for Input","Analyzing Object","Found Object","Needs Help","Confused","None"}, 0) - 1</f>
        <v/>
      </c>
      <c r="F367" s="31" t="inlineStr">
        <is>
          <t>Analyzing Object</t>
        </is>
      </c>
      <c r="G367" s="29">
        <f>MATCH(F367, {"Waiting for Input","Analyzing Object","Found Object","Needs Help","Confused","None"}, 0) - 1</f>
        <v/>
      </c>
      <c r="H367" s="29" t="n">
        <v>5</v>
      </c>
      <c r="I367" s="29">
        <f>IF(E367=G367, 1, 0)</f>
        <v/>
      </c>
    </row>
    <row r="368" ht="22" customHeight="1" s="270">
      <c r="A368" s="29" t="n">
        <v>366</v>
      </c>
      <c r="B368" s="29" t="inlineStr">
        <is>
          <t>2</t>
        </is>
      </c>
      <c r="C368" s="30" t="inlineStr">
        <is>
          <t>GPT4</t>
        </is>
      </c>
      <c r="D368" s="29" t="inlineStr">
        <is>
          <t>Found Object</t>
        </is>
      </c>
      <c r="E368" s="29">
        <f>MATCH(D368, {"Waiting for Input","Analyzing Object","Found Object","Needs Help","Confused","None"}, 0) - 1</f>
        <v/>
      </c>
      <c r="F368" s="31" t="inlineStr">
        <is>
          <t>Found Object</t>
        </is>
      </c>
      <c r="G368" s="29">
        <f>MATCH(F368, {"Waiting for Input","Analyzing Object","Found Object","Needs Help","Confused","None"}, 0) - 1</f>
        <v/>
      </c>
      <c r="H368" s="29" t="n">
        <v>3</v>
      </c>
      <c r="I368" s="29">
        <f>IF(E368=G368, 1, 0)</f>
        <v/>
      </c>
    </row>
    <row r="369" ht="22" customHeight="1" s="270">
      <c r="A369" s="29" t="n">
        <v>367</v>
      </c>
      <c r="B369" s="29" t="inlineStr">
        <is>
          <t>1</t>
        </is>
      </c>
      <c r="C369" s="30" t="inlineStr">
        <is>
          <t>GPT4</t>
        </is>
      </c>
      <c r="D369" s="29" t="inlineStr">
        <is>
          <t>Found Object</t>
        </is>
      </c>
      <c r="E369" s="29">
        <f>MATCH(D369, {"Waiting for Input","Analyzing Object","Found Object","Needs Help","Confused","None"}, 0) - 1</f>
        <v/>
      </c>
      <c r="F369" s="31" t="inlineStr">
        <is>
          <t>Found Object</t>
        </is>
      </c>
      <c r="G369" s="29">
        <f>MATCH(F369, {"Waiting for Input","Analyzing Object","Found Object","Needs Help","Confused","None"}, 0) - 1</f>
        <v/>
      </c>
      <c r="H369" s="29" t="n">
        <v>5</v>
      </c>
      <c r="I369" s="29">
        <f>IF(E369=G369, 1, 0)</f>
        <v/>
      </c>
    </row>
    <row r="370" ht="22" customHeight="1" s="270">
      <c r="A370" s="29" t="n">
        <v>368</v>
      </c>
      <c r="B370" s="29" t="inlineStr">
        <is>
          <t>1</t>
        </is>
      </c>
      <c r="C370" s="30" t="inlineStr">
        <is>
          <t>GPT4</t>
        </is>
      </c>
      <c r="D370" s="29" t="inlineStr">
        <is>
          <t>Found Object</t>
        </is>
      </c>
      <c r="E370" s="29">
        <f>MATCH(D370, {"Waiting for Input","Analyzing Object","Found Object","Needs Help","Confused","None"}, 0) - 1</f>
        <v/>
      </c>
      <c r="F370" s="31" t="inlineStr">
        <is>
          <t>Analyzing Object</t>
        </is>
      </c>
      <c r="G370" s="29">
        <f>MATCH(F370, {"Waiting for Input","Analyzing Object","Found Object","Needs Help","Confused","None"}, 0) - 1</f>
        <v/>
      </c>
      <c r="H370" s="29" t="n">
        <v>2</v>
      </c>
      <c r="I370" s="29">
        <f>IF(E370=G370, 1, 0)</f>
        <v/>
      </c>
    </row>
    <row r="371" ht="22" customHeight="1" s="270">
      <c r="A371" s="29" t="n">
        <v>369</v>
      </c>
      <c r="B371" s="29" t="inlineStr">
        <is>
          <t>1</t>
        </is>
      </c>
      <c r="C371" s="30" t="inlineStr">
        <is>
          <t>GPT4</t>
        </is>
      </c>
      <c r="D371" s="29" t="inlineStr">
        <is>
          <t>Found Object</t>
        </is>
      </c>
      <c r="E371" s="29">
        <f>MATCH(D371, {"Waiting for Input","Analyzing Object","Found Object","Needs Help","Confused","None"}, 0) - 1</f>
        <v/>
      </c>
      <c r="F371" s="31" t="inlineStr">
        <is>
          <t>Analyzing Object</t>
        </is>
      </c>
      <c r="G371" s="29">
        <f>MATCH(F371, {"Waiting for Input","Analyzing Object","Found Object","Needs Help","Confused","None"}, 0) - 1</f>
        <v/>
      </c>
      <c r="H371" s="29" t="n">
        <v>5</v>
      </c>
      <c r="I371" s="29">
        <f>IF(E371=G371, 1, 0)</f>
        <v/>
      </c>
    </row>
    <row r="372" ht="22" customHeight="1" s="270">
      <c r="A372" s="29" t="n">
        <v>370</v>
      </c>
      <c r="B372" s="29" t="inlineStr">
        <is>
          <t>2</t>
        </is>
      </c>
      <c r="C372" s="30" t="inlineStr">
        <is>
          <t>GPT4</t>
        </is>
      </c>
      <c r="D372" s="29" t="inlineStr">
        <is>
          <t>Found Object</t>
        </is>
      </c>
      <c r="E372" s="29">
        <f>MATCH(D372, {"Waiting for Input","Analyzing Object","Found Object","Needs Help","Confused","None"}, 0) - 1</f>
        <v/>
      </c>
      <c r="F372" s="31" t="inlineStr">
        <is>
          <t>Analyzing Object</t>
        </is>
      </c>
      <c r="G372" s="29">
        <f>MATCH(F372, {"Waiting for Input","Analyzing Object","Found Object","Needs Help","Confused","None"}, 0) - 1</f>
        <v/>
      </c>
      <c r="H372" s="29" t="n">
        <v>4</v>
      </c>
      <c r="I372" s="29">
        <f>IF(E372=G372, 1, 0)</f>
        <v/>
      </c>
    </row>
    <row r="373" ht="22" customHeight="1" s="270">
      <c r="A373" s="29" t="n">
        <v>371</v>
      </c>
      <c r="B373" s="29" t="inlineStr">
        <is>
          <t>2</t>
        </is>
      </c>
      <c r="C373" s="30" t="inlineStr">
        <is>
          <t>GPT4</t>
        </is>
      </c>
      <c r="D373" s="29" t="inlineStr">
        <is>
          <t>Found Object</t>
        </is>
      </c>
      <c r="E373" s="29">
        <f>MATCH(D373, {"Waiting for Input","Analyzing Object","Found Object","Needs Help","Confused","None"}, 0) - 1</f>
        <v/>
      </c>
      <c r="F373" s="31" t="inlineStr">
        <is>
          <t>Found Object</t>
        </is>
      </c>
      <c r="G373" s="29">
        <f>MATCH(F373, {"Waiting for Input","Analyzing Object","Found Object","Needs Help","Confused","None"}, 0) - 1</f>
        <v/>
      </c>
      <c r="H373" s="29" t="n">
        <v>5</v>
      </c>
      <c r="I373" s="29">
        <f>IF(E373=G373, 1, 0)</f>
        <v/>
      </c>
    </row>
    <row r="374" ht="22" customHeight="1" s="270">
      <c r="A374" s="29" t="n">
        <v>372</v>
      </c>
      <c r="B374" s="29" t="inlineStr">
        <is>
          <t>2</t>
        </is>
      </c>
      <c r="C374" s="30" t="inlineStr">
        <is>
          <t>GPT4</t>
        </is>
      </c>
      <c r="D374" s="29" t="inlineStr">
        <is>
          <t>Found Object</t>
        </is>
      </c>
      <c r="E374" s="29">
        <f>MATCH(D374, {"Waiting for Input","Analyzing Object","Found Object","Needs Help","Confused","None"}, 0) - 1</f>
        <v/>
      </c>
      <c r="F374" s="31" t="inlineStr">
        <is>
          <t>Found Object</t>
        </is>
      </c>
      <c r="G374" s="29">
        <f>MATCH(F374, {"Waiting for Input","Analyzing Object","Found Object","Needs Help","Confused","None"}, 0) - 1</f>
        <v/>
      </c>
      <c r="H374" s="29" t="n">
        <v>4</v>
      </c>
      <c r="I374" s="29">
        <f>IF(E374=G374, 1, 0)</f>
        <v/>
      </c>
    </row>
    <row r="375" ht="22" customHeight="1" s="270">
      <c r="A375" s="29" t="n">
        <v>373</v>
      </c>
      <c r="B375" s="29" t="inlineStr">
        <is>
          <t>2</t>
        </is>
      </c>
      <c r="C375" s="30" t="inlineStr">
        <is>
          <t>GPT4</t>
        </is>
      </c>
      <c r="D375" s="29" t="inlineStr">
        <is>
          <t>Found Object</t>
        </is>
      </c>
      <c r="E375" s="29">
        <f>MATCH(D375, {"Waiting for Input","Analyzing Object","Found Object","Needs Help","Confused","None"}, 0) - 1</f>
        <v/>
      </c>
      <c r="F375" s="31" t="inlineStr">
        <is>
          <t>Analyzing Object</t>
        </is>
      </c>
      <c r="G375" s="29">
        <f>MATCH(F375, {"Waiting for Input","Analyzing Object","Found Object","Needs Help","Confused","None"}, 0) - 1</f>
        <v/>
      </c>
      <c r="H375" s="29" t="n">
        <v>3</v>
      </c>
      <c r="I375" s="29">
        <f>IF(E375=G375, 1, 0)</f>
        <v/>
      </c>
    </row>
    <row r="376" ht="22" customHeight="1" s="270">
      <c r="A376" s="29" t="n">
        <v>374</v>
      </c>
      <c r="B376" s="29" t="inlineStr">
        <is>
          <t>1</t>
        </is>
      </c>
      <c r="C376" s="30" t="inlineStr">
        <is>
          <t>GPT4</t>
        </is>
      </c>
      <c r="D376" s="29" t="inlineStr">
        <is>
          <t>Found Object</t>
        </is>
      </c>
      <c r="E376" s="29">
        <f>MATCH(D376, {"Waiting for Input","Analyzing Object","Found Object","Needs Help","Confused","None"}, 0) - 1</f>
        <v/>
      </c>
      <c r="F376" s="31" t="inlineStr">
        <is>
          <t>Analyzing Object</t>
        </is>
      </c>
      <c r="G376" s="29">
        <f>MATCH(F376, {"Waiting for Input","Analyzing Object","Found Object","Needs Help","Confused","None"}, 0) - 1</f>
        <v/>
      </c>
      <c r="H376" s="29" t="n">
        <v>4</v>
      </c>
      <c r="I376" s="29">
        <f>IF(E376=G376, 1, 0)</f>
        <v/>
      </c>
    </row>
    <row r="377" ht="22" customHeight="1" s="270">
      <c r="A377" s="29" t="n">
        <v>375</v>
      </c>
      <c r="B377" s="29" t="inlineStr">
        <is>
          <t>1</t>
        </is>
      </c>
      <c r="C377" s="30" t="inlineStr">
        <is>
          <t>GPT4</t>
        </is>
      </c>
      <c r="D377" s="29" t="inlineStr">
        <is>
          <t>Found Object</t>
        </is>
      </c>
      <c r="E377" s="29">
        <f>MATCH(D377, {"Waiting for Input","Analyzing Object","Found Object","Needs Help","Confused","None"}, 0) - 1</f>
        <v/>
      </c>
      <c r="F377" s="31" t="inlineStr">
        <is>
          <t>Analyzing Object</t>
        </is>
      </c>
      <c r="G377" s="29">
        <f>MATCH(F377, {"Waiting for Input","Analyzing Object","Found Object","Needs Help","Confused","None"}, 0) - 1</f>
        <v/>
      </c>
      <c r="H377" s="29" t="n">
        <v>4</v>
      </c>
      <c r="I377" s="29">
        <f>IF(E377=G377, 1, 0)</f>
        <v/>
      </c>
    </row>
    <row r="378" ht="22" customHeight="1" s="270">
      <c r="A378" s="29" t="n">
        <v>376</v>
      </c>
      <c r="B378" s="29" t="inlineStr">
        <is>
          <t>1</t>
        </is>
      </c>
      <c r="C378" s="30" t="inlineStr">
        <is>
          <t>GPT4</t>
        </is>
      </c>
      <c r="D378" s="29" t="inlineStr">
        <is>
          <t>Found Object</t>
        </is>
      </c>
      <c r="E378" s="29">
        <f>MATCH(D378, {"Waiting for Input","Analyzing Object","Found Object","Needs Help","Confused","None"}, 0) - 1</f>
        <v/>
      </c>
      <c r="F378" s="31" t="inlineStr">
        <is>
          <t>Found Object</t>
        </is>
      </c>
      <c r="G378" s="29">
        <f>MATCH(F378, {"Waiting for Input","Analyzing Object","Found Object","Needs Help","Confused","None"}, 0) - 1</f>
        <v/>
      </c>
      <c r="H378" s="29" t="n">
        <v>4</v>
      </c>
      <c r="I378" s="29">
        <f>IF(E378=G378, 1, 0)</f>
        <v/>
      </c>
    </row>
    <row r="379" ht="22" customHeight="1" s="270">
      <c r="A379" s="29" t="n">
        <v>377</v>
      </c>
      <c r="B379" s="29" t="inlineStr">
        <is>
          <t>2</t>
        </is>
      </c>
      <c r="C379" s="30" t="inlineStr">
        <is>
          <t>GPT4</t>
        </is>
      </c>
      <c r="D379" s="29" t="inlineStr">
        <is>
          <t>Found Object</t>
        </is>
      </c>
      <c r="E379" s="29">
        <f>MATCH(D379, {"Waiting for Input","Analyzing Object","Found Object","Needs Help","Confused","None"}, 0) - 1</f>
        <v/>
      </c>
      <c r="F379" s="31" t="inlineStr">
        <is>
          <t>Found Object</t>
        </is>
      </c>
      <c r="G379" s="29">
        <f>MATCH(F379, {"Waiting for Input","Analyzing Object","Found Object","Needs Help","Confused","None"}, 0) - 1</f>
        <v/>
      </c>
      <c r="H379" s="29" t="n">
        <v>3</v>
      </c>
      <c r="I379" s="29">
        <f>IF(E379=G379, 1, 0)</f>
        <v/>
      </c>
    </row>
    <row r="380" ht="22" customHeight="1" s="270">
      <c r="A380" s="29" t="n">
        <v>378</v>
      </c>
      <c r="B380" s="29" t="inlineStr">
        <is>
          <t>2</t>
        </is>
      </c>
      <c r="C380" s="30" t="inlineStr">
        <is>
          <t>GPT4</t>
        </is>
      </c>
      <c r="D380" s="29" t="inlineStr">
        <is>
          <t>Found Object</t>
        </is>
      </c>
      <c r="E380" s="29">
        <f>MATCH(D380, {"Waiting for Input","Analyzing Object","Found Object","Needs Help","Confused","None"}, 0) - 1</f>
        <v/>
      </c>
      <c r="F380" s="31" t="inlineStr">
        <is>
          <t>Found Object</t>
        </is>
      </c>
      <c r="G380" s="29">
        <f>MATCH(F380, {"Waiting for Input","Analyzing Object","Found Object","Needs Help","Confused","None"}, 0) - 1</f>
        <v/>
      </c>
      <c r="H380" s="29" t="n">
        <v>4</v>
      </c>
      <c r="I380" s="29">
        <f>IF(E380=G380, 1, 0)</f>
        <v/>
      </c>
    </row>
    <row r="381" ht="22" customHeight="1" s="270">
      <c r="A381" s="29" t="n">
        <v>379</v>
      </c>
      <c r="B381" s="29" t="inlineStr">
        <is>
          <t>1</t>
        </is>
      </c>
      <c r="C381" s="30" t="inlineStr">
        <is>
          <t>GPT4</t>
        </is>
      </c>
      <c r="D381" s="29" t="inlineStr">
        <is>
          <t>Found Object</t>
        </is>
      </c>
      <c r="E381" s="29">
        <f>MATCH(D381, {"Waiting for Input","Analyzing Object","Found Object","Needs Help","Confused","None"}, 0) - 1</f>
        <v/>
      </c>
      <c r="F381" s="31" t="inlineStr">
        <is>
          <t>Found Object</t>
        </is>
      </c>
      <c r="G381" s="29">
        <f>MATCH(F381, {"Waiting for Input","Analyzing Object","Found Object","Needs Help","Confused","None"}, 0) - 1</f>
        <v/>
      </c>
      <c r="H381" s="29" t="n">
        <v>4</v>
      </c>
      <c r="I381" s="29">
        <f>IF(E381=G381, 1, 0)</f>
        <v/>
      </c>
    </row>
    <row r="382" ht="22" customHeight="1" s="270">
      <c r="A382" s="29" t="n">
        <v>380</v>
      </c>
      <c r="B382" s="29" t="inlineStr">
        <is>
          <t>1</t>
        </is>
      </c>
      <c r="C382" s="30" t="inlineStr">
        <is>
          <t>GPT4</t>
        </is>
      </c>
      <c r="D382" s="29" t="inlineStr">
        <is>
          <t>Found Object</t>
        </is>
      </c>
      <c r="E382" s="29">
        <f>MATCH(D382, {"Waiting for Input","Analyzing Object","Found Object","Needs Help","Confused","None"}, 0) - 1</f>
        <v/>
      </c>
      <c r="F382" s="31" t="inlineStr">
        <is>
          <t>Analyzing Object</t>
        </is>
      </c>
      <c r="G382" s="29">
        <f>MATCH(F382, {"Waiting for Input","Analyzing Object","Found Object","Needs Help","Confused","None"}, 0) - 1</f>
        <v/>
      </c>
      <c r="H382" s="29" t="n">
        <v>3</v>
      </c>
      <c r="I382" s="29">
        <f>IF(E382=G382, 1, 0)</f>
        <v/>
      </c>
    </row>
    <row r="383" ht="22" customHeight="1" s="270">
      <c r="A383" s="29" t="n">
        <v>381</v>
      </c>
      <c r="B383" s="29" t="inlineStr">
        <is>
          <t>2</t>
        </is>
      </c>
      <c r="C383" s="30" t="inlineStr">
        <is>
          <t>GPT4</t>
        </is>
      </c>
      <c r="D383" s="29" t="inlineStr">
        <is>
          <t>Found Object</t>
        </is>
      </c>
      <c r="E383" s="29">
        <f>MATCH(D383, {"Waiting for Input","Analyzing Object","Found Object","Needs Help","Confused","None"}, 0) - 1</f>
        <v/>
      </c>
      <c r="F383" s="31" t="inlineStr">
        <is>
          <t>Analyzing Object</t>
        </is>
      </c>
      <c r="G383" s="29">
        <f>MATCH(F383, {"Waiting for Input","Analyzing Object","Found Object","Needs Help","Confused","None"}, 0) - 1</f>
        <v/>
      </c>
      <c r="H383" s="29" t="n">
        <v>4</v>
      </c>
      <c r="I383" s="29">
        <f>IF(E383=G383, 1, 0)</f>
        <v/>
      </c>
    </row>
    <row r="384" ht="22" customHeight="1" s="270">
      <c r="A384" s="29" t="n">
        <v>382</v>
      </c>
      <c r="B384" s="29" t="inlineStr">
        <is>
          <t>2</t>
        </is>
      </c>
      <c r="C384" s="30" t="inlineStr">
        <is>
          <t>GPT4</t>
        </is>
      </c>
      <c r="D384" s="29" t="inlineStr">
        <is>
          <t>Found Object</t>
        </is>
      </c>
      <c r="E384" s="29">
        <f>MATCH(D384, {"Waiting for Input","Analyzing Object","Found Object","Needs Help","Confused","None"}, 0) - 1</f>
        <v/>
      </c>
      <c r="F384" s="31" t="inlineStr">
        <is>
          <t>Analyzing Object</t>
        </is>
      </c>
      <c r="G384" s="29">
        <f>MATCH(F384, {"Waiting for Input","Analyzing Object","Found Object","Needs Help","Confused","None"}, 0) - 1</f>
        <v/>
      </c>
      <c r="H384" s="29" t="n">
        <v>5</v>
      </c>
      <c r="I384" s="29">
        <f>IF(E384=G384, 1, 0)</f>
        <v/>
      </c>
    </row>
    <row r="385" ht="22" customHeight="1" s="270">
      <c r="A385" s="29" t="n">
        <v>383</v>
      </c>
      <c r="B385" s="29" t="inlineStr">
        <is>
          <t>1</t>
        </is>
      </c>
      <c r="C385" s="30" t="inlineStr">
        <is>
          <t>GPT4</t>
        </is>
      </c>
      <c r="D385" s="29" t="inlineStr">
        <is>
          <t>Found Object</t>
        </is>
      </c>
      <c r="E385" s="29">
        <f>MATCH(D385, {"Waiting for Input","Analyzing Object","Found Object","Needs Help","Confused","None"}, 0) - 1</f>
        <v/>
      </c>
      <c r="F385" s="31" t="inlineStr">
        <is>
          <t>Analyzing Object</t>
        </is>
      </c>
      <c r="G385" s="29">
        <f>MATCH(F385, {"Waiting for Input","Analyzing Object","Found Object","Needs Help","Confused","None"}, 0) - 1</f>
        <v/>
      </c>
      <c r="H385" s="29" t="n">
        <v>4</v>
      </c>
      <c r="I385" s="29">
        <f>IF(E385=G385, 1, 0)</f>
        <v/>
      </c>
    </row>
    <row r="386" ht="22" customHeight="1" s="270">
      <c r="A386" s="29" t="n">
        <v>384</v>
      </c>
      <c r="B386" s="29" t="inlineStr">
        <is>
          <t>1</t>
        </is>
      </c>
      <c r="C386" s="30" t="inlineStr">
        <is>
          <t>GPT4</t>
        </is>
      </c>
      <c r="D386" s="29" t="inlineStr">
        <is>
          <t>Found Object</t>
        </is>
      </c>
      <c r="E386" s="29">
        <f>MATCH(D386, {"Waiting for Input","Analyzing Object","Found Object","Needs Help","Confused","None"}, 0) - 1</f>
        <v/>
      </c>
      <c r="F386" s="31" t="inlineStr">
        <is>
          <t>Found Object</t>
        </is>
      </c>
      <c r="G386" s="29">
        <f>MATCH(F386, {"Waiting for Input","Analyzing Object","Found Object","Needs Help","Confused","None"}, 0) - 1</f>
        <v/>
      </c>
      <c r="H386" s="29" t="n">
        <v>3</v>
      </c>
      <c r="I386" s="29">
        <f>IF(E386=G386, 1, 0)</f>
        <v/>
      </c>
    </row>
    <row r="387" ht="22" customHeight="1" s="270">
      <c r="A387" s="29" t="n">
        <v>385</v>
      </c>
      <c r="B387" s="29" t="inlineStr">
        <is>
          <t>2</t>
        </is>
      </c>
      <c r="C387" s="30" t="inlineStr">
        <is>
          <t>GPT4</t>
        </is>
      </c>
      <c r="D387" s="29" t="inlineStr">
        <is>
          <t>Found Object</t>
        </is>
      </c>
      <c r="E387" s="29">
        <f>MATCH(D387, {"Waiting for Input","Analyzing Object","Found Object","Needs Help","Confused","None"}, 0) - 1</f>
        <v/>
      </c>
      <c r="F387" s="31" t="inlineStr">
        <is>
          <t>Analyzing Object</t>
        </is>
      </c>
      <c r="G387" s="29">
        <f>MATCH(F387, {"Waiting for Input","Analyzing Object","Found Object","Needs Help","Confused","None"}, 0) - 1</f>
        <v/>
      </c>
      <c r="H387" s="29" t="n">
        <v>3</v>
      </c>
      <c r="I387" s="29">
        <f>IF(E387=G387, 1, 0)</f>
        <v/>
      </c>
    </row>
    <row r="388" ht="22" customHeight="1" s="270">
      <c r="A388" s="29" t="n">
        <v>386</v>
      </c>
      <c r="B388" s="29" t="inlineStr">
        <is>
          <t>2</t>
        </is>
      </c>
      <c r="C388" s="30" t="inlineStr">
        <is>
          <t>GPT4</t>
        </is>
      </c>
      <c r="D388" s="29" t="inlineStr">
        <is>
          <t>Found Object</t>
        </is>
      </c>
      <c r="E388" s="29">
        <f>MATCH(D388, {"Waiting for Input","Analyzing Object","Found Object","Needs Help","Confused","None"}, 0) - 1</f>
        <v/>
      </c>
      <c r="F388" s="31" t="inlineStr">
        <is>
          <t>Found Object</t>
        </is>
      </c>
      <c r="G388" s="29">
        <f>MATCH(F388, {"Waiting for Input","Analyzing Object","Found Object","Needs Help","Confused","None"}, 0) - 1</f>
        <v/>
      </c>
      <c r="H388" s="29" t="n">
        <v>3</v>
      </c>
      <c r="I388" s="29">
        <f>IF(E388=G388, 1, 0)</f>
        <v/>
      </c>
    </row>
    <row r="389" ht="22" customHeight="1" s="270">
      <c r="A389" s="29" t="n">
        <v>387</v>
      </c>
      <c r="B389" s="29" t="inlineStr">
        <is>
          <t>2</t>
        </is>
      </c>
      <c r="C389" s="30" t="inlineStr">
        <is>
          <t>GPT4</t>
        </is>
      </c>
      <c r="D389" s="29" t="inlineStr">
        <is>
          <t>Found Object</t>
        </is>
      </c>
      <c r="E389" s="29">
        <f>MATCH(D389, {"Waiting for Input","Analyzing Object","Found Object","Needs Help","Confused","None"}, 0) - 1</f>
        <v/>
      </c>
      <c r="F389" s="31" t="inlineStr">
        <is>
          <t>Analyzing Object</t>
        </is>
      </c>
      <c r="G389" s="29">
        <f>MATCH(F389, {"Waiting for Input","Analyzing Object","Found Object","Needs Help","Confused","None"}, 0) - 1</f>
        <v/>
      </c>
      <c r="H389" s="29" t="n">
        <v>4</v>
      </c>
      <c r="I389" s="29">
        <f>IF(E389=G389, 1, 0)</f>
        <v/>
      </c>
    </row>
    <row r="390" ht="22" customHeight="1" s="270">
      <c r="A390" s="29" t="n">
        <v>388</v>
      </c>
      <c r="B390" s="29" t="inlineStr">
        <is>
          <t>2</t>
        </is>
      </c>
      <c r="C390" s="30" t="inlineStr">
        <is>
          <t>GPT4</t>
        </is>
      </c>
      <c r="D390" s="29" t="inlineStr">
        <is>
          <t>Found Object</t>
        </is>
      </c>
      <c r="E390" s="29">
        <f>MATCH(D390, {"Waiting for Input","Analyzing Object","Found Object","Needs Help","Confused","None"}, 0) - 1</f>
        <v/>
      </c>
      <c r="F390" s="31" t="inlineStr">
        <is>
          <t>Analyzing Object</t>
        </is>
      </c>
      <c r="G390" s="29">
        <f>MATCH(F390, {"Waiting for Input","Analyzing Object","Found Object","Needs Help","Confused","None"}, 0) - 1</f>
        <v/>
      </c>
      <c r="H390" s="29" t="n">
        <v>4</v>
      </c>
      <c r="I390" s="29">
        <f>IF(E390=G390, 1, 0)</f>
        <v/>
      </c>
    </row>
    <row r="391" ht="22" customHeight="1" s="270">
      <c r="A391" s="29" t="n">
        <v>389</v>
      </c>
      <c r="B391" s="29" t="inlineStr">
        <is>
          <t>2</t>
        </is>
      </c>
      <c r="C391" s="30" t="inlineStr">
        <is>
          <t>GPT4</t>
        </is>
      </c>
      <c r="D391" s="29" t="inlineStr">
        <is>
          <t>Found Object</t>
        </is>
      </c>
      <c r="E391" s="29">
        <f>MATCH(D391, {"Waiting for Input","Analyzing Object","Found Object","Needs Help","Confused","None"}, 0) - 1</f>
        <v/>
      </c>
      <c r="F391" s="31" t="inlineStr">
        <is>
          <t>Found Object</t>
        </is>
      </c>
      <c r="G391" s="29">
        <f>MATCH(F391, {"Waiting for Input","Analyzing Object","Found Object","Needs Help","Confused","None"}, 0) - 1</f>
        <v/>
      </c>
      <c r="H391" s="29" t="n">
        <v>4</v>
      </c>
      <c r="I391" s="29">
        <f>IF(E391=G391, 1, 0)</f>
        <v/>
      </c>
    </row>
    <row r="392" ht="22" customHeight="1" s="270">
      <c r="A392" s="29" t="n">
        <v>390</v>
      </c>
      <c r="B392" s="29" t="inlineStr">
        <is>
          <t>2</t>
        </is>
      </c>
      <c r="C392" s="30" t="inlineStr">
        <is>
          <t>GPT4</t>
        </is>
      </c>
      <c r="D392" s="29" t="inlineStr">
        <is>
          <t>Found Object</t>
        </is>
      </c>
      <c r="E392" s="29">
        <f>MATCH(D392, {"Waiting for Input","Analyzing Object","Found Object","Needs Help","Confused","None"}, 0) - 1</f>
        <v/>
      </c>
      <c r="F392" s="31" t="inlineStr">
        <is>
          <t>Found Object</t>
        </is>
      </c>
      <c r="G392" s="29">
        <f>MATCH(F392, {"Waiting for Input","Analyzing Object","Found Object","Needs Help","Confused","None"}, 0) - 1</f>
        <v/>
      </c>
      <c r="H392" s="29" t="n">
        <v>5</v>
      </c>
      <c r="I392" s="29">
        <f>IF(E392=G392, 1, 0)</f>
        <v/>
      </c>
    </row>
    <row r="393" ht="22" customHeight="1" s="270">
      <c r="A393" s="29" t="n">
        <v>391</v>
      </c>
      <c r="B393" s="29" t="inlineStr">
        <is>
          <t>1</t>
        </is>
      </c>
      <c r="C393" s="30" t="inlineStr">
        <is>
          <t>GPT4</t>
        </is>
      </c>
      <c r="D393" s="29" t="inlineStr">
        <is>
          <t>Found Object</t>
        </is>
      </c>
      <c r="E393" s="29">
        <f>MATCH(D393, {"Waiting for Input","Analyzing Object","Found Object","Needs Help","Confused","None"}, 0) - 1</f>
        <v/>
      </c>
      <c r="F393" s="31" t="inlineStr">
        <is>
          <t>Analyzing Object</t>
        </is>
      </c>
      <c r="G393" s="29">
        <f>MATCH(F393, {"Waiting for Input","Analyzing Object","Found Object","Needs Help","Confused","None"}, 0) - 1</f>
        <v/>
      </c>
      <c r="H393" s="29" t="n">
        <v>3</v>
      </c>
      <c r="I393" s="29">
        <f>IF(E393=G393, 1, 0)</f>
        <v/>
      </c>
    </row>
    <row r="394" ht="22" customHeight="1" s="270">
      <c r="A394" s="29" t="n">
        <v>392</v>
      </c>
      <c r="B394" s="29" t="inlineStr">
        <is>
          <t>2</t>
        </is>
      </c>
      <c r="C394" s="30" t="inlineStr">
        <is>
          <t>GPT4</t>
        </is>
      </c>
      <c r="D394" s="29" t="inlineStr">
        <is>
          <t>Found Object</t>
        </is>
      </c>
      <c r="E394" s="29">
        <f>MATCH(D394, {"Waiting for Input","Analyzing Object","Found Object","Needs Help","Confused","None"}, 0) - 1</f>
        <v/>
      </c>
      <c r="F394" s="31" t="inlineStr">
        <is>
          <t>Analyzing Object</t>
        </is>
      </c>
      <c r="G394" s="29">
        <f>MATCH(F394, {"Waiting for Input","Analyzing Object","Found Object","Needs Help","Confused","None"}, 0) - 1</f>
        <v/>
      </c>
      <c r="H394" s="29" t="n">
        <v>5</v>
      </c>
      <c r="I394" s="29">
        <f>IF(E394=G394, 1, 0)</f>
        <v/>
      </c>
    </row>
    <row r="395" ht="22" customHeight="1" s="270">
      <c r="A395" s="29" t="n">
        <v>393</v>
      </c>
      <c r="B395" s="29" t="inlineStr">
        <is>
          <t>1</t>
        </is>
      </c>
      <c r="C395" s="30" t="inlineStr">
        <is>
          <t>GPT4</t>
        </is>
      </c>
      <c r="D395" s="29" t="inlineStr">
        <is>
          <t>Found Object</t>
        </is>
      </c>
      <c r="E395" s="29">
        <f>MATCH(D395, {"Waiting for Input","Analyzing Object","Found Object","Needs Help","Confused","None"}, 0) - 1</f>
        <v/>
      </c>
      <c r="F395" s="31" t="inlineStr">
        <is>
          <t>Analyzing Object</t>
        </is>
      </c>
      <c r="G395" s="29">
        <f>MATCH(F395, {"Waiting for Input","Analyzing Object","Found Object","Needs Help","Confused","None"}, 0) - 1</f>
        <v/>
      </c>
      <c r="H395" s="29" t="n">
        <v>4</v>
      </c>
      <c r="I395" s="29">
        <f>IF(E395=G395, 1, 0)</f>
        <v/>
      </c>
    </row>
    <row r="396" ht="22" customHeight="1" s="270">
      <c r="A396" s="29" t="n">
        <v>394</v>
      </c>
      <c r="B396" s="29" t="inlineStr">
        <is>
          <t>1</t>
        </is>
      </c>
      <c r="C396" s="30" t="inlineStr">
        <is>
          <t>GPT4</t>
        </is>
      </c>
      <c r="D396" s="29" t="inlineStr">
        <is>
          <t>Found Object</t>
        </is>
      </c>
      <c r="E396" s="29">
        <f>MATCH(D396, {"Waiting for Input","Analyzing Object","Found Object","Needs Help","Confused","None"}, 0) - 1</f>
        <v/>
      </c>
      <c r="F396" s="31" t="inlineStr">
        <is>
          <t>Analyzing Object</t>
        </is>
      </c>
      <c r="G396" s="29">
        <f>MATCH(F396, {"Waiting for Input","Analyzing Object","Found Object","Needs Help","Confused","None"}, 0) - 1</f>
        <v/>
      </c>
      <c r="H396" s="29" t="n">
        <v>5</v>
      </c>
      <c r="I396" s="29">
        <f>IF(E396=G396, 1, 0)</f>
        <v/>
      </c>
    </row>
    <row r="397" ht="22" customHeight="1" s="270">
      <c r="A397" s="29" t="n">
        <v>395</v>
      </c>
      <c r="B397" s="29" t="inlineStr">
        <is>
          <t>1</t>
        </is>
      </c>
      <c r="C397" s="30" t="inlineStr">
        <is>
          <t>GPT4</t>
        </is>
      </c>
      <c r="D397" s="29" t="inlineStr">
        <is>
          <t>Found Object</t>
        </is>
      </c>
      <c r="E397" s="29">
        <f>MATCH(D397, {"Waiting for Input","Analyzing Object","Found Object","Needs Help","Confused","None"}, 0) - 1</f>
        <v/>
      </c>
      <c r="F397" s="31" t="inlineStr">
        <is>
          <t>Found Object</t>
        </is>
      </c>
      <c r="G397" s="29">
        <f>MATCH(F397, {"Waiting for Input","Analyzing Object","Found Object","Needs Help","Confused","None"}, 0) - 1</f>
        <v/>
      </c>
      <c r="H397" s="29" t="n">
        <v>5</v>
      </c>
      <c r="I397" s="29">
        <f>IF(E397=G397, 1, 0)</f>
        <v/>
      </c>
    </row>
    <row r="398" ht="22" customHeight="1" s="270">
      <c r="A398" s="29" t="n">
        <v>396</v>
      </c>
      <c r="B398" s="29" t="inlineStr">
        <is>
          <t>2</t>
        </is>
      </c>
      <c r="C398" s="30" t="inlineStr">
        <is>
          <t>GPT4</t>
        </is>
      </c>
      <c r="D398" s="29" t="inlineStr">
        <is>
          <t>Found Object</t>
        </is>
      </c>
      <c r="E398" s="29">
        <f>MATCH(D398, {"Waiting for Input","Analyzing Object","Found Object","Needs Help","Confused","None"}, 0) - 1</f>
        <v/>
      </c>
      <c r="F398" s="31" t="inlineStr">
        <is>
          <t>Analyzing Object</t>
        </is>
      </c>
      <c r="G398" s="29">
        <f>MATCH(F398, {"Waiting for Input","Analyzing Object","Found Object","Needs Help","Confused","None"}, 0) - 1</f>
        <v/>
      </c>
      <c r="H398" s="29" t="n">
        <v>3</v>
      </c>
      <c r="I398" s="29">
        <f>IF(E398=G398, 1, 0)</f>
        <v/>
      </c>
    </row>
    <row r="399" ht="22" customHeight="1" s="270">
      <c r="A399" s="29" t="n">
        <v>397</v>
      </c>
      <c r="B399" s="29" t="inlineStr">
        <is>
          <t>2</t>
        </is>
      </c>
      <c r="C399" s="30" t="inlineStr">
        <is>
          <t>GPT4</t>
        </is>
      </c>
      <c r="D399" s="29" t="inlineStr">
        <is>
          <t>Found Object</t>
        </is>
      </c>
      <c r="E399" s="29">
        <f>MATCH(D399, {"Waiting for Input","Analyzing Object","Found Object","Needs Help","Confused","None"}, 0) - 1</f>
        <v/>
      </c>
      <c r="F399" s="31" t="inlineStr">
        <is>
          <t>Waiting for Input</t>
        </is>
      </c>
      <c r="G399" s="29">
        <f>MATCH(F399, {"Waiting for Input","Analyzing Object","Found Object","Needs Help","Confused","None"}, 0) - 1</f>
        <v/>
      </c>
      <c r="H399" s="29" t="n">
        <v>5</v>
      </c>
      <c r="I399" s="29">
        <f>IF(E399=G399, 1, 0)</f>
        <v/>
      </c>
    </row>
    <row r="400" ht="22" customHeight="1" s="270">
      <c r="A400" s="29" t="n">
        <v>398</v>
      </c>
      <c r="B400" s="29" t="inlineStr">
        <is>
          <t>1</t>
        </is>
      </c>
      <c r="C400" s="30" t="inlineStr">
        <is>
          <t>GPT4</t>
        </is>
      </c>
      <c r="D400" s="29" t="inlineStr">
        <is>
          <t>Found Object</t>
        </is>
      </c>
      <c r="E400" s="29">
        <f>MATCH(D400, {"Waiting for Input","Analyzing Object","Found Object","Needs Help","Confused","None"}, 0) - 1</f>
        <v/>
      </c>
      <c r="F400" s="31" t="inlineStr">
        <is>
          <t>Analyzing Object</t>
        </is>
      </c>
      <c r="G400" s="29">
        <f>MATCH(F400, {"Waiting for Input","Analyzing Object","Found Object","Needs Help","Confused","None"}, 0) - 1</f>
        <v/>
      </c>
      <c r="H400" s="29" t="n">
        <v>3</v>
      </c>
      <c r="I400" s="29">
        <f>IF(E400=G400, 1, 0)</f>
        <v/>
      </c>
    </row>
    <row r="401" ht="22" customHeight="1" s="270">
      <c r="A401" s="29" t="n">
        <v>399</v>
      </c>
      <c r="B401" s="29" t="inlineStr">
        <is>
          <t>1</t>
        </is>
      </c>
      <c r="C401" s="30" t="inlineStr">
        <is>
          <t>GPT4</t>
        </is>
      </c>
      <c r="D401" s="29" t="inlineStr">
        <is>
          <t>Found Object</t>
        </is>
      </c>
      <c r="E401" s="29">
        <f>MATCH(D401, {"Waiting for Input","Analyzing Object","Found Object","Needs Help","Confused","None"}, 0) - 1</f>
        <v/>
      </c>
      <c r="F401" s="31" t="inlineStr">
        <is>
          <t>Found Object</t>
        </is>
      </c>
      <c r="G401" s="29">
        <f>MATCH(F401, {"Waiting for Input","Analyzing Object","Found Object","Needs Help","Confused","None"}, 0) - 1</f>
        <v/>
      </c>
      <c r="H401" s="29" t="n">
        <v>5</v>
      </c>
      <c r="I401" s="29">
        <f>IF(E401=G401, 1, 0)</f>
        <v/>
      </c>
    </row>
    <row r="402" ht="22" customHeight="1" s="270">
      <c r="A402" s="29" t="n">
        <v>400</v>
      </c>
      <c r="B402" s="29" t="inlineStr">
        <is>
          <t>1</t>
        </is>
      </c>
      <c r="C402" s="30" t="inlineStr">
        <is>
          <t>GPT4</t>
        </is>
      </c>
      <c r="D402" s="29" t="inlineStr">
        <is>
          <t>Found Object</t>
        </is>
      </c>
      <c r="E402" s="29">
        <f>MATCH(D402, {"Waiting for Input","Analyzing Object","Found Object","Needs Help","Confused","None"}, 0) - 1</f>
        <v/>
      </c>
      <c r="F402" s="31" t="inlineStr">
        <is>
          <t>Found Object</t>
        </is>
      </c>
      <c r="G402" s="29">
        <f>MATCH(F402, {"Waiting for Input","Analyzing Object","Found Object","Needs Help","Confused","None"}, 0) - 1</f>
        <v/>
      </c>
      <c r="H402" s="29" t="n">
        <v>5</v>
      </c>
      <c r="I402" s="29">
        <f>IF(E402=G402, 1, 0)</f>
        <v/>
      </c>
    </row>
    <row r="403" ht="22" customHeight="1" s="270">
      <c r="A403" s="29" t="n">
        <v>401</v>
      </c>
      <c r="B403" s="29" t="inlineStr">
        <is>
          <t>2</t>
        </is>
      </c>
      <c r="C403" s="30" t="inlineStr">
        <is>
          <t>GPT4</t>
        </is>
      </c>
      <c r="D403" s="29" t="inlineStr">
        <is>
          <t>Found Object</t>
        </is>
      </c>
      <c r="E403" s="29">
        <f>MATCH(D403, {"Waiting for Input","Analyzing Object","Found Object","Needs Help","Confused","None"}, 0) - 1</f>
        <v/>
      </c>
      <c r="F403" s="31" t="inlineStr">
        <is>
          <t>Found Object</t>
        </is>
      </c>
      <c r="G403" s="29">
        <f>MATCH(F403, {"Waiting for Input","Analyzing Object","Found Object","Needs Help","Confused","None"}, 0) - 1</f>
        <v/>
      </c>
      <c r="H403" s="29" t="n">
        <v>2</v>
      </c>
      <c r="I403" s="29">
        <f>IF(E403=G403, 1, 0)</f>
        <v/>
      </c>
    </row>
    <row r="404" ht="22" customHeight="1" s="270">
      <c r="A404" s="29" t="n">
        <v>402</v>
      </c>
      <c r="B404" s="29" t="inlineStr">
        <is>
          <t>2</t>
        </is>
      </c>
      <c r="C404" s="30" t="inlineStr">
        <is>
          <t>GPT4</t>
        </is>
      </c>
      <c r="D404" s="29" t="inlineStr">
        <is>
          <t>Found Object</t>
        </is>
      </c>
      <c r="E404" s="29">
        <f>MATCH(D404, {"Waiting for Input","Analyzing Object","Found Object","Needs Help","Confused","None"}, 0) - 1</f>
        <v/>
      </c>
      <c r="F404" s="31" t="inlineStr">
        <is>
          <t>Found Object</t>
        </is>
      </c>
      <c r="G404" s="29">
        <f>MATCH(F404, {"Waiting for Input","Analyzing Object","Found Object","Needs Help","Confused","None"}, 0) - 1</f>
        <v/>
      </c>
      <c r="H404" s="29" t="n">
        <v>4</v>
      </c>
      <c r="I404" s="29">
        <f>IF(E404=G404, 1, 0)</f>
        <v/>
      </c>
    </row>
    <row r="405" ht="22" customHeight="1" s="270">
      <c r="A405" s="29" t="n">
        <v>403</v>
      </c>
      <c r="B405" s="29" t="inlineStr">
        <is>
          <t>2</t>
        </is>
      </c>
      <c r="C405" s="30" t="inlineStr">
        <is>
          <t>GPT4</t>
        </is>
      </c>
      <c r="D405" s="29" t="inlineStr">
        <is>
          <t>Found Object</t>
        </is>
      </c>
      <c r="E405" s="29">
        <f>MATCH(D405, {"Waiting for Input","Analyzing Object","Found Object","Needs Help","Confused","None"}, 0) - 1</f>
        <v/>
      </c>
      <c r="F405" s="31" t="inlineStr">
        <is>
          <t>Analyzing Object</t>
        </is>
      </c>
      <c r="G405" s="29">
        <f>MATCH(F405, {"Waiting for Input","Analyzing Object","Found Object","Needs Help","Confused","None"}, 0) - 1</f>
        <v/>
      </c>
      <c r="H405" s="29" t="n">
        <v>3</v>
      </c>
      <c r="I405" s="29">
        <f>IF(E405=G405, 1, 0)</f>
        <v/>
      </c>
    </row>
    <row r="406" ht="22" customHeight="1" s="270">
      <c r="A406" s="29" t="n">
        <v>404</v>
      </c>
      <c r="B406" s="29" t="inlineStr">
        <is>
          <t>2</t>
        </is>
      </c>
      <c r="C406" s="30" t="inlineStr">
        <is>
          <t>GPT4</t>
        </is>
      </c>
      <c r="D406" s="29" t="inlineStr">
        <is>
          <t>Found Object</t>
        </is>
      </c>
      <c r="E406" s="29">
        <f>MATCH(D406, {"Waiting for Input","Analyzing Object","Found Object","Needs Help","Confused","None"}, 0) - 1</f>
        <v/>
      </c>
      <c r="F406" s="31" t="inlineStr">
        <is>
          <t>Analyzing Object</t>
        </is>
      </c>
      <c r="G406" s="29">
        <f>MATCH(F406, {"Waiting for Input","Analyzing Object","Found Object","Needs Help","Confused","None"}, 0) - 1</f>
        <v/>
      </c>
      <c r="H406" s="29" t="n">
        <v>4</v>
      </c>
      <c r="I406" s="29">
        <f>IF(E406=G406, 1, 0)</f>
        <v/>
      </c>
    </row>
    <row r="407" ht="22" customHeight="1" s="270">
      <c r="A407" s="29" t="n">
        <v>405</v>
      </c>
      <c r="B407" s="29" t="inlineStr">
        <is>
          <t>2</t>
        </is>
      </c>
      <c r="C407" s="30" t="inlineStr">
        <is>
          <t>GPT4</t>
        </is>
      </c>
      <c r="D407" s="29" t="inlineStr">
        <is>
          <t>Found Object</t>
        </is>
      </c>
      <c r="E407" s="29">
        <f>MATCH(D407, {"Waiting for Input","Analyzing Object","Found Object","Needs Help","Confused","None"}, 0) - 1</f>
        <v/>
      </c>
      <c r="F407" s="31" t="inlineStr">
        <is>
          <t>Found Object</t>
        </is>
      </c>
      <c r="G407" s="29">
        <f>MATCH(F407, {"Waiting for Input","Analyzing Object","Found Object","Needs Help","Confused","None"}, 0) - 1</f>
        <v/>
      </c>
      <c r="H407" s="29" t="n">
        <v>3</v>
      </c>
      <c r="I407" s="29">
        <f>IF(E407=G407, 1, 0)</f>
        <v/>
      </c>
    </row>
    <row r="408" ht="22" customHeight="1" s="270">
      <c r="A408" s="29" t="n">
        <v>406</v>
      </c>
      <c r="B408" s="29" t="inlineStr">
        <is>
          <t>2</t>
        </is>
      </c>
      <c r="C408" s="30" t="inlineStr">
        <is>
          <t>GPT4</t>
        </is>
      </c>
      <c r="D408" s="29" t="inlineStr">
        <is>
          <t>Found Object</t>
        </is>
      </c>
      <c r="E408" s="29">
        <f>MATCH(D408, {"Waiting for Input","Analyzing Object","Found Object","Needs Help","Confused","None"}, 0) - 1</f>
        <v/>
      </c>
      <c r="F408" s="31" t="inlineStr">
        <is>
          <t>Analyzing Object</t>
        </is>
      </c>
      <c r="G408" s="29">
        <f>MATCH(F408, {"Waiting for Input","Analyzing Object","Found Object","Needs Help","Confused","None"}, 0) - 1</f>
        <v/>
      </c>
      <c r="H408" s="29" t="n">
        <v>3</v>
      </c>
      <c r="I408" s="29">
        <f>IF(E408=G408, 1, 0)</f>
        <v/>
      </c>
    </row>
    <row r="409" ht="22" customHeight="1" s="270">
      <c r="A409" s="29" t="n">
        <v>407</v>
      </c>
      <c r="B409" s="29" t="inlineStr">
        <is>
          <t>2</t>
        </is>
      </c>
      <c r="C409" s="30" t="inlineStr">
        <is>
          <t>GPT4</t>
        </is>
      </c>
      <c r="D409" s="29" t="inlineStr">
        <is>
          <t>Found Object</t>
        </is>
      </c>
      <c r="E409" s="29">
        <f>MATCH(D409, {"Waiting for Input","Analyzing Object","Found Object","Needs Help","Confused","None"}, 0) - 1</f>
        <v/>
      </c>
      <c r="F409" s="31" t="inlineStr">
        <is>
          <t>Analyzing Object</t>
        </is>
      </c>
      <c r="G409" s="29">
        <f>MATCH(F409, {"Waiting for Input","Analyzing Object","Found Object","Needs Help","Confused","None"}, 0) - 1</f>
        <v/>
      </c>
      <c r="H409" s="29" t="n">
        <v>4</v>
      </c>
      <c r="I409" s="29">
        <f>IF(E409=G409, 1, 0)</f>
        <v/>
      </c>
    </row>
    <row r="410" ht="22" customHeight="1" s="270">
      <c r="A410" s="29" t="n">
        <v>408</v>
      </c>
      <c r="B410" s="29" t="inlineStr">
        <is>
          <t>2</t>
        </is>
      </c>
      <c r="C410" s="30" t="inlineStr">
        <is>
          <t>GPT4</t>
        </is>
      </c>
      <c r="D410" s="29" t="inlineStr">
        <is>
          <t>Found Object</t>
        </is>
      </c>
      <c r="E410" s="29">
        <f>MATCH(D410, {"Waiting for Input","Analyzing Object","Found Object","Needs Help","Confused","None"}, 0) - 1</f>
        <v/>
      </c>
      <c r="F410" s="31" t="inlineStr">
        <is>
          <t>Analyzing Object</t>
        </is>
      </c>
      <c r="G410" s="29">
        <f>MATCH(F410, {"Waiting for Input","Analyzing Object","Found Object","Needs Help","Confused","None"}, 0) - 1</f>
        <v/>
      </c>
      <c r="H410" s="29" t="n">
        <v>5</v>
      </c>
      <c r="I410" s="29">
        <f>IF(E410=G410, 1, 0)</f>
        <v/>
      </c>
    </row>
    <row r="411" ht="22" customHeight="1" s="270">
      <c r="A411" s="29" t="n">
        <v>409</v>
      </c>
      <c r="B411" s="29" t="inlineStr">
        <is>
          <t>2</t>
        </is>
      </c>
      <c r="C411" s="30" t="inlineStr">
        <is>
          <t>GPT4</t>
        </is>
      </c>
      <c r="D411" s="29" t="inlineStr">
        <is>
          <t>Found Object</t>
        </is>
      </c>
      <c r="E411" s="29">
        <f>MATCH(D411, {"Waiting for Input","Analyzing Object","Found Object","Needs Help","Confused","None"}, 0) - 1</f>
        <v/>
      </c>
      <c r="F411" s="31" t="inlineStr">
        <is>
          <t>Found Object</t>
        </is>
      </c>
      <c r="G411" s="29">
        <f>MATCH(F411, {"Waiting for Input","Analyzing Object","Found Object","Needs Help","Confused","None"}, 0) - 1</f>
        <v/>
      </c>
      <c r="H411" s="29" t="n">
        <v>4</v>
      </c>
      <c r="I411" s="29">
        <f>IF(E411=G411, 1, 0)</f>
        <v/>
      </c>
    </row>
    <row r="412" ht="22" customHeight="1" s="270">
      <c r="A412" s="29" t="n">
        <v>410</v>
      </c>
      <c r="B412" s="29" t="inlineStr">
        <is>
          <t>2</t>
        </is>
      </c>
      <c r="C412" s="30" t="inlineStr">
        <is>
          <t>GPT4</t>
        </is>
      </c>
      <c r="D412" s="29" t="inlineStr">
        <is>
          <t>Found Object</t>
        </is>
      </c>
      <c r="E412" s="29">
        <f>MATCH(D412, {"Waiting for Input","Analyzing Object","Found Object","Needs Help","Confused","None"}, 0) - 1</f>
        <v/>
      </c>
      <c r="F412" s="31" t="inlineStr">
        <is>
          <t>Analyzing Object</t>
        </is>
      </c>
      <c r="G412" s="29">
        <f>MATCH(F412, {"Waiting for Input","Analyzing Object","Found Object","Needs Help","Confused","None"}, 0) - 1</f>
        <v/>
      </c>
      <c r="H412" s="29" t="n">
        <v>3</v>
      </c>
      <c r="I412" s="29">
        <f>IF(E412=G412, 1, 0)</f>
        <v/>
      </c>
    </row>
    <row r="413" ht="22" customHeight="1" s="270">
      <c r="A413" s="29" t="n">
        <v>411</v>
      </c>
      <c r="B413" s="29" t="inlineStr">
        <is>
          <t>1</t>
        </is>
      </c>
      <c r="C413" s="30" t="inlineStr">
        <is>
          <t>GPT4</t>
        </is>
      </c>
      <c r="D413" s="29" t="inlineStr">
        <is>
          <t>Found Object</t>
        </is>
      </c>
      <c r="E413" s="29">
        <f>MATCH(D413, {"Waiting for Input","Analyzing Object","Found Object","Needs Help","Confused","None"}, 0) - 1</f>
        <v/>
      </c>
      <c r="F413" s="31" t="inlineStr">
        <is>
          <t>Analyzing Object</t>
        </is>
      </c>
      <c r="G413" s="29">
        <f>MATCH(F413, {"Waiting for Input","Analyzing Object","Found Object","Needs Help","Confused","None"}, 0) - 1</f>
        <v/>
      </c>
      <c r="H413" s="29" t="n">
        <v>4</v>
      </c>
      <c r="I413" s="29">
        <f>IF(E413=G413, 1, 0)</f>
        <v/>
      </c>
    </row>
    <row r="414" ht="22" customHeight="1" s="270">
      <c r="A414" s="29" t="n">
        <v>412</v>
      </c>
      <c r="B414" s="29" t="inlineStr">
        <is>
          <t>2</t>
        </is>
      </c>
      <c r="C414" s="30" t="inlineStr">
        <is>
          <t>GPT4</t>
        </is>
      </c>
      <c r="D414" s="29" t="inlineStr">
        <is>
          <t>Found Object</t>
        </is>
      </c>
      <c r="E414" s="29">
        <f>MATCH(D414, {"Waiting for Input","Analyzing Object","Found Object","Needs Help","Confused","None"}, 0) - 1</f>
        <v/>
      </c>
      <c r="F414" s="31" t="inlineStr">
        <is>
          <t>Found Object</t>
        </is>
      </c>
      <c r="G414" s="29">
        <f>MATCH(F414, {"Waiting for Input","Analyzing Object","Found Object","Needs Help","Confused","None"}, 0) - 1</f>
        <v/>
      </c>
      <c r="H414" s="29" t="n">
        <v>5</v>
      </c>
      <c r="I414" s="29">
        <f>IF(E414=G414, 1, 0)</f>
        <v/>
      </c>
    </row>
    <row r="415" ht="22" customHeight="1" s="270">
      <c r="A415" s="29" t="n">
        <v>413</v>
      </c>
      <c r="B415" s="29" t="inlineStr">
        <is>
          <t>2</t>
        </is>
      </c>
      <c r="C415" s="30" t="inlineStr">
        <is>
          <t>GPT4</t>
        </is>
      </c>
      <c r="D415" s="29" t="inlineStr">
        <is>
          <t>Found Object</t>
        </is>
      </c>
      <c r="E415" s="29">
        <f>MATCH(D415, {"Waiting for Input","Analyzing Object","Found Object","Needs Help","Confused","None"}, 0) - 1</f>
        <v/>
      </c>
      <c r="F415" s="31" t="inlineStr">
        <is>
          <t>Analyzing Object</t>
        </is>
      </c>
      <c r="G415" s="29">
        <f>MATCH(F415, {"Waiting for Input","Analyzing Object","Found Object","Needs Help","Confused","None"}, 0) - 1</f>
        <v/>
      </c>
      <c r="H415" s="29" t="n">
        <v>4</v>
      </c>
      <c r="I415" s="29">
        <f>IF(E415=G415, 1, 0)</f>
        <v/>
      </c>
    </row>
    <row r="416" ht="22" customHeight="1" s="270">
      <c r="A416" s="29" t="n">
        <v>414</v>
      </c>
      <c r="B416" s="29" t="inlineStr">
        <is>
          <t>1</t>
        </is>
      </c>
      <c r="C416" s="30" t="inlineStr">
        <is>
          <t>GPT4</t>
        </is>
      </c>
      <c r="D416" s="29" t="inlineStr">
        <is>
          <t>Found Object</t>
        </is>
      </c>
      <c r="E416" s="29">
        <f>MATCH(D416, {"Waiting for Input","Analyzing Object","Found Object","Needs Help","Confused","None"}, 0) - 1</f>
        <v/>
      </c>
      <c r="F416" s="31" t="inlineStr">
        <is>
          <t>Found Object</t>
        </is>
      </c>
      <c r="G416" s="29">
        <f>MATCH(F416, {"Waiting for Input","Analyzing Object","Found Object","Needs Help","Confused","None"}, 0) - 1</f>
        <v/>
      </c>
      <c r="H416" s="29" t="n">
        <v>4</v>
      </c>
      <c r="I416" s="29">
        <f>IF(E416=G416, 1, 0)</f>
        <v/>
      </c>
    </row>
    <row r="417" ht="22" customHeight="1" s="270">
      <c r="A417" s="29" t="n">
        <v>415</v>
      </c>
      <c r="B417" s="29" t="inlineStr">
        <is>
          <t>2</t>
        </is>
      </c>
      <c r="C417" s="30" t="inlineStr">
        <is>
          <t>GPT4</t>
        </is>
      </c>
      <c r="D417" s="29" t="inlineStr">
        <is>
          <t>Found Object</t>
        </is>
      </c>
      <c r="E417" s="29">
        <f>MATCH(D417, {"Waiting for Input","Analyzing Object","Found Object","Needs Help","Confused","None"}, 0) - 1</f>
        <v/>
      </c>
      <c r="F417" s="31" t="inlineStr">
        <is>
          <t>Analyzing Object</t>
        </is>
      </c>
      <c r="G417" s="29">
        <f>MATCH(F417, {"Waiting for Input","Analyzing Object","Found Object","Needs Help","Confused","None"}, 0) - 1</f>
        <v/>
      </c>
      <c r="H417" s="29" t="n">
        <v>3</v>
      </c>
      <c r="I417" s="29">
        <f>IF(E417=G417, 1, 0)</f>
        <v/>
      </c>
    </row>
    <row r="418" ht="22" customHeight="1" s="270">
      <c r="A418" s="29" t="n">
        <v>416</v>
      </c>
      <c r="B418" s="29" t="inlineStr">
        <is>
          <t>2</t>
        </is>
      </c>
      <c r="C418" s="30" t="inlineStr">
        <is>
          <t>GPT4</t>
        </is>
      </c>
      <c r="D418" s="29" t="inlineStr">
        <is>
          <t>Found Object</t>
        </is>
      </c>
      <c r="E418" s="29">
        <f>MATCH(D418, {"Waiting for Input","Analyzing Object","Found Object","Needs Help","Confused","None"}, 0) - 1</f>
        <v/>
      </c>
      <c r="F418" s="31" t="inlineStr">
        <is>
          <t>Found Object</t>
        </is>
      </c>
      <c r="G418" s="29">
        <f>MATCH(F418, {"Waiting for Input","Analyzing Object","Found Object","Needs Help","Confused","None"}, 0) - 1</f>
        <v/>
      </c>
      <c r="H418" s="29" t="n">
        <v>5</v>
      </c>
      <c r="I418" s="29">
        <f>IF(E418=G418, 1, 0)</f>
        <v/>
      </c>
    </row>
    <row r="419" ht="22" customHeight="1" s="270">
      <c r="A419" s="29" t="n">
        <v>417</v>
      </c>
      <c r="B419" s="29" t="inlineStr">
        <is>
          <t>2</t>
        </is>
      </c>
      <c r="C419" s="30" t="inlineStr">
        <is>
          <t>GPT4</t>
        </is>
      </c>
      <c r="D419" s="29" t="inlineStr">
        <is>
          <t>Found Object</t>
        </is>
      </c>
      <c r="E419" s="29">
        <f>MATCH(D419, {"Waiting for Input","Analyzing Object","Found Object","Needs Help","Confused","None"}, 0) - 1</f>
        <v/>
      </c>
      <c r="F419" s="31" t="inlineStr">
        <is>
          <t>Analyzing Object</t>
        </is>
      </c>
      <c r="G419" s="29">
        <f>MATCH(F419, {"Waiting for Input","Analyzing Object","Found Object","Needs Help","Confused","None"}, 0) - 1</f>
        <v/>
      </c>
      <c r="H419" s="29" t="n">
        <v>2</v>
      </c>
      <c r="I419" s="29">
        <f>IF(E419=G419, 1, 0)</f>
        <v/>
      </c>
    </row>
    <row r="420" ht="22" customHeight="1" s="270">
      <c r="A420" s="29" t="n">
        <v>418</v>
      </c>
      <c r="B420" s="29" t="inlineStr">
        <is>
          <t>1</t>
        </is>
      </c>
      <c r="C420" s="30" t="inlineStr">
        <is>
          <t>GPT4</t>
        </is>
      </c>
      <c r="D420" s="29" t="inlineStr">
        <is>
          <t>Found Object</t>
        </is>
      </c>
      <c r="E420" s="29">
        <f>MATCH(D420, {"Waiting for Input","Analyzing Object","Found Object","Needs Help","Confused","None"}, 0) - 1</f>
        <v/>
      </c>
      <c r="F420" s="31" t="inlineStr">
        <is>
          <t>None</t>
        </is>
      </c>
      <c r="G420" s="29">
        <f>MATCH(F420, {"Waiting for Input","Analyzing Object","Found Object","Needs Help","Confused","None"}, 0) - 1</f>
        <v/>
      </c>
      <c r="H420" s="31" t="n"/>
      <c r="I420" s="29">
        <f>IF(E420=G420, 1, 0)</f>
        <v/>
      </c>
    </row>
    <row r="421" ht="22" customHeight="1" s="270">
      <c r="A421" s="29" t="n">
        <v>419</v>
      </c>
      <c r="B421" s="29" t="inlineStr">
        <is>
          <t>2</t>
        </is>
      </c>
      <c r="C421" s="30" t="inlineStr">
        <is>
          <t>GPT4</t>
        </is>
      </c>
      <c r="D421" s="29" t="inlineStr">
        <is>
          <t>Found Object</t>
        </is>
      </c>
      <c r="E421" s="29">
        <f>MATCH(D421, {"Waiting for Input","Analyzing Object","Found Object","Needs Help","Confused","None"}, 0) - 1</f>
        <v/>
      </c>
      <c r="F421" s="31" t="inlineStr">
        <is>
          <t>Analyzing Object</t>
        </is>
      </c>
      <c r="G421" s="29">
        <f>MATCH(F421, {"Waiting for Input","Analyzing Object","Found Object","Needs Help","Confused","None"}, 0) - 1</f>
        <v/>
      </c>
      <c r="H421" s="29" t="n">
        <v>3</v>
      </c>
      <c r="I421" s="29">
        <f>IF(E421=G421, 1, 0)</f>
        <v/>
      </c>
    </row>
    <row r="422" ht="22" customHeight="1" s="270">
      <c r="A422" s="29" t="n">
        <v>420</v>
      </c>
      <c r="B422" s="29" t="inlineStr">
        <is>
          <t>1</t>
        </is>
      </c>
      <c r="C422" s="30" t="inlineStr">
        <is>
          <t>Human</t>
        </is>
      </c>
      <c r="D422" s="29" t="inlineStr">
        <is>
          <t>Found Object</t>
        </is>
      </c>
      <c r="E422" s="29">
        <f>MATCH(D422, {"Waiting for Input","Analyzing Object","Found Object","Needs Help","Confused","None"}, 0) - 1</f>
        <v/>
      </c>
      <c r="F422" s="31" t="inlineStr">
        <is>
          <t>Found Object</t>
        </is>
      </c>
      <c r="G422" s="29">
        <f>MATCH(F422, {"Waiting for Input","Analyzing Object","Found Object","Needs Help","Confused","None"}, 0) - 1</f>
        <v/>
      </c>
      <c r="H422" s="29" t="n">
        <v>3</v>
      </c>
      <c r="I422" s="29">
        <f>IF(E422=G422, 1, 0)</f>
        <v/>
      </c>
    </row>
    <row r="423" ht="22" customHeight="1" s="270">
      <c r="A423" s="29" t="n">
        <v>421</v>
      </c>
      <c r="B423" s="29" t="inlineStr">
        <is>
          <t>1</t>
        </is>
      </c>
      <c r="C423" s="30" t="inlineStr">
        <is>
          <t>Human</t>
        </is>
      </c>
      <c r="D423" s="29" t="inlineStr">
        <is>
          <t>Found Object</t>
        </is>
      </c>
      <c r="E423" s="29">
        <f>MATCH(D423, {"Waiting for Input","Analyzing Object","Found Object","Needs Help","Confused","None"}, 0) - 1</f>
        <v/>
      </c>
      <c r="F423" s="31" t="inlineStr">
        <is>
          <t>Analyzing Object</t>
        </is>
      </c>
      <c r="G423" s="29">
        <f>MATCH(F423, {"Waiting for Input","Analyzing Object","Found Object","Needs Help","Confused","None"}, 0) - 1</f>
        <v/>
      </c>
      <c r="H423" s="29" t="n">
        <v>4</v>
      </c>
      <c r="I423" s="29">
        <f>IF(E423=G423, 1, 0)</f>
        <v/>
      </c>
    </row>
    <row r="424" ht="22" customHeight="1" s="270">
      <c r="A424" s="29" t="n">
        <v>422</v>
      </c>
      <c r="B424" s="29" t="inlineStr">
        <is>
          <t>1</t>
        </is>
      </c>
      <c r="C424" s="30" t="inlineStr">
        <is>
          <t>Human</t>
        </is>
      </c>
      <c r="D424" s="29" t="inlineStr">
        <is>
          <t>Found Object</t>
        </is>
      </c>
      <c r="E424" s="29">
        <f>MATCH(D424, {"Waiting for Input","Analyzing Object","Found Object","Needs Help","Confused","None"}, 0) - 1</f>
        <v/>
      </c>
      <c r="F424" s="31" t="inlineStr">
        <is>
          <t>Found Object</t>
        </is>
      </c>
      <c r="G424" s="29">
        <f>MATCH(F424, {"Waiting for Input","Analyzing Object","Found Object","Needs Help","Confused","None"}, 0) - 1</f>
        <v/>
      </c>
      <c r="H424" s="29" t="n">
        <v>2</v>
      </c>
      <c r="I424" s="29">
        <f>IF(E424=G424, 1, 0)</f>
        <v/>
      </c>
    </row>
    <row r="425" ht="22" customHeight="1" s="270">
      <c r="A425" s="29" t="n">
        <v>423</v>
      </c>
      <c r="B425" s="29" t="inlineStr">
        <is>
          <t>2</t>
        </is>
      </c>
      <c r="C425" s="30" t="inlineStr">
        <is>
          <t>Human</t>
        </is>
      </c>
      <c r="D425" s="29" t="inlineStr">
        <is>
          <t>Found Object</t>
        </is>
      </c>
      <c r="E425" s="29">
        <f>MATCH(D425, {"Waiting for Input","Analyzing Object","Found Object","Needs Help","Confused","None"}, 0) - 1</f>
        <v/>
      </c>
      <c r="F425" s="31" t="inlineStr">
        <is>
          <t>Found Object</t>
        </is>
      </c>
      <c r="G425" s="29">
        <f>MATCH(F425, {"Waiting for Input","Analyzing Object","Found Object","Needs Help","Confused","None"}, 0) - 1</f>
        <v/>
      </c>
      <c r="H425" s="29" t="n">
        <v>5</v>
      </c>
      <c r="I425" s="29">
        <f>IF(E425=G425, 1, 0)</f>
        <v/>
      </c>
    </row>
    <row r="426" ht="22" customHeight="1" s="270">
      <c r="A426" s="29" t="n">
        <v>424</v>
      </c>
      <c r="B426" s="29" t="inlineStr">
        <is>
          <t>2</t>
        </is>
      </c>
      <c r="C426" s="30" t="inlineStr">
        <is>
          <t>Human</t>
        </is>
      </c>
      <c r="D426" s="29" t="inlineStr">
        <is>
          <t>Found Object</t>
        </is>
      </c>
      <c r="E426" s="29">
        <f>MATCH(D426, {"Waiting for Input","Analyzing Object","Found Object","Needs Help","Confused","None"}, 0) - 1</f>
        <v/>
      </c>
      <c r="F426" s="31" t="inlineStr">
        <is>
          <t>Found Object</t>
        </is>
      </c>
      <c r="G426" s="29">
        <f>MATCH(F426, {"Waiting for Input","Analyzing Object","Found Object","Needs Help","Confused","None"}, 0) - 1</f>
        <v/>
      </c>
      <c r="H426" s="29" t="n">
        <v>3</v>
      </c>
      <c r="I426" s="29">
        <f>IF(E426=G426, 1, 0)</f>
        <v/>
      </c>
    </row>
    <row r="427" ht="22" customHeight="1" s="270">
      <c r="A427" s="29" t="n">
        <v>425</v>
      </c>
      <c r="B427" s="29" t="inlineStr">
        <is>
          <t>1</t>
        </is>
      </c>
      <c r="C427" s="30" t="inlineStr">
        <is>
          <t>Human</t>
        </is>
      </c>
      <c r="D427" s="29" t="inlineStr">
        <is>
          <t>Found Object</t>
        </is>
      </c>
      <c r="E427" s="29">
        <f>MATCH(D427, {"Waiting for Input","Analyzing Object","Found Object","Needs Help","Confused","None"}, 0) - 1</f>
        <v/>
      </c>
      <c r="F427" s="31" t="inlineStr">
        <is>
          <t>Analyzing Object</t>
        </is>
      </c>
      <c r="G427" s="29">
        <f>MATCH(F427, {"Waiting for Input","Analyzing Object","Found Object","Needs Help","Confused","None"}, 0) - 1</f>
        <v/>
      </c>
      <c r="H427" s="29" t="n">
        <v>5</v>
      </c>
      <c r="I427" s="29">
        <f>IF(E427=G427, 1, 0)</f>
        <v/>
      </c>
    </row>
    <row r="428" ht="22" customHeight="1" s="270">
      <c r="A428" s="29" t="n">
        <v>426</v>
      </c>
      <c r="B428" s="29" t="inlineStr">
        <is>
          <t>2</t>
        </is>
      </c>
      <c r="C428" s="30" t="inlineStr">
        <is>
          <t>Human</t>
        </is>
      </c>
      <c r="D428" s="29" t="inlineStr">
        <is>
          <t>Found Object</t>
        </is>
      </c>
      <c r="E428" s="29">
        <f>MATCH(D428, {"Waiting for Input","Analyzing Object","Found Object","Needs Help","Confused","None"}, 0) - 1</f>
        <v/>
      </c>
      <c r="F428" s="31" t="inlineStr">
        <is>
          <t>Found Object</t>
        </is>
      </c>
      <c r="G428" s="29">
        <f>MATCH(F428, {"Waiting for Input","Analyzing Object","Found Object","Needs Help","Confused","None"}, 0) - 1</f>
        <v/>
      </c>
      <c r="H428" s="29" t="n">
        <v>2</v>
      </c>
      <c r="I428" s="29">
        <f>IF(E428=G428, 1, 0)</f>
        <v/>
      </c>
    </row>
    <row r="429" ht="22" customHeight="1" s="270">
      <c r="A429" s="29" t="n">
        <v>427</v>
      </c>
      <c r="B429" s="29" t="inlineStr">
        <is>
          <t>1</t>
        </is>
      </c>
      <c r="C429" s="30" t="inlineStr">
        <is>
          <t>Human</t>
        </is>
      </c>
      <c r="D429" s="29" t="inlineStr">
        <is>
          <t>Found Object</t>
        </is>
      </c>
      <c r="E429" s="29">
        <f>MATCH(D429, {"Waiting for Input","Analyzing Object","Found Object","Needs Help","Confused","None"}, 0) - 1</f>
        <v/>
      </c>
      <c r="F429" s="31" t="inlineStr">
        <is>
          <t>Analyzing Object</t>
        </is>
      </c>
      <c r="G429" s="29">
        <f>MATCH(F429, {"Waiting for Input","Analyzing Object","Found Object","Needs Help","Confused","None"}, 0) - 1</f>
        <v/>
      </c>
      <c r="H429" s="29" t="n">
        <v>4</v>
      </c>
      <c r="I429" s="29">
        <f>IF(E429=G429, 1, 0)</f>
        <v/>
      </c>
    </row>
    <row r="430" ht="22" customHeight="1" s="270">
      <c r="A430" s="29" t="n">
        <v>428</v>
      </c>
      <c r="B430" s="29" t="inlineStr">
        <is>
          <t>1</t>
        </is>
      </c>
      <c r="C430" s="30" t="inlineStr">
        <is>
          <t>Human</t>
        </is>
      </c>
      <c r="D430" s="29" t="inlineStr">
        <is>
          <t>Found Object</t>
        </is>
      </c>
      <c r="E430" s="29">
        <f>MATCH(D430, {"Waiting for Input","Analyzing Object","Found Object","Needs Help","Confused","None"}, 0) - 1</f>
        <v/>
      </c>
      <c r="F430" s="31" t="inlineStr">
        <is>
          <t>Found Object</t>
        </is>
      </c>
      <c r="G430" s="29">
        <f>MATCH(F430, {"Waiting for Input","Analyzing Object","Found Object","Needs Help","Confused","None"}, 0) - 1</f>
        <v/>
      </c>
      <c r="H430" s="29" t="n">
        <v>3</v>
      </c>
      <c r="I430" s="29">
        <f>IF(E430=G430, 1, 0)</f>
        <v/>
      </c>
    </row>
    <row r="431" ht="22" customHeight="1" s="270">
      <c r="A431" s="29" t="n">
        <v>429</v>
      </c>
      <c r="B431" s="29" t="inlineStr">
        <is>
          <t>1</t>
        </is>
      </c>
      <c r="C431" s="30" t="inlineStr">
        <is>
          <t>Human</t>
        </is>
      </c>
      <c r="D431" s="29" t="inlineStr">
        <is>
          <t>Found Object</t>
        </is>
      </c>
      <c r="E431" s="29">
        <f>MATCH(D431, {"Waiting for Input","Analyzing Object","Found Object","Needs Help","Confused","None"}, 0) - 1</f>
        <v/>
      </c>
      <c r="F431" s="31" t="inlineStr">
        <is>
          <t>Analyzing Object</t>
        </is>
      </c>
      <c r="G431" s="29">
        <f>MATCH(F431, {"Waiting for Input","Analyzing Object","Found Object","Needs Help","Confused","None"}, 0) - 1</f>
        <v/>
      </c>
      <c r="H431" s="29" t="n">
        <v>5</v>
      </c>
      <c r="I431" s="29">
        <f>IF(E431=G431, 1, 0)</f>
        <v/>
      </c>
    </row>
    <row r="432" ht="22" customHeight="1" s="270">
      <c r="A432" s="29" t="n">
        <v>430</v>
      </c>
      <c r="B432" s="29" t="inlineStr">
        <is>
          <t>2</t>
        </is>
      </c>
      <c r="C432" s="30" t="inlineStr">
        <is>
          <t>Human</t>
        </is>
      </c>
      <c r="D432" s="29" t="inlineStr">
        <is>
          <t>Found Object</t>
        </is>
      </c>
      <c r="E432" s="29">
        <f>MATCH(D432, {"Waiting for Input","Analyzing Object","Found Object","Needs Help","Confused","None"}, 0) - 1</f>
        <v/>
      </c>
      <c r="F432" s="31" t="inlineStr">
        <is>
          <t>Analyzing Object</t>
        </is>
      </c>
      <c r="G432" s="29">
        <f>MATCH(F432, {"Waiting for Input","Analyzing Object","Found Object","Needs Help","Confused","None"}, 0) - 1</f>
        <v/>
      </c>
      <c r="H432" s="29" t="n">
        <v>4</v>
      </c>
      <c r="I432" s="29">
        <f>IF(E432=G432, 1, 0)</f>
        <v/>
      </c>
    </row>
    <row r="433" ht="22" customHeight="1" s="270">
      <c r="A433" s="29" t="n">
        <v>431</v>
      </c>
      <c r="B433" s="29" t="inlineStr">
        <is>
          <t>2</t>
        </is>
      </c>
      <c r="C433" s="30" t="inlineStr">
        <is>
          <t>Human</t>
        </is>
      </c>
      <c r="D433" s="29" t="inlineStr">
        <is>
          <t>Found Object</t>
        </is>
      </c>
      <c r="E433" s="29">
        <f>MATCH(D433, {"Waiting for Input","Analyzing Object","Found Object","Needs Help","Confused","None"}, 0) - 1</f>
        <v/>
      </c>
      <c r="F433" s="31" t="inlineStr">
        <is>
          <t>Found Object</t>
        </is>
      </c>
      <c r="G433" s="29">
        <f>MATCH(F433, {"Waiting for Input","Analyzing Object","Found Object","Needs Help","Confused","None"}, 0) - 1</f>
        <v/>
      </c>
      <c r="H433" s="29" t="n">
        <v>5</v>
      </c>
      <c r="I433" s="29">
        <f>IF(E433=G433, 1, 0)</f>
        <v/>
      </c>
    </row>
    <row r="434" ht="22" customHeight="1" s="270">
      <c r="A434" s="29" t="n">
        <v>432</v>
      </c>
      <c r="B434" s="29" t="inlineStr">
        <is>
          <t>2</t>
        </is>
      </c>
      <c r="C434" s="30" t="inlineStr">
        <is>
          <t>Human</t>
        </is>
      </c>
      <c r="D434" s="29" t="inlineStr">
        <is>
          <t>Found Object</t>
        </is>
      </c>
      <c r="E434" s="29">
        <f>MATCH(D434, {"Waiting for Input","Analyzing Object","Found Object","Needs Help","Confused","None"}, 0) - 1</f>
        <v/>
      </c>
      <c r="F434" s="31" t="inlineStr">
        <is>
          <t>Analyzing Object</t>
        </is>
      </c>
      <c r="G434" s="29">
        <f>MATCH(F434, {"Waiting for Input","Analyzing Object","Found Object","Needs Help","Confused","None"}, 0) - 1</f>
        <v/>
      </c>
      <c r="H434" s="29" t="n">
        <v>2</v>
      </c>
      <c r="I434" s="29">
        <f>IF(E434=G434, 1, 0)</f>
        <v/>
      </c>
    </row>
    <row r="435" ht="22" customHeight="1" s="270">
      <c r="A435" s="29" t="n">
        <v>433</v>
      </c>
      <c r="B435" s="29" t="inlineStr">
        <is>
          <t>2</t>
        </is>
      </c>
      <c r="C435" s="30" t="inlineStr">
        <is>
          <t>Human</t>
        </is>
      </c>
      <c r="D435" s="29" t="inlineStr">
        <is>
          <t>Found Object</t>
        </is>
      </c>
      <c r="E435" s="29">
        <f>MATCH(D435, {"Waiting for Input","Analyzing Object","Found Object","Needs Help","Confused","None"}, 0) - 1</f>
        <v/>
      </c>
      <c r="F435" s="31" t="inlineStr">
        <is>
          <t>Analyzing Object</t>
        </is>
      </c>
      <c r="G435" s="29">
        <f>MATCH(F435, {"Waiting for Input","Analyzing Object","Found Object","Needs Help","Confused","None"}, 0) - 1</f>
        <v/>
      </c>
      <c r="H435" s="29" t="n">
        <v>4</v>
      </c>
      <c r="I435" s="29">
        <f>IF(E435=G435, 1, 0)</f>
        <v/>
      </c>
    </row>
    <row r="436" ht="22" customHeight="1" s="270">
      <c r="A436" s="29" t="n">
        <v>434</v>
      </c>
      <c r="B436" s="29" t="inlineStr">
        <is>
          <t>1</t>
        </is>
      </c>
      <c r="C436" s="30" t="inlineStr">
        <is>
          <t>Human</t>
        </is>
      </c>
      <c r="D436" s="29" t="inlineStr">
        <is>
          <t>Found Object</t>
        </is>
      </c>
      <c r="E436" s="29">
        <f>MATCH(D436, {"Waiting for Input","Analyzing Object","Found Object","Needs Help","Confused","None"}, 0) - 1</f>
        <v/>
      </c>
      <c r="F436" s="31" t="inlineStr">
        <is>
          <t>Analyzing Object</t>
        </is>
      </c>
      <c r="G436" s="29">
        <f>MATCH(F436, {"Waiting for Input","Analyzing Object","Found Object","Needs Help","Confused","None"}, 0) - 1</f>
        <v/>
      </c>
      <c r="H436" s="29" t="n">
        <v>3</v>
      </c>
      <c r="I436" s="29">
        <f>IF(E436=G436, 1, 0)</f>
        <v/>
      </c>
    </row>
    <row r="437" ht="22" customHeight="1" s="270">
      <c r="A437" s="29" t="n">
        <v>435</v>
      </c>
      <c r="B437" s="29" t="inlineStr">
        <is>
          <t>1</t>
        </is>
      </c>
      <c r="C437" s="30" t="inlineStr">
        <is>
          <t>Human</t>
        </is>
      </c>
      <c r="D437" s="29" t="inlineStr">
        <is>
          <t>Found Object</t>
        </is>
      </c>
      <c r="E437" s="29">
        <f>MATCH(D437, {"Waiting for Input","Analyzing Object","Found Object","Needs Help","Confused","None"}, 0) - 1</f>
        <v/>
      </c>
      <c r="F437" s="31" t="inlineStr">
        <is>
          <t>Found Object</t>
        </is>
      </c>
      <c r="G437" s="29">
        <f>MATCH(F437, {"Waiting for Input","Analyzing Object","Found Object","Needs Help","Confused","None"}, 0) - 1</f>
        <v/>
      </c>
      <c r="H437" s="29" t="n">
        <v>3</v>
      </c>
      <c r="I437" s="29">
        <f>IF(E437=G437, 1, 0)</f>
        <v/>
      </c>
    </row>
    <row r="438" ht="22" customHeight="1" s="270">
      <c r="A438" s="29" t="n">
        <v>436</v>
      </c>
      <c r="B438" s="29" t="inlineStr">
        <is>
          <t>1</t>
        </is>
      </c>
      <c r="C438" s="30" t="inlineStr">
        <is>
          <t>Human</t>
        </is>
      </c>
      <c r="D438" s="29" t="inlineStr">
        <is>
          <t>Found Object</t>
        </is>
      </c>
      <c r="E438" s="29">
        <f>MATCH(D438, {"Waiting for Input","Analyzing Object","Found Object","Needs Help","Confused","None"}, 0) - 1</f>
        <v/>
      </c>
      <c r="F438" s="31" t="inlineStr">
        <is>
          <t>Analyzing Object</t>
        </is>
      </c>
      <c r="G438" s="29">
        <f>MATCH(F438, {"Waiting for Input","Analyzing Object","Found Object","Needs Help","Confused","None"}, 0) - 1</f>
        <v/>
      </c>
      <c r="H438" s="29" t="n">
        <v>2</v>
      </c>
      <c r="I438" s="29">
        <f>IF(E438=G438, 1, 0)</f>
        <v/>
      </c>
    </row>
    <row r="439" ht="22" customHeight="1" s="270">
      <c r="A439" s="29" t="n">
        <v>437</v>
      </c>
      <c r="B439" s="29" t="inlineStr">
        <is>
          <t>2</t>
        </is>
      </c>
      <c r="C439" s="30" t="inlineStr">
        <is>
          <t>Human</t>
        </is>
      </c>
      <c r="D439" s="29" t="inlineStr">
        <is>
          <t>Found Object</t>
        </is>
      </c>
      <c r="E439" s="29">
        <f>MATCH(D439, {"Waiting for Input","Analyzing Object","Found Object","Needs Help","Confused","None"}, 0) - 1</f>
        <v/>
      </c>
      <c r="F439" s="31" t="inlineStr">
        <is>
          <t>Found Object</t>
        </is>
      </c>
      <c r="G439" s="29">
        <f>MATCH(F439, {"Waiting for Input","Analyzing Object","Found Object","Needs Help","Confused","None"}, 0) - 1</f>
        <v/>
      </c>
      <c r="H439" s="29" t="n">
        <v>2</v>
      </c>
      <c r="I439" s="29">
        <f>IF(E439=G439, 1, 0)</f>
        <v/>
      </c>
    </row>
    <row r="440" ht="22" customHeight="1" s="270">
      <c r="A440" s="29" t="n">
        <v>438</v>
      </c>
      <c r="B440" s="29" t="inlineStr">
        <is>
          <t>2</t>
        </is>
      </c>
      <c r="C440" s="30" t="inlineStr">
        <is>
          <t>Human</t>
        </is>
      </c>
      <c r="D440" s="29" t="inlineStr">
        <is>
          <t>Found Object</t>
        </is>
      </c>
      <c r="E440" s="29">
        <f>MATCH(D440, {"Waiting for Input","Analyzing Object","Found Object","Needs Help","Confused","None"}, 0) - 1</f>
        <v/>
      </c>
      <c r="F440" s="31" t="inlineStr">
        <is>
          <t>Found Object</t>
        </is>
      </c>
      <c r="G440" s="29">
        <f>MATCH(F440, {"Waiting for Input","Analyzing Object","Found Object","Needs Help","Confused","None"}, 0) - 1</f>
        <v/>
      </c>
      <c r="H440" s="29" t="n">
        <v>5</v>
      </c>
      <c r="I440" s="29">
        <f>IF(E440=G440, 1, 0)</f>
        <v/>
      </c>
    </row>
    <row r="441" ht="22" customHeight="1" s="270">
      <c r="A441" s="29" t="n">
        <v>439</v>
      </c>
      <c r="B441" s="29" t="inlineStr">
        <is>
          <t>1</t>
        </is>
      </c>
      <c r="C441" s="30" t="inlineStr">
        <is>
          <t>Human</t>
        </is>
      </c>
      <c r="D441" s="29" t="inlineStr">
        <is>
          <t>Found Object</t>
        </is>
      </c>
      <c r="E441" s="29">
        <f>MATCH(D441, {"Waiting for Input","Analyzing Object","Found Object","Needs Help","Confused","None"}, 0) - 1</f>
        <v/>
      </c>
      <c r="F441" s="31" t="inlineStr">
        <is>
          <t>Analyzing Object</t>
        </is>
      </c>
      <c r="G441" s="29">
        <f>MATCH(F441, {"Waiting for Input","Analyzing Object","Found Object","Needs Help","Confused","None"}, 0) - 1</f>
        <v/>
      </c>
      <c r="H441" s="29" t="n">
        <v>4</v>
      </c>
      <c r="I441" s="29">
        <f>IF(E441=G441, 1, 0)</f>
        <v/>
      </c>
    </row>
    <row r="442" ht="22" customHeight="1" s="270">
      <c r="A442" s="29" t="n">
        <v>440</v>
      </c>
      <c r="B442" s="29" t="inlineStr">
        <is>
          <t>1</t>
        </is>
      </c>
      <c r="C442" s="30" t="inlineStr">
        <is>
          <t>Human</t>
        </is>
      </c>
      <c r="D442" s="29" t="inlineStr">
        <is>
          <t>Found Object</t>
        </is>
      </c>
      <c r="E442" s="29">
        <f>MATCH(D442, {"Waiting for Input","Analyzing Object","Found Object","Needs Help","Confused","None"}, 0) - 1</f>
        <v/>
      </c>
      <c r="F442" s="31" t="inlineStr">
        <is>
          <t>Analyzing Object</t>
        </is>
      </c>
      <c r="G442" s="29">
        <f>MATCH(F442, {"Waiting for Input","Analyzing Object","Found Object","Needs Help","Confused","None"}, 0) - 1</f>
        <v/>
      </c>
      <c r="H442" s="29" t="n">
        <v>2</v>
      </c>
      <c r="I442" s="29">
        <f>IF(E442=G442, 1, 0)</f>
        <v/>
      </c>
    </row>
    <row r="443" ht="22" customHeight="1" s="270">
      <c r="A443" s="29" t="n">
        <v>441</v>
      </c>
      <c r="B443" s="29" t="inlineStr">
        <is>
          <t>2</t>
        </is>
      </c>
      <c r="C443" s="30" t="inlineStr">
        <is>
          <t>Human</t>
        </is>
      </c>
      <c r="D443" s="29" t="inlineStr">
        <is>
          <t>Found Object</t>
        </is>
      </c>
      <c r="E443" s="29">
        <f>MATCH(D443, {"Waiting for Input","Analyzing Object","Found Object","Needs Help","Confused","None"}, 0) - 1</f>
        <v/>
      </c>
      <c r="F443" s="31" t="inlineStr">
        <is>
          <t>Found Object</t>
        </is>
      </c>
      <c r="G443" s="29">
        <f>MATCH(F443, {"Waiting for Input","Analyzing Object","Found Object","Needs Help","Confused","None"}, 0) - 1</f>
        <v/>
      </c>
      <c r="H443" s="29" t="n">
        <v>4</v>
      </c>
      <c r="I443" s="29">
        <f>IF(E443=G443, 1, 0)</f>
        <v/>
      </c>
    </row>
    <row r="444" ht="22" customHeight="1" s="270">
      <c r="A444" s="29" t="n">
        <v>442</v>
      </c>
      <c r="B444" s="29" t="inlineStr">
        <is>
          <t>2</t>
        </is>
      </c>
      <c r="C444" s="30" t="inlineStr">
        <is>
          <t>Human</t>
        </is>
      </c>
      <c r="D444" s="29" t="inlineStr">
        <is>
          <t>Found Object</t>
        </is>
      </c>
      <c r="E444" s="29">
        <f>MATCH(D444, {"Waiting for Input","Analyzing Object","Found Object","Needs Help","Confused","None"}, 0) - 1</f>
        <v/>
      </c>
      <c r="F444" s="31" t="inlineStr">
        <is>
          <t>Found Object</t>
        </is>
      </c>
      <c r="G444" s="29">
        <f>MATCH(F444, {"Waiting for Input","Analyzing Object","Found Object","Needs Help","Confused","None"}, 0) - 1</f>
        <v/>
      </c>
      <c r="H444" s="29" t="n">
        <v>3</v>
      </c>
      <c r="I444" s="29">
        <f>IF(E444=G444, 1, 0)</f>
        <v/>
      </c>
    </row>
    <row r="445" ht="22" customHeight="1" s="270">
      <c r="A445" s="29" t="n">
        <v>443</v>
      </c>
      <c r="B445" s="29" t="inlineStr">
        <is>
          <t>1</t>
        </is>
      </c>
      <c r="C445" s="30" t="inlineStr">
        <is>
          <t>Human</t>
        </is>
      </c>
      <c r="D445" s="29" t="inlineStr">
        <is>
          <t>Found Object</t>
        </is>
      </c>
      <c r="E445" s="29">
        <f>MATCH(D445, {"Waiting for Input","Analyzing Object","Found Object","Needs Help","Confused","None"}, 0) - 1</f>
        <v/>
      </c>
      <c r="F445" s="31" t="inlineStr">
        <is>
          <t>Found Object</t>
        </is>
      </c>
      <c r="G445" s="29">
        <f>MATCH(F445, {"Waiting for Input","Analyzing Object","Found Object","Needs Help","Confused","None"}, 0) - 1</f>
        <v/>
      </c>
      <c r="H445" s="29" t="n">
        <v>4</v>
      </c>
      <c r="I445" s="29">
        <f>IF(E445=G445, 1, 0)</f>
        <v/>
      </c>
    </row>
    <row r="446" ht="22" customHeight="1" s="270">
      <c r="A446" s="29" t="n">
        <v>444</v>
      </c>
      <c r="B446" s="29" t="inlineStr">
        <is>
          <t>1</t>
        </is>
      </c>
      <c r="C446" s="30" t="inlineStr">
        <is>
          <t>Human</t>
        </is>
      </c>
      <c r="D446" s="29" t="inlineStr">
        <is>
          <t>Found Object</t>
        </is>
      </c>
      <c r="E446" s="29">
        <f>MATCH(D446, {"Waiting for Input","Analyzing Object","Found Object","Needs Help","Confused","None"}, 0) - 1</f>
        <v/>
      </c>
      <c r="F446" s="31" t="inlineStr">
        <is>
          <t>Analyzing Object</t>
        </is>
      </c>
      <c r="G446" s="29">
        <f>MATCH(F446, {"Waiting for Input","Analyzing Object","Found Object","Needs Help","Confused","None"}, 0) - 1</f>
        <v/>
      </c>
      <c r="H446" s="29" t="n">
        <v>3</v>
      </c>
      <c r="I446" s="29">
        <f>IF(E446=G446, 1, 0)</f>
        <v/>
      </c>
    </row>
    <row r="447" ht="22" customHeight="1" s="270">
      <c r="A447" s="29" t="n">
        <v>445</v>
      </c>
      <c r="B447" s="29" t="inlineStr">
        <is>
          <t>2</t>
        </is>
      </c>
      <c r="C447" s="30" t="inlineStr">
        <is>
          <t>Human</t>
        </is>
      </c>
      <c r="D447" s="29" t="inlineStr">
        <is>
          <t>Found Object</t>
        </is>
      </c>
      <c r="E447" s="29">
        <f>MATCH(D447, {"Waiting for Input","Analyzing Object","Found Object","Needs Help","Confused","None"}, 0) - 1</f>
        <v/>
      </c>
      <c r="F447" s="31" t="inlineStr">
        <is>
          <t>Analyzing Object</t>
        </is>
      </c>
      <c r="G447" s="29">
        <f>MATCH(F447, {"Waiting for Input","Analyzing Object","Found Object","Needs Help","Confused","None"}, 0) - 1</f>
        <v/>
      </c>
      <c r="H447" s="29" t="n">
        <v>3</v>
      </c>
      <c r="I447" s="29">
        <f>IF(E447=G447, 1, 0)</f>
        <v/>
      </c>
    </row>
    <row r="448" ht="22" customHeight="1" s="270">
      <c r="A448" s="29" t="n">
        <v>446</v>
      </c>
      <c r="B448" s="29" t="inlineStr">
        <is>
          <t>2</t>
        </is>
      </c>
      <c r="C448" s="30" t="inlineStr">
        <is>
          <t>Human</t>
        </is>
      </c>
      <c r="D448" s="29" t="inlineStr">
        <is>
          <t>Found Object</t>
        </is>
      </c>
      <c r="E448" s="29">
        <f>MATCH(D448, {"Waiting for Input","Analyzing Object","Found Object","Needs Help","Confused","None"}, 0) - 1</f>
        <v/>
      </c>
      <c r="F448" s="31" t="inlineStr">
        <is>
          <t>Analyzing Object</t>
        </is>
      </c>
      <c r="G448" s="29">
        <f>MATCH(F448, {"Waiting for Input","Analyzing Object","Found Object","Needs Help","Confused","None"}, 0) - 1</f>
        <v/>
      </c>
      <c r="H448" s="29" t="n">
        <v>4</v>
      </c>
      <c r="I448" s="29">
        <f>IF(E448=G448, 1, 0)</f>
        <v/>
      </c>
    </row>
    <row r="449" ht="22" customHeight="1" s="270">
      <c r="A449" s="29" t="n">
        <v>447</v>
      </c>
      <c r="B449" s="29" t="inlineStr">
        <is>
          <t>2</t>
        </is>
      </c>
      <c r="C449" s="30" t="inlineStr">
        <is>
          <t>Human</t>
        </is>
      </c>
      <c r="D449" s="29" t="inlineStr">
        <is>
          <t>Found Object</t>
        </is>
      </c>
      <c r="E449" s="29">
        <f>MATCH(D449, {"Waiting for Input","Analyzing Object","Found Object","Needs Help","Confused","None"}, 0) - 1</f>
        <v/>
      </c>
      <c r="F449" s="31" t="inlineStr">
        <is>
          <t>Found Object</t>
        </is>
      </c>
      <c r="G449" s="29">
        <f>MATCH(F449, {"Waiting for Input","Analyzing Object","Found Object","Needs Help","Confused","None"}, 0) - 1</f>
        <v/>
      </c>
      <c r="H449" s="29" t="n">
        <v>4</v>
      </c>
      <c r="I449" s="29">
        <f>IF(E449=G449, 1, 0)</f>
        <v/>
      </c>
    </row>
    <row r="450" ht="22" customHeight="1" s="270">
      <c r="A450" s="29" t="n">
        <v>448</v>
      </c>
      <c r="B450" s="29" t="inlineStr">
        <is>
          <t>2</t>
        </is>
      </c>
      <c r="C450" s="30" t="inlineStr">
        <is>
          <t>Human</t>
        </is>
      </c>
      <c r="D450" s="29" t="inlineStr">
        <is>
          <t>Found Object</t>
        </is>
      </c>
      <c r="E450" s="29">
        <f>MATCH(D450, {"Waiting for Input","Analyzing Object","Found Object","Needs Help","Confused","None"}, 0) - 1</f>
        <v/>
      </c>
      <c r="F450" s="31" t="inlineStr">
        <is>
          <t>Found Object</t>
        </is>
      </c>
      <c r="G450" s="29">
        <f>MATCH(F450, {"Waiting for Input","Analyzing Object","Found Object","Needs Help","Confused","None"}, 0) - 1</f>
        <v/>
      </c>
      <c r="H450" s="29" t="n">
        <v>4</v>
      </c>
      <c r="I450" s="29">
        <f>IF(E450=G450, 1, 0)</f>
        <v/>
      </c>
    </row>
    <row r="451" ht="22" customHeight="1" s="270">
      <c r="A451" s="29" t="n">
        <v>449</v>
      </c>
      <c r="B451" s="29" t="inlineStr">
        <is>
          <t>2</t>
        </is>
      </c>
      <c r="C451" s="30" t="inlineStr">
        <is>
          <t>Human</t>
        </is>
      </c>
      <c r="D451" s="29" t="inlineStr">
        <is>
          <t>Found Object</t>
        </is>
      </c>
      <c r="E451" s="29">
        <f>MATCH(D451, {"Waiting for Input","Analyzing Object","Found Object","Needs Help","Confused","None"}, 0) - 1</f>
        <v/>
      </c>
      <c r="F451" s="31" t="inlineStr">
        <is>
          <t>Analyzing Object</t>
        </is>
      </c>
      <c r="G451" s="29">
        <f>MATCH(F451, {"Waiting for Input","Analyzing Object","Found Object","Needs Help","Confused","None"}, 0) - 1</f>
        <v/>
      </c>
      <c r="H451" s="29" t="n">
        <v>2</v>
      </c>
      <c r="I451" s="29">
        <f>IF(E451=G451, 1, 0)</f>
        <v/>
      </c>
    </row>
    <row r="452" ht="22" customHeight="1" s="270">
      <c r="A452" s="29" t="n">
        <v>450</v>
      </c>
      <c r="B452" s="29" t="inlineStr">
        <is>
          <t>2</t>
        </is>
      </c>
      <c r="C452" s="30" t="inlineStr">
        <is>
          <t>Human</t>
        </is>
      </c>
      <c r="D452" s="29" t="inlineStr">
        <is>
          <t>Found Object</t>
        </is>
      </c>
      <c r="E452" s="29">
        <f>MATCH(D452, {"Waiting for Input","Analyzing Object","Found Object","Needs Help","Confused","None"}, 0) - 1</f>
        <v/>
      </c>
      <c r="F452" s="31" t="inlineStr">
        <is>
          <t>Found Object</t>
        </is>
      </c>
      <c r="G452" s="29">
        <f>MATCH(F452, {"Waiting for Input","Analyzing Object","Found Object","Needs Help","Confused","None"}, 0) - 1</f>
        <v/>
      </c>
      <c r="H452" s="29" t="n">
        <v>4</v>
      </c>
      <c r="I452" s="29">
        <f>IF(E452=G452, 1, 0)</f>
        <v/>
      </c>
    </row>
    <row r="453" ht="22" customHeight="1" s="270">
      <c r="A453" s="29" t="n">
        <v>451</v>
      </c>
      <c r="B453" s="29" t="inlineStr">
        <is>
          <t>1</t>
        </is>
      </c>
      <c r="C453" s="30" t="inlineStr">
        <is>
          <t>Human</t>
        </is>
      </c>
      <c r="D453" s="29" t="inlineStr">
        <is>
          <t>Found Object</t>
        </is>
      </c>
      <c r="E453" s="29">
        <f>MATCH(D453, {"Waiting for Input","Analyzing Object","Found Object","Needs Help","Confused","None"}, 0) - 1</f>
        <v/>
      </c>
      <c r="F453" s="31" t="inlineStr">
        <is>
          <t>Found Object</t>
        </is>
      </c>
      <c r="G453" s="29">
        <f>MATCH(F453, {"Waiting for Input","Analyzing Object","Found Object","Needs Help","Confused","None"}, 0) - 1</f>
        <v/>
      </c>
      <c r="H453" s="29" t="n">
        <v>4</v>
      </c>
      <c r="I453" s="29">
        <f>IF(E453=G453, 1, 0)</f>
        <v/>
      </c>
    </row>
    <row r="454" ht="22" customHeight="1" s="270">
      <c r="A454" s="29" t="n">
        <v>452</v>
      </c>
      <c r="B454" s="29" t="inlineStr">
        <is>
          <t>2</t>
        </is>
      </c>
      <c r="C454" s="30" t="inlineStr">
        <is>
          <t>Human</t>
        </is>
      </c>
      <c r="D454" s="29" t="inlineStr">
        <is>
          <t>Found Object</t>
        </is>
      </c>
      <c r="E454" s="29">
        <f>MATCH(D454, {"Waiting for Input","Analyzing Object","Found Object","Needs Help","Confused","None"}, 0) - 1</f>
        <v/>
      </c>
      <c r="F454" s="31" t="inlineStr">
        <is>
          <t>Analyzing Object</t>
        </is>
      </c>
      <c r="G454" s="29">
        <f>MATCH(F454, {"Waiting for Input","Analyzing Object","Found Object","Needs Help","Confused","None"}, 0) - 1</f>
        <v/>
      </c>
      <c r="H454" s="29" t="n">
        <v>5</v>
      </c>
      <c r="I454" s="29">
        <f>IF(E454=G454, 1, 0)</f>
        <v/>
      </c>
    </row>
    <row r="455" ht="22" customHeight="1" s="270">
      <c r="A455" s="29" t="n">
        <v>453</v>
      </c>
      <c r="B455" s="29" t="inlineStr">
        <is>
          <t>1</t>
        </is>
      </c>
      <c r="C455" s="30" t="inlineStr">
        <is>
          <t>Human</t>
        </is>
      </c>
      <c r="D455" s="29" t="inlineStr">
        <is>
          <t>Found Object</t>
        </is>
      </c>
      <c r="E455" s="29">
        <f>MATCH(D455, {"Waiting for Input","Analyzing Object","Found Object","Needs Help","Confused","None"}, 0) - 1</f>
        <v/>
      </c>
      <c r="F455" s="31" t="inlineStr">
        <is>
          <t>Found Object</t>
        </is>
      </c>
      <c r="G455" s="29">
        <f>MATCH(F455, {"Waiting for Input","Analyzing Object","Found Object","Needs Help","Confused","None"}, 0) - 1</f>
        <v/>
      </c>
      <c r="H455" s="29" t="n">
        <v>5</v>
      </c>
      <c r="I455" s="29">
        <f>IF(E455=G455, 1, 0)</f>
        <v/>
      </c>
    </row>
    <row r="456" ht="22" customHeight="1" s="270">
      <c r="A456" s="29" t="n">
        <v>454</v>
      </c>
      <c r="B456" s="29" t="inlineStr">
        <is>
          <t>1</t>
        </is>
      </c>
      <c r="C456" s="30" t="inlineStr">
        <is>
          <t>Human</t>
        </is>
      </c>
      <c r="D456" s="29" t="inlineStr">
        <is>
          <t>Found Object</t>
        </is>
      </c>
      <c r="E456" s="29">
        <f>MATCH(D456, {"Waiting for Input","Analyzing Object","Found Object","Needs Help","Confused","None"}, 0) - 1</f>
        <v/>
      </c>
      <c r="F456" s="31" t="inlineStr">
        <is>
          <t>Found Object</t>
        </is>
      </c>
      <c r="G456" s="29">
        <f>MATCH(F456, {"Waiting for Input","Analyzing Object","Found Object","Needs Help","Confused","None"}, 0) - 1</f>
        <v/>
      </c>
      <c r="H456" s="29" t="n">
        <v>4</v>
      </c>
      <c r="I456" s="29">
        <f>IF(E456=G456, 1, 0)</f>
        <v/>
      </c>
    </row>
    <row r="457" ht="22" customHeight="1" s="270">
      <c r="A457" s="29" t="n">
        <v>455</v>
      </c>
      <c r="B457" s="29" t="inlineStr">
        <is>
          <t>1</t>
        </is>
      </c>
      <c r="C457" s="30" t="inlineStr">
        <is>
          <t>Human</t>
        </is>
      </c>
      <c r="D457" s="29" t="inlineStr">
        <is>
          <t>Found Object</t>
        </is>
      </c>
      <c r="E457" s="29">
        <f>MATCH(D457, {"Waiting for Input","Analyzing Object","Found Object","Needs Help","Confused","None"}, 0) - 1</f>
        <v/>
      </c>
      <c r="F457" s="31" t="inlineStr">
        <is>
          <t>Analyzing Object</t>
        </is>
      </c>
      <c r="G457" s="29">
        <f>MATCH(F457, {"Waiting for Input","Analyzing Object","Found Object","Needs Help","Confused","None"}, 0) - 1</f>
        <v/>
      </c>
      <c r="H457" s="29" t="n">
        <v>5</v>
      </c>
      <c r="I457" s="29">
        <f>IF(E457=G457, 1, 0)</f>
        <v/>
      </c>
    </row>
    <row r="458" ht="22" customHeight="1" s="270">
      <c r="A458" s="29" t="n">
        <v>456</v>
      </c>
      <c r="B458" s="29" t="inlineStr">
        <is>
          <t>2</t>
        </is>
      </c>
      <c r="C458" s="30" t="inlineStr">
        <is>
          <t>Human</t>
        </is>
      </c>
      <c r="D458" s="29" t="inlineStr">
        <is>
          <t>Found Object</t>
        </is>
      </c>
      <c r="E458" s="29">
        <f>MATCH(D458, {"Waiting for Input","Analyzing Object","Found Object","Needs Help","Confused","None"}, 0) - 1</f>
        <v/>
      </c>
      <c r="F458" s="31" t="inlineStr">
        <is>
          <t>Found Object</t>
        </is>
      </c>
      <c r="G458" s="29">
        <f>MATCH(F458, {"Waiting for Input","Analyzing Object","Found Object","Needs Help","Confused","None"}, 0) - 1</f>
        <v/>
      </c>
      <c r="H458" s="29" t="n">
        <v>3</v>
      </c>
      <c r="I458" s="29">
        <f>IF(E458=G458, 1, 0)</f>
        <v/>
      </c>
    </row>
    <row r="459" ht="22" customHeight="1" s="270">
      <c r="A459" s="29" t="n">
        <v>457</v>
      </c>
      <c r="B459" s="29" t="inlineStr">
        <is>
          <t>2</t>
        </is>
      </c>
      <c r="C459" s="30" t="inlineStr">
        <is>
          <t>Human</t>
        </is>
      </c>
      <c r="D459" s="29" t="inlineStr">
        <is>
          <t>Found Object</t>
        </is>
      </c>
      <c r="E459" s="29">
        <f>MATCH(D459, {"Waiting for Input","Analyzing Object","Found Object","Needs Help","Confused","None"}, 0) - 1</f>
        <v/>
      </c>
      <c r="F459" s="31" t="inlineStr">
        <is>
          <t>Needs Help</t>
        </is>
      </c>
      <c r="G459" s="29">
        <f>MATCH(F459, {"Waiting for Input","Analyzing Object","Found Object","Needs Help","Confused","None"}, 0) - 1</f>
        <v/>
      </c>
      <c r="H459" s="29" t="n">
        <v>4</v>
      </c>
      <c r="I459" s="29">
        <f>IF(E459=G459, 1, 0)</f>
        <v/>
      </c>
    </row>
    <row r="460" ht="22" customHeight="1" s="270">
      <c r="A460" s="29" t="n">
        <v>458</v>
      </c>
      <c r="B460" s="29" t="inlineStr">
        <is>
          <t>1</t>
        </is>
      </c>
      <c r="C460" s="30" t="inlineStr">
        <is>
          <t>Human</t>
        </is>
      </c>
      <c r="D460" s="29" t="inlineStr">
        <is>
          <t>Found Object</t>
        </is>
      </c>
      <c r="E460" s="29">
        <f>MATCH(D460, {"Waiting for Input","Analyzing Object","Found Object","Needs Help","Confused","None"}, 0) - 1</f>
        <v/>
      </c>
      <c r="F460" s="31" t="inlineStr">
        <is>
          <t>Found Object</t>
        </is>
      </c>
      <c r="G460" s="29">
        <f>MATCH(F460, {"Waiting for Input","Analyzing Object","Found Object","Needs Help","Confused","None"}, 0) - 1</f>
        <v/>
      </c>
      <c r="H460" s="29" t="n">
        <v>5</v>
      </c>
      <c r="I460" s="29">
        <f>IF(E460=G460, 1, 0)</f>
        <v/>
      </c>
    </row>
    <row r="461" ht="22" customHeight="1" s="270">
      <c r="A461" s="29" t="n">
        <v>459</v>
      </c>
      <c r="B461" s="29" t="inlineStr">
        <is>
          <t>1</t>
        </is>
      </c>
      <c r="C461" s="30" t="inlineStr">
        <is>
          <t>Human</t>
        </is>
      </c>
      <c r="D461" s="29" t="inlineStr">
        <is>
          <t>Found Object</t>
        </is>
      </c>
      <c r="E461" s="29">
        <f>MATCH(D461, {"Waiting for Input","Analyzing Object","Found Object","Needs Help","Confused","None"}, 0) - 1</f>
        <v/>
      </c>
      <c r="F461" s="31" t="inlineStr">
        <is>
          <t>Found Object</t>
        </is>
      </c>
      <c r="G461" s="29">
        <f>MATCH(F461, {"Waiting for Input","Analyzing Object","Found Object","Needs Help","Confused","None"}, 0) - 1</f>
        <v/>
      </c>
      <c r="H461" s="29" t="n">
        <v>3</v>
      </c>
      <c r="I461" s="29">
        <f>IF(E461=G461, 1, 0)</f>
        <v/>
      </c>
    </row>
    <row r="462" ht="22" customHeight="1" s="270">
      <c r="A462" s="29" t="n">
        <v>460</v>
      </c>
      <c r="B462" s="29" t="inlineStr">
        <is>
          <t>1</t>
        </is>
      </c>
      <c r="C462" s="30" t="inlineStr">
        <is>
          <t>Human</t>
        </is>
      </c>
      <c r="D462" s="29" t="inlineStr">
        <is>
          <t>Found Object</t>
        </is>
      </c>
      <c r="E462" s="29">
        <f>MATCH(D462, {"Waiting for Input","Analyzing Object","Found Object","Needs Help","Confused","None"}, 0) - 1</f>
        <v/>
      </c>
      <c r="F462" s="31" t="inlineStr">
        <is>
          <t>Found Object</t>
        </is>
      </c>
      <c r="G462" s="29">
        <f>MATCH(F462, {"Waiting for Input","Analyzing Object","Found Object","Needs Help","Confused","None"}, 0) - 1</f>
        <v/>
      </c>
      <c r="H462" s="29" t="n">
        <v>5</v>
      </c>
      <c r="I462" s="29">
        <f>IF(E462=G462, 1, 0)</f>
        <v/>
      </c>
    </row>
    <row r="463" ht="22" customHeight="1" s="270">
      <c r="A463" s="29" t="n">
        <v>461</v>
      </c>
      <c r="B463" s="29" t="inlineStr">
        <is>
          <t>2</t>
        </is>
      </c>
      <c r="C463" s="30" t="inlineStr">
        <is>
          <t>Human</t>
        </is>
      </c>
      <c r="D463" s="29" t="inlineStr">
        <is>
          <t>Found Object</t>
        </is>
      </c>
      <c r="E463" s="29">
        <f>MATCH(D463, {"Waiting for Input","Analyzing Object","Found Object","Needs Help","Confused","None"}, 0) - 1</f>
        <v/>
      </c>
      <c r="F463" s="31" t="inlineStr">
        <is>
          <t>Analyzing Object</t>
        </is>
      </c>
      <c r="G463" s="29">
        <f>MATCH(F463, {"Waiting for Input","Analyzing Object","Found Object","Needs Help","Confused","None"}, 0) - 1</f>
        <v/>
      </c>
      <c r="H463" s="29" t="n">
        <v>3</v>
      </c>
      <c r="I463" s="29">
        <f>IF(E463=G463, 1, 0)</f>
        <v/>
      </c>
    </row>
    <row r="464" ht="22" customHeight="1" s="270">
      <c r="A464" s="29" t="n">
        <v>462</v>
      </c>
      <c r="B464" s="29" t="inlineStr">
        <is>
          <t>2</t>
        </is>
      </c>
      <c r="C464" s="30" t="inlineStr">
        <is>
          <t>Human</t>
        </is>
      </c>
      <c r="D464" s="29" t="inlineStr">
        <is>
          <t>Found Object</t>
        </is>
      </c>
      <c r="E464" s="29">
        <f>MATCH(D464, {"Waiting for Input","Analyzing Object","Found Object","Needs Help","Confused","None"}, 0) - 1</f>
        <v/>
      </c>
      <c r="F464" s="31" t="inlineStr">
        <is>
          <t>Analyzing Object</t>
        </is>
      </c>
      <c r="G464" s="29">
        <f>MATCH(F464, {"Waiting for Input","Analyzing Object","Found Object","Needs Help","Confused","None"}, 0) - 1</f>
        <v/>
      </c>
      <c r="H464" s="29" t="n">
        <v>2</v>
      </c>
      <c r="I464" s="29">
        <f>IF(E464=G464, 1, 0)</f>
        <v/>
      </c>
    </row>
    <row r="465" ht="22" customHeight="1" s="270">
      <c r="A465" s="29" t="n">
        <v>463</v>
      </c>
      <c r="B465" s="29" t="inlineStr">
        <is>
          <t>2</t>
        </is>
      </c>
      <c r="C465" s="30" t="inlineStr">
        <is>
          <t>Human</t>
        </is>
      </c>
      <c r="D465" s="29" t="inlineStr">
        <is>
          <t>Found Object</t>
        </is>
      </c>
      <c r="E465" s="29">
        <f>MATCH(D465, {"Waiting for Input","Analyzing Object","Found Object","Needs Help","Confused","None"}, 0) - 1</f>
        <v/>
      </c>
      <c r="F465" s="31" t="inlineStr">
        <is>
          <t>Analyzing Object</t>
        </is>
      </c>
      <c r="G465" s="29">
        <f>MATCH(F465, {"Waiting for Input","Analyzing Object","Found Object","Needs Help","Confused","None"}, 0) - 1</f>
        <v/>
      </c>
      <c r="H465" s="29" t="n">
        <v>3</v>
      </c>
      <c r="I465" s="29">
        <f>IF(E465=G465, 1, 0)</f>
        <v/>
      </c>
    </row>
    <row r="466" ht="22" customHeight="1" s="270">
      <c r="A466" s="29" t="n">
        <v>464</v>
      </c>
      <c r="B466" s="29" t="inlineStr">
        <is>
          <t>2</t>
        </is>
      </c>
      <c r="C466" s="30" t="inlineStr">
        <is>
          <t>Human</t>
        </is>
      </c>
      <c r="D466" s="29" t="inlineStr">
        <is>
          <t>Found Object</t>
        </is>
      </c>
      <c r="E466" s="29">
        <f>MATCH(D466, {"Waiting for Input","Analyzing Object","Found Object","Needs Help","Confused","None"}, 0) - 1</f>
        <v/>
      </c>
      <c r="F466" s="31" t="inlineStr">
        <is>
          <t>Analyzing Object</t>
        </is>
      </c>
      <c r="G466" s="29">
        <f>MATCH(F466, {"Waiting for Input","Analyzing Object","Found Object","Needs Help","Confused","None"}, 0) - 1</f>
        <v/>
      </c>
      <c r="H466" s="29" t="n">
        <v>4</v>
      </c>
      <c r="I466" s="29">
        <f>IF(E466=G466, 1, 0)</f>
        <v/>
      </c>
    </row>
    <row r="467" ht="22" customHeight="1" s="270">
      <c r="A467" s="29" t="n">
        <v>465</v>
      </c>
      <c r="B467" s="29" t="inlineStr">
        <is>
          <t>2</t>
        </is>
      </c>
      <c r="C467" s="30" t="inlineStr">
        <is>
          <t>Human</t>
        </is>
      </c>
      <c r="D467" s="29" t="inlineStr">
        <is>
          <t>Found Object</t>
        </is>
      </c>
      <c r="E467" s="29">
        <f>MATCH(D467, {"Waiting for Input","Analyzing Object","Found Object","Needs Help","Confused","None"}, 0) - 1</f>
        <v/>
      </c>
      <c r="F467" s="31" t="inlineStr">
        <is>
          <t>Analyzing Object</t>
        </is>
      </c>
      <c r="G467" s="29">
        <f>MATCH(F467, {"Waiting for Input","Analyzing Object","Found Object","Needs Help","Confused","None"}, 0) - 1</f>
        <v/>
      </c>
      <c r="H467" s="29" t="n">
        <v>3</v>
      </c>
      <c r="I467" s="29">
        <f>IF(E467=G467, 1, 0)</f>
        <v/>
      </c>
    </row>
    <row r="468" ht="22" customHeight="1" s="270">
      <c r="A468" s="29" t="n">
        <v>466</v>
      </c>
      <c r="B468" s="29" t="inlineStr">
        <is>
          <t>2</t>
        </is>
      </c>
      <c r="C468" s="30" t="inlineStr">
        <is>
          <t>Human</t>
        </is>
      </c>
      <c r="D468" s="29" t="inlineStr">
        <is>
          <t>Found Object</t>
        </is>
      </c>
      <c r="E468" s="29">
        <f>MATCH(D468, {"Waiting for Input","Analyzing Object","Found Object","Needs Help","Confused","None"}, 0) - 1</f>
        <v/>
      </c>
      <c r="F468" s="31" t="inlineStr">
        <is>
          <t>Analyzing Object</t>
        </is>
      </c>
      <c r="G468" s="29">
        <f>MATCH(F468, {"Waiting for Input","Analyzing Object","Found Object","Needs Help","Confused","None"}, 0) - 1</f>
        <v/>
      </c>
      <c r="H468" s="29" t="n">
        <v>3</v>
      </c>
      <c r="I468" s="29">
        <f>IF(E468=G468, 1, 0)</f>
        <v/>
      </c>
    </row>
    <row r="469" ht="22" customHeight="1" s="270">
      <c r="A469" s="29" t="n">
        <v>467</v>
      </c>
      <c r="B469" s="29" t="inlineStr">
        <is>
          <t>2</t>
        </is>
      </c>
      <c r="C469" s="30" t="inlineStr">
        <is>
          <t>Human</t>
        </is>
      </c>
      <c r="D469" s="29" t="inlineStr">
        <is>
          <t>Found Object</t>
        </is>
      </c>
      <c r="E469" s="29">
        <f>MATCH(D469, {"Waiting for Input","Analyzing Object","Found Object","Needs Help","Confused","None"}, 0) - 1</f>
        <v/>
      </c>
      <c r="F469" s="31" t="inlineStr">
        <is>
          <t>Analyzing Object</t>
        </is>
      </c>
      <c r="G469" s="29">
        <f>MATCH(F469, {"Waiting for Input","Analyzing Object","Found Object","Needs Help","Confused","None"}, 0) - 1</f>
        <v/>
      </c>
      <c r="H469" s="29" t="n">
        <v>2</v>
      </c>
      <c r="I469" s="29">
        <f>IF(E469=G469, 1, 0)</f>
        <v/>
      </c>
    </row>
    <row r="470" ht="22" customHeight="1" s="270">
      <c r="A470" s="29" t="n">
        <v>468</v>
      </c>
      <c r="B470" s="29" t="inlineStr">
        <is>
          <t>2</t>
        </is>
      </c>
      <c r="C470" s="30" t="inlineStr">
        <is>
          <t>Human</t>
        </is>
      </c>
      <c r="D470" s="29" t="inlineStr">
        <is>
          <t>Found Object</t>
        </is>
      </c>
      <c r="E470" s="29">
        <f>MATCH(D470, {"Waiting for Input","Analyzing Object","Found Object","Needs Help","Confused","None"}, 0) - 1</f>
        <v/>
      </c>
      <c r="F470" s="31" t="inlineStr">
        <is>
          <t>Analyzing Object</t>
        </is>
      </c>
      <c r="G470" s="29">
        <f>MATCH(F470, {"Waiting for Input","Analyzing Object","Found Object","Needs Help","Confused","None"}, 0) - 1</f>
        <v/>
      </c>
      <c r="H470" s="29" t="n">
        <v>3</v>
      </c>
      <c r="I470" s="29">
        <f>IF(E470=G470, 1, 0)</f>
        <v/>
      </c>
    </row>
    <row r="471" ht="22" customHeight="1" s="270">
      <c r="A471" s="29" t="n">
        <v>469</v>
      </c>
      <c r="B471" s="29" t="inlineStr">
        <is>
          <t>2</t>
        </is>
      </c>
      <c r="C471" s="30" t="inlineStr">
        <is>
          <t>Human</t>
        </is>
      </c>
      <c r="D471" s="29" t="inlineStr">
        <is>
          <t>Found Object</t>
        </is>
      </c>
      <c r="E471" s="29">
        <f>MATCH(D471, {"Waiting for Input","Analyzing Object","Found Object","Needs Help","Confused","None"}, 0) - 1</f>
        <v/>
      </c>
      <c r="F471" s="31" t="inlineStr">
        <is>
          <t>Found Object</t>
        </is>
      </c>
      <c r="G471" s="29">
        <f>MATCH(F471, {"Waiting for Input","Analyzing Object","Found Object","Needs Help","Confused","None"}, 0) - 1</f>
        <v/>
      </c>
      <c r="H471" s="29" t="n">
        <v>4</v>
      </c>
      <c r="I471" s="29">
        <f>IF(E471=G471, 1, 0)</f>
        <v/>
      </c>
    </row>
    <row r="472" ht="22" customHeight="1" s="270">
      <c r="A472" s="29" t="n">
        <v>470</v>
      </c>
      <c r="B472" s="29" t="inlineStr">
        <is>
          <t>2</t>
        </is>
      </c>
      <c r="C472" s="30" t="inlineStr">
        <is>
          <t>Human</t>
        </is>
      </c>
      <c r="D472" s="29" t="inlineStr">
        <is>
          <t>Found Object</t>
        </is>
      </c>
      <c r="E472" s="29">
        <f>MATCH(D472, {"Waiting for Input","Analyzing Object","Found Object","Needs Help","Confused","None"}, 0) - 1</f>
        <v/>
      </c>
      <c r="F472" s="31" t="inlineStr">
        <is>
          <t>Found Object</t>
        </is>
      </c>
      <c r="G472" s="29">
        <f>MATCH(F472, {"Waiting for Input","Analyzing Object","Found Object","Needs Help","Confused","None"}, 0) - 1</f>
        <v/>
      </c>
      <c r="H472" s="29" t="n">
        <v>5</v>
      </c>
      <c r="I472" s="29">
        <f>IF(E472=G472, 1, 0)</f>
        <v/>
      </c>
    </row>
    <row r="473" ht="22" customHeight="1" s="270">
      <c r="A473" s="29" t="n">
        <v>471</v>
      </c>
      <c r="B473" s="29" t="inlineStr">
        <is>
          <t>1</t>
        </is>
      </c>
      <c r="C473" s="30" t="inlineStr">
        <is>
          <t>Human</t>
        </is>
      </c>
      <c r="D473" s="29" t="inlineStr">
        <is>
          <t>Found Object</t>
        </is>
      </c>
      <c r="E473" s="29">
        <f>MATCH(D473, {"Waiting for Input","Analyzing Object","Found Object","Needs Help","Confused","None"}, 0) - 1</f>
        <v/>
      </c>
      <c r="F473" s="31" t="inlineStr">
        <is>
          <t>Analyzing Object</t>
        </is>
      </c>
      <c r="G473" s="29">
        <f>MATCH(F473, {"Waiting for Input","Analyzing Object","Found Object","Needs Help","Confused","None"}, 0) - 1</f>
        <v/>
      </c>
      <c r="H473" s="29" t="n">
        <v>4</v>
      </c>
      <c r="I473" s="29">
        <f>IF(E473=G473, 1, 0)</f>
        <v/>
      </c>
    </row>
    <row r="474" ht="22" customHeight="1" s="270">
      <c r="A474" s="29" t="n">
        <v>472</v>
      </c>
      <c r="B474" s="29" t="inlineStr">
        <is>
          <t>2</t>
        </is>
      </c>
      <c r="C474" s="30" t="inlineStr">
        <is>
          <t>Human</t>
        </is>
      </c>
      <c r="D474" s="29" t="inlineStr">
        <is>
          <t>Found Object</t>
        </is>
      </c>
      <c r="E474" s="29">
        <f>MATCH(D474, {"Waiting for Input","Analyzing Object","Found Object","Needs Help","Confused","None"}, 0) - 1</f>
        <v/>
      </c>
      <c r="F474" s="31" t="inlineStr">
        <is>
          <t>Found Object</t>
        </is>
      </c>
      <c r="G474" s="29">
        <f>MATCH(F474, {"Waiting for Input","Analyzing Object","Found Object","Needs Help","Confused","None"}, 0) - 1</f>
        <v/>
      </c>
      <c r="H474" s="29" t="n">
        <v>5</v>
      </c>
      <c r="I474" s="29">
        <f>IF(E474=G474, 1, 0)</f>
        <v/>
      </c>
    </row>
    <row r="475" ht="22" customHeight="1" s="270">
      <c r="A475" s="29" t="n">
        <v>473</v>
      </c>
      <c r="B475" s="29" t="inlineStr">
        <is>
          <t>2</t>
        </is>
      </c>
      <c r="C475" s="30" t="inlineStr">
        <is>
          <t>Human</t>
        </is>
      </c>
      <c r="D475" s="29" t="inlineStr">
        <is>
          <t>Found Object</t>
        </is>
      </c>
      <c r="E475" s="29">
        <f>MATCH(D475, {"Waiting for Input","Analyzing Object","Found Object","Needs Help","Confused","None"}, 0) - 1</f>
        <v/>
      </c>
      <c r="F475" s="31" t="inlineStr">
        <is>
          <t>Analyzing Object</t>
        </is>
      </c>
      <c r="G475" s="29">
        <f>MATCH(F475, {"Waiting for Input","Analyzing Object","Found Object","Needs Help","Confused","None"}, 0) - 1</f>
        <v/>
      </c>
      <c r="H475" s="29" t="n">
        <v>3</v>
      </c>
      <c r="I475" s="29">
        <f>IF(E475=G475, 1, 0)</f>
        <v/>
      </c>
    </row>
    <row r="476" ht="22" customHeight="1" s="270">
      <c r="A476" s="29" t="n">
        <v>474</v>
      </c>
      <c r="B476" s="29" t="inlineStr">
        <is>
          <t>1</t>
        </is>
      </c>
      <c r="C476" s="30" t="inlineStr">
        <is>
          <t>Human</t>
        </is>
      </c>
      <c r="D476" s="29" t="inlineStr">
        <is>
          <t>Found Object</t>
        </is>
      </c>
      <c r="E476" s="29">
        <f>MATCH(D476, {"Waiting for Input","Analyzing Object","Found Object","Needs Help","Confused","None"}, 0) - 1</f>
        <v/>
      </c>
      <c r="F476" s="31" t="inlineStr">
        <is>
          <t>Found Object</t>
        </is>
      </c>
      <c r="G476" s="29">
        <f>MATCH(F476, {"Waiting for Input","Analyzing Object","Found Object","Needs Help","Confused","None"}, 0) - 1</f>
        <v/>
      </c>
      <c r="H476" s="29" t="n">
        <v>4</v>
      </c>
      <c r="I476" s="29">
        <f>IF(E476=G476, 1, 0)</f>
        <v/>
      </c>
    </row>
    <row r="477" ht="22" customHeight="1" s="270">
      <c r="A477" s="29" t="n">
        <v>475</v>
      </c>
      <c r="B477" s="29" t="inlineStr">
        <is>
          <t>2</t>
        </is>
      </c>
      <c r="C477" s="30" t="inlineStr">
        <is>
          <t>Human</t>
        </is>
      </c>
      <c r="D477" s="29" t="inlineStr">
        <is>
          <t>Found Object</t>
        </is>
      </c>
      <c r="E477" s="29">
        <f>MATCH(D477, {"Waiting for Input","Analyzing Object","Found Object","Needs Help","Confused","None"}, 0) - 1</f>
        <v/>
      </c>
      <c r="F477" s="31" t="inlineStr">
        <is>
          <t>Found Object</t>
        </is>
      </c>
      <c r="G477" s="29">
        <f>MATCH(F477, {"Waiting for Input","Analyzing Object","Found Object","Needs Help","Confused","None"}, 0) - 1</f>
        <v/>
      </c>
      <c r="H477" s="29" t="n">
        <v>5</v>
      </c>
      <c r="I477" s="29">
        <f>IF(E477=G477, 1, 0)</f>
        <v/>
      </c>
    </row>
    <row r="478" ht="22" customHeight="1" s="270">
      <c r="A478" s="29" t="n">
        <v>476</v>
      </c>
      <c r="B478" s="29" t="inlineStr">
        <is>
          <t>2</t>
        </is>
      </c>
      <c r="C478" s="30" t="inlineStr">
        <is>
          <t>Human</t>
        </is>
      </c>
      <c r="D478" s="29" t="inlineStr">
        <is>
          <t>Found Object</t>
        </is>
      </c>
      <c r="E478" s="29">
        <f>MATCH(D478, {"Waiting for Input","Analyzing Object","Found Object","Needs Help","Confused","None"}, 0) - 1</f>
        <v/>
      </c>
      <c r="F478" s="31" t="inlineStr">
        <is>
          <t>Found Object</t>
        </is>
      </c>
      <c r="G478" s="29">
        <f>MATCH(F478, {"Waiting for Input","Analyzing Object","Found Object","Needs Help","Confused","None"}, 0) - 1</f>
        <v/>
      </c>
      <c r="H478" s="29" t="n">
        <v>4</v>
      </c>
      <c r="I478" s="29">
        <f>IF(E478=G478, 1, 0)</f>
        <v/>
      </c>
    </row>
    <row r="479" ht="22" customHeight="1" s="270">
      <c r="A479" s="29" t="n">
        <v>477</v>
      </c>
      <c r="B479" s="29" t="inlineStr">
        <is>
          <t>2</t>
        </is>
      </c>
      <c r="C479" s="30" t="inlineStr">
        <is>
          <t>Human</t>
        </is>
      </c>
      <c r="D479" s="29" t="inlineStr">
        <is>
          <t>Found Object</t>
        </is>
      </c>
      <c r="E479" s="29">
        <f>MATCH(D479, {"Waiting for Input","Analyzing Object","Found Object","Needs Help","Confused","None"}, 0) - 1</f>
        <v/>
      </c>
      <c r="F479" s="31" t="inlineStr">
        <is>
          <t>Analyzing Object</t>
        </is>
      </c>
      <c r="G479" s="29">
        <f>MATCH(F479, {"Waiting for Input","Analyzing Object","Found Object","Needs Help","Confused","None"}, 0) - 1</f>
        <v/>
      </c>
      <c r="H479" s="29" t="n">
        <v>2</v>
      </c>
      <c r="I479" s="29">
        <f>IF(E479=G479, 1, 0)</f>
        <v/>
      </c>
    </row>
    <row r="480" ht="22" customHeight="1" s="270">
      <c r="A480" s="29" t="n">
        <v>478</v>
      </c>
      <c r="B480" s="29" t="inlineStr">
        <is>
          <t>1</t>
        </is>
      </c>
      <c r="C480" s="30" t="inlineStr">
        <is>
          <t>Human</t>
        </is>
      </c>
      <c r="D480" s="29" t="inlineStr">
        <is>
          <t>Found Object</t>
        </is>
      </c>
      <c r="E480" s="29">
        <f>MATCH(D480, {"Waiting for Input","Analyzing Object","Found Object","Needs Help","Confused","None"}, 0) - 1</f>
        <v/>
      </c>
      <c r="F480" s="31" t="inlineStr">
        <is>
          <t>Analyzing Object</t>
        </is>
      </c>
      <c r="G480" s="29">
        <f>MATCH(F480, {"Waiting for Input","Analyzing Object","Found Object","Needs Help","Confused","None"}, 0) - 1</f>
        <v/>
      </c>
      <c r="H480" s="29" t="n">
        <v>5</v>
      </c>
      <c r="I480" s="29">
        <f>IF(E480=G480, 1, 0)</f>
        <v/>
      </c>
    </row>
    <row r="481" ht="22" customHeight="1" s="270">
      <c r="A481" s="29" t="n">
        <v>479</v>
      </c>
      <c r="B481" s="29" t="inlineStr">
        <is>
          <t>2</t>
        </is>
      </c>
      <c r="C481" s="30" t="inlineStr">
        <is>
          <t>Human</t>
        </is>
      </c>
      <c r="D481" s="29" t="inlineStr">
        <is>
          <t>Found Object</t>
        </is>
      </c>
      <c r="E481" s="29">
        <f>MATCH(D481, {"Waiting for Input","Analyzing Object","Found Object","Needs Help","Confused","None"}, 0) - 1</f>
        <v/>
      </c>
      <c r="F481" s="31" t="inlineStr">
        <is>
          <t>Analyzing Object</t>
        </is>
      </c>
      <c r="G481" s="29">
        <f>MATCH(F481, {"Waiting for Input","Analyzing Object","Found Object","Needs Help","Confused","None"}, 0) - 1</f>
        <v/>
      </c>
      <c r="H481" s="29" t="n">
        <v>3</v>
      </c>
      <c r="I481" s="29">
        <f>IF(E481=G481, 1, 0)</f>
        <v/>
      </c>
    </row>
    <row r="482" ht="22" customHeight="1" s="270">
      <c r="A482" s="29" t="n">
        <v>480</v>
      </c>
      <c r="B482" s="29" t="inlineStr">
        <is>
          <t>1</t>
        </is>
      </c>
      <c r="C482" s="30" t="inlineStr">
        <is>
          <t>Random</t>
        </is>
      </c>
      <c r="D482" s="29" t="inlineStr">
        <is>
          <t>Found Object</t>
        </is>
      </c>
      <c r="E482" s="29">
        <f>MATCH(D482, {"Waiting for Input","Analyzing Object","Found Object","Needs Help","Confused","None"}, 0) - 1</f>
        <v/>
      </c>
      <c r="F482" s="31" t="inlineStr">
        <is>
          <t>Confused</t>
        </is>
      </c>
      <c r="G482" s="29">
        <f>MATCH(F482, {"Waiting for Input","Analyzing Object","Found Object","Needs Help","Confused","None"}, 0) - 1</f>
        <v/>
      </c>
      <c r="H482" s="29" t="n">
        <v>2</v>
      </c>
      <c r="I482" s="29">
        <f>IF(E482=G482, 1, 0)</f>
        <v/>
      </c>
    </row>
    <row r="483" ht="22" customHeight="1" s="270">
      <c r="A483" s="29" t="n">
        <v>481</v>
      </c>
      <c r="B483" s="29" t="inlineStr">
        <is>
          <t>1</t>
        </is>
      </c>
      <c r="C483" s="30" t="inlineStr">
        <is>
          <t>Random</t>
        </is>
      </c>
      <c r="D483" s="29" t="inlineStr">
        <is>
          <t>Found Object</t>
        </is>
      </c>
      <c r="E483" s="29">
        <f>MATCH(D483, {"Waiting for Input","Analyzing Object","Found Object","Needs Help","Confused","None"}, 0) - 1</f>
        <v/>
      </c>
      <c r="F483" s="31" t="inlineStr">
        <is>
          <t>Confused</t>
        </is>
      </c>
      <c r="G483" s="29">
        <f>MATCH(F483, {"Waiting for Input","Analyzing Object","Found Object","Needs Help","Confused","None"}, 0) - 1</f>
        <v/>
      </c>
      <c r="H483" s="29" t="n">
        <v>3</v>
      </c>
      <c r="I483" s="29">
        <f>IF(E483=G483, 1, 0)</f>
        <v/>
      </c>
    </row>
    <row r="484" ht="22" customHeight="1" s="270">
      <c r="A484" s="29" t="n">
        <v>482</v>
      </c>
      <c r="B484" s="29" t="inlineStr">
        <is>
          <t>1</t>
        </is>
      </c>
      <c r="C484" s="30" t="inlineStr">
        <is>
          <t>Random</t>
        </is>
      </c>
      <c r="D484" s="29" t="inlineStr">
        <is>
          <t>Found Object</t>
        </is>
      </c>
      <c r="E484" s="29">
        <f>MATCH(D484, {"Waiting for Input","Analyzing Object","Found Object","Needs Help","Confused","None"}, 0) - 1</f>
        <v/>
      </c>
      <c r="F484" s="31" t="inlineStr">
        <is>
          <t>Analyzing Object</t>
        </is>
      </c>
      <c r="G484" s="29">
        <f>MATCH(F484, {"Waiting for Input","Analyzing Object","Found Object","Needs Help","Confused","None"}, 0) - 1</f>
        <v/>
      </c>
      <c r="H484" s="29" t="n">
        <v>3</v>
      </c>
      <c r="I484" s="29">
        <f>IF(E484=G484, 1, 0)</f>
        <v/>
      </c>
    </row>
    <row r="485" ht="22" customHeight="1" s="270">
      <c r="A485" s="29" t="n">
        <v>483</v>
      </c>
      <c r="B485" s="29" t="inlineStr">
        <is>
          <t>2</t>
        </is>
      </c>
      <c r="C485" s="30" t="inlineStr">
        <is>
          <t>Random</t>
        </is>
      </c>
      <c r="D485" s="29" t="inlineStr">
        <is>
          <t>Found Object</t>
        </is>
      </c>
      <c r="E485" s="29">
        <f>MATCH(D485, {"Waiting for Input","Analyzing Object","Found Object","Needs Help","Confused","None"}, 0) - 1</f>
        <v/>
      </c>
      <c r="F485" s="31" t="inlineStr">
        <is>
          <t>Confused</t>
        </is>
      </c>
      <c r="G485" s="29">
        <f>MATCH(F485, {"Waiting for Input","Analyzing Object","Found Object","Needs Help","Confused","None"}, 0) - 1</f>
        <v/>
      </c>
      <c r="H485" s="29" t="n">
        <v>3</v>
      </c>
      <c r="I485" s="29">
        <f>IF(E485=G485, 1, 0)</f>
        <v/>
      </c>
    </row>
    <row r="486" ht="22" customHeight="1" s="270">
      <c r="A486" s="29" t="n">
        <v>484</v>
      </c>
      <c r="B486" s="29" t="inlineStr">
        <is>
          <t>2</t>
        </is>
      </c>
      <c r="C486" s="30" t="inlineStr">
        <is>
          <t>Random</t>
        </is>
      </c>
      <c r="D486" s="29" t="inlineStr">
        <is>
          <t>Found Object</t>
        </is>
      </c>
      <c r="E486" s="29">
        <f>MATCH(D486, {"Waiting for Input","Analyzing Object","Found Object","Needs Help","Confused","None"}, 0) - 1</f>
        <v/>
      </c>
      <c r="F486" s="31" t="inlineStr">
        <is>
          <t>Analyzing Object</t>
        </is>
      </c>
      <c r="G486" s="29">
        <f>MATCH(F486, {"Waiting for Input","Analyzing Object","Found Object","Needs Help","Confused","None"}, 0) - 1</f>
        <v/>
      </c>
      <c r="H486" s="29" t="n">
        <v>4</v>
      </c>
      <c r="I486" s="29">
        <f>IF(E486=G486, 1, 0)</f>
        <v/>
      </c>
    </row>
    <row r="487" ht="22" customHeight="1" s="270">
      <c r="A487" s="29" t="n">
        <v>485</v>
      </c>
      <c r="B487" s="29" t="inlineStr">
        <is>
          <t>1</t>
        </is>
      </c>
      <c r="C487" s="30" t="inlineStr">
        <is>
          <t>Random</t>
        </is>
      </c>
      <c r="D487" s="29" t="inlineStr">
        <is>
          <t>Found Object</t>
        </is>
      </c>
      <c r="E487" s="29">
        <f>MATCH(D487, {"Waiting for Input","Analyzing Object","Found Object","Needs Help","Confused","None"}, 0) - 1</f>
        <v/>
      </c>
      <c r="F487" s="31" t="inlineStr">
        <is>
          <t>Needs Help</t>
        </is>
      </c>
      <c r="G487" s="29">
        <f>MATCH(F487, {"Waiting for Input","Analyzing Object","Found Object","Needs Help","Confused","None"}, 0) - 1</f>
        <v/>
      </c>
      <c r="H487" s="29" t="n">
        <v>5</v>
      </c>
      <c r="I487" s="29">
        <f>IF(E487=G487, 1, 0)</f>
        <v/>
      </c>
    </row>
    <row r="488" ht="22" customHeight="1" s="270">
      <c r="A488" s="29" t="n">
        <v>486</v>
      </c>
      <c r="B488" s="29" t="inlineStr">
        <is>
          <t>2</t>
        </is>
      </c>
      <c r="C488" s="30" t="inlineStr">
        <is>
          <t>Random</t>
        </is>
      </c>
      <c r="D488" s="29" t="inlineStr">
        <is>
          <t>Found Object</t>
        </is>
      </c>
      <c r="E488" s="29">
        <f>MATCH(D488, {"Waiting for Input","Analyzing Object","Found Object","Needs Help","Confused","None"}, 0) - 1</f>
        <v/>
      </c>
      <c r="F488" s="31" t="inlineStr">
        <is>
          <t>Analyzing Object</t>
        </is>
      </c>
      <c r="G488" s="29">
        <f>MATCH(F488, {"Waiting for Input","Analyzing Object","Found Object","Needs Help","Confused","None"}, 0) - 1</f>
        <v/>
      </c>
      <c r="H488" s="29" t="n">
        <v>3</v>
      </c>
      <c r="I488" s="29">
        <f>IF(E488=G488, 1, 0)</f>
        <v/>
      </c>
    </row>
    <row r="489" ht="22" customHeight="1" s="270">
      <c r="A489" s="29" t="n">
        <v>487</v>
      </c>
      <c r="B489" s="29" t="inlineStr">
        <is>
          <t>1</t>
        </is>
      </c>
      <c r="C489" s="30" t="inlineStr">
        <is>
          <t>Random</t>
        </is>
      </c>
      <c r="D489" s="29" t="inlineStr">
        <is>
          <t>Found Object</t>
        </is>
      </c>
      <c r="E489" s="29">
        <f>MATCH(D489, {"Waiting for Input","Analyzing Object","Found Object","Needs Help","Confused","None"}, 0) - 1</f>
        <v/>
      </c>
      <c r="F489" s="31" t="inlineStr">
        <is>
          <t>None</t>
        </is>
      </c>
      <c r="G489" s="29">
        <f>MATCH(F489, {"Waiting for Input","Analyzing Object","Found Object","Needs Help","Confused","None"}, 0) - 1</f>
        <v/>
      </c>
      <c r="H489" s="29" t="n">
        <v>3</v>
      </c>
      <c r="I489" s="29">
        <f>IF(E489=G489, 1, 0)</f>
        <v/>
      </c>
    </row>
    <row r="490" ht="22" customHeight="1" s="270">
      <c r="A490" s="29" t="n">
        <v>488</v>
      </c>
      <c r="B490" s="29" t="inlineStr">
        <is>
          <t>1</t>
        </is>
      </c>
      <c r="C490" s="30" t="inlineStr">
        <is>
          <t>Random</t>
        </is>
      </c>
      <c r="D490" s="29" t="inlineStr">
        <is>
          <t>Found Object</t>
        </is>
      </c>
      <c r="E490" s="29">
        <f>MATCH(D490, {"Waiting for Input","Analyzing Object","Found Object","Needs Help","Confused","None"}, 0) - 1</f>
        <v/>
      </c>
      <c r="F490" s="31" t="inlineStr">
        <is>
          <t>Found Object</t>
        </is>
      </c>
      <c r="G490" s="29">
        <f>MATCH(F490, {"Waiting for Input","Analyzing Object","Found Object","Needs Help","Confused","None"}, 0) - 1</f>
        <v/>
      </c>
      <c r="H490" s="29" t="n">
        <v>2</v>
      </c>
      <c r="I490" s="29">
        <f>IF(E490=G490, 1, 0)</f>
        <v/>
      </c>
    </row>
    <row r="491" ht="22" customHeight="1" s="270">
      <c r="A491" s="29" t="n">
        <v>489</v>
      </c>
      <c r="B491" s="29" t="inlineStr">
        <is>
          <t>1</t>
        </is>
      </c>
      <c r="C491" s="30" t="inlineStr">
        <is>
          <t>Random</t>
        </is>
      </c>
      <c r="D491" s="29" t="inlineStr">
        <is>
          <t>Found Object</t>
        </is>
      </c>
      <c r="E491" s="29">
        <f>MATCH(D491, {"Waiting for Input","Analyzing Object","Found Object","Needs Help","Confused","None"}, 0) - 1</f>
        <v/>
      </c>
      <c r="F491" s="31" t="inlineStr">
        <is>
          <t>Needs Help</t>
        </is>
      </c>
      <c r="G491" s="29">
        <f>MATCH(F491, {"Waiting for Input","Analyzing Object","Found Object","Needs Help","Confused","None"}, 0) - 1</f>
        <v/>
      </c>
      <c r="H491" s="29" t="n">
        <v>5</v>
      </c>
      <c r="I491" s="29">
        <f>IF(E491=G491, 1, 0)</f>
        <v/>
      </c>
    </row>
    <row r="492" ht="22" customHeight="1" s="270">
      <c r="A492" s="29" t="n">
        <v>490</v>
      </c>
      <c r="B492" s="29" t="inlineStr">
        <is>
          <t>2</t>
        </is>
      </c>
      <c r="C492" s="30" t="inlineStr">
        <is>
          <t>Random</t>
        </is>
      </c>
      <c r="D492" s="29" t="inlineStr">
        <is>
          <t>Found Object</t>
        </is>
      </c>
      <c r="E492" s="29">
        <f>MATCH(D492, {"Waiting for Input","Analyzing Object","Found Object","Needs Help","Confused","None"}, 0) - 1</f>
        <v/>
      </c>
      <c r="F492" s="31" t="inlineStr">
        <is>
          <t>Found Object</t>
        </is>
      </c>
      <c r="G492" s="29">
        <f>MATCH(F492, {"Waiting for Input","Analyzing Object","Found Object","Needs Help","Confused","None"}, 0) - 1</f>
        <v/>
      </c>
      <c r="H492" s="29" t="n">
        <v>4</v>
      </c>
      <c r="I492" s="29">
        <f>IF(E492=G492, 1, 0)</f>
        <v/>
      </c>
    </row>
    <row r="493" ht="22" customHeight="1" s="270">
      <c r="A493" s="29" t="n">
        <v>491</v>
      </c>
      <c r="B493" s="29" t="inlineStr">
        <is>
          <t>2</t>
        </is>
      </c>
      <c r="C493" s="30" t="inlineStr">
        <is>
          <t>Random</t>
        </is>
      </c>
      <c r="D493" s="29" t="inlineStr">
        <is>
          <t>Found Object</t>
        </is>
      </c>
      <c r="E493" s="29">
        <f>MATCH(D493, {"Waiting for Input","Analyzing Object","Found Object","Needs Help","Confused","None"}, 0) - 1</f>
        <v/>
      </c>
      <c r="F493" s="31" t="inlineStr">
        <is>
          <t>Analyzing Object</t>
        </is>
      </c>
      <c r="G493" s="29">
        <f>MATCH(F493, {"Waiting for Input","Analyzing Object","Found Object","Needs Help","Confused","None"}, 0) - 1</f>
        <v/>
      </c>
      <c r="H493" s="29" t="n">
        <v>5</v>
      </c>
      <c r="I493" s="29">
        <f>IF(E493=G493, 1, 0)</f>
        <v/>
      </c>
    </row>
    <row r="494" ht="22" customHeight="1" s="270">
      <c r="A494" s="29" t="n">
        <v>492</v>
      </c>
      <c r="B494" s="29" t="inlineStr">
        <is>
          <t>2</t>
        </is>
      </c>
      <c r="C494" s="30" t="inlineStr">
        <is>
          <t>Random</t>
        </is>
      </c>
      <c r="D494" s="29" t="inlineStr">
        <is>
          <t>Found Object</t>
        </is>
      </c>
      <c r="E494" s="29">
        <f>MATCH(D494, {"Waiting for Input","Analyzing Object","Found Object","Needs Help","Confused","None"}, 0) - 1</f>
        <v/>
      </c>
      <c r="F494" s="31" t="inlineStr">
        <is>
          <t>Analyzing Object</t>
        </is>
      </c>
      <c r="G494" s="29">
        <f>MATCH(F494, {"Waiting for Input","Analyzing Object","Found Object","Needs Help","Confused","None"}, 0) - 1</f>
        <v/>
      </c>
      <c r="H494" s="29" t="n">
        <v>3</v>
      </c>
      <c r="I494" s="29">
        <f>IF(E494=G494, 1, 0)</f>
        <v/>
      </c>
    </row>
    <row r="495" ht="22" customHeight="1" s="270">
      <c r="A495" s="29" t="n">
        <v>493</v>
      </c>
      <c r="B495" s="29" t="inlineStr">
        <is>
          <t>2</t>
        </is>
      </c>
      <c r="C495" s="30" t="inlineStr">
        <is>
          <t>Random</t>
        </is>
      </c>
      <c r="D495" s="29" t="inlineStr">
        <is>
          <t>Found Object</t>
        </is>
      </c>
      <c r="E495" s="29">
        <f>MATCH(D495, {"Waiting for Input","Analyzing Object","Found Object","Needs Help","Confused","None"}, 0) - 1</f>
        <v/>
      </c>
      <c r="F495" s="31" t="inlineStr">
        <is>
          <t>Found Object</t>
        </is>
      </c>
      <c r="G495" s="29">
        <f>MATCH(F495, {"Waiting for Input","Analyzing Object","Found Object","Needs Help","Confused","None"}, 0) - 1</f>
        <v/>
      </c>
      <c r="H495" s="29" t="n">
        <v>4</v>
      </c>
      <c r="I495" s="29">
        <f>IF(E495=G495, 1, 0)</f>
        <v/>
      </c>
    </row>
    <row r="496" ht="22" customHeight="1" s="270">
      <c r="A496" s="29" t="n">
        <v>494</v>
      </c>
      <c r="B496" s="29" t="inlineStr">
        <is>
          <t>1</t>
        </is>
      </c>
      <c r="C496" s="30" t="inlineStr">
        <is>
          <t>Random</t>
        </is>
      </c>
      <c r="D496" s="29" t="inlineStr">
        <is>
          <t>Found Object</t>
        </is>
      </c>
      <c r="E496" s="29">
        <f>MATCH(D496, {"Waiting for Input","Analyzing Object","Found Object","Needs Help","Confused","None"}, 0) - 1</f>
        <v/>
      </c>
      <c r="F496" s="31" t="inlineStr">
        <is>
          <t>Needs Help</t>
        </is>
      </c>
      <c r="G496" s="29">
        <f>MATCH(F496, {"Waiting for Input","Analyzing Object","Found Object","Needs Help","Confused","None"}, 0) - 1</f>
        <v/>
      </c>
      <c r="H496" s="29" t="n">
        <v>3</v>
      </c>
      <c r="I496" s="29">
        <f>IF(E496=G496, 1, 0)</f>
        <v/>
      </c>
    </row>
    <row r="497" ht="22" customHeight="1" s="270">
      <c r="A497" s="29" t="n">
        <v>495</v>
      </c>
      <c r="B497" s="29" t="inlineStr">
        <is>
          <t>1</t>
        </is>
      </c>
      <c r="C497" s="30" t="inlineStr">
        <is>
          <t>Random</t>
        </is>
      </c>
      <c r="D497" s="29" t="inlineStr">
        <is>
          <t>Found Object</t>
        </is>
      </c>
      <c r="E497" s="29">
        <f>MATCH(D497, {"Waiting for Input","Analyzing Object","Found Object","Needs Help","Confused","None"}, 0) - 1</f>
        <v/>
      </c>
      <c r="F497" s="31" t="inlineStr">
        <is>
          <t>Confused</t>
        </is>
      </c>
      <c r="G497" s="29">
        <f>MATCH(F497, {"Waiting for Input","Analyzing Object","Found Object","Needs Help","Confused","None"}, 0) - 1</f>
        <v/>
      </c>
      <c r="H497" s="29" t="n">
        <v>4</v>
      </c>
      <c r="I497" s="29">
        <f>IF(E497=G497, 1, 0)</f>
        <v/>
      </c>
    </row>
    <row r="498" ht="22" customHeight="1" s="270">
      <c r="A498" s="29" t="n">
        <v>496</v>
      </c>
      <c r="B498" s="29" t="inlineStr">
        <is>
          <t>1</t>
        </is>
      </c>
      <c r="C498" s="30" t="inlineStr">
        <is>
          <t>Random</t>
        </is>
      </c>
      <c r="D498" s="29" t="inlineStr">
        <is>
          <t>Found Object</t>
        </is>
      </c>
      <c r="E498" s="29">
        <f>MATCH(D498, {"Waiting for Input","Analyzing Object","Found Object","Needs Help","Confused","None"}, 0) - 1</f>
        <v/>
      </c>
      <c r="F498" s="31" t="inlineStr">
        <is>
          <t>Analyzing Object</t>
        </is>
      </c>
      <c r="G498" s="29">
        <f>MATCH(F498, {"Waiting for Input","Analyzing Object","Found Object","Needs Help","Confused","None"}, 0) - 1</f>
        <v/>
      </c>
      <c r="H498" s="29" t="n">
        <v>2</v>
      </c>
      <c r="I498" s="29">
        <f>IF(E498=G498, 1, 0)</f>
        <v/>
      </c>
    </row>
    <row r="499" ht="22" customHeight="1" s="270">
      <c r="A499" s="29" t="n">
        <v>497</v>
      </c>
      <c r="B499" s="29" t="inlineStr">
        <is>
          <t>2</t>
        </is>
      </c>
      <c r="C499" s="30" t="inlineStr">
        <is>
          <t>Random</t>
        </is>
      </c>
      <c r="D499" s="29" t="inlineStr">
        <is>
          <t>Found Object</t>
        </is>
      </c>
      <c r="E499" s="29">
        <f>MATCH(D499, {"Waiting for Input","Analyzing Object","Found Object","Needs Help","Confused","None"}, 0) - 1</f>
        <v/>
      </c>
      <c r="F499" s="31" t="inlineStr">
        <is>
          <t>Confused</t>
        </is>
      </c>
      <c r="G499" s="29">
        <f>MATCH(F499, {"Waiting for Input","Analyzing Object","Found Object","Needs Help","Confused","None"}, 0) - 1</f>
        <v/>
      </c>
      <c r="H499" s="29" t="n">
        <v>2</v>
      </c>
      <c r="I499" s="29">
        <f>IF(E499=G499, 1, 0)</f>
        <v/>
      </c>
    </row>
    <row r="500" ht="22" customHeight="1" s="270">
      <c r="A500" s="29" t="n">
        <v>498</v>
      </c>
      <c r="B500" s="29" t="inlineStr">
        <is>
          <t>2</t>
        </is>
      </c>
      <c r="C500" s="30" t="inlineStr">
        <is>
          <t>Random</t>
        </is>
      </c>
      <c r="D500" s="29" t="inlineStr">
        <is>
          <t>Found Object</t>
        </is>
      </c>
      <c r="E500" s="29">
        <f>MATCH(D500, {"Waiting for Input","Analyzing Object","Found Object","Needs Help","Confused","None"}, 0) - 1</f>
        <v/>
      </c>
      <c r="F500" s="31" t="inlineStr">
        <is>
          <t>Found Object</t>
        </is>
      </c>
      <c r="G500" s="29">
        <f>MATCH(F500, {"Waiting for Input","Analyzing Object","Found Object","Needs Help","Confused","None"}, 0) - 1</f>
        <v/>
      </c>
      <c r="H500" s="29" t="n">
        <v>2</v>
      </c>
      <c r="I500" s="29">
        <f>IF(E500=G500, 1, 0)</f>
        <v/>
      </c>
    </row>
    <row r="501" ht="22" customHeight="1" s="270">
      <c r="A501" s="29" t="n">
        <v>499</v>
      </c>
      <c r="B501" s="29" t="inlineStr">
        <is>
          <t>1</t>
        </is>
      </c>
      <c r="C501" s="30" t="inlineStr">
        <is>
          <t>Random</t>
        </is>
      </c>
      <c r="D501" s="29" t="inlineStr">
        <is>
          <t>Found Object</t>
        </is>
      </c>
      <c r="E501" s="29">
        <f>MATCH(D501, {"Waiting for Input","Analyzing Object","Found Object","Needs Help","Confused","None"}, 0) - 1</f>
        <v/>
      </c>
      <c r="F501" s="31" t="inlineStr">
        <is>
          <t>Needs Help</t>
        </is>
      </c>
      <c r="G501" s="29">
        <f>MATCH(F501, {"Waiting for Input","Analyzing Object","Found Object","Needs Help","Confused","None"}, 0) - 1</f>
        <v/>
      </c>
      <c r="H501" s="29" t="n">
        <v>3</v>
      </c>
      <c r="I501" s="29">
        <f>IF(E501=G501, 1, 0)</f>
        <v/>
      </c>
    </row>
    <row r="502" ht="22" customHeight="1" s="270">
      <c r="A502" s="29" t="n">
        <v>500</v>
      </c>
      <c r="B502" s="29" t="inlineStr">
        <is>
          <t>1</t>
        </is>
      </c>
      <c r="C502" s="30" t="inlineStr">
        <is>
          <t>Random</t>
        </is>
      </c>
      <c r="D502" s="29" t="inlineStr">
        <is>
          <t>Found Object</t>
        </is>
      </c>
      <c r="E502" s="29">
        <f>MATCH(D502, {"Waiting for Input","Analyzing Object","Found Object","Needs Help","Confused","None"}, 0) - 1</f>
        <v/>
      </c>
      <c r="F502" s="31" t="inlineStr">
        <is>
          <t>Confused</t>
        </is>
      </c>
      <c r="G502" s="29">
        <f>MATCH(F502, {"Waiting for Input","Analyzing Object","Found Object","Needs Help","Confused","None"}, 0) - 1</f>
        <v/>
      </c>
      <c r="H502" s="29" t="n">
        <v>2</v>
      </c>
      <c r="I502" s="29">
        <f>IF(E502=G502, 1, 0)</f>
        <v/>
      </c>
    </row>
    <row r="503" ht="22" customHeight="1" s="270">
      <c r="A503" s="29" t="n">
        <v>501</v>
      </c>
      <c r="B503" s="29" t="inlineStr">
        <is>
          <t>2</t>
        </is>
      </c>
      <c r="C503" s="30" t="inlineStr">
        <is>
          <t>Random</t>
        </is>
      </c>
      <c r="D503" s="29" t="inlineStr">
        <is>
          <t>Found Object</t>
        </is>
      </c>
      <c r="E503" s="29">
        <f>MATCH(D503, {"Waiting for Input","Analyzing Object","Found Object","Needs Help","Confused","None"}, 0) - 1</f>
        <v/>
      </c>
      <c r="F503" s="31" t="inlineStr">
        <is>
          <t>Confused</t>
        </is>
      </c>
      <c r="G503" s="29">
        <f>MATCH(F503, {"Waiting for Input","Analyzing Object","Found Object","Needs Help","Confused","None"}, 0) - 1</f>
        <v/>
      </c>
      <c r="H503" s="29" t="n">
        <v>3</v>
      </c>
      <c r="I503" s="29">
        <f>IF(E503=G503, 1, 0)</f>
        <v/>
      </c>
    </row>
    <row r="504" ht="22" customHeight="1" s="270">
      <c r="A504" s="29" t="n">
        <v>502</v>
      </c>
      <c r="B504" s="29" t="inlineStr">
        <is>
          <t>2</t>
        </is>
      </c>
      <c r="C504" s="30" t="inlineStr">
        <is>
          <t>Random</t>
        </is>
      </c>
      <c r="D504" s="29" t="inlineStr">
        <is>
          <t>Found Object</t>
        </is>
      </c>
      <c r="E504" s="29">
        <f>MATCH(D504, {"Waiting for Input","Analyzing Object","Found Object","Needs Help","Confused","None"}, 0) - 1</f>
        <v/>
      </c>
      <c r="F504" s="31" t="inlineStr">
        <is>
          <t>Confused</t>
        </is>
      </c>
      <c r="G504" s="29">
        <f>MATCH(F504, {"Waiting for Input","Analyzing Object","Found Object","Needs Help","Confused","None"}, 0) - 1</f>
        <v/>
      </c>
      <c r="H504" s="29" t="n">
        <v>2</v>
      </c>
      <c r="I504" s="29">
        <f>IF(E504=G504, 1, 0)</f>
        <v/>
      </c>
    </row>
    <row r="505" ht="22" customHeight="1" s="270">
      <c r="A505" s="29" t="n">
        <v>503</v>
      </c>
      <c r="B505" s="29" t="inlineStr">
        <is>
          <t>1</t>
        </is>
      </c>
      <c r="C505" s="30" t="inlineStr">
        <is>
          <t>Random</t>
        </is>
      </c>
      <c r="D505" s="29" t="inlineStr">
        <is>
          <t>Found Object</t>
        </is>
      </c>
      <c r="E505" s="29">
        <f>MATCH(D505, {"Waiting for Input","Analyzing Object","Found Object","Needs Help","Confused","None"}, 0) - 1</f>
        <v/>
      </c>
      <c r="F505" s="31" t="inlineStr">
        <is>
          <t>Confused</t>
        </is>
      </c>
      <c r="G505" s="29">
        <f>MATCH(F505, {"Waiting for Input","Analyzing Object","Found Object","Needs Help","Confused","None"}, 0) - 1</f>
        <v/>
      </c>
      <c r="H505" s="29" t="n">
        <v>1</v>
      </c>
      <c r="I505" s="29">
        <f>IF(E505=G505, 1, 0)</f>
        <v/>
      </c>
    </row>
    <row r="506" ht="22" customHeight="1" s="270">
      <c r="A506" s="29" t="n">
        <v>504</v>
      </c>
      <c r="B506" s="29" t="inlineStr">
        <is>
          <t>1</t>
        </is>
      </c>
      <c r="C506" s="30" t="inlineStr">
        <is>
          <t>Random</t>
        </is>
      </c>
      <c r="D506" s="29" t="inlineStr">
        <is>
          <t>Found Object</t>
        </is>
      </c>
      <c r="E506" s="29">
        <f>MATCH(D506, {"Waiting for Input","Analyzing Object","Found Object","Needs Help","Confused","None"}, 0) - 1</f>
        <v/>
      </c>
      <c r="F506" s="31" t="inlineStr">
        <is>
          <t>Analyzing Object</t>
        </is>
      </c>
      <c r="G506" s="29">
        <f>MATCH(F506, {"Waiting for Input","Analyzing Object","Found Object","Needs Help","Confused","None"}, 0) - 1</f>
        <v/>
      </c>
      <c r="H506" s="29" t="n">
        <v>4</v>
      </c>
      <c r="I506" s="29">
        <f>IF(E506=G506, 1, 0)</f>
        <v/>
      </c>
    </row>
    <row r="507" ht="22" customHeight="1" s="270">
      <c r="A507" s="29" t="n">
        <v>505</v>
      </c>
      <c r="B507" s="29" t="inlineStr">
        <is>
          <t>2</t>
        </is>
      </c>
      <c r="C507" s="30" t="inlineStr">
        <is>
          <t>Random</t>
        </is>
      </c>
      <c r="D507" s="29" t="inlineStr">
        <is>
          <t>Found Object</t>
        </is>
      </c>
      <c r="E507" s="29">
        <f>MATCH(D507, {"Waiting for Input","Analyzing Object","Found Object","Needs Help","Confused","None"}, 0) - 1</f>
        <v/>
      </c>
      <c r="F507" s="31" t="inlineStr">
        <is>
          <t>Analyzing Object</t>
        </is>
      </c>
      <c r="G507" s="29">
        <f>MATCH(F507, {"Waiting for Input","Analyzing Object","Found Object","Needs Help","Confused","None"}, 0) - 1</f>
        <v/>
      </c>
      <c r="H507" s="29" t="n">
        <v>2</v>
      </c>
      <c r="I507" s="29">
        <f>IF(E507=G507, 1, 0)</f>
        <v/>
      </c>
    </row>
    <row r="508" ht="22" customHeight="1" s="270">
      <c r="A508" s="29" t="n">
        <v>506</v>
      </c>
      <c r="B508" s="29" t="inlineStr">
        <is>
          <t>2</t>
        </is>
      </c>
      <c r="C508" s="30" t="inlineStr">
        <is>
          <t>Random</t>
        </is>
      </c>
      <c r="D508" s="29" t="inlineStr">
        <is>
          <t>Found Object</t>
        </is>
      </c>
      <c r="E508" s="29">
        <f>MATCH(D508, {"Waiting for Input","Analyzing Object","Found Object","Needs Help","Confused","None"}, 0) - 1</f>
        <v/>
      </c>
      <c r="F508" s="31" t="inlineStr">
        <is>
          <t>Needs Help</t>
        </is>
      </c>
      <c r="G508" s="29">
        <f>MATCH(F508, {"Waiting for Input","Analyzing Object","Found Object","Needs Help","Confused","None"}, 0) - 1</f>
        <v/>
      </c>
      <c r="H508" s="29" t="n">
        <v>3</v>
      </c>
      <c r="I508" s="29">
        <f>IF(E508=G508, 1, 0)</f>
        <v/>
      </c>
    </row>
    <row r="509" ht="22" customHeight="1" s="270">
      <c r="A509" s="29" t="n">
        <v>507</v>
      </c>
      <c r="B509" s="29" t="inlineStr">
        <is>
          <t>2</t>
        </is>
      </c>
      <c r="C509" s="30" t="inlineStr">
        <is>
          <t>Random</t>
        </is>
      </c>
      <c r="D509" s="29" t="inlineStr">
        <is>
          <t>Found Object</t>
        </is>
      </c>
      <c r="E509" s="29">
        <f>MATCH(D509, {"Waiting for Input","Analyzing Object","Found Object","Needs Help","Confused","None"}, 0) - 1</f>
        <v/>
      </c>
      <c r="F509" s="31" t="inlineStr">
        <is>
          <t>Analyzing Object</t>
        </is>
      </c>
      <c r="G509" s="29">
        <f>MATCH(F509, {"Waiting for Input","Analyzing Object","Found Object","Needs Help","Confused","None"}, 0) - 1</f>
        <v/>
      </c>
      <c r="H509" s="29" t="n">
        <v>3</v>
      </c>
      <c r="I509" s="29">
        <f>IF(E509=G509, 1, 0)</f>
        <v/>
      </c>
    </row>
    <row r="510" ht="22" customHeight="1" s="270">
      <c r="A510" s="29" t="n">
        <v>508</v>
      </c>
      <c r="B510" s="29" t="inlineStr">
        <is>
          <t>2</t>
        </is>
      </c>
      <c r="C510" s="30" t="inlineStr">
        <is>
          <t>Random</t>
        </is>
      </c>
      <c r="D510" s="29" t="inlineStr">
        <is>
          <t>Found Object</t>
        </is>
      </c>
      <c r="E510" s="29">
        <f>MATCH(D510, {"Waiting for Input","Analyzing Object","Found Object","Needs Help","Confused","None"}, 0) - 1</f>
        <v/>
      </c>
      <c r="F510" s="31" t="inlineStr">
        <is>
          <t>Confused</t>
        </is>
      </c>
      <c r="G510" s="29">
        <f>MATCH(F510, {"Waiting for Input","Analyzing Object","Found Object","Needs Help","Confused","None"}, 0) - 1</f>
        <v/>
      </c>
      <c r="H510" s="29" t="n">
        <v>4</v>
      </c>
      <c r="I510" s="29">
        <f>IF(E510=G510, 1, 0)</f>
        <v/>
      </c>
    </row>
    <row r="511" ht="22" customHeight="1" s="270">
      <c r="A511" s="29" t="n">
        <v>509</v>
      </c>
      <c r="B511" s="29" t="inlineStr">
        <is>
          <t>2</t>
        </is>
      </c>
      <c r="C511" s="30" t="inlineStr">
        <is>
          <t>Random</t>
        </is>
      </c>
      <c r="D511" s="29" t="inlineStr">
        <is>
          <t>Found Object</t>
        </is>
      </c>
      <c r="E511" s="29">
        <f>MATCH(D511, {"Waiting for Input","Analyzing Object","Found Object","Needs Help","Confused","None"}, 0) - 1</f>
        <v/>
      </c>
      <c r="F511" s="31" t="inlineStr">
        <is>
          <t>Confused</t>
        </is>
      </c>
      <c r="G511" s="29">
        <f>MATCH(F511, {"Waiting for Input","Analyzing Object","Found Object","Needs Help","Confused","None"}, 0) - 1</f>
        <v/>
      </c>
      <c r="H511" s="29" t="n">
        <v>2</v>
      </c>
      <c r="I511" s="29">
        <f>IF(E511=G511, 1, 0)</f>
        <v/>
      </c>
    </row>
    <row r="512" ht="22" customHeight="1" s="270">
      <c r="A512" s="29" t="n">
        <v>510</v>
      </c>
      <c r="B512" s="29" t="inlineStr">
        <is>
          <t>2</t>
        </is>
      </c>
      <c r="C512" s="30" t="inlineStr">
        <is>
          <t>Random</t>
        </is>
      </c>
      <c r="D512" s="29" t="inlineStr">
        <is>
          <t>Found Object</t>
        </is>
      </c>
      <c r="E512" s="29">
        <f>MATCH(D512, {"Waiting for Input","Analyzing Object","Found Object","Needs Help","Confused","None"}, 0) - 1</f>
        <v/>
      </c>
      <c r="F512" s="31" t="inlineStr">
        <is>
          <t>Analyzing Object</t>
        </is>
      </c>
      <c r="G512" s="29">
        <f>MATCH(F512, {"Waiting for Input","Analyzing Object","Found Object","Needs Help","Confused","None"}, 0) - 1</f>
        <v/>
      </c>
      <c r="H512" s="29" t="n">
        <v>4</v>
      </c>
      <c r="I512" s="29">
        <f>IF(E512=G512, 1, 0)</f>
        <v/>
      </c>
    </row>
    <row r="513" ht="22" customHeight="1" s="270">
      <c r="A513" s="29" t="n">
        <v>511</v>
      </c>
      <c r="B513" s="29" t="inlineStr">
        <is>
          <t>1</t>
        </is>
      </c>
      <c r="C513" s="30" t="inlineStr">
        <is>
          <t>Random</t>
        </is>
      </c>
      <c r="D513" s="29" t="inlineStr">
        <is>
          <t>Found Object</t>
        </is>
      </c>
      <c r="E513" s="29">
        <f>MATCH(D513, {"Waiting for Input","Analyzing Object","Found Object","Needs Help","Confused","None"}, 0) - 1</f>
        <v/>
      </c>
      <c r="F513" s="31" t="inlineStr">
        <is>
          <t>Needs Help</t>
        </is>
      </c>
      <c r="G513" s="29">
        <f>MATCH(F513, {"Waiting for Input","Analyzing Object","Found Object","Needs Help","Confused","None"}, 0) - 1</f>
        <v/>
      </c>
      <c r="H513" s="29" t="n">
        <v>4</v>
      </c>
      <c r="I513" s="29">
        <f>IF(E513=G513, 1, 0)</f>
        <v/>
      </c>
    </row>
    <row r="514" ht="22" customHeight="1" s="270">
      <c r="A514" s="29" t="n">
        <v>512</v>
      </c>
      <c r="B514" s="29" t="inlineStr">
        <is>
          <t>2</t>
        </is>
      </c>
      <c r="C514" s="30" t="inlineStr">
        <is>
          <t>Random</t>
        </is>
      </c>
      <c r="D514" s="29" t="inlineStr">
        <is>
          <t>Found Object</t>
        </is>
      </c>
      <c r="E514" s="29">
        <f>MATCH(D514, {"Waiting for Input","Analyzing Object","Found Object","Needs Help","Confused","None"}, 0) - 1</f>
        <v/>
      </c>
      <c r="F514" s="31" t="inlineStr">
        <is>
          <t>Found Object</t>
        </is>
      </c>
      <c r="G514" s="29">
        <f>MATCH(F514, {"Waiting for Input","Analyzing Object","Found Object","Needs Help","Confused","None"}, 0) - 1</f>
        <v/>
      </c>
      <c r="H514" s="29" t="n">
        <v>4</v>
      </c>
      <c r="I514" s="29">
        <f>IF(E514=G514, 1, 0)</f>
        <v/>
      </c>
    </row>
    <row r="515" ht="22" customHeight="1" s="270">
      <c r="A515" s="29" t="n">
        <v>513</v>
      </c>
      <c r="B515" s="29" t="inlineStr">
        <is>
          <t>1</t>
        </is>
      </c>
      <c r="C515" s="30" t="inlineStr">
        <is>
          <t>Random</t>
        </is>
      </c>
      <c r="D515" s="29" t="inlineStr">
        <is>
          <t>Found Object</t>
        </is>
      </c>
      <c r="E515" s="29">
        <f>MATCH(D515, {"Waiting for Input","Analyzing Object","Found Object","Needs Help","Confused","None"}, 0) - 1</f>
        <v/>
      </c>
      <c r="F515" s="31" t="inlineStr">
        <is>
          <t>Needs Help</t>
        </is>
      </c>
      <c r="G515" s="29">
        <f>MATCH(F515, {"Waiting for Input","Analyzing Object","Found Object","Needs Help","Confused","None"}, 0) - 1</f>
        <v/>
      </c>
      <c r="H515" s="29" t="n">
        <v>3</v>
      </c>
      <c r="I515" s="29">
        <f>IF(E515=G515, 1, 0)</f>
        <v/>
      </c>
    </row>
    <row r="516" ht="22" customHeight="1" s="270">
      <c r="A516" s="29" t="n">
        <v>514</v>
      </c>
      <c r="B516" s="29" t="inlineStr">
        <is>
          <t>1</t>
        </is>
      </c>
      <c r="C516" s="30" t="inlineStr">
        <is>
          <t>Random</t>
        </is>
      </c>
      <c r="D516" s="29" t="inlineStr">
        <is>
          <t>Found Object</t>
        </is>
      </c>
      <c r="E516" s="29">
        <f>MATCH(D516, {"Waiting for Input","Analyzing Object","Found Object","Needs Help","Confused","None"}, 0) - 1</f>
        <v/>
      </c>
      <c r="F516" s="31" t="inlineStr">
        <is>
          <t>Needs Help</t>
        </is>
      </c>
      <c r="G516" s="29">
        <f>MATCH(F516, {"Waiting for Input","Analyzing Object","Found Object","Needs Help","Confused","None"}, 0) - 1</f>
        <v/>
      </c>
      <c r="H516" s="29" t="n">
        <v>3</v>
      </c>
      <c r="I516" s="29">
        <f>IF(E516=G516, 1, 0)</f>
        <v/>
      </c>
    </row>
    <row r="517" ht="22" customHeight="1" s="270">
      <c r="A517" s="29" t="n">
        <v>515</v>
      </c>
      <c r="B517" s="29" t="inlineStr">
        <is>
          <t>1</t>
        </is>
      </c>
      <c r="C517" s="30" t="inlineStr">
        <is>
          <t>Random</t>
        </is>
      </c>
      <c r="D517" s="29" t="inlineStr">
        <is>
          <t>Found Object</t>
        </is>
      </c>
      <c r="E517" s="29">
        <f>MATCH(D517, {"Waiting for Input","Analyzing Object","Found Object","Needs Help","Confused","None"}, 0) - 1</f>
        <v/>
      </c>
      <c r="F517" s="31" t="inlineStr">
        <is>
          <t>Needs Help</t>
        </is>
      </c>
      <c r="G517" s="29">
        <f>MATCH(F517, {"Waiting for Input","Analyzing Object","Found Object","Needs Help","Confused","None"}, 0) - 1</f>
        <v/>
      </c>
      <c r="H517" s="29" t="n">
        <v>3</v>
      </c>
      <c r="I517" s="29">
        <f>IF(E517=G517, 1, 0)</f>
        <v/>
      </c>
    </row>
    <row r="518" ht="22" customHeight="1" s="270">
      <c r="A518" s="29" t="n">
        <v>516</v>
      </c>
      <c r="B518" s="29" t="inlineStr">
        <is>
          <t>2</t>
        </is>
      </c>
      <c r="C518" s="30" t="inlineStr">
        <is>
          <t>Random</t>
        </is>
      </c>
      <c r="D518" s="29" t="inlineStr">
        <is>
          <t>Found Object</t>
        </is>
      </c>
      <c r="E518" s="29">
        <f>MATCH(D518, {"Waiting for Input","Analyzing Object","Found Object","Needs Help","Confused","None"}, 0) - 1</f>
        <v/>
      </c>
      <c r="F518" s="31" t="inlineStr">
        <is>
          <t>Needs Help</t>
        </is>
      </c>
      <c r="G518" s="29">
        <f>MATCH(F518, {"Waiting for Input","Analyzing Object","Found Object","Needs Help","Confused","None"}, 0) - 1</f>
        <v/>
      </c>
      <c r="H518" s="29" t="n">
        <v>4</v>
      </c>
      <c r="I518" s="29">
        <f>IF(E518=G518, 1, 0)</f>
        <v/>
      </c>
    </row>
    <row r="519" ht="22" customHeight="1" s="270">
      <c r="A519" s="29" t="n">
        <v>517</v>
      </c>
      <c r="B519" s="29" t="inlineStr">
        <is>
          <t>2</t>
        </is>
      </c>
      <c r="C519" s="30" t="inlineStr">
        <is>
          <t>Random</t>
        </is>
      </c>
      <c r="D519" s="29" t="inlineStr">
        <is>
          <t>Found Object</t>
        </is>
      </c>
      <c r="E519" s="29">
        <f>MATCH(D519, {"Waiting for Input","Analyzing Object","Found Object","Needs Help","Confused","None"}, 0) - 1</f>
        <v/>
      </c>
      <c r="F519" s="31" t="inlineStr">
        <is>
          <t>Analyzing Object</t>
        </is>
      </c>
      <c r="G519" s="29">
        <f>MATCH(F519, {"Waiting for Input","Analyzing Object","Found Object","Needs Help","Confused","None"}, 0) - 1</f>
        <v/>
      </c>
      <c r="H519" s="29" t="n">
        <v>4</v>
      </c>
      <c r="I519" s="29">
        <f>IF(E519=G519, 1, 0)</f>
        <v/>
      </c>
    </row>
    <row r="520" ht="22" customHeight="1" s="270">
      <c r="A520" s="29" t="n">
        <v>518</v>
      </c>
      <c r="B520" s="29" t="inlineStr">
        <is>
          <t>1</t>
        </is>
      </c>
      <c r="C520" s="30" t="inlineStr">
        <is>
          <t>Random</t>
        </is>
      </c>
      <c r="D520" s="29" t="inlineStr">
        <is>
          <t>Found Object</t>
        </is>
      </c>
      <c r="E520" s="29">
        <f>MATCH(D520, {"Waiting for Input","Analyzing Object","Found Object","Needs Help","Confused","None"}, 0) - 1</f>
        <v/>
      </c>
      <c r="F520" s="31" t="inlineStr">
        <is>
          <t>Found Object</t>
        </is>
      </c>
      <c r="G520" s="29">
        <f>MATCH(F520, {"Waiting for Input","Analyzing Object","Found Object","Needs Help","Confused","None"}, 0) - 1</f>
        <v/>
      </c>
      <c r="H520" s="29" t="n">
        <v>3</v>
      </c>
      <c r="I520" s="29">
        <f>IF(E520=G520, 1, 0)</f>
        <v/>
      </c>
    </row>
    <row r="521" ht="22" customHeight="1" s="270">
      <c r="A521" s="29" t="n">
        <v>519</v>
      </c>
      <c r="B521" s="29" t="inlineStr">
        <is>
          <t>1</t>
        </is>
      </c>
      <c r="C521" s="30" t="inlineStr">
        <is>
          <t>Random</t>
        </is>
      </c>
      <c r="D521" s="29" t="inlineStr">
        <is>
          <t>Found Object</t>
        </is>
      </c>
      <c r="E521" s="29">
        <f>MATCH(D521, {"Waiting for Input","Analyzing Object","Found Object","Needs Help","Confused","None"}, 0) - 1</f>
        <v/>
      </c>
      <c r="F521" s="31" t="inlineStr">
        <is>
          <t>Analyzing Object</t>
        </is>
      </c>
      <c r="G521" s="29">
        <f>MATCH(F521, {"Waiting for Input","Analyzing Object","Found Object","Needs Help","Confused","None"}, 0) - 1</f>
        <v/>
      </c>
      <c r="H521" s="29" t="n">
        <v>5</v>
      </c>
      <c r="I521" s="29">
        <f>IF(E521=G521, 1, 0)</f>
        <v/>
      </c>
    </row>
    <row r="522" ht="22" customHeight="1" s="270">
      <c r="A522" s="29" t="n">
        <v>520</v>
      </c>
      <c r="B522" s="29" t="inlineStr">
        <is>
          <t>1</t>
        </is>
      </c>
      <c r="C522" s="30" t="inlineStr">
        <is>
          <t>Random</t>
        </is>
      </c>
      <c r="D522" s="29" t="inlineStr">
        <is>
          <t>Found Object</t>
        </is>
      </c>
      <c r="E522" s="29">
        <f>MATCH(D522, {"Waiting for Input","Analyzing Object","Found Object","Needs Help","Confused","None"}, 0) - 1</f>
        <v/>
      </c>
      <c r="F522" s="31" t="inlineStr">
        <is>
          <t>Analyzing Object</t>
        </is>
      </c>
      <c r="G522" s="29">
        <f>MATCH(F522, {"Waiting for Input","Analyzing Object","Found Object","Needs Help","Confused","None"}, 0) - 1</f>
        <v/>
      </c>
      <c r="H522" s="29" t="n">
        <v>5</v>
      </c>
      <c r="I522" s="29">
        <f>IF(E522=G522, 1, 0)</f>
        <v/>
      </c>
    </row>
    <row r="523" ht="22" customHeight="1" s="270">
      <c r="A523" s="29" t="n">
        <v>521</v>
      </c>
      <c r="B523" s="29" t="inlineStr">
        <is>
          <t>2</t>
        </is>
      </c>
      <c r="C523" s="30" t="inlineStr">
        <is>
          <t>Random</t>
        </is>
      </c>
      <c r="D523" s="29" t="inlineStr">
        <is>
          <t>Found Object</t>
        </is>
      </c>
      <c r="E523" s="29">
        <f>MATCH(D523, {"Waiting for Input","Analyzing Object","Found Object","Needs Help","Confused","None"}, 0) - 1</f>
        <v/>
      </c>
      <c r="F523" s="31" t="inlineStr">
        <is>
          <t>Analyzing Object</t>
        </is>
      </c>
      <c r="G523" s="29">
        <f>MATCH(F523, {"Waiting for Input","Analyzing Object","Found Object","Needs Help","Confused","None"}, 0) - 1</f>
        <v/>
      </c>
      <c r="H523" s="29" t="n">
        <v>2</v>
      </c>
      <c r="I523" s="29">
        <f>IF(E523=G523, 1, 0)</f>
        <v/>
      </c>
    </row>
    <row r="524" ht="22" customHeight="1" s="270">
      <c r="A524" s="29" t="n">
        <v>522</v>
      </c>
      <c r="B524" s="29" t="inlineStr">
        <is>
          <t>2</t>
        </is>
      </c>
      <c r="C524" s="30" t="inlineStr">
        <is>
          <t>Random</t>
        </is>
      </c>
      <c r="D524" s="29" t="inlineStr">
        <is>
          <t>Found Object</t>
        </is>
      </c>
      <c r="E524" s="29">
        <f>MATCH(D524, {"Waiting for Input","Analyzing Object","Found Object","Needs Help","Confused","None"}, 0) - 1</f>
        <v/>
      </c>
      <c r="F524" s="31" t="inlineStr">
        <is>
          <t>Needs Help</t>
        </is>
      </c>
      <c r="G524" s="29">
        <f>MATCH(F524, {"Waiting for Input","Analyzing Object","Found Object","Needs Help","Confused","None"}, 0) - 1</f>
        <v/>
      </c>
      <c r="H524" s="29" t="n">
        <v>3</v>
      </c>
      <c r="I524" s="29">
        <f>IF(E524=G524, 1, 0)</f>
        <v/>
      </c>
    </row>
    <row r="525" ht="22" customHeight="1" s="270">
      <c r="A525" s="29" t="n">
        <v>523</v>
      </c>
      <c r="B525" s="29" t="inlineStr">
        <is>
          <t>2</t>
        </is>
      </c>
      <c r="C525" s="30" t="inlineStr">
        <is>
          <t>Random</t>
        </is>
      </c>
      <c r="D525" s="29" t="inlineStr">
        <is>
          <t>Found Object</t>
        </is>
      </c>
      <c r="E525" s="29">
        <f>MATCH(D525, {"Waiting for Input","Analyzing Object","Found Object","Needs Help","Confused","None"}, 0) - 1</f>
        <v/>
      </c>
      <c r="F525" s="31" t="inlineStr">
        <is>
          <t>Found Object</t>
        </is>
      </c>
      <c r="G525" s="29">
        <f>MATCH(F525, {"Waiting for Input","Analyzing Object","Found Object","Needs Help","Confused","None"}, 0) - 1</f>
        <v/>
      </c>
      <c r="H525" s="29" t="n">
        <v>1</v>
      </c>
      <c r="I525" s="29">
        <f>IF(E525=G525, 1, 0)</f>
        <v/>
      </c>
    </row>
    <row r="526" ht="22" customHeight="1" s="270">
      <c r="A526" s="29" t="n">
        <v>524</v>
      </c>
      <c r="B526" s="29" t="inlineStr">
        <is>
          <t>2</t>
        </is>
      </c>
      <c r="C526" s="30" t="inlineStr">
        <is>
          <t>Random</t>
        </is>
      </c>
      <c r="D526" s="29" t="inlineStr">
        <is>
          <t>Found Object</t>
        </is>
      </c>
      <c r="E526" s="29">
        <f>MATCH(D526, {"Waiting for Input","Analyzing Object","Found Object","Needs Help","Confused","None"}, 0) - 1</f>
        <v/>
      </c>
      <c r="F526" s="31" t="inlineStr">
        <is>
          <t>Confused</t>
        </is>
      </c>
      <c r="G526" s="29">
        <f>MATCH(F526, {"Waiting for Input","Analyzing Object","Found Object","Needs Help","Confused","None"}, 0) - 1</f>
        <v/>
      </c>
      <c r="H526" s="29" t="n">
        <v>4</v>
      </c>
      <c r="I526" s="29">
        <f>IF(E526=G526, 1, 0)</f>
        <v/>
      </c>
    </row>
    <row r="527" ht="22" customHeight="1" s="270">
      <c r="A527" s="29" t="n">
        <v>525</v>
      </c>
      <c r="B527" s="29" t="inlineStr">
        <is>
          <t>2</t>
        </is>
      </c>
      <c r="C527" s="30" t="inlineStr">
        <is>
          <t>Random</t>
        </is>
      </c>
      <c r="D527" s="29" t="inlineStr">
        <is>
          <t>Found Object</t>
        </is>
      </c>
      <c r="E527" s="29">
        <f>MATCH(D527, {"Waiting for Input","Analyzing Object","Found Object","Needs Help","Confused","None"}, 0) - 1</f>
        <v/>
      </c>
      <c r="F527" s="31" t="inlineStr">
        <is>
          <t>Needs Help</t>
        </is>
      </c>
      <c r="G527" s="29">
        <f>MATCH(F527, {"Waiting for Input","Analyzing Object","Found Object","Needs Help","Confused","None"}, 0) - 1</f>
        <v/>
      </c>
      <c r="H527" s="29" t="n">
        <v>3</v>
      </c>
      <c r="I527" s="29">
        <f>IF(E527=G527, 1, 0)</f>
        <v/>
      </c>
    </row>
    <row r="528" ht="22" customHeight="1" s="270">
      <c r="A528" s="29" t="n">
        <v>526</v>
      </c>
      <c r="B528" s="29" t="inlineStr">
        <is>
          <t>2</t>
        </is>
      </c>
      <c r="C528" s="30" t="inlineStr">
        <is>
          <t>Random</t>
        </is>
      </c>
      <c r="D528" s="29" t="inlineStr">
        <is>
          <t>Found Object</t>
        </is>
      </c>
      <c r="E528" s="29">
        <f>MATCH(D528, {"Waiting for Input","Analyzing Object","Found Object","Needs Help","Confused","None"}, 0) - 1</f>
        <v/>
      </c>
      <c r="F528" s="31" t="inlineStr">
        <is>
          <t>Needs Help</t>
        </is>
      </c>
      <c r="G528" s="29">
        <f>MATCH(F528, {"Waiting for Input","Analyzing Object","Found Object","Needs Help","Confused","None"}, 0) - 1</f>
        <v/>
      </c>
      <c r="H528" s="29" t="n">
        <v>3</v>
      </c>
      <c r="I528" s="29">
        <f>IF(E528=G528, 1, 0)</f>
        <v/>
      </c>
    </row>
    <row r="529" ht="22" customHeight="1" s="270">
      <c r="A529" s="29" t="n">
        <v>527</v>
      </c>
      <c r="B529" s="29" t="inlineStr">
        <is>
          <t>2</t>
        </is>
      </c>
      <c r="C529" s="30" t="inlineStr">
        <is>
          <t>Random</t>
        </is>
      </c>
      <c r="D529" s="29" t="inlineStr">
        <is>
          <t>Found Object</t>
        </is>
      </c>
      <c r="E529" s="29">
        <f>MATCH(D529, {"Waiting for Input","Analyzing Object","Found Object","Needs Help","Confused","None"}, 0) - 1</f>
        <v/>
      </c>
      <c r="F529" s="31" t="inlineStr">
        <is>
          <t>Analyzing Object</t>
        </is>
      </c>
      <c r="G529" s="29">
        <f>MATCH(F529, {"Waiting for Input","Analyzing Object","Found Object","Needs Help","Confused","None"}, 0) - 1</f>
        <v/>
      </c>
      <c r="H529" s="29" t="n">
        <v>2</v>
      </c>
      <c r="I529" s="29">
        <f>IF(E529=G529, 1, 0)</f>
        <v/>
      </c>
    </row>
    <row r="530" ht="22" customHeight="1" s="270">
      <c r="A530" s="29" t="n">
        <v>528</v>
      </c>
      <c r="B530" s="29" t="inlineStr">
        <is>
          <t>2</t>
        </is>
      </c>
      <c r="C530" s="30" t="inlineStr">
        <is>
          <t>Random</t>
        </is>
      </c>
      <c r="D530" s="29" t="inlineStr">
        <is>
          <t>Found Object</t>
        </is>
      </c>
      <c r="E530" s="29">
        <f>MATCH(D530, {"Waiting for Input","Analyzing Object","Found Object","Needs Help","Confused","None"}, 0) - 1</f>
        <v/>
      </c>
      <c r="F530" s="31" t="inlineStr">
        <is>
          <t>Found Object</t>
        </is>
      </c>
      <c r="G530" s="29">
        <f>MATCH(F530, {"Waiting for Input","Analyzing Object","Found Object","Needs Help","Confused","None"}, 0) - 1</f>
        <v/>
      </c>
      <c r="H530" s="29" t="n">
        <v>3</v>
      </c>
      <c r="I530" s="29">
        <f>IF(E530=G530, 1, 0)</f>
        <v/>
      </c>
    </row>
    <row r="531" ht="22" customHeight="1" s="270">
      <c r="A531" s="29" t="n">
        <v>529</v>
      </c>
      <c r="B531" s="29" t="inlineStr">
        <is>
          <t>2</t>
        </is>
      </c>
      <c r="C531" s="30" t="inlineStr">
        <is>
          <t>Random</t>
        </is>
      </c>
      <c r="D531" s="29" t="inlineStr">
        <is>
          <t>Found Object</t>
        </is>
      </c>
      <c r="E531" s="29">
        <f>MATCH(D531, {"Waiting for Input","Analyzing Object","Found Object","Needs Help","Confused","None"}, 0) - 1</f>
        <v/>
      </c>
      <c r="F531" s="31" t="inlineStr">
        <is>
          <t>Analyzing Object</t>
        </is>
      </c>
      <c r="G531" s="29">
        <f>MATCH(F531, {"Waiting for Input","Analyzing Object","Found Object","Needs Help","Confused","None"}, 0) - 1</f>
        <v/>
      </c>
      <c r="H531" s="29" t="n">
        <v>4</v>
      </c>
      <c r="I531" s="29">
        <f>IF(E531=G531, 1, 0)</f>
        <v/>
      </c>
    </row>
    <row r="532" ht="22" customHeight="1" s="270">
      <c r="A532" s="29" t="n">
        <v>530</v>
      </c>
      <c r="B532" s="29" t="inlineStr">
        <is>
          <t>2</t>
        </is>
      </c>
      <c r="C532" s="30" t="inlineStr">
        <is>
          <t>Random</t>
        </is>
      </c>
      <c r="D532" s="29" t="inlineStr">
        <is>
          <t>Found Object</t>
        </is>
      </c>
      <c r="E532" s="29">
        <f>MATCH(D532, {"Waiting for Input","Analyzing Object","Found Object","Needs Help","Confused","None"}, 0) - 1</f>
        <v/>
      </c>
      <c r="F532" s="31" t="inlineStr">
        <is>
          <t>Confused</t>
        </is>
      </c>
      <c r="G532" s="29">
        <f>MATCH(F532, {"Waiting for Input","Analyzing Object","Found Object","Needs Help","Confused","None"}, 0) - 1</f>
        <v/>
      </c>
      <c r="H532" s="29" t="n">
        <v>2</v>
      </c>
      <c r="I532" s="29">
        <f>IF(E532=G532, 1, 0)</f>
        <v/>
      </c>
    </row>
    <row r="533" ht="22" customHeight="1" s="270">
      <c r="A533" s="29" t="n">
        <v>531</v>
      </c>
      <c r="B533" s="29" t="inlineStr">
        <is>
          <t>1</t>
        </is>
      </c>
      <c r="C533" s="30" t="inlineStr">
        <is>
          <t>Random</t>
        </is>
      </c>
      <c r="D533" s="29" t="inlineStr">
        <is>
          <t>Found Object</t>
        </is>
      </c>
      <c r="E533" s="29">
        <f>MATCH(D533, {"Waiting for Input","Analyzing Object","Found Object","Needs Help","Confused","None"}, 0) - 1</f>
        <v/>
      </c>
      <c r="F533" s="31" t="inlineStr">
        <is>
          <t>Needs Help</t>
        </is>
      </c>
      <c r="G533" s="29">
        <f>MATCH(F533, {"Waiting for Input","Analyzing Object","Found Object","Needs Help","Confused","None"}, 0) - 1</f>
        <v/>
      </c>
      <c r="H533" s="29" t="n">
        <v>4</v>
      </c>
      <c r="I533" s="29">
        <f>IF(E533=G533, 1, 0)</f>
        <v/>
      </c>
    </row>
    <row r="534" ht="22" customHeight="1" s="270">
      <c r="A534" s="29" t="n">
        <v>532</v>
      </c>
      <c r="B534" s="29" t="inlineStr">
        <is>
          <t>2</t>
        </is>
      </c>
      <c r="C534" s="30" t="inlineStr">
        <is>
          <t>Random</t>
        </is>
      </c>
      <c r="D534" s="29" t="inlineStr">
        <is>
          <t>Found Object</t>
        </is>
      </c>
      <c r="E534" s="29">
        <f>MATCH(D534, {"Waiting for Input","Analyzing Object","Found Object","Needs Help","Confused","None"}, 0) - 1</f>
        <v/>
      </c>
      <c r="F534" s="31" t="inlineStr">
        <is>
          <t>Needs Help</t>
        </is>
      </c>
      <c r="G534" s="29">
        <f>MATCH(F534, {"Waiting for Input","Analyzing Object","Found Object","Needs Help","Confused","None"}, 0) - 1</f>
        <v/>
      </c>
      <c r="H534" s="29" t="n">
        <v>5</v>
      </c>
      <c r="I534" s="29">
        <f>IF(E534=G534, 1, 0)</f>
        <v/>
      </c>
    </row>
    <row r="535" ht="22" customHeight="1" s="270">
      <c r="A535" s="29" t="n">
        <v>533</v>
      </c>
      <c r="B535" s="29" t="inlineStr">
        <is>
          <t>2</t>
        </is>
      </c>
      <c r="C535" s="30" t="inlineStr">
        <is>
          <t>Random</t>
        </is>
      </c>
      <c r="D535" s="29" t="inlineStr">
        <is>
          <t>Found Object</t>
        </is>
      </c>
      <c r="E535" s="29">
        <f>MATCH(D535, {"Waiting for Input","Analyzing Object","Found Object","Needs Help","Confused","None"}, 0) - 1</f>
        <v/>
      </c>
      <c r="F535" s="31" t="inlineStr">
        <is>
          <t>Needs Help</t>
        </is>
      </c>
      <c r="G535" s="29">
        <f>MATCH(F535, {"Waiting for Input","Analyzing Object","Found Object","Needs Help","Confused","None"}, 0) - 1</f>
        <v/>
      </c>
      <c r="H535" s="29" t="n">
        <v>3</v>
      </c>
      <c r="I535" s="29">
        <f>IF(E535=G535, 1, 0)</f>
        <v/>
      </c>
    </row>
    <row r="536" ht="22" customHeight="1" s="270">
      <c r="A536" s="29" t="n">
        <v>534</v>
      </c>
      <c r="B536" s="29" t="inlineStr">
        <is>
          <t>1</t>
        </is>
      </c>
      <c r="C536" s="30" t="inlineStr">
        <is>
          <t>Random</t>
        </is>
      </c>
      <c r="D536" s="29" t="inlineStr">
        <is>
          <t>Found Object</t>
        </is>
      </c>
      <c r="E536" s="29">
        <f>MATCH(D536, {"Waiting for Input","Analyzing Object","Found Object","Needs Help","Confused","None"}, 0) - 1</f>
        <v/>
      </c>
      <c r="F536" s="31" t="inlineStr">
        <is>
          <t>Analyzing Object</t>
        </is>
      </c>
      <c r="G536" s="29">
        <f>MATCH(F536, {"Waiting for Input","Analyzing Object","Found Object","Needs Help","Confused","None"}, 0) - 1</f>
        <v/>
      </c>
      <c r="H536" s="29" t="n">
        <v>4</v>
      </c>
      <c r="I536" s="29">
        <f>IF(E536=G536, 1, 0)</f>
        <v/>
      </c>
    </row>
    <row r="537" ht="22" customHeight="1" s="270">
      <c r="A537" s="29" t="n">
        <v>535</v>
      </c>
      <c r="B537" s="29" t="inlineStr">
        <is>
          <t>2</t>
        </is>
      </c>
      <c r="C537" s="30" t="inlineStr">
        <is>
          <t>Random</t>
        </is>
      </c>
      <c r="D537" s="29" t="inlineStr">
        <is>
          <t>Found Object</t>
        </is>
      </c>
      <c r="E537" s="29">
        <f>MATCH(D537, {"Waiting for Input","Analyzing Object","Found Object","Needs Help","Confused","None"}, 0) - 1</f>
        <v/>
      </c>
      <c r="F537" s="31" t="inlineStr">
        <is>
          <t>Confused</t>
        </is>
      </c>
      <c r="G537" s="29">
        <f>MATCH(F537, {"Waiting for Input","Analyzing Object","Found Object","Needs Help","Confused","None"}, 0) - 1</f>
        <v/>
      </c>
      <c r="H537" s="29" t="n">
        <v>2</v>
      </c>
      <c r="I537" s="29">
        <f>IF(E537=G537, 1, 0)</f>
        <v/>
      </c>
    </row>
    <row r="538" ht="22" customHeight="1" s="270">
      <c r="A538" s="29" t="n">
        <v>536</v>
      </c>
      <c r="B538" s="29" t="inlineStr">
        <is>
          <t>2</t>
        </is>
      </c>
      <c r="C538" s="30" t="inlineStr">
        <is>
          <t>Random</t>
        </is>
      </c>
      <c r="D538" s="29" t="inlineStr">
        <is>
          <t>Found Object</t>
        </is>
      </c>
      <c r="E538" s="29">
        <f>MATCH(D538, {"Waiting for Input","Analyzing Object","Found Object","Needs Help","Confused","None"}, 0) - 1</f>
        <v/>
      </c>
      <c r="F538" s="31" t="inlineStr">
        <is>
          <t>Analyzing Object</t>
        </is>
      </c>
      <c r="G538" s="29">
        <f>MATCH(F538, {"Waiting for Input","Analyzing Object","Found Object","Needs Help","Confused","None"}, 0) - 1</f>
        <v/>
      </c>
      <c r="H538" s="29" t="n">
        <v>4</v>
      </c>
      <c r="I538" s="29">
        <f>IF(E538=G538, 1, 0)</f>
        <v/>
      </c>
    </row>
    <row r="539" ht="22" customHeight="1" s="270">
      <c r="A539" s="29" t="n">
        <v>537</v>
      </c>
      <c r="B539" s="29" t="inlineStr">
        <is>
          <t>2</t>
        </is>
      </c>
      <c r="C539" s="30" t="inlineStr">
        <is>
          <t>Random</t>
        </is>
      </c>
      <c r="D539" s="29" t="inlineStr">
        <is>
          <t>Found Object</t>
        </is>
      </c>
      <c r="E539" s="29">
        <f>MATCH(D539, {"Waiting for Input","Analyzing Object","Found Object","Needs Help","Confused","None"}, 0) - 1</f>
        <v/>
      </c>
      <c r="F539" s="31" t="inlineStr">
        <is>
          <t>Needs Help</t>
        </is>
      </c>
      <c r="G539" s="29">
        <f>MATCH(F539, {"Waiting for Input","Analyzing Object","Found Object","Needs Help","Confused","None"}, 0) - 1</f>
        <v/>
      </c>
      <c r="H539" s="29" t="n">
        <v>2</v>
      </c>
      <c r="I539" s="29">
        <f>IF(E539=G539, 1, 0)</f>
        <v/>
      </c>
    </row>
    <row r="540" ht="22" customHeight="1" s="270">
      <c r="A540" s="29" t="n">
        <v>538</v>
      </c>
      <c r="B540" s="29" t="inlineStr">
        <is>
          <t>1</t>
        </is>
      </c>
      <c r="C540" s="30" t="inlineStr">
        <is>
          <t>Random</t>
        </is>
      </c>
      <c r="D540" s="29" t="inlineStr">
        <is>
          <t>Found Object</t>
        </is>
      </c>
      <c r="E540" s="29">
        <f>MATCH(D540, {"Waiting for Input","Analyzing Object","Found Object","Needs Help","Confused","None"}, 0) - 1</f>
        <v/>
      </c>
      <c r="F540" s="31" t="inlineStr">
        <is>
          <t>Found Object</t>
        </is>
      </c>
      <c r="G540" s="29">
        <f>MATCH(F540, {"Waiting for Input","Analyzing Object","Found Object","Needs Help","Confused","None"}, 0) - 1</f>
        <v/>
      </c>
      <c r="H540" s="29" t="n">
        <v>5</v>
      </c>
      <c r="I540" s="29">
        <f>IF(E540=G540, 1, 0)</f>
        <v/>
      </c>
    </row>
    <row r="541" ht="22" customHeight="1" s="270">
      <c r="A541" s="29" t="n">
        <v>539</v>
      </c>
      <c r="B541" s="29" t="inlineStr">
        <is>
          <t>2</t>
        </is>
      </c>
      <c r="C541" s="30" t="inlineStr">
        <is>
          <t>Random</t>
        </is>
      </c>
      <c r="D541" s="29" t="inlineStr">
        <is>
          <t>Found Object</t>
        </is>
      </c>
      <c r="E541" s="29">
        <f>MATCH(D541, {"Waiting for Input","Analyzing Object","Found Object","Needs Help","Confused","None"}, 0) - 1</f>
        <v/>
      </c>
      <c r="F541" s="31" t="inlineStr">
        <is>
          <t>Found Object</t>
        </is>
      </c>
      <c r="G541" s="29">
        <f>MATCH(F541, {"Waiting for Input","Analyzing Object","Found Object","Needs Help","Confused","None"}, 0) - 1</f>
        <v/>
      </c>
      <c r="H541" s="29" t="n">
        <v>2</v>
      </c>
      <c r="I541" s="29">
        <f>IF(E541=G541, 1, 0)</f>
        <v/>
      </c>
    </row>
    <row r="542" ht="22" customHeight="1" s="270">
      <c r="A542" s="29" t="n">
        <v>540</v>
      </c>
      <c r="B542" s="29" t="inlineStr">
        <is>
          <t>1</t>
        </is>
      </c>
      <c r="C542" s="30" t="inlineStr">
        <is>
          <t>GPT4</t>
        </is>
      </c>
      <c r="D542" s="29" t="inlineStr">
        <is>
          <t>Needs Help</t>
        </is>
      </c>
      <c r="E542" s="29">
        <f>MATCH(D542, {"Waiting for Input","Analyzing Object","Found Object","Needs Help","Confused","None"}, 0) - 1</f>
        <v/>
      </c>
      <c r="F542" s="31" t="inlineStr">
        <is>
          <t>Confused</t>
        </is>
      </c>
      <c r="G542" s="29">
        <f>MATCH(F542, {"Waiting for Input","Analyzing Object","Found Object","Needs Help","Confused","None"}, 0) - 1</f>
        <v/>
      </c>
      <c r="H542" s="29" t="n">
        <v>2</v>
      </c>
      <c r="I542" s="29">
        <f>IF(E542=G542, 1, 0)</f>
        <v/>
      </c>
    </row>
    <row r="543" ht="22" customHeight="1" s="270">
      <c r="A543" s="29" t="n">
        <v>541</v>
      </c>
      <c r="B543" s="29" t="inlineStr">
        <is>
          <t>1</t>
        </is>
      </c>
      <c r="C543" s="30" t="inlineStr">
        <is>
          <t>GPT4</t>
        </is>
      </c>
      <c r="D543" s="29" t="inlineStr">
        <is>
          <t>Needs Help</t>
        </is>
      </c>
      <c r="E543" s="29">
        <f>MATCH(D543, {"Waiting for Input","Analyzing Object","Found Object","Needs Help","Confused","None"}, 0) - 1</f>
        <v/>
      </c>
      <c r="F543" s="31" t="inlineStr">
        <is>
          <t>Confused</t>
        </is>
      </c>
      <c r="G543" s="29">
        <f>MATCH(F543, {"Waiting for Input","Analyzing Object","Found Object","Needs Help","Confused","None"}, 0) - 1</f>
        <v/>
      </c>
      <c r="H543" s="29" t="n">
        <v>3</v>
      </c>
      <c r="I543" s="29">
        <f>IF(E543=G543, 1, 0)</f>
        <v/>
      </c>
    </row>
    <row r="544" ht="22" customHeight="1" s="270">
      <c r="A544" s="29" t="n">
        <v>542</v>
      </c>
      <c r="B544" s="29" t="inlineStr">
        <is>
          <t>1</t>
        </is>
      </c>
      <c r="C544" s="30" t="inlineStr">
        <is>
          <t>GPT4</t>
        </is>
      </c>
      <c r="D544" s="29" t="inlineStr">
        <is>
          <t>Needs Help</t>
        </is>
      </c>
      <c r="E544" s="29">
        <f>MATCH(D544, {"Waiting for Input","Analyzing Object","Found Object","Needs Help","Confused","None"}, 0) - 1</f>
        <v/>
      </c>
      <c r="F544" s="31" t="inlineStr">
        <is>
          <t>Needs Help</t>
        </is>
      </c>
      <c r="G544" s="29">
        <f>MATCH(F544, {"Waiting for Input","Analyzing Object","Found Object","Needs Help","Confused","None"}, 0) - 1</f>
        <v/>
      </c>
      <c r="H544" s="29" t="n">
        <v>2</v>
      </c>
      <c r="I544" s="29">
        <f>IF(E544=G544, 1, 0)</f>
        <v/>
      </c>
    </row>
    <row r="545" ht="22" customHeight="1" s="270">
      <c r="A545" s="29" t="n">
        <v>543</v>
      </c>
      <c r="B545" s="29" t="inlineStr">
        <is>
          <t>2</t>
        </is>
      </c>
      <c r="C545" s="30" t="inlineStr">
        <is>
          <t>GPT4</t>
        </is>
      </c>
      <c r="D545" s="29" t="inlineStr">
        <is>
          <t>Needs Help</t>
        </is>
      </c>
      <c r="E545" s="29">
        <f>MATCH(D545, {"Waiting for Input","Analyzing Object","Found Object","Needs Help","Confused","None"}, 0) - 1</f>
        <v/>
      </c>
      <c r="F545" s="31" t="inlineStr">
        <is>
          <t>Needs Help</t>
        </is>
      </c>
      <c r="G545" s="29">
        <f>MATCH(F545, {"Waiting for Input","Analyzing Object","Found Object","Needs Help","Confused","None"}, 0) - 1</f>
        <v/>
      </c>
      <c r="H545" s="29" t="n">
        <v>3</v>
      </c>
      <c r="I545" s="29">
        <f>IF(E545=G545, 1, 0)</f>
        <v/>
      </c>
    </row>
    <row r="546" ht="22" customHeight="1" s="270">
      <c r="A546" s="29" t="n">
        <v>544</v>
      </c>
      <c r="B546" s="29" t="inlineStr">
        <is>
          <t>2</t>
        </is>
      </c>
      <c r="C546" s="30" t="inlineStr">
        <is>
          <t>GPT4</t>
        </is>
      </c>
      <c r="D546" s="29" t="inlineStr">
        <is>
          <t>Needs Help</t>
        </is>
      </c>
      <c r="E546" s="29">
        <f>MATCH(D546, {"Waiting for Input","Analyzing Object","Found Object","Needs Help","Confused","None"}, 0) - 1</f>
        <v/>
      </c>
      <c r="F546" s="31" t="inlineStr">
        <is>
          <t>Confused</t>
        </is>
      </c>
      <c r="G546" s="29">
        <f>MATCH(F546, {"Waiting for Input","Analyzing Object","Found Object","Needs Help","Confused","None"}, 0) - 1</f>
        <v/>
      </c>
      <c r="H546" s="29" t="n">
        <v>3</v>
      </c>
      <c r="I546" s="29">
        <f>IF(E546=G546, 1, 0)</f>
        <v/>
      </c>
    </row>
    <row r="547" ht="22" customHeight="1" s="270">
      <c r="A547" s="29" t="n">
        <v>545</v>
      </c>
      <c r="B547" s="29" t="inlineStr">
        <is>
          <t>1</t>
        </is>
      </c>
      <c r="C547" s="30" t="inlineStr">
        <is>
          <t>GPT4</t>
        </is>
      </c>
      <c r="D547" s="29" t="inlineStr">
        <is>
          <t>Needs Help</t>
        </is>
      </c>
      <c r="E547" s="29">
        <f>MATCH(D547, {"Waiting for Input","Analyzing Object","Found Object","Needs Help","Confused","None"}, 0) - 1</f>
        <v/>
      </c>
      <c r="F547" s="31" t="inlineStr">
        <is>
          <t>Waiting for Input</t>
        </is>
      </c>
      <c r="G547" s="29">
        <f>MATCH(F547, {"Waiting for Input","Analyzing Object","Found Object","Needs Help","Confused","None"}, 0) - 1</f>
        <v/>
      </c>
      <c r="H547" s="29" t="n">
        <v>5</v>
      </c>
      <c r="I547" s="29">
        <f>IF(E547=G547, 1, 0)</f>
        <v/>
      </c>
    </row>
    <row r="548" ht="22" customHeight="1" s="270">
      <c r="A548" s="29" t="n">
        <v>546</v>
      </c>
      <c r="B548" s="29" t="inlineStr">
        <is>
          <t>2</t>
        </is>
      </c>
      <c r="C548" s="30" t="inlineStr">
        <is>
          <t>GPT4</t>
        </is>
      </c>
      <c r="D548" s="29" t="inlineStr">
        <is>
          <t>Needs Help</t>
        </is>
      </c>
      <c r="E548" s="29">
        <f>MATCH(D548, {"Waiting for Input","Analyzing Object","Found Object","Needs Help","Confused","None"}, 0) - 1</f>
        <v/>
      </c>
      <c r="F548" s="31" t="inlineStr">
        <is>
          <t>Needs Help</t>
        </is>
      </c>
      <c r="G548" s="29">
        <f>MATCH(F548, {"Waiting for Input","Analyzing Object","Found Object","Needs Help","Confused","None"}, 0) - 1</f>
        <v/>
      </c>
      <c r="H548" s="29" t="n">
        <v>2</v>
      </c>
      <c r="I548" s="29">
        <f>IF(E548=G548, 1, 0)</f>
        <v/>
      </c>
    </row>
    <row r="549" ht="22" customHeight="1" s="270">
      <c r="A549" s="29" t="n">
        <v>547</v>
      </c>
      <c r="B549" s="29" t="inlineStr">
        <is>
          <t>1</t>
        </is>
      </c>
      <c r="C549" s="30" t="inlineStr">
        <is>
          <t>GPT4</t>
        </is>
      </c>
      <c r="D549" s="29" t="inlineStr">
        <is>
          <t>Needs Help</t>
        </is>
      </c>
      <c r="E549" s="29">
        <f>MATCH(D549, {"Waiting for Input","Analyzing Object","Found Object","Needs Help","Confused","None"}, 0) - 1</f>
        <v/>
      </c>
      <c r="F549" s="31" t="inlineStr">
        <is>
          <t>Needs Help</t>
        </is>
      </c>
      <c r="G549" s="29">
        <f>MATCH(F549, {"Waiting for Input","Analyzing Object","Found Object","Needs Help","Confused","None"}, 0) - 1</f>
        <v/>
      </c>
      <c r="H549" s="29" t="n">
        <v>3</v>
      </c>
      <c r="I549" s="29">
        <f>IF(E549=G549, 1, 0)</f>
        <v/>
      </c>
    </row>
    <row r="550" ht="22" customHeight="1" s="270">
      <c r="A550" s="29" t="n">
        <v>548</v>
      </c>
      <c r="B550" s="29" t="inlineStr">
        <is>
          <t>1</t>
        </is>
      </c>
      <c r="C550" s="30" t="inlineStr">
        <is>
          <t>GPT4</t>
        </is>
      </c>
      <c r="D550" s="29" t="inlineStr">
        <is>
          <t>Needs Help</t>
        </is>
      </c>
      <c r="E550" s="29">
        <f>MATCH(D550, {"Waiting for Input","Analyzing Object","Found Object","Needs Help","Confused","None"}, 0) - 1</f>
        <v/>
      </c>
      <c r="F550" s="31" t="inlineStr">
        <is>
          <t>Needs Help</t>
        </is>
      </c>
      <c r="G550" s="29">
        <f>MATCH(F550, {"Waiting for Input","Analyzing Object","Found Object","Needs Help","Confused","None"}, 0) - 1</f>
        <v/>
      </c>
      <c r="H550" s="29" t="n">
        <v>3</v>
      </c>
      <c r="I550" s="29">
        <f>IF(E550=G550, 1, 0)</f>
        <v/>
      </c>
    </row>
    <row r="551" ht="22" customHeight="1" s="270">
      <c r="A551" s="29" t="n">
        <v>549</v>
      </c>
      <c r="B551" s="29" t="inlineStr">
        <is>
          <t>1</t>
        </is>
      </c>
      <c r="C551" s="30" t="inlineStr">
        <is>
          <t>GPT4</t>
        </is>
      </c>
      <c r="D551" s="29" t="inlineStr">
        <is>
          <t>Needs Help</t>
        </is>
      </c>
      <c r="E551" s="29">
        <f>MATCH(D551, {"Waiting for Input","Analyzing Object","Found Object","Needs Help","Confused","None"}, 0) - 1</f>
        <v/>
      </c>
      <c r="F551" s="31" t="inlineStr">
        <is>
          <t>Needs Help</t>
        </is>
      </c>
      <c r="G551" s="29">
        <f>MATCH(F551, {"Waiting for Input","Analyzing Object","Found Object","Needs Help","Confused","None"}, 0) - 1</f>
        <v/>
      </c>
      <c r="H551" s="29" t="n">
        <v>2</v>
      </c>
      <c r="I551" s="29">
        <f>IF(E551=G551, 1, 0)</f>
        <v/>
      </c>
    </row>
    <row r="552" ht="22" customHeight="1" s="270">
      <c r="A552" s="29" t="n">
        <v>550</v>
      </c>
      <c r="B552" s="29" t="inlineStr">
        <is>
          <t>2</t>
        </is>
      </c>
      <c r="C552" s="30" t="inlineStr">
        <is>
          <t>GPT4</t>
        </is>
      </c>
      <c r="D552" s="29" t="inlineStr">
        <is>
          <t>Needs Help</t>
        </is>
      </c>
      <c r="E552" s="29">
        <f>MATCH(D552, {"Waiting for Input","Analyzing Object","Found Object","Needs Help","Confused","None"}, 0) - 1</f>
        <v/>
      </c>
      <c r="F552" s="31" t="inlineStr">
        <is>
          <t>Needs Help</t>
        </is>
      </c>
      <c r="G552" s="29">
        <f>MATCH(F552, {"Waiting for Input","Analyzing Object","Found Object","Needs Help","Confused","None"}, 0) - 1</f>
        <v/>
      </c>
      <c r="H552" s="29" t="n">
        <v>3</v>
      </c>
      <c r="I552" s="29">
        <f>IF(E552=G552, 1, 0)</f>
        <v/>
      </c>
    </row>
    <row r="553" ht="22" customHeight="1" s="270">
      <c r="A553" s="29" t="n">
        <v>551</v>
      </c>
      <c r="B553" s="29" t="inlineStr">
        <is>
          <t>2</t>
        </is>
      </c>
      <c r="C553" s="30" t="inlineStr">
        <is>
          <t>GPT4</t>
        </is>
      </c>
      <c r="D553" s="29" t="inlineStr">
        <is>
          <t>Needs Help</t>
        </is>
      </c>
      <c r="E553" s="29">
        <f>MATCH(D553, {"Waiting for Input","Analyzing Object","Found Object","Needs Help","Confused","None"}, 0) - 1</f>
        <v/>
      </c>
      <c r="F553" s="31" t="inlineStr">
        <is>
          <t>Needs Help</t>
        </is>
      </c>
      <c r="G553" s="29">
        <f>MATCH(F553, {"Waiting for Input","Analyzing Object","Found Object","Needs Help","Confused","None"}, 0) - 1</f>
        <v/>
      </c>
      <c r="H553" s="29" t="n">
        <v>5</v>
      </c>
      <c r="I553" s="29">
        <f>IF(E553=G553, 1, 0)</f>
        <v/>
      </c>
    </row>
    <row r="554" ht="22" customHeight="1" s="270">
      <c r="A554" s="29" t="n">
        <v>552</v>
      </c>
      <c r="B554" s="29" t="inlineStr">
        <is>
          <t>2</t>
        </is>
      </c>
      <c r="C554" s="30" t="inlineStr">
        <is>
          <t>GPT4</t>
        </is>
      </c>
      <c r="D554" s="29" t="inlineStr">
        <is>
          <t>Needs Help</t>
        </is>
      </c>
      <c r="E554" s="29">
        <f>MATCH(D554, {"Waiting for Input","Analyzing Object","Found Object","Needs Help","Confused","None"}, 0) - 1</f>
        <v/>
      </c>
      <c r="F554" s="31" t="inlineStr">
        <is>
          <t>Needs Help</t>
        </is>
      </c>
      <c r="G554" s="29">
        <f>MATCH(F554, {"Waiting for Input","Analyzing Object","Found Object","Needs Help","Confused","None"}, 0) - 1</f>
        <v/>
      </c>
      <c r="H554" s="29" t="n">
        <v>3</v>
      </c>
      <c r="I554" s="29">
        <f>IF(E554=G554, 1, 0)</f>
        <v/>
      </c>
    </row>
    <row r="555" ht="22" customHeight="1" s="270">
      <c r="A555" s="29" t="n">
        <v>553</v>
      </c>
      <c r="B555" s="29" t="inlineStr">
        <is>
          <t>2</t>
        </is>
      </c>
      <c r="C555" s="30" t="inlineStr">
        <is>
          <t>GPT4</t>
        </is>
      </c>
      <c r="D555" s="29" t="inlineStr">
        <is>
          <t>Needs Help</t>
        </is>
      </c>
      <c r="E555" s="29">
        <f>MATCH(D555, {"Waiting for Input","Analyzing Object","Found Object","Needs Help","Confused","None"}, 0) - 1</f>
        <v/>
      </c>
      <c r="F555" s="31" t="inlineStr">
        <is>
          <t>Confused</t>
        </is>
      </c>
      <c r="G555" s="29">
        <f>MATCH(F555, {"Waiting for Input","Analyzing Object","Found Object","Needs Help","Confused","None"}, 0) - 1</f>
        <v/>
      </c>
      <c r="H555" s="29" t="n">
        <v>3</v>
      </c>
      <c r="I555" s="29">
        <f>IF(E555=G555, 1, 0)</f>
        <v/>
      </c>
    </row>
    <row r="556" ht="22" customHeight="1" s="270">
      <c r="A556" s="29" t="n">
        <v>554</v>
      </c>
      <c r="B556" s="29" t="inlineStr">
        <is>
          <t>1</t>
        </is>
      </c>
      <c r="C556" s="30" t="inlineStr">
        <is>
          <t>GPT4</t>
        </is>
      </c>
      <c r="D556" s="29" t="inlineStr">
        <is>
          <t>Needs Help</t>
        </is>
      </c>
      <c r="E556" s="29">
        <f>MATCH(D556, {"Waiting for Input","Analyzing Object","Found Object","Needs Help","Confused","None"}, 0) - 1</f>
        <v/>
      </c>
      <c r="F556" s="31" t="inlineStr">
        <is>
          <t>Confused</t>
        </is>
      </c>
      <c r="G556" s="29">
        <f>MATCH(F556, {"Waiting for Input","Analyzing Object","Found Object","Needs Help","Confused","None"}, 0) - 1</f>
        <v/>
      </c>
      <c r="H556" s="29" t="n">
        <v>3</v>
      </c>
      <c r="I556" s="29">
        <f>IF(E556=G556, 1, 0)</f>
        <v/>
      </c>
    </row>
    <row r="557" ht="22" customHeight="1" s="270">
      <c r="A557" s="29" t="n">
        <v>555</v>
      </c>
      <c r="B557" s="29" t="inlineStr">
        <is>
          <t>1</t>
        </is>
      </c>
      <c r="C557" s="30" t="inlineStr">
        <is>
          <t>GPT4</t>
        </is>
      </c>
      <c r="D557" s="29" t="inlineStr">
        <is>
          <t>Needs Help</t>
        </is>
      </c>
      <c r="E557" s="29">
        <f>MATCH(D557, {"Waiting for Input","Analyzing Object","Found Object","Needs Help","Confused","None"}, 0) - 1</f>
        <v/>
      </c>
      <c r="F557" s="31" t="inlineStr">
        <is>
          <t>Waiting for Input</t>
        </is>
      </c>
      <c r="G557" s="29">
        <f>MATCH(F557, {"Waiting for Input","Analyzing Object","Found Object","Needs Help","Confused","None"}, 0) - 1</f>
        <v/>
      </c>
      <c r="H557" s="29" t="n">
        <v>2</v>
      </c>
      <c r="I557" s="29">
        <f>IF(E557=G557, 1, 0)</f>
        <v/>
      </c>
    </row>
    <row r="558" ht="22" customHeight="1" s="270">
      <c r="A558" s="29" t="n">
        <v>556</v>
      </c>
      <c r="B558" s="29" t="inlineStr">
        <is>
          <t>1</t>
        </is>
      </c>
      <c r="C558" s="30" t="inlineStr">
        <is>
          <t>GPT4</t>
        </is>
      </c>
      <c r="D558" s="29" t="inlineStr">
        <is>
          <t>Needs Help</t>
        </is>
      </c>
      <c r="E558" s="29">
        <f>MATCH(D558, {"Waiting for Input","Analyzing Object","Found Object","Needs Help","Confused","None"}, 0) - 1</f>
        <v/>
      </c>
      <c r="F558" s="31" t="inlineStr">
        <is>
          <t>Waiting for Input</t>
        </is>
      </c>
      <c r="G558" s="29">
        <f>MATCH(F558, {"Waiting for Input","Analyzing Object","Found Object","Needs Help","Confused","None"}, 0) - 1</f>
        <v/>
      </c>
      <c r="H558" s="29" t="n">
        <v>4</v>
      </c>
      <c r="I558" s="29">
        <f>IF(E558=G558, 1, 0)</f>
        <v/>
      </c>
    </row>
    <row r="559" ht="22" customHeight="1" s="270">
      <c r="A559" s="29" t="n">
        <v>557</v>
      </c>
      <c r="B559" s="29" t="inlineStr">
        <is>
          <t>2</t>
        </is>
      </c>
      <c r="C559" s="30" t="inlineStr">
        <is>
          <t>GPT4</t>
        </is>
      </c>
      <c r="D559" s="29" t="inlineStr">
        <is>
          <t>Needs Help</t>
        </is>
      </c>
      <c r="E559" s="29">
        <f>MATCH(D559, {"Waiting for Input","Analyzing Object","Found Object","Needs Help","Confused","None"}, 0) - 1</f>
        <v/>
      </c>
      <c r="F559" s="31" t="inlineStr">
        <is>
          <t>Waiting for Input</t>
        </is>
      </c>
      <c r="G559" s="29">
        <f>MATCH(F559, {"Waiting for Input","Analyzing Object","Found Object","Needs Help","Confused","None"}, 0) - 1</f>
        <v/>
      </c>
      <c r="H559" s="29" t="n">
        <v>2</v>
      </c>
      <c r="I559" s="29">
        <f>IF(E559=G559, 1, 0)</f>
        <v/>
      </c>
    </row>
    <row r="560" ht="22" customHeight="1" s="270">
      <c r="A560" s="29" t="n">
        <v>558</v>
      </c>
      <c r="B560" s="29" t="inlineStr">
        <is>
          <t>2</t>
        </is>
      </c>
      <c r="C560" s="30" t="inlineStr">
        <is>
          <t>GPT4</t>
        </is>
      </c>
      <c r="D560" s="29" t="inlineStr">
        <is>
          <t>Needs Help</t>
        </is>
      </c>
      <c r="E560" s="29">
        <f>MATCH(D560, {"Waiting for Input","Analyzing Object","Found Object","Needs Help","Confused","None"}, 0) - 1</f>
        <v/>
      </c>
      <c r="F560" s="31" t="inlineStr">
        <is>
          <t>Needs Help</t>
        </is>
      </c>
      <c r="G560" s="29">
        <f>MATCH(F560, {"Waiting for Input","Analyzing Object","Found Object","Needs Help","Confused","None"}, 0) - 1</f>
        <v/>
      </c>
      <c r="H560" s="29" t="n">
        <v>2</v>
      </c>
      <c r="I560" s="29">
        <f>IF(E560=G560, 1, 0)</f>
        <v/>
      </c>
    </row>
    <row r="561" ht="22" customHeight="1" s="270">
      <c r="A561" s="29" t="n">
        <v>559</v>
      </c>
      <c r="B561" s="29" t="inlineStr">
        <is>
          <t>1</t>
        </is>
      </c>
      <c r="C561" s="30" t="inlineStr">
        <is>
          <t>GPT4</t>
        </is>
      </c>
      <c r="D561" s="29" t="inlineStr">
        <is>
          <t>Needs Help</t>
        </is>
      </c>
      <c r="E561" s="29">
        <f>MATCH(D561, {"Waiting for Input","Analyzing Object","Found Object","Needs Help","Confused","None"}, 0) - 1</f>
        <v/>
      </c>
      <c r="F561" s="31" t="inlineStr">
        <is>
          <t>Analyzing Object</t>
        </is>
      </c>
      <c r="G561" s="29">
        <f>MATCH(F561, {"Waiting for Input","Analyzing Object","Found Object","Needs Help","Confused","None"}, 0) - 1</f>
        <v/>
      </c>
      <c r="H561" s="29" t="n">
        <v>2</v>
      </c>
      <c r="I561" s="29">
        <f>IF(E561=G561, 1, 0)</f>
        <v/>
      </c>
    </row>
    <row r="562" ht="22" customHeight="1" s="270">
      <c r="A562" s="29" t="n">
        <v>560</v>
      </c>
      <c r="B562" s="29" t="inlineStr">
        <is>
          <t>1</t>
        </is>
      </c>
      <c r="C562" s="30" t="inlineStr">
        <is>
          <t>GPT4</t>
        </is>
      </c>
      <c r="D562" s="29" t="inlineStr">
        <is>
          <t>Needs Help</t>
        </is>
      </c>
      <c r="E562" s="29">
        <f>MATCH(D562, {"Waiting for Input","Analyzing Object","Found Object","Needs Help","Confused","None"}, 0) - 1</f>
        <v/>
      </c>
      <c r="F562" s="31" t="inlineStr">
        <is>
          <t>Confused</t>
        </is>
      </c>
      <c r="G562" s="29">
        <f>MATCH(F562, {"Waiting for Input","Analyzing Object","Found Object","Needs Help","Confused","None"}, 0) - 1</f>
        <v/>
      </c>
      <c r="H562" s="29" t="n">
        <v>2</v>
      </c>
      <c r="I562" s="29">
        <f>IF(E562=G562, 1, 0)</f>
        <v/>
      </c>
    </row>
    <row r="563" ht="22" customHeight="1" s="270">
      <c r="A563" s="29" t="n">
        <v>561</v>
      </c>
      <c r="B563" s="29" t="inlineStr">
        <is>
          <t>2</t>
        </is>
      </c>
      <c r="C563" s="30" t="inlineStr">
        <is>
          <t>GPT4</t>
        </is>
      </c>
      <c r="D563" s="29" t="inlineStr">
        <is>
          <t>Needs Help</t>
        </is>
      </c>
      <c r="E563" s="29">
        <f>MATCH(D563, {"Waiting for Input","Analyzing Object","Found Object","Needs Help","Confused","None"}, 0) - 1</f>
        <v/>
      </c>
      <c r="F563" s="31" t="inlineStr">
        <is>
          <t>Found Object</t>
        </is>
      </c>
      <c r="G563" s="29">
        <f>MATCH(F563, {"Waiting for Input","Analyzing Object","Found Object","Needs Help","Confused","None"}, 0) - 1</f>
        <v/>
      </c>
      <c r="H563" s="29" t="n">
        <v>2</v>
      </c>
      <c r="I563" s="29">
        <f>IF(E563=G563, 1, 0)</f>
        <v/>
      </c>
    </row>
    <row r="564" ht="22" customHeight="1" s="270">
      <c r="A564" s="29" t="n">
        <v>562</v>
      </c>
      <c r="B564" s="29" t="inlineStr">
        <is>
          <t>2</t>
        </is>
      </c>
      <c r="C564" s="30" t="inlineStr">
        <is>
          <t>GPT4</t>
        </is>
      </c>
      <c r="D564" s="29" t="inlineStr">
        <is>
          <t>Needs Help</t>
        </is>
      </c>
      <c r="E564" s="29">
        <f>MATCH(D564, {"Waiting for Input","Analyzing Object","Found Object","Needs Help","Confused","None"}, 0) - 1</f>
        <v/>
      </c>
      <c r="F564" s="31" t="inlineStr">
        <is>
          <t>Needs Help</t>
        </is>
      </c>
      <c r="G564" s="29">
        <f>MATCH(F564, {"Waiting for Input","Analyzing Object","Found Object","Needs Help","Confused","None"}, 0) - 1</f>
        <v/>
      </c>
      <c r="H564" s="29" t="n">
        <v>4</v>
      </c>
      <c r="I564" s="29">
        <f>IF(E564=G564, 1, 0)</f>
        <v/>
      </c>
    </row>
    <row r="565" ht="22" customHeight="1" s="270">
      <c r="A565" s="29" t="n">
        <v>563</v>
      </c>
      <c r="B565" s="29" t="inlineStr">
        <is>
          <t>1</t>
        </is>
      </c>
      <c r="C565" s="30" t="inlineStr">
        <is>
          <t>GPT4</t>
        </is>
      </c>
      <c r="D565" s="29" t="inlineStr">
        <is>
          <t>Needs Help</t>
        </is>
      </c>
      <c r="E565" s="29">
        <f>MATCH(D565, {"Waiting for Input","Analyzing Object","Found Object","Needs Help","Confused","None"}, 0) - 1</f>
        <v/>
      </c>
      <c r="F565" s="31" t="inlineStr">
        <is>
          <t>None</t>
        </is>
      </c>
      <c r="G565" s="29">
        <f>MATCH(F565, {"Waiting for Input","Analyzing Object","Found Object","Needs Help","Confused","None"}, 0) - 1</f>
        <v/>
      </c>
      <c r="H565" s="29" t="n">
        <v>3</v>
      </c>
      <c r="I565" s="29">
        <f>IF(E565=G565, 1, 0)</f>
        <v/>
      </c>
    </row>
    <row r="566" ht="22" customHeight="1" s="270">
      <c r="A566" s="29" t="n">
        <v>564</v>
      </c>
      <c r="B566" s="29" t="inlineStr">
        <is>
          <t>1</t>
        </is>
      </c>
      <c r="C566" s="30" t="inlineStr">
        <is>
          <t>GPT4</t>
        </is>
      </c>
      <c r="D566" s="29" t="inlineStr">
        <is>
          <t>Needs Help</t>
        </is>
      </c>
      <c r="E566" s="29">
        <f>MATCH(D566, {"Waiting for Input","Analyzing Object","Found Object","Needs Help","Confused","None"}, 0) - 1</f>
        <v/>
      </c>
      <c r="F566" s="31" t="inlineStr">
        <is>
          <t>Needs Help</t>
        </is>
      </c>
      <c r="G566" s="29">
        <f>MATCH(F566, {"Waiting for Input","Analyzing Object","Found Object","Needs Help","Confused","None"}, 0) - 1</f>
        <v/>
      </c>
      <c r="H566" s="29" t="n">
        <v>3</v>
      </c>
      <c r="I566" s="29">
        <f>IF(E566=G566, 1, 0)</f>
        <v/>
      </c>
    </row>
    <row r="567" ht="22" customHeight="1" s="270">
      <c r="A567" s="29" t="n">
        <v>565</v>
      </c>
      <c r="B567" s="29" t="inlineStr">
        <is>
          <t>2</t>
        </is>
      </c>
      <c r="C567" s="30" t="inlineStr">
        <is>
          <t>GPT4</t>
        </is>
      </c>
      <c r="D567" s="29" t="inlineStr">
        <is>
          <t>Needs Help</t>
        </is>
      </c>
      <c r="E567" s="29">
        <f>MATCH(D567, {"Waiting for Input","Analyzing Object","Found Object","Needs Help","Confused","None"}, 0) - 1</f>
        <v/>
      </c>
      <c r="F567" s="31" t="inlineStr">
        <is>
          <t>Needs Help</t>
        </is>
      </c>
      <c r="G567" s="29">
        <f>MATCH(F567, {"Waiting for Input","Analyzing Object","Found Object","Needs Help","Confused","None"}, 0) - 1</f>
        <v/>
      </c>
      <c r="H567" s="29" t="n">
        <v>2</v>
      </c>
      <c r="I567" s="29">
        <f>IF(E567=G567, 1, 0)</f>
        <v/>
      </c>
    </row>
    <row r="568" ht="22" customHeight="1" s="270">
      <c r="A568" s="29" t="n">
        <v>566</v>
      </c>
      <c r="B568" s="29" t="inlineStr">
        <is>
          <t>2</t>
        </is>
      </c>
      <c r="C568" s="30" t="inlineStr">
        <is>
          <t>GPT4</t>
        </is>
      </c>
      <c r="D568" s="29" t="inlineStr">
        <is>
          <t>Needs Help</t>
        </is>
      </c>
      <c r="E568" s="29">
        <f>MATCH(D568, {"Waiting for Input","Analyzing Object","Found Object","Needs Help","Confused","None"}, 0) - 1</f>
        <v/>
      </c>
      <c r="F568" s="31" t="inlineStr">
        <is>
          <t>Needs Help</t>
        </is>
      </c>
      <c r="G568" s="29">
        <f>MATCH(F568, {"Waiting for Input","Analyzing Object","Found Object","Needs Help","Confused","None"}, 0) - 1</f>
        <v/>
      </c>
      <c r="H568" s="29" t="n">
        <v>3</v>
      </c>
      <c r="I568" s="29">
        <f>IF(E568=G568, 1, 0)</f>
        <v/>
      </c>
    </row>
    <row r="569" ht="22" customHeight="1" s="270">
      <c r="A569" s="29" t="n">
        <v>567</v>
      </c>
      <c r="B569" s="29" t="inlineStr">
        <is>
          <t>2</t>
        </is>
      </c>
      <c r="C569" s="30" t="inlineStr">
        <is>
          <t>GPT4</t>
        </is>
      </c>
      <c r="D569" s="29" t="inlineStr">
        <is>
          <t>Needs Help</t>
        </is>
      </c>
      <c r="E569" s="29">
        <f>MATCH(D569, {"Waiting for Input","Analyzing Object","Found Object","Needs Help","Confused","None"}, 0) - 1</f>
        <v/>
      </c>
      <c r="F569" s="31" t="inlineStr">
        <is>
          <t>None</t>
        </is>
      </c>
      <c r="G569" s="29">
        <f>MATCH(F569, {"Waiting for Input","Analyzing Object","Found Object","Needs Help","Confused","None"}, 0) - 1</f>
        <v/>
      </c>
      <c r="H569" s="29" t="n">
        <v>2</v>
      </c>
      <c r="I569" s="29">
        <f>IF(E569=G569, 1, 0)</f>
        <v/>
      </c>
    </row>
    <row r="570" ht="22" customHeight="1" s="270">
      <c r="A570" s="29" t="n">
        <v>568</v>
      </c>
      <c r="B570" s="29" t="inlineStr">
        <is>
          <t>2</t>
        </is>
      </c>
      <c r="C570" s="30" t="inlineStr">
        <is>
          <t>GPT4</t>
        </is>
      </c>
      <c r="D570" s="29" t="inlineStr">
        <is>
          <t>Needs Help</t>
        </is>
      </c>
      <c r="E570" s="29">
        <f>MATCH(D570, {"Waiting for Input","Analyzing Object","Found Object","Needs Help","Confused","None"}, 0) - 1</f>
        <v/>
      </c>
      <c r="F570" s="31" t="inlineStr">
        <is>
          <t>Needs Help</t>
        </is>
      </c>
      <c r="G570" s="29">
        <f>MATCH(F570, {"Waiting for Input","Analyzing Object","Found Object","Needs Help","Confused","None"}, 0) - 1</f>
        <v/>
      </c>
      <c r="H570" s="29" t="n">
        <v>3</v>
      </c>
      <c r="I570" s="29">
        <f>IF(E570=G570, 1, 0)</f>
        <v/>
      </c>
    </row>
    <row r="571" ht="22" customHeight="1" s="270">
      <c r="A571" s="29" t="n">
        <v>569</v>
      </c>
      <c r="B571" s="29" t="inlineStr">
        <is>
          <t>2</t>
        </is>
      </c>
      <c r="C571" s="30" t="inlineStr">
        <is>
          <t>GPT4</t>
        </is>
      </c>
      <c r="D571" s="29" t="inlineStr">
        <is>
          <t>Needs Help</t>
        </is>
      </c>
      <c r="E571" s="29">
        <f>MATCH(D571, {"Waiting for Input","Analyzing Object","Found Object","Needs Help","Confused","None"}, 0) - 1</f>
        <v/>
      </c>
      <c r="F571" s="31" t="inlineStr">
        <is>
          <t>Needs Help</t>
        </is>
      </c>
      <c r="G571" s="29">
        <f>MATCH(F571, {"Waiting for Input","Analyzing Object","Found Object","Needs Help","Confused","None"}, 0) - 1</f>
        <v/>
      </c>
      <c r="H571" s="29" t="n">
        <v>3</v>
      </c>
      <c r="I571" s="29">
        <f>IF(E571=G571, 1, 0)</f>
        <v/>
      </c>
    </row>
    <row r="572" ht="22" customHeight="1" s="270">
      <c r="A572" s="29" t="n">
        <v>570</v>
      </c>
      <c r="B572" s="29" t="inlineStr">
        <is>
          <t>2</t>
        </is>
      </c>
      <c r="C572" s="30" t="inlineStr">
        <is>
          <t>GPT4</t>
        </is>
      </c>
      <c r="D572" s="29" t="inlineStr">
        <is>
          <t>Needs Help</t>
        </is>
      </c>
      <c r="E572" s="29">
        <f>MATCH(D572, {"Waiting for Input","Analyzing Object","Found Object","Needs Help","Confused","None"}, 0) - 1</f>
        <v/>
      </c>
      <c r="F572" s="31" t="inlineStr">
        <is>
          <t>Needs Help</t>
        </is>
      </c>
      <c r="G572" s="29">
        <f>MATCH(F572, {"Waiting for Input","Analyzing Object","Found Object","Needs Help","Confused","None"}, 0) - 1</f>
        <v/>
      </c>
      <c r="H572" s="29" t="n">
        <v>4</v>
      </c>
      <c r="I572" s="29">
        <f>IF(E572=G572, 1, 0)</f>
        <v/>
      </c>
    </row>
    <row r="573" ht="22" customHeight="1" s="270">
      <c r="A573" s="29" t="n">
        <v>571</v>
      </c>
      <c r="B573" s="29" t="inlineStr">
        <is>
          <t>1</t>
        </is>
      </c>
      <c r="C573" s="30" t="inlineStr">
        <is>
          <t>GPT4</t>
        </is>
      </c>
      <c r="D573" s="29" t="inlineStr">
        <is>
          <t>Needs Help</t>
        </is>
      </c>
      <c r="E573" s="29">
        <f>MATCH(D573, {"Waiting for Input","Analyzing Object","Found Object","Needs Help","Confused","None"}, 0) - 1</f>
        <v/>
      </c>
      <c r="F573" s="31" t="inlineStr">
        <is>
          <t>Analyzing Object</t>
        </is>
      </c>
      <c r="G573" s="29">
        <f>MATCH(F573, {"Waiting for Input","Analyzing Object","Found Object","Needs Help","Confused","None"}, 0) - 1</f>
        <v/>
      </c>
      <c r="H573" s="29" t="n">
        <v>2</v>
      </c>
      <c r="I573" s="29">
        <f>IF(E573=G573, 1, 0)</f>
        <v/>
      </c>
    </row>
    <row r="574" ht="22" customHeight="1" s="270">
      <c r="A574" s="29" t="n">
        <v>572</v>
      </c>
      <c r="B574" s="29" t="inlineStr">
        <is>
          <t>2</t>
        </is>
      </c>
      <c r="C574" s="30" t="inlineStr">
        <is>
          <t>GPT4</t>
        </is>
      </c>
      <c r="D574" s="29" t="inlineStr">
        <is>
          <t>Needs Help</t>
        </is>
      </c>
      <c r="E574" s="29">
        <f>MATCH(D574, {"Waiting for Input","Analyzing Object","Found Object","Needs Help","Confused","None"}, 0) - 1</f>
        <v/>
      </c>
      <c r="F574" s="31" t="inlineStr">
        <is>
          <t>Waiting for Input</t>
        </is>
      </c>
      <c r="G574" s="29">
        <f>MATCH(F574, {"Waiting for Input","Analyzing Object","Found Object","Needs Help","Confused","None"}, 0) - 1</f>
        <v/>
      </c>
      <c r="H574" s="29" t="n">
        <v>3</v>
      </c>
      <c r="I574" s="29">
        <f>IF(E574=G574, 1, 0)</f>
        <v/>
      </c>
    </row>
    <row r="575" ht="22" customHeight="1" s="270">
      <c r="A575" s="29" t="n">
        <v>573</v>
      </c>
      <c r="B575" s="29" t="inlineStr">
        <is>
          <t>1</t>
        </is>
      </c>
      <c r="C575" s="30" t="inlineStr">
        <is>
          <t>GPT4</t>
        </is>
      </c>
      <c r="D575" s="29" t="inlineStr">
        <is>
          <t>Needs Help</t>
        </is>
      </c>
      <c r="E575" s="29">
        <f>MATCH(D575, {"Waiting for Input","Analyzing Object","Found Object","Needs Help","Confused","None"}, 0) - 1</f>
        <v/>
      </c>
      <c r="F575" s="31" t="inlineStr">
        <is>
          <t>Needs Help</t>
        </is>
      </c>
      <c r="G575" s="29">
        <f>MATCH(F575, {"Waiting for Input","Analyzing Object","Found Object","Needs Help","Confused","None"}, 0) - 1</f>
        <v/>
      </c>
      <c r="H575" s="29" t="n">
        <v>4</v>
      </c>
      <c r="I575" s="29">
        <f>IF(E575=G575, 1, 0)</f>
        <v/>
      </c>
    </row>
    <row r="576" ht="22" customHeight="1" s="270">
      <c r="A576" s="29" t="n">
        <v>574</v>
      </c>
      <c r="B576" s="29" t="inlineStr">
        <is>
          <t>1</t>
        </is>
      </c>
      <c r="C576" s="30" t="inlineStr">
        <is>
          <t>GPT4</t>
        </is>
      </c>
      <c r="D576" s="29" t="inlineStr">
        <is>
          <t>Needs Help</t>
        </is>
      </c>
      <c r="E576" s="29">
        <f>MATCH(D576, {"Waiting for Input","Analyzing Object","Found Object","Needs Help","Confused","None"}, 0) - 1</f>
        <v/>
      </c>
      <c r="F576" s="31" t="inlineStr">
        <is>
          <t>Needs Help</t>
        </is>
      </c>
      <c r="G576" s="29">
        <f>MATCH(F576, {"Waiting for Input","Analyzing Object","Found Object","Needs Help","Confused","None"}, 0) - 1</f>
        <v/>
      </c>
      <c r="H576" s="29" t="n">
        <v>3</v>
      </c>
      <c r="I576" s="29">
        <f>IF(E576=G576, 1, 0)</f>
        <v/>
      </c>
    </row>
    <row r="577" ht="22" customHeight="1" s="270">
      <c r="A577" s="29" t="n">
        <v>575</v>
      </c>
      <c r="B577" s="29" t="inlineStr">
        <is>
          <t>1</t>
        </is>
      </c>
      <c r="C577" s="30" t="inlineStr">
        <is>
          <t>GPT4</t>
        </is>
      </c>
      <c r="D577" s="29" t="inlineStr">
        <is>
          <t>Needs Help</t>
        </is>
      </c>
      <c r="E577" s="29">
        <f>MATCH(D577, {"Waiting for Input","Analyzing Object","Found Object","Needs Help","Confused","None"}, 0) - 1</f>
        <v/>
      </c>
      <c r="F577" s="31" t="inlineStr">
        <is>
          <t>Needs Help</t>
        </is>
      </c>
      <c r="G577" s="29">
        <f>MATCH(F577, {"Waiting for Input","Analyzing Object","Found Object","Needs Help","Confused","None"}, 0) - 1</f>
        <v/>
      </c>
      <c r="H577" s="29" t="n">
        <v>2</v>
      </c>
      <c r="I577" s="29">
        <f>IF(E577=G577, 1, 0)</f>
        <v/>
      </c>
    </row>
    <row r="578" ht="22" customHeight="1" s="270">
      <c r="A578" s="29" t="n">
        <v>576</v>
      </c>
      <c r="B578" s="29" t="inlineStr">
        <is>
          <t>2</t>
        </is>
      </c>
      <c r="C578" s="30" t="inlineStr">
        <is>
          <t>GPT4</t>
        </is>
      </c>
      <c r="D578" s="29" t="inlineStr">
        <is>
          <t>Needs Help</t>
        </is>
      </c>
      <c r="E578" s="29">
        <f>MATCH(D578, {"Waiting for Input","Analyzing Object","Found Object","Needs Help","Confused","None"}, 0) - 1</f>
        <v/>
      </c>
      <c r="F578" s="31" t="inlineStr">
        <is>
          <t>None</t>
        </is>
      </c>
      <c r="G578" s="29">
        <f>MATCH(F578, {"Waiting for Input","Analyzing Object","Found Object","Needs Help","Confused","None"}, 0) - 1</f>
        <v/>
      </c>
      <c r="H578" s="29" t="n">
        <v>1</v>
      </c>
      <c r="I578" s="29">
        <f>IF(E578=G578, 1, 0)</f>
        <v/>
      </c>
    </row>
    <row r="579" ht="22" customHeight="1" s="270">
      <c r="A579" s="29" t="n">
        <v>577</v>
      </c>
      <c r="B579" s="29" t="inlineStr">
        <is>
          <t>2</t>
        </is>
      </c>
      <c r="C579" s="30" t="inlineStr">
        <is>
          <t>GPT4</t>
        </is>
      </c>
      <c r="D579" s="29" t="inlineStr">
        <is>
          <t>Needs Help</t>
        </is>
      </c>
      <c r="E579" s="29">
        <f>MATCH(D579, {"Waiting for Input","Analyzing Object","Found Object","Needs Help","Confused","None"}, 0) - 1</f>
        <v/>
      </c>
      <c r="F579" s="31" t="inlineStr">
        <is>
          <t>Waiting for Input</t>
        </is>
      </c>
      <c r="G579" s="29">
        <f>MATCH(F579, {"Waiting for Input","Analyzing Object","Found Object","Needs Help","Confused","None"}, 0) - 1</f>
        <v/>
      </c>
      <c r="H579" s="29" t="n">
        <v>5</v>
      </c>
      <c r="I579" s="29">
        <f>IF(E579=G579, 1, 0)</f>
        <v/>
      </c>
    </row>
    <row r="580" ht="22" customHeight="1" s="270">
      <c r="A580" s="29" t="n">
        <v>578</v>
      </c>
      <c r="B580" s="29" t="inlineStr">
        <is>
          <t>1</t>
        </is>
      </c>
      <c r="C580" s="30" t="inlineStr">
        <is>
          <t>GPT4</t>
        </is>
      </c>
      <c r="D580" s="29" t="inlineStr">
        <is>
          <t>Needs Help</t>
        </is>
      </c>
      <c r="E580" s="29">
        <f>MATCH(D580, {"Waiting for Input","Analyzing Object","Found Object","Needs Help","Confused","None"}, 0) - 1</f>
        <v/>
      </c>
      <c r="F580" s="31" t="inlineStr">
        <is>
          <t>Needs Help</t>
        </is>
      </c>
      <c r="G580" s="29">
        <f>MATCH(F580, {"Waiting for Input","Analyzing Object","Found Object","Needs Help","Confused","None"}, 0) - 1</f>
        <v/>
      </c>
      <c r="H580" s="29" t="n">
        <v>4</v>
      </c>
      <c r="I580" s="29">
        <f>IF(E580=G580, 1, 0)</f>
        <v/>
      </c>
    </row>
    <row r="581" ht="22" customHeight="1" s="270">
      <c r="A581" s="29" t="n">
        <v>579</v>
      </c>
      <c r="B581" s="29" t="inlineStr">
        <is>
          <t>1</t>
        </is>
      </c>
      <c r="C581" s="30" t="inlineStr">
        <is>
          <t>GPT4</t>
        </is>
      </c>
      <c r="D581" s="29" t="inlineStr">
        <is>
          <t>Needs Help</t>
        </is>
      </c>
      <c r="E581" s="29">
        <f>MATCH(D581, {"Waiting for Input","Analyzing Object","Found Object","Needs Help","Confused","None"}, 0) - 1</f>
        <v/>
      </c>
      <c r="F581" s="31" t="inlineStr">
        <is>
          <t>Needs Help</t>
        </is>
      </c>
      <c r="G581" s="29">
        <f>MATCH(F581, {"Waiting for Input","Analyzing Object","Found Object","Needs Help","Confused","None"}, 0) - 1</f>
        <v/>
      </c>
      <c r="H581" s="29" t="n">
        <v>4</v>
      </c>
      <c r="I581" s="29">
        <f>IF(E581=G581, 1, 0)</f>
        <v/>
      </c>
    </row>
    <row r="582" ht="22" customHeight="1" s="270">
      <c r="A582" s="29" t="n">
        <v>580</v>
      </c>
      <c r="B582" s="29" t="inlineStr">
        <is>
          <t>1</t>
        </is>
      </c>
      <c r="C582" s="30" t="inlineStr">
        <is>
          <t>GPT4</t>
        </is>
      </c>
      <c r="D582" s="29" t="inlineStr">
        <is>
          <t>Needs Help</t>
        </is>
      </c>
      <c r="E582" s="29">
        <f>MATCH(D582, {"Waiting for Input","Analyzing Object","Found Object","Needs Help","Confused","None"}, 0) - 1</f>
        <v/>
      </c>
      <c r="F582" s="31" t="inlineStr">
        <is>
          <t>Waiting for Input</t>
        </is>
      </c>
      <c r="G582" s="29">
        <f>MATCH(F582, {"Waiting for Input","Analyzing Object","Found Object","Needs Help","Confused","None"}, 0) - 1</f>
        <v/>
      </c>
      <c r="H582" s="29" t="n">
        <v>3</v>
      </c>
      <c r="I582" s="29">
        <f>IF(E582=G582, 1, 0)</f>
        <v/>
      </c>
    </row>
    <row r="583" ht="22" customHeight="1" s="270">
      <c r="A583" s="29" t="n">
        <v>581</v>
      </c>
      <c r="B583" s="29" t="inlineStr">
        <is>
          <t>2</t>
        </is>
      </c>
      <c r="C583" s="30" t="inlineStr">
        <is>
          <t>GPT4</t>
        </is>
      </c>
      <c r="D583" s="29" t="inlineStr">
        <is>
          <t>Needs Help</t>
        </is>
      </c>
      <c r="E583" s="29">
        <f>MATCH(D583, {"Waiting for Input","Analyzing Object","Found Object","Needs Help","Confused","None"}, 0) - 1</f>
        <v/>
      </c>
      <c r="F583" s="31" t="inlineStr">
        <is>
          <t>None</t>
        </is>
      </c>
      <c r="G583" s="29">
        <f>MATCH(F583, {"Waiting for Input","Analyzing Object","Found Object","Needs Help","Confused","None"}, 0) - 1</f>
        <v/>
      </c>
      <c r="H583" s="29" t="n">
        <v>3</v>
      </c>
      <c r="I583" s="29">
        <f>IF(E583=G583, 1, 0)</f>
        <v/>
      </c>
    </row>
    <row r="584" ht="22" customHeight="1" s="270">
      <c r="A584" s="29" t="n">
        <v>582</v>
      </c>
      <c r="B584" s="29" t="inlineStr">
        <is>
          <t>2</t>
        </is>
      </c>
      <c r="C584" s="30" t="inlineStr">
        <is>
          <t>GPT4</t>
        </is>
      </c>
      <c r="D584" s="29" t="inlineStr">
        <is>
          <t>Needs Help</t>
        </is>
      </c>
      <c r="E584" s="29">
        <f>MATCH(D584, {"Waiting for Input","Analyzing Object","Found Object","Needs Help","Confused","None"}, 0) - 1</f>
        <v/>
      </c>
      <c r="F584" s="31" t="inlineStr">
        <is>
          <t>Needs Help</t>
        </is>
      </c>
      <c r="G584" s="29">
        <f>MATCH(F584, {"Waiting for Input","Analyzing Object","Found Object","Needs Help","Confused","None"}, 0) - 1</f>
        <v/>
      </c>
      <c r="H584" s="29" t="n">
        <v>3</v>
      </c>
      <c r="I584" s="29">
        <f>IF(E584=G584, 1, 0)</f>
        <v/>
      </c>
    </row>
    <row r="585" ht="22" customHeight="1" s="270">
      <c r="A585" s="29" t="n">
        <v>583</v>
      </c>
      <c r="B585" s="29" t="inlineStr">
        <is>
          <t>2</t>
        </is>
      </c>
      <c r="C585" s="30" t="inlineStr">
        <is>
          <t>GPT4</t>
        </is>
      </c>
      <c r="D585" s="29" t="inlineStr">
        <is>
          <t>Needs Help</t>
        </is>
      </c>
      <c r="E585" s="29">
        <f>MATCH(D585, {"Waiting for Input","Analyzing Object","Found Object","Needs Help","Confused","None"}, 0) - 1</f>
        <v/>
      </c>
      <c r="F585" s="31" t="inlineStr">
        <is>
          <t>Needs Help</t>
        </is>
      </c>
      <c r="G585" s="29">
        <f>MATCH(F585, {"Waiting for Input","Analyzing Object","Found Object","Needs Help","Confused","None"}, 0) - 1</f>
        <v/>
      </c>
      <c r="H585" s="29" t="n">
        <v>2</v>
      </c>
      <c r="I585" s="29">
        <f>IF(E585=G585, 1, 0)</f>
        <v/>
      </c>
    </row>
    <row r="586" ht="22" customHeight="1" s="270">
      <c r="A586" s="29" t="n">
        <v>584</v>
      </c>
      <c r="B586" s="29" t="inlineStr">
        <is>
          <t>2</t>
        </is>
      </c>
      <c r="C586" s="30" t="inlineStr">
        <is>
          <t>GPT4</t>
        </is>
      </c>
      <c r="D586" s="29" t="inlineStr">
        <is>
          <t>Needs Help</t>
        </is>
      </c>
      <c r="E586" s="29">
        <f>MATCH(D586, {"Waiting for Input","Analyzing Object","Found Object","Needs Help","Confused","None"}, 0) - 1</f>
        <v/>
      </c>
      <c r="F586" s="31" t="inlineStr">
        <is>
          <t>Waiting for Input</t>
        </is>
      </c>
      <c r="G586" s="29">
        <f>MATCH(F586, {"Waiting for Input","Analyzing Object","Found Object","Needs Help","Confused","None"}, 0) - 1</f>
        <v/>
      </c>
      <c r="H586" s="29" t="n">
        <v>4</v>
      </c>
      <c r="I586" s="29">
        <f>IF(E586=G586, 1, 0)</f>
        <v/>
      </c>
    </row>
    <row r="587" ht="22" customHeight="1" s="270">
      <c r="A587" s="29" t="n">
        <v>585</v>
      </c>
      <c r="B587" s="29" t="inlineStr">
        <is>
          <t>2</t>
        </is>
      </c>
      <c r="C587" s="30" t="inlineStr">
        <is>
          <t>GPT4</t>
        </is>
      </c>
      <c r="D587" s="29" t="inlineStr">
        <is>
          <t>Needs Help</t>
        </is>
      </c>
      <c r="E587" s="29">
        <f>MATCH(D587, {"Waiting for Input","Analyzing Object","Found Object","Needs Help","Confused","None"}, 0) - 1</f>
        <v/>
      </c>
      <c r="F587" s="31" t="inlineStr">
        <is>
          <t>Needs Help</t>
        </is>
      </c>
      <c r="G587" s="29">
        <f>MATCH(F587, {"Waiting for Input","Analyzing Object","Found Object","Needs Help","Confused","None"}, 0) - 1</f>
        <v/>
      </c>
      <c r="H587" s="29" t="n">
        <v>3</v>
      </c>
      <c r="I587" s="29">
        <f>IF(E587=G587, 1, 0)</f>
        <v/>
      </c>
    </row>
    <row r="588" ht="22" customHeight="1" s="270">
      <c r="A588" s="29" t="n">
        <v>586</v>
      </c>
      <c r="B588" s="29" t="inlineStr">
        <is>
          <t>2</t>
        </is>
      </c>
      <c r="C588" s="30" t="inlineStr">
        <is>
          <t>GPT4</t>
        </is>
      </c>
      <c r="D588" s="29" t="inlineStr">
        <is>
          <t>Needs Help</t>
        </is>
      </c>
      <c r="E588" s="29">
        <f>MATCH(D588, {"Waiting for Input","Analyzing Object","Found Object","Needs Help","Confused","None"}, 0) - 1</f>
        <v/>
      </c>
      <c r="F588" s="31" t="inlineStr">
        <is>
          <t>Needs Help</t>
        </is>
      </c>
      <c r="G588" s="29">
        <f>MATCH(F588, {"Waiting for Input","Analyzing Object","Found Object","Needs Help","Confused","None"}, 0) - 1</f>
        <v/>
      </c>
      <c r="H588" s="29" t="n">
        <v>3</v>
      </c>
      <c r="I588" s="29">
        <f>IF(E588=G588, 1, 0)</f>
        <v/>
      </c>
    </row>
    <row r="589" ht="22" customHeight="1" s="270">
      <c r="A589" s="29" t="n">
        <v>587</v>
      </c>
      <c r="B589" s="29" t="inlineStr">
        <is>
          <t>2</t>
        </is>
      </c>
      <c r="C589" s="30" t="inlineStr">
        <is>
          <t>GPT4</t>
        </is>
      </c>
      <c r="D589" s="29" t="inlineStr">
        <is>
          <t>Needs Help</t>
        </is>
      </c>
      <c r="E589" s="29">
        <f>MATCH(D589, {"Waiting for Input","Analyzing Object","Found Object","Needs Help","Confused","None"}, 0) - 1</f>
        <v/>
      </c>
      <c r="F589" s="31" t="inlineStr">
        <is>
          <t>Analyzing Object</t>
        </is>
      </c>
      <c r="G589" s="29">
        <f>MATCH(F589, {"Waiting for Input","Analyzing Object","Found Object","Needs Help","Confused","None"}, 0) - 1</f>
        <v/>
      </c>
      <c r="H589" s="29" t="n">
        <v>2</v>
      </c>
      <c r="I589" s="29">
        <f>IF(E589=G589, 1, 0)</f>
        <v/>
      </c>
    </row>
    <row r="590" ht="22" customHeight="1" s="270">
      <c r="A590" s="29" t="n">
        <v>588</v>
      </c>
      <c r="B590" s="29" t="inlineStr">
        <is>
          <t>2</t>
        </is>
      </c>
      <c r="C590" s="30" t="inlineStr">
        <is>
          <t>GPT4</t>
        </is>
      </c>
      <c r="D590" s="29" t="inlineStr">
        <is>
          <t>Needs Help</t>
        </is>
      </c>
      <c r="E590" s="29">
        <f>MATCH(D590, {"Waiting for Input","Analyzing Object","Found Object","Needs Help","Confused","None"}, 0) - 1</f>
        <v/>
      </c>
      <c r="F590" s="31" t="inlineStr">
        <is>
          <t>Waiting for Input</t>
        </is>
      </c>
      <c r="G590" s="29">
        <f>MATCH(F590, {"Waiting for Input","Analyzing Object","Found Object","Needs Help","Confused","None"}, 0) - 1</f>
        <v/>
      </c>
      <c r="H590" s="29" t="n">
        <v>2</v>
      </c>
      <c r="I590" s="29">
        <f>IF(E590=G590, 1, 0)</f>
        <v/>
      </c>
    </row>
    <row r="591" ht="22" customHeight="1" s="270">
      <c r="A591" s="29" t="n">
        <v>589</v>
      </c>
      <c r="B591" s="29" t="inlineStr">
        <is>
          <t>2</t>
        </is>
      </c>
      <c r="C591" s="30" t="inlineStr">
        <is>
          <t>GPT4</t>
        </is>
      </c>
      <c r="D591" s="29" t="inlineStr">
        <is>
          <t>Needs Help</t>
        </is>
      </c>
      <c r="E591" s="29">
        <f>MATCH(D591, {"Waiting for Input","Analyzing Object","Found Object","Needs Help","Confused","None"}, 0) - 1</f>
        <v/>
      </c>
      <c r="F591" s="31" t="inlineStr">
        <is>
          <t>Confused</t>
        </is>
      </c>
      <c r="G591" s="29">
        <f>MATCH(F591, {"Waiting for Input","Analyzing Object","Found Object","Needs Help","Confused","None"}, 0) - 1</f>
        <v/>
      </c>
      <c r="H591" s="29" t="n">
        <v>3</v>
      </c>
      <c r="I591" s="29">
        <f>IF(E591=G591, 1, 0)</f>
        <v/>
      </c>
    </row>
    <row r="592" ht="22" customHeight="1" s="270">
      <c r="A592" s="29" t="n">
        <v>590</v>
      </c>
      <c r="B592" s="29" t="inlineStr">
        <is>
          <t>2</t>
        </is>
      </c>
      <c r="C592" s="30" t="inlineStr">
        <is>
          <t>GPT4</t>
        </is>
      </c>
      <c r="D592" s="29" t="inlineStr">
        <is>
          <t>Needs Help</t>
        </is>
      </c>
      <c r="E592" s="29">
        <f>MATCH(D592, {"Waiting for Input","Analyzing Object","Found Object","Needs Help","Confused","None"}, 0) - 1</f>
        <v/>
      </c>
      <c r="F592" s="31" t="inlineStr">
        <is>
          <t>None</t>
        </is>
      </c>
      <c r="G592" s="29">
        <f>MATCH(F592, {"Waiting for Input","Analyzing Object","Found Object","Needs Help","Confused","None"}, 0) - 1</f>
        <v/>
      </c>
      <c r="H592" s="29" t="n">
        <v>3</v>
      </c>
      <c r="I592" s="29">
        <f>IF(E592=G592, 1, 0)</f>
        <v/>
      </c>
    </row>
    <row r="593" ht="22" customHeight="1" s="270">
      <c r="A593" s="29" t="n">
        <v>591</v>
      </c>
      <c r="B593" s="29" t="inlineStr">
        <is>
          <t>1</t>
        </is>
      </c>
      <c r="C593" s="30" t="inlineStr">
        <is>
          <t>GPT4</t>
        </is>
      </c>
      <c r="D593" s="29" t="inlineStr">
        <is>
          <t>Needs Help</t>
        </is>
      </c>
      <c r="E593" s="29">
        <f>MATCH(D593, {"Waiting for Input","Analyzing Object","Found Object","Needs Help","Confused","None"}, 0) - 1</f>
        <v/>
      </c>
      <c r="F593" s="31" t="inlineStr">
        <is>
          <t>Analyzing Object</t>
        </is>
      </c>
      <c r="G593" s="29">
        <f>MATCH(F593, {"Waiting for Input","Analyzing Object","Found Object","Needs Help","Confused","None"}, 0) - 1</f>
        <v/>
      </c>
      <c r="H593" s="29" t="n">
        <v>4</v>
      </c>
      <c r="I593" s="29">
        <f>IF(E593=G593, 1, 0)</f>
        <v/>
      </c>
    </row>
    <row r="594" ht="22" customHeight="1" s="270">
      <c r="A594" s="29" t="n">
        <v>592</v>
      </c>
      <c r="B594" s="29" t="inlineStr">
        <is>
          <t>2</t>
        </is>
      </c>
      <c r="C594" s="30" t="inlineStr">
        <is>
          <t>GPT4</t>
        </is>
      </c>
      <c r="D594" s="29" t="inlineStr">
        <is>
          <t>Needs Help</t>
        </is>
      </c>
      <c r="E594" s="29">
        <f>MATCH(D594, {"Waiting for Input","Analyzing Object","Found Object","Needs Help","Confused","None"}, 0) - 1</f>
        <v/>
      </c>
      <c r="F594" s="31" t="inlineStr">
        <is>
          <t>Analyzing Object</t>
        </is>
      </c>
      <c r="G594" s="29">
        <f>MATCH(F594, {"Waiting for Input","Analyzing Object","Found Object","Needs Help","Confused","None"}, 0) - 1</f>
        <v/>
      </c>
      <c r="H594" s="29" t="n">
        <v>4</v>
      </c>
      <c r="I594" s="29">
        <f>IF(E594=G594, 1, 0)</f>
        <v/>
      </c>
    </row>
    <row r="595" ht="22" customHeight="1" s="270">
      <c r="A595" s="29" t="n">
        <v>593</v>
      </c>
      <c r="B595" s="29" t="inlineStr">
        <is>
          <t>2</t>
        </is>
      </c>
      <c r="C595" s="30" t="inlineStr">
        <is>
          <t>GPT4</t>
        </is>
      </c>
      <c r="D595" s="29" t="inlineStr">
        <is>
          <t>Needs Help</t>
        </is>
      </c>
      <c r="E595" s="29">
        <f>MATCH(D595, {"Waiting for Input","Analyzing Object","Found Object","Needs Help","Confused","None"}, 0) - 1</f>
        <v/>
      </c>
      <c r="F595" s="31" t="inlineStr">
        <is>
          <t>Analyzing Object</t>
        </is>
      </c>
      <c r="G595" s="29">
        <f>MATCH(F595, {"Waiting for Input","Analyzing Object","Found Object","Needs Help","Confused","None"}, 0) - 1</f>
        <v/>
      </c>
      <c r="H595" s="29" t="n">
        <v>3</v>
      </c>
      <c r="I595" s="29">
        <f>IF(E595=G595, 1, 0)</f>
        <v/>
      </c>
    </row>
    <row r="596" ht="22" customHeight="1" s="270">
      <c r="A596" s="29" t="n">
        <v>594</v>
      </c>
      <c r="B596" s="29" t="inlineStr">
        <is>
          <t>1</t>
        </is>
      </c>
      <c r="C596" s="30" t="inlineStr">
        <is>
          <t>GPT4</t>
        </is>
      </c>
      <c r="D596" s="29" t="inlineStr">
        <is>
          <t>Needs Help</t>
        </is>
      </c>
      <c r="E596" s="29">
        <f>MATCH(D596, {"Waiting for Input","Analyzing Object","Found Object","Needs Help","Confused","None"}, 0) - 1</f>
        <v/>
      </c>
      <c r="F596" s="31" t="inlineStr">
        <is>
          <t>Needs Help</t>
        </is>
      </c>
      <c r="G596" s="29">
        <f>MATCH(F596, {"Waiting for Input","Analyzing Object","Found Object","Needs Help","Confused","None"}, 0) - 1</f>
        <v/>
      </c>
      <c r="H596" s="29" t="n">
        <v>2</v>
      </c>
      <c r="I596" s="29">
        <f>IF(E596=G596, 1, 0)</f>
        <v/>
      </c>
    </row>
    <row r="597" ht="22" customHeight="1" s="270">
      <c r="A597" s="29" t="n">
        <v>595</v>
      </c>
      <c r="B597" s="29" t="inlineStr">
        <is>
          <t>2</t>
        </is>
      </c>
      <c r="C597" s="30" t="inlineStr">
        <is>
          <t>GPT4</t>
        </is>
      </c>
      <c r="D597" s="29" t="inlineStr">
        <is>
          <t>Needs Help</t>
        </is>
      </c>
      <c r="E597" s="29">
        <f>MATCH(D597, {"Waiting for Input","Analyzing Object","Found Object","Needs Help","Confused","None"}, 0) - 1</f>
        <v/>
      </c>
      <c r="F597" s="31" t="inlineStr">
        <is>
          <t>Needs Help</t>
        </is>
      </c>
      <c r="G597" s="29">
        <f>MATCH(F597, {"Waiting for Input","Analyzing Object","Found Object","Needs Help","Confused","None"}, 0) - 1</f>
        <v/>
      </c>
      <c r="H597" s="29" t="n">
        <v>2</v>
      </c>
      <c r="I597" s="29">
        <f>IF(E597=G597, 1, 0)</f>
        <v/>
      </c>
    </row>
    <row r="598" ht="22" customHeight="1" s="270">
      <c r="A598" s="29" t="n">
        <v>596</v>
      </c>
      <c r="B598" s="29" t="inlineStr">
        <is>
          <t>2</t>
        </is>
      </c>
      <c r="C598" s="30" t="inlineStr">
        <is>
          <t>GPT4</t>
        </is>
      </c>
      <c r="D598" s="29" t="inlineStr">
        <is>
          <t>Needs Help</t>
        </is>
      </c>
      <c r="E598" s="29">
        <f>MATCH(D598, {"Waiting for Input","Analyzing Object","Found Object","Needs Help","Confused","None"}, 0) - 1</f>
        <v/>
      </c>
      <c r="F598" s="31" t="inlineStr">
        <is>
          <t>Needs Help</t>
        </is>
      </c>
      <c r="G598" s="29">
        <f>MATCH(F598, {"Waiting for Input","Analyzing Object","Found Object","Needs Help","Confused","None"}, 0) - 1</f>
        <v/>
      </c>
      <c r="H598" s="29" t="n">
        <v>3</v>
      </c>
      <c r="I598" s="29">
        <f>IF(E598=G598, 1, 0)</f>
        <v/>
      </c>
    </row>
    <row r="599" ht="22" customHeight="1" s="270">
      <c r="A599" s="29" t="n">
        <v>597</v>
      </c>
      <c r="B599" s="29" t="inlineStr">
        <is>
          <t>2</t>
        </is>
      </c>
      <c r="C599" s="30" t="inlineStr">
        <is>
          <t>GPT4</t>
        </is>
      </c>
      <c r="D599" s="29" t="inlineStr">
        <is>
          <t>Needs Help</t>
        </is>
      </c>
      <c r="E599" s="29">
        <f>MATCH(D599, {"Waiting for Input","Analyzing Object","Found Object","Needs Help","Confused","None"}, 0) - 1</f>
        <v/>
      </c>
      <c r="F599" s="31" t="inlineStr">
        <is>
          <t>Needs Help</t>
        </is>
      </c>
      <c r="G599" s="29">
        <f>MATCH(F599, {"Waiting for Input","Analyzing Object","Found Object","Needs Help","Confused","None"}, 0) - 1</f>
        <v/>
      </c>
      <c r="H599" s="29" t="n">
        <v>2</v>
      </c>
      <c r="I599" s="29">
        <f>IF(E599=G599, 1, 0)</f>
        <v/>
      </c>
    </row>
    <row r="600" ht="22" customHeight="1" s="270">
      <c r="A600" s="29" t="n">
        <v>598</v>
      </c>
      <c r="B600" s="29" t="inlineStr">
        <is>
          <t>1</t>
        </is>
      </c>
      <c r="C600" s="30" t="inlineStr">
        <is>
          <t>GPT4</t>
        </is>
      </c>
      <c r="D600" s="29" t="inlineStr">
        <is>
          <t>Needs Help</t>
        </is>
      </c>
      <c r="E600" s="29">
        <f>MATCH(D600, {"Waiting for Input","Analyzing Object","Found Object","Needs Help","Confused","None"}, 0) - 1</f>
        <v/>
      </c>
      <c r="F600" s="31" t="inlineStr">
        <is>
          <t>Found Object</t>
        </is>
      </c>
      <c r="G600" s="29">
        <f>MATCH(F600, {"Waiting for Input","Analyzing Object","Found Object","Needs Help","Confused","None"}, 0) - 1</f>
        <v/>
      </c>
      <c r="H600" s="29" t="n">
        <v>5</v>
      </c>
      <c r="I600" s="29">
        <f>IF(E600=G600, 1, 0)</f>
        <v/>
      </c>
    </row>
    <row r="601" ht="22" customHeight="1" s="270">
      <c r="A601" s="29" t="n">
        <v>599</v>
      </c>
      <c r="B601" s="29" t="inlineStr">
        <is>
          <t>2</t>
        </is>
      </c>
      <c r="C601" s="30" t="inlineStr">
        <is>
          <t>GPT4</t>
        </is>
      </c>
      <c r="D601" s="29" t="inlineStr">
        <is>
          <t>Needs Help</t>
        </is>
      </c>
      <c r="E601" s="29">
        <f>MATCH(D601, {"Waiting for Input","Analyzing Object","Found Object","Needs Help","Confused","None"}, 0) - 1</f>
        <v/>
      </c>
      <c r="F601" s="31" t="inlineStr">
        <is>
          <t>Needs Help</t>
        </is>
      </c>
      <c r="G601" s="29">
        <f>MATCH(F601, {"Waiting for Input","Analyzing Object","Found Object","Needs Help","Confused","None"}, 0) - 1</f>
        <v/>
      </c>
      <c r="H601" s="29" t="n">
        <v>3</v>
      </c>
      <c r="I601" s="29">
        <f>IF(E601=G601, 1, 0)</f>
        <v/>
      </c>
    </row>
    <row r="602" ht="22" customHeight="1" s="270">
      <c r="A602" s="29" t="n">
        <v>600</v>
      </c>
      <c r="B602" s="29" t="inlineStr">
        <is>
          <t>1</t>
        </is>
      </c>
      <c r="C602" s="30" t="inlineStr">
        <is>
          <t>Human</t>
        </is>
      </c>
      <c r="D602" s="29" t="inlineStr">
        <is>
          <t>Needs Help</t>
        </is>
      </c>
      <c r="E602" s="29">
        <f>MATCH(D602, {"Waiting for Input","Analyzing Object","Found Object","Needs Help","Confused","None"}, 0) - 1</f>
        <v/>
      </c>
      <c r="F602" s="31" t="inlineStr">
        <is>
          <t>Waiting for Input</t>
        </is>
      </c>
      <c r="G602" s="29">
        <f>MATCH(F602, {"Waiting for Input","Analyzing Object","Found Object","Needs Help","Confused","None"}, 0) - 1</f>
        <v/>
      </c>
      <c r="H602" s="29" t="n">
        <v>2</v>
      </c>
      <c r="I602" s="29">
        <f>IF(E602=G602, 1, 0)</f>
        <v/>
      </c>
    </row>
    <row r="603" ht="22" customHeight="1" s="270">
      <c r="A603" s="29" t="n">
        <v>601</v>
      </c>
      <c r="B603" s="29" t="inlineStr">
        <is>
          <t>1</t>
        </is>
      </c>
      <c r="C603" s="30" t="inlineStr">
        <is>
          <t>Human</t>
        </is>
      </c>
      <c r="D603" s="29" t="inlineStr">
        <is>
          <t>Needs Help</t>
        </is>
      </c>
      <c r="E603" s="29">
        <f>MATCH(D603, {"Waiting for Input","Analyzing Object","Found Object","Needs Help","Confused","None"}, 0) - 1</f>
        <v/>
      </c>
      <c r="F603" s="31" t="inlineStr">
        <is>
          <t>Found Object</t>
        </is>
      </c>
      <c r="G603" s="29">
        <f>MATCH(F603, {"Waiting for Input","Analyzing Object","Found Object","Needs Help","Confused","None"}, 0) - 1</f>
        <v/>
      </c>
      <c r="H603" s="29" t="n">
        <v>4</v>
      </c>
      <c r="I603" s="29">
        <f>IF(E603=G603, 1, 0)</f>
        <v/>
      </c>
    </row>
    <row r="604" ht="22" customHeight="1" s="270">
      <c r="A604" s="29" t="n">
        <v>602</v>
      </c>
      <c r="B604" s="29" t="inlineStr">
        <is>
          <t>1</t>
        </is>
      </c>
      <c r="C604" s="30" t="inlineStr">
        <is>
          <t>Human</t>
        </is>
      </c>
      <c r="D604" s="29" t="inlineStr">
        <is>
          <t>Needs Help</t>
        </is>
      </c>
      <c r="E604" s="29">
        <f>MATCH(D604, {"Waiting for Input","Analyzing Object","Found Object","Needs Help","Confused","None"}, 0) - 1</f>
        <v/>
      </c>
      <c r="F604" s="31" t="inlineStr">
        <is>
          <t>Confused</t>
        </is>
      </c>
      <c r="G604" s="29">
        <f>MATCH(F604, {"Waiting for Input","Analyzing Object","Found Object","Needs Help","Confused","None"}, 0) - 1</f>
        <v/>
      </c>
      <c r="H604" s="29" t="n">
        <v>1</v>
      </c>
      <c r="I604" s="29">
        <f>IF(E604=G604, 1, 0)</f>
        <v/>
      </c>
    </row>
    <row r="605" ht="22" customHeight="1" s="270">
      <c r="A605" s="29" t="n">
        <v>603</v>
      </c>
      <c r="B605" s="29" t="inlineStr">
        <is>
          <t>2</t>
        </is>
      </c>
      <c r="C605" s="30" t="inlineStr">
        <is>
          <t>Human</t>
        </is>
      </c>
      <c r="D605" s="29" t="inlineStr">
        <is>
          <t>Needs Help</t>
        </is>
      </c>
      <c r="E605" s="29">
        <f>MATCH(D605, {"Waiting for Input","Analyzing Object","Found Object","Needs Help","Confused","None"}, 0) - 1</f>
        <v/>
      </c>
      <c r="F605" s="31" t="inlineStr">
        <is>
          <t>Analyzing Object</t>
        </is>
      </c>
      <c r="G605" s="29">
        <f>MATCH(F605, {"Waiting for Input","Analyzing Object","Found Object","Needs Help","Confused","None"}, 0) - 1</f>
        <v/>
      </c>
      <c r="H605" s="29" t="n">
        <v>3</v>
      </c>
      <c r="I605" s="29">
        <f>IF(E605=G605, 1, 0)</f>
        <v/>
      </c>
    </row>
    <row r="606" ht="22" customHeight="1" s="270">
      <c r="A606" s="29" t="n">
        <v>604</v>
      </c>
      <c r="B606" s="29" t="inlineStr">
        <is>
          <t>2</t>
        </is>
      </c>
      <c r="C606" s="30" t="inlineStr">
        <is>
          <t>Human</t>
        </is>
      </c>
      <c r="D606" s="29" t="inlineStr">
        <is>
          <t>Needs Help</t>
        </is>
      </c>
      <c r="E606" s="29">
        <f>MATCH(D606, {"Waiting for Input","Analyzing Object","Found Object","Needs Help","Confused","None"}, 0) - 1</f>
        <v/>
      </c>
      <c r="F606" s="31" t="inlineStr">
        <is>
          <t>Waiting for Input</t>
        </is>
      </c>
      <c r="G606" s="29">
        <f>MATCH(F606, {"Waiting for Input","Analyzing Object","Found Object","Needs Help","Confused","None"}, 0) - 1</f>
        <v/>
      </c>
      <c r="H606" s="29" t="n">
        <v>3</v>
      </c>
      <c r="I606" s="29">
        <f>IF(E606=G606, 1, 0)</f>
        <v/>
      </c>
    </row>
    <row r="607" ht="22" customHeight="1" s="270">
      <c r="A607" s="29" t="n">
        <v>605</v>
      </c>
      <c r="B607" s="29" t="inlineStr">
        <is>
          <t>1</t>
        </is>
      </c>
      <c r="C607" s="30" t="inlineStr">
        <is>
          <t>Human</t>
        </is>
      </c>
      <c r="D607" s="29" t="inlineStr">
        <is>
          <t>Needs Help</t>
        </is>
      </c>
      <c r="E607" s="29">
        <f>MATCH(D607, {"Waiting for Input","Analyzing Object","Found Object","Needs Help","Confused","None"}, 0) - 1</f>
        <v/>
      </c>
      <c r="F607" s="31" t="inlineStr">
        <is>
          <t>Waiting for Input</t>
        </is>
      </c>
      <c r="G607" s="29">
        <f>MATCH(F607, {"Waiting for Input","Analyzing Object","Found Object","Needs Help","Confused","None"}, 0) - 1</f>
        <v/>
      </c>
      <c r="H607" s="29" t="n">
        <v>5</v>
      </c>
      <c r="I607" s="29">
        <f>IF(E607=G607, 1, 0)</f>
        <v/>
      </c>
    </row>
    <row r="608" ht="22" customHeight="1" s="270">
      <c r="A608" s="29" t="n">
        <v>606</v>
      </c>
      <c r="B608" s="29" t="inlineStr">
        <is>
          <t>2</t>
        </is>
      </c>
      <c r="C608" s="30" t="inlineStr">
        <is>
          <t>Human</t>
        </is>
      </c>
      <c r="D608" s="29" t="inlineStr">
        <is>
          <t>Needs Help</t>
        </is>
      </c>
      <c r="E608" s="29">
        <f>MATCH(D608, {"Waiting for Input","Analyzing Object","Found Object","Needs Help","Confused","None"}, 0) - 1</f>
        <v/>
      </c>
      <c r="F608" s="31" t="inlineStr">
        <is>
          <t>Needs Help</t>
        </is>
      </c>
      <c r="G608" s="29">
        <f>MATCH(F608, {"Waiting for Input","Analyzing Object","Found Object","Needs Help","Confused","None"}, 0) - 1</f>
        <v/>
      </c>
      <c r="H608" s="29" t="n">
        <v>3</v>
      </c>
      <c r="I608" s="29">
        <f>IF(E608=G608, 1, 0)</f>
        <v/>
      </c>
    </row>
    <row r="609" ht="22" customHeight="1" s="270">
      <c r="A609" s="29" t="n">
        <v>607</v>
      </c>
      <c r="B609" s="29" t="inlineStr">
        <is>
          <t>1</t>
        </is>
      </c>
      <c r="C609" s="30" t="inlineStr">
        <is>
          <t>Human</t>
        </is>
      </c>
      <c r="D609" s="29" t="inlineStr">
        <is>
          <t>Needs Help</t>
        </is>
      </c>
      <c r="E609" s="29">
        <f>MATCH(D609, {"Waiting for Input","Analyzing Object","Found Object","Needs Help","Confused","None"}, 0) - 1</f>
        <v/>
      </c>
      <c r="F609" s="31" t="inlineStr">
        <is>
          <t>Needs Help</t>
        </is>
      </c>
      <c r="G609" s="29">
        <f>MATCH(F609, {"Waiting for Input","Analyzing Object","Found Object","Needs Help","Confused","None"}, 0) - 1</f>
        <v/>
      </c>
      <c r="H609" s="29" t="n">
        <v>4</v>
      </c>
      <c r="I609" s="29">
        <f>IF(E609=G609, 1, 0)</f>
        <v/>
      </c>
    </row>
    <row r="610" ht="22" customHeight="1" s="270">
      <c r="A610" s="29" t="n">
        <v>608</v>
      </c>
      <c r="B610" s="29" t="inlineStr">
        <is>
          <t>1</t>
        </is>
      </c>
      <c r="C610" s="30" t="inlineStr">
        <is>
          <t>Human</t>
        </is>
      </c>
      <c r="D610" s="29" t="inlineStr">
        <is>
          <t>Needs Help</t>
        </is>
      </c>
      <c r="E610" s="29">
        <f>MATCH(D610, {"Waiting for Input","Analyzing Object","Found Object","Needs Help","Confused","None"}, 0) - 1</f>
        <v/>
      </c>
      <c r="F610" s="31" t="inlineStr">
        <is>
          <t>Waiting for Input</t>
        </is>
      </c>
      <c r="G610" s="29">
        <f>MATCH(F610, {"Waiting for Input","Analyzing Object","Found Object","Needs Help","Confused","None"}, 0) - 1</f>
        <v/>
      </c>
      <c r="H610" s="29" t="n">
        <v>3</v>
      </c>
      <c r="I610" s="29">
        <f>IF(E610=G610, 1, 0)</f>
        <v/>
      </c>
    </row>
    <row r="611" ht="22" customHeight="1" s="270">
      <c r="A611" s="29" t="n">
        <v>609</v>
      </c>
      <c r="B611" s="29" t="inlineStr">
        <is>
          <t>1</t>
        </is>
      </c>
      <c r="C611" s="30" t="inlineStr">
        <is>
          <t>Human</t>
        </is>
      </c>
      <c r="D611" s="29" t="inlineStr">
        <is>
          <t>Needs Help</t>
        </is>
      </c>
      <c r="E611" s="29">
        <f>MATCH(D611, {"Waiting for Input","Analyzing Object","Found Object","Needs Help","Confused","None"}, 0) - 1</f>
        <v/>
      </c>
      <c r="F611" s="31" t="inlineStr">
        <is>
          <t>Found Object</t>
        </is>
      </c>
      <c r="G611" s="29">
        <f>MATCH(F611, {"Waiting for Input","Analyzing Object","Found Object","Needs Help","Confused","None"}, 0) - 1</f>
        <v/>
      </c>
      <c r="H611" s="29" t="n">
        <v>2</v>
      </c>
      <c r="I611" s="29">
        <f>IF(E611=G611, 1, 0)</f>
        <v/>
      </c>
    </row>
    <row r="612" ht="22" customHeight="1" s="270">
      <c r="A612" s="29" t="n">
        <v>610</v>
      </c>
      <c r="B612" s="29" t="inlineStr">
        <is>
          <t>2</t>
        </is>
      </c>
      <c r="C612" s="30" t="inlineStr">
        <is>
          <t>Human</t>
        </is>
      </c>
      <c r="D612" s="29" t="inlineStr">
        <is>
          <t>Needs Help</t>
        </is>
      </c>
      <c r="E612" s="29">
        <f>MATCH(D612, {"Waiting for Input","Analyzing Object","Found Object","Needs Help","Confused","None"}, 0) - 1</f>
        <v/>
      </c>
      <c r="F612" s="31" t="inlineStr">
        <is>
          <t>Needs Help</t>
        </is>
      </c>
      <c r="G612" s="29">
        <f>MATCH(F612, {"Waiting for Input","Analyzing Object","Found Object","Needs Help","Confused","None"}, 0) - 1</f>
        <v/>
      </c>
      <c r="H612" s="29" t="n">
        <v>4</v>
      </c>
      <c r="I612" s="29">
        <f>IF(E612=G612, 1, 0)</f>
        <v/>
      </c>
    </row>
    <row r="613" ht="22" customHeight="1" s="270">
      <c r="A613" s="29" t="n">
        <v>611</v>
      </c>
      <c r="B613" s="29" t="inlineStr">
        <is>
          <t>2</t>
        </is>
      </c>
      <c r="C613" s="30" t="inlineStr">
        <is>
          <t>Human</t>
        </is>
      </c>
      <c r="D613" s="29" t="inlineStr">
        <is>
          <t>Needs Help</t>
        </is>
      </c>
      <c r="E613" s="29">
        <f>MATCH(D613, {"Waiting for Input","Analyzing Object","Found Object","Needs Help","Confused","None"}, 0) - 1</f>
        <v/>
      </c>
      <c r="F613" s="31" t="inlineStr">
        <is>
          <t>Confused</t>
        </is>
      </c>
      <c r="G613" s="29">
        <f>MATCH(F613, {"Waiting for Input","Analyzing Object","Found Object","Needs Help","Confused","None"}, 0) - 1</f>
        <v/>
      </c>
      <c r="H613" s="29" t="n">
        <v>4</v>
      </c>
      <c r="I613" s="29">
        <f>IF(E613=G613, 1, 0)</f>
        <v/>
      </c>
    </row>
    <row r="614" ht="22" customHeight="1" s="270">
      <c r="A614" s="29" t="n">
        <v>612</v>
      </c>
      <c r="B614" s="29" t="inlineStr">
        <is>
          <t>2</t>
        </is>
      </c>
      <c r="C614" s="30" t="inlineStr">
        <is>
          <t>Human</t>
        </is>
      </c>
      <c r="D614" s="29" t="inlineStr">
        <is>
          <t>Needs Help</t>
        </is>
      </c>
      <c r="E614" s="29">
        <f>MATCH(D614, {"Waiting for Input","Analyzing Object","Found Object","Needs Help","Confused","None"}, 0) - 1</f>
        <v/>
      </c>
      <c r="F614" s="31" t="inlineStr">
        <is>
          <t>Needs Help</t>
        </is>
      </c>
      <c r="G614" s="29">
        <f>MATCH(F614, {"Waiting for Input","Analyzing Object","Found Object","Needs Help","Confused","None"}, 0) - 1</f>
        <v/>
      </c>
      <c r="H614" s="29" t="n">
        <v>2</v>
      </c>
      <c r="I614" s="29">
        <f>IF(E614=G614, 1, 0)</f>
        <v/>
      </c>
    </row>
    <row r="615" ht="22" customHeight="1" s="270">
      <c r="A615" s="29" t="n">
        <v>613</v>
      </c>
      <c r="B615" s="29" t="inlineStr">
        <is>
          <t>2</t>
        </is>
      </c>
      <c r="C615" s="30" t="inlineStr">
        <is>
          <t>Human</t>
        </is>
      </c>
      <c r="D615" s="29" t="inlineStr">
        <is>
          <t>Needs Help</t>
        </is>
      </c>
      <c r="E615" s="29">
        <f>MATCH(D615, {"Waiting for Input","Analyzing Object","Found Object","Needs Help","Confused","None"}, 0) - 1</f>
        <v/>
      </c>
      <c r="F615" s="31" t="inlineStr">
        <is>
          <t>Waiting for Input</t>
        </is>
      </c>
      <c r="G615" s="29">
        <f>MATCH(F615, {"Waiting for Input","Analyzing Object","Found Object","Needs Help","Confused","None"}, 0) - 1</f>
        <v/>
      </c>
      <c r="H615" s="29" t="n">
        <v>4</v>
      </c>
      <c r="I615" s="29">
        <f>IF(E615=G615, 1, 0)</f>
        <v/>
      </c>
    </row>
    <row r="616" ht="22" customHeight="1" s="270">
      <c r="A616" s="29" t="n">
        <v>614</v>
      </c>
      <c r="B616" s="29" t="inlineStr">
        <is>
          <t>1</t>
        </is>
      </c>
      <c r="C616" s="30" t="inlineStr">
        <is>
          <t>Human</t>
        </is>
      </c>
      <c r="D616" s="29" t="inlineStr">
        <is>
          <t>Needs Help</t>
        </is>
      </c>
      <c r="E616" s="29">
        <f>MATCH(D616, {"Waiting for Input","Analyzing Object","Found Object","Needs Help","Confused","None"}, 0) - 1</f>
        <v/>
      </c>
      <c r="F616" s="31" t="inlineStr">
        <is>
          <t>Confused</t>
        </is>
      </c>
      <c r="G616" s="29">
        <f>MATCH(F616, {"Waiting for Input","Analyzing Object","Found Object","Needs Help","Confused","None"}, 0) - 1</f>
        <v/>
      </c>
      <c r="H616" s="29" t="n">
        <v>3</v>
      </c>
      <c r="I616" s="29">
        <f>IF(E616=G616, 1, 0)</f>
        <v/>
      </c>
    </row>
    <row r="617" ht="22" customHeight="1" s="270">
      <c r="A617" s="29" t="n">
        <v>615</v>
      </c>
      <c r="B617" s="29" t="inlineStr">
        <is>
          <t>1</t>
        </is>
      </c>
      <c r="C617" s="30" t="inlineStr">
        <is>
          <t>Human</t>
        </is>
      </c>
      <c r="D617" s="29" t="inlineStr">
        <is>
          <t>Needs Help</t>
        </is>
      </c>
      <c r="E617" s="29">
        <f>MATCH(D617, {"Waiting for Input","Analyzing Object","Found Object","Needs Help","Confused","None"}, 0) - 1</f>
        <v/>
      </c>
      <c r="F617" s="31" t="inlineStr">
        <is>
          <t>Waiting for Input</t>
        </is>
      </c>
      <c r="G617" s="29">
        <f>MATCH(F617, {"Waiting for Input","Analyzing Object","Found Object","Needs Help","Confused","None"}, 0) - 1</f>
        <v/>
      </c>
      <c r="H617" s="29" t="n">
        <v>3</v>
      </c>
      <c r="I617" s="29">
        <f>IF(E617=G617, 1, 0)</f>
        <v/>
      </c>
    </row>
    <row r="618" ht="22" customHeight="1" s="270">
      <c r="A618" s="29" t="n">
        <v>616</v>
      </c>
      <c r="B618" s="29" t="inlineStr">
        <is>
          <t>1</t>
        </is>
      </c>
      <c r="C618" s="30" t="inlineStr">
        <is>
          <t>Human</t>
        </is>
      </c>
      <c r="D618" s="29" t="inlineStr">
        <is>
          <t>Needs Help</t>
        </is>
      </c>
      <c r="E618" s="29">
        <f>MATCH(D618, {"Waiting for Input","Analyzing Object","Found Object","Needs Help","Confused","None"}, 0) - 1</f>
        <v/>
      </c>
      <c r="F618" s="31" t="inlineStr">
        <is>
          <t>Waiting for Input</t>
        </is>
      </c>
      <c r="G618" s="29">
        <f>MATCH(F618, {"Waiting for Input","Analyzing Object","Found Object","Needs Help","Confused","None"}, 0) - 1</f>
        <v/>
      </c>
      <c r="H618" s="29" t="n">
        <v>2</v>
      </c>
      <c r="I618" s="29">
        <f>IF(E618=G618, 1, 0)</f>
        <v/>
      </c>
    </row>
    <row r="619" ht="22" customHeight="1" s="270">
      <c r="A619" s="29" t="n">
        <v>617</v>
      </c>
      <c r="B619" s="29" t="inlineStr">
        <is>
          <t>2</t>
        </is>
      </c>
      <c r="C619" s="30" t="inlineStr">
        <is>
          <t>Human</t>
        </is>
      </c>
      <c r="D619" s="29" t="inlineStr">
        <is>
          <t>Needs Help</t>
        </is>
      </c>
      <c r="E619" s="29">
        <f>MATCH(D619, {"Waiting for Input","Analyzing Object","Found Object","Needs Help","Confused","None"}, 0) - 1</f>
        <v/>
      </c>
      <c r="F619" s="31" t="inlineStr">
        <is>
          <t>Waiting for Input</t>
        </is>
      </c>
      <c r="G619" s="29">
        <f>MATCH(F619, {"Waiting for Input","Analyzing Object","Found Object","Needs Help","Confused","None"}, 0) - 1</f>
        <v/>
      </c>
      <c r="H619" s="29" t="n">
        <v>2</v>
      </c>
      <c r="I619" s="29">
        <f>IF(E619=G619, 1, 0)</f>
        <v/>
      </c>
    </row>
    <row r="620" ht="22" customHeight="1" s="270">
      <c r="A620" s="29" t="n">
        <v>618</v>
      </c>
      <c r="B620" s="29" t="inlineStr">
        <is>
          <t>2</t>
        </is>
      </c>
      <c r="C620" s="30" t="inlineStr">
        <is>
          <t>Human</t>
        </is>
      </c>
      <c r="D620" s="29" t="inlineStr">
        <is>
          <t>Needs Help</t>
        </is>
      </c>
      <c r="E620" s="29">
        <f>MATCH(D620, {"Waiting for Input","Analyzing Object","Found Object","Needs Help","Confused","None"}, 0) - 1</f>
        <v/>
      </c>
      <c r="F620" s="31" t="inlineStr">
        <is>
          <t>Needs Help</t>
        </is>
      </c>
      <c r="G620" s="29">
        <f>MATCH(F620, {"Waiting for Input","Analyzing Object","Found Object","Needs Help","Confused","None"}, 0) - 1</f>
        <v/>
      </c>
      <c r="H620" s="29" t="n">
        <v>2</v>
      </c>
      <c r="I620" s="29">
        <f>IF(E620=G620, 1, 0)</f>
        <v/>
      </c>
    </row>
    <row r="621" ht="22" customHeight="1" s="270">
      <c r="A621" s="29" t="n">
        <v>619</v>
      </c>
      <c r="B621" s="29" t="inlineStr">
        <is>
          <t>1</t>
        </is>
      </c>
      <c r="C621" s="30" t="inlineStr">
        <is>
          <t>Human</t>
        </is>
      </c>
      <c r="D621" s="29" t="inlineStr">
        <is>
          <t>Needs Help</t>
        </is>
      </c>
      <c r="E621" s="29">
        <f>MATCH(D621, {"Waiting for Input","Analyzing Object","Found Object","Needs Help","Confused","None"}, 0) - 1</f>
        <v/>
      </c>
      <c r="F621" s="31" t="inlineStr">
        <is>
          <t>Waiting for Input</t>
        </is>
      </c>
      <c r="G621" s="29">
        <f>MATCH(F621, {"Waiting for Input","Analyzing Object","Found Object","Needs Help","Confused","None"}, 0) - 1</f>
        <v/>
      </c>
      <c r="H621" s="29" t="n">
        <v>4</v>
      </c>
      <c r="I621" s="29">
        <f>IF(E621=G621, 1, 0)</f>
        <v/>
      </c>
    </row>
    <row r="622" ht="22" customHeight="1" s="270">
      <c r="A622" s="29" t="n">
        <v>620</v>
      </c>
      <c r="B622" s="29" t="inlineStr">
        <is>
          <t>1</t>
        </is>
      </c>
      <c r="C622" s="30" t="inlineStr">
        <is>
          <t>Human</t>
        </is>
      </c>
      <c r="D622" s="29" t="inlineStr">
        <is>
          <t>Needs Help</t>
        </is>
      </c>
      <c r="E622" s="29">
        <f>MATCH(D622, {"Waiting for Input","Analyzing Object","Found Object","Needs Help","Confused","None"}, 0) - 1</f>
        <v/>
      </c>
      <c r="F622" s="31" t="inlineStr">
        <is>
          <t>Waiting for Input</t>
        </is>
      </c>
      <c r="G622" s="29">
        <f>MATCH(F622, {"Waiting for Input","Analyzing Object","Found Object","Needs Help","Confused","None"}, 0) - 1</f>
        <v/>
      </c>
      <c r="H622" s="29" t="n">
        <v>3</v>
      </c>
      <c r="I622" s="29">
        <f>IF(E622=G622, 1, 0)</f>
        <v/>
      </c>
    </row>
    <row r="623" ht="22" customHeight="1" s="270">
      <c r="A623" s="29" t="n">
        <v>621</v>
      </c>
      <c r="B623" s="29" t="inlineStr">
        <is>
          <t>2</t>
        </is>
      </c>
      <c r="C623" s="30" t="inlineStr">
        <is>
          <t>Human</t>
        </is>
      </c>
      <c r="D623" s="29" t="inlineStr">
        <is>
          <t>Needs Help</t>
        </is>
      </c>
      <c r="E623" s="29">
        <f>MATCH(D623, {"Waiting for Input","Analyzing Object","Found Object","Needs Help","Confused","None"}, 0) - 1</f>
        <v/>
      </c>
      <c r="F623" s="31" t="inlineStr">
        <is>
          <t>Needs Help</t>
        </is>
      </c>
      <c r="G623" s="29">
        <f>MATCH(F623, {"Waiting for Input","Analyzing Object","Found Object","Needs Help","Confused","None"}, 0) - 1</f>
        <v/>
      </c>
      <c r="H623" s="29" t="n">
        <v>2</v>
      </c>
      <c r="I623" s="29">
        <f>IF(E623=G623, 1, 0)</f>
        <v/>
      </c>
    </row>
    <row r="624" ht="22" customHeight="1" s="270">
      <c r="A624" s="29" t="n">
        <v>622</v>
      </c>
      <c r="B624" s="29" t="inlineStr">
        <is>
          <t>2</t>
        </is>
      </c>
      <c r="C624" s="30" t="inlineStr">
        <is>
          <t>Human</t>
        </is>
      </c>
      <c r="D624" s="29" t="inlineStr">
        <is>
          <t>Needs Help</t>
        </is>
      </c>
      <c r="E624" s="29">
        <f>MATCH(D624, {"Waiting for Input","Analyzing Object","Found Object","Needs Help","Confused","None"}, 0) - 1</f>
        <v/>
      </c>
      <c r="F624" s="31" t="inlineStr">
        <is>
          <t>Needs Help</t>
        </is>
      </c>
      <c r="G624" s="29">
        <f>MATCH(F624, {"Waiting for Input","Analyzing Object","Found Object","Needs Help","Confused","None"}, 0) - 1</f>
        <v/>
      </c>
      <c r="H624" s="29" t="n">
        <v>4</v>
      </c>
      <c r="I624" s="29">
        <f>IF(E624=G624, 1, 0)</f>
        <v/>
      </c>
    </row>
    <row r="625" ht="22" customHeight="1" s="270">
      <c r="A625" s="29" t="n">
        <v>623</v>
      </c>
      <c r="B625" s="29" t="inlineStr">
        <is>
          <t>1</t>
        </is>
      </c>
      <c r="C625" s="30" t="inlineStr">
        <is>
          <t>Human</t>
        </is>
      </c>
      <c r="D625" s="29" t="inlineStr">
        <is>
          <t>Needs Help</t>
        </is>
      </c>
      <c r="E625" s="29">
        <f>MATCH(D625, {"Waiting for Input","Analyzing Object","Found Object","Needs Help","Confused","None"}, 0) - 1</f>
        <v/>
      </c>
      <c r="F625" s="31" t="inlineStr">
        <is>
          <t>Waiting for Input</t>
        </is>
      </c>
      <c r="G625" s="29">
        <f>MATCH(F625, {"Waiting for Input","Analyzing Object","Found Object","Needs Help","Confused","None"}, 0) - 1</f>
        <v/>
      </c>
      <c r="H625" s="29" t="n">
        <v>2</v>
      </c>
      <c r="I625" s="29">
        <f>IF(E625=G625, 1, 0)</f>
        <v/>
      </c>
    </row>
    <row r="626" ht="22" customHeight="1" s="270">
      <c r="A626" s="29" t="n">
        <v>624</v>
      </c>
      <c r="B626" s="29" t="inlineStr">
        <is>
          <t>1</t>
        </is>
      </c>
      <c r="C626" s="30" t="inlineStr">
        <is>
          <t>Human</t>
        </is>
      </c>
      <c r="D626" s="29" t="inlineStr">
        <is>
          <t>Needs Help</t>
        </is>
      </c>
      <c r="E626" s="29">
        <f>MATCH(D626, {"Waiting for Input","Analyzing Object","Found Object","Needs Help","Confused","None"}, 0) - 1</f>
        <v/>
      </c>
      <c r="F626" s="31" t="inlineStr">
        <is>
          <t>Needs Help</t>
        </is>
      </c>
      <c r="G626" s="29">
        <f>MATCH(F626, {"Waiting for Input","Analyzing Object","Found Object","Needs Help","Confused","None"}, 0) - 1</f>
        <v/>
      </c>
      <c r="H626" s="29" t="n">
        <v>2</v>
      </c>
      <c r="I626" s="29">
        <f>IF(E626=G626, 1, 0)</f>
        <v/>
      </c>
    </row>
    <row r="627" ht="22" customHeight="1" s="270">
      <c r="A627" s="29" t="n">
        <v>625</v>
      </c>
      <c r="B627" s="29" t="inlineStr">
        <is>
          <t>2</t>
        </is>
      </c>
      <c r="C627" s="30" t="inlineStr">
        <is>
          <t>Human</t>
        </is>
      </c>
      <c r="D627" s="29" t="inlineStr">
        <is>
          <t>Needs Help</t>
        </is>
      </c>
      <c r="E627" s="29">
        <f>MATCH(D627, {"Waiting for Input","Analyzing Object","Found Object","Needs Help","Confused","None"}, 0) - 1</f>
        <v/>
      </c>
      <c r="F627" s="31" t="inlineStr">
        <is>
          <t>Waiting for Input</t>
        </is>
      </c>
      <c r="G627" s="29">
        <f>MATCH(F627, {"Waiting for Input","Analyzing Object","Found Object","Needs Help","Confused","None"}, 0) - 1</f>
        <v/>
      </c>
      <c r="H627" s="29" t="n">
        <v>2</v>
      </c>
      <c r="I627" s="29">
        <f>IF(E627=G627, 1, 0)</f>
        <v/>
      </c>
    </row>
    <row r="628" ht="22" customHeight="1" s="270">
      <c r="A628" s="29" t="n">
        <v>626</v>
      </c>
      <c r="B628" s="29" t="inlineStr">
        <is>
          <t>2</t>
        </is>
      </c>
      <c r="C628" s="30" t="inlineStr">
        <is>
          <t>Human</t>
        </is>
      </c>
      <c r="D628" s="29" t="inlineStr">
        <is>
          <t>Needs Help</t>
        </is>
      </c>
      <c r="E628" s="29">
        <f>MATCH(D628, {"Waiting for Input","Analyzing Object","Found Object","Needs Help","Confused","None"}, 0) - 1</f>
        <v/>
      </c>
      <c r="F628" s="31" t="inlineStr">
        <is>
          <t>Waiting for Input</t>
        </is>
      </c>
      <c r="G628" s="29">
        <f>MATCH(F628, {"Waiting for Input","Analyzing Object","Found Object","Needs Help","Confused","None"}, 0) - 1</f>
        <v/>
      </c>
      <c r="H628" s="29" t="n">
        <v>3</v>
      </c>
      <c r="I628" s="29">
        <f>IF(E628=G628, 1, 0)</f>
        <v/>
      </c>
    </row>
    <row r="629" ht="22" customHeight="1" s="270">
      <c r="A629" s="29" t="n">
        <v>627</v>
      </c>
      <c r="B629" s="29" t="inlineStr">
        <is>
          <t>2</t>
        </is>
      </c>
      <c r="C629" s="30" t="inlineStr">
        <is>
          <t>Human</t>
        </is>
      </c>
      <c r="D629" s="29" t="inlineStr">
        <is>
          <t>Needs Help</t>
        </is>
      </c>
      <c r="E629" s="29">
        <f>MATCH(D629, {"Waiting for Input","Analyzing Object","Found Object","Needs Help","Confused","None"}, 0) - 1</f>
        <v/>
      </c>
      <c r="F629" s="31" t="inlineStr">
        <is>
          <t>Found Object</t>
        </is>
      </c>
      <c r="G629" s="29">
        <f>MATCH(F629, {"Waiting for Input","Analyzing Object","Found Object","Needs Help","Confused","None"}, 0) - 1</f>
        <v/>
      </c>
      <c r="H629" s="29" t="n">
        <v>3</v>
      </c>
      <c r="I629" s="29">
        <f>IF(E629=G629, 1, 0)</f>
        <v/>
      </c>
    </row>
    <row r="630" ht="22" customHeight="1" s="270">
      <c r="A630" s="29" t="n">
        <v>628</v>
      </c>
      <c r="B630" s="29" t="inlineStr">
        <is>
          <t>2</t>
        </is>
      </c>
      <c r="C630" s="30" t="inlineStr">
        <is>
          <t>Human</t>
        </is>
      </c>
      <c r="D630" s="29" t="inlineStr">
        <is>
          <t>Needs Help</t>
        </is>
      </c>
      <c r="E630" s="29">
        <f>MATCH(D630, {"Waiting for Input","Analyzing Object","Found Object","Needs Help","Confused","None"}, 0) - 1</f>
        <v/>
      </c>
      <c r="F630" s="31" t="inlineStr">
        <is>
          <t>Waiting for Input</t>
        </is>
      </c>
      <c r="G630" s="29">
        <f>MATCH(F630, {"Waiting for Input","Analyzing Object","Found Object","Needs Help","Confused","None"}, 0) - 1</f>
        <v/>
      </c>
      <c r="H630" s="29" t="n">
        <v>4</v>
      </c>
      <c r="I630" s="29">
        <f>IF(E630=G630, 1, 0)</f>
        <v/>
      </c>
    </row>
    <row r="631" ht="22" customHeight="1" s="270">
      <c r="A631" s="29" t="n">
        <v>629</v>
      </c>
      <c r="B631" s="29" t="inlineStr">
        <is>
          <t>2</t>
        </is>
      </c>
      <c r="C631" s="30" t="inlineStr">
        <is>
          <t>Human</t>
        </is>
      </c>
      <c r="D631" s="29" t="inlineStr">
        <is>
          <t>Needs Help</t>
        </is>
      </c>
      <c r="E631" s="29">
        <f>MATCH(D631, {"Waiting for Input","Analyzing Object","Found Object","Needs Help","Confused","None"}, 0) - 1</f>
        <v/>
      </c>
      <c r="F631" s="31" t="inlineStr">
        <is>
          <t>Needs Help</t>
        </is>
      </c>
      <c r="G631" s="29">
        <f>MATCH(F631, {"Waiting for Input","Analyzing Object","Found Object","Needs Help","Confused","None"}, 0) - 1</f>
        <v/>
      </c>
      <c r="H631" s="29" t="n">
        <v>2</v>
      </c>
      <c r="I631" s="29">
        <f>IF(E631=G631, 1, 0)</f>
        <v/>
      </c>
    </row>
    <row r="632" ht="22" customHeight="1" s="270">
      <c r="A632" s="29" t="n">
        <v>630</v>
      </c>
      <c r="B632" s="29" t="inlineStr">
        <is>
          <t>2</t>
        </is>
      </c>
      <c r="C632" s="30" t="inlineStr">
        <is>
          <t>Human</t>
        </is>
      </c>
      <c r="D632" s="29" t="inlineStr">
        <is>
          <t>Needs Help</t>
        </is>
      </c>
      <c r="E632" s="29">
        <f>MATCH(D632, {"Waiting for Input","Analyzing Object","Found Object","Needs Help","Confused","None"}, 0) - 1</f>
        <v/>
      </c>
      <c r="F632" s="31" t="inlineStr">
        <is>
          <t>Confused</t>
        </is>
      </c>
      <c r="G632" s="29">
        <f>MATCH(F632, {"Waiting for Input","Analyzing Object","Found Object","Needs Help","Confused","None"}, 0) - 1</f>
        <v/>
      </c>
      <c r="H632" s="29" t="n">
        <v>4</v>
      </c>
      <c r="I632" s="29">
        <f>IF(E632=G632, 1, 0)</f>
        <v/>
      </c>
    </row>
    <row r="633" ht="22" customHeight="1" s="270">
      <c r="A633" s="29" t="n">
        <v>631</v>
      </c>
      <c r="B633" s="29" t="inlineStr">
        <is>
          <t>1</t>
        </is>
      </c>
      <c r="C633" s="30" t="inlineStr">
        <is>
          <t>Human</t>
        </is>
      </c>
      <c r="D633" s="29" t="inlineStr">
        <is>
          <t>Needs Help</t>
        </is>
      </c>
      <c r="E633" s="29">
        <f>MATCH(D633, {"Waiting for Input","Analyzing Object","Found Object","Needs Help","Confused","None"}, 0) - 1</f>
        <v/>
      </c>
      <c r="F633" s="31" t="inlineStr">
        <is>
          <t>Waiting for Input</t>
        </is>
      </c>
      <c r="G633" s="29">
        <f>MATCH(F633, {"Waiting for Input","Analyzing Object","Found Object","Needs Help","Confused","None"}, 0) - 1</f>
        <v/>
      </c>
      <c r="H633" s="29" t="n">
        <v>3</v>
      </c>
      <c r="I633" s="29">
        <f>IF(E633=G633, 1, 0)</f>
        <v/>
      </c>
    </row>
    <row r="634" ht="22" customHeight="1" s="270">
      <c r="A634" s="29" t="n">
        <v>632</v>
      </c>
      <c r="B634" s="29" t="inlineStr">
        <is>
          <t>2</t>
        </is>
      </c>
      <c r="C634" s="30" t="inlineStr">
        <is>
          <t>Human</t>
        </is>
      </c>
      <c r="D634" s="29" t="inlineStr">
        <is>
          <t>Needs Help</t>
        </is>
      </c>
      <c r="E634" s="29">
        <f>MATCH(D634, {"Waiting for Input","Analyzing Object","Found Object","Needs Help","Confused","None"}, 0) - 1</f>
        <v/>
      </c>
      <c r="F634" s="31" t="inlineStr">
        <is>
          <t>Waiting for Input</t>
        </is>
      </c>
      <c r="G634" s="29">
        <f>MATCH(F634, {"Waiting for Input","Analyzing Object","Found Object","Needs Help","Confused","None"}, 0) - 1</f>
        <v/>
      </c>
      <c r="H634" s="29" t="n">
        <v>3</v>
      </c>
      <c r="I634" s="29">
        <f>IF(E634=G634, 1, 0)</f>
        <v/>
      </c>
    </row>
    <row r="635" ht="22" customHeight="1" s="270">
      <c r="A635" s="29" t="n">
        <v>633</v>
      </c>
      <c r="B635" s="29" t="inlineStr">
        <is>
          <t>1</t>
        </is>
      </c>
      <c r="C635" s="30" t="inlineStr">
        <is>
          <t>Human</t>
        </is>
      </c>
      <c r="D635" s="29" t="inlineStr">
        <is>
          <t>Needs Help</t>
        </is>
      </c>
      <c r="E635" s="29">
        <f>MATCH(D635, {"Waiting for Input","Analyzing Object","Found Object","Needs Help","Confused","None"}, 0) - 1</f>
        <v/>
      </c>
      <c r="F635" s="31" t="inlineStr">
        <is>
          <t>Waiting for Input</t>
        </is>
      </c>
      <c r="G635" s="29">
        <f>MATCH(F635, {"Waiting for Input","Analyzing Object","Found Object","Needs Help","Confused","None"}, 0) - 1</f>
        <v/>
      </c>
      <c r="H635" s="29" t="n">
        <v>4</v>
      </c>
      <c r="I635" s="29">
        <f>IF(E635=G635, 1, 0)</f>
        <v/>
      </c>
    </row>
    <row r="636" ht="22" customHeight="1" s="270">
      <c r="A636" s="29" t="n">
        <v>634</v>
      </c>
      <c r="B636" s="29" t="inlineStr">
        <is>
          <t>1</t>
        </is>
      </c>
      <c r="C636" s="30" t="inlineStr">
        <is>
          <t>Human</t>
        </is>
      </c>
      <c r="D636" s="29" t="inlineStr">
        <is>
          <t>Needs Help</t>
        </is>
      </c>
      <c r="E636" s="29">
        <f>MATCH(D636, {"Waiting for Input","Analyzing Object","Found Object","Needs Help","Confused","None"}, 0) - 1</f>
        <v/>
      </c>
      <c r="F636" s="31" t="inlineStr">
        <is>
          <t>Confused</t>
        </is>
      </c>
      <c r="G636" s="29">
        <f>MATCH(F636, {"Waiting for Input","Analyzing Object","Found Object","Needs Help","Confused","None"}, 0) - 1</f>
        <v/>
      </c>
      <c r="H636" s="29" t="n">
        <v>2</v>
      </c>
      <c r="I636" s="29">
        <f>IF(E636=G636, 1, 0)</f>
        <v/>
      </c>
    </row>
    <row r="637" ht="22" customHeight="1" s="270">
      <c r="A637" s="29" t="n">
        <v>635</v>
      </c>
      <c r="B637" s="29" t="inlineStr">
        <is>
          <t>1</t>
        </is>
      </c>
      <c r="C637" s="30" t="inlineStr">
        <is>
          <t>Human</t>
        </is>
      </c>
      <c r="D637" s="29" t="inlineStr">
        <is>
          <t>Needs Help</t>
        </is>
      </c>
      <c r="E637" s="29">
        <f>MATCH(D637, {"Waiting for Input","Analyzing Object","Found Object","Needs Help","Confused","None"}, 0) - 1</f>
        <v/>
      </c>
      <c r="F637" s="31" t="inlineStr">
        <is>
          <t>Needs Help</t>
        </is>
      </c>
      <c r="G637" s="29">
        <f>MATCH(F637, {"Waiting for Input","Analyzing Object","Found Object","Needs Help","Confused","None"}, 0) - 1</f>
        <v/>
      </c>
      <c r="H637" s="29" t="n">
        <v>4</v>
      </c>
      <c r="I637" s="29">
        <f>IF(E637=G637, 1, 0)</f>
        <v/>
      </c>
    </row>
    <row r="638" ht="22" customHeight="1" s="270">
      <c r="A638" s="29" t="n">
        <v>636</v>
      </c>
      <c r="B638" s="29" t="inlineStr">
        <is>
          <t>2</t>
        </is>
      </c>
      <c r="C638" s="30" t="inlineStr">
        <is>
          <t>Human</t>
        </is>
      </c>
      <c r="D638" s="29" t="inlineStr">
        <is>
          <t>Needs Help</t>
        </is>
      </c>
      <c r="E638" s="29">
        <f>MATCH(D638, {"Waiting for Input","Analyzing Object","Found Object","Needs Help","Confused","None"}, 0) - 1</f>
        <v/>
      </c>
      <c r="F638" s="31" t="inlineStr">
        <is>
          <t>Confused</t>
        </is>
      </c>
      <c r="G638" s="29">
        <f>MATCH(F638, {"Waiting for Input","Analyzing Object","Found Object","Needs Help","Confused","None"}, 0) - 1</f>
        <v/>
      </c>
      <c r="H638" s="29" t="n">
        <v>2</v>
      </c>
      <c r="I638" s="29">
        <f>IF(E638=G638, 1, 0)</f>
        <v/>
      </c>
    </row>
    <row r="639" ht="22" customHeight="1" s="270">
      <c r="A639" s="29" t="n">
        <v>637</v>
      </c>
      <c r="B639" s="29" t="inlineStr">
        <is>
          <t>2</t>
        </is>
      </c>
      <c r="C639" s="30" t="inlineStr">
        <is>
          <t>Human</t>
        </is>
      </c>
      <c r="D639" s="29" t="inlineStr">
        <is>
          <t>Needs Help</t>
        </is>
      </c>
      <c r="E639" s="29">
        <f>MATCH(D639, {"Waiting for Input","Analyzing Object","Found Object","Needs Help","Confused","None"}, 0) - 1</f>
        <v/>
      </c>
      <c r="F639" s="31" t="inlineStr">
        <is>
          <t>Waiting for Input</t>
        </is>
      </c>
      <c r="G639" s="29">
        <f>MATCH(F639, {"Waiting for Input","Analyzing Object","Found Object","Needs Help","Confused","None"}, 0) - 1</f>
        <v/>
      </c>
      <c r="H639" s="29" t="n">
        <v>5</v>
      </c>
      <c r="I639" s="29">
        <f>IF(E639=G639, 1, 0)</f>
        <v/>
      </c>
    </row>
    <row r="640" ht="22" customHeight="1" s="270">
      <c r="A640" s="29" t="n">
        <v>638</v>
      </c>
      <c r="B640" s="29" t="inlineStr">
        <is>
          <t>1</t>
        </is>
      </c>
      <c r="C640" s="30" t="inlineStr">
        <is>
          <t>Human</t>
        </is>
      </c>
      <c r="D640" s="29" t="inlineStr">
        <is>
          <t>Needs Help</t>
        </is>
      </c>
      <c r="E640" s="29">
        <f>MATCH(D640, {"Waiting for Input","Analyzing Object","Found Object","Needs Help","Confused","None"}, 0) - 1</f>
        <v/>
      </c>
      <c r="F640" s="31" t="inlineStr">
        <is>
          <t>Waiting for Input</t>
        </is>
      </c>
      <c r="G640" s="29">
        <f>MATCH(F640, {"Waiting for Input","Analyzing Object","Found Object","Needs Help","Confused","None"}, 0) - 1</f>
        <v/>
      </c>
      <c r="H640" s="29" t="n">
        <v>2</v>
      </c>
      <c r="I640" s="29">
        <f>IF(E640=G640, 1, 0)</f>
        <v/>
      </c>
    </row>
    <row r="641" ht="22" customHeight="1" s="270">
      <c r="A641" s="29" t="n">
        <v>639</v>
      </c>
      <c r="B641" s="29" t="inlineStr">
        <is>
          <t>1</t>
        </is>
      </c>
      <c r="C641" s="30" t="inlineStr">
        <is>
          <t>Human</t>
        </is>
      </c>
      <c r="D641" s="29" t="inlineStr">
        <is>
          <t>Needs Help</t>
        </is>
      </c>
      <c r="E641" s="29">
        <f>MATCH(D641, {"Waiting for Input","Analyzing Object","Found Object","Needs Help","Confused","None"}, 0) - 1</f>
        <v/>
      </c>
      <c r="F641" s="31" t="inlineStr">
        <is>
          <t>Waiting for Input</t>
        </is>
      </c>
      <c r="G641" s="29">
        <f>MATCH(F641, {"Waiting for Input","Analyzing Object","Found Object","Needs Help","Confused","None"}, 0) - 1</f>
        <v/>
      </c>
      <c r="H641" s="29" t="n">
        <v>4</v>
      </c>
      <c r="I641" s="29">
        <f>IF(E641=G641, 1, 0)</f>
        <v/>
      </c>
    </row>
    <row r="642" ht="22" customHeight="1" s="270">
      <c r="A642" s="29" t="n">
        <v>640</v>
      </c>
      <c r="B642" s="29" t="inlineStr">
        <is>
          <t>1</t>
        </is>
      </c>
      <c r="C642" s="30" t="inlineStr">
        <is>
          <t>Human</t>
        </is>
      </c>
      <c r="D642" s="29" t="inlineStr">
        <is>
          <t>Needs Help</t>
        </is>
      </c>
      <c r="E642" s="29">
        <f>MATCH(D642, {"Waiting for Input","Analyzing Object","Found Object","Needs Help","Confused","None"}, 0) - 1</f>
        <v/>
      </c>
      <c r="F642" s="31" t="inlineStr">
        <is>
          <t>Waiting for Input</t>
        </is>
      </c>
      <c r="G642" s="29">
        <f>MATCH(F642, {"Waiting for Input","Analyzing Object","Found Object","Needs Help","Confused","None"}, 0) - 1</f>
        <v/>
      </c>
      <c r="H642" s="29" t="n">
        <v>4</v>
      </c>
      <c r="I642" s="29">
        <f>IF(E642=G642, 1, 0)</f>
        <v/>
      </c>
    </row>
    <row r="643" ht="22" customHeight="1" s="270">
      <c r="A643" s="29" t="n">
        <v>641</v>
      </c>
      <c r="B643" s="29" t="inlineStr">
        <is>
          <t>2</t>
        </is>
      </c>
      <c r="C643" s="30" t="inlineStr">
        <is>
          <t>Human</t>
        </is>
      </c>
      <c r="D643" s="29" t="inlineStr">
        <is>
          <t>Needs Help</t>
        </is>
      </c>
      <c r="E643" s="29">
        <f>MATCH(D643, {"Waiting for Input","Analyzing Object","Found Object","Needs Help","Confused","None"}, 0) - 1</f>
        <v/>
      </c>
      <c r="F643" s="31" t="inlineStr">
        <is>
          <t>Waiting for Input</t>
        </is>
      </c>
      <c r="G643" s="29">
        <f>MATCH(F643, {"Waiting for Input","Analyzing Object","Found Object","Needs Help","Confused","None"}, 0) - 1</f>
        <v/>
      </c>
      <c r="H643" s="29" t="n">
        <v>3</v>
      </c>
      <c r="I643" s="29">
        <f>IF(E643=G643, 1, 0)</f>
        <v/>
      </c>
    </row>
    <row r="644" ht="22" customHeight="1" s="270">
      <c r="A644" s="29" t="n">
        <v>642</v>
      </c>
      <c r="B644" s="29" t="inlineStr">
        <is>
          <t>2</t>
        </is>
      </c>
      <c r="C644" s="30" t="inlineStr">
        <is>
          <t>Human</t>
        </is>
      </c>
      <c r="D644" s="29" t="inlineStr">
        <is>
          <t>Needs Help</t>
        </is>
      </c>
      <c r="E644" s="29">
        <f>MATCH(D644, {"Waiting for Input","Analyzing Object","Found Object","Needs Help","Confused","None"}, 0) - 1</f>
        <v/>
      </c>
      <c r="F644" s="31" t="inlineStr">
        <is>
          <t>Analyzing Object</t>
        </is>
      </c>
      <c r="G644" s="29">
        <f>MATCH(F644, {"Waiting for Input","Analyzing Object","Found Object","Needs Help","Confused","None"}, 0) - 1</f>
        <v/>
      </c>
      <c r="H644" s="29" t="n">
        <v>2</v>
      </c>
      <c r="I644" s="29">
        <f>IF(E644=G644, 1, 0)</f>
        <v/>
      </c>
    </row>
    <row r="645" ht="22" customHeight="1" s="270">
      <c r="A645" s="29" t="n">
        <v>643</v>
      </c>
      <c r="B645" s="29" t="inlineStr">
        <is>
          <t>2</t>
        </is>
      </c>
      <c r="C645" s="30" t="inlineStr">
        <is>
          <t>Human</t>
        </is>
      </c>
      <c r="D645" s="29" t="inlineStr">
        <is>
          <t>Needs Help</t>
        </is>
      </c>
      <c r="E645" s="29">
        <f>MATCH(D645, {"Waiting for Input","Analyzing Object","Found Object","Needs Help","Confused","None"}, 0) - 1</f>
        <v/>
      </c>
      <c r="F645" s="31" t="inlineStr">
        <is>
          <t>Confused</t>
        </is>
      </c>
      <c r="G645" s="29">
        <f>MATCH(F645, {"Waiting for Input","Analyzing Object","Found Object","Needs Help","Confused","None"}, 0) - 1</f>
        <v/>
      </c>
      <c r="H645" s="29" t="n">
        <v>2</v>
      </c>
      <c r="I645" s="29">
        <f>IF(E645=G645, 1, 0)</f>
        <v/>
      </c>
    </row>
    <row r="646" ht="22" customHeight="1" s="270">
      <c r="A646" s="29" t="n">
        <v>644</v>
      </c>
      <c r="B646" s="29" t="inlineStr">
        <is>
          <t>2</t>
        </is>
      </c>
      <c r="C646" s="30" t="inlineStr">
        <is>
          <t>Human</t>
        </is>
      </c>
      <c r="D646" s="29" t="inlineStr">
        <is>
          <t>Needs Help</t>
        </is>
      </c>
      <c r="E646" s="29">
        <f>MATCH(D646, {"Waiting for Input","Analyzing Object","Found Object","Needs Help","Confused","None"}, 0) - 1</f>
        <v/>
      </c>
      <c r="F646" s="31" t="inlineStr">
        <is>
          <t>Waiting for Input</t>
        </is>
      </c>
      <c r="G646" s="29">
        <f>MATCH(F646, {"Waiting for Input","Analyzing Object","Found Object","Needs Help","Confused","None"}, 0) - 1</f>
        <v/>
      </c>
      <c r="H646" s="29" t="n">
        <v>4</v>
      </c>
      <c r="I646" s="29">
        <f>IF(E646=G646, 1, 0)</f>
        <v/>
      </c>
    </row>
    <row r="647" ht="22" customHeight="1" s="270">
      <c r="A647" s="29" t="n">
        <v>645</v>
      </c>
      <c r="B647" s="29" t="inlineStr">
        <is>
          <t>2</t>
        </is>
      </c>
      <c r="C647" s="30" t="inlineStr">
        <is>
          <t>Human</t>
        </is>
      </c>
      <c r="D647" s="29" t="inlineStr">
        <is>
          <t>Needs Help</t>
        </is>
      </c>
      <c r="E647" s="29">
        <f>MATCH(D647, {"Waiting for Input","Analyzing Object","Found Object","Needs Help","Confused","None"}, 0) - 1</f>
        <v/>
      </c>
      <c r="F647" s="31" t="inlineStr">
        <is>
          <t>Confused</t>
        </is>
      </c>
      <c r="G647" s="29">
        <f>MATCH(F647, {"Waiting for Input","Analyzing Object","Found Object","Needs Help","Confused","None"}, 0) - 1</f>
        <v/>
      </c>
      <c r="H647" s="29" t="n">
        <v>3</v>
      </c>
      <c r="I647" s="29">
        <f>IF(E647=G647, 1, 0)</f>
        <v/>
      </c>
    </row>
    <row r="648" ht="22" customHeight="1" s="270">
      <c r="A648" s="29" t="n">
        <v>646</v>
      </c>
      <c r="B648" s="29" t="inlineStr">
        <is>
          <t>2</t>
        </is>
      </c>
      <c r="C648" s="30" t="inlineStr">
        <is>
          <t>Human</t>
        </is>
      </c>
      <c r="D648" s="29" t="inlineStr">
        <is>
          <t>Needs Help</t>
        </is>
      </c>
      <c r="E648" s="29">
        <f>MATCH(D648, {"Waiting for Input","Analyzing Object","Found Object","Needs Help","Confused","None"}, 0) - 1</f>
        <v/>
      </c>
      <c r="F648" s="31" t="inlineStr">
        <is>
          <t>Waiting for Input</t>
        </is>
      </c>
      <c r="G648" s="29">
        <f>MATCH(F648, {"Waiting for Input","Analyzing Object","Found Object","Needs Help","Confused","None"}, 0) - 1</f>
        <v/>
      </c>
      <c r="H648" s="29" t="n">
        <v>3</v>
      </c>
      <c r="I648" s="29">
        <f>IF(E648=G648, 1, 0)</f>
        <v/>
      </c>
    </row>
    <row r="649" ht="22" customHeight="1" s="270">
      <c r="A649" s="29" t="n">
        <v>647</v>
      </c>
      <c r="B649" s="29" t="inlineStr">
        <is>
          <t>2</t>
        </is>
      </c>
      <c r="C649" s="30" t="inlineStr">
        <is>
          <t>Human</t>
        </is>
      </c>
      <c r="D649" s="29" t="inlineStr">
        <is>
          <t>Needs Help</t>
        </is>
      </c>
      <c r="E649" s="29">
        <f>MATCH(D649, {"Waiting for Input","Analyzing Object","Found Object","Needs Help","Confused","None"}, 0) - 1</f>
        <v/>
      </c>
      <c r="F649" s="31" t="inlineStr">
        <is>
          <t>Waiting for Input</t>
        </is>
      </c>
      <c r="G649" s="29">
        <f>MATCH(F649, {"Waiting for Input","Analyzing Object","Found Object","Needs Help","Confused","None"}, 0) - 1</f>
        <v/>
      </c>
      <c r="H649" s="29" t="n">
        <v>2</v>
      </c>
      <c r="I649" s="29">
        <f>IF(E649=G649, 1, 0)</f>
        <v/>
      </c>
    </row>
    <row r="650" ht="22" customHeight="1" s="270">
      <c r="A650" s="29" t="n">
        <v>648</v>
      </c>
      <c r="B650" s="29" t="inlineStr">
        <is>
          <t>2</t>
        </is>
      </c>
      <c r="C650" s="30" t="inlineStr">
        <is>
          <t>Human</t>
        </is>
      </c>
      <c r="D650" s="29" t="inlineStr">
        <is>
          <t>Needs Help</t>
        </is>
      </c>
      <c r="E650" s="29">
        <f>MATCH(D650, {"Waiting for Input","Analyzing Object","Found Object","Needs Help","Confused","None"}, 0) - 1</f>
        <v/>
      </c>
      <c r="F650" s="31" t="inlineStr">
        <is>
          <t>Waiting for Input</t>
        </is>
      </c>
      <c r="G650" s="29">
        <f>MATCH(F650, {"Waiting for Input","Analyzing Object","Found Object","Needs Help","Confused","None"}, 0) - 1</f>
        <v/>
      </c>
      <c r="H650" s="29" t="n">
        <v>5</v>
      </c>
      <c r="I650" s="29">
        <f>IF(E650=G650, 1, 0)</f>
        <v/>
      </c>
    </row>
    <row r="651" ht="22" customHeight="1" s="270">
      <c r="A651" s="29" t="n">
        <v>649</v>
      </c>
      <c r="B651" s="29" t="inlineStr">
        <is>
          <t>2</t>
        </is>
      </c>
      <c r="C651" s="30" t="inlineStr">
        <is>
          <t>Human</t>
        </is>
      </c>
      <c r="D651" s="29" t="inlineStr">
        <is>
          <t>Needs Help</t>
        </is>
      </c>
      <c r="E651" s="29">
        <f>MATCH(D651, {"Waiting for Input","Analyzing Object","Found Object","Needs Help","Confused","None"}, 0) - 1</f>
        <v/>
      </c>
      <c r="F651" s="31" t="inlineStr">
        <is>
          <t>Waiting for Input</t>
        </is>
      </c>
      <c r="G651" s="29">
        <f>MATCH(F651, {"Waiting for Input","Analyzing Object","Found Object","Needs Help","Confused","None"}, 0) - 1</f>
        <v/>
      </c>
      <c r="H651" s="29" t="n">
        <v>2</v>
      </c>
      <c r="I651" s="29">
        <f>IF(E651=G651, 1, 0)</f>
        <v/>
      </c>
    </row>
    <row r="652" ht="22" customHeight="1" s="270">
      <c r="A652" s="29" t="n">
        <v>650</v>
      </c>
      <c r="B652" s="29" t="inlineStr">
        <is>
          <t>2</t>
        </is>
      </c>
      <c r="C652" s="30" t="inlineStr">
        <is>
          <t>Human</t>
        </is>
      </c>
      <c r="D652" s="29" t="inlineStr">
        <is>
          <t>Needs Help</t>
        </is>
      </c>
      <c r="E652" s="29">
        <f>MATCH(D652, {"Waiting for Input","Analyzing Object","Found Object","Needs Help","Confused","None"}, 0) - 1</f>
        <v/>
      </c>
      <c r="F652" s="31" t="inlineStr">
        <is>
          <t>Waiting for Input</t>
        </is>
      </c>
      <c r="G652" s="29">
        <f>MATCH(F652, {"Waiting for Input","Analyzing Object","Found Object","Needs Help","Confused","None"}, 0) - 1</f>
        <v/>
      </c>
      <c r="H652" s="29" t="n">
        <v>3</v>
      </c>
      <c r="I652" s="29">
        <f>IF(E652=G652, 1, 0)</f>
        <v/>
      </c>
    </row>
    <row r="653" ht="22" customHeight="1" s="270">
      <c r="A653" s="29" t="n">
        <v>651</v>
      </c>
      <c r="B653" s="29" t="inlineStr">
        <is>
          <t>1</t>
        </is>
      </c>
      <c r="C653" s="30" t="inlineStr">
        <is>
          <t>Human</t>
        </is>
      </c>
      <c r="D653" s="29" t="inlineStr">
        <is>
          <t>Needs Help</t>
        </is>
      </c>
      <c r="E653" s="29">
        <f>MATCH(D653, {"Waiting for Input","Analyzing Object","Found Object","Needs Help","Confused","None"}, 0) - 1</f>
        <v/>
      </c>
      <c r="F653" s="31" t="inlineStr">
        <is>
          <t>Needs Help</t>
        </is>
      </c>
      <c r="G653" s="29">
        <f>MATCH(F653, {"Waiting for Input","Analyzing Object","Found Object","Needs Help","Confused","None"}, 0) - 1</f>
        <v/>
      </c>
      <c r="H653" s="29" t="n">
        <v>3</v>
      </c>
      <c r="I653" s="29">
        <f>IF(E653=G653, 1, 0)</f>
        <v/>
      </c>
    </row>
    <row r="654" ht="22" customHeight="1" s="270">
      <c r="A654" s="29" t="n">
        <v>652</v>
      </c>
      <c r="B654" s="29" t="inlineStr">
        <is>
          <t>2</t>
        </is>
      </c>
      <c r="C654" s="30" t="inlineStr">
        <is>
          <t>Human</t>
        </is>
      </c>
      <c r="D654" s="29" t="inlineStr">
        <is>
          <t>Needs Help</t>
        </is>
      </c>
      <c r="E654" s="29">
        <f>MATCH(D654, {"Waiting for Input","Analyzing Object","Found Object","Needs Help","Confused","None"}, 0) - 1</f>
        <v/>
      </c>
      <c r="F654" s="31" t="inlineStr">
        <is>
          <t>Waiting for Input</t>
        </is>
      </c>
      <c r="G654" s="29">
        <f>MATCH(F654, {"Waiting for Input","Analyzing Object","Found Object","Needs Help","Confused","None"}, 0) - 1</f>
        <v/>
      </c>
      <c r="H654" s="29" t="n">
        <v>5</v>
      </c>
      <c r="I654" s="29">
        <f>IF(E654=G654, 1, 0)</f>
        <v/>
      </c>
    </row>
    <row r="655" ht="22" customHeight="1" s="270">
      <c r="A655" s="29" t="n">
        <v>653</v>
      </c>
      <c r="B655" s="29" t="inlineStr">
        <is>
          <t>2</t>
        </is>
      </c>
      <c r="C655" s="30" t="inlineStr">
        <is>
          <t>Human</t>
        </is>
      </c>
      <c r="D655" s="29" t="inlineStr">
        <is>
          <t>Needs Help</t>
        </is>
      </c>
      <c r="E655" s="29">
        <f>MATCH(D655, {"Waiting for Input","Analyzing Object","Found Object","Needs Help","Confused","None"}, 0) - 1</f>
        <v/>
      </c>
      <c r="F655" s="31" t="inlineStr">
        <is>
          <t>Waiting for Input</t>
        </is>
      </c>
      <c r="G655" s="29">
        <f>MATCH(F655, {"Waiting for Input","Analyzing Object","Found Object","Needs Help","Confused","None"}, 0) - 1</f>
        <v/>
      </c>
      <c r="H655" s="29" t="n">
        <v>4</v>
      </c>
      <c r="I655" s="29">
        <f>IF(E655=G655, 1, 0)</f>
        <v/>
      </c>
    </row>
    <row r="656" ht="22" customHeight="1" s="270">
      <c r="A656" s="29" t="n">
        <v>654</v>
      </c>
      <c r="B656" s="29" t="inlineStr">
        <is>
          <t>1</t>
        </is>
      </c>
      <c r="C656" s="30" t="inlineStr">
        <is>
          <t>Human</t>
        </is>
      </c>
      <c r="D656" s="29" t="inlineStr">
        <is>
          <t>Needs Help</t>
        </is>
      </c>
      <c r="E656" s="29">
        <f>MATCH(D656, {"Waiting for Input","Analyzing Object","Found Object","Needs Help","Confused","None"}, 0) - 1</f>
        <v/>
      </c>
      <c r="F656" s="31" t="inlineStr">
        <is>
          <t>Waiting for Input</t>
        </is>
      </c>
      <c r="G656" s="29">
        <f>MATCH(F656, {"Waiting for Input","Analyzing Object","Found Object","Needs Help","Confused","None"}, 0) - 1</f>
        <v/>
      </c>
      <c r="H656" s="29" t="n">
        <v>4</v>
      </c>
      <c r="I656" s="29">
        <f>IF(E656=G656, 1, 0)</f>
        <v/>
      </c>
    </row>
    <row r="657" ht="22" customHeight="1" s="270">
      <c r="A657" s="29" t="n">
        <v>655</v>
      </c>
      <c r="B657" s="29" t="inlineStr">
        <is>
          <t>2</t>
        </is>
      </c>
      <c r="C657" s="30" t="inlineStr">
        <is>
          <t>Human</t>
        </is>
      </c>
      <c r="D657" s="29" t="inlineStr">
        <is>
          <t>Needs Help</t>
        </is>
      </c>
      <c r="E657" s="29">
        <f>MATCH(D657, {"Waiting for Input","Analyzing Object","Found Object","Needs Help","Confused","None"}, 0) - 1</f>
        <v/>
      </c>
      <c r="F657" s="31" t="inlineStr">
        <is>
          <t>Confused</t>
        </is>
      </c>
      <c r="G657" s="29">
        <f>MATCH(F657, {"Waiting for Input","Analyzing Object","Found Object","Needs Help","Confused","None"}, 0) - 1</f>
        <v/>
      </c>
      <c r="H657" s="29" t="n">
        <v>1</v>
      </c>
      <c r="I657" s="29">
        <f>IF(E657=G657, 1, 0)</f>
        <v/>
      </c>
    </row>
    <row r="658" ht="22" customHeight="1" s="270">
      <c r="A658" s="29" t="n">
        <v>656</v>
      </c>
      <c r="B658" s="29" t="inlineStr">
        <is>
          <t>2</t>
        </is>
      </c>
      <c r="C658" s="30" t="inlineStr">
        <is>
          <t>Human</t>
        </is>
      </c>
      <c r="D658" s="29" t="inlineStr">
        <is>
          <t>Needs Help</t>
        </is>
      </c>
      <c r="E658" s="29">
        <f>MATCH(D658, {"Waiting for Input","Analyzing Object","Found Object","Needs Help","Confused","None"}, 0) - 1</f>
        <v/>
      </c>
      <c r="F658" s="31" t="inlineStr">
        <is>
          <t>Waiting for Input</t>
        </is>
      </c>
      <c r="G658" s="29">
        <f>MATCH(F658, {"Waiting for Input","Analyzing Object","Found Object","Needs Help","Confused","None"}, 0) - 1</f>
        <v/>
      </c>
      <c r="H658" s="29" t="n">
        <v>2</v>
      </c>
      <c r="I658" s="29">
        <f>IF(E658=G658, 1, 0)</f>
        <v/>
      </c>
    </row>
    <row r="659" ht="22" customHeight="1" s="270">
      <c r="A659" s="29" t="n">
        <v>657</v>
      </c>
      <c r="B659" s="29" t="inlineStr">
        <is>
          <t>2</t>
        </is>
      </c>
      <c r="C659" s="30" t="inlineStr">
        <is>
          <t>Human</t>
        </is>
      </c>
      <c r="D659" s="29" t="inlineStr">
        <is>
          <t>Needs Help</t>
        </is>
      </c>
      <c r="E659" s="29">
        <f>MATCH(D659, {"Waiting for Input","Analyzing Object","Found Object","Needs Help","Confused","None"}, 0) - 1</f>
        <v/>
      </c>
      <c r="F659" s="31" t="inlineStr">
        <is>
          <t>Waiting for Input</t>
        </is>
      </c>
      <c r="G659" s="29">
        <f>MATCH(F659, {"Waiting for Input","Analyzing Object","Found Object","Needs Help","Confused","None"}, 0) - 1</f>
        <v/>
      </c>
      <c r="H659" s="29" t="n">
        <v>2</v>
      </c>
      <c r="I659" s="29">
        <f>IF(E659=G659, 1, 0)</f>
        <v/>
      </c>
    </row>
    <row r="660" ht="22" customHeight="1" s="270">
      <c r="A660" s="29" t="n">
        <v>658</v>
      </c>
      <c r="B660" s="29" t="inlineStr">
        <is>
          <t>1</t>
        </is>
      </c>
      <c r="C660" s="30" t="inlineStr">
        <is>
          <t>Human</t>
        </is>
      </c>
      <c r="D660" s="29" t="inlineStr">
        <is>
          <t>Needs Help</t>
        </is>
      </c>
      <c r="E660" s="29">
        <f>MATCH(D660, {"Waiting for Input","Analyzing Object","Found Object","Needs Help","Confused","None"}, 0) - 1</f>
        <v/>
      </c>
      <c r="F660" s="31" t="inlineStr">
        <is>
          <t>None</t>
        </is>
      </c>
      <c r="G660" s="29">
        <f>MATCH(F660, {"Waiting for Input","Analyzing Object","Found Object","Needs Help","Confused","None"}, 0) - 1</f>
        <v/>
      </c>
      <c r="H660" s="31" t="n"/>
      <c r="I660" s="29">
        <f>IF(E660=G660, 1, 0)</f>
        <v/>
      </c>
    </row>
    <row r="661" ht="22" customHeight="1" s="270">
      <c r="A661" s="29" t="n">
        <v>659</v>
      </c>
      <c r="B661" s="29" t="inlineStr">
        <is>
          <t>2</t>
        </is>
      </c>
      <c r="C661" s="30" t="inlineStr">
        <is>
          <t>Human</t>
        </is>
      </c>
      <c r="D661" s="29" t="inlineStr">
        <is>
          <t>Needs Help</t>
        </is>
      </c>
      <c r="E661" s="29">
        <f>MATCH(D661, {"Waiting for Input","Analyzing Object","Found Object","Needs Help","Confused","None"}, 0) - 1</f>
        <v/>
      </c>
      <c r="F661" s="31" t="inlineStr">
        <is>
          <t>Waiting for Input</t>
        </is>
      </c>
      <c r="G661" s="29">
        <f>MATCH(F661, {"Waiting for Input","Analyzing Object","Found Object","Needs Help","Confused","None"}, 0) - 1</f>
        <v/>
      </c>
      <c r="H661" s="29" t="n">
        <v>3</v>
      </c>
      <c r="I661" s="29">
        <f>IF(E661=G661, 1, 0)</f>
        <v/>
      </c>
    </row>
    <row r="662" ht="22" customHeight="1" s="270">
      <c r="A662" s="29" t="n">
        <v>660</v>
      </c>
      <c r="B662" s="29" t="inlineStr">
        <is>
          <t>1</t>
        </is>
      </c>
      <c r="C662" s="30" t="inlineStr">
        <is>
          <t>Random</t>
        </is>
      </c>
      <c r="D662" s="29" t="inlineStr">
        <is>
          <t>Needs Help</t>
        </is>
      </c>
      <c r="E662" s="29">
        <f>MATCH(D662, {"Waiting for Input","Analyzing Object","Found Object","Needs Help","Confused","None"}, 0) - 1</f>
        <v/>
      </c>
      <c r="F662" s="31" t="inlineStr">
        <is>
          <t>Analyzing Object</t>
        </is>
      </c>
      <c r="G662" s="29">
        <f>MATCH(F662, {"Waiting for Input","Analyzing Object","Found Object","Needs Help","Confused","None"}, 0) - 1</f>
        <v/>
      </c>
      <c r="H662" s="29" t="n">
        <v>2</v>
      </c>
      <c r="I662" s="29">
        <f>IF(E662=G662, 1, 0)</f>
        <v/>
      </c>
    </row>
    <row r="663" ht="22" customHeight="1" s="270">
      <c r="A663" s="29" t="n">
        <v>661</v>
      </c>
      <c r="B663" s="29" t="inlineStr">
        <is>
          <t>1</t>
        </is>
      </c>
      <c r="C663" s="30" t="inlineStr">
        <is>
          <t>Random</t>
        </is>
      </c>
      <c r="D663" s="29" t="inlineStr">
        <is>
          <t>Needs Help</t>
        </is>
      </c>
      <c r="E663" s="29">
        <f>MATCH(D663, {"Waiting for Input","Analyzing Object","Found Object","Needs Help","Confused","None"}, 0) - 1</f>
        <v/>
      </c>
      <c r="F663" s="31" t="inlineStr">
        <is>
          <t>Analyzing Object</t>
        </is>
      </c>
      <c r="G663" s="29">
        <f>MATCH(F663, {"Waiting for Input","Analyzing Object","Found Object","Needs Help","Confused","None"}, 0) - 1</f>
        <v/>
      </c>
      <c r="H663" s="29" t="n">
        <v>3</v>
      </c>
      <c r="I663" s="29">
        <f>IF(E663=G663, 1, 0)</f>
        <v/>
      </c>
    </row>
    <row r="664" ht="22" customHeight="1" s="270">
      <c r="A664" s="29" t="n">
        <v>662</v>
      </c>
      <c r="B664" s="29" t="inlineStr">
        <is>
          <t>1</t>
        </is>
      </c>
      <c r="C664" s="30" t="inlineStr">
        <is>
          <t>Random</t>
        </is>
      </c>
      <c r="D664" s="29" t="inlineStr">
        <is>
          <t>Needs Help</t>
        </is>
      </c>
      <c r="E664" s="29">
        <f>MATCH(D664, {"Waiting for Input","Analyzing Object","Found Object","Needs Help","Confused","None"}, 0) - 1</f>
        <v/>
      </c>
      <c r="F664" s="31" t="inlineStr">
        <is>
          <t>Found Object</t>
        </is>
      </c>
      <c r="G664" s="29">
        <f>MATCH(F664, {"Waiting for Input","Analyzing Object","Found Object","Needs Help","Confused","None"}, 0) - 1</f>
        <v/>
      </c>
      <c r="H664" s="29" t="n">
        <v>1</v>
      </c>
      <c r="I664" s="29">
        <f>IF(E664=G664, 1, 0)</f>
        <v/>
      </c>
    </row>
    <row r="665" ht="22" customHeight="1" s="270">
      <c r="A665" s="29" t="n">
        <v>663</v>
      </c>
      <c r="B665" s="29" t="inlineStr">
        <is>
          <t>2</t>
        </is>
      </c>
      <c r="C665" s="30" t="inlineStr">
        <is>
          <t>Random</t>
        </is>
      </c>
      <c r="D665" s="29" t="inlineStr">
        <is>
          <t>Needs Help</t>
        </is>
      </c>
      <c r="E665" s="29">
        <f>MATCH(D665, {"Waiting for Input","Analyzing Object","Found Object","Needs Help","Confused","None"}, 0) - 1</f>
        <v/>
      </c>
      <c r="F665" s="31" t="inlineStr">
        <is>
          <t>Needs Help</t>
        </is>
      </c>
      <c r="G665" s="29">
        <f>MATCH(F665, {"Waiting for Input","Analyzing Object","Found Object","Needs Help","Confused","None"}, 0) - 1</f>
        <v/>
      </c>
      <c r="H665" s="29" t="n">
        <v>3</v>
      </c>
      <c r="I665" s="29">
        <f>IF(E665=G665, 1, 0)</f>
        <v/>
      </c>
    </row>
    <row r="666" ht="22" customHeight="1" s="270">
      <c r="A666" s="29" t="n">
        <v>664</v>
      </c>
      <c r="B666" s="29" t="inlineStr">
        <is>
          <t>2</t>
        </is>
      </c>
      <c r="C666" s="30" t="inlineStr">
        <is>
          <t>Random</t>
        </is>
      </c>
      <c r="D666" s="29" t="inlineStr">
        <is>
          <t>Needs Help</t>
        </is>
      </c>
      <c r="E666" s="29">
        <f>MATCH(D666, {"Waiting for Input","Analyzing Object","Found Object","Needs Help","Confused","None"}, 0) - 1</f>
        <v/>
      </c>
      <c r="F666" s="31" t="inlineStr">
        <is>
          <t>Analyzing Object</t>
        </is>
      </c>
      <c r="G666" s="29">
        <f>MATCH(F666, {"Waiting for Input","Analyzing Object","Found Object","Needs Help","Confused","None"}, 0) - 1</f>
        <v/>
      </c>
      <c r="H666" s="29" t="n">
        <v>3</v>
      </c>
      <c r="I666" s="29">
        <f>IF(E666=G666, 1, 0)</f>
        <v/>
      </c>
    </row>
    <row r="667" ht="22" customHeight="1" s="270">
      <c r="A667" s="29" t="n">
        <v>665</v>
      </c>
      <c r="B667" s="29" t="inlineStr">
        <is>
          <t>1</t>
        </is>
      </c>
      <c r="C667" s="30" t="inlineStr">
        <is>
          <t>Random</t>
        </is>
      </c>
      <c r="D667" s="29" t="inlineStr">
        <is>
          <t>Needs Help</t>
        </is>
      </c>
      <c r="E667" s="29">
        <f>MATCH(D667, {"Waiting for Input","Analyzing Object","Found Object","Needs Help","Confused","None"}, 0) - 1</f>
        <v/>
      </c>
      <c r="F667" s="31" t="inlineStr">
        <is>
          <t>Needs Help</t>
        </is>
      </c>
      <c r="G667" s="29">
        <f>MATCH(F667, {"Waiting for Input","Analyzing Object","Found Object","Needs Help","Confused","None"}, 0) - 1</f>
        <v/>
      </c>
      <c r="H667" s="29" t="n">
        <v>5</v>
      </c>
      <c r="I667" s="29">
        <f>IF(E667=G667, 1, 0)</f>
        <v/>
      </c>
    </row>
    <row r="668" ht="22" customHeight="1" s="270">
      <c r="A668" s="29" t="n">
        <v>666</v>
      </c>
      <c r="B668" s="29" t="inlineStr">
        <is>
          <t>2</t>
        </is>
      </c>
      <c r="C668" s="30" t="inlineStr">
        <is>
          <t>Random</t>
        </is>
      </c>
      <c r="D668" s="29" t="inlineStr">
        <is>
          <t>Needs Help</t>
        </is>
      </c>
      <c r="E668" s="29">
        <f>MATCH(D668, {"Waiting for Input","Analyzing Object","Found Object","Needs Help","Confused","None"}, 0) - 1</f>
        <v/>
      </c>
      <c r="F668" s="31" t="inlineStr">
        <is>
          <t>Analyzing Object</t>
        </is>
      </c>
      <c r="G668" s="29">
        <f>MATCH(F668, {"Waiting for Input","Analyzing Object","Found Object","Needs Help","Confused","None"}, 0) - 1</f>
        <v/>
      </c>
      <c r="H668" s="29" t="n">
        <v>3</v>
      </c>
      <c r="I668" s="29">
        <f>IF(E668=G668, 1, 0)</f>
        <v/>
      </c>
    </row>
    <row r="669" ht="22" customHeight="1" s="270">
      <c r="A669" s="29" t="n">
        <v>667</v>
      </c>
      <c r="B669" s="29" t="inlineStr">
        <is>
          <t>1</t>
        </is>
      </c>
      <c r="C669" s="30" t="inlineStr">
        <is>
          <t>Random</t>
        </is>
      </c>
      <c r="D669" s="29" t="inlineStr">
        <is>
          <t>Needs Help</t>
        </is>
      </c>
      <c r="E669" s="29">
        <f>MATCH(D669, {"Waiting for Input","Analyzing Object","Found Object","Needs Help","Confused","None"}, 0) - 1</f>
        <v/>
      </c>
      <c r="F669" s="31" t="inlineStr">
        <is>
          <t>None</t>
        </is>
      </c>
      <c r="G669" s="29">
        <f>MATCH(F669, {"Waiting for Input","Analyzing Object","Found Object","Needs Help","Confused","None"}, 0) - 1</f>
        <v/>
      </c>
      <c r="H669" s="29" t="n">
        <v>3</v>
      </c>
      <c r="I669" s="29">
        <f>IF(E669=G669, 1, 0)</f>
        <v/>
      </c>
    </row>
    <row r="670" ht="22" customHeight="1" s="270">
      <c r="A670" s="29" t="n">
        <v>668</v>
      </c>
      <c r="B670" s="29" t="inlineStr">
        <is>
          <t>1</t>
        </is>
      </c>
      <c r="C670" s="30" t="inlineStr">
        <is>
          <t>Random</t>
        </is>
      </c>
      <c r="D670" s="29" t="inlineStr">
        <is>
          <t>Needs Help</t>
        </is>
      </c>
      <c r="E670" s="29">
        <f>MATCH(D670, {"Waiting for Input","Analyzing Object","Found Object","Needs Help","Confused","None"}, 0) - 1</f>
        <v/>
      </c>
      <c r="F670" s="31" t="inlineStr">
        <is>
          <t>None</t>
        </is>
      </c>
      <c r="G670" s="29">
        <f>MATCH(F670, {"Waiting for Input","Analyzing Object","Found Object","Needs Help","Confused","None"}, 0) - 1</f>
        <v/>
      </c>
      <c r="H670" s="29" t="n">
        <v>2</v>
      </c>
      <c r="I670" s="29">
        <f>IF(E670=G670, 1, 0)</f>
        <v/>
      </c>
    </row>
    <row r="671" ht="22" customHeight="1" s="270">
      <c r="A671" s="29" t="n">
        <v>669</v>
      </c>
      <c r="B671" s="29" t="inlineStr">
        <is>
          <t>1</t>
        </is>
      </c>
      <c r="C671" s="30" t="inlineStr">
        <is>
          <t>Random</t>
        </is>
      </c>
      <c r="D671" s="29" t="inlineStr">
        <is>
          <t>Needs Help</t>
        </is>
      </c>
      <c r="E671" s="29">
        <f>MATCH(D671, {"Waiting for Input","Analyzing Object","Found Object","Needs Help","Confused","None"}, 0) - 1</f>
        <v/>
      </c>
      <c r="F671" s="31" t="inlineStr">
        <is>
          <t>Analyzing Object</t>
        </is>
      </c>
      <c r="G671" s="29">
        <f>MATCH(F671, {"Waiting for Input","Analyzing Object","Found Object","Needs Help","Confused","None"}, 0) - 1</f>
        <v/>
      </c>
      <c r="H671" s="29" t="n">
        <v>2</v>
      </c>
      <c r="I671" s="29">
        <f>IF(E671=G671, 1, 0)</f>
        <v/>
      </c>
    </row>
    <row r="672" ht="22" customHeight="1" s="270">
      <c r="A672" s="29" t="n">
        <v>670</v>
      </c>
      <c r="B672" s="29" t="inlineStr">
        <is>
          <t>2</t>
        </is>
      </c>
      <c r="C672" s="30" t="inlineStr">
        <is>
          <t>Random</t>
        </is>
      </c>
      <c r="D672" s="29" t="inlineStr">
        <is>
          <t>Needs Help</t>
        </is>
      </c>
      <c r="E672" s="29">
        <f>MATCH(D672, {"Waiting for Input","Analyzing Object","Found Object","Needs Help","Confused","None"}, 0) - 1</f>
        <v/>
      </c>
      <c r="F672" s="31" t="inlineStr">
        <is>
          <t>Found Object</t>
        </is>
      </c>
      <c r="G672" s="29">
        <f>MATCH(F672, {"Waiting for Input","Analyzing Object","Found Object","Needs Help","Confused","None"}, 0) - 1</f>
        <v/>
      </c>
      <c r="H672" s="29" t="n">
        <v>4</v>
      </c>
      <c r="I672" s="29">
        <f>IF(E672=G672, 1, 0)</f>
        <v/>
      </c>
    </row>
    <row r="673" ht="22" customHeight="1" s="270">
      <c r="A673" s="29" t="n">
        <v>671</v>
      </c>
      <c r="B673" s="29" t="inlineStr">
        <is>
          <t>2</t>
        </is>
      </c>
      <c r="C673" s="30" t="inlineStr">
        <is>
          <t>Random</t>
        </is>
      </c>
      <c r="D673" s="29" t="inlineStr">
        <is>
          <t>Needs Help</t>
        </is>
      </c>
      <c r="E673" s="29">
        <f>MATCH(D673, {"Waiting for Input","Analyzing Object","Found Object","Needs Help","Confused","None"}, 0) - 1</f>
        <v/>
      </c>
      <c r="F673" s="31" t="inlineStr">
        <is>
          <t>Analyzing Object</t>
        </is>
      </c>
      <c r="G673" s="29">
        <f>MATCH(F673, {"Waiting for Input","Analyzing Object","Found Object","Needs Help","Confused","None"}, 0) - 1</f>
        <v/>
      </c>
      <c r="H673" s="29" t="n">
        <v>2</v>
      </c>
      <c r="I673" s="29">
        <f>IF(E673=G673, 1, 0)</f>
        <v/>
      </c>
    </row>
    <row r="674" ht="22" customHeight="1" s="270">
      <c r="A674" s="29" t="n">
        <v>672</v>
      </c>
      <c r="B674" s="29" t="inlineStr">
        <is>
          <t>2</t>
        </is>
      </c>
      <c r="C674" s="30" t="inlineStr">
        <is>
          <t>Random</t>
        </is>
      </c>
      <c r="D674" s="29" t="inlineStr">
        <is>
          <t>Needs Help</t>
        </is>
      </c>
      <c r="E674" s="29">
        <f>MATCH(D674, {"Waiting for Input","Analyzing Object","Found Object","Needs Help","Confused","None"}, 0) - 1</f>
        <v/>
      </c>
      <c r="F674" s="31" t="inlineStr">
        <is>
          <t>Analyzing Object</t>
        </is>
      </c>
      <c r="G674" s="29">
        <f>MATCH(F674, {"Waiting for Input","Analyzing Object","Found Object","Needs Help","Confused","None"}, 0) - 1</f>
        <v/>
      </c>
      <c r="H674" s="29" t="n">
        <v>4</v>
      </c>
      <c r="I674" s="29">
        <f>IF(E674=G674, 1, 0)</f>
        <v/>
      </c>
    </row>
    <row r="675" ht="22" customHeight="1" s="270">
      <c r="A675" s="29" t="n">
        <v>673</v>
      </c>
      <c r="B675" s="29" t="inlineStr">
        <is>
          <t>2</t>
        </is>
      </c>
      <c r="C675" s="30" t="inlineStr">
        <is>
          <t>Random</t>
        </is>
      </c>
      <c r="D675" s="29" t="inlineStr">
        <is>
          <t>Needs Help</t>
        </is>
      </c>
      <c r="E675" s="29">
        <f>MATCH(D675, {"Waiting for Input","Analyzing Object","Found Object","Needs Help","Confused","None"}, 0) - 1</f>
        <v/>
      </c>
      <c r="F675" s="31" t="inlineStr">
        <is>
          <t>Found Object</t>
        </is>
      </c>
      <c r="G675" s="29">
        <f>MATCH(F675, {"Waiting for Input","Analyzing Object","Found Object","Needs Help","Confused","None"}, 0) - 1</f>
        <v/>
      </c>
      <c r="H675" s="29" t="n">
        <v>4</v>
      </c>
      <c r="I675" s="29">
        <f>IF(E675=G675, 1, 0)</f>
        <v/>
      </c>
    </row>
    <row r="676" ht="22" customHeight="1" s="270">
      <c r="A676" s="29" t="n">
        <v>674</v>
      </c>
      <c r="B676" s="29" t="inlineStr">
        <is>
          <t>1</t>
        </is>
      </c>
      <c r="C676" s="30" t="inlineStr">
        <is>
          <t>Random</t>
        </is>
      </c>
      <c r="D676" s="29" t="inlineStr">
        <is>
          <t>Needs Help</t>
        </is>
      </c>
      <c r="E676" s="29">
        <f>MATCH(D676, {"Waiting for Input","Analyzing Object","Found Object","Needs Help","Confused","None"}, 0) - 1</f>
        <v/>
      </c>
      <c r="F676" s="31" t="inlineStr">
        <is>
          <t>Found Object</t>
        </is>
      </c>
      <c r="G676" s="29">
        <f>MATCH(F676, {"Waiting for Input","Analyzing Object","Found Object","Needs Help","Confused","None"}, 0) - 1</f>
        <v/>
      </c>
      <c r="H676" s="29" t="n">
        <v>3</v>
      </c>
      <c r="I676" s="29">
        <f>IF(E676=G676, 1, 0)</f>
        <v/>
      </c>
    </row>
    <row r="677" ht="22" customHeight="1" s="270">
      <c r="A677" s="29" t="n">
        <v>675</v>
      </c>
      <c r="B677" s="29" t="inlineStr">
        <is>
          <t>1</t>
        </is>
      </c>
      <c r="C677" s="30" t="inlineStr">
        <is>
          <t>Random</t>
        </is>
      </c>
      <c r="D677" s="29" t="inlineStr">
        <is>
          <t>Needs Help</t>
        </is>
      </c>
      <c r="E677" s="29">
        <f>MATCH(D677, {"Waiting for Input","Analyzing Object","Found Object","Needs Help","Confused","None"}, 0) - 1</f>
        <v/>
      </c>
      <c r="F677" s="31" t="inlineStr">
        <is>
          <t>None</t>
        </is>
      </c>
      <c r="G677" s="29">
        <f>MATCH(F677, {"Waiting for Input","Analyzing Object","Found Object","Needs Help","Confused","None"}, 0) - 1</f>
        <v/>
      </c>
      <c r="H677" s="29" t="n">
        <v>2</v>
      </c>
      <c r="I677" s="29">
        <f>IF(E677=G677, 1, 0)</f>
        <v/>
      </c>
    </row>
    <row r="678" ht="22" customHeight="1" s="270">
      <c r="A678" s="29" t="n">
        <v>676</v>
      </c>
      <c r="B678" s="29" t="inlineStr">
        <is>
          <t>1</t>
        </is>
      </c>
      <c r="C678" s="30" t="inlineStr">
        <is>
          <t>Random</t>
        </is>
      </c>
      <c r="D678" s="29" t="inlineStr">
        <is>
          <t>Needs Help</t>
        </is>
      </c>
      <c r="E678" s="29">
        <f>MATCH(D678, {"Waiting for Input","Analyzing Object","Found Object","Needs Help","Confused","None"}, 0) - 1</f>
        <v/>
      </c>
      <c r="F678" s="31" t="inlineStr">
        <is>
          <t>Found Object</t>
        </is>
      </c>
      <c r="G678" s="29">
        <f>MATCH(F678, {"Waiting for Input","Analyzing Object","Found Object","Needs Help","Confused","None"}, 0) - 1</f>
        <v/>
      </c>
      <c r="H678" s="29" t="n">
        <v>1</v>
      </c>
      <c r="I678" s="29">
        <f>IF(E678=G678, 1, 0)</f>
        <v/>
      </c>
    </row>
    <row r="679" ht="22" customHeight="1" s="270">
      <c r="A679" s="29" t="n">
        <v>677</v>
      </c>
      <c r="B679" s="29" t="inlineStr">
        <is>
          <t>2</t>
        </is>
      </c>
      <c r="C679" s="30" t="inlineStr">
        <is>
          <t>Random</t>
        </is>
      </c>
      <c r="D679" s="29" t="inlineStr">
        <is>
          <t>Needs Help</t>
        </is>
      </c>
      <c r="E679" s="29">
        <f>MATCH(D679, {"Waiting for Input","Analyzing Object","Found Object","Needs Help","Confused","None"}, 0) - 1</f>
        <v/>
      </c>
      <c r="F679" s="31" t="inlineStr">
        <is>
          <t>Needs Help</t>
        </is>
      </c>
      <c r="G679" s="29">
        <f>MATCH(F679, {"Waiting for Input","Analyzing Object","Found Object","Needs Help","Confused","None"}, 0) - 1</f>
        <v/>
      </c>
      <c r="H679" s="29" t="n">
        <v>2</v>
      </c>
      <c r="I679" s="29">
        <f>IF(E679=G679, 1, 0)</f>
        <v/>
      </c>
    </row>
    <row r="680" ht="22" customHeight="1" s="270">
      <c r="A680" s="29" t="n">
        <v>678</v>
      </c>
      <c r="B680" s="29" t="inlineStr">
        <is>
          <t>2</t>
        </is>
      </c>
      <c r="C680" s="30" t="inlineStr">
        <is>
          <t>Random</t>
        </is>
      </c>
      <c r="D680" s="29" t="inlineStr">
        <is>
          <t>Needs Help</t>
        </is>
      </c>
      <c r="E680" s="29">
        <f>MATCH(D680, {"Waiting for Input","Analyzing Object","Found Object","Needs Help","Confused","None"}, 0) - 1</f>
        <v/>
      </c>
      <c r="F680" s="31" t="inlineStr">
        <is>
          <t>Analyzing Object</t>
        </is>
      </c>
      <c r="G680" s="29">
        <f>MATCH(F680, {"Waiting for Input","Analyzing Object","Found Object","Needs Help","Confused","None"}, 0) - 1</f>
        <v/>
      </c>
      <c r="H680" s="29" t="n">
        <v>3</v>
      </c>
      <c r="I680" s="29">
        <f>IF(E680=G680, 1, 0)</f>
        <v/>
      </c>
    </row>
    <row r="681" ht="22" customHeight="1" s="270">
      <c r="A681" s="29" t="n">
        <v>679</v>
      </c>
      <c r="B681" s="29" t="inlineStr">
        <is>
          <t>1</t>
        </is>
      </c>
      <c r="C681" s="30" t="inlineStr">
        <is>
          <t>Random</t>
        </is>
      </c>
      <c r="D681" s="29" t="inlineStr">
        <is>
          <t>Needs Help</t>
        </is>
      </c>
      <c r="E681" s="29">
        <f>MATCH(D681, {"Waiting for Input","Analyzing Object","Found Object","Needs Help","Confused","None"}, 0) - 1</f>
        <v/>
      </c>
      <c r="F681" s="31" t="inlineStr">
        <is>
          <t>Confused</t>
        </is>
      </c>
      <c r="G681" s="29">
        <f>MATCH(F681, {"Waiting for Input","Analyzing Object","Found Object","Needs Help","Confused","None"}, 0) - 1</f>
        <v/>
      </c>
      <c r="H681" s="29" t="n">
        <v>1</v>
      </c>
      <c r="I681" s="29">
        <f>IF(E681=G681, 1, 0)</f>
        <v/>
      </c>
    </row>
    <row r="682" ht="22" customHeight="1" s="270">
      <c r="A682" s="29" t="n">
        <v>680</v>
      </c>
      <c r="B682" s="29" t="inlineStr">
        <is>
          <t>1</t>
        </is>
      </c>
      <c r="C682" s="30" t="inlineStr">
        <is>
          <t>Random</t>
        </is>
      </c>
      <c r="D682" s="29" t="inlineStr">
        <is>
          <t>Needs Help</t>
        </is>
      </c>
      <c r="E682" s="29">
        <f>MATCH(D682, {"Waiting for Input","Analyzing Object","Found Object","Needs Help","Confused","None"}, 0) - 1</f>
        <v/>
      </c>
      <c r="F682" s="31" t="inlineStr">
        <is>
          <t>Confused</t>
        </is>
      </c>
      <c r="G682" s="29">
        <f>MATCH(F682, {"Waiting for Input","Analyzing Object","Found Object","Needs Help","Confused","None"}, 0) - 1</f>
        <v/>
      </c>
      <c r="H682" s="29" t="n">
        <v>2</v>
      </c>
      <c r="I682" s="29">
        <f>IF(E682=G682, 1, 0)</f>
        <v/>
      </c>
    </row>
    <row r="683" ht="22" customHeight="1" s="270">
      <c r="A683" s="29" t="n">
        <v>681</v>
      </c>
      <c r="B683" s="29" t="inlineStr">
        <is>
          <t>2</t>
        </is>
      </c>
      <c r="C683" s="30" t="inlineStr">
        <is>
          <t>Random</t>
        </is>
      </c>
      <c r="D683" s="29" t="inlineStr">
        <is>
          <t>Needs Help</t>
        </is>
      </c>
      <c r="E683" s="29">
        <f>MATCH(D683, {"Waiting for Input","Analyzing Object","Found Object","Needs Help","Confused","None"}, 0) - 1</f>
        <v/>
      </c>
      <c r="F683" s="31" t="inlineStr">
        <is>
          <t>None</t>
        </is>
      </c>
      <c r="G683" s="29">
        <f>MATCH(F683, {"Waiting for Input","Analyzing Object","Found Object","Needs Help","Confused","None"}, 0) - 1</f>
        <v/>
      </c>
      <c r="H683" s="29" t="n">
        <v>2</v>
      </c>
      <c r="I683" s="29">
        <f>IF(E683=G683, 1, 0)</f>
        <v/>
      </c>
    </row>
    <row r="684" ht="22" customHeight="1" s="270">
      <c r="A684" s="29" t="n">
        <v>682</v>
      </c>
      <c r="B684" s="29" t="inlineStr">
        <is>
          <t>2</t>
        </is>
      </c>
      <c r="C684" s="30" t="inlineStr">
        <is>
          <t>Random</t>
        </is>
      </c>
      <c r="D684" s="29" t="inlineStr">
        <is>
          <t>Needs Help</t>
        </is>
      </c>
      <c r="E684" s="29">
        <f>MATCH(D684, {"Waiting for Input","Analyzing Object","Found Object","Needs Help","Confused","None"}, 0) - 1</f>
        <v/>
      </c>
      <c r="F684" s="31" t="inlineStr">
        <is>
          <t>Confused</t>
        </is>
      </c>
      <c r="G684" s="29">
        <f>MATCH(F684, {"Waiting for Input","Analyzing Object","Found Object","Needs Help","Confused","None"}, 0) - 1</f>
        <v/>
      </c>
      <c r="H684" s="29" t="n">
        <v>4</v>
      </c>
      <c r="I684" s="29">
        <f>IF(E684=G684, 1, 0)</f>
        <v/>
      </c>
    </row>
    <row r="685" ht="22" customHeight="1" s="270">
      <c r="A685" s="29" t="n">
        <v>683</v>
      </c>
      <c r="B685" s="29" t="inlineStr">
        <is>
          <t>1</t>
        </is>
      </c>
      <c r="C685" s="30" t="inlineStr">
        <is>
          <t>Random</t>
        </is>
      </c>
      <c r="D685" s="29" t="inlineStr">
        <is>
          <t>Needs Help</t>
        </is>
      </c>
      <c r="E685" s="29">
        <f>MATCH(D685, {"Waiting for Input","Analyzing Object","Found Object","Needs Help","Confused","None"}, 0) - 1</f>
        <v/>
      </c>
      <c r="F685" s="31" t="inlineStr">
        <is>
          <t>Confused</t>
        </is>
      </c>
      <c r="G685" s="29">
        <f>MATCH(F685, {"Waiting for Input","Analyzing Object","Found Object","Needs Help","Confused","None"}, 0) - 1</f>
        <v/>
      </c>
      <c r="H685" s="29" t="n">
        <v>2</v>
      </c>
      <c r="I685" s="29">
        <f>IF(E685=G685, 1, 0)</f>
        <v/>
      </c>
    </row>
    <row r="686" ht="22" customHeight="1" s="270">
      <c r="A686" s="29" t="n">
        <v>684</v>
      </c>
      <c r="B686" s="29" t="inlineStr">
        <is>
          <t>1</t>
        </is>
      </c>
      <c r="C686" s="30" t="inlineStr">
        <is>
          <t>Random</t>
        </is>
      </c>
      <c r="D686" s="29" t="inlineStr">
        <is>
          <t>Needs Help</t>
        </is>
      </c>
      <c r="E686" s="29">
        <f>MATCH(D686, {"Waiting for Input","Analyzing Object","Found Object","Needs Help","Confused","None"}, 0) - 1</f>
        <v/>
      </c>
      <c r="F686" s="31" t="inlineStr">
        <is>
          <t>Found Object</t>
        </is>
      </c>
      <c r="G686" s="29">
        <f>MATCH(F686, {"Waiting for Input","Analyzing Object","Found Object","Needs Help","Confused","None"}, 0) - 1</f>
        <v/>
      </c>
      <c r="H686" s="29" t="n">
        <v>4</v>
      </c>
      <c r="I686" s="29">
        <f>IF(E686=G686, 1, 0)</f>
        <v/>
      </c>
    </row>
    <row r="687" ht="22" customHeight="1" s="270">
      <c r="A687" s="29" t="n">
        <v>685</v>
      </c>
      <c r="B687" s="29" t="inlineStr">
        <is>
          <t>2</t>
        </is>
      </c>
      <c r="C687" s="30" t="inlineStr">
        <is>
          <t>Random</t>
        </is>
      </c>
      <c r="D687" s="29" t="inlineStr">
        <is>
          <t>Needs Help</t>
        </is>
      </c>
      <c r="E687" s="29">
        <f>MATCH(D687, {"Waiting for Input","Analyzing Object","Found Object","Needs Help","Confused","None"}, 0) - 1</f>
        <v/>
      </c>
      <c r="F687" s="31" t="inlineStr">
        <is>
          <t>Confused</t>
        </is>
      </c>
      <c r="G687" s="29">
        <f>MATCH(F687, {"Waiting for Input","Analyzing Object","Found Object","Needs Help","Confused","None"}, 0) - 1</f>
        <v/>
      </c>
      <c r="H687" s="29" t="n">
        <v>2</v>
      </c>
      <c r="I687" s="29">
        <f>IF(E687=G687, 1, 0)</f>
        <v/>
      </c>
    </row>
    <row r="688" ht="22" customHeight="1" s="270">
      <c r="A688" s="29" t="n">
        <v>686</v>
      </c>
      <c r="B688" s="29" t="inlineStr">
        <is>
          <t>2</t>
        </is>
      </c>
      <c r="C688" s="30" t="inlineStr">
        <is>
          <t>Random</t>
        </is>
      </c>
      <c r="D688" s="29" t="inlineStr">
        <is>
          <t>Needs Help</t>
        </is>
      </c>
      <c r="E688" s="29">
        <f>MATCH(D688, {"Waiting for Input","Analyzing Object","Found Object","Needs Help","Confused","None"}, 0) - 1</f>
        <v/>
      </c>
      <c r="F688" s="31" t="inlineStr">
        <is>
          <t>Confused</t>
        </is>
      </c>
      <c r="G688" s="29">
        <f>MATCH(F688, {"Waiting for Input","Analyzing Object","Found Object","Needs Help","Confused","None"}, 0) - 1</f>
        <v/>
      </c>
      <c r="H688" s="29" t="n">
        <v>3</v>
      </c>
      <c r="I688" s="29">
        <f>IF(E688=G688, 1, 0)</f>
        <v/>
      </c>
    </row>
    <row r="689" ht="22" customHeight="1" s="270">
      <c r="A689" s="29" t="n">
        <v>687</v>
      </c>
      <c r="B689" s="29" t="inlineStr">
        <is>
          <t>2</t>
        </is>
      </c>
      <c r="C689" s="30" t="inlineStr">
        <is>
          <t>Random</t>
        </is>
      </c>
      <c r="D689" s="29" t="inlineStr">
        <is>
          <t>Needs Help</t>
        </is>
      </c>
      <c r="E689" s="29">
        <f>MATCH(D689, {"Waiting for Input","Analyzing Object","Found Object","Needs Help","Confused","None"}, 0) - 1</f>
        <v/>
      </c>
      <c r="F689" s="31" t="inlineStr">
        <is>
          <t>Confused</t>
        </is>
      </c>
      <c r="G689" s="29">
        <f>MATCH(F689, {"Waiting for Input","Analyzing Object","Found Object","Needs Help","Confused","None"}, 0) - 1</f>
        <v/>
      </c>
      <c r="H689" s="29" t="n">
        <v>4</v>
      </c>
      <c r="I689" s="29">
        <f>IF(E689=G689, 1, 0)</f>
        <v/>
      </c>
    </row>
    <row r="690" ht="22" customHeight="1" s="270">
      <c r="A690" s="29" t="n">
        <v>688</v>
      </c>
      <c r="B690" s="29" t="inlineStr">
        <is>
          <t>2</t>
        </is>
      </c>
      <c r="C690" s="30" t="inlineStr">
        <is>
          <t>Random</t>
        </is>
      </c>
      <c r="D690" s="29" t="inlineStr">
        <is>
          <t>Needs Help</t>
        </is>
      </c>
      <c r="E690" s="29">
        <f>MATCH(D690, {"Waiting for Input","Analyzing Object","Found Object","Needs Help","Confused","None"}, 0) - 1</f>
        <v/>
      </c>
      <c r="F690" s="31" t="inlineStr">
        <is>
          <t>Analyzing Object</t>
        </is>
      </c>
      <c r="G690" s="29">
        <f>MATCH(F690, {"Waiting for Input","Analyzing Object","Found Object","Needs Help","Confused","None"}, 0) - 1</f>
        <v/>
      </c>
      <c r="H690" s="29" t="n">
        <v>4</v>
      </c>
      <c r="I690" s="29">
        <f>IF(E690=G690, 1, 0)</f>
        <v/>
      </c>
    </row>
    <row r="691" ht="22" customHeight="1" s="270">
      <c r="A691" s="29" t="n">
        <v>689</v>
      </c>
      <c r="B691" s="29" t="inlineStr">
        <is>
          <t>2</t>
        </is>
      </c>
      <c r="C691" s="30" t="inlineStr">
        <is>
          <t>Random</t>
        </is>
      </c>
      <c r="D691" s="29" t="inlineStr">
        <is>
          <t>Needs Help</t>
        </is>
      </c>
      <c r="E691" s="29">
        <f>MATCH(D691, {"Waiting for Input","Analyzing Object","Found Object","Needs Help","Confused","None"}, 0) - 1</f>
        <v/>
      </c>
      <c r="F691" s="31" t="inlineStr">
        <is>
          <t>Analyzing Object</t>
        </is>
      </c>
      <c r="G691" s="29">
        <f>MATCH(F691, {"Waiting for Input","Analyzing Object","Found Object","Needs Help","Confused","None"}, 0) - 1</f>
        <v/>
      </c>
      <c r="H691" s="29" t="n">
        <v>3</v>
      </c>
      <c r="I691" s="29">
        <f>IF(E691=G691, 1, 0)</f>
        <v/>
      </c>
    </row>
    <row r="692" ht="22" customHeight="1" s="270">
      <c r="A692" s="29" t="n">
        <v>690</v>
      </c>
      <c r="B692" s="29" t="inlineStr">
        <is>
          <t>2</t>
        </is>
      </c>
      <c r="C692" s="30" t="inlineStr">
        <is>
          <t>Random</t>
        </is>
      </c>
      <c r="D692" s="29" t="inlineStr">
        <is>
          <t>Needs Help</t>
        </is>
      </c>
      <c r="E692" s="29">
        <f>MATCH(D692, {"Waiting for Input","Analyzing Object","Found Object","Needs Help","Confused","None"}, 0) - 1</f>
        <v/>
      </c>
      <c r="F692" s="31" t="inlineStr">
        <is>
          <t>Analyzing Object</t>
        </is>
      </c>
      <c r="G692" s="29">
        <f>MATCH(F692, {"Waiting for Input","Analyzing Object","Found Object","Needs Help","Confused","None"}, 0) - 1</f>
        <v/>
      </c>
      <c r="H692" s="29" t="n">
        <v>4</v>
      </c>
      <c r="I692" s="29">
        <f>IF(E692=G692, 1, 0)</f>
        <v/>
      </c>
    </row>
    <row r="693" ht="22" customHeight="1" s="270">
      <c r="A693" s="29" t="n">
        <v>691</v>
      </c>
      <c r="B693" s="29" t="inlineStr">
        <is>
          <t>1</t>
        </is>
      </c>
      <c r="C693" s="30" t="inlineStr">
        <is>
          <t>Random</t>
        </is>
      </c>
      <c r="D693" s="29" t="inlineStr">
        <is>
          <t>Needs Help</t>
        </is>
      </c>
      <c r="E693" s="29">
        <f>MATCH(D693, {"Waiting for Input","Analyzing Object","Found Object","Needs Help","Confused","None"}, 0) - 1</f>
        <v/>
      </c>
      <c r="F693" s="31" t="inlineStr">
        <is>
          <t>Confused</t>
        </is>
      </c>
      <c r="G693" s="29">
        <f>MATCH(F693, {"Waiting for Input","Analyzing Object","Found Object","Needs Help","Confused","None"}, 0) - 1</f>
        <v/>
      </c>
      <c r="H693" s="29" t="n">
        <v>3</v>
      </c>
      <c r="I693" s="29">
        <f>IF(E693=G693, 1, 0)</f>
        <v/>
      </c>
    </row>
    <row r="694" ht="22" customHeight="1" s="270">
      <c r="A694" s="29" t="n">
        <v>692</v>
      </c>
      <c r="B694" s="29" t="inlineStr">
        <is>
          <t>2</t>
        </is>
      </c>
      <c r="C694" s="30" t="inlineStr">
        <is>
          <t>Random</t>
        </is>
      </c>
      <c r="D694" s="29" t="inlineStr">
        <is>
          <t>Needs Help</t>
        </is>
      </c>
      <c r="E694" s="29">
        <f>MATCH(D694, {"Waiting for Input","Analyzing Object","Found Object","Needs Help","Confused","None"}, 0) - 1</f>
        <v/>
      </c>
      <c r="F694" s="31" t="inlineStr">
        <is>
          <t>Found Object</t>
        </is>
      </c>
      <c r="G694" s="29">
        <f>MATCH(F694, {"Waiting for Input","Analyzing Object","Found Object","Needs Help","Confused","None"}, 0) - 1</f>
        <v/>
      </c>
      <c r="H694" s="29" t="n">
        <v>4</v>
      </c>
      <c r="I694" s="29">
        <f>IF(E694=G694, 1, 0)</f>
        <v/>
      </c>
    </row>
    <row r="695" ht="22" customHeight="1" s="270">
      <c r="A695" s="29" t="n">
        <v>693</v>
      </c>
      <c r="B695" s="29" t="inlineStr">
        <is>
          <t>1</t>
        </is>
      </c>
      <c r="C695" s="30" t="inlineStr">
        <is>
          <t>Random</t>
        </is>
      </c>
      <c r="D695" s="29" t="inlineStr">
        <is>
          <t>Needs Help</t>
        </is>
      </c>
      <c r="E695" s="29">
        <f>MATCH(D695, {"Waiting for Input","Analyzing Object","Found Object","Needs Help","Confused","None"}, 0) - 1</f>
        <v/>
      </c>
      <c r="F695" s="31" t="inlineStr">
        <is>
          <t>Confused</t>
        </is>
      </c>
      <c r="G695" s="29">
        <f>MATCH(F695, {"Waiting for Input","Analyzing Object","Found Object","Needs Help","Confused","None"}, 0) - 1</f>
        <v/>
      </c>
      <c r="H695" s="29" t="n">
        <v>3</v>
      </c>
      <c r="I695" s="29">
        <f>IF(E695=G695, 1, 0)</f>
        <v/>
      </c>
    </row>
    <row r="696" ht="22" customHeight="1" s="270">
      <c r="A696" s="29" t="n">
        <v>694</v>
      </c>
      <c r="B696" s="29" t="inlineStr">
        <is>
          <t>1</t>
        </is>
      </c>
      <c r="C696" s="30" t="inlineStr">
        <is>
          <t>Random</t>
        </is>
      </c>
      <c r="D696" s="29" t="inlineStr">
        <is>
          <t>Needs Help</t>
        </is>
      </c>
      <c r="E696" s="29">
        <f>MATCH(D696, {"Waiting for Input","Analyzing Object","Found Object","Needs Help","Confused","None"}, 0) - 1</f>
        <v/>
      </c>
      <c r="F696" s="31" t="inlineStr">
        <is>
          <t>Confused</t>
        </is>
      </c>
      <c r="G696" s="29">
        <f>MATCH(F696, {"Waiting for Input","Analyzing Object","Found Object","Needs Help","Confused","None"}, 0) - 1</f>
        <v/>
      </c>
      <c r="H696" s="29" t="n">
        <v>3</v>
      </c>
      <c r="I696" s="29">
        <f>IF(E696=G696, 1, 0)</f>
        <v/>
      </c>
    </row>
    <row r="697" ht="22" customHeight="1" s="270">
      <c r="A697" s="29" t="n">
        <v>695</v>
      </c>
      <c r="B697" s="29" t="inlineStr">
        <is>
          <t>1</t>
        </is>
      </c>
      <c r="C697" s="30" t="inlineStr">
        <is>
          <t>Random</t>
        </is>
      </c>
      <c r="D697" s="29" t="inlineStr">
        <is>
          <t>Needs Help</t>
        </is>
      </c>
      <c r="E697" s="29">
        <f>MATCH(D697, {"Waiting for Input","Analyzing Object","Found Object","Needs Help","Confused","None"}, 0) - 1</f>
        <v/>
      </c>
      <c r="F697" s="31" t="inlineStr">
        <is>
          <t>Confused</t>
        </is>
      </c>
      <c r="G697" s="29">
        <f>MATCH(F697, {"Waiting for Input","Analyzing Object","Found Object","Needs Help","Confused","None"}, 0) - 1</f>
        <v/>
      </c>
      <c r="H697" s="29" t="n">
        <v>2</v>
      </c>
      <c r="I697" s="29">
        <f>IF(E697=G697, 1, 0)</f>
        <v/>
      </c>
    </row>
    <row r="698" ht="22" customHeight="1" s="270">
      <c r="A698" s="29" t="n">
        <v>696</v>
      </c>
      <c r="B698" s="29" t="inlineStr">
        <is>
          <t>2</t>
        </is>
      </c>
      <c r="C698" s="30" t="inlineStr">
        <is>
          <t>Random</t>
        </is>
      </c>
      <c r="D698" s="29" t="inlineStr">
        <is>
          <t>Needs Help</t>
        </is>
      </c>
      <c r="E698" s="29">
        <f>MATCH(D698, {"Waiting for Input","Analyzing Object","Found Object","Needs Help","Confused","None"}, 0) - 1</f>
        <v/>
      </c>
      <c r="F698" s="31" t="inlineStr">
        <is>
          <t>Confused</t>
        </is>
      </c>
      <c r="G698" s="29">
        <f>MATCH(F698, {"Waiting for Input","Analyzing Object","Found Object","Needs Help","Confused","None"}, 0) - 1</f>
        <v/>
      </c>
      <c r="H698" s="29" t="n">
        <v>1</v>
      </c>
      <c r="I698" s="29">
        <f>IF(E698=G698, 1, 0)</f>
        <v/>
      </c>
    </row>
    <row r="699" ht="22" customHeight="1" s="270">
      <c r="A699" s="29" t="n">
        <v>697</v>
      </c>
      <c r="B699" s="29" t="inlineStr">
        <is>
          <t>2</t>
        </is>
      </c>
      <c r="C699" s="30" t="inlineStr">
        <is>
          <t>Random</t>
        </is>
      </c>
      <c r="D699" s="29" t="inlineStr">
        <is>
          <t>Needs Help</t>
        </is>
      </c>
      <c r="E699" s="29">
        <f>MATCH(D699, {"Waiting for Input","Analyzing Object","Found Object","Needs Help","Confused","None"}, 0) - 1</f>
        <v/>
      </c>
      <c r="F699" s="31" t="inlineStr">
        <is>
          <t>Analyzing Object</t>
        </is>
      </c>
      <c r="G699" s="29">
        <f>MATCH(F699, {"Waiting for Input","Analyzing Object","Found Object","Needs Help","Confused","None"}, 0) - 1</f>
        <v/>
      </c>
      <c r="H699" s="29" t="n">
        <v>5</v>
      </c>
      <c r="I699" s="29">
        <f>IF(E699=G699, 1, 0)</f>
        <v/>
      </c>
    </row>
    <row r="700" ht="22" customHeight="1" s="270">
      <c r="A700" s="29" t="n">
        <v>698</v>
      </c>
      <c r="B700" s="29" t="inlineStr">
        <is>
          <t>1</t>
        </is>
      </c>
      <c r="C700" s="30" t="inlineStr">
        <is>
          <t>Random</t>
        </is>
      </c>
      <c r="D700" s="29" t="inlineStr">
        <is>
          <t>Needs Help</t>
        </is>
      </c>
      <c r="E700" s="29">
        <f>MATCH(D700, {"Waiting for Input","Analyzing Object","Found Object","Needs Help","Confused","None"}, 0) - 1</f>
        <v/>
      </c>
      <c r="F700" s="31" t="inlineStr">
        <is>
          <t>Found Object</t>
        </is>
      </c>
      <c r="G700" s="29">
        <f>MATCH(F700, {"Waiting for Input","Analyzing Object","Found Object","Needs Help","Confused","None"}, 0) - 1</f>
        <v/>
      </c>
      <c r="H700" s="29" t="n">
        <v>2</v>
      </c>
      <c r="I700" s="29">
        <f>IF(E700=G700, 1, 0)</f>
        <v/>
      </c>
    </row>
    <row r="701" ht="22" customHeight="1" s="270">
      <c r="A701" s="29" t="n">
        <v>699</v>
      </c>
      <c r="B701" s="29" t="inlineStr">
        <is>
          <t>1</t>
        </is>
      </c>
      <c r="C701" s="30" t="inlineStr">
        <is>
          <t>Random</t>
        </is>
      </c>
      <c r="D701" s="29" t="inlineStr">
        <is>
          <t>Needs Help</t>
        </is>
      </c>
      <c r="E701" s="29">
        <f>MATCH(D701, {"Waiting for Input","Analyzing Object","Found Object","Needs Help","Confused","None"}, 0) - 1</f>
        <v/>
      </c>
      <c r="F701" s="31" t="inlineStr">
        <is>
          <t>Confused</t>
        </is>
      </c>
      <c r="G701" s="29">
        <f>MATCH(F701, {"Waiting for Input","Analyzing Object","Found Object","Needs Help","Confused","None"}, 0) - 1</f>
        <v/>
      </c>
      <c r="H701" s="29" t="n">
        <v>3</v>
      </c>
      <c r="I701" s="29">
        <f>IF(E701=G701, 1, 0)</f>
        <v/>
      </c>
    </row>
    <row r="702" ht="22" customHeight="1" s="270">
      <c r="A702" s="29" t="n">
        <v>700</v>
      </c>
      <c r="B702" s="29" t="inlineStr">
        <is>
          <t>1</t>
        </is>
      </c>
      <c r="C702" s="30" t="inlineStr">
        <is>
          <t>Random</t>
        </is>
      </c>
      <c r="D702" s="29" t="inlineStr">
        <is>
          <t>Needs Help</t>
        </is>
      </c>
      <c r="E702" s="29">
        <f>MATCH(D702, {"Waiting for Input","Analyzing Object","Found Object","Needs Help","Confused","None"}, 0) - 1</f>
        <v/>
      </c>
      <c r="F702" s="31" t="inlineStr">
        <is>
          <t>Analyzing Object</t>
        </is>
      </c>
      <c r="G702" s="29">
        <f>MATCH(F702, {"Waiting for Input","Analyzing Object","Found Object","Needs Help","Confused","None"}, 0) - 1</f>
        <v/>
      </c>
      <c r="H702" s="29" t="n">
        <v>5</v>
      </c>
      <c r="I702" s="29">
        <f>IF(E702=G702, 1, 0)</f>
        <v/>
      </c>
    </row>
    <row r="703" ht="22" customHeight="1" s="270">
      <c r="A703" s="29" t="n">
        <v>701</v>
      </c>
      <c r="B703" s="29" t="inlineStr">
        <is>
          <t>2</t>
        </is>
      </c>
      <c r="C703" s="30" t="inlineStr">
        <is>
          <t>Random</t>
        </is>
      </c>
      <c r="D703" s="29" t="inlineStr">
        <is>
          <t>Needs Help</t>
        </is>
      </c>
      <c r="E703" s="29">
        <f>MATCH(D703, {"Waiting for Input","Analyzing Object","Found Object","Needs Help","Confused","None"}, 0) - 1</f>
        <v/>
      </c>
      <c r="F703" s="31" t="inlineStr">
        <is>
          <t>Analyzing Object</t>
        </is>
      </c>
      <c r="G703" s="29">
        <f>MATCH(F703, {"Waiting for Input","Analyzing Object","Found Object","Needs Help","Confused","None"}, 0) - 1</f>
        <v/>
      </c>
      <c r="H703" s="29" t="n">
        <v>3</v>
      </c>
      <c r="I703" s="29">
        <f>IF(E703=G703, 1, 0)</f>
        <v/>
      </c>
    </row>
    <row r="704" ht="22" customHeight="1" s="270">
      <c r="A704" s="29" t="n">
        <v>702</v>
      </c>
      <c r="B704" s="29" t="inlineStr">
        <is>
          <t>2</t>
        </is>
      </c>
      <c r="C704" s="30" t="inlineStr">
        <is>
          <t>Random</t>
        </is>
      </c>
      <c r="D704" s="29" t="inlineStr">
        <is>
          <t>Needs Help</t>
        </is>
      </c>
      <c r="E704" s="29">
        <f>MATCH(D704, {"Waiting for Input","Analyzing Object","Found Object","Needs Help","Confused","None"}, 0) - 1</f>
        <v/>
      </c>
      <c r="F704" s="31" t="inlineStr">
        <is>
          <t>Needs Help</t>
        </is>
      </c>
      <c r="G704" s="29">
        <f>MATCH(F704, {"Waiting for Input","Analyzing Object","Found Object","Needs Help","Confused","None"}, 0) - 1</f>
        <v/>
      </c>
      <c r="H704" s="29" t="n">
        <v>1</v>
      </c>
      <c r="I704" s="29">
        <f>IF(E704=G704, 1, 0)</f>
        <v/>
      </c>
    </row>
    <row r="705" ht="22" customHeight="1" s="270">
      <c r="A705" s="29" t="n">
        <v>703</v>
      </c>
      <c r="B705" s="29" t="inlineStr">
        <is>
          <t>2</t>
        </is>
      </c>
      <c r="C705" s="30" t="inlineStr">
        <is>
          <t>Random</t>
        </is>
      </c>
      <c r="D705" s="29" t="inlineStr">
        <is>
          <t>Needs Help</t>
        </is>
      </c>
      <c r="E705" s="29">
        <f>MATCH(D705, {"Waiting for Input","Analyzing Object","Found Object","Needs Help","Confused","None"}, 0) - 1</f>
        <v/>
      </c>
      <c r="F705" s="31" t="inlineStr">
        <is>
          <t>Analyzing Object</t>
        </is>
      </c>
      <c r="G705" s="29">
        <f>MATCH(F705, {"Waiting for Input","Analyzing Object","Found Object","Needs Help","Confused","None"}, 0) - 1</f>
        <v/>
      </c>
      <c r="H705" s="29" t="n">
        <v>2</v>
      </c>
      <c r="I705" s="29">
        <f>IF(E705=G705, 1, 0)</f>
        <v/>
      </c>
    </row>
    <row r="706" ht="22" customHeight="1" s="270">
      <c r="A706" s="29" t="n">
        <v>704</v>
      </c>
      <c r="B706" s="29" t="inlineStr">
        <is>
          <t>2</t>
        </is>
      </c>
      <c r="C706" s="30" t="inlineStr">
        <is>
          <t>Random</t>
        </is>
      </c>
      <c r="D706" s="29" t="inlineStr">
        <is>
          <t>Needs Help</t>
        </is>
      </c>
      <c r="E706" s="29">
        <f>MATCH(D706, {"Waiting for Input","Analyzing Object","Found Object","Needs Help","Confused","None"}, 0) - 1</f>
        <v/>
      </c>
      <c r="F706" s="31" t="inlineStr">
        <is>
          <t>Confused</t>
        </is>
      </c>
      <c r="G706" s="29">
        <f>MATCH(F706, {"Waiting for Input","Analyzing Object","Found Object","Needs Help","Confused","None"}, 0) - 1</f>
        <v/>
      </c>
      <c r="H706" s="29" t="n">
        <v>2</v>
      </c>
      <c r="I706" s="29">
        <f>IF(E706=G706, 1, 0)</f>
        <v/>
      </c>
    </row>
    <row r="707" ht="22" customHeight="1" s="270">
      <c r="A707" s="29" t="n">
        <v>705</v>
      </c>
      <c r="B707" s="29" t="inlineStr">
        <is>
          <t>2</t>
        </is>
      </c>
      <c r="C707" s="30" t="inlineStr">
        <is>
          <t>Random</t>
        </is>
      </c>
      <c r="D707" s="29" t="inlineStr">
        <is>
          <t>Needs Help</t>
        </is>
      </c>
      <c r="E707" s="29">
        <f>MATCH(D707, {"Waiting for Input","Analyzing Object","Found Object","Needs Help","Confused","None"}, 0) - 1</f>
        <v/>
      </c>
      <c r="F707" s="31" t="inlineStr">
        <is>
          <t>Found Object</t>
        </is>
      </c>
      <c r="G707" s="29">
        <f>MATCH(F707, {"Waiting for Input","Analyzing Object","Found Object","Needs Help","Confused","None"}, 0) - 1</f>
        <v/>
      </c>
      <c r="H707" s="29" t="n">
        <v>3</v>
      </c>
      <c r="I707" s="29">
        <f>IF(E707=G707, 1, 0)</f>
        <v/>
      </c>
    </row>
    <row r="708" ht="22" customHeight="1" s="270">
      <c r="A708" s="29" t="n">
        <v>706</v>
      </c>
      <c r="B708" s="29" t="inlineStr">
        <is>
          <t>2</t>
        </is>
      </c>
      <c r="C708" s="30" t="inlineStr">
        <is>
          <t>Random</t>
        </is>
      </c>
      <c r="D708" s="29" t="inlineStr">
        <is>
          <t>Needs Help</t>
        </is>
      </c>
      <c r="E708" s="29">
        <f>MATCH(D708, {"Waiting for Input","Analyzing Object","Found Object","Needs Help","Confused","None"}, 0) - 1</f>
        <v/>
      </c>
      <c r="F708" s="31" t="inlineStr">
        <is>
          <t>Analyzing Object</t>
        </is>
      </c>
      <c r="G708" s="29">
        <f>MATCH(F708, {"Waiting for Input","Analyzing Object","Found Object","Needs Help","Confused","None"}, 0) - 1</f>
        <v/>
      </c>
      <c r="H708" s="29" t="n">
        <v>3</v>
      </c>
      <c r="I708" s="29">
        <f>IF(E708=G708, 1, 0)</f>
        <v/>
      </c>
    </row>
    <row r="709" ht="22" customHeight="1" s="270">
      <c r="A709" s="29" t="n">
        <v>707</v>
      </c>
      <c r="B709" s="29" t="inlineStr">
        <is>
          <t>2</t>
        </is>
      </c>
      <c r="C709" s="30" t="inlineStr">
        <is>
          <t>Random</t>
        </is>
      </c>
      <c r="D709" s="29" t="inlineStr">
        <is>
          <t>Needs Help</t>
        </is>
      </c>
      <c r="E709" s="29">
        <f>MATCH(D709, {"Waiting for Input","Analyzing Object","Found Object","Needs Help","Confused","None"}, 0) - 1</f>
        <v/>
      </c>
      <c r="F709" s="31" t="inlineStr">
        <is>
          <t>Analyzing Object</t>
        </is>
      </c>
      <c r="G709" s="29">
        <f>MATCH(F709, {"Waiting for Input","Analyzing Object","Found Object","Needs Help","Confused","None"}, 0) - 1</f>
        <v/>
      </c>
      <c r="H709" s="29" t="n">
        <v>3</v>
      </c>
      <c r="I709" s="29">
        <f>IF(E709=G709, 1, 0)</f>
        <v/>
      </c>
    </row>
    <row r="710" ht="22" customHeight="1" s="270">
      <c r="A710" s="29" t="n">
        <v>708</v>
      </c>
      <c r="B710" s="29" t="inlineStr">
        <is>
          <t>2</t>
        </is>
      </c>
      <c r="C710" s="30" t="inlineStr">
        <is>
          <t>Random</t>
        </is>
      </c>
      <c r="D710" s="29" t="inlineStr">
        <is>
          <t>Needs Help</t>
        </is>
      </c>
      <c r="E710" s="29">
        <f>MATCH(D710, {"Waiting for Input","Analyzing Object","Found Object","Needs Help","Confused","None"}, 0) - 1</f>
        <v/>
      </c>
      <c r="F710" s="31" t="inlineStr">
        <is>
          <t>Analyzing Object</t>
        </is>
      </c>
      <c r="G710" s="29">
        <f>MATCH(F710, {"Waiting for Input","Analyzing Object","Found Object","Needs Help","Confused","None"}, 0) - 1</f>
        <v/>
      </c>
      <c r="H710" s="29" t="n">
        <v>3</v>
      </c>
      <c r="I710" s="29">
        <f>IF(E710=G710, 1, 0)</f>
        <v/>
      </c>
    </row>
    <row r="711" ht="22" customHeight="1" s="270">
      <c r="A711" s="29" t="n">
        <v>709</v>
      </c>
      <c r="B711" s="29" t="inlineStr">
        <is>
          <t>2</t>
        </is>
      </c>
      <c r="C711" s="30" t="inlineStr">
        <is>
          <t>Random</t>
        </is>
      </c>
      <c r="D711" s="29" t="inlineStr">
        <is>
          <t>Needs Help</t>
        </is>
      </c>
      <c r="E711" s="29">
        <f>MATCH(D711, {"Waiting for Input","Analyzing Object","Found Object","Needs Help","Confused","None"}, 0) - 1</f>
        <v/>
      </c>
      <c r="F711" s="31" t="inlineStr">
        <is>
          <t>Analyzing Object</t>
        </is>
      </c>
      <c r="G711" s="29">
        <f>MATCH(F711, {"Waiting for Input","Analyzing Object","Found Object","Needs Help","Confused","None"}, 0) - 1</f>
        <v/>
      </c>
      <c r="H711" s="29" t="n">
        <v>4</v>
      </c>
      <c r="I711" s="29">
        <f>IF(E711=G711, 1, 0)</f>
        <v/>
      </c>
    </row>
    <row r="712" ht="22" customHeight="1" s="270">
      <c r="A712" s="29" t="n">
        <v>710</v>
      </c>
      <c r="B712" s="29" t="inlineStr">
        <is>
          <t>2</t>
        </is>
      </c>
      <c r="C712" s="30" t="inlineStr">
        <is>
          <t>Random</t>
        </is>
      </c>
      <c r="D712" s="29" t="inlineStr">
        <is>
          <t>Needs Help</t>
        </is>
      </c>
      <c r="E712" s="29">
        <f>MATCH(D712, {"Waiting for Input","Analyzing Object","Found Object","Needs Help","Confused","None"}, 0) - 1</f>
        <v/>
      </c>
      <c r="F712" s="31" t="inlineStr">
        <is>
          <t>None</t>
        </is>
      </c>
      <c r="G712" s="29">
        <f>MATCH(F712, {"Waiting for Input","Analyzing Object","Found Object","Needs Help","Confused","None"}, 0) - 1</f>
        <v/>
      </c>
      <c r="H712" s="29" t="n">
        <v>2</v>
      </c>
      <c r="I712" s="29">
        <f>IF(E712=G712, 1, 0)</f>
        <v/>
      </c>
    </row>
    <row r="713" ht="22" customHeight="1" s="270">
      <c r="A713" s="29" t="n">
        <v>711</v>
      </c>
      <c r="B713" s="29" t="inlineStr">
        <is>
          <t>1</t>
        </is>
      </c>
      <c r="C713" s="30" t="inlineStr">
        <is>
          <t>Random</t>
        </is>
      </c>
      <c r="D713" s="29" t="inlineStr">
        <is>
          <t>Needs Help</t>
        </is>
      </c>
      <c r="E713" s="29">
        <f>MATCH(D713, {"Waiting for Input","Analyzing Object","Found Object","Needs Help","Confused","None"}, 0) - 1</f>
        <v/>
      </c>
      <c r="F713" s="31" t="inlineStr">
        <is>
          <t>Analyzing Object</t>
        </is>
      </c>
      <c r="G713" s="29">
        <f>MATCH(F713, {"Waiting for Input","Analyzing Object","Found Object","Needs Help","Confused","None"}, 0) - 1</f>
        <v/>
      </c>
      <c r="H713" s="29" t="n">
        <v>4</v>
      </c>
      <c r="I713" s="29">
        <f>IF(E713=G713, 1, 0)</f>
        <v/>
      </c>
    </row>
    <row r="714" ht="22" customHeight="1" s="270">
      <c r="A714" s="29" t="n">
        <v>712</v>
      </c>
      <c r="B714" s="29" t="inlineStr">
        <is>
          <t>2</t>
        </is>
      </c>
      <c r="C714" s="30" t="inlineStr">
        <is>
          <t>Random</t>
        </is>
      </c>
      <c r="D714" s="29" t="inlineStr">
        <is>
          <t>Needs Help</t>
        </is>
      </c>
      <c r="E714" s="29">
        <f>MATCH(D714, {"Waiting for Input","Analyzing Object","Found Object","Needs Help","Confused","None"}, 0) - 1</f>
        <v/>
      </c>
      <c r="F714" s="31" t="inlineStr">
        <is>
          <t>Analyzing Object</t>
        </is>
      </c>
      <c r="G714" s="29">
        <f>MATCH(F714, {"Waiting for Input","Analyzing Object","Found Object","Needs Help","Confused","None"}, 0) - 1</f>
        <v/>
      </c>
      <c r="H714" s="29" t="n">
        <v>4</v>
      </c>
      <c r="I714" s="29">
        <f>IF(E714=G714, 1, 0)</f>
        <v/>
      </c>
    </row>
    <row r="715" ht="22" customHeight="1" s="270">
      <c r="A715" s="29" t="n">
        <v>713</v>
      </c>
      <c r="B715" s="29" t="inlineStr">
        <is>
          <t>2</t>
        </is>
      </c>
      <c r="C715" s="30" t="inlineStr">
        <is>
          <t>Random</t>
        </is>
      </c>
      <c r="D715" s="29" t="inlineStr">
        <is>
          <t>Needs Help</t>
        </is>
      </c>
      <c r="E715" s="29">
        <f>MATCH(D715, {"Waiting for Input","Analyzing Object","Found Object","Needs Help","Confused","None"}, 0) - 1</f>
        <v/>
      </c>
      <c r="F715" s="31" t="inlineStr">
        <is>
          <t>None</t>
        </is>
      </c>
      <c r="G715" s="29">
        <f>MATCH(F715, {"Waiting for Input","Analyzing Object","Found Object","Needs Help","Confused","None"}, 0) - 1</f>
        <v/>
      </c>
      <c r="H715" s="29" t="n">
        <v>3</v>
      </c>
      <c r="I715" s="29">
        <f>IF(E715=G715, 1, 0)</f>
        <v/>
      </c>
    </row>
    <row r="716" ht="22" customHeight="1" s="270">
      <c r="A716" s="29" t="n">
        <v>714</v>
      </c>
      <c r="B716" s="29" t="inlineStr">
        <is>
          <t>1</t>
        </is>
      </c>
      <c r="C716" s="30" t="inlineStr">
        <is>
          <t>Random</t>
        </is>
      </c>
      <c r="D716" s="29" t="inlineStr">
        <is>
          <t>Needs Help</t>
        </is>
      </c>
      <c r="E716" s="29">
        <f>MATCH(D716, {"Waiting for Input","Analyzing Object","Found Object","Needs Help","Confused","None"}, 0) - 1</f>
        <v/>
      </c>
      <c r="F716" s="31" t="inlineStr">
        <is>
          <t>Analyzing Object</t>
        </is>
      </c>
      <c r="G716" s="29">
        <f>MATCH(F716, {"Waiting for Input","Analyzing Object","Found Object","Needs Help","Confused","None"}, 0) - 1</f>
        <v/>
      </c>
      <c r="H716" s="29" t="n">
        <v>5</v>
      </c>
      <c r="I716" s="29">
        <f>IF(E716=G716, 1, 0)</f>
        <v/>
      </c>
    </row>
    <row r="717" ht="22" customHeight="1" s="270">
      <c r="A717" s="29" t="n">
        <v>715</v>
      </c>
      <c r="B717" s="29" t="inlineStr">
        <is>
          <t>2</t>
        </is>
      </c>
      <c r="C717" s="30" t="inlineStr">
        <is>
          <t>Random</t>
        </is>
      </c>
      <c r="D717" s="29" t="inlineStr">
        <is>
          <t>Needs Help</t>
        </is>
      </c>
      <c r="E717" s="29">
        <f>MATCH(D717, {"Waiting for Input","Analyzing Object","Found Object","Needs Help","Confused","None"}, 0) - 1</f>
        <v/>
      </c>
      <c r="F717" s="31" t="inlineStr">
        <is>
          <t>Analyzing Object</t>
        </is>
      </c>
      <c r="G717" s="29">
        <f>MATCH(F717, {"Waiting for Input","Analyzing Object","Found Object","Needs Help","Confused","None"}, 0) - 1</f>
        <v/>
      </c>
      <c r="H717" s="29" t="n">
        <v>4</v>
      </c>
      <c r="I717" s="29">
        <f>IF(E717=G717, 1, 0)</f>
        <v/>
      </c>
    </row>
    <row r="718" ht="22" customHeight="1" s="270">
      <c r="A718" s="29" t="n">
        <v>716</v>
      </c>
      <c r="B718" s="29" t="inlineStr">
        <is>
          <t>2</t>
        </is>
      </c>
      <c r="C718" s="30" t="inlineStr">
        <is>
          <t>Random</t>
        </is>
      </c>
      <c r="D718" s="29" t="inlineStr">
        <is>
          <t>Needs Help</t>
        </is>
      </c>
      <c r="E718" s="29">
        <f>MATCH(D718, {"Waiting for Input","Analyzing Object","Found Object","Needs Help","Confused","None"}, 0) - 1</f>
        <v/>
      </c>
      <c r="F718" s="31" t="inlineStr">
        <is>
          <t>Analyzing Object</t>
        </is>
      </c>
      <c r="G718" s="29">
        <f>MATCH(F718, {"Waiting for Input","Analyzing Object","Found Object","Needs Help","Confused","None"}, 0) - 1</f>
        <v/>
      </c>
      <c r="H718" s="29" t="n">
        <v>4</v>
      </c>
      <c r="I718" s="29">
        <f>IF(E718=G718, 1, 0)</f>
        <v/>
      </c>
    </row>
    <row r="719" ht="22" customHeight="1" s="270">
      <c r="A719" s="29" t="n">
        <v>717</v>
      </c>
      <c r="B719" s="29" t="inlineStr">
        <is>
          <t>2</t>
        </is>
      </c>
      <c r="C719" s="30" t="inlineStr">
        <is>
          <t>Random</t>
        </is>
      </c>
      <c r="D719" s="29" t="inlineStr">
        <is>
          <t>Needs Help</t>
        </is>
      </c>
      <c r="E719" s="29">
        <f>MATCH(D719, {"Waiting for Input","Analyzing Object","Found Object","Needs Help","Confused","None"}, 0) - 1</f>
        <v/>
      </c>
      <c r="F719" s="31" t="inlineStr">
        <is>
          <t>Analyzing Object</t>
        </is>
      </c>
      <c r="G719" s="29">
        <f>MATCH(F719, {"Waiting for Input","Analyzing Object","Found Object","Needs Help","Confused","None"}, 0) - 1</f>
        <v/>
      </c>
      <c r="H719" s="29" t="n">
        <v>2</v>
      </c>
      <c r="I719" s="29">
        <f>IF(E719=G719, 1, 0)</f>
        <v/>
      </c>
    </row>
    <row r="720" ht="22" customHeight="1" s="270">
      <c r="A720" s="29" t="n">
        <v>718</v>
      </c>
      <c r="B720" s="29" t="inlineStr">
        <is>
          <t>1</t>
        </is>
      </c>
      <c r="C720" s="30" t="inlineStr">
        <is>
          <t>Random</t>
        </is>
      </c>
      <c r="D720" s="29" t="inlineStr">
        <is>
          <t>Needs Help</t>
        </is>
      </c>
      <c r="E720" s="29">
        <f>MATCH(D720, {"Waiting for Input","Analyzing Object","Found Object","Needs Help","Confused","None"}, 0) - 1</f>
        <v/>
      </c>
      <c r="F720" s="31" t="inlineStr">
        <is>
          <t>Analyzing Object</t>
        </is>
      </c>
      <c r="G720" s="29">
        <f>MATCH(F720, {"Waiting for Input","Analyzing Object","Found Object","Needs Help","Confused","None"}, 0) - 1</f>
        <v/>
      </c>
      <c r="H720" s="29" t="n">
        <v>5</v>
      </c>
      <c r="I720" s="29">
        <f>IF(E720=G720, 1, 0)</f>
        <v/>
      </c>
    </row>
    <row r="721" ht="22" customHeight="1" s="270">
      <c r="A721" s="29" t="n">
        <v>719</v>
      </c>
      <c r="B721" s="29" t="inlineStr">
        <is>
          <t>2</t>
        </is>
      </c>
      <c r="C721" s="30" t="inlineStr">
        <is>
          <t>Random</t>
        </is>
      </c>
      <c r="D721" s="29" t="inlineStr">
        <is>
          <t>Needs Help</t>
        </is>
      </c>
      <c r="E721" s="29">
        <f>MATCH(D721, {"Waiting for Input","Analyzing Object","Found Object","Needs Help","Confused","None"}, 0) - 1</f>
        <v/>
      </c>
      <c r="F721" s="31" t="inlineStr">
        <is>
          <t>Analyzing Object</t>
        </is>
      </c>
      <c r="G721" s="29">
        <f>MATCH(F721, {"Waiting for Input","Analyzing Object","Found Object","Needs Help","Confused","None"}, 0) - 1</f>
        <v/>
      </c>
      <c r="H721" s="29" t="n">
        <v>2</v>
      </c>
      <c r="I721" s="29">
        <f>IF(E721=G721, 1, 0)</f>
        <v/>
      </c>
    </row>
    <row r="722" ht="22" customHeight="1" s="270">
      <c r="A722" s="29" t="n">
        <v>720</v>
      </c>
      <c r="B722" s="29" t="inlineStr">
        <is>
          <t>1</t>
        </is>
      </c>
      <c r="C722" s="30" t="inlineStr">
        <is>
          <t>GPT4</t>
        </is>
      </c>
      <c r="D722" s="29" t="inlineStr">
        <is>
          <t>Confused</t>
        </is>
      </c>
      <c r="E722" s="29">
        <f>MATCH(D722, {"Waiting for Input","Analyzing Object","Found Object","Needs Help","Confused","None"}, 0) - 1</f>
        <v/>
      </c>
      <c r="F722" s="31" t="inlineStr">
        <is>
          <t>Needs Help</t>
        </is>
      </c>
      <c r="G722" s="29">
        <f>MATCH(F722, {"Waiting for Input","Analyzing Object","Found Object","Needs Help","Confused","None"}, 0) - 1</f>
        <v/>
      </c>
      <c r="H722" s="29" t="n">
        <v>3</v>
      </c>
      <c r="I722" s="29">
        <f>IF(E722=G722, 1, 0)</f>
        <v/>
      </c>
    </row>
    <row r="723" ht="22" customHeight="1" s="270">
      <c r="A723" s="29" t="n">
        <v>721</v>
      </c>
      <c r="B723" s="29" t="inlineStr">
        <is>
          <t>1</t>
        </is>
      </c>
      <c r="C723" s="30" t="inlineStr">
        <is>
          <t>GPT4</t>
        </is>
      </c>
      <c r="D723" s="29" t="inlineStr">
        <is>
          <t>Confused</t>
        </is>
      </c>
      <c r="E723" s="29">
        <f>MATCH(D723, {"Waiting for Input","Analyzing Object","Found Object","Needs Help","Confused","None"}, 0) - 1</f>
        <v/>
      </c>
      <c r="F723" s="31" t="inlineStr">
        <is>
          <t>Needs Help</t>
        </is>
      </c>
      <c r="G723" s="29">
        <f>MATCH(F723, {"Waiting for Input","Analyzing Object","Found Object","Needs Help","Confused","None"}, 0) - 1</f>
        <v/>
      </c>
      <c r="H723" s="29" t="n">
        <v>4</v>
      </c>
      <c r="I723" s="29">
        <f>IF(E723=G723, 1, 0)</f>
        <v/>
      </c>
    </row>
    <row r="724" ht="22" customHeight="1" s="270">
      <c r="A724" s="29" t="n">
        <v>722</v>
      </c>
      <c r="B724" s="29" t="inlineStr">
        <is>
          <t>1</t>
        </is>
      </c>
      <c r="C724" s="30" t="inlineStr">
        <is>
          <t>GPT4</t>
        </is>
      </c>
      <c r="D724" s="29" t="inlineStr">
        <is>
          <t>Confused</t>
        </is>
      </c>
      <c r="E724" s="29">
        <f>MATCH(D724, {"Waiting for Input","Analyzing Object","Found Object","Needs Help","Confused","None"}, 0) - 1</f>
        <v/>
      </c>
      <c r="F724" s="31" t="inlineStr">
        <is>
          <t>Needs Help</t>
        </is>
      </c>
      <c r="G724" s="29">
        <f>MATCH(F724, {"Waiting for Input","Analyzing Object","Found Object","Needs Help","Confused","None"}, 0) - 1</f>
        <v/>
      </c>
      <c r="H724" s="29" t="n">
        <v>1</v>
      </c>
      <c r="I724" s="29">
        <f>IF(E724=G724, 1, 0)</f>
        <v/>
      </c>
    </row>
    <row r="725" ht="22" customHeight="1" s="270">
      <c r="A725" s="29" t="n">
        <v>723</v>
      </c>
      <c r="B725" s="29" t="inlineStr">
        <is>
          <t>2</t>
        </is>
      </c>
      <c r="C725" s="30" t="inlineStr">
        <is>
          <t>GPT4</t>
        </is>
      </c>
      <c r="D725" s="29" t="inlineStr">
        <is>
          <t>Confused</t>
        </is>
      </c>
      <c r="E725" s="29">
        <f>MATCH(D725, {"Waiting for Input","Analyzing Object","Found Object","Needs Help","Confused","None"}, 0) - 1</f>
        <v/>
      </c>
      <c r="F725" s="31" t="inlineStr">
        <is>
          <t>Needs Help</t>
        </is>
      </c>
      <c r="G725" s="29">
        <f>MATCH(F725, {"Waiting for Input","Analyzing Object","Found Object","Needs Help","Confused","None"}, 0) - 1</f>
        <v/>
      </c>
      <c r="H725" s="29" t="n">
        <v>3</v>
      </c>
      <c r="I725" s="29">
        <f>IF(E725=G725, 1, 0)</f>
        <v/>
      </c>
    </row>
    <row r="726" ht="22" customHeight="1" s="270">
      <c r="A726" s="29" t="n">
        <v>724</v>
      </c>
      <c r="B726" s="29" t="inlineStr">
        <is>
          <t>2</t>
        </is>
      </c>
      <c r="C726" s="30" t="inlineStr">
        <is>
          <t>GPT4</t>
        </is>
      </c>
      <c r="D726" s="29" t="inlineStr">
        <is>
          <t>Confused</t>
        </is>
      </c>
      <c r="E726" s="29">
        <f>MATCH(D726, {"Waiting for Input","Analyzing Object","Found Object","Needs Help","Confused","None"}, 0) - 1</f>
        <v/>
      </c>
      <c r="F726" s="31" t="inlineStr">
        <is>
          <t>Confused</t>
        </is>
      </c>
      <c r="G726" s="29">
        <f>MATCH(F726, {"Waiting for Input","Analyzing Object","Found Object","Needs Help","Confused","None"}, 0) - 1</f>
        <v/>
      </c>
      <c r="H726" s="29" t="n">
        <v>4</v>
      </c>
      <c r="I726" s="29">
        <f>IF(E726=G726, 1, 0)</f>
        <v/>
      </c>
    </row>
    <row r="727" ht="22" customHeight="1" s="270">
      <c r="A727" s="29" t="n">
        <v>725</v>
      </c>
      <c r="B727" s="29" t="inlineStr">
        <is>
          <t>1</t>
        </is>
      </c>
      <c r="C727" s="30" t="inlineStr">
        <is>
          <t>GPT4</t>
        </is>
      </c>
      <c r="D727" s="29" t="inlineStr">
        <is>
          <t>Confused</t>
        </is>
      </c>
      <c r="E727" s="29">
        <f>MATCH(D727, {"Waiting for Input","Analyzing Object","Found Object","Needs Help","Confused","None"}, 0) - 1</f>
        <v/>
      </c>
      <c r="F727" s="31" t="inlineStr">
        <is>
          <t>Confused</t>
        </is>
      </c>
      <c r="G727" s="29">
        <f>MATCH(F727, {"Waiting for Input","Analyzing Object","Found Object","Needs Help","Confused","None"}, 0) - 1</f>
        <v/>
      </c>
      <c r="H727" s="29" t="n">
        <v>5</v>
      </c>
      <c r="I727" s="29">
        <f>IF(E727=G727, 1, 0)</f>
        <v/>
      </c>
    </row>
    <row r="728" ht="22" customHeight="1" s="270">
      <c r="A728" s="29" t="n">
        <v>726</v>
      </c>
      <c r="B728" s="29" t="inlineStr">
        <is>
          <t>2</t>
        </is>
      </c>
      <c r="C728" s="30" t="inlineStr">
        <is>
          <t>GPT4</t>
        </is>
      </c>
      <c r="D728" s="29" t="inlineStr">
        <is>
          <t>Confused</t>
        </is>
      </c>
      <c r="E728" s="29">
        <f>MATCH(D728, {"Waiting for Input","Analyzing Object","Found Object","Needs Help","Confused","None"}, 0) - 1</f>
        <v/>
      </c>
      <c r="F728" s="31" t="inlineStr">
        <is>
          <t>Analyzing Object</t>
        </is>
      </c>
      <c r="G728" s="29">
        <f>MATCH(F728, {"Waiting for Input","Analyzing Object","Found Object","Needs Help","Confused","None"}, 0) - 1</f>
        <v/>
      </c>
      <c r="H728" s="29" t="n">
        <v>2</v>
      </c>
      <c r="I728" s="29">
        <f>IF(E728=G728, 1, 0)</f>
        <v/>
      </c>
    </row>
    <row r="729" ht="22" customHeight="1" s="270">
      <c r="A729" s="29" t="n">
        <v>727</v>
      </c>
      <c r="B729" s="29" t="inlineStr">
        <is>
          <t>1</t>
        </is>
      </c>
      <c r="C729" s="30" t="inlineStr">
        <is>
          <t>GPT4</t>
        </is>
      </c>
      <c r="D729" s="29" t="inlineStr">
        <is>
          <t>Confused</t>
        </is>
      </c>
      <c r="E729" s="29">
        <f>MATCH(D729, {"Waiting for Input","Analyzing Object","Found Object","Needs Help","Confused","None"}, 0) - 1</f>
        <v/>
      </c>
      <c r="F729" s="31" t="inlineStr">
        <is>
          <t>Confused</t>
        </is>
      </c>
      <c r="G729" s="29">
        <f>MATCH(F729, {"Waiting for Input","Analyzing Object","Found Object","Needs Help","Confused","None"}, 0) - 1</f>
        <v/>
      </c>
      <c r="H729" s="29" t="n">
        <v>3</v>
      </c>
      <c r="I729" s="29">
        <f>IF(E729=G729, 1, 0)</f>
        <v/>
      </c>
    </row>
    <row r="730" ht="22" customHeight="1" s="270">
      <c r="A730" s="29" t="n">
        <v>728</v>
      </c>
      <c r="B730" s="29" t="inlineStr">
        <is>
          <t>1</t>
        </is>
      </c>
      <c r="C730" s="30" t="inlineStr">
        <is>
          <t>GPT4</t>
        </is>
      </c>
      <c r="D730" s="29" t="inlineStr">
        <is>
          <t>Confused</t>
        </is>
      </c>
      <c r="E730" s="29">
        <f>MATCH(D730, {"Waiting for Input","Analyzing Object","Found Object","Needs Help","Confused","None"}, 0) - 1</f>
        <v/>
      </c>
      <c r="F730" s="31" t="inlineStr">
        <is>
          <t>Analyzing Object</t>
        </is>
      </c>
      <c r="G730" s="29">
        <f>MATCH(F730, {"Waiting for Input","Analyzing Object","Found Object","Needs Help","Confused","None"}, 0) - 1</f>
        <v/>
      </c>
      <c r="H730" s="29" t="n">
        <v>2</v>
      </c>
      <c r="I730" s="29">
        <f>IF(E730=G730, 1, 0)</f>
        <v/>
      </c>
    </row>
    <row r="731" ht="22" customHeight="1" s="270">
      <c r="A731" s="29" t="n">
        <v>729</v>
      </c>
      <c r="B731" s="29" t="inlineStr">
        <is>
          <t>1</t>
        </is>
      </c>
      <c r="C731" s="30" t="inlineStr">
        <is>
          <t>GPT4</t>
        </is>
      </c>
      <c r="D731" s="29" t="inlineStr">
        <is>
          <t>Confused</t>
        </is>
      </c>
      <c r="E731" s="29">
        <f>MATCH(D731, {"Waiting for Input","Analyzing Object","Found Object","Needs Help","Confused","None"}, 0) - 1</f>
        <v/>
      </c>
      <c r="F731" s="31" t="inlineStr">
        <is>
          <t>Needs Help</t>
        </is>
      </c>
      <c r="G731" s="29">
        <f>MATCH(F731, {"Waiting for Input","Analyzing Object","Found Object","Needs Help","Confused","None"}, 0) - 1</f>
        <v/>
      </c>
      <c r="H731" s="29" t="n">
        <v>3</v>
      </c>
      <c r="I731" s="29">
        <f>IF(E731=G731, 1, 0)</f>
        <v/>
      </c>
    </row>
    <row r="732" ht="22" customHeight="1" s="270">
      <c r="A732" s="29" t="n">
        <v>730</v>
      </c>
      <c r="B732" s="29" t="inlineStr">
        <is>
          <t>2</t>
        </is>
      </c>
      <c r="C732" s="30" t="inlineStr">
        <is>
          <t>GPT4</t>
        </is>
      </c>
      <c r="D732" s="29" t="inlineStr">
        <is>
          <t>Confused</t>
        </is>
      </c>
      <c r="E732" s="29">
        <f>MATCH(D732, {"Waiting for Input","Analyzing Object","Found Object","Needs Help","Confused","None"}, 0) - 1</f>
        <v/>
      </c>
      <c r="F732" s="31" t="inlineStr">
        <is>
          <t>Needs Help</t>
        </is>
      </c>
      <c r="G732" s="29">
        <f>MATCH(F732, {"Waiting for Input","Analyzing Object","Found Object","Needs Help","Confused","None"}, 0) - 1</f>
        <v/>
      </c>
      <c r="H732" s="29" t="n">
        <v>2</v>
      </c>
      <c r="I732" s="29">
        <f>IF(E732=G732, 1, 0)</f>
        <v/>
      </c>
    </row>
    <row r="733" ht="22" customHeight="1" s="270">
      <c r="A733" s="29" t="n">
        <v>731</v>
      </c>
      <c r="B733" s="29" t="inlineStr">
        <is>
          <t>2</t>
        </is>
      </c>
      <c r="C733" s="30" t="inlineStr">
        <is>
          <t>GPT4</t>
        </is>
      </c>
      <c r="D733" s="29" t="inlineStr">
        <is>
          <t>Confused</t>
        </is>
      </c>
      <c r="E733" s="29">
        <f>MATCH(D733, {"Waiting for Input","Analyzing Object","Found Object","Needs Help","Confused","None"}, 0) - 1</f>
        <v/>
      </c>
      <c r="F733" s="31" t="inlineStr">
        <is>
          <t>Needs Help</t>
        </is>
      </c>
      <c r="G733" s="29">
        <f>MATCH(F733, {"Waiting for Input","Analyzing Object","Found Object","Needs Help","Confused","None"}, 0) - 1</f>
        <v/>
      </c>
      <c r="H733" s="29" t="n">
        <v>2</v>
      </c>
      <c r="I733" s="29">
        <f>IF(E733=G733, 1, 0)</f>
        <v/>
      </c>
    </row>
    <row r="734" ht="22" customHeight="1" s="270">
      <c r="A734" s="29" t="n">
        <v>732</v>
      </c>
      <c r="B734" s="29" t="inlineStr">
        <is>
          <t>2</t>
        </is>
      </c>
      <c r="C734" s="30" t="inlineStr">
        <is>
          <t>GPT4</t>
        </is>
      </c>
      <c r="D734" s="29" t="inlineStr">
        <is>
          <t>Confused</t>
        </is>
      </c>
      <c r="E734" s="29">
        <f>MATCH(D734, {"Waiting for Input","Analyzing Object","Found Object","Needs Help","Confused","None"}, 0) - 1</f>
        <v/>
      </c>
      <c r="F734" s="31" t="inlineStr">
        <is>
          <t>Needs Help</t>
        </is>
      </c>
      <c r="G734" s="29">
        <f>MATCH(F734, {"Waiting for Input","Analyzing Object","Found Object","Needs Help","Confused","None"}, 0) - 1</f>
        <v/>
      </c>
      <c r="H734" s="29" t="n">
        <v>2</v>
      </c>
      <c r="I734" s="29">
        <f>IF(E734=G734, 1, 0)</f>
        <v/>
      </c>
    </row>
    <row r="735" ht="22" customHeight="1" s="270">
      <c r="A735" s="29" t="n">
        <v>733</v>
      </c>
      <c r="B735" s="29" t="inlineStr">
        <is>
          <t>2</t>
        </is>
      </c>
      <c r="C735" s="30" t="inlineStr">
        <is>
          <t>GPT4</t>
        </is>
      </c>
      <c r="D735" s="29" t="inlineStr">
        <is>
          <t>Confused</t>
        </is>
      </c>
      <c r="E735" s="29">
        <f>MATCH(D735, {"Waiting for Input","Analyzing Object","Found Object","Needs Help","Confused","None"}, 0) - 1</f>
        <v/>
      </c>
      <c r="F735" s="31" t="inlineStr">
        <is>
          <t>Needs Help</t>
        </is>
      </c>
      <c r="G735" s="29">
        <f>MATCH(F735, {"Waiting for Input","Analyzing Object","Found Object","Needs Help","Confused","None"}, 0) - 1</f>
        <v/>
      </c>
      <c r="H735" s="29" t="n">
        <v>3</v>
      </c>
      <c r="I735" s="29">
        <f>IF(E735=G735, 1, 0)</f>
        <v/>
      </c>
    </row>
    <row r="736" ht="22" customHeight="1" s="270">
      <c r="A736" s="29" t="n">
        <v>734</v>
      </c>
      <c r="B736" s="29" t="inlineStr">
        <is>
          <t>1</t>
        </is>
      </c>
      <c r="C736" s="30" t="inlineStr">
        <is>
          <t>GPT4</t>
        </is>
      </c>
      <c r="D736" s="29" t="inlineStr">
        <is>
          <t>Confused</t>
        </is>
      </c>
      <c r="E736" s="29">
        <f>MATCH(D736, {"Waiting for Input","Analyzing Object","Found Object","Needs Help","Confused","None"}, 0) - 1</f>
        <v/>
      </c>
      <c r="F736" s="31" t="inlineStr">
        <is>
          <t>Confused</t>
        </is>
      </c>
      <c r="G736" s="29">
        <f>MATCH(F736, {"Waiting for Input","Analyzing Object","Found Object","Needs Help","Confused","None"}, 0) - 1</f>
        <v/>
      </c>
      <c r="H736" s="29" t="n">
        <v>4</v>
      </c>
      <c r="I736" s="29">
        <f>IF(E736=G736, 1, 0)</f>
        <v/>
      </c>
    </row>
    <row r="737" ht="22" customHeight="1" s="270">
      <c r="A737" s="29" t="n">
        <v>735</v>
      </c>
      <c r="B737" s="29" t="inlineStr">
        <is>
          <t>1</t>
        </is>
      </c>
      <c r="C737" s="30" t="inlineStr">
        <is>
          <t>GPT4</t>
        </is>
      </c>
      <c r="D737" s="29" t="inlineStr">
        <is>
          <t>Confused</t>
        </is>
      </c>
      <c r="E737" s="29">
        <f>MATCH(D737, {"Waiting for Input","Analyzing Object","Found Object","Needs Help","Confused","None"}, 0) - 1</f>
        <v/>
      </c>
      <c r="F737" s="31" t="inlineStr">
        <is>
          <t>Confused</t>
        </is>
      </c>
      <c r="G737" s="29">
        <f>MATCH(F737, {"Waiting for Input","Analyzing Object","Found Object","Needs Help","Confused","None"}, 0) - 1</f>
        <v/>
      </c>
      <c r="H737" s="29" t="n">
        <v>2</v>
      </c>
      <c r="I737" s="29">
        <f>IF(E737=G737, 1, 0)</f>
        <v/>
      </c>
    </row>
    <row r="738" ht="22" customHeight="1" s="270">
      <c r="A738" s="29" t="n">
        <v>736</v>
      </c>
      <c r="B738" s="29" t="inlineStr">
        <is>
          <t>1</t>
        </is>
      </c>
      <c r="C738" s="30" t="inlineStr">
        <is>
          <t>GPT4</t>
        </is>
      </c>
      <c r="D738" s="29" t="inlineStr">
        <is>
          <t>Confused</t>
        </is>
      </c>
      <c r="E738" s="29">
        <f>MATCH(D738, {"Waiting for Input","Analyzing Object","Found Object","Needs Help","Confused","None"}, 0) - 1</f>
        <v/>
      </c>
      <c r="F738" s="31" t="inlineStr">
        <is>
          <t>Needs Help</t>
        </is>
      </c>
      <c r="G738" s="29">
        <f>MATCH(F738, {"Waiting for Input","Analyzing Object","Found Object","Needs Help","Confused","None"}, 0) - 1</f>
        <v/>
      </c>
      <c r="H738" s="29" t="n">
        <v>1</v>
      </c>
      <c r="I738" s="29">
        <f>IF(E738=G738, 1, 0)</f>
        <v/>
      </c>
    </row>
    <row r="739" ht="22" customHeight="1" s="270">
      <c r="A739" s="29" t="n">
        <v>737</v>
      </c>
      <c r="B739" s="29" t="inlineStr">
        <is>
          <t>2</t>
        </is>
      </c>
      <c r="C739" s="30" t="inlineStr">
        <is>
          <t>GPT4</t>
        </is>
      </c>
      <c r="D739" s="29" t="inlineStr">
        <is>
          <t>Confused</t>
        </is>
      </c>
      <c r="E739" s="29">
        <f>MATCH(D739, {"Waiting for Input","Analyzing Object","Found Object","Needs Help","Confused","None"}, 0) - 1</f>
        <v/>
      </c>
      <c r="F739" s="31" t="inlineStr">
        <is>
          <t>None</t>
        </is>
      </c>
      <c r="G739" s="29">
        <f>MATCH(F739, {"Waiting for Input","Analyzing Object","Found Object","Needs Help","Confused","None"}, 0) - 1</f>
        <v/>
      </c>
      <c r="H739" s="29" t="n">
        <v>2</v>
      </c>
      <c r="I739" s="29">
        <f>IF(E739=G739, 1, 0)</f>
        <v/>
      </c>
    </row>
    <row r="740" ht="22" customHeight="1" s="270">
      <c r="A740" s="29" t="n">
        <v>738</v>
      </c>
      <c r="B740" s="29" t="inlineStr">
        <is>
          <t>2</t>
        </is>
      </c>
      <c r="C740" s="30" t="inlineStr">
        <is>
          <t>GPT4</t>
        </is>
      </c>
      <c r="D740" s="29" t="inlineStr">
        <is>
          <t>Confused</t>
        </is>
      </c>
      <c r="E740" s="29">
        <f>MATCH(D740, {"Waiting for Input","Analyzing Object","Found Object","Needs Help","Confused","None"}, 0) - 1</f>
        <v/>
      </c>
      <c r="F740" s="31" t="inlineStr">
        <is>
          <t>Needs Help</t>
        </is>
      </c>
      <c r="G740" s="29">
        <f>MATCH(F740, {"Waiting for Input","Analyzing Object","Found Object","Needs Help","Confused","None"}, 0) - 1</f>
        <v/>
      </c>
      <c r="H740" s="29" t="n">
        <v>2</v>
      </c>
      <c r="I740" s="29">
        <f>IF(E740=G740, 1, 0)</f>
        <v/>
      </c>
    </row>
    <row r="741" ht="22" customHeight="1" s="270">
      <c r="A741" s="29" t="n">
        <v>739</v>
      </c>
      <c r="B741" s="29" t="inlineStr">
        <is>
          <t>1</t>
        </is>
      </c>
      <c r="C741" s="30" t="inlineStr">
        <is>
          <t>GPT4</t>
        </is>
      </c>
      <c r="D741" s="29" t="inlineStr">
        <is>
          <t>Confused</t>
        </is>
      </c>
      <c r="E741" s="29">
        <f>MATCH(D741, {"Waiting for Input","Analyzing Object","Found Object","Needs Help","Confused","None"}, 0) - 1</f>
        <v/>
      </c>
      <c r="F741" s="31" t="inlineStr">
        <is>
          <t>Analyzing Object</t>
        </is>
      </c>
      <c r="G741" s="29">
        <f>MATCH(F741, {"Waiting for Input","Analyzing Object","Found Object","Needs Help","Confused","None"}, 0) - 1</f>
        <v/>
      </c>
      <c r="H741" s="29" t="n">
        <v>4</v>
      </c>
      <c r="I741" s="29">
        <f>IF(E741=G741, 1, 0)</f>
        <v/>
      </c>
    </row>
    <row r="742" ht="22" customHeight="1" s="270">
      <c r="A742" s="29" t="n">
        <v>740</v>
      </c>
      <c r="B742" s="29" t="inlineStr">
        <is>
          <t>1</t>
        </is>
      </c>
      <c r="C742" s="30" t="inlineStr">
        <is>
          <t>GPT4</t>
        </is>
      </c>
      <c r="D742" s="29" t="inlineStr">
        <is>
          <t>Confused</t>
        </is>
      </c>
      <c r="E742" s="29">
        <f>MATCH(D742, {"Waiting for Input","Analyzing Object","Found Object","Needs Help","Confused","None"}, 0) - 1</f>
        <v/>
      </c>
      <c r="F742" s="31" t="inlineStr">
        <is>
          <t>Confused</t>
        </is>
      </c>
      <c r="G742" s="29">
        <f>MATCH(F742, {"Waiting for Input","Analyzing Object","Found Object","Needs Help","Confused","None"}, 0) - 1</f>
        <v/>
      </c>
      <c r="H742" s="29" t="n">
        <v>2</v>
      </c>
      <c r="I742" s="29">
        <f>IF(E742=G742, 1, 0)</f>
        <v/>
      </c>
    </row>
    <row r="743" ht="22" customHeight="1" s="270">
      <c r="A743" s="29" t="n">
        <v>741</v>
      </c>
      <c r="B743" s="29" t="inlineStr">
        <is>
          <t>2</t>
        </is>
      </c>
      <c r="C743" s="30" t="inlineStr">
        <is>
          <t>GPT4</t>
        </is>
      </c>
      <c r="D743" s="29" t="inlineStr">
        <is>
          <t>Confused</t>
        </is>
      </c>
      <c r="E743" s="29">
        <f>MATCH(D743, {"Waiting for Input","Analyzing Object","Found Object","Needs Help","Confused","None"}, 0) - 1</f>
        <v/>
      </c>
      <c r="F743" s="31" t="inlineStr">
        <is>
          <t>Confused</t>
        </is>
      </c>
      <c r="G743" s="29">
        <f>MATCH(F743, {"Waiting for Input","Analyzing Object","Found Object","Needs Help","Confused","None"}, 0) - 1</f>
        <v/>
      </c>
      <c r="H743" s="29" t="n">
        <v>2</v>
      </c>
      <c r="I743" s="29">
        <f>IF(E743=G743, 1, 0)</f>
        <v/>
      </c>
    </row>
    <row r="744" ht="22" customHeight="1" s="270">
      <c r="A744" s="29" t="n">
        <v>742</v>
      </c>
      <c r="B744" s="29" t="inlineStr">
        <is>
          <t>2</t>
        </is>
      </c>
      <c r="C744" s="30" t="inlineStr">
        <is>
          <t>GPT4</t>
        </is>
      </c>
      <c r="D744" s="29" t="inlineStr">
        <is>
          <t>Confused</t>
        </is>
      </c>
      <c r="E744" s="29">
        <f>MATCH(D744, {"Waiting for Input","Analyzing Object","Found Object","Needs Help","Confused","None"}, 0) - 1</f>
        <v/>
      </c>
      <c r="F744" s="31" t="inlineStr">
        <is>
          <t>Confused</t>
        </is>
      </c>
      <c r="G744" s="29">
        <f>MATCH(F744, {"Waiting for Input","Analyzing Object","Found Object","Needs Help","Confused","None"}, 0) - 1</f>
        <v/>
      </c>
      <c r="H744" s="29" t="n">
        <v>2</v>
      </c>
      <c r="I744" s="29">
        <f>IF(E744=G744, 1, 0)</f>
        <v/>
      </c>
    </row>
    <row r="745" ht="22" customHeight="1" s="270">
      <c r="A745" s="29" t="n">
        <v>743</v>
      </c>
      <c r="B745" s="29" t="inlineStr">
        <is>
          <t>1</t>
        </is>
      </c>
      <c r="C745" s="30" t="inlineStr">
        <is>
          <t>GPT4</t>
        </is>
      </c>
      <c r="D745" s="29" t="inlineStr">
        <is>
          <t>Confused</t>
        </is>
      </c>
      <c r="E745" s="29">
        <f>MATCH(D745, {"Waiting for Input","Analyzing Object","Found Object","Needs Help","Confused","None"}, 0) - 1</f>
        <v/>
      </c>
      <c r="F745" s="31" t="inlineStr">
        <is>
          <t>Confused</t>
        </is>
      </c>
      <c r="G745" s="29">
        <f>MATCH(F745, {"Waiting for Input","Analyzing Object","Found Object","Needs Help","Confused","None"}, 0) - 1</f>
        <v/>
      </c>
      <c r="H745" s="29" t="n">
        <v>2</v>
      </c>
      <c r="I745" s="29">
        <f>IF(E745=G745, 1, 0)</f>
        <v/>
      </c>
    </row>
    <row r="746" ht="22" customHeight="1" s="270">
      <c r="A746" s="29" t="n">
        <v>744</v>
      </c>
      <c r="B746" s="29" t="inlineStr">
        <is>
          <t>1</t>
        </is>
      </c>
      <c r="C746" s="30" t="inlineStr">
        <is>
          <t>GPT4</t>
        </is>
      </c>
      <c r="D746" s="29" t="inlineStr">
        <is>
          <t>Confused</t>
        </is>
      </c>
      <c r="E746" s="29">
        <f>MATCH(D746, {"Waiting for Input","Analyzing Object","Found Object","Needs Help","Confused","None"}, 0) - 1</f>
        <v/>
      </c>
      <c r="F746" s="31" t="inlineStr">
        <is>
          <t>Needs Help</t>
        </is>
      </c>
      <c r="G746" s="29">
        <f>MATCH(F746, {"Waiting for Input","Analyzing Object","Found Object","Needs Help","Confused","None"}, 0) - 1</f>
        <v/>
      </c>
      <c r="H746" s="29" t="n">
        <v>3</v>
      </c>
      <c r="I746" s="29">
        <f>IF(E746=G746, 1, 0)</f>
        <v/>
      </c>
    </row>
    <row r="747" ht="22" customHeight="1" s="270">
      <c r="A747" s="29" t="n">
        <v>745</v>
      </c>
      <c r="B747" s="29" t="inlineStr">
        <is>
          <t>2</t>
        </is>
      </c>
      <c r="C747" s="30" t="inlineStr">
        <is>
          <t>GPT4</t>
        </is>
      </c>
      <c r="D747" s="29" t="inlineStr">
        <is>
          <t>Confused</t>
        </is>
      </c>
      <c r="E747" s="29">
        <f>MATCH(D747, {"Waiting for Input","Analyzing Object","Found Object","Needs Help","Confused","None"}, 0) - 1</f>
        <v/>
      </c>
      <c r="F747" s="31" t="inlineStr">
        <is>
          <t>Needs Help</t>
        </is>
      </c>
      <c r="G747" s="29">
        <f>MATCH(F747, {"Waiting for Input","Analyzing Object","Found Object","Needs Help","Confused","None"}, 0) - 1</f>
        <v/>
      </c>
      <c r="H747" s="29" t="n">
        <v>2</v>
      </c>
      <c r="I747" s="29">
        <f>IF(E747=G747, 1, 0)</f>
        <v/>
      </c>
    </row>
    <row r="748" ht="22" customHeight="1" s="270">
      <c r="A748" s="29" t="n">
        <v>746</v>
      </c>
      <c r="B748" s="29" t="inlineStr">
        <is>
          <t>2</t>
        </is>
      </c>
      <c r="C748" s="30" t="inlineStr">
        <is>
          <t>GPT4</t>
        </is>
      </c>
      <c r="D748" s="29" t="inlineStr">
        <is>
          <t>Confused</t>
        </is>
      </c>
      <c r="E748" s="29">
        <f>MATCH(D748, {"Waiting for Input","Analyzing Object","Found Object","Needs Help","Confused","None"}, 0) - 1</f>
        <v/>
      </c>
      <c r="F748" s="31" t="inlineStr">
        <is>
          <t>Needs Help</t>
        </is>
      </c>
      <c r="G748" s="29">
        <f>MATCH(F748, {"Waiting for Input","Analyzing Object","Found Object","Needs Help","Confused","None"}, 0) - 1</f>
        <v/>
      </c>
      <c r="H748" s="29" t="n">
        <v>3</v>
      </c>
      <c r="I748" s="29">
        <f>IF(E748=G748, 1, 0)</f>
        <v/>
      </c>
    </row>
    <row r="749" ht="22" customHeight="1" s="270">
      <c r="A749" s="29" t="n">
        <v>747</v>
      </c>
      <c r="B749" s="29" t="inlineStr">
        <is>
          <t>2</t>
        </is>
      </c>
      <c r="C749" s="30" t="inlineStr">
        <is>
          <t>GPT4</t>
        </is>
      </c>
      <c r="D749" s="29" t="inlineStr">
        <is>
          <t>Confused</t>
        </is>
      </c>
      <c r="E749" s="29">
        <f>MATCH(D749, {"Waiting for Input","Analyzing Object","Found Object","Needs Help","Confused","None"}, 0) - 1</f>
        <v/>
      </c>
      <c r="F749" s="31" t="inlineStr">
        <is>
          <t>Confused</t>
        </is>
      </c>
      <c r="G749" s="29">
        <f>MATCH(F749, {"Waiting for Input","Analyzing Object","Found Object","Needs Help","Confused","None"}, 0) - 1</f>
        <v/>
      </c>
      <c r="H749" s="29" t="n">
        <v>3</v>
      </c>
      <c r="I749" s="29">
        <f>IF(E749=G749, 1, 0)</f>
        <v/>
      </c>
    </row>
    <row r="750" ht="22" customHeight="1" s="270">
      <c r="A750" s="29" t="n">
        <v>748</v>
      </c>
      <c r="B750" s="29" t="inlineStr">
        <is>
          <t>2</t>
        </is>
      </c>
      <c r="C750" s="30" t="inlineStr">
        <is>
          <t>GPT4</t>
        </is>
      </c>
      <c r="D750" s="29" t="inlineStr">
        <is>
          <t>Confused</t>
        </is>
      </c>
      <c r="E750" s="29">
        <f>MATCH(D750, {"Waiting for Input","Analyzing Object","Found Object","Needs Help","Confused","None"}, 0) - 1</f>
        <v/>
      </c>
      <c r="F750" s="31" t="inlineStr">
        <is>
          <t>Needs Help</t>
        </is>
      </c>
      <c r="G750" s="29">
        <f>MATCH(F750, {"Waiting for Input","Analyzing Object","Found Object","Needs Help","Confused","None"}, 0) - 1</f>
        <v/>
      </c>
      <c r="H750" s="29" t="n">
        <v>3</v>
      </c>
      <c r="I750" s="29">
        <f>IF(E750=G750, 1, 0)</f>
        <v/>
      </c>
    </row>
    <row r="751" ht="22" customHeight="1" s="270">
      <c r="A751" s="29" t="n">
        <v>749</v>
      </c>
      <c r="B751" s="29" t="inlineStr">
        <is>
          <t>2</t>
        </is>
      </c>
      <c r="C751" s="30" t="inlineStr">
        <is>
          <t>GPT4</t>
        </is>
      </c>
      <c r="D751" s="29" t="inlineStr">
        <is>
          <t>Confused</t>
        </is>
      </c>
      <c r="E751" s="29">
        <f>MATCH(D751, {"Waiting for Input","Analyzing Object","Found Object","Needs Help","Confused","None"}, 0) - 1</f>
        <v/>
      </c>
      <c r="F751" s="31" t="inlineStr">
        <is>
          <t>Confused</t>
        </is>
      </c>
      <c r="G751" s="29">
        <f>MATCH(F751, {"Waiting for Input","Analyzing Object","Found Object","Needs Help","Confused","None"}, 0) - 1</f>
        <v/>
      </c>
      <c r="H751" s="29" t="n">
        <v>2</v>
      </c>
      <c r="I751" s="29">
        <f>IF(E751=G751, 1, 0)</f>
        <v/>
      </c>
    </row>
    <row r="752" ht="22" customHeight="1" s="270">
      <c r="A752" s="29" t="n">
        <v>750</v>
      </c>
      <c r="B752" s="29" t="inlineStr">
        <is>
          <t>2</t>
        </is>
      </c>
      <c r="C752" s="30" t="inlineStr">
        <is>
          <t>GPT4</t>
        </is>
      </c>
      <c r="D752" s="29" t="inlineStr">
        <is>
          <t>Confused</t>
        </is>
      </c>
      <c r="E752" s="29">
        <f>MATCH(D752, {"Waiting for Input","Analyzing Object","Found Object","Needs Help","Confused","None"}, 0) - 1</f>
        <v/>
      </c>
      <c r="F752" s="31" t="inlineStr">
        <is>
          <t>Needs Help</t>
        </is>
      </c>
      <c r="G752" s="29">
        <f>MATCH(F752, {"Waiting for Input","Analyzing Object","Found Object","Needs Help","Confused","None"}, 0) - 1</f>
        <v/>
      </c>
      <c r="H752" s="29" t="n">
        <v>5</v>
      </c>
      <c r="I752" s="29">
        <f>IF(E752=G752, 1, 0)</f>
        <v/>
      </c>
    </row>
    <row r="753" ht="22" customHeight="1" s="270">
      <c r="A753" s="29" t="n">
        <v>751</v>
      </c>
      <c r="B753" s="29" t="inlineStr">
        <is>
          <t>1</t>
        </is>
      </c>
      <c r="C753" s="30" t="inlineStr">
        <is>
          <t>GPT4</t>
        </is>
      </c>
      <c r="D753" s="29" t="inlineStr">
        <is>
          <t>Confused</t>
        </is>
      </c>
      <c r="E753" s="29">
        <f>MATCH(D753, {"Waiting for Input","Analyzing Object","Found Object","Needs Help","Confused","None"}, 0) - 1</f>
        <v/>
      </c>
      <c r="F753" s="31" t="inlineStr">
        <is>
          <t>Needs Help</t>
        </is>
      </c>
      <c r="G753" s="29">
        <f>MATCH(F753, {"Waiting for Input","Analyzing Object","Found Object","Needs Help","Confused","None"}, 0) - 1</f>
        <v/>
      </c>
      <c r="H753" s="29" t="n">
        <v>4</v>
      </c>
      <c r="I753" s="29">
        <f>IF(E753=G753, 1, 0)</f>
        <v/>
      </c>
    </row>
    <row r="754" ht="22" customHeight="1" s="270">
      <c r="A754" s="29" t="n">
        <v>752</v>
      </c>
      <c r="B754" s="29" t="inlineStr">
        <is>
          <t>2</t>
        </is>
      </c>
      <c r="C754" s="30" t="inlineStr">
        <is>
          <t>GPT4</t>
        </is>
      </c>
      <c r="D754" s="29" t="inlineStr">
        <is>
          <t>Confused</t>
        </is>
      </c>
      <c r="E754" s="29">
        <f>MATCH(D754, {"Waiting for Input","Analyzing Object","Found Object","Needs Help","Confused","None"}, 0) - 1</f>
        <v/>
      </c>
      <c r="F754" s="31" t="inlineStr">
        <is>
          <t>Waiting for Input</t>
        </is>
      </c>
      <c r="G754" s="29">
        <f>MATCH(F754, {"Waiting for Input","Analyzing Object","Found Object","Needs Help","Confused","None"}, 0) - 1</f>
        <v/>
      </c>
      <c r="H754" s="29" t="n">
        <v>2</v>
      </c>
      <c r="I754" s="29">
        <f>IF(E754=G754, 1, 0)</f>
        <v/>
      </c>
    </row>
    <row r="755" ht="22" customHeight="1" s="270">
      <c r="A755" s="29" t="n">
        <v>753</v>
      </c>
      <c r="B755" s="29" t="inlineStr">
        <is>
          <t>1</t>
        </is>
      </c>
      <c r="C755" s="30" t="inlineStr">
        <is>
          <t>GPT4</t>
        </is>
      </c>
      <c r="D755" s="29" t="inlineStr">
        <is>
          <t>Confused</t>
        </is>
      </c>
      <c r="E755" s="29">
        <f>MATCH(D755, {"Waiting for Input","Analyzing Object","Found Object","Needs Help","Confused","None"}, 0) - 1</f>
        <v/>
      </c>
      <c r="F755" s="31" t="inlineStr">
        <is>
          <t>Needs Help</t>
        </is>
      </c>
      <c r="G755" s="29">
        <f>MATCH(F755, {"Waiting for Input","Analyzing Object","Found Object","Needs Help","Confused","None"}, 0) - 1</f>
        <v/>
      </c>
      <c r="H755" s="29" t="n">
        <v>3</v>
      </c>
      <c r="I755" s="29">
        <f>IF(E755=G755, 1, 0)</f>
        <v/>
      </c>
    </row>
    <row r="756" ht="22" customHeight="1" s="270">
      <c r="A756" s="29" t="n">
        <v>754</v>
      </c>
      <c r="B756" s="29" t="inlineStr">
        <is>
          <t>1</t>
        </is>
      </c>
      <c r="C756" s="30" t="inlineStr">
        <is>
          <t>GPT4</t>
        </is>
      </c>
      <c r="D756" s="29" t="inlineStr">
        <is>
          <t>Confused</t>
        </is>
      </c>
      <c r="E756" s="29">
        <f>MATCH(D756, {"Waiting for Input","Analyzing Object","Found Object","Needs Help","Confused","None"}, 0) - 1</f>
        <v/>
      </c>
      <c r="F756" s="31" t="inlineStr">
        <is>
          <t>Confused</t>
        </is>
      </c>
      <c r="G756" s="29">
        <f>MATCH(F756, {"Waiting for Input","Analyzing Object","Found Object","Needs Help","Confused","None"}, 0) - 1</f>
        <v/>
      </c>
      <c r="H756" s="29" t="n">
        <v>2</v>
      </c>
      <c r="I756" s="29">
        <f>IF(E756=G756, 1, 0)</f>
        <v/>
      </c>
    </row>
    <row r="757" ht="22" customHeight="1" s="270">
      <c r="A757" s="29" t="n">
        <v>755</v>
      </c>
      <c r="B757" s="29" t="inlineStr">
        <is>
          <t>1</t>
        </is>
      </c>
      <c r="C757" s="30" t="inlineStr">
        <is>
          <t>GPT4</t>
        </is>
      </c>
      <c r="D757" s="29" t="inlineStr">
        <is>
          <t>Confused</t>
        </is>
      </c>
      <c r="E757" s="29">
        <f>MATCH(D757, {"Waiting for Input","Analyzing Object","Found Object","Needs Help","Confused","None"}, 0) - 1</f>
        <v/>
      </c>
      <c r="F757" s="31" t="inlineStr">
        <is>
          <t>Needs Help</t>
        </is>
      </c>
      <c r="G757" s="29">
        <f>MATCH(F757, {"Waiting for Input","Analyzing Object","Found Object","Needs Help","Confused","None"}, 0) - 1</f>
        <v/>
      </c>
      <c r="H757" s="29" t="n">
        <v>2</v>
      </c>
      <c r="I757" s="29">
        <f>IF(E757=G757, 1, 0)</f>
        <v/>
      </c>
    </row>
    <row r="758" ht="22" customHeight="1" s="270">
      <c r="A758" s="29" t="n">
        <v>756</v>
      </c>
      <c r="B758" s="29" t="inlineStr">
        <is>
          <t>2</t>
        </is>
      </c>
      <c r="C758" s="30" t="inlineStr">
        <is>
          <t>GPT4</t>
        </is>
      </c>
      <c r="D758" s="29" t="inlineStr">
        <is>
          <t>Confused</t>
        </is>
      </c>
      <c r="E758" s="29">
        <f>MATCH(D758, {"Waiting for Input","Analyzing Object","Found Object","Needs Help","Confused","None"}, 0) - 1</f>
        <v/>
      </c>
      <c r="F758" s="31" t="inlineStr">
        <is>
          <t>Needs Help</t>
        </is>
      </c>
      <c r="G758" s="29">
        <f>MATCH(F758, {"Waiting for Input","Analyzing Object","Found Object","Needs Help","Confused","None"}, 0) - 1</f>
        <v/>
      </c>
      <c r="H758" s="29" t="n">
        <v>2</v>
      </c>
      <c r="I758" s="29">
        <f>IF(E758=G758, 1, 0)</f>
        <v/>
      </c>
    </row>
    <row r="759" ht="22" customHeight="1" s="270">
      <c r="A759" s="29" t="n">
        <v>757</v>
      </c>
      <c r="B759" s="29" t="inlineStr">
        <is>
          <t>2</t>
        </is>
      </c>
      <c r="C759" s="30" t="inlineStr">
        <is>
          <t>GPT4</t>
        </is>
      </c>
      <c r="D759" s="29" t="inlineStr">
        <is>
          <t>Confused</t>
        </is>
      </c>
      <c r="E759" s="29">
        <f>MATCH(D759, {"Waiting for Input","Analyzing Object","Found Object","Needs Help","Confused","None"}, 0) - 1</f>
        <v/>
      </c>
      <c r="F759" s="31" t="inlineStr">
        <is>
          <t>Confused</t>
        </is>
      </c>
      <c r="G759" s="29">
        <f>MATCH(F759, {"Waiting for Input","Analyzing Object","Found Object","Needs Help","Confused","None"}, 0) - 1</f>
        <v/>
      </c>
      <c r="H759" s="29" t="n">
        <v>5</v>
      </c>
      <c r="I759" s="29">
        <f>IF(E759=G759, 1, 0)</f>
        <v/>
      </c>
    </row>
    <row r="760" ht="22" customHeight="1" s="270">
      <c r="A760" s="29" t="n">
        <v>758</v>
      </c>
      <c r="B760" s="29" t="inlineStr">
        <is>
          <t>1</t>
        </is>
      </c>
      <c r="C760" s="30" t="inlineStr">
        <is>
          <t>GPT4</t>
        </is>
      </c>
      <c r="D760" s="29" t="inlineStr">
        <is>
          <t>Confused</t>
        </is>
      </c>
      <c r="E760" s="29">
        <f>MATCH(D760, {"Waiting for Input","Analyzing Object","Found Object","Needs Help","Confused","None"}, 0) - 1</f>
        <v/>
      </c>
      <c r="F760" s="31" t="inlineStr">
        <is>
          <t>Confused</t>
        </is>
      </c>
      <c r="G760" s="29">
        <f>MATCH(F760, {"Waiting for Input","Analyzing Object","Found Object","Needs Help","Confused","None"}, 0) - 1</f>
        <v/>
      </c>
      <c r="H760" s="29" t="n">
        <v>3</v>
      </c>
      <c r="I760" s="29">
        <f>IF(E760=G760, 1, 0)</f>
        <v/>
      </c>
    </row>
    <row r="761" ht="22" customHeight="1" s="270">
      <c r="A761" s="29" t="n">
        <v>759</v>
      </c>
      <c r="B761" s="29" t="inlineStr">
        <is>
          <t>1</t>
        </is>
      </c>
      <c r="C761" s="30" t="inlineStr">
        <is>
          <t>GPT4</t>
        </is>
      </c>
      <c r="D761" s="29" t="inlineStr">
        <is>
          <t>Confused</t>
        </is>
      </c>
      <c r="E761" s="29">
        <f>MATCH(D761, {"Waiting for Input","Analyzing Object","Found Object","Needs Help","Confused","None"}, 0) - 1</f>
        <v/>
      </c>
      <c r="F761" s="31" t="inlineStr">
        <is>
          <t>Confused</t>
        </is>
      </c>
      <c r="G761" s="29">
        <f>MATCH(F761, {"Waiting for Input","Analyzing Object","Found Object","Needs Help","Confused","None"}, 0) - 1</f>
        <v/>
      </c>
      <c r="H761" s="29" t="n">
        <v>5</v>
      </c>
      <c r="I761" s="29">
        <f>IF(E761=G761, 1, 0)</f>
        <v/>
      </c>
    </row>
    <row r="762" ht="22" customHeight="1" s="270">
      <c r="A762" s="29" t="n">
        <v>760</v>
      </c>
      <c r="B762" s="29" t="inlineStr">
        <is>
          <t>1</t>
        </is>
      </c>
      <c r="C762" s="30" t="inlineStr">
        <is>
          <t>GPT4</t>
        </is>
      </c>
      <c r="D762" s="29" t="inlineStr">
        <is>
          <t>Confused</t>
        </is>
      </c>
      <c r="E762" s="29">
        <f>MATCH(D762, {"Waiting for Input","Analyzing Object","Found Object","Needs Help","Confused","None"}, 0) - 1</f>
        <v/>
      </c>
      <c r="F762" s="31" t="inlineStr">
        <is>
          <t>Needs Help</t>
        </is>
      </c>
      <c r="G762" s="29">
        <f>MATCH(F762, {"Waiting for Input","Analyzing Object","Found Object","Needs Help","Confused","None"}, 0) - 1</f>
        <v/>
      </c>
      <c r="H762" s="29" t="n">
        <v>4</v>
      </c>
      <c r="I762" s="29">
        <f>IF(E762=G762, 1, 0)</f>
        <v/>
      </c>
    </row>
    <row r="763" ht="22" customHeight="1" s="270">
      <c r="A763" s="29" t="n">
        <v>761</v>
      </c>
      <c r="B763" s="29" t="inlineStr">
        <is>
          <t>2</t>
        </is>
      </c>
      <c r="C763" s="30" t="inlineStr">
        <is>
          <t>GPT4</t>
        </is>
      </c>
      <c r="D763" s="29" t="inlineStr">
        <is>
          <t>Confused</t>
        </is>
      </c>
      <c r="E763" s="29">
        <f>MATCH(D763, {"Waiting for Input","Analyzing Object","Found Object","Needs Help","Confused","None"}, 0) - 1</f>
        <v/>
      </c>
      <c r="F763" s="31" t="inlineStr">
        <is>
          <t>Analyzing Object</t>
        </is>
      </c>
      <c r="G763" s="29">
        <f>MATCH(F763, {"Waiting for Input","Analyzing Object","Found Object","Needs Help","Confused","None"}, 0) - 1</f>
        <v/>
      </c>
      <c r="H763" s="29" t="n">
        <v>2</v>
      </c>
      <c r="I763" s="29">
        <f>IF(E763=G763, 1, 0)</f>
        <v/>
      </c>
    </row>
    <row r="764" ht="22" customHeight="1" s="270">
      <c r="A764" s="29" t="n">
        <v>762</v>
      </c>
      <c r="B764" s="29" t="inlineStr">
        <is>
          <t>2</t>
        </is>
      </c>
      <c r="C764" s="30" t="inlineStr">
        <is>
          <t>GPT4</t>
        </is>
      </c>
      <c r="D764" s="29" t="inlineStr">
        <is>
          <t>Confused</t>
        </is>
      </c>
      <c r="E764" s="29">
        <f>MATCH(D764, {"Waiting for Input","Analyzing Object","Found Object","Needs Help","Confused","None"}, 0) - 1</f>
        <v/>
      </c>
      <c r="F764" s="31" t="inlineStr">
        <is>
          <t>Needs Help</t>
        </is>
      </c>
      <c r="G764" s="29">
        <f>MATCH(F764, {"Waiting for Input","Analyzing Object","Found Object","Needs Help","Confused","None"}, 0) - 1</f>
        <v/>
      </c>
      <c r="H764" s="29" t="n">
        <v>3</v>
      </c>
      <c r="I764" s="29">
        <f>IF(E764=G764, 1, 0)</f>
        <v/>
      </c>
    </row>
    <row r="765" ht="22" customHeight="1" s="270">
      <c r="A765" s="29" t="n">
        <v>763</v>
      </c>
      <c r="B765" s="29" t="inlineStr">
        <is>
          <t>2</t>
        </is>
      </c>
      <c r="C765" s="30" t="inlineStr">
        <is>
          <t>GPT4</t>
        </is>
      </c>
      <c r="D765" s="29" t="inlineStr">
        <is>
          <t>Confused</t>
        </is>
      </c>
      <c r="E765" s="29">
        <f>MATCH(D765, {"Waiting for Input","Analyzing Object","Found Object","Needs Help","Confused","None"}, 0) - 1</f>
        <v/>
      </c>
      <c r="F765" s="31" t="inlineStr">
        <is>
          <t>Confused</t>
        </is>
      </c>
      <c r="G765" s="29">
        <f>MATCH(F765, {"Waiting for Input","Analyzing Object","Found Object","Needs Help","Confused","None"}, 0) - 1</f>
        <v/>
      </c>
      <c r="H765" s="29" t="n">
        <v>1</v>
      </c>
      <c r="I765" s="29">
        <f>IF(E765=G765, 1, 0)</f>
        <v/>
      </c>
    </row>
    <row r="766" ht="22" customHeight="1" s="270">
      <c r="A766" s="29" t="n">
        <v>764</v>
      </c>
      <c r="B766" s="29" t="inlineStr">
        <is>
          <t>2</t>
        </is>
      </c>
      <c r="C766" s="30" t="inlineStr">
        <is>
          <t>GPT4</t>
        </is>
      </c>
      <c r="D766" s="29" t="inlineStr">
        <is>
          <t>Confused</t>
        </is>
      </c>
      <c r="E766" s="29">
        <f>MATCH(D766, {"Waiting for Input","Analyzing Object","Found Object","Needs Help","Confused","None"}, 0) - 1</f>
        <v/>
      </c>
      <c r="F766" s="31" t="inlineStr">
        <is>
          <t>Needs Help</t>
        </is>
      </c>
      <c r="G766" s="29">
        <f>MATCH(F766, {"Waiting for Input","Analyzing Object","Found Object","Needs Help","Confused","None"}, 0) - 1</f>
        <v/>
      </c>
      <c r="H766" s="29" t="n">
        <v>3</v>
      </c>
      <c r="I766" s="29">
        <f>IF(E766=G766, 1, 0)</f>
        <v/>
      </c>
    </row>
    <row r="767" ht="22" customHeight="1" s="270">
      <c r="A767" s="29" t="n">
        <v>765</v>
      </c>
      <c r="B767" s="29" t="inlineStr">
        <is>
          <t>2</t>
        </is>
      </c>
      <c r="C767" s="30" t="inlineStr">
        <is>
          <t>GPT4</t>
        </is>
      </c>
      <c r="D767" s="29" t="inlineStr">
        <is>
          <t>Confused</t>
        </is>
      </c>
      <c r="E767" s="29">
        <f>MATCH(D767, {"Waiting for Input","Analyzing Object","Found Object","Needs Help","Confused","None"}, 0) - 1</f>
        <v/>
      </c>
      <c r="F767" s="31" t="inlineStr">
        <is>
          <t>Needs Help</t>
        </is>
      </c>
      <c r="G767" s="29">
        <f>MATCH(F767, {"Waiting for Input","Analyzing Object","Found Object","Needs Help","Confused","None"}, 0) - 1</f>
        <v/>
      </c>
      <c r="H767" s="29" t="n">
        <v>3</v>
      </c>
      <c r="I767" s="29">
        <f>IF(E767=G767, 1, 0)</f>
        <v/>
      </c>
    </row>
    <row r="768" ht="22" customHeight="1" s="270">
      <c r="A768" s="29" t="n">
        <v>766</v>
      </c>
      <c r="B768" s="29" t="inlineStr">
        <is>
          <t>2</t>
        </is>
      </c>
      <c r="C768" s="30" t="inlineStr">
        <is>
          <t>GPT4</t>
        </is>
      </c>
      <c r="D768" s="29" t="inlineStr">
        <is>
          <t>Confused</t>
        </is>
      </c>
      <c r="E768" s="29">
        <f>MATCH(D768, {"Waiting for Input","Analyzing Object","Found Object","Needs Help","Confused","None"}, 0) - 1</f>
        <v/>
      </c>
      <c r="F768" s="31" t="inlineStr">
        <is>
          <t>Needs Help</t>
        </is>
      </c>
      <c r="G768" s="29">
        <f>MATCH(F768, {"Waiting for Input","Analyzing Object","Found Object","Needs Help","Confused","None"}, 0) - 1</f>
        <v/>
      </c>
      <c r="H768" s="29" t="n">
        <v>3</v>
      </c>
      <c r="I768" s="29">
        <f>IF(E768=G768, 1, 0)</f>
        <v/>
      </c>
    </row>
    <row r="769" ht="22" customHeight="1" s="270">
      <c r="A769" s="29" t="n">
        <v>767</v>
      </c>
      <c r="B769" s="29" t="inlineStr">
        <is>
          <t>2</t>
        </is>
      </c>
      <c r="C769" s="30" t="inlineStr">
        <is>
          <t>GPT4</t>
        </is>
      </c>
      <c r="D769" s="29" t="inlineStr">
        <is>
          <t>Confused</t>
        </is>
      </c>
      <c r="E769" s="29">
        <f>MATCH(D769, {"Waiting for Input","Analyzing Object","Found Object","Needs Help","Confused","None"}, 0) - 1</f>
        <v/>
      </c>
      <c r="F769" s="31" t="inlineStr">
        <is>
          <t>None</t>
        </is>
      </c>
      <c r="G769" s="29">
        <f>MATCH(F769, {"Waiting for Input","Analyzing Object","Found Object","Needs Help","Confused","None"}, 0) - 1</f>
        <v/>
      </c>
      <c r="H769" s="29" t="n">
        <v>1</v>
      </c>
      <c r="I769" s="29">
        <f>IF(E769=G769, 1, 0)</f>
        <v/>
      </c>
    </row>
    <row r="770" ht="22" customHeight="1" s="270">
      <c r="A770" s="29" t="n">
        <v>768</v>
      </c>
      <c r="B770" s="29" t="inlineStr">
        <is>
          <t>2</t>
        </is>
      </c>
      <c r="C770" s="30" t="inlineStr">
        <is>
          <t>GPT4</t>
        </is>
      </c>
      <c r="D770" s="29" t="inlineStr">
        <is>
          <t>Confused</t>
        </is>
      </c>
      <c r="E770" s="29">
        <f>MATCH(D770, {"Waiting for Input","Analyzing Object","Found Object","Needs Help","Confused","None"}, 0) - 1</f>
        <v/>
      </c>
      <c r="F770" s="31" t="inlineStr">
        <is>
          <t>Waiting for Input</t>
        </is>
      </c>
      <c r="G770" s="29">
        <f>MATCH(F770, {"Waiting for Input","Analyzing Object","Found Object","Needs Help","Confused","None"}, 0) - 1</f>
        <v/>
      </c>
      <c r="H770" s="29" t="n">
        <v>2</v>
      </c>
      <c r="I770" s="29">
        <f>IF(E770=G770, 1, 0)</f>
        <v/>
      </c>
    </row>
    <row r="771" ht="22" customHeight="1" s="270">
      <c r="A771" s="29" t="n">
        <v>769</v>
      </c>
      <c r="B771" s="29" t="inlineStr">
        <is>
          <t>2</t>
        </is>
      </c>
      <c r="C771" s="30" t="inlineStr">
        <is>
          <t>GPT4</t>
        </is>
      </c>
      <c r="D771" s="29" t="inlineStr">
        <is>
          <t>Confused</t>
        </is>
      </c>
      <c r="E771" s="29">
        <f>MATCH(D771, {"Waiting for Input","Analyzing Object","Found Object","Needs Help","Confused","None"}, 0) - 1</f>
        <v/>
      </c>
      <c r="F771" s="31" t="inlineStr">
        <is>
          <t>Needs Help</t>
        </is>
      </c>
      <c r="G771" s="29">
        <f>MATCH(F771, {"Waiting for Input","Analyzing Object","Found Object","Needs Help","Confused","None"}, 0) - 1</f>
        <v/>
      </c>
      <c r="H771" s="29" t="n">
        <v>1</v>
      </c>
      <c r="I771" s="29">
        <f>IF(E771=G771, 1, 0)</f>
        <v/>
      </c>
    </row>
    <row r="772" ht="22" customHeight="1" s="270">
      <c r="A772" s="29" t="n">
        <v>770</v>
      </c>
      <c r="B772" s="29" t="inlineStr">
        <is>
          <t>2</t>
        </is>
      </c>
      <c r="C772" s="30" t="inlineStr">
        <is>
          <t>GPT4</t>
        </is>
      </c>
      <c r="D772" s="29" t="inlineStr">
        <is>
          <t>Confused</t>
        </is>
      </c>
      <c r="E772" s="29">
        <f>MATCH(D772, {"Waiting for Input","Analyzing Object","Found Object","Needs Help","Confused","None"}, 0) - 1</f>
        <v/>
      </c>
      <c r="F772" s="31" t="inlineStr">
        <is>
          <t>Needs Help</t>
        </is>
      </c>
      <c r="G772" s="29">
        <f>MATCH(F772, {"Waiting for Input","Analyzing Object","Found Object","Needs Help","Confused","None"}, 0) - 1</f>
        <v/>
      </c>
      <c r="H772" s="29" t="n">
        <v>2</v>
      </c>
      <c r="I772" s="29">
        <f>IF(E772=G772, 1, 0)</f>
        <v/>
      </c>
    </row>
    <row r="773" ht="22" customHeight="1" s="270">
      <c r="A773" s="29" t="n">
        <v>771</v>
      </c>
      <c r="B773" s="29" t="inlineStr">
        <is>
          <t>1</t>
        </is>
      </c>
      <c r="C773" s="30" t="inlineStr">
        <is>
          <t>GPT4</t>
        </is>
      </c>
      <c r="D773" s="29" t="inlineStr">
        <is>
          <t>Confused</t>
        </is>
      </c>
      <c r="E773" s="29">
        <f>MATCH(D773, {"Waiting for Input","Analyzing Object","Found Object","Needs Help","Confused","None"}, 0) - 1</f>
        <v/>
      </c>
      <c r="F773" s="31" t="inlineStr">
        <is>
          <t>Analyzing Object</t>
        </is>
      </c>
      <c r="G773" s="29">
        <f>MATCH(F773, {"Waiting for Input","Analyzing Object","Found Object","Needs Help","Confused","None"}, 0) - 1</f>
        <v/>
      </c>
      <c r="H773" s="29" t="n">
        <v>3</v>
      </c>
      <c r="I773" s="29">
        <f>IF(E773=G773, 1, 0)</f>
        <v/>
      </c>
    </row>
    <row r="774" ht="22" customHeight="1" s="270">
      <c r="A774" s="29" t="n">
        <v>772</v>
      </c>
      <c r="B774" s="29" t="inlineStr">
        <is>
          <t>2</t>
        </is>
      </c>
      <c r="C774" s="30" t="inlineStr">
        <is>
          <t>GPT4</t>
        </is>
      </c>
      <c r="D774" s="29" t="inlineStr">
        <is>
          <t>Confused</t>
        </is>
      </c>
      <c r="E774" s="29">
        <f>MATCH(D774, {"Waiting for Input","Analyzing Object","Found Object","Needs Help","Confused","None"}, 0) - 1</f>
        <v/>
      </c>
      <c r="F774" s="31" t="inlineStr">
        <is>
          <t>Needs Help</t>
        </is>
      </c>
      <c r="G774" s="29">
        <f>MATCH(F774, {"Waiting for Input","Analyzing Object","Found Object","Needs Help","Confused","None"}, 0) - 1</f>
        <v/>
      </c>
      <c r="H774" s="29" t="n">
        <v>2</v>
      </c>
      <c r="I774" s="29">
        <f>IF(E774=G774, 1, 0)</f>
        <v/>
      </c>
    </row>
    <row r="775" ht="22" customHeight="1" s="270">
      <c r="A775" s="29" t="n">
        <v>773</v>
      </c>
      <c r="B775" s="29" t="inlineStr">
        <is>
          <t>2</t>
        </is>
      </c>
      <c r="C775" s="30" t="inlineStr">
        <is>
          <t>GPT4</t>
        </is>
      </c>
      <c r="D775" s="29" t="inlineStr">
        <is>
          <t>Confused</t>
        </is>
      </c>
      <c r="E775" s="29">
        <f>MATCH(D775, {"Waiting for Input","Analyzing Object","Found Object","Needs Help","Confused","None"}, 0) - 1</f>
        <v/>
      </c>
      <c r="F775" s="31" t="inlineStr">
        <is>
          <t>Confused</t>
        </is>
      </c>
      <c r="G775" s="29">
        <f>MATCH(F775, {"Waiting for Input","Analyzing Object","Found Object","Needs Help","Confused","None"}, 0) - 1</f>
        <v/>
      </c>
      <c r="H775" s="29" t="n">
        <v>2</v>
      </c>
      <c r="I775" s="29">
        <f>IF(E775=G775, 1, 0)</f>
        <v/>
      </c>
    </row>
    <row r="776" ht="22" customHeight="1" s="270">
      <c r="A776" s="29" t="n">
        <v>774</v>
      </c>
      <c r="B776" s="29" t="inlineStr">
        <is>
          <t>1</t>
        </is>
      </c>
      <c r="C776" s="30" t="inlineStr">
        <is>
          <t>GPT4</t>
        </is>
      </c>
      <c r="D776" s="29" t="inlineStr">
        <is>
          <t>Confused</t>
        </is>
      </c>
      <c r="E776" s="29">
        <f>MATCH(D776, {"Waiting for Input","Analyzing Object","Found Object","Needs Help","Confused","None"}, 0) - 1</f>
        <v/>
      </c>
      <c r="F776" s="31" t="inlineStr">
        <is>
          <t>Needs Help</t>
        </is>
      </c>
      <c r="G776" s="29">
        <f>MATCH(F776, {"Waiting for Input","Analyzing Object","Found Object","Needs Help","Confused","None"}, 0) - 1</f>
        <v/>
      </c>
      <c r="H776" s="29" t="n">
        <v>2</v>
      </c>
      <c r="I776" s="29">
        <f>IF(E776=G776, 1, 0)</f>
        <v/>
      </c>
    </row>
    <row r="777" ht="22" customHeight="1" s="270">
      <c r="A777" s="29" t="n">
        <v>775</v>
      </c>
      <c r="B777" s="29" t="inlineStr">
        <is>
          <t>2</t>
        </is>
      </c>
      <c r="C777" s="30" t="inlineStr">
        <is>
          <t>GPT4</t>
        </is>
      </c>
      <c r="D777" s="29" t="inlineStr">
        <is>
          <t>Confused</t>
        </is>
      </c>
      <c r="E777" s="29">
        <f>MATCH(D777, {"Waiting for Input","Analyzing Object","Found Object","Needs Help","Confused","None"}, 0) - 1</f>
        <v/>
      </c>
      <c r="F777" s="31" t="inlineStr">
        <is>
          <t>Needs Help</t>
        </is>
      </c>
      <c r="G777" s="29">
        <f>MATCH(F777, {"Waiting for Input","Analyzing Object","Found Object","Needs Help","Confused","None"}, 0) - 1</f>
        <v/>
      </c>
      <c r="H777" s="29" t="n">
        <v>1</v>
      </c>
      <c r="I777" s="29">
        <f>IF(E777=G777, 1, 0)</f>
        <v/>
      </c>
    </row>
    <row r="778" ht="22" customHeight="1" s="270">
      <c r="A778" s="29" t="n">
        <v>776</v>
      </c>
      <c r="B778" s="29" t="inlineStr">
        <is>
          <t>2</t>
        </is>
      </c>
      <c r="C778" s="30" t="inlineStr">
        <is>
          <t>GPT4</t>
        </is>
      </c>
      <c r="D778" s="29" t="inlineStr">
        <is>
          <t>Confused</t>
        </is>
      </c>
      <c r="E778" s="29">
        <f>MATCH(D778, {"Waiting for Input","Analyzing Object","Found Object","Needs Help","Confused","None"}, 0) - 1</f>
        <v/>
      </c>
      <c r="F778" s="31" t="inlineStr">
        <is>
          <t>Confused</t>
        </is>
      </c>
      <c r="G778" s="29">
        <f>MATCH(F778, {"Waiting for Input","Analyzing Object","Found Object","Needs Help","Confused","None"}, 0) - 1</f>
        <v/>
      </c>
      <c r="H778" s="29" t="n">
        <v>2</v>
      </c>
      <c r="I778" s="29">
        <f>IF(E778=G778, 1, 0)</f>
        <v/>
      </c>
    </row>
    <row r="779" ht="22" customHeight="1" s="270">
      <c r="A779" s="29" t="n">
        <v>777</v>
      </c>
      <c r="B779" s="29" t="inlineStr">
        <is>
          <t>2</t>
        </is>
      </c>
      <c r="C779" s="30" t="inlineStr">
        <is>
          <t>GPT4</t>
        </is>
      </c>
      <c r="D779" s="29" t="inlineStr">
        <is>
          <t>Confused</t>
        </is>
      </c>
      <c r="E779" s="29">
        <f>MATCH(D779, {"Waiting for Input","Analyzing Object","Found Object","Needs Help","Confused","None"}, 0) - 1</f>
        <v/>
      </c>
      <c r="F779" s="31" t="inlineStr">
        <is>
          <t>Waiting for Input</t>
        </is>
      </c>
      <c r="G779" s="29">
        <f>MATCH(F779, {"Waiting for Input","Analyzing Object","Found Object","Needs Help","Confused","None"}, 0) - 1</f>
        <v/>
      </c>
      <c r="H779" s="29" t="n">
        <v>3</v>
      </c>
      <c r="I779" s="29">
        <f>IF(E779=G779, 1, 0)</f>
        <v/>
      </c>
    </row>
    <row r="780" ht="22" customHeight="1" s="270">
      <c r="A780" s="29" t="n">
        <v>778</v>
      </c>
      <c r="B780" s="29" t="inlineStr">
        <is>
          <t>1</t>
        </is>
      </c>
      <c r="C780" s="30" t="inlineStr">
        <is>
          <t>GPT4</t>
        </is>
      </c>
      <c r="D780" s="29" t="inlineStr">
        <is>
          <t>Confused</t>
        </is>
      </c>
      <c r="E780" s="29">
        <f>MATCH(D780, {"Waiting for Input","Analyzing Object","Found Object","Needs Help","Confused","None"}, 0) - 1</f>
        <v/>
      </c>
      <c r="F780" s="31" t="inlineStr">
        <is>
          <t>Confused</t>
        </is>
      </c>
      <c r="G780" s="29">
        <f>MATCH(F780, {"Waiting for Input","Analyzing Object","Found Object","Needs Help","Confused","None"}, 0) - 1</f>
        <v/>
      </c>
      <c r="H780" s="29" t="n">
        <v>3</v>
      </c>
      <c r="I780" s="29">
        <f>IF(E780=G780, 1, 0)</f>
        <v/>
      </c>
    </row>
    <row r="781" ht="22" customHeight="1" s="270">
      <c r="A781" s="29" t="n">
        <v>779</v>
      </c>
      <c r="B781" s="29" t="inlineStr">
        <is>
          <t>2</t>
        </is>
      </c>
      <c r="C781" s="30" t="inlineStr">
        <is>
          <t>GPT4</t>
        </is>
      </c>
      <c r="D781" s="29" t="inlineStr">
        <is>
          <t>Confused</t>
        </is>
      </c>
      <c r="E781" s="29">
        <f>MATCH(D781, {"Waiting for Input","Analyzing Object","Found Object","Needs Help","Confused","None"}, 0) - 1</f>
        <v/>
      </c>
      <c r="F781" s="31" t="inlineStr">
        <is>
          <t>Needs Help</t>
        </is>
      </c>
      <c r="G781" s="29">
        <f>MATCH(F781, {"Waiting for Input","Analyzing Object","Found Object","Needs Help","Confused","None"}, 0) - 1</f>
        <v/>
      </c>
      <c r="H781" s="29" t="n">
        <v>2</v>
      </c>
      <c r="I781" s="29">
        <f>IF(E781=G781, 1, 0)</f>
        <v/>
      </c>
    </row>
    <row r="782" ht="22" customHeight="1" s="270">
      <c r="A782" s="29" t="n">
        <v>780</v>
      </c>
      <c r="B782" s="29" t="inlineStr">
        <is>
          <t>1</t>
        </is>
      </c>
      <c r="C782" s="30" t="inlineStr">
        <is>
          <t>Human</t>
        </is>
      </c>
      <c r="D782" s="29" t="inlineStr">
        <is>
          <t>Confused</t>
        </is>
      </c>
      <c r="E782" s="29">
        <f>MATCH(D782, {"Waiting for Input","Analyzing Object","Found Object","Needs Help","Confused","None"}, 0) - 1</f>
        <v/>
      </c>
      <c r="F782" s="31" t="inlineStr">
        <is>
          <t>Needs Help</t>
        </is>
      </c>
      <c r="G782" s="29">
        <f>MATCH(F782, {"Waiting for Input","Analyzing Object","Found Object","Needs Help","Confused","None"}, 0) - 1</f>
        <v/>
      </c>
      <c r="H782" s="29" t="n">
        <v>2</v>
      </c>
      <c r="I782" s="29">
        <f>IF(E782=G782, 1, 0)</f>
        <v/>
      </c>
    </row>
    <row r="783" ht="22" customHeight="1" s="270">
      <c r="A783" s="29" t="n">
        <v>781</v>
      </c>
      <c r="B783" s="29" t="inlineStr">
        <is>
          <t>1</t>
        </is>
      </c>
      <c r="C783" s="30" t="inlineStr">
        <is>
          <t>Human</t>
        </is>
      </c>
      <c r="D783" s="29" t="inlineStr">
        <is>
          <t>Confused</t>
        </is>
      </c>
      <c r="E783" s="29">
        <f>MATCH(D783, {"Waiting for Input","Analyzing Object","Found Object","Needs Help","Confused","None"}, 0) - 1</f>
        <v/>
      </c>
      <c r="F783" s="31" t="inlineStr">
        <is>
          <t>Found Object</t>
        </is>
      </c>
      <c r="G783" s="29">
        <f>MATCH(F783, {"Waiting for Input","Analyzing Object","Found Object","Needs Help","Confused","None"}, 0) - 1</f>
        <v/>
      </c>
      <c r="H783" s="29" t="n">
        <v>4</v>
      </c>
      <c r="I783" s="29">
        <f>IF(E783=G783, 1, 0)</f>
        <v/>
      </c>
    </row>
    <row r="784" ht="22" customHeight="1" s="270">
      <c r="A784" s="29" t="n">
        <v>782</v>
      </c>
      <c r="B784" s="29" t="inlineStr">
        <is>
          <t>1</t>
        </is>
      </c>
      <c r="C784" s="30" t="inlineStr">
        <is>
          <t>Human</t>
        </is>
      </c>
      <c r="D784" s="29" t="inlineStr">
        <is>
          <t>Confused</t>
        </is>
      </c>
      <c r="E784" s="29">
        <f>MATCH(D784, {"Waiting for Input","Analyzing Object","Found Object","Needs Help","Confused","None"}, 0) - 1</f>
        <v/>
      </c>
      <c r="F784" s="31" t="inlineStr">
        <is>
          <t>Waiting for Input</t>
        </is>
      </c>
      <c r="G784" s="29">
        <f>MATCH(F784, {"Waiting for Input","Analyzing Object","Found Object","Needs Help","Confused","None"}, 0) - 1</f>
        <v/>
      </c>
      <c r="H784" s="29" t="n">
        <v>4</v>
      </c>
      <c r="I784" s="29">
        <f>IF(E784=G784, 1, 0)</f>
        <v/>
      </c>
    </row>
    <row r="785" ht="22" customHeight="1" s="270">
      <c r="A785" s="29" t="n">
        <v>783</v>
      </c>
      <c r="B785" s="29" t="inlineStr">
        <is>
          <t>2</t>
        </is>
      </c>
      <c r="C785" s="30" t="inlineStr">
        <is>
          <t>Human</t>
        </is>
      </c>
      <c r="D785" s="29" t="inlineStr">
        <is>
          <t>Confused</t>
        </is>
      </c>
      <c r="E785" s="29">
        <f>MATCH(D785, {"Waiting for Input","Analyzing Object","Found Object","Needs Help","Confused","None"}, 0) - 1</f>
        <v/>
      </c>
      <c r="F785" s="31" t="inlineStr">
        <is>
          <t>Analyzing Object</t>
        </is>
      </c>
      <c r="G785" s="29">
        <f>MATCH(F785, {"Waiting for Input","Analyzing Object","Found Object","Needs Help","Confused","None"}, 0) - 1</f>
        <v/>
      </c>
      <c r="H785" s="29" t="n">
        <v>3</v>
      </c>
      <c r="I785" s="29">
        <f>IF(E785=G785, 1, 0)</f>
        <v/>
      </c>
    </row>
    <row r="786" ht="22" customHeight="1" s="270">
      <c r="A786" s="29" t="n">
        <v>784</v>
      </c>
      <c r="B786" s="29" t="inlineStr">
        <is>
          <t>2</t>
        </is>
      </c>
      <c r="C786" s="30" t="inlineStr">
        <is>
          <t>Human</t>
        </is>
      </c>
      <c r="D786" s="29" t="inlineStr">
        <is>
          <t>Confused</t>
        </is>
      </c>
      <c r="E786" s="29">
        <f>MATCH(D786, {"Waiting for Input","Analyzing Object","Found Object","Needs Help","Confused","None"}, 0) - 1</f>
        <v/>
      </c>
      <c r="F786" s="31" t="inlineStr">
        <is>
          <t>Waiting for Input</t>
        </is>
      </c>
      <c r="G786" s="29">
        <f>MATCH(F786, {"Waiting for Input","Analyzing Object","Found Object","Needs Help","Confused","None"}, 0) - 1</f>
        <v/>
      </c>
      <c r="H786" s="29" t="n">
        <v>4</v>
      </c>
      <c r="I786" s="29">
        <f>IF(E786=G786, 1, 0)</f>
        <v/>
      </c>
    </row>
    <row r="787" ht="22" customHeight="1" s="270">
      <c r="A787" s="29" t="n">
        <v>785</v>
      </c>
      <c r="B787" s="29" t="inlineStr">
        <is>
          <t>1</t>
        </is>
      </c>
      <c r="C787" s="30" t="inlineStr">
        <is>
          <t>Human</t>
        </is>
      </c>
      <c r="D787" s="29" t="inlineStr">
        <is>
          <t>Confused</t>
        </is>
      </c>
      <c r="E787" s="29">
        <f>MATCH(D787, {"Waiting for Input","Analyzing Object","Found Object","Needs Help","Confused","None"}, 0) - 1</f>
        <v/>
      </c>
      <c r="F787" s="31" t="inlineStr">
        <is>
          <t>Waiting for Input</t>
        </is>
      </c>
      <c r="G787" s="29">
        <f>MATCH(F787, {"Waiting for Input","Analyzing Object","Found Object","Needs Help","Confused","None"}, 0) - 1</f>
        <v/>
      </c>
      <c r="H787" s="29" t="n">
        <v>5</v>
      </c>
      <c r="I787" s="29">
        <f>IF(E787=G787, 1, 0)</f>
        <v/>
      </c>
    </row>
    <row r="788" ht="22" customHeight="1" s="270">
      <c r="A788" s="29" t="n">
        <v>786</v>
      </c>
      <c r="B788" s="29" t="inlineStr">
        <is>
          <t>2</t>
        </is>
      </c>
      <c r="C788" s="30" t="inlineStr">
        <is>
          <t>Human</t>
        </is>
      </c>
      <c r="D788" s="29" t="inlineStr">
        <is>
          <t>Confused</t>
        </is>
      </c>
      <c r="E788" s="29">
        <f>MATCH(D788, {"Waiting for Input","Analyzing Object","Found Object","Needs Help","Confused","None"}, 0) - 1</f>
        <v/>
      </c>
      <c r="F788" s="31" t="inlineStr">
        <is>
          <t>Waiting for Input</t>
        </is>
      </c>
      <c r="G788" s="29">
        <f>MATCH(F788, {"Waiting for Input","Analyzing Object","Found Object","Needs Help","Confused","None"}, 0) - 1</f>
        <v/>
      </c>
      <c r="H788" s="29" t="n">
        <v>3</v>
      </c>
      <c r="I788" s="29">
        <f>IF(E788=G788, 1, 0)</f>
        <v/>
      </c>
    </row>
    <row r="789" ht="22" customHeight="1" s="270">
      <c r="A789" s="29" t="n">
        <v>787</v>
      </c>
      <c r="B789" s="29" t="inlineStr">
        <is>
          <t>1</t>
        </is>
      </c>
      <c r="C789" s="30" t="inlineStr">
        <is>
          <t>Human</t>
        </is>
      </c>
      <c r="D789" s="29" t="inlineStr">
        <is>
          <t>Confused</t>
        </is>
      </c>
      <c r="E789" s="29">
        <f>MATCH(D789, {"Waiting for Input","Analyzing Object","Found Object","Needs Help","Confused","None"}, 0) - 1</f>
        <v/>
      </c>
      <c r="F789" s="31" t="inlineStr">
        <is>
          <t>Confused</t>
        </is>
      </c>
      <c r="G789" s="29">
        <f>MATCH(F789, {"Waiting for Input","Analyzing Object","Found Object","Needs Help","Confused","None"}, 0) - 1</f>
        <v/>
      </c>
      <c r="H789" s="29" t="n">
        <v>5</v>
      </c>
      <c r="I789" s="29">
        <f>IF(E789=G789, 1, 0)</f>
        <v/>
      </c>
    </row>
    <row r="790" ht="22" customHeight="1" s="270">
      <c r="A790" s="29" t="n">
        <v>788</v>
      </c>
      <c r="B790" s="29" t="inlineStr">
        <is>
          <t>1</t>
        </is>
      </c>
      <c r="C790" s="30" t="inlineStr">
        <is>
          <t>Human</t>
        </is>
      </c>
      <c r="D790" s="29" t="inlineStr">
        <is>
          <t>Confused</t>
        </is>
      </c>
      <c r="E790" s="29">
        <f>MATCH(D790, {"Waiting for Input","Analyzing Object","Found Object","Needs Help","Confused","None"}, 0) - 1</f>
        <v/>
      </c>
      <c r="F790" s="31" t="inlineStr">
        <is>
          <t>Waiting for Input</t>
        </is>
      </c>
      <c r="G790" s="29">
        <f>MATCH(F790, {"Waiting for Input","Analyzing Object","Found Object","Needs Help","Confused","None"}, 0) - 1</f>
        <v/>
      </c>
      <c r="H790" s="29" t="n">
        <v>3</v>
      </c>
      <c r="I790" s="29">
        <f>IF(E790=G790, 1, 0)</f>
        <v/>
      </c>
    </row>
    <row r="791" ht="22" customHeight="1" s="270">
      <c r="A791" s="29" t="n">
        <v>789</v>
      </c>
      <c r="B791" s="29" t="inlineStr">
        <is>
          <t>1</t>
        </is>
      </c>
      <c r="C791" s="30" t="inlineStr">
        <is>
          <t>Human</t>
        </is>
      </c>
      <c r="D791" s="29" t="inlineStr">
        <is>
          <t>Confused</t>
        </is>
      </c>
      <c r="E791" s="29">
        <f>MATCH(D791, {"Waiting for Input","Analyzing Object","Found Object","Needs Help","Confused","None"}, 0) - 1</f>
        <v/>
      </c>
      <c r="F791" s="31" t="inlineStr">
        <is>
          <t>Waiting for Input</t>
        </is>
      </c>
      <c r="G791" s="29">
        <f>MATCH(F791, {"Waiting for Input","Analyzing Object","Found Object","Needs Help","Confused","None"}, 0) - 1</f>
        <v/>
      </c>
      <c r="H791" s="29" t="n">
        <v>5</v>
      </c>
      <c r="I791" s="29">
        <f>IF(E791=G791, 1, 0)</f>
        <v/>
      </c>
    </row>
    <row r="792" ht="22" customHeight="1" s="270">
      <c r="A792" s="29" t="n">
        <v>790</v>
      </c>
      <c r="B792" s="29" t="inlineStr">
        <is>
          <t>2</t>
        </is>
      </c>
      <c r="C792" s="30" t="inlineStr">
        <is>
          <t>Human</t>
        </is>
      </c>
      <c r="D792" s="29" t="inlineStr">
        <is>
          <t>Confused</t>
        </is>
      </c>
      <c r="E792" s="29">
        <f>MATCH(D792, {"Waiting for Input","Analyzing Object","Found Object","Needs Help","Confused","None"}, 0) - 1</f>
        <v/>
      </c>
      <c r="F792" s="31" t="inlineStr">
        <is>
          <t>Waiting for Input</t>
        </is>
      </c>
      <c r="G792" s="29">
        <f>MATCH(F792, {"Waiting for Input","Analyzing Object","Found Object","Needs Help","Confused","None"}, 0) - 1</f>
        <v/>
      </c>
      <c r="H792" s="29" t="n">
        <v>4</v>
      </c>
      <c r="I792" s="29">
        <f>IF(E792=G792, 1, 0)</f>
        <v/>
      </c>
    </row>
    <row r="793" ht="22" customHeight="1" s="270">
      <c r="A793" s="29" t="n">
        <v>791</v>
      </c>
      <c r="B793" s="29" t="inlineStr">
        <is>
          <t>2</t>
        </is>
      </c>
      <c r="C793" s="30" t="inlineStr">
        <is>
          <t>Human</t>
        </is>
      </c>
      <c r="D793" s="29" t="inlineStr">
        <is>
          <t>Confused</t>
        </is>
      </c>
      <c r="E793" s="29">
        <f>MATCH(D793, {"Waiting for Input","Analyzing Object","Found Object","Needs Help","Confused","None"}, 0) - 1</f>
        <v/>
      </c>
      <c r="F793" s="31" t="inlineStr">
        <is>
          <t>Confused</t>
        </is>
      </c>
      <c r="G793" s="29">
        <f>MATCH(F793, {"Waiting for Input","Analyzing Object","Found Object","Needs Help","Confused","None"}, 0) - 1</f>
        <v/>
      </c>
      <c r="H793" s="29" t="n">
        <v>4</v>
      </c>
      <c r="I793" s="29">
        <f>IF(E793=G793, 1, 0)</f>
        <v/>
      </c>
    </row>
    <row r="794" ht="22" customHeight="1" s="270">
      <c r="A794" s="29" t="n">
        <v>792</v>
      </c>
      <c r="B794" s="29" t="inlineStr">
        <is>
          <t>2</t>
        </is>
      </c>
      <c r="C794" s="30" t="inlineStr">
        <is>
          <t>Human</t>
        </is>
      </c>
      <c r="D794" s="29" t="inlineStr">
        <is>
          <t>Confused</t>
        </is>
      </c>
      <c r="E794" s="29">
        <f>MATCH(D794, {"Waiting for Input","Analyzing Object","Found Object","Needs Help","Confused","None"}, 0) - 1</f>
        <v/>
      </c>
      <c r="F794" s="31" t="inlineStr">
        <is>
          <t>Waiting for Input</t>
        </is>
      </c>
      <c r="G794" s="29">
        <f>MATCH(F794, {"Waiting for Input","Analyzing Object","Found Object","Needs Help","Confused","None"}, 0) - 1</f>
        <v/>
      </c>
      <c r="H794" s="29" t="n">
        <v>2</v>
      </c>
      <c r="I794" s="29">
        <f>IF(E794=G794, 1, 0)</f>
        <v/>
      </c>
    </row>
    <row r="795" ht="22" customHeight="1" s="270">
      <c r="A795" s="29" t="n">
        <v>793</v>
      </c>
      <c r="B795" s="29" t="inlineStr">
        <is>
          <t>2</t>
        </is>
      </c>
      <c r="C795" s="30" t="inlineStr">
        <is>
          <t>Human</t>
        </is>
      </c>
      <c r="D795" s="29" t="inlineStr">
        <is>
          <t>Confused</t>
        </is>
      </c>
      <c r="E795" s="29">
        <f>MATCH(D795, {"Waiting for Input","Analyzing Object","Found Object","Needs Help","Confused","None"}, 0) - 1</f>
        <v/>
      </c>
      <c r="F795" s="31" t="inlineStr">
        <is>
          <t>Waiting for Input</t>
        </is>
      </c>
      <c r="G795" s="29">
        <f>MATCH(F795, {"Waiting for Input","Analyzing Object","Found Object","Needs Help","Confused","None"}, 0) - 1</f>
        <v/>
      </c>
      <c r="H795" s="29" t="n">
        <v>4</v>
      </c>
      <c r="I795" s="29">
        <f>IF(E795=G795, 1, 0)</f>
        <v/>
      </c>
    </row>
    <row r="796" ht="22" customHeight="1" s="270">
      <c r="A796" s="29" t="n">
        <v>794</v>
      </c>
      <c r="B796" s="29" t="inlineStr">
        <is>
          <t>1</t>
        </is>
      </c>
      <c r="C796" s="30" t="inlineStr">
        <is>
          <t>Human</t>
        </is>
      </c>
      <c r="D796" s="29" t="inlineStr">
        <is>
          <t>Confused</t>
        </is>
      </c>
      <c r="E796" s="29">
        <f>MATCH(D796, {"Waiting for Input","Analyzing Object","Found Object","Needs Help","Confused","None"}, 0) - 1</f>
        <v/>
      </c>
      <c r="F796" s="31" t="inlineStr">
        <is>
          <t>Waiting for Input</t>
        </is>
      </c>
      <c r="G796" s="29">
        <f>MATCH(F796, {"Waiting for Input","Analyzing Object","Found Object","Needs Help","Confused","None"}, 0) - 1</f>
        <v/>
      </c>
      <c r="H796" s="29" t="n">
        <v>4</v>
      </c>
      <c r="I796" s="29">
        <f>IF(E796=G796, 1, 0)</f>
        <v/>
      </c>
    </row>
    <row r="797" ht="22" customHeight="1" s="270">
      <c r="A797" s="29" t="n">
        <v>795</v>
      </c>
      <c r="B797" s="29" t="inlineStr">
        <is>
          <t>1</t>
        </is>
      </c>
      <c r="C797" s="30" t="inlineStr">
        <is>
          <t>Human</t>
        </is>
      </c>
      <c r="D797" s="29" t="inlineStr">
        <is>
          <t>Confused</t>
        </is>
      </c>
      <c r="E797" s="29">
        <f>MATCH(D797, {"Waiting for Input","Analyzing Object","Found Object","Needs Help","Confused","None"}, 0) - 1</f>
        <v/>
      </c>
      <c r="F797" s="31" t="inlineStr">
        <is>
          <t>Waiting for Input</t>
        </is>
      </c>
      <c r="G797" s="29">
        <f>MATCH(F797, {"Waiting for Input","Analyzing Object","Found Object","Needs Help","Confused","None"}, 0) - 1</f>
        <v/>
      </c>
      <c r="H797" s="29" t="n">
        <v>4</v>
      </c>
      <c r="I797" s="29">
        <f>IF(E797=G797, 1, 0)</f>
        <v/>
      </c>
    </row>
    <row r="798" ht="22" customHeight="1" s="270">
      <c r="A798" s="29" t="n">
        <v>796</v>
      </c>
      <c r="B798" s="29" t="inlineStr">
        <is>
          <t>1</t>
        </is>
      </c>
      <c r="C798" s="30" t="inlineStr">
        <is>
          <t>Human</t>
        </is>
      </c>
      <c r="D798" s="29" t="inlineStr">
        <is>
          <t>Confused</t>
        </is>
      </c>
      <c r="E798" s="29">
        <f>MATCH(D798, {"Waiting for Input","Analyzing Object","Found Object","Needs Help","Confused","None"}, 0) - 1</f>
        <v/>
      </c>
      <c r="F798" s="31" t="inlineStr">
        <is>
          <t>Confused</t>
        </is>
      </c>
      <c r="G798" s="29">
        <f>MATCH(F798, {"Waiting for Input","Analyzing Object","Found Object","Needs Help","Confused","None"}, 0) - 1</f>
        <v/>
      </c>
      <c r="H798" s="29" t="n">
        <v>4</v>
      </c>
      <c r="I798" s="29">
        <f>IF(E798=G798, 1, 0)</f>
        <v/>
      </c>
    </row>
    <row r="799" ht="22" customHeight="1" s="270">
      <c r="A799" s="29" t="n">
        <v>797</v>
      </c>
      <c r="B799" s="29" t="inlineStr">
        <is>
          <t>2</t>
        </is>
      </c>
      <c r="C799" s="30" t="inlineStr">
        <is>
          <t>Human</t>
        </is>
      </c>
      <c r="D799" s="29" t="inlineStr">
        <is>
          <t>Confused</t>
        </is>
      </c>
      <c r="E799" s="29">
        <f>MATCH(D799, {"Waiting for Input","Analyzing Object","Found Object","Needs Help","Confused","None"}, 0) - 1</f>
        <v/>
      </c>
      <c r="F799" s="31" t="inlineStr">
        <is>
          <t>Waiting for Input</t>
        </is>
      </c>
      <c r="G799" s="29">
        <f>MATCH(F799, {"Waiting for Input","Analyzing Object","Found Object","Needs Help","Confused","None"}, 0) - 1</f>
        <v/>
      </c>
      <c r="H799" s="29" t="n">
        <v>5</v>
      </c>
      <c r="I799" s="29">
        <f>IF(E799=G799, 1, 0)</f>
        <v/>
      </c>
    </row>
    <row r="800" ht="22" customHeight="1" s="270">
      <c r="A800" s="29" t="n">
        <v>798</v>
      </c>
      <c r="B800" s="29" t="inlineStr">
        <is>
          <t>2</t>
        </is>
      </c>
      <c r="C800" s="30" t="inlineStr">
        <is>
          <t>Human</t>
        </is>
      </c>
      <c r="D800" s="29" t="inlineStr">
        <is>
          <t>Confused</t>
        </is>
      </c>
      <c r="E800" s="29">
        <f>MATCH(D800, {"Waiting for Input","Analyzing Object","Found Object","Needs Help","Confused","None"}, 0) - 1</f>
        <v/>
      </c>
      <c r="F800" s="31" t="inlineStr">
        <is>
          <t>Confused</t>
        </is>
      </c>
      <c r="G800" s="29">
        <f>MATCH(F800, {"Waiting for Input","Analyzing Object","Found Object","Needs Help","Confused","None"}, 0) - 1</f>
        <v/>
      </c>
      <c r="H800" s="29" t="n">
        <v>4</v>
      </c>
      <c r="I800" s="29">
        <f>IF(E800=G800, 1, 0)</f>
        <v/>
      </c>
    </row>
    <row r="801" ht="22" customHeight="1" s="270">
      <c r="A801" s="29" t="n">
        <v>799</v>
      </c>
      <c r="B801" s="29" t="inlineStr">
        <is>
          <t>1</t>
        </is>
      </c>
      <c r="C801" s="30" t="inlineStr">
        <is>
          <t>Human</t>
        </is>
      </c>
      <c r="D801" s="29" t="inlineStr">
        <is>
          <t>Confused</t>
        </is>
      </c>
      <c r="E801" s="29">
        <f>MATCH(D801, {"Waiting for Input","Analyzing Object","Found Object","Needs Help","Confused","None"}, 0) - 1</f>
        <v/>
      </c>
      <c r="F801" s="31" t="inlineStr">
        <is>
          <t>Confused</t>
        </is>
      </c>
      <c r="G801" s="29">
        <f>MATCH(F801, {"Waiting for Input","Analyzing Object","Found Object","Needs Help","Confused","None"}, 0) - 1</f>
        <v/>
      </c>
      <c r="H801" s="29" t="n">
        <v>3</v>
      </c>
      <c r="I801" s="29">
        <f>IF(E801=G801, 1, 0)</f>
        <v/>
      </c>
    </row>
    <row r="802" ht="22" customHeight="1" s="270">
      <c r="A802" s="29" t="n">
        <v>800</v>
      </c>
      <c r="B802" s="29" t="inlineStr">
        <is>
          <t>1</t>
        </is>
      </c>
      <c r="C802" s="30" t="inlineStr">
        <is>
          <t>Human</t>
        </is>
      </c>
      <c r="D802" s="29" t="inlineStr">
        <is>
          <t>Confused</t>
        </is>
      </c>
      <c r="E802" s="29">
        <f>MATCH(D802, {"Waiting for Input","Analyzing Object","Found Object","Needs Help","Confused","None"}, 0) - 1</f>
        <v/>
      </c>
      <c r="F802" s="31" t="inlineStr">
        <is>
          <t>Waiting for Input</t>
        </is>
      </c>
      <c r="G802" s="29">
        <f>MATCH(F802, {"Waiting for Input","Analyzing Object","Found Object","Needs Help","Confused","None"}, 0) - 1</f>
        <v/>
      </c>
      <c r="H802" s="29" t="n">
        <v>2</v>
      </c>
      <c r="I802" s="29">
        <f>IF(E802=G802, 1, 0)</f>
        <v/>
      </c>
    </row>
    <row r="803" ht="22" customHeight="1" s="270">
      <c r="A803" s="29" t="n">
        <v>801</v>
      </c>
      <c r="B803" s="29" t="inlineStr">
        <is>
          <t>2</t>
        </is>
      </c>
      <c r="C803" s="30" t="inlineStr">
        <is>
          <t>Human</t>
        </is>
      </c>
      <c r="D803" s="29" t="inlineStr">
        <is>
          <t>Confused</t>
        </is>
      </c>
      <c r="E803" s="29">
        <f>MATCH(D803, {"Waiting for Input","Analyzing Object","Found Object","Needs Help","Confused","None"}, 0) - 1</f>
        <v/>
      </c>
      <c r="F803" s="31" t="inlineStr">
        <is>
          <t>Needs Help</t>
        </is>
      </c>
      <c r="G803" s="29">
        <f>MATCH(F803, {"Waiting for Input","Analyzing Object","Found Object","Needs Help","Confused","None"}, 0) - 1</f>
        <v/>
      </c>
      <c r="H803" s="29" t="n">
        <v>3</v>
      </c>
      <c r="I803" s="29">
        <f>IF(E803=G803, 1, 0)</f>
        <v/>
      </c>
    </row>
    <row r="804" ht="22" customHeight="1" s="270">
      <c r="A804" s="29" t="n">
        <v>802</v>
      </c>
      <c r="B804" s="29" t="inlineStr">
        <is>
          <t>2</t>
        </is>
      </c>
      <c r="C804" s="30" t="inlineStr">
        <is>
          <t>Human</t>
        </is>
      </c>
      <c r="D804" s="29" t="inlineStr">
        <is>
          <t>Confused</t>
        </is>
      </c>
      <c r="E804" s="29">
        <f>MATCH(D804, {"Waiting for Input","Analyzing Object","Found Object","Needs Help","Confused","None"}, 0) - 1</f>
        <v/>
      </c>
      <c r="F804" s="31" t="inlineStr">
        <is>
          <t>Confused</t>
        </is>
      </c>
      <c r="G804" s="29">
        <f>MATCH(F804, {"Waiting for Input","Analyzing Object","Found Object","Needs Help","Confused","None"}, 0) - 1</f>
        <v/>
      </c>
      <c r="H804" s="29" t="n">
        <v>5</v>
      </c>
      <c r="I804" s="29">
        <f>IF(E804=G804, 1, 0)</f>
        <v/>
      </c>
    </row>
    <row r="805" ht="22" customHeight="1" s="270">
      <c r="A805" s="29" t="n">
        <v>803</v>
      </c>
      <c r="B805" s="29" t="inlineStr">
        <is>
          <t>1</t>
        </is>
      </c>
      <c r="C805" s="30" t="inlineStr">
        <is>
          <t>Human</t>
        </is>
      </c>
      <c r="D805" s="29" t="inlineStr">
        <is>
          <t>Confused</t>
        </is>
      </c>
      <c r="E805" s="29">
        <f>MATCH(D805, {"Waiting for Input","Analyzing Object","Found Object","Needs Help","Confused","None"}, 0) - 1</f>
        <v/>
      </c>
      <c r="F805" s="31" t="inlineStr">
        <is>
          <t>Confused</t>
        </is>
      </c>
      <c r="G805" s="29">
        <f>MATCH(F805, {"Waiting for Input","Analyzing Object","Found Object","Needs Help","Confused","None"}, 0) - 1</f>
        <v/>
      </c>
      <c r="H805" s="29" t="n">
        <v>2</v>
      </c>
      <c r="I805" s="29">
        <f>IF(E805=G805, 1, 0)</f>
        <v/>
      </c>
    </row>
    <row r="806" ht="22" customHeight="1" s="270">
      <c r="A806" s="29" t="n">
        <v>804</v>
      </c>
      <c r="B806" s="29" t="inlineStr">
        <is>
          <t>1</t>
        </is>
      </c>
      <c r="C806" s="30" t="inlineStr">
        <is>
          <t>Human</t>
        </is>
      </c>
      <c r="D806" s="29" t="inlineStr">
        <is>
          <t>Confused</t>
        </is>
      </c>
      <c r="E806" s="29">
        <f>MATCH(D806, {"Waiting for Input","Analyzing Object","Found Object","Needs Help","Confused","None"}, 0) - 1</f>
        <v/>
      </c>
      <c r="F806" s="31" t="inlineStr">
        <is>
          <t>Confused</t>
        </is>
      </c>
      <c r="G806" s="29">
        <f>MATCH(F806, {"Waiting for Input","Analyzing Object","Found Object","Needs Help","Confused","None"}, 0) - 1</f>
        <v/>
      </c>
      <c r="H806" s="29" t="n">
        <v>4</v>
      </c>
      <c r="I806" s="29">
        <f>IF(E806=G806, 1, 0)</f>
        <v/>
      </c>
    </row>
    <row r="807" ht="22" customHeight="1" s="270">
      <c r="A807" s="29" t="n">
        <v>805</v>
      </c>
      <c r="B807" s="29" t="inlineStr">
        <is>
          <t>2</t>
        </is>
      </c>
      <c r="C807" s="30" t="inlineStr">
        <is>
          <t>Human</t>
        </is>
      </c>
      <c r="D807" s="29" t="inlineStr">
        <is>
          <t>Confused</t>
        </is>
      </c>
      <c r="E807" s="29">
        <f>MATCH(D807, {"Waiting for Input","Analyzing Object","Found Object","Needs Help","Confused","None"}, 0) - 1</f>
        <v/>
      </c>
      <c r="F807" s="31" t="inlineStr">
        <is>
          <t>Waiting for Input</t>
        </is>
      </c>
      <c r="G807" s="29">
        <f>MATCH(F807, {"Waiting for Input","Analyzing Object","Found Object","Needs Help","Confused","None"}, 0) - 1</f>
        <v/>
      </c>
      <c r="H807" s="29" t="n">
        <v>2</v>
      </c>
      <c r="I807" s="29">
        <f>IF(E807=G807, 1, 0)</f>
        <v/>
      </c>
    </row>
    <row r="808" ht="22" customHeight="1" s="270">
      <c r="A808" s="29" t="n">
        <v>806</v>
      </c>
      <c r="B808" s="29" t="inlineStr">
        <is>
          <t>2</t>
        </is>
      </c>
      <c r="C808" s="30" t="inlineStr">
        <is>
          <t>Human</t>
        </is>
      </c>
      <c r="D808" s="29" t="inlineStr">
        <is>
          <t>Confused</t>
        </is>
      </c>
      <c r="E808" s="29">
        <f>MATCH(D808, {"Waiting for Input","Analyzing Object","Found Object","Needs Help","Confused","None"}, 0) - 1</f>
        <v/>
      </c>
      <c r="F808" s="31" t="inlineStr">
        <is>
          <t>None</t>
        </is>
      </c>
      <c r="G808" s="29">
        <f>MATCH(F808, {"Waiting for Input","Analyzing Object","Found Object","Needs Help","Confused","None"}, 0) - 1</f>
        <v/>
      </c>
      <c r="H808" s="29" t="n">
        <v>3</v>
      </c>
      <c r="I808" s="29">
        <f>IF(E808=G808, 1, 0)</f>
        <v/>
      </c>
    </row>
    <row r="809" ht="22" customHeight="1" s="270">
      <c r="A809" s="29" t="n">
        <v>807</v>
      </c>
      <c r="B809" s="29" t="inlineStr">
        <is>
          <t>2</t>
        </is>
      </c>
      <c r="C809" s="30" t="inlineStr">
        <is>
          <t>Human</t>
        </is>
      </c>
      <c r="D809" s="29" t="inlineStr">
        <is>
          <t>Confused</t>
        </is>
      </c>
      <c r="E809" s="29">
        <f>MATCH(D809, {"Waiting for Input","Analyzing Object","Found Object","Needs Help","Confused","None"}, 0) - 1</f>
        <v/>
      </c>
      <c r="F809" s="31" t="inlineStr">
        <is>
          <t>Waiting for Input</t>
        </is>
      </c>
      <c r="G809" s="29">
        <f>MATCH(F809, {"Waiting for Input","Analyzing Object","Found Object","Needs Help","Confused","None"}, 0) - 1</f>
        <v/>
      </c>
      <c r="H809" s="29" t="n">
        <v>3</v>
      </c>
      <c r="I809" s="29">
        <f>IF(E809=G809, 1, 0)</f>
        <v/>
      </c>
    </row>
    <row r="810" ht="22" customHeight="1" s="270">
      <c r="A810" s="29" t="n">
        <v>808</v>
      </c>
      <c r="B810" s="29" t="inlineStr">
        <is>
          <t>2</t>
        </is>
      </c>
      <c r="C810" s="30" t="inlineStr">
        <is>
          <t>Human</t>
        </is>
      </c>
      <c r="D810" s="29" t="inlineStr">
        <is>
          <t>Confused</t>
        </is>
      </c>
      <c r="E810" s="29">
        <f>MATCH(D810, {"Waiting for Input","Analyzing Object","Found Object","Needs Help","Confused","None"}, 0) - 1</f>
        <v/>
      </c>
      <c r="F810" s="31" t="inlineStr">
        <is>
          <t>Confused</t>
        </is>
      </c>
      <c r="G810" s="29">
        <f>MATCH(F810, {"Waiting for Input","Analyzing Object","Found Object","Needs Help","Confused","None"}, 0) - 1</f>
        <v/>
      </c>
      <c r="H810" s="29" t="n">
        <v>4</v>
      </c>
      <c r="I810" s="29">
        <f>IF(E810=G810, 1, 0)</f>
        <v/>
      </c>
    </row>
    <row r="811" ht="22" customHeight="1" s="270">
      <c r="A811" s="29" t="n">
        <v>809</v>
      </c>
      <c r="B811" s="29" t="inlineStr">
        <is>
          <t>2</t>
        </is>
      </c>
      <c r="C811" s="30" t="inlineStr">
        <is>
          <t>Human</t>
        </is>
      </c>
      <c r="D811" s="29" t="inlineStr">
        <is>
          <t>Confused</t>
        </is>
      </c>
      <c r="E811" s="29">
        <f>MATCH(D811, {"Waiting for Input","Analyzing Object","Found Object","Needs Help","Confused","None"}, 0) - 1</f>
        <v/>
      </c>
      <c r="F811" s="31" t="inlineStr">
        <is>
          <t>Waiting for Input</t>
        </is>
      </c>
      <c r="G811" s="29">
        <f>MATCH(F811, {"Waiting for Input","Analyzing Object","Found Object","Needs Help","Confused","None"}, 0) - 1</f>
        <v/>
      </c>
      <c r="H811" s="29" t="n">
        <v>5</v>
      </c>
      <c r="I811" s="29">
        <f>IF(E811=G811, 1, 0)</f>
        <v/>
      </c>
    </row>
    <row r="812" ht="22" customHeight="1" s="270">
      <c r="A812" s="29" t="n">
        <v>810</v>
      </c>
      <c r="B812" s="29" t="inlineStr">
        <is>
          <t>2</t>
        </is>
      </c>
      <c r="C812" s="30" t="inlineStr">
        <is>
          <t>Human</t>
        </is>
      </c>
      <c r="D812" s="29" t="inlineStr">
        <is>
          <t>Confused</t>
        </is>
      </c>
      <c r="E812" s="29">
        <f>MATCH(D812, {"Waiting for Input","Analyzing Object","Found Object","Needs Help","Confused","None"}, 0) - 1</f>
        <v/>
      </c>
      <c r="F812" s="31" t="inlineStr">
        <is>
          <t>Confused</t>
        </is>
      </c>
      <c r="G812" s="29">
        <f>MATCH(F812, {"Waiting for Input","Analyzing Object","Found Object","Needs Help","Confused","None"}, 0) - 1</f>
        <v/>
      </c>
      <c r="H812" s="29" t="n">
        <v>3</v>
      </c>
      <c r="I812" s="29">
        <f>IF(E812=G812, 1, 0)</f>
        <v/>
      </c>
    </row>
    <row r="813" ht="22" customHeight="1" s="270">
      <c r="A813" s="29" t="n">
        <v>811</v>
      </c>
      <c r="B813" s="29" t="inlineStr">
        <is>
          <t>1</t>
        </is>
      </c>
      <c r="C813" s="30" t="inlineStr">
        <is>
          <t>Human</t>
        </is>
      </c>
      <c r="D813" s="29" t="inlineStr">
        <is>
          <t>Confused</t>
        </is>
      </c>
      <c r="E813" s="29">
        <f>MATCH(D813, {"Waiting for Input","Analyzing Object","Found Object","Needs Help","Confused","None"}, 0) - 1</f>
        <v/>
      </c>
      <c r="F813" s="31" t="inlineStr">
        <is>
          <t>Waiting for Input</t>
        </is>
      </c>
      <c r="G813" s="29">
        <f>MATCH(F813, {"Waiting for Input","Analyzing Object","Found Object","Needs Help","Confused","None"}, 0) - 1</f>
        <v/>
      </c>
      <c r="H813" s="29" t="n">
        <v>5</v>
      </c>
      <c r="I813" s="29">
        <f>IF(E813=G813, 1, 0)</f>
        <v/>
      </c>
    </row>
    <row r="814" ht="22" customHeight="1" s="270">
      <c r="A814" s="29" t="n">
        <v>812</v>
      </c>
      <c r="B814" s="29" t="inlineStr">
        <is>
          <t>2</t>
        </is>
      </c>
      <c r="C814" s="30" t="inlineStr">
        <is>
          <t>Human</t>
        </is>
      </c>
      <c r="D814" s="29" t="inlineStr">
        <is>
          <t>Confused</t>
        </is>
      </c>
      <c r="E814" s="29">
        <f>MATCH(D814, {"Waiting for Input","Analyzing Object","Found Object","Needs Help","Confused","None"}, 0) - 1</f>
        <v/>
      </c>
      <c r="F814" s="31" t="inlineStr">
        <is>
          <t>Waiting for Input</t>
        </is>
      </c>
      <c r="G814" s="29">
        <f>MATCH(F814, {"Waiting for Input","Analyzing Object","Found Object","Needs Help","Confused","None"}, 0) - 1</f>
        <v/>
      </c>
      <c r="H814" s="29" t="n">
        <v>5</v>
      </c>
      <c r="I814" s="29">
        <f>IF(E814=G814, 1, 0)</f>
        <v/>
      </c>
    </row>
    <row r="815" ht="22" customHeight="1" s="270">
      <c r="A815" s="29" t="n">
        <v>813</v>
      </c>
      <c r="B815" s="29" t="inlineStr">
        <is>
          <t>1</t>
        </is>
      </c>
      <c r="C815" s="30" t="inlineStr">
        <is>
          <t>Human</t>
        </is>
      </c>
      <c r="D815" s="29" t="inlineStr">
        <is>
          <t>Confused</t>
        </is>
      </c>
      <c r="E815" s="29">
        <f>MATCH(D815, {"Waiting for Input","Analyzing Object","Found Object","Needs Help","Confused","None"}, 0) - 1</f>
        <v/>
      </c>
      <c r="F815" s="31" t="inlineStr">
        <is>
          <t>Confused</t>
        </is>
      </c>
      <c r="G815" s="29">
        <f>MATCH(F815, {"Waiting for Input","Analyzing Object","Found Object","Needs Help","Confused","None"}, 0) - 1</f>
        <v/>
      </c>
      <c r="H815" s="29" t="n">
        <v>3</v>
      </c>
      <c r="I815" s="29">
        <f>IF(E815=G815, 1, 0)</f>
        <v/>
      </c>
    </row>
    <row r="816" ht="22" customHeight="1" s="270">
      <c r="A816" s="29" t="n">
        <v>814</v>
      </c>
      <c r="B816" s="29" t="inlineStr">
        <is>
          <t>1</t>
        </is>
      </c>
      <c r="C816" s="30" t="inlineStr">
        <is>
          <t>Human</t>
        </is>
      </c>
      <c r="D816" s="29" t="inlineStr">
        <is>
          <t>Confused</t>
        </is>
      </c>
      <c r="E816" s="29">
        <f>MATCH(D816, {"Waiting for Input","Analyzing Object","Found Object","Needs Help","Confused","None"}, 0) - 1</f>
        <v/>
      </c>
      <c r="F816" s="31" t="inlineStr">
        <is>
          <t>Waiting for Input</t>
        </is>
      </c>
      <c r="G816" s="29">
        <f>MATCH(F816, {"Waiting for Input","Analyzing Object","Found Object","Needs Help","Confused","None"}, 0) - 1</f>
        <v/>
      </c>
      <c r="H816" s="29" t="n">
        <v>5</v>
      </c>
      <c r="I816" s="29">
        <f>IF(E816=G816, 1, 0)</f>
        <v/>
      </c>
    </row>
    <row r="817" ht="22" customHeight="1" s="270">
      <c r="A817" s="29" t="n">
        <v>815</v>
      </c>
      <c r="B817" s="29" t="inlineStr">
        <is>
          <t>1</t>
        </is>
      </c>
      <c r="C817" s="30" t="inlineStr">
        <is>
          <t>Human</t>
        </is>
      </c>
      <c r="D817" s="29" t="inlineStr">
        <is>
          <t>Confused</t>
        </is>
      </c>
      <c r="E817" s="29">
        <f>MATCH(D817, {"Waiting for Input","Analyzing Object","Found Object","Needs Help","Confused","None"}, 0) - 1</f>
        <v/>
      </c>
      <c r="F817" s="31" t="inlineStr">
        <is>
          <t>Waiting for Input</t>
        </is>
      </c>
      <c r="G817" s="29">
        <f>MATCH(F817, {"Waiting for Input","Analyzing Object","Found Object","Needs Help","Confused","None"}, 0) - 1</f>
        <v/>
      </c>
      <c r="H817" s="29" t="n">
        <v>5</v>
      </c>
      <c r="I817" s="29">
        <f>IF(E817=G817, 1, 0)</f>
        <v/>
      </c>
    </row>
    <row r="818" ht="22" customHeight="1" s="270">
      <c r="A818" s="29" t="n">
        <v>816</v>
      </c>
      <c r="B818" s="29" t="inlineStr">
        <is>
          <t>2</t>
        </is>
      </c>
      <c r="C818" s="30" t="inlineStr">
        <is>
          <t>Human</t>
        </is>
      </c>
      <c r="D818" s="29" t="inlineStr">
        <is>
          <t>Confused</t>
        </is>
      </c>
      <c r="E818" s="29">
        <f>MATCH(D818, {"Waiting for Input","Analyzing Object","Found Object","Needs Help","Confused","None"}, 0) - 1</f>
        <v/>
      </c>
      <c r="F818" s="31" t="inlineStr">
        <is>
          <t>Waiting for Input</t>
        </is>
      </c>
      <c r="G818" s="29">
        <f>MATCH(F818, {"Waiting for Input","Analyzing Object","Found Object","Needs Help","Confused","None"}, 0) - 1</f>
        <v/>
      </c>
      <c r="H818" s="29" t="n">
        <v>4</v>
      </c>
      <c r="I818" s="29">
        <f>IF(E818=G818, 1, 0)</f>
        <v/>
      </c>
    </row>
    <row r="819" ht="22" customHeight="1" s="270">
      <c r="A819" s="29" t="n">
        <v>817</v>
      </c>
      <c r="B819" s="29" t="inlineStr">
        <is>
          <t>2</t>
        </is>
      </c>
      <c r="C819" s="30" t="inlineStr">
        <is>
          <t>Human</t>
        </is>
      </c>
      <c r="D819" s="29" t="inlineStr">
        <is>
          <t>Confused</t>
        </is>
      </c>
      <c r="E819" s="29">
        <f>MATCH(D819, {"Waiting for Input","Analyzing Object","Found Object","Needs Help","Confused","None"}, 0) - 1</f>
        <v/>
      </c>
      <c r="F819" s="31" t="inlineStr">
        <is>
          <t>Needs Help</t>
        </is>
      </c>
      <c r="G819" s="29">
        <f>MATCH(F819, {"Waiting for Input","Analyzing Object","Found Object","Needs Help","Confused","None"}, 0) - 1</f>
        <v/>
      </c>
      <c r="H819" s="29" t="n">
        <v>5</v>
      </c>
      <c r="I819" s="29">
        <f>IF(E819=G819, 1, 0)</f>
        <v/>
      </c>
    </row>
    <row r="820" ht="22" customHeight="1" s="270">
      <c r="A820" s="29" t="n">
        <v>818</v>
      </c>
      <c r="B820" s="29" t="inlineStr">
        <is>
          <t>1</t>
        </is>
      </c>
      <c r="C820" s="30" t="inlineStr">
        <is>
          <t>Human</t>
        </is>
      </c>
      <c r="D820" s="29" t="inlineStr">
        <is>
          <t>Confused</t>
        </is>
      </c>
      <c r="E820" s="29">
        <f>MATCH(D820, {"Waiting for Input","Analyzing Object","Found Object","Needs Help","Confused","None"}, 0) - 1</f>
        <v/>
      </c>
      <c r="F820" s="31" t="inlineStr">
        <is>
          <t>Waiting for Input</t>
        </is>
      </c>
      <c r="G820" s="29">
        <f>MATCH(F820, {"Waiting for Input","Analyzing Object","Found Object","Needs Help","Confused","None"}, 0) - 1</f>
        <v/>
      </c>
      <c r="H820" s="29" t="n">
        <v>2</v>
      </c>
      <c r="I820" s="29">
        <f>IF(E820=G820, 1, 0)</f>
        <v/>
      </c>
    </row>
    <row r="821" ht="22" customHeight="1" s="270">
      <c r="A821" s="29" t="n">
        <v>819</v>
      </c>
      <c r="B821" s="29" t="inlineStr">
        <is>
          <t>1</t>
        </is>
      </c>
      <c r="C821" s="30" t="inlineStr">
        <is>
          <t>Human</t>
        </is>
      </c>
      <c r="D821" s="29" t="inlineStr">
        <is>
          <t>Confused</t>
        </is>
      </c>
      <c r="E821" s="29">
        <f>MATCH(D821, {"Waiting for Input","Analyzing Object","Found Object","Needs Help","Confused","None"}, 0) - 1</f>
        <v/>
      </c>
      <c r="F821" s="31" t="inlineStr">
        <is>
          <t>Waiting for Input</t>
        </is>
      </c>
      <c r="G821" s="29">
        <f>MATCH(F821, {"Waiting for Input","Analyzing Object","Found Object","Needs Help","Confused","None"}, 0) - 1</f>
        <v/>
      </c>
      <c r="H821" s="29" t="n">
        <v>5</v>
      </c>
      <c r="I821" s="29">
        <f>IF(E821=G821, 1, 0)</f>
        <v/>
      </c>
    </row>
    <row r="822" ht="22" customHeight="1" s="270">
      <c r="A822" s="29" t="n">
        <v>820</v>
      </c>
      <c r="B822" s="29" t="inlineStr">
        <is>
          <t>1</t>
        </is>
      </c>
      <c r="C822" s="30" t="inlineStr">
        <is>
          <t>Human</t>
        </is>
      </c>
      <c r="D822" s="29" t="inlineStr">
        <is>
          <t>Confused</t>
        </is>
      </c>
      <c r="E822" s="29">
        <f>MATCH(D822, {"Waiting for Input","Analyzing Object","Found Object","Needs Help","Confused","None"}, 0) - 1</f>
        <v/>
      </c>
      <c r="F822" s="31" t="inlineStr">
        <is>
          <t>Waiting for Input</t>
        </is>
      </c>
      <c r="G822" s="29">
        <f>MATCH(F822, {"Waiting for Input","Analyzing Object","Found Object","Needs Help","Confused","None"}, 0) - 1</f>
        <v/>
      </c>
      <c r="H822" s="29" t="n">
        <v>3</v>
      </c>
      <c r="I822" s="29">
        <f>IF(E822=G822, 1, 0)</f>
        <v/>
      </c>
    </row>
    <row r="823" ht="22" customHeight="1" s="270">
      <c r="A823" s="29" t="n">
        <v>821</v>
      </c>
      <c r="B823" s="29" t="inlineStr">
        <is>
          <t>2</t>
        </is>
      </c>
      <c r="C823" s="30" t="inlineStr">
        <is>
          <t>Human</t>
        </is>
      </c>
      <c r="D823" s="29" t="inlineStr">
        <is>
          <t>Confused</t>
        </is>
      </c>
      <c r="E823" s="29">
        <f>MATCH(D823, {"Waiting for Input","Analyzing Object","Found Object","Needs Help","Confused","None"}, 0) - 1</f>
        <v/>
      </c>
      <c r="F823" s="31" t="inlineStr">
        <is>
          <t>Waiting for Input</t>
        </is>
      </c>
      <c r="G823" s="29">
        <f>MATCH(F823, {"Waiting for Input","Analyzing Object","Found Object","Needs Help","Confused","None"}, 0) - 1</f>
        <v/>
      </c>
      <c r="H823" s="29" t="n">
        <v>3</v>
      </c>
      <c r="I823" s="29">
        <f>IF(E823=G823, 1, 0)</f>
        <v/>
      </c>
    </row>
    <row r="824" ht="22" customHeight="1" s="270">
      <c r="A824" s="29" t="n">
        <v>822</v>
      </c>
      <c r="B824" s="29" t="inlineStr">
        <is>
          <t>2</t>
        </is>
      </c>
      <c r="C824" s="30" t="inlineStr">
        <is>
          <t>Human</t>
        </is>
      </c>
      <c r="D824" s="29" t="inlineStr">
        <is>
          <t>Confused</t>
        </is>
      </c>
      <c r="E824" s="29">
        <f>MATCH(D824, {"Waiting for Input","Analyzing Object","Found Object","Needs Help","Confused","None"}, 0) - 1</f>
        <v/>
      </c>
      <c r="F824" s="31" t="inlineStr">
        <is>
          <t>Waiting for Input</t>
        </is>
      </c>
      <c r="G824" s="29">
        <f>MATCH(F824, {"Waiting for Input","Analyzing Object","Found Object","Needs Help","Confused","None"}, 0) - 1</f>
        <v/>
      </c>
      <c r="H824" s="29" t="n">
        <v>5</v>
      </c>
      <c r="I824" s="29">
        <f>IF(E824=G824, 1, 0)</f>
        <v/>
      </c>
    </row>
    <row r="825" ht="22" customHeight="1" s="270">
      <c r="A825" s="29" t="n">
        <v>823</v>
      </c>
      <c r="B825" s="29" t="inlineStr">
        <is>
          <t>2</t>
        </is>
      </c>
      <c r="C825" s="30" t="inlineStr">
        <is>
          <t>Human</t>
        </is>
      </c>
      <c r="D825" s="29" t="inlineStr">
        <is>
          <t>Confused</t>
        </is>
      </c>
      <c r="E825" s="29">
        <f>MATCH(D825, {"Waiting for Input","Analyzing Object","Found Object","Needs Help","Confused","None"}, 0) - 1</f>
        <v/>
      </c>
      <c r="F825" s="31" t="inlineStr">
        <is>
          <t>Needs Help</t>
        </is>
      </c>
      <c r="G825" s="29">
        <f>MATCH(F825, {"Waiting for Input","Analyzing Object","Found Object","Needs Help","Confused","None"}, 0) - 1</f>
        <v/>
      </c>
      <c r="H825" s="29" t="n">
        <v>1</v>
      </c>
      <c r="I825" s="29">
        <f>IF(E825=G825, 1, 0)</f>
        <v/>
      </c>
    </row>
    <row r="826" ht="22" customHeight="1" s="270">
      <c r="A826" s="29" t="n">
        <v>824</v>
      </c>
      <c r="B826" s="29" t="inlineStr">
        <is>
          <t>2</t>
        </is>
      </c>
      <c r="C826" s="30" t="inlineStr">
        <is>
          <t>Human</t>
        </is>
      </c>
      <c r="D826" s="29" t="inlineStr">
        <is>
          <t>Confused</t>
        </is>
      </c>
      <c r="E826" s="29">
        <f>MATCH(D826, {"Waiting for Input","Analyzing Object","Found Object","Needs Help","Confused","None"}, 0) - 1</f>
        <v/>
      </c>
      <c r="F826" s="31" t="inlineStr">
        <is>
          <t>Confused</t>
        </is>
      </c>
      <c r="G826" s="29">
        <f>MATCH(F826, {"Waiting for Input","Analyzing Object","Found Object","Needs Help","Confused","None"}, 0) - 1</f>
        <v/>
      </c>
      <c r="H826" s="29" t="n">
        <v>3</v>
      </c>
      <c r="I826" s="29">
        <f>IF(E826=G826, 1, 0)</f>
        <v/>
      </c>
    </row>
    <row r="827" ht="22" customHeight="1" s="270">
      <c r="A827" s="29" t="n">
        <v>825</v>
      </c>
      <c r="B827" s="29" t="inlineStr">
        <is>
          <t>2</t>
        </is>
      </c>
      <c r="C827" s="30" t="inlineStr">
        <is>
          <t>Human</t>
        </is>
      </c>
      <c r="D827" s="29" t="inlineStr">
        <is>
          <t>Confused</t>
        </is>
      </c>
      <c r="E827" s="29">
        <f>MATCH(D827, {"Waiting for Input","Analyzing Object","Found Object","Needs Help","Confused","None"}, 0) - 1</f>
        <v/>
      </c>
      <c r="F827" s="31" t="inlineStr">
        <is>
          <t>Confused</t>
        </is>
      </c>
      <c r="G827" s="29">
        <f>MATCH(F827, {"Waiting for Input","Analyzing Object","Found Object","Needs Help","Confused","None"}, 0) - 1</f>
        <v/>
      </c>
      <c r="H827" s="29" t="n">
        <v>3</v>
      </c>
      <c r="I827" s="29">
        <f>IF(E827=G827, 1, 0)</f>
        <v/>
      </c>
    </row>
    <row r="828" ht="22" customHeight="1" s="270">
      <c r="A828" s="29" t="n">
        <v>826</v>
      </c>
      <c r="B828" s="29" t="inlineStr">
        <is>
          <t>2</t>
        </is>
      </c>
      <c r="C828" s="30" t="inlineStr">
        <is>
          <t>Human</t>
        </is>
      </c>
      <c r="D828" s="29" t="inlineStr">
        <is>
          <t>Confused</t>
        </is>
      </c>
      <c r="E828" s="29">
        <f>MATCH(D828, {"Waiting for Input","Analyzing Object","Found Object","Needs Help","Confused","None"}, 0) - 1</f>
        <v/>
      </c>
      <c r="F828" s="31" t="inlineStr">
        <is>
          <t>Waiting for Input</t>
        </is>
      </c>
      <c r="G828" s="29">
        <f>MATCH(F828, {"Waiting for Input","Analyzing Object","Found Object","Needs Help","Confused","None"}, 0) - 1</f>
        <v/>
      </c>
      <c r="H828" s="29" t="n">
        <v>3</v>
      </c>
      <c r="I828" s="29">
        <f>IF(E828=G828, 1, 0)</f>
        <v/>
      </c>
    </row>
    <row r="829" ht="22" customHeight="1" s="270">
      <c r="A829" s="29" t="n">
        <v>827</v>
      </c>
      <c r="B829" s="29" t="inlineStr">
        <is>
          <t>2</t>
        </is>
      </c>
      <c r="C829" s="30" t="inlineStr">
        <is>
          <t>Human</t>
        </is>
      </c>
      <c r="D829" s="29" t="inlineStr">
        <is>
          <t>Confused</t>
        </is>
      </c>
      <c r="E829" s="29">
        <f>MATCH(D829, {"Waiting for Input","Analyzing Object","Found Object","Needs Help","Confused","None"}, 0) - 1</f>
        <v/>
      </c>
      <c r="F829" s="31" t="inlineStr">
        <is>
          <t>Waiting for Input</t>
        </is>
      </c>
      <c r="G829" s="29">
        <f>MATCH(F829, {"Waiting for Input","Analyzing Object","Found Object","Needs Help","Confused","None"}, 0) - 1</f>
        <v/>
      </c>
      <c r="H829" s="29" t="n">
        <v>2</v>
      </c>
      <c r="I829" s="29">
        <f>IF(E829=G829, 1, 0)</f>
        <v/>
      </c>
    </row>
    <row r="830" ht="22" customHeight="1" s="270">
      <c r="A830" s="29" t="n">
        <v>828</v>
      </c>
      <c r="B830" s="29" t="inlineStr">
        <is>
          <t>2</t>
        </is>
      </c>
      <c r="C830" s="30" t="inlineStr">
        <is>
          <t>Human</t>
        </is>
      </c>
      <c r="D830" s="29" t="inlineStr">
        <is>
          <t>Confused</t>
        </is>
      </c>
      <c r="E830" s="29">
        <f>MATCH(D830, {"Waiting for Input","Analyzing Object","Found Object","Needs Help","Confused","None"}, 0) - 1</f>
        <v/>
      </c>
      <c r="F830" s="31" t="inlineStr">
        <is>
          <t>Waiting for Input</t>
        </is>
      </c>
      <c r="G830" s="29">
        <f>MATCH(F830, {"Waiting for Input","Analyzing Object","Found Object","Needs Help","Confused","None"}, 0) - 1</f>
        <v/>
      </c>
      <c r="H830" s="29" t="n">
        <v>2</v>
      </c>
      <c r="I830" s="29">
        <f>IF(E830=G830, 1, 0)</f>
        <v/>
      </c>
    </row>
    <row r="831" ht="22" customHeight="1" s="270">
      <c r="A831" s="29" t="n">
        <v>829</v>
      </c>
      <c r="B831" s="29" t="inlineStr">
        <is>
          <t>2</t>
        </is>
      </c>
      <c r="C831" s="30" t="inlineStr">
        <is>
          <t>Human</t>
        </is>
      </c>
      <c r="D831" s="29" t="inlineStr">
        <is>
          <t>Confused</t>
        </is>
      </c>
      <c r="E831" s="29">
        <f>MATCH(D831, {"Waiting for Input","Analyzing Object","Found Object","Needs Help","Confused","None"}, 0) - 1</f>
        <v/>
      </c>
      <c r="F831" s="31" t="inlineStr">
        <is>
          <t>Waiting for Input</t>
        </is>
      </c>
      <c r="G831" s="29">
        <f>MATCH(F831, {"Waiting for Input","Analyzing Object","Found Object","Needs Help","Confused","None"}, 0) - 1</f>
        <v/>
      </c>
      <c r="H831" s="29" t="n">
        <v>4</v>
      </c>
      <c r="I831" s="29">
        <f>IF(E831=G831, 1, 0)</f>
        <v/>
      </c>
    </row>
    <row r="832" ht="22" customHeight="1" s="270">
      <c r="A832" s="29" t="n">
        <v>830</v>
      </c>
      <c r="B832" s="29" t="inlineStr">
        <is>
          <t>2</t>
        </is>
      </c>
      <c r="C832" s="30" t="inlineStr">
        <is>
          <t>Human</t>
        </is>
      </c>
      <c r="D832" s="29" t="inlineStr">
        <is>
          <t>Confused</t>
        </is>
      </c>
      <c r="E832" s="29">
        <f>MATCH(D832, {"Waiting for Input","Analyzing Object","Found Object","Needs Help","Confused","None"}, 0) - 1</f>
        <v/>
      </c>
      <c r="F832" s="31" t="inlineStr">
        <is>
          <t>Waiting for Input</t>
        </is>
      </c>
      <c r="G832" s="29">
        <f>MATCH(F832, {"Waiting for Input","Analyzing Object","Found Object","Needs Help","Confused","None"}, 0) - 1</f>
        <v/>
      </c>
      <c r="H832" s="29" t="n">
        <v>3</v>
      </c>
      <c r="I832" s="29">
        <f>IF(E832=G832, 1, 0)</f>
        <v/>
      </c>
    </row>
    <row r="833" ht="22" customHeight="1" s="270">
      <c r="A833" s="29" t="n">
        <v>831</v>
      </c>
      <c r="B833" s="29" t="inlineStr">
        <is>
          <t>1</t>
        </is>
      </c>
      <c r="C833" s="30" t="inlineStr">
        <is>
          <t>Human</t>
        </is>
      </c>
      <c r="D833" s="29" t="inlineStr">
        <is>
          <t>Confused</t>
        </is>
      </c>
      <c r="E833" s="29">
        <f>MATCH(D833, {"Waiting for Input","Analyzing Object","Found Object","Needs Help","Confused","None"}, 0) - 1</f>
        <v/>
      </c>
      <c r="F833" s="31" t="inlineStr">
        <is>
          <t>Confused</t>
        </is>
      </c>
      <c r="G833" s="29">
        <f>MATCH(F833, {"Waiting for Input","Analyzing Object","Found Object","Needs Help","Confused","None"}, 0) - 1</f>
        <v/>
      </c>
      <c r="H833" s="29" t="n">
        <v>4</v>
      </c>
      <c r="I833" s="29">
        <f>IF(E833=G833, 1, 0)</f>
        <v/>
      </c>
    </row>
    <row r="834" ht="22" customHeight="1" s="270">
      <c r="A834" s="29" t="n">
        <v>832</v>
      </c>
      <c r="B834" s="29" t="inlineStr">
        <is>
          <t>2</t>
        </is>
      </c>
      <c r="C834" s="30" t="inlineStr">
        <is>
          <t>Human</t>
        </is>
      </c>
      <c r="D834" s="29" t="inlineStr">
        <is>
          <t>Confused</t>
        </is>
      </c>
      <c r="E834" s="29">
        <f>MATCH(D834, {"Waiting for Input","Analyzing Object","Found Object","Needs Help","Confused","None"}, 0) - 1</f>
        <v/>
      </c>
      <c r="F834" s="31" t="inlineStr">
        <is>
          <t>Waiting for Input</t>
        </is>
      </c>
      <c r="G834" s="29">
        <f>MATCH(F834, {"Waiting for Input","Analyzing Object","Found Object","Needs Help","Confused","None"}, 0) - 1</f>
        <v/>
      </c>
      <c r="H834" s="29" t="n">
        <v>5</v>
      </c>
      <c r="I834" s="29">
        <f>IF(E834=G834, 1, 0)</f>
        <v/>
      </c>
    </row>
    <row r="835" ht="22" customHeight="1" s="270">
      <c r="A835" s="29" t="n">
        <v>833</v>
      </c>
      <c r="B835" s="29" t="inlineStr">
        <is>
          <t>2</t>
        </is>
      </c>
      <c r="C835" s="30" t="inlineStr">
        <is>
          <t>Human</t>
        </is>
      </c>
      <c r="D835" s="29" t="inlineStr">
        <is>
          <t>Confused</t>
        </is>
      </c>
      <c r="E835" s="29">
        <f>MATCH(D835, {"Waiting for Input","Analyzing Object","Found Object","Needs Help","Confused","None"}, 0) - 1</f>
        <v/>
      </c>
      <c r="F835" s="31" t="inlineStr">
        <is>
          <t>Waiting for Input</t>
        </is>
      </c>
      <c r="G835" s="29">
        <f>MATCH(F835, {"Waiting for Input","Analyzing Object","Found Object","Needs Help","Confused","None"}, 0) - 1</f>
        <v/>
      </c>
      <c r="H835" s="29" t="n">
        <v>5</v>
      </c>
      <c r="I835" s="29">
        <f>IF(E835=G835, 1, 0)</f>
        <v/>
      </c>
    </row>
    <row r="836" ht="22" customHeight="1" s="270">
      <c r="A836" s="29" t="n">
        <v>834</v>
      </c>
      <c r="B836" s="29" t="inlineStr">
        <is>
          <t>1</t>
        </is>
      </c>
      <c r="C836" s="30" t="inlineStr">
        <is>
          <t>Human</t>
        </is>
      </c>
      <c r="D836" s="29" t="inlineStr">
        <is>
          <t>Confused</t>
        </is>
      </c>
      <c r="E836" s="29">
        <f>MATCH(D836, {"Waiting for Input","Analyzing Object","Found Object","Needs Help","Confused","None"}, 0) - 1</f>
        <v/>
      </c>
      <c r="F836" s="31" t="inlineStr">
        <is>
          <t>Confused</t>
        </is>
      </c>
      <c r="G836" s="29">
        <f>MATCH(F836, {"Waiting for Input","Analyzing Object","Found Object","Needs Help","Confused","None"}, 0) - 1</f>
        <v/>
      </c>
      <c r="H836" s="29" t="n">
        <v>3</v>
      </c>
      <c r="I836" s="29">
        <f>IF(E836=G836, 1, 0)</f>
        <v/>
      </c>
    </row>
    <row r="837" ht="22" customHeight="1" s="270">
      <c r="A837" s="29" t="n">
        <v>835</v>
      </c>
      <c r="B837" s="29" t="inlineStr">
        <is>
          <t>2</t>
        </is>
      </c>
      <c r="C837" s="30" t="inlineStr">
        <is>
          <t>Human</t>
        </is>
      </c>
      <c r="D837" s="29" t="inlineStr">
        <is>
          <t>Confused</t>
        </is>
      </c>
      <c r="E837" s="29">
        <f>MATCH(D837, {"Waiting for Input","Analyzing Object","Found Object","Needs Help","Confused","None"}, 0) - 1</f>
        <v/>
      </c>
      <c r="F837" s="31" t="inlineStr">
        <is>
          <t>Waiting for Input</t>
        </is>
      </c>
      <c r="G837" s="29">
        <f>MATCH(F837, {"Waiting for Input","Analyzing Object","Found Object","Needs Help","Confused","None"}, 0) - 1</f>
        <v/>
      </c>
      <c r="H837" s="29" t="n">
        <v>1</v>
      </c>
      <c r="I837" s="29">
        <f>IF(E837=G837, 1, 0)</f>
        <v/>
      </c>
    </row>
    <row r="838" ht="22" customHeight="1" s="270">
      <c r="A838" s="29" t="n">
        <v>836</v>
      </c>
      <c r="B838" s="29" t="inlineStr">
        <is>
          <t>2</t>
        </is>
      </c>
      <c r="C838" s="30" t="inlineStr">
        <is>
          <t>Human</t>
        </is>
      </c>
      <c r="D838" s="29" t="inlineStr">
        <is>
          <t>Confused</t>
        </is>
      </c>
      <c r="E838" s="29">
        <f>MATCH(D838, {"Waiting for Input","Analyzing Object","Found Object","Needs Help","Confused","None"}, 0) - 1</f>
        <v/>
      </c>
      <c r="F838" s="31" t="inlineStr">
        <is>
          <t>Waiting for Input</t>
        </is>
      </c>
      <c r="G838" s="29">
        <f>MATCH(F838, {"Waiting for Input","Analyzing Object","Found Object","Needs Help","Confused","None"}, 0) - 1</f>
        <v/>
      </c>
      <c r="H838" s="29" t="n">
        <v>3</v>
      </c>
      <c r="I838" s="29">
        <f>IF(E838=G838, 1, 0)</f>
        <v/>
      </c>
    </row>
    <row r="839" ht="22" customHeight="1" s="270">
      <c r="A839" s="29" t="n">
        <v>837</v>
      </c>
      <c r="B839" s="29" t="inlineStr">
        <is>
          <t>2</t>
        </is>
      </c>
      <c r="C839" s="30" t="inlineStr">
        <is>
          <t>Human</t>
        </is>
      </c>
      <c r="D839" s="29" t="inlineStr">
        <is>
          <t>Confused</t>
        </is>
      </c>
      <c r="E839" s="29">
        <f>MATCH(D839, {"Waiting for Input","Analyzing Object","Found Object","Needs Help","Confused","None"}, 0) - 1</f>
        <v/>
      </c>
      <c r="F839" s="31" t="inlineStr">
        <is>
          <t>Found Object</t>
        </is>
      </c>
      <c r="G839" s="29">
        <f>MATCH(F839, {"Waiting for Input","Analyzing Object","Found Object","Needs Help","Confused","None"}, 0) - 1</f>
        <v/>
      </c>
      <c r="H839" s="29" t="n">
        <v>2</v>
      </c>
      <c r="I839" s="29">
        <f>IF(E839=G839, 1, 0)</f>
        <v/>
      </c>
    </row>
    <row r="840" ht="22" customHeight="1" s="270">
      <c r="A840" s="29" t="n">
        <v>838</v>
      </c>
      <c r="B840" s="29" t="inlineStr">
        <is>
          <t>1</t>
        </is>
      </c>
      <c r="C840" s="30" t="inlineStr">
        <is>
          <t>Human</t>
        </is>
      </c>
      <c r="D840" s="29" t="inlineStr">
        <is>
          <t>Confused</t>
        </is>
      </c>
      <c r="E840" s="29">
        <f>MATCH(D840, {"Waiting for Input","Analyzing Object","Found Object","Needs Help","Confused","None"}, 0) - 1</f>
        <v/>
      </c>
      <c r="F840" s="31" t="inlineStr">
        <is>
          <t>Confused</t>
        </is>
      </c>
      <c r="G840" s="29">
        <f>MATCH(F840, {"Waiting for Input","Analyzing Object","Found Object","Needs Help","Confused","None"}, 0) - 1</f>
        <v/>
      </c>
      <c r="H840" s="29" t="n">
        <v>5</v>
      </c>
      <c r="I840" s="29">
        <f>IF(E840=G840, 1, 0)</f>
        <v/>
      </c>
    </row>
    <row r="841" ht="22" customHeight="1" s="270">
      <c r="A841" s="29" t="n">
        <v>839</v>
      </c>
      <c r="B841" s="29" t="inlineStr">
        <is>
          <t>2</t>
        </is>
      </c>
      <c r="C841" s="30" t="inlineStr">
        <is>
          <t>Human</t>
        </is>
      </c>
      <c r="D841" s="29" t="inlineStr">
        <is>
          <t>Confused</t>
        </is>
      </c>
      <c r="E841" s="29">
        <f>MATCH(D841, {"Waiting for Input","Analyzing Object","Found Object","Needs Help","Confused","None"}, 0) - 1</f>
        <v/>
      </c>
      <c r="F841" s="31" t="inlineStr">
        <is>
          <t>Waiting for Input</t>
        </is>
      </c>
      <c r="G841" s="29">
        <f>MATCH(F841, {"Waiting for Input","Analyzing Object","Found Object","Needs Help","Confused","None"}, 0) - 1</f>
        <v/>
      </c>
      <c r="H841" s="29" t="n">
        <v>3</v>
      </c>
      <c r="I841" s="29">
        <f>IF(E841=G841, 1, 0)</f>
        <v/>
      </c>
    </row>
    <row r="842" ht="22" customHeight="1" s="270">
      <c r="A842" s="29" t="n">
        <v>840</v>
      </c>
      <c r="B842" s="29" t="inlineStr">
        <is>
          <t>1</t>
        </is>
      </c>
      <c r="C842" s="30" t="inlineStr">
        <is>
          <t>Random</t>
        </is>
      </c>
      <c r="D842" s="29" t="inlineStr">
        <is>
          <t>Confused</t>
        </is>
      </c>
      <c r="E842" s="29">
        <f>MATCH(D842, {"Waiting for Input","Analyzing Object","Found Object","Needs Help","Confused","None"}, 0) - 1</f>
        <v/>
      </c>
      <c r="F842" s="31" t="inlineStr">
        <is>
          <t>Needs Help</t>
        </is>
      </c>
      <c r="G842" s="29">
        <f>MATCH(F842, {"Waiting for Input","Analyzing Object","Found Object","Needs Help","Confused","None"}, 0) - 1</f>
        <v/>
      </c>
      <c r="H842" s="29" t="n">
        <v>3</v>
      </c>
      <c r="I842" s="29">
        <f>IF(E842=G842, 1, 0)</f>
        <v/>
      </c>
    </row>
    <row r="843" ht="22" customHeight="1" s="270">
      <c r="A843" s="29" t="n">
        <v>841</v>
      </c>
      <c r="B843" s="29" t="inlineStr">
        <is>
          <t>1</t>
        </is>
      </c>
      <c r="C843" s="30" t="inlineStr">
        <is>
          <t>Random</t>
        </is>
      </c>
      <c r="D843" s="29" t="inlineStr">
        <is>
          <t>Confused</t>
        </is>
      </c>
      <c r="E843" s="29">
        <f>MATCH(D843, {"Waiting for Input","Analyzing Object","Found Object","Needs Help","Confused","None"}, 0) - 1</f>
        <v/>
      </c>
      <c r="F843" s="31" t="inlineStr">
        <is>
          <t>Needs Help</t>
        </is>
      </c>
      <c r="G843" s="29">
        <f>MATCH(F843, {"Waiting for Input","Analyzing Object","Found Object","Needs Help","Confused","None"}, 0) - 1</f>
        <v/>
      </c>
      <c r="H843" s="29" t="n">
        <v>2</v>
      </c>
      <c r="I843" s="29">
        <f>IF(E843=G843, 1, 0)</f>
        <v/>
      </c>
    </row>
    <row r="844" ht="22" customHeight="1" s="270">
      <c r="A844" s="29" t="n">
        <v>842</v>
      </c>
      <c r="B844" s="29" t="inlineStr">
        <is>
          <t>1</t>
        </is>
      </c>
      <c r="C844" s="30" t="inlineStr">
        <is>
          <t>Random</t>
        </is>
      </c>
      <c r="D844" s="29" t="inlineStr">
        <is>
          <t>Confused</t>
        </is>
      </c>
      <c r="E844" s="29">
        <f>MATCH(D844, {"Waiting for Input","Analyzing Object","Found Object","Needs Help","Confused","None"}, 0) - 1</f>
        <v/>
      </c>
      <c r="F844" s="31" t="inlineStr">
        <is>
          <t>Needs Help</t>
        </is>
      </c>
      <c r="G844" s="29">
        <f>MATCH(F844, {"Waiting for Input","Analyzing Object","Found Object","Needs Help","Confused","None"}, 0) - 1</f>
        <v/>
      </c>
      <c r="H844" s="29" t="n">
        <v>1</v>
      </c>
      <c r="I844" s="29">
        <f>IF(E844=G844, 1, 0)</f>
        <v/>
      </c>
    </row>
    <row r="845" ht="22" customHeight="1" s="270">
      <c r="A845" s="29" t="n">
        <v>843</v>
      </c>
      <c r="B845" s="29" t="inlineStr">
        <is>
          <t>2</t>
        </is>
      </c>
      <c r="C845" s="30" t="inlineStr">
        <is>
          <t>Random</t>
        </is>
      </c>
      <c r="D845" s="29" t="inlineStr">
        <is>
          <t>Confused</t>
        </is>
      </c>
      <c r="E845" s="29">
        <f>MATCH(D845, {"Waiting for Input","Analyzing Object","Found Object","Needs Help","Confused","None"}, 0) - 1</f>
        <v/>
      </c>
      <c r="F845" s="31" t="inlineStr">
        <is>
          <t>Needs Help</t>
        </is>
      </c>
      <c r="G845" s="29">
        <f>MATCH(F845, {"Waiting for Input","Analyzing Object","Found Object","Needs Help","Confused","None"}, 0) - 1</f>
        <v/>
      </c>
      <c r="H845" s="29" t="n">
        <v>3</v>
      </c>
      <c r="I845" s="29">
        <f>IF(E845=G845, 1, 0)</f>
        <v/>
      </c>
    </row>
    <row r="846" ht="22" customHeight="1" s="270">
      <c r="A846" s="29" t="n">
        <v>844</v>
      </c>
      <c r="B846" s="29" t="inlineStr">
        <is>
          <t>2</t>
        </is>
      </c>
      <c r="C846" s="30" t="inlineStr">
        <is>
          <t>Random</t>
        </is>
      </c>
      <c r="D846" s="29" t="inlineStr">
        <is>
          <t>Confused</t>
        </is>
      </c>
      <c r="E846" s="29">
        <f>MATCH(D846, {"Waiting for Input","Analyzing Object","Found Object","Needs Help","Confused","None"}, 0) - 1</f>
        <v/>
      </c>
      <c r="F846" s="31" t="inlineStr">
        <is>
          <t>Waiting for Input</t>
        </is>
      </c>
      <c r="G846" s="29">
        <f>MATCH(F846, {"Waiting for Input","Analyzing Object","Found Object","Needs Help","Confused","None"}, 0) - 1</f>
        <v/>
      </c>
      <c r="H846" s="29" t="n">
        <v>3</v>
      </c>
      <c r="I846" s="29">
        <f>IF(E846=G846, 1, 0)</f>
        <v/>
      </c>
    </row>
    <row r="847" ht="22" customHeight="1" s="270">
      <c r="A847" s="29" t="n">
        <v>845</v>
      </c>
      <c r="B847" s="29" t="inlineStr">
        <is>
          <t>1</t>
        </is>
      </c>
      <c r="C847" s="30" t="inlineStr">
        <is>
          <t>Random</t>
        </is>
      </c>
      <c r="D847" s="29" t="inlineStr">
        <is>
          <t>Confused</t>
        </is>
      </c>
      <c r="E847" s="29">
        <f>MATCH(D847, {"Waiting for Input","Analyzing Object","Found Object","Needs Help","Confused","None"}, 0) - 1</f>
        <v/>
      </c>
      <c r="F847" s="31" t="inlineStr">
        <is>
          <t>Waiting for Input</t>
        </is>
      </c>
      <c r="G847" s="29">
        <f>MATCH(F847, {"Waiting for Input","Analyzing Object","Found Object","Needs Help","Confused","None"}, 0) - 1</f>
        <v/>
      </c>
      <c r="H847" s="29" t="n">
        <v>5</v>
      </c>
      <c r="I847" s="29">
        <f>IF(E847=G847, 1, 0)</f>
        <v/>
      </c>
    </row>
    <row r="848" ht="22" customHeight="1" s="270">
      <c r="A848" s="29" t="n">
        <v>846</v>
      </c>
      <c r="B848" s="29" t="inlineStr">
        <is>
          <t>2</t>
        </is>
      </c>
      <c r="C848" s="30" t="inlineStr">
        <is>
          <t>Random</t>
        </is>
      </c>
      <c r="D848" s="29" t="inlineStr">
        <is>
          <t>Confused</t>
        </is>
      </c>
      <c r="E848" s="29">
        <f>MATCH(D848, {"Waiting for Input","Analyzing Object","Found Object","Needs Help","Confused","None"}, 0) - 1</f>
        <v/>
      </c>
      <c r="F848" s="31" t="inlineStr">
        <is>
          <t>Needs Help</t>
        </is>
      </c>
      <c r="G848" s="29">
        <f>MATCH(F848, {"Waiting for Input","Analyzing Object","Found Object","Needs Help","Confused","None"}, 0) - 1</f>
        <v/>
      </c>
      <c r="H848" s="29" t="n">
        <v>3</v>
      </c>
      <c r="I848" s="29">
        <f>IF(E848=G848, 1, 0)</f>
        <v/>
      </c>
    </row>
    <row r="849" ht="22" customHeight="1" s="270">
      <c r="A849" s="29" t="n">
        <v>847</v>
      </c>
      <c r="B849" s="29" t="inlineStr">
        <is>
          <t>1</t>
        </is>
      </c>
      <c r="C849" s="30" t="inlineStr">
        <is>
          <t>Random</t>
        </is>
      </c>
      <c r="D849" s="29" t="inlineStr">
        <is>
          <t>Confused</t>
        </is>
      </c>
      <c r="E849" s="29">
        <f>MATCH(D849, {"Waiting for Input","Analyzing Object","Found Object","Needs Help","Confused","None"}, 0) - 1</f>
        <v/>
      </c>
      <c r="F849" s="31" t="inlineStr">
        <is>
          <t>Needs Help</t>
        </is>
      </c>
      <c r="G849" s="29">
        <f>MATCH(F849, {"Waiting for Input","Analyzing Object","Found Object","Needs Help","Confused","None"}, 0) - 1</f>
        <v/>
      </c>
      <c r="H849" s="29" t="n">
        <v>3</v>
      </c>
      <c r="I849" s="29">
        <f>IF(E849=G849, 1, 0)</f>
        <v/>
      </c>
    </row>
    <row r="850" ht="22" customHeight="1" s="270">
      <c r="A850" s="29" t="n">
        <v>848</v>
      </c>
      <c r="B850" s="29" t="inlineStr">
        <is>
          <t>1</t>
        </is>
      </c>
      <c r="C850" s="30" t="inlineStr">
        <is>
          <t>Random</t>
        </is>
      </c>
      <c r="D850" s="29" t="inlineStr">
        <is>
          <t>Confused</t>
        </is>
      </c>
      <c r="E850" s="29">
        <f>MATCH(D850, {"Waiting for Input","Analyzing Object","Found Object","Needs Help","Confused","None"}, 0) - 1</f>
        <v/>
      </c>
      <c r="F850" s="31" t="inlineStr">
        <is>
          <t>Found Object</t>
        </is>
      </c>
      <c r="G850" s="29">
        <f>MATCH(F850, {"Waiting for Input","Analyzing Object","Found Object","Needs Help","Confused","None"}, 0) - 1</f>
        <v/>
      </c>
      <c r="H850" s="29" t="n">
        <v>1</v>
      </c>
      <c r="I850" s="29">
        <f>IF(E850=G850, 1, 0)</f>
        <v/>
      </c>
    </row>
    <row r="851" ht="22" customHeight="1" s="270">
      <c r="A851" s="29" t="n">
        <v>849</v>
      </c>
      <c r="B851" s="29" t="inlineStr">
        <is>
          <t>1</t>
        </is>
      </c>
      <c r="C851" s="30" t="inlineStr">
        <is>
          <t>Random</t>
        </is>
      </c>
      <c r="D851" s="29" t="inlineStr">
        <is>
          <t>Confused</t>
        </is>
      </c>
      <c r="E851" s="29">
        <f>MATCH(D851, {"Waiting for Input","Analyzing Object","Found Object","Needs Help","Confused","None"}, 0) - 1</f>
        <v/>
      </c>
      <c r="F851" s="31" t="inlineStr">
        <is>
          <t>Needs Help</t>
        </is>
      </c>
      <c r="G851" s="29">
        <f>MATCH(F851, {"Waiting for Input","Analyzing Object","Found Object","Needs Help","Confused","None"}, 0) - 1</f>
        <v/>
      </c>
      <c r="H851" s="29" t="n">
        <v>2</v>
      </c>
      <c r="I851" s="29">
        <f>IF(E851=G851, 1, 0)</f>
        <v/>
      </c>
    </row>
    <row r="852" ht="22" customHeight="1" s="270">
      <c r="A852" s="29" t="n">
        <v>850</v>
      </c>
      <c r="B852" s="29" t="inlineStr">
        <is>
          <t>2</t>
        </is>
      </c>
      <c r="C852" s="30" t="inlineStr">
        <is>
          <t>Random</t>
        </is>
      </c>
      <c r="D852" s="29" t="inlineStr">
        <is>
          <t>Confused</t>
        </is>
      </c>
      <c r="E852" s="29">
        <f>MATCH(D852, {"Waiting for Input","Analyzing Object","Found Object","Needs Help","Confused","None"}, 0) - 1</f>
        <v/>
      </c>
      <c r="F852" s="31" t="inlineStr">
        <is>
          <t>Needs Help</t>
        </is>
      </c>
      <c r="G852" s="29">
        <f>MATCH(F852, {"Waiting for Input","Analyzing Object","Found Object","Needs Help","Confused","None"}, 0) - 1</f>
        <v/>
      </c>
      <c r="H852" s="29" t="n">
        <v>3</v>
      </c>
      <c r="I852" s="29">
        <f>IF(E852=G852, 1, 0)</f>
        <v/>
      </c>
    </row>
    <row r="853" ht="22" customHeight="1" s="270">
      <c r="A853" s="29" t="n">
        <v>851</v>
      </c>
      <c r="B853" s="29" t="inlineStr">
        <is>
          <t>2</t>
        </is>
      </c>
      <c r="C853" s="30" t="inlineStr">
        <is>
          <t>Random</t>
        </is>
      </c>
      <c r="D853" s="29" t="inlineStr">
        <is>
          <t>Confused</t>
        </is>
      </c>
      <c r="E853" s="29">
        <f>MATCH(D853, {"Waiting for Input","Analyzing Object","Found Object","Needs Help","Confused","None"}, 0) - 1</f>
        <v/>
      </c>
      <c r="F853" s="31" t="inlineStr">
        <is>
          <t>Confused</t>
        </is>
      </c>
      <c r="G853" s="29">
        <f>MATCH(F853, {"Waiting for Input","Analyzing Object","Found Object","Needs Help","Confused","None"}, 0) - 1</f>
        <v/>
      </c>
      <c r="H853" s="29" t="n">
        <v>3</v>
      </c>
      <c r="I853" s="29">
        <f>IF(E853=G853, 1, 0)</f>
        <v/>
      </c>
    </row>
    <row r="854" ht="22" customHeight="1" s="270">
      <c r="A854" s="29" t="n">
        <v>852</v>
      </c>
      <c r="B854" s="29" t="inlineStr">
        <is>
          <t>2</t>
        </is>
      </c>
      <c r="C854" s="30" t="inlineStr">
        <is>
          <t>Random</t>
        </is>
      </c>
      <c r="D854" s="29" t="inlineStr">
        <is>
          <t>Confused</t>
        </is>
      </c>
      <c r="E854" s="29">
        <f>MATCH(D854, {"Waiting for Input","Analyzing Object","Found Object","Needs Help","Confused","None"}, 0) - 1</f>
        <v/>
      </c>
      <c r="F854" s="31" t="inlineStr">
        <is>
          <t>Needs Help</t>
        </is>
      </c>
      <c r="G854" s="29">
        <f>MATCH(F854, {"Waiting for Input","Analyzing Object","Found Object","Needs Help","Confused","None"}, 0) - 1</f>
        <v/>
      </c>
      <c r="H854" s="29" t="n">
        <v>3</v>
      </c>
      <c r="I854" s="29">
        <f>IF(E854=G854, 1, 0)</f>
        <v/>
      </c>
    </row>
    <row r="855" ht="22" customHeight="1" s="270">
      <c r="A855" s="29" t="n">
        <v>853</v>
      </c>
      <c r="B855" s="29" t="inlineStr">
        <is>
          <t>2</t>
        </is>
      </c>
      <c r="C855" s="30" t="inlineStr">
        <is>
          <t>Random</t>
        </is>
      </c>
      <c r="D855" s="29" t="inlineStr">
        <is>
          <t>Confused</t>
        </is>
      </c>
      <c r="E855" s="29">
        <f>MATCH(D855, {"Waiting for Input","Analyzing Object","Found Object","Needs Help","Confused","None"}, 0) - 1</f>
        <v/>
      </c>
      <c r="F855" s="31" t="inlineStr">
        <is>
          <t>Needs Help</t>
        </is>
      </c>
      <c r="G855" s="29">
        <f>MATCH(F855, {"Waiting for Input","Analyzing Object","Found Object","Needs Help","Confused","None"}, 0) - 1</f>
        <v/>
      </c>
      <c r="H855" s="29" t="n">
        <v>3</v>
      </c>
      <c r="I855" s="29">
        <f>IF(E855=G855, 1, 0)</f>
        <v/>
      </c>
    </row>
    <row r="856" ht="22" customHeight="1" s="270">
      <c r="A856" s="29" t="n">
        <v>854</v>
      </c>
      <c r="B856" s="29" t="inlineStr">
        <is>
          <t>1</t>
        </is>
      </c>
      <c r="C856" s="30" t="inlineStr">
        <is>
          <t>Random</t>
        </is>
      </c>
      <c r="D856" s="29" t="inlineStr">
        <is>
          <t>Confused</t>
        </is>
      </c>
      <c r="E856" s="29">
        <f>MATCH(D856, {"Waiting for Input","Analyzing Object","Found Object","Needs Help","Confused","None"}, 0) - 1</f>
        <v/>
      </c>
      <c r="F856" s="31" t="inlineStr">
        <is>
          <t>Needs Help</t>
        </is>
      </c>
      <c r="G856" s="29">
        <f>MATCH(F856, {"Waiting for Input","Analyzing Object","Found Object","Needs Help","Confused","None"}, 0) - 1</f>
        <v/>
      </c>
      <c r="H856" s="29" t="n">
        <v>3</v>
      </c>
      <c r="I856" s="29">
        <f>IF(E856=G856, 1, 0)</f>
        <v/>
      </c>
    </row>
    <row r="857" ht="22" customHeight="1" s="270">
      <c r="A857" s="29" t="n">
        <v>855</v>
      </c>
      <c r="B857" s="29" t="inlineStr">
        <is>
          <t>1</t>
        </is>
      </c>
      <c r="C857" s="30" t="inlineStr">
        <is>
          <t>Random</t>
        </is>
      </c>
      <c r="D857" s="29" t="inlineStr">
        <is>
          <t>Confused</t>
        </is>
      </c>
      <c r="E857" s="29">
        <f>MATCH(D857, {"Waiting for Input","Analyzing Object","Found Object","Needs Help","Confused","None"}, 0) - 1</f>
        <v/>
      </c>
      <c r="F857" s="31" t="inlineStr">
        <is>
          <t>Needs Help</t>
        </is>
      </c>
      <c r="G857" s="29">
        <f>MATCH(F857, {"Waiting for Input","Analyzing Object","Found Object","Needs Help","Confused","None"}, 0) - 1</f>
        <v/>
      </c>
      <c r="H857" s="29" t="n">
        <v>2</v>
      </c>
      <c r="I857" s="29">
        <f>IF(E857=G857, 1, 0)</f>
        <v/>
      </c>
    </row>
    <row r="858" ht="22" customHeight="1" s="270">
      <c r="A858" s="29" t="n">
        <v>856</v>
      </c>
      <c r="B858" s="29" t="inlineStr">
        <is>
          <t>1</t>
        </is>
      </c>
      <c r="C858" s="30" t="inlineStr">
        <is>
          <t>Random</t>
        </is>
      </c>
      <c r="D858" s="29" t="inlineStr">
        <is>
          <t>Confused</t>
        </is>
      </c>
      <c r="E858" s="29">
        <f>MATCH(D858, {"Waiting for Input","Analyzing Object","Found Object","Needs Help","Confused","None"}, 0) - 1</f>
        <v/>
      </c>
      <c r="F858" s="31" t="inlineStr">
        <is>
          <t>Needs Help</t>
        </is>
      </c>
      <c r="G858" s="29">
        <f>MATCH(F858, {"Waiting for Input","Analyzing Object","Found Object","Needs Help","Confused","None"}, 0) - 1</f>
        <v/>
      </c>
      <c r="H858" s="29" t="n">
        <v>1</v>
      </c>
      <c r="I858" s="29">
        <f>IF(E858=G858, 1, 0)</f>
        <v/>
      </c>
    </row>
    <row r="859" ht="22" customHeight="1" s="270">
      <c r="A859" s="29" t="n">
        <v>857</v>
      </c>
      <c r="B859" s="29" t="inlineStr">
        <is>
          <t>2</t>
        </is>
      </c>
      <c r="C859" s="30" t="inlineStr">
        <is>
          <t>Random</t>
        </is>
      </c>
      <c r="D859" s="29" t="inlineStr">
        <is>
          <t>Confused</t>
        </is>
      </c>
      <c r="E859" s="29">
        <f>MATCH(D859, {"Waiting for Input","Analyzing Object","Found Object","Needs Help","Confused","None"}, 0) - 1</f>
        <v/>
      </c>
      <c r="F859" s="31" t="inlineStr">
        <is>
          <t>Needs Help</t>
        </is>
      </c>
      <c r="G859" s="29">
        <f>MATCH(F859, {"Waiting for Input","Analyzing Object","Found Object","Needs Help","Confused","None"}, 0) - 1</f>
        <v/>
      </c>
      <c r="H859" s="29" t="n">
        <v>2</v>
      </c>
      <c r="I859" s="29">
        <f>IF(E859=G859, 1, 0)</f>
        <v/>
      </c>
    </row>
    <row r="860" ht="22" customHeight="1" s="270">
      <c r="A860" s="29" t="n">
        <v>858</v>
      </c>
      <c r="B860" s="29" t="inlineStr">
        <is>
          <t>2</t>
        </is>
      </c>
      <c r="C860" s="30" t="inlineStr">
        <is>
          <t>Random</t>
        </is>
      </c>
      <c r="D860" s="29" t="inlineStr">
        <is>
          <t>Confused</t>
        </is>
      </c>
      <c r="E860" s="29">
        <f>MATCH(D860, {"Waiting for Input","Analyzing Object","Found Object","Needs Help","Confused","None"}, 0) - 1</f>
        <v/>
      </c>
      <c r="F860" s="31" t="inlineStr">
        <is>
          <t>Needs Help</t>
        </is>
      </c>
      <c r="G860" s="29">
        <f>MATCH(F860, {"Waiting for Input","Analyzing Object","Found Object","Needs Help","Confused","None"}, 0) - 1</f>
        <v/>
      </c>
      <c r="H860" s="29" t="n">
        <v>2</v>
      </c>
      <c r="I860" s="29">
        <f>IF(E860=G860, 1, 0)</f>
        <v/>
      </c>
    </row>
    <row r="861" ht="22" customHeight="1" s="270">
      <c r="A861" s="29" t="n">
        <v>859</v>
      </c>
      <c r="B861" s="29" t="inlineStr">
        <is>
          <t>1</t>
        </is>
      </c>
      <c r="C861" s="30" t="inlineStr">
        <is>
          <t>Random</t>
        </is>
      </c>
      <c r="D861" s="29" t="inlineStr">
        <is>
          <t>Confused</t>
        </is>
      </c>
      <c r="E861" s="29">
        <f>MATCH(D861, {"Waiting for Input","Analyzing Object","Found Object","Needs Help","Confused","None"}, 0) - 1</f>
        <v/>
      </c>
      <c r="F861" s="31" t="inlineStr">
        <is>
          <t>Needs Help</t>
        </is>
      </c>
      <c r="G861" s="29">
        <f>MATCH(F861, {"Waiting for Input","Analyzing Object","Found Object","Needs Help","Confused","None"}, 0) - 1</f>
        <v/>
      </c>
      <c r="H861" s="29" t="n">
        <v>3</v>
      </c>
      <c r="I861" s="29">
        <f>IF(E861=G861, 1, 0)</f>
        <v/>
      </c>
    </row>
    <row r="862" ht="22" customHeight="1" s="270">
      <c r="A862" s="29" t="n">
        <v>860</v>
      </c>
      <c r="B862" s="29" t="inlineStr">
        <is>
          <t>1</t>
        </is>
      </c>
      <c r="C862" s="30" t="inlineStr">
        <is>
          <t>Random</t>
        </is>
      </c>
      <c r="D862" s="29" t="inlineStr">
        <is>
          <t>Confused</t>
        </is>
      </c>
      <c r="E862" s="29">
        <f>MATCH(D862, {"Waiting for Input","Analyzing Object","Found Object","Needs Help","Confused","None"}, 0) - 1</f>
        <v/>
      </c>
      <c r="F862" s="31" t="inlineStr">
        <is>
          <t>Waiting for Input</t>
        </is>
      </c>
      <c r="G862" s="29">
        <f>MATCH(F862, {"Waiting for Input","Analyzing Object","Found Object","Needs Help","Confused","None"}, 0) - 1</f>
        <v/>
      </c>
      <c r="H862" s="29" t="n">
        <v>2</v>
      </c>
      <c r="I862" s="29">
        <f>IF(E862=G862, 1, 0)</f>
        <v/>
      </c>
    </row>
    <row r="863" ht="22" customHeight="1" s="270">
      <c r="A863" s="29" t="n">
        <v>861</v>
      </c>
      <c r="B863" s="29" t="inlineStr">
        <is>
          <t>2</t>
        </is>
      </c>
      <c r="C863" s="30" t="inlineStr">
        <is>
          <t>Random</t>
        </is>
      </c>
      <c r="D863" s="29" t="inlineStr">
        <is>
          <t>Confused</t>
        </is>
      </c>
      <c r="E863" s="29">
        <f>MATCH(D863, {"Waiting for Input","Analyzing Object","Found Object","Needs Help","Confused","None"}, 0) - 1</f>
        <v/>
      </c>
      <c r="F863" s="31" t="inlineStr">
        <is>
          <t>Waiting for Input</t>
        </is>
      </c>
      <c r="G863" s="29">
        <f>MATCH(F863, {"Waiting for Input","Analyzing Object","Found Object","Needs Help","Confused","None"}, 0) - 1</f>
        <v/>
      </c>
      <c r="H863" s="29" t="n">
        <v>2</v>
      </c>
      <c r="I863" s="29">
        <f>IF(E863=G863, 1, 0)</f>
        <v/>
      </c>
    </row>
    <row r="864" ht="22" customHeight="1" s="270">
      <c r="A864" s="29" t="n">
        <v>862</v>
      </c>
      <c r="B864" s="29" t="inlineStr">
        <is>
          <t>2</t>
        </is>
      </c>
      <c r="C864" s="30" t="inlineStr">
        <is>
          <t>Random</t>
        </is>
      </c>
      <c r="D864" s="29" t="inlineStr">
        <is>
          <t>Confused</t>
        </is>
      </c>
      <c r="E864" s="29">
        <f>MATCH(D864, {"Waiting for Input","Analyzing Object","Found Object","Needs Help","Confused","None"}, 0) - 1</f>
        <v/>
      </c>
      <c r="F864" s="31" t="inlineStr">
        <is>
          <t>Needs Help</t>
        </is>
      </c>
      <c r="G864" s="29">
        <f>MATCH(F864, {"Waiting for Input","Analyzing Object","Found Object","Needs Help","Confused","None"}, 0) - 1</f>
        <v/>
      </c>
      <c r="H864" s="29" t="n">
        <v>4</v>
      </c>
      <c r="I864" s="29">
        <f>IF(E864=G864, 1, 0)</f>
        <v/>
      </c>
    </row>
    <row r="865" ht="22" customHeight="1" s="270">
      <c r="A865" s="29" t="n">
        <v>863</v>
      </c>
      <c r="B865" s="29" t="inlineStr">
        <is>
          <t>1</t>
        </is>
      </c>
      <c r="C865" s="30" t="inlineStr">
        <is>
          <t>Random</t>
        </is>
      </c>
      <c r="D865" s="29" t="inlineStr">
        <is>
          <t>Confused</t>
        </is>
      </c>
      <c r="E865" s="29">
        <f>MATCH(D865, {"Waiting for Input","Analyzing Object","Found Object","Needs Help","Confused","None"}, 0) - 1</f>
        <v/>
      </c>
      <c r="F865" s="31" t="inlineStr">
        <is>
          <t>Waiting for Input</t>
        </is>
      </c>
      <c r="G865" s="29">
        <f>MATCH(F865, {"Waiting for Input","Analyzing Object","Found Object","Needs Help","Confused","None"}, 0) - 1</f>
        <v/>
      </c>
      <c r="H865" s="29" t="n">
        <v>1</v>
      </c>
      <c r="I865" s="29">
        <f>IF(E865=G865, 1, 0)</f>
        <v/>
      </c>
    </row>
    <row r="866" ht="22" customHeight="1" s="270">
      <c r="A866" s="29" t="n">
        <v>864</v>
      </c>
      <c r="B866" s="29" t="inlineStr">
        <is>
          <t>1</t>
        </is>
      </c>
      <c r="C866" s="30" t="inlineStr">
        <is>
          <t>Random</t>
        </is>
      </c>
      <c r="D866" s="29" t="inlineStr">
        <is>
          <t>Confused</t>
        </is>
      </c>
      <c r="E866" s="29">
        <f>MATCH(D866, {"Waiting for Input","Analyzing Object","Found Object","Needs Help","Confused","None"}, 0) - 1</f>
        <v/>
      </c>
      <c r="F866" s="31" t="inlineStr">
        <is>
          <t>Found Object</t>
        </is>
      </c>
      <c r="G866" s="29">
        <f>MATCH(F866, {"Waiting for Input","Analyzing Object","Found Object","Needs Help","Confused","None"}, 0) - 1</f>
        <v/>
      </c>
      <c r="H866" s="29" t="n">
        <v>3</v>
      </c>
      <c r="I866" s="29">
        <f>IF(E866=G866, 1, 0)</f>
        <v/>
      </c>
    </row>
    <row r="867" ht="22" customHeight="1" s="270">
      <c r="A867" s="29" t="n">
        <v>865</v>
      </c>
      <c r="B867" s="29" t="inlineStr">
        <is>
          <t>2</t>
        </is>
      </c>
      <c r="C867" s="30" t="inlineStr">
        <is>
          <t>Random</t>
        </is>
      </c>
      <c r="D867" s="29" t="inlineStr">
        <is>
          <t>Confused</t>
        </is>
      </c>
      <c r="E867" s="29">
        <f>MATCH(D867, {"Waiting for Input","Analyzing Object","Found Object","Needs Help","Confused","None"}, 0) - 1</f>
        <v/>
      </c>
      <c r="F867" s="31" t="inlineStr">
        <is>
          <t>Confused</t>
        </is>
      </c>
      <c r="G867" s="29">
        <f>MATCH(F867, {"Waiting for Input","Analyzing Object","Found Object","Needs Help","Confused","None"}, 0) - 1</f>
        <v/>
      </c>
      <c r="H867" s="29" t="n">
        <v>2</v>
      </c>
      <c r="I867" s="29">
        <f>IF(E867=G867, 1, 0)</f>
        <v/>
      </c>
    </row>
    <row r="868" ht="22" customHeight="1" s="270">
      <c r="A868" s="29" t="n">
        <v>866</v>
      </c>
      <c r="B868" s="29" t="inlineStr">
        <is>
          <t>2</t>
        </is>
      </c>
      <c r="C868" s="30" t="inlineStr">
        <is>
          <t>Random</t>
        </is>
      </c>
      <c r="D868" s="29" t="inlineStr">
        <is>
          <t>Confused</t>
        </is>
      </c>
      <c r="E868" s="29">
        <f>MATCH(D868, {"Waiting for Input","Analyzing Object","Found Object","Needs Help","Confused","None"}, 0) - 1</f>
        <v/>
      </c>
      <c r="F868" s="31" t="inlineStr">
        <is>
          <t>Needs Help</t>
        </is>
      </c>
      <c r="G868" s="29">
        <f>MATCH(F868, {"Waiting for Input","Analyzing Object","Found Object","Needs Help","Confused","None"}, 0) - 1</f>
        <v/>
      </c>
      <c r="H868" s="29" t="n">
        <v>3</v>
      </c>
      <c r="I868" s="29">
        <f>IF(E868=G868, 1, 0)</f>
        <v/>
      </c>
    </row>
    <row r="869" ht="22" customHeight="1" s="270">
      <c r="A869" s="29" t="n">
        <v>867</v>
      </c>
      <c r="B869" s="29" t="inlineStr">
        <is>
          <t>2</t>
        </is>
      </c>
      <c r="C869" s="30" t="inlineStr">
        <is>
          <t>Random</t>
        </is>
      </c>
      <c r="D869" s="29" t="inlineStr">
        <is>
          <t>Confused</t>
        </is>
      </c>
      <c r="E869" s="29">
        <f>MATCH(D869, {"Waiting for Input","Analyzing Object","Found Object","Needs Help","Confused","None"}, 0) - 1</f>
        <v/>
      </c>
      <c r="F869" s="31" t="inlineStr">
        <is>
          <t>Waiting for Input</t>
        </is>
      </c>
      <c r="G869" s="29">
        <f>MATCH(F869, {"Waiting for Input","Analyzing Object","Found Object","Needs Help","Confused","None"}, 0) - 1</f>
        <v/>
      </c>
      <c r="H869" s="29" t="n">
        <v>3</v>
      </c>
      <c r="I869" s="29">
        <f>IF(E869=G869, 1, 0)</f>
        <v/>
      </c>
    </row>
    <row r="870" ht="22" customHeight="1" s="270">
      <c r="A870" s="29" t="n">
        <v>868</v>
      </c>
      <c r="B870" s="29" t="inlineStr">
        <is>
          <t>2</t>
        </is>
      </c>
      <c r="C870" s="30" t="inlineStr">
        <is>
          <t>Random</t>
        </is>
      </c>
      <c r="D870" s="29" t="inlineStr">
        <is>
          <t>Confused</t>
        </is>
      </c>
      <c r="E870" s="29">
        <f>MATCH(D870, {"Waiting for Input","Analyzing Object","Found Object","Needs Help","Confused","None"}, 0) - 1</f>
        <v/>
      </c>
      <c r="F870" s="31" t="inlineStr">
        <is>
          <t>Confused</t>
        </is>
      </c>
      <c r="G870" s="29">
        <f>MATCH(F870, {"Waiting for Input","Analyzing Object","Found Object","Needs Help","Confused","None"}, 0) - 1</f>
        <v/>
      </c>
      <c r="H870" s="29" t="n">
        <v>3</v>
      </c>
      <c r="I870" s="29">
        <f>IF(E870=G870, 1, 0)</f>
        <v/>
      </c>
    </row>
    <row r="871" ht="22" customHeight="1" s="270">
      <c r="A871" s="29" t="n">
        <v>869</v>
      </c>
      <c r="B871" s="29" t="inlineStr">
        <is>
          <t>2</t>
        </is>
      </c>
      <c r="C871" s="30" t="inlineStr">
        <is>
          <t>Random</t>
        </is>
      </c>
      <c r="D871" s="29" t="inlineStr">
        <is>
          <t>Confused</t>
        </is>
      </c>
      <c r="E871" s="29">
        <f>MATCH(D871, {"Waiting for Input","Analyzing Object","Found Object","Needs Help","Confused","None"}, 0) - 1</f>
        <v/>
      </c>
      <c r="F871" s="31" t="inlineStr">
        <is>
          <t>Needs Help</t>
        </is>
      </c>
      <c r="G871" s="29">
        <f>MATCH(F871, {"Waiting for Input","Analyzing Object","Found Object","Needs Help","Confused","None"}, 0) - 1</f>
        <v/>
      </c>
      <c r="H871" s="29" t="n">
        <v>1</v>
      </c>
      <c r="I871" s="29">
        <f>IF(E871=G871, 1, 0)</f>
        <v/>
      </c>
    </row>
    <row r="872" ht="22" customHeight="1" s="270">
      <c r="A872" s="29" t="n">
        <v>870</v>
      </c>
      <c r="B872" s="29" t="inlineStr">
        <is>
          <t>2</t>
        </is>
      </c>
      <c r="C872" s="30" t="inlineStr">
        <is>
          <t>Random</t>
        </is>
      </c>
      <c r="D872" s="29" t="inlineStr">
        <is>
          <t>Confused</t>
        </is>
      </c>
      <c r="E872" s="29">
        <f>MATCH(D872, {"Waiting for Input","Analyzing Object","Found Object","Needs Help","Confused","None"}, 0) - 1</f>
        <v/>
      </c>
      <c r="F872" s="31" t="inlineStr">
        <is>
          <t>Confused</t>
        </is>
      </c>
      <c r="G872" s="29">
        <f>MATCH(F872, {"Waiting for Input","Analyzing Object","Found Object","Needs Help","Confused","None"}, 0) - 1</f>
        <v/>
      </c>
      <c r="H872" s="29" t="n">
        <v>5</v>
      </c>
      <c r="I872" s="29">
        <f>IF(E872=G872, 1, 0)</f>
        <v/>
      </c>
    </row>
    <row r="873" ht="22" customHeight="1" s="270">
      <c r="A873" s="29" t="n">
        <v>871</v>
      </c>
      <c r="B873" s="29" t="inlineStr">
        <is>
          <t>1</t>
        </is>
      </c>
      <c r="C873" s="30" t="inlineStr">
        <is>
          <t>Random</t>
        </is>
      </c>
      <c r="D873" s="29" t="inlineStr">
        <is>
          <t>Confused</t>
        </is>
      </c>
      <c r="E873" s="29">
        <f>MATCH(D873, {"Waiting for Input","Analyzing Object","Found Object","Needs Help","Confused","None"}, 0) - 1</f>
        <v/>
      </c>
      <c r="F873" s="31" t="inlineStr">
        <is>
          <t>Needs Help</t>
        </is>
      </c>
      <c r="G873" s="29">
        <f>MATCH(F873, {"Waiting for Input","Analyzing Object","Found Object","Needs Help","Confused","None"}, 0) - 1</f>
        <v/>
      </c>
      <c r="H873" s="29" t="n">
        <v>3</v>
      </c>
      <c r="I873" s="29">
        <f>IF(E873=G873, 1, 0)</f>
        <v/>
      </c>
    </row>
    <row r="874" ht="22" customHeight="1" s="270">
      <c r="A874" s="29" t="n">
        <v>872</v>
      </c>
      <c r="B874" s="29" t="inlineStr">
        <is>
          <t>2</t>
        </is>
      </c>
      <c r="C874" s="30" t="inlineStr">
        <is>
          <t>Random</t>
        </is>
      </c>
      <c r="D874" s="29" t="inlineStr">
        <is>
          <t>Confused</t>
        </is>
      </c>
      <c r="E874" s="29">
        <f>MATCH(D874, {"Waiting for Input","Analyzing Object","Found Object","Needs Help","Confused","None"}, 0) - 1</f>
        <v/>
      </c>
      <c r="F874" s="31" t="inlineStr">
        <is>
          <t>Needs Help</t>
        </is>
      </c>
      <c r="G874" s="29">
        <f>MATCH(F874, {"Waiting for Input","Analyzing Object","Found Object","Needs Help","Confused","None"}, 0) - 1</f>
        <v/>
      </c>
      <c r="H874" s="29" t="n">
        <v>4</v>
      </c>
      <c r="I874" s="29">
        <f>IF(E874=G874, 1, 0)</f>
        <v/>
      </c>
    </row>
    <row r="875" ht="22" customHeight="1" s="270">
      <c r="A875" s="29" t="n">
        <v>873</v>
      </c>
      <c r="B875" s="29" t="inlineStr">
        <is>
          <t>1</t>
        </is>
      </c>
      <c r="C875" s="30" t="inlineStr">
        <is>
          <t>Random</t>
        </is>
      </c>
      <c r="D875" s="29" t="inlineStr">
        <is>
          <t>Confused</t>
        </is>
      </c>
      <c r="E875" s="29">
        <f>MATCH(D875, {"Waiting for Input","Analyzing Object","Found Object","Needs Help","Confused","None"}, 0) - 1</f>
        <v/>
      </c>
      <c r="F875" s="31" t="inlineStr">
        <is>
          <t>Needs Help</t>
        </is>
      </c>
      <c r="G875" s="29">
        <f>MATCH(F875, {"Waiting for Input","Analyzing Object","Found Object","Needs Help","Confused","None"}, 0) - 1</f>
        <v/>
      </c>
      <c r="H875" s="29" t="n">
        <v>2</v>
      </c>
      <c r="I875" s="29">
        <f>IF(E875=G875, 1, 0)</f>
        <v/>
      </c>
    </row>
    <row r="876" ht="22" customHeight="1" s="270">
      <c r="A876" s="29" t="n">
        <v>874</v>
      </c>
      <c r="B876" s="29" t="inlineStr">
        <is>
          <t>1</t>
        </is>
      </c>
      <c r="C876" s="30" t="inlineStr">
        <is>
          <t>Random</t>
        </is>
      </c>
      <c r="D876" s="29" t="inlineStr">
        <is>
          <t>Confused</t>
        </is>
      </c>
      <c r="E876" s="29">
        <f>MATCH(D876, {"Waiting for Input","Analyzing Object","Found Object","Needs Help","Confused","None"}, 0) - 1</f>
        <v/>
      </c>
      <c r="F876" s="31" t="inlineStr">
        <is>
          <t>Needs Help</t>
        </is>
      </c>
      <c r="G876" s="29">
        <f>MATCH(F876, {"Waiting for Input","Analyzing Object","Found Object","Needs Help","Confused","None"}, 0) - 1</f>
        <v/>
      </c>
      <c r="H876" s="29" t="n">
        <v>3</v>
      </c>
      <c r="I876" s="29">
        <f>IF(E876=G876, 1, 0)</f>
        <v/>
      </c>
    </row>
    <row r="877" ht="22" customHeight="1" s="270">
      <c r="A877" s="29" t="n">
        <v>875</v>
      </c>
      <c r="B877" s="29" t="inlineStr">
        <is>
          <t>1</t>
        </is>
      </c>
      <c r="C877" s="30" t="inlineStr">
        <is>
          <t>Random</t>
        </is>
      </c>
      <c r="D877" s="29" t="inlineStr">
        <is>
          <t>Confused</t>
        </is>
      </c>
      <c r="E877" s="29">
        <f>MATCH(D877, {"Waiting for Input","Analyzing Object","Found Object","Needs Help","Confused","None"}, 0) - 1</f>
        <v/>
      </c>
      <c r="F877" s="31" t="inlineStr">
        <is>
          <t>Confused</t>
        </is>
      </c>
      <c r="G877" s="29">
        <f>MATCH(F877, {"Waiting for Input","Analyzing Object","Found Object","Needs Help","Confused","None"}, 0) - 1</f>
        <v/>
      </c>
      <c r="H877" s="29" t="n">
        <v>2</v>
      </c>
      <c r="I877" s="29">
        <f>IF(E877=G877, 1, 0)</f>
        <v/>
      </c>
    </row>
    <row r="878" ht="22" customHeight="1" s="270">
      <c r="A878" s="29" t="n">
        <v>876</v>
      </c>
      <c r="B878" s="29" t="inlineStr">
        <is>
          <t>2</t>
        </is>
      </c>
      <c r="C878" s="30" t="inlineStr">
        <is>
          <t>Random</t>
        </is>
      </c>
      <c r="D878" s="29" t="inlineStr">
        <is>
          <t>Confused</t>
        </is>
      </c>
      <c r="E878" s="29">
        <f>MATCH(D878, {"Waiting for Input","Analyzing Object","Found Object","Needs Help","Confused","None"}, 0) - 1</f>
        <v/>
      </c>
      <c r="F878" s="31" t="inlineStr">
        <is>
          <t>Needs Help</t>
        </is>
      </c>
      <c r="G878" s="29">
        <f>MATCH(F878, {"Waiting for Input","Analyzing Object","Found Object","Needs Help","Confused","None"}, 0) - 1</f>
        <v/>
      </c>
      <c r="H878" s="29" t="n">
        <v>3</v>
      </c>
      <c r="I878" s="29">
        <f>IF(E878=G878, 1, 0)</f>
        <v/>
      </c>
    </row>
    <row r="879" ht="22" customHeight="1" s="270">
      <c r="A879" s="29" t="n">
        <v>877</v>
      </c>
      <c r="B879" s="29" t="inlineStr">
        <is>
          <t>2</t>
        </is>
      </c>
      <c r="C879" s="30" t="inlineStr">
        <is>
          <t>Random</t>
        </is>
      </c>
      <c r="D879" s="29" t="inlineStr">
        <is>
          <t>Confused</t>
        </is>
      </c>
      <c r="E879" s="29">
        <f>MATCH(D879, {"Waiting for Input","Analyzing Object","Found Object","Needs Help","Confused","None"}, 0) - 1</f>
        <v/>
      </c>
      <c r="F879" s="31" t="inlineStr">
        <is>
          <t>Found Object</t>
        </is>
      </c>
      <c r="G879" s="29">
        <f>MATCH(F879, {"Waiting for Input","Analyzing Object","Found Object","Needs Help","Confused","None"}, 0) - 1</f>
        <v/>
      </c>
      <c r="H879" s="29" t="n">
        <v>3</v>
      </c>
      <c r="I879" s="29">
        <f>IF(E879=G879, 1, 0)</f>
        <v/>
      </c>
    </row>
    <row r="880" ht="22" customHeight="1" s="270">
      <c r="A880" s="29" t="n">
        <v>878</v>
      </c>
      <c r="B880" s="29" t="inlineStr">
        <is>
          <t>1</t>
        </is>
      </c>
      <c r="C880" s="30" t="inlineStr">
        <is>
          <t>Random</t>
        </is>
      </c>
      <c r="D880" s="29" t="inlineStr">
        <is>
          <t>Confused</t>
        </is>
      </c>
      <c r="E880" s="29">
        <f>MATCH(D880, {"Waiting for Input","Analyzing Object","Found Object","Needs Help","Confused","None"}, 0) - 1</f>
        <v/>
      </c>
      <c r="F880" s="31" t="inlineStr">
        <is>
          <t>Confused</t>
        </is>
      </c>
      <c r="G880" s="29">
        <f>MATCH(F880, {"Waiting for Input","Analyzing Object","Found Object","Needs Help","Confused","None"}, 0) - 1</f>
        <v/>
      </c>
      <c r="H880" s="29" t="n">
        <v>1</v>
      </c>
      <c r="I880" s="29">
        <f>IF(E880=G880, 1, 0)</f>
        <v/>
      </c>
    </row>
    <row r="881" ht="22" customHeight="1" s="270">
      <c r="A881" s="29" t="n">
        <v>879</v>
      </c>
      <c r="B881" s="29" t="inlineStr">
        <is>
          <t>1</t>
        </is>
      </c>
      <c r="C881" s="30" t="inlineStr">
        <is>
          <t>Random</t>
        </is>
      </c>
      <c r="D881" s="29" t="inlineStr">
        <is>
          <t>Confused</t>
        </is>
      </c>
      <c r="E881" s="29">
        <f>MATCH(D881, {"Waiting for Input","Analyzing Object","Found Object","Needs Help","Confused","None"}, 0) - 1</f>
        <v/>
      </c>
      <c r="F881" s="31" t="inlineStr">
        <is>
          <t>Needs Help</t>
        </is>
      </c>
      <c r="G881" s="29">
        <f>MATCH(F881, {"Waiting for Input","Analyzing Object","Found Object","Needs Help","Confused","None"}, 0) - 1</f>
        <v/>
      </c>
      <c r="H881" s="29" t="n">
        <v>3</v>
      </c>
      <c r="I881" s="29">
        <f>IF(E881=G881, 1, 0)</f>
        <v/>
      </c>
    </row>
    <row r="882" ht="22" customHeight="1" s="270">
      <c r="A882" s="29" t="n">
        <v>880</v>
      </c>
      <c r="B882" s="29" t="inlineStr">
        <is>
          <t>1</t>
        </is>
      </c>
      <c r="C882" s="30" t="inlineStr">
        <is>
          <t>Random</t>
        </is>
      </c>
      <c r="D882" s="29" t="inlineStr">
        <is>
          <t>Confused</t>
        </is>
      </c>
      <c r="E882" s="29">
        <f>MATCH(D882, {"Waiting for Input","Analyzing Object","Found Object","Needs Help","Confused","None"}, 0) - 1</f>
        <v/>
      </c>
      <c r="F882" s="31" t="inlineStr">
        <is>
          <t>Confused</t>
        </is>
      </c>
      <c r="G882" s="29">
        <f>MATCH(F882, {"Waiting for Input","Analyzing Object","Found Object","Needs Help","Confused","None"}, 0) - 1</f>
        <v/>
      </c>
      <c r="H882" s="29" t="n">
        <v>5</v>
      </c>
      <c r="I882" s="29">
        <f>IF(E882=G882, 1, 0)</f>
        <v/>
      </c>
    </row>
    <row r="883" ht="22" customHeight="1" s="270">
      <c r="A883" s="29" t="n">
        <v>881</v>
      </c>
      <c r="B883" s="29" t="inlineStr">
        <is>
          <t>2</t>
        </is>
      </c>
      <c r="C883" s="30" t="inlineStr">
        <is>
          <t>Random</t>
        </is>
      </c>
      <c r="D883" s="29" t="inlineStr">
        <is>
          <t>Confused</t>
        </is>
      </c>
      <c r="E883" s="29">
        <f>MATCH(D883, {"Waiting for Input","Analyzing Object","Found Object","Needs Help","Confused","None"}, 0) - 1</f>
        <v/>
      </c>
      <c r="F883" s="31" t="inlineStr">
        <is>
          <t>Confused</t>
        </is>
      </c>
      <c r="G883" s="29">
        <f>MATCH(F883, {"Waiting for Input","Analyzing Object","Found Object","Needs Help","Confused","None"}, 0) - 1</f>
        <v/>
      </c>
      <c r="H883" s="29" t="n">
        <v>2</v>
      </c>
      <c r="I883" s="29">
        <f>IF(E883=G883, 1, 0)</f>
        <v/>
      </c>
    </row>
    <row r="884" ht="22" customHeight="1" s="270">
      <c r="A884" s="29" t="n">
        <v>882</v>
      </c>
      <c r="B884" s="29" t="inlineStr">
        <is>
          <t>2</t>
        </is>
      </c>
      <c r="C884" s="30" t="inlineStr">
        <is>
          <t>Random</t>
        </is>
      </c>
      <c r="D884" s="29" t="inlineStr">
        <is>
          <t>Confused</t>
        </is>
      </c>
      <c r="E884" s="29">
        <f>MATCH(D884, {"Waiting for Input","Analyzing Object","Found Object","Needs Help","Confused","None"}, 0) - 1</f>
        <v/>
      </c>
      <c r="F884" s="31" t="inlineStr">
        <is>
          <t>None</t>
        </is>
      </c>
      <c r="G884" s="29">
        <f>MATCH(F884, {"Waiting for Input","Analyzing Object","Found Object","Needs Help","Confused","None"}, 0) - 1</f>
        <v/>
      </c>
      <c r="H884" s="29" t="n">
        <v>1</v>
      </c>
      <c r="I884" s="29">
        <f>IF(E884=G884, 1, 0)</f>
        <v/>
      </c>
    </row>
    <row r="885" ht="22" customHeight="1" s="270">
      <c r="A885" s="29" t="n">
        <v>883</v>
      </c>
      <c r="B885" s="29" t="inlineStr">
        <is>
          <t>2</t>
        </is>
      </c>
      <c r="C885" s="30" t="inlineStr">
        <is>
          <t>Random</t>
        </is>
      </c>
      <c r="D885" s="29" t="inlineStr">
        <is>
          <t>Confused</t>
        </is>
      </c>
      <c r="E885" s="29">
        <f>MATCH(D885, {"Waiting for Input","Analyzing Object","Found Object","Needs Help","Confused","None"}, 0) - 1</f>
        <v/>
      </c>
      <c r="F885" s="31" t="inlineStr">
        <is>
          <t>Needs Help</t>
        </is>
      </c>
      <c r="G885" s="29">
        <f>MATCH(F885, {"Waiting for Input","Analyzing Object","Found Object","Needs Help","Confused","None"}, 0) - 1</f>
        <v/>
      </c>
      <c r="H885" s="29" t="n">
        <v>1</v>
      </c>
      <c r="I885" s="29">
        <f>IF(E885=G885, 1, 0)</f>
        <v/>
      </c>
    </row>
    <row r="886" ht="22" customHeight="1" s="270">
      <c r="A886" s="29" t="n">
        <v>884</v>
      </c>
      <c r="B886" s="29" t="inlineStr">
        <is>
          <t>2</t>
        </is>
      </c>
      <c r="C886" s="30" t="inlineStr">
        <is>
          <t>Random</t>
        </is>
      </c>
      <c r="D886" s="29" t="inlineStr">
        <is>
          <t>Confused</t>
        </is>
      </c>
      <c r="E886" s="29">
        <f>MATCH(D886, {"Waiting for Input","Analyzing Object","Found Object","Needs Help","Confused","None"}, 0) - 1</f>
        <v/>
      </c>
      <c r="F886" s="31" t="inlineStr">
        <is>
          <t>Needs Help</t>
        </is>
      </c>
      <c r="G886" s="29">
        <f>MATCH(F886, {"Waiting for Input","Analyzing Object","Found Object","Needs Help","Confused","None"}, 0) - 1</f>
        <v/>
      </c>
      <c r="H886" s="29" t="n">
        <v>4</v>
      </c>
      <c r="I886" s="29">
        <f>IF(E886=G886, 1, 0)</f>
        <v/>
      </c>
    </row>
    <row r="887" ht="22" customHeight="1" s="270">
      <c r="A887" s="29" t="n">
        <v>885</v>
      </c>
      <c r="B887" s="29" t="inlineStr">
        <is>
          <t>2</t>
        </is>
      </c>
      <c r="C887" s="30" t="inlineStr">
        <is>
          <t>Random</t>
        </is>
      </c>
      <c r="D887" s="29" t="inlineStr">
        <is>
          <t>Confused</t>
        </is>
      </c>
      <c r="E887" s="29">
        <f>MATCH(D887, {"Waiting for Input","Analyzing Object","Found Object","Needs Help","Confused","None"}, 0) - 1</f>
        <v/>
      </c>
      <c r="F887" s="31" t="inlineStr">
        <is>
          <t>Needs Help</t>
        </is>
      </c>
      <c r="G887" s="29">
        <f>MATCH(F887, {"Waiting for Input","Analyzing Object","Found Object","Needs Help","Confused","None"}, 0) - 1</f>
        <v/>
      </c>
      <c r="H887" s="29" t="n">
        <v>3</v>
      </c>
      <c r="I887" s="29">
        <f>IF(E887=G887, 1, 0)</f>
        <v/>
      </c>
    </row>
    <row r="888" ht="22" customHeight="1" s="270">
      <c r="A888" s="29" t="n">
        <v>886</v>
      </c>
      <c r="B888" s="29" t="inlineStr">
        <is>
          <t>2</t>
        </is>
      </c>
      <c r="C888" s="30" t="inlineStr">
        <is>
          <t>Random</t>
        </is>
      </c>
      <c r="D888" s="29" t="inlineStr">
        <is>
          <t>Confused</t>
        </is>
      </c>
      <c r="E888" s="29">
        <f>MATCH(D888, {"Waiting for Input","Analyzing Object","Found Object","Needs Help","Confused","None"}, 0) - 1</f>
        <v/>
      </c>
      <c r="F888" s="31" t="inlineStr">
        <is>
          <t>Needs Help</t>
        </is>
      </c>
      <c r="G888" s="29">
        <f>MATCH(F888, {"Waiting for Input","Analyzing Object","Found Object","Needs Help","Confused","None"}, 0) - 1</f>
        <v/>
      </c>
      <c r="H888" s="29" t="n">
        <v>3</v>
      </c>
      <c r="I888" s="29">
        <f>IF(E888=G888, 1, 0)</f>
        <v/>
      </c>
    </row>
    <row r="889" ht="22" customHeight="1" s="270">
      <c r="A889" s="29" t="n">
        <v>887</v>
      </c>
      <c r="B889" s="29" t="inlineStr">
        <is>
          <t>2</t>
        </is>
      </c>
      <c r="C889" s="30" t="inlineStr">
        <is>
          <t>Random</t>
        </is>
      </c>
      <c r="D889" s="29" t="inlineStr">
        <is>
          <t>Confused</t>
        </is>
      </c>
      <c r="E889" s="29">
        <f>MATCH(D889, {"Waiting for Input","Analyzing Object","Found Object","Needs Help","Confused","None"}, 0) - 1</f>
        <v/>
      </c>
      <c r="F889" s="31" t="inlineStr">
        <is>
          <t>Waiting for Input</t>
        </is>
      </c>
      <c r="G889" s="29">
        <f>MATCH(F889, {"Waiting for Input","Analyzing Object","Found Object","Needs Help","Confused","None"}, 0) - 1</f>
        <v/>
      </c>
      <c r="H889" s="29" t="n">
        <v>2</v>
      </c>
      <c r="I889" s="29">
        <f>IF(E889=G889, 1, 0)</f>
        <v/>
      </c>
    </row>
    <row r="890" ht="22" customHeight="1" s="270">
      <c r="A890" s="29" t="n">
        <v>888</v>
      </c>
      <c r="B890" s="29" t="inlineStr">
        <is>
          <t>2</t>
        </is>
      </c>
      <c r="C890" s="30" t="inlineStr">
        <is>
          <t>Random</t>
        </is>
      </c>
      <c r="D890" s="29" t="inlineStr">
        <is>
          <t>Confused</t>
        </is>
      </c>
      <c r="E890" s="29">
        <f>MATCH(D890, {"Waiting for Input","Analyzing Object","Found Object","Needs Help","Confused","None"}, 0) - 1</f>
        <v/>
      </c>
      <c r="F890" s="31" t="inlineStr">
        <is>
          <t>Confused</t>
        </is>
      </c>
      <c r="G890" s="29">
        <f>MATCH(F890, {"Waiting for Input","Analyzing Object","Found Object","Needs Help","Confused","None"}, 0) - 1</f>
        <v/>
      </c>
      <c r="H890" s="29" t="n">
        <v>3</v>
      </c>
      <c r="I890" s="29">
        <f>IF(E890=G890, 1, 0)</f>
        <v/>
      </c>
    </row>
    <row r="891" ht="22" customHeight="1" s="270">
      <c r="A891" s="29" t="n">
        <v>889</v>
      </c>
      <c r="B891" s="29" t="inlineStr">
        <is>
          <t>2</t>
        </is>
      </c>
      <c r="C891" s="30" t="inlineStr">
        <is>
          <t>Random</t>
        </is>
      </c>
      <c r="D891" s="29" t="inlineStr">
        <is>
          <t>Confused</t>
        </is>
      </c>
      <c r="E891" s="29">
        <f>MATCH(D891, {"Waiting for Input","Analyzing Object","Found Object","Needs Help","Confused","None"}, 0) - 1</f>
        <v/>
      </c>
      <c r="F891" s="31" t="inlineStr">
        <is>
          <t>Needs Help</t>
        </is>
      </c>
      <c r="G891" s="29">
        <f>MATCH(F891, {"Waiting for Input","Analyzing Object","Found Object","Needs Help","Confused","None"}, 0) - 1</f>
        <v/>
      </c>
      <c r="H891" s="29" t="n">
        <v>3</v>
      </c>
      <c r="I891" s="29">
        <f>IF(E891=G891, 1, 0)</f>
        <v/>
      </c>
    </row>
    <row r="892" ht="22" customHeight="1" s="270">
      <c r="A892" s="29" t="n">
        <v>890</v>
      </c>
      <c r="B892" s="29" t="inlineStr">
        <is>
          <t>2</t>
        </is>
      </c>
      <c r="C892" s="30" t="inlineStr">
        <is>
          <t>Random</t>
        </is>
      </c>
      <c r="D892" s="29" t="inlineStr">
        <is>
          <t>Confused</t>
        </is>
      </c>
      <c r="E892" s="29">
        <f>MATCH(D892, {"Waiting for Input","Analyzing Object","Found Object","Needs Help","Confused","None"}, 0) - 1</f>
        <v/>
      </c>
      <c r="F892" s="31" t="inlineStr">
        <is>
          <t>Needs Help</t>
        </is>
      </c>
      <c r="G892" s="29">
        <f>MATCH(F892, {"Waiting for Input","Analyzing Object","Found Object","Needs Help","Confused","None"}, 0) - 1</f>
        <v/>
      </c>
      <c r="H892" s="29" t="n">
        <v>4</v>
      </c>
      <c r="I892" s="29">
        <f>IF(E892=G892, 1, 0)</f>
        <v/>
      </c>
    </row>
    <row r="893" ht="22" customHeight="1" s="270">
      <c r="A893" s="29" t="n">
        <v>891</v>
      </c>
      <c r="B893" s="29" t="inlineStr">
        <is>
          <t>1</t>
        </is>
      </c>
      <c r="C893" s="30" t="inlineStr">
        <is>
          <t>Random</t>
        </is>
      </c>
      <c r="D893" s="29" t="inlineStr">
        <is>
          <t>Confused</t>
        </is>
      </c>
      <c r="E893" s="29">
        <f>MATCH(D893, {"Waiting for Input","Analyzing Object","Found Object","Needs Help","Confused","None"}, 0) - 1</f>
        <v/>
      </c>
      <c r="F893" s="31" t="inlineStr">
        <is>
          <t>None</t>
        </is>
      </c>
      <c r="G893" s="29">
        <f>MATCH(F893, {"Waiting for Input","Analyzing Object","Found Object","Needs Help","Confused","None"}, 0) - 1</f>
        <v/>
      </c>
      <c r="H893" s="29" t="n">
        <v>4</v>
      </c>
      <c r="I893" s="29">
        <f>IF(E893=G893, 1, 0)</f>
        <v/>
      </c>
    </row>
    <row r="894" ht="22" customHeight="1" s="270">
      <c r="A894" s="29" t="n">
        <v>892</v>
      </c>
      <c r="B894" s="29" t="inlineStr">
        <is>
          <t>2</t>
        </is>
      </c>
      <c r="C894" s="30" t="inlineStr">
        <is>
          <t>Random</t>
        </is>
      </c>
      <c r="D894" s="29" t="inlineStr">
        <is>
          <t>Confused</t>
        </is>
      </c>
      <c r="E894" s="29">
        <f>MATCH(D894, {"Waiting for Input","Analyzing Object","Found Object","Needs Help","Confused","None"}, 0) - 1</f>
        <v/>
      </c>
      <c r="F894" s="31" t="inlineStr">
        <is>
          <t>Confused</t>
        </is>
      </c>
      <c r="G894" s="29">
        <f>MATCH(F894, {"Waiting for Input","Analyzing Object","Found Object","Needs Help","Confused","None"}, 0) - 1</f>
        <v/>
      </c>
      <c r="H894" s="29" t="n">
        <v>2</v>
      </c>
      <c r="I894" s="29">
        <f>IF(E894=G894, 1, 0)</f>
        <v/>
      </c>
    </row>
    <row r="895" ht="22" customHeight="1" s="270">
      <c r="A895" s="29" t="n">
        <v>893</v>
      </c>
      <c r="B895" s="29" t="inlineStr">
        <is>
          <t>2</t>
        </is>
      </c>
      <c r="C895" s="30" t="inlineStr">
        <is>
          <t>Random</t>
        </is>
      </c>
      <c r="D895" s="29" t="inlineStr">
        <is>
          <t>Confused</t>
        </is>
      </c>
      <c r="E895" s="29">
        <f>MATCH(D895, {"Waiting for Input","Analyzing Object","Found Object","Needs Help","Confused","None"}, 0) - 1</f>
        <v/>
      </c>
      <c r="F895" s="31" t="inlineStr">
        <is>
          <t>Waiting for Input</t>
        </is>
      </c>
      <c r="G895" s="29">
        <f>MATCH(F895, {"Waiting for Input","Analyzing Object","Found Object","Needs Help","Confused","None"}, 0) - 1</f>
        <v/>
      </c>
      <c r="H895" s="29" t="n">
        <v>1</v>
      </c>
      <c r="I895" s="29">
        <f>IF(E895=G895, 1, 0)</f>
        <v/>
      </c>
    </row>
    <row r="896" ht="22" customHeight="1" s="270">
      <c r="A896" s="29" t="n">
        <v>894</v>
      </c>
      <c r="B896" s="29" t="inlineStr">
        <is>
          <t>1</t>
        </is>
      </c>
      <c r="C896" s="30" t="inlineStr">
        <is>
          <t>Random</t>
        </is>
      </c>
      <c r="D896" s="29" t="inlineStr">
        <is>
          <t>Confused</t>
        </is>
      </c>
      <c r="E896" s="29">
        <f>MATCH(D896, {"Waiting for Input","Analyzing Object","Found Object","Needs Help","Confused","None"}, 0) - 1</f>
        <v/>
      </c>
      <c r="F896" s="31" t="inlineStr">
        <is>
          <t>Confused</t>
        </is>
      </c>
      <c r="G896" s="29">
        <f>MATCH(F896, {"Waiting for Input","Analyzing Object","Found Object","Needs Help","Confused","None"}, 0) - 1</f>
        <v/>
      </c>
      <c r="H896" s="29" t="n">
        <v>4</v>
      </c>
      <c r="I896" s="29">
        <f>IF(E896=G896, 1, 0)</f>
        <v/>
      </c>
    </row>
    <row r="897" ht="22" customHeight="1" s="270">
      <c r="A897" s="29" t="n">
        <v>895</v>
      </c>
      <c r="B897" s="29" t="inlineStr">
        <is>
          <t>2</t>
        </is>
      </c>
      <c r="C897" s="30" t="inlineStr">
        <is>
          <t>Random</t>
        </is>
      </c>
      <c r="D897" s="29" t="inlineStr">
        <is>
          <t>Confused</t>
        </is>
      </c>
      <c r="E897" s="29">
        <f>MATCH(D897, {"Waiting for Input","Analyzing Object","Found Object","Needs Help","Confused","None"}, 0) - 1</f>
        <v/>
      </c>
      <c r="F897" s="31" t="inlineStr">
        <is>
          <t>Needs Help</t>
        </is>
      </c>
      <c r="G897" s="29">
        <f>MATCH(F897, {"Waiting for Input","Analyzing Object","Found Object","Needs Help","Confused","None"}, 0) - 1</f>
        <v/>
      </c>
      <c r="H897" s="29" t="n">
        <v>4</v>
      </c>
      <c r="I897" s="29">
        <f>IF(E897=G897, 1, 0)</f>
        <v/>
      </c>
    </row>
    <row r="898" ht="22" customHeight="1" s="270">
      <c r="A898" s="29" t="n">
        <v>896</v>
      </c>
      <c r="B898" s="29" t="inlineStr">
        <is>
          <t>2</t>
        </is>
      </c>
      <c r="C898" s="30" t="inlineStr">
        <is>
          <t>Random</t>
        </is>
      </c>
      <c r="D898" s="29" t="inlineStr">
        <is>
          <t>Confused</t>
        </is>
      </c>
      <c r="E898" s="29">
        <f>MATCH(D898, {"Waiting for Input","Analyzing Object","Found Object","Needs Help","Confused","None"}, 0) - 1</f>
        <v/>
      </c>
      <c r="F898" s="31" t="inlineStr">
        <is>
          <t>Waiting for Input</t>
        </is>
      </c>
      <c r="G898" s="29">
        <f>MATCH(F898, {"Waiting for Input","Analyzing Object","Found Object","Needs Help","Confused","None"}, 0) - 1</f>
        <v/>
      </c>
      <c r="H898" s="29" t="n">
        <v>2</v>
      </c>
      <c r="I898" s="29">
        <f>IF(E898=G898, 1, 0)</f>
        <v/>
      </c>
    </row>
    <row r="899" ht="22" customHeight="1" s="270">
      <c r="A899" s="29" t="n">
        <v>897</v>
      </c>
      <c r="B899" s="29" t="inlineStr">
        <is>
          <t>2</t>
        </is>
      </c>
      <c r="C899" s="30" t="inlineStr">
        <is>
          <t>Random</t>
        </is>
      </c>
      <c r="D899" s="29" t="inlineStr">
        <is>
          <t>Confused</t>
        </is>
      </c>
      <c r="E899" s="29">
        <f>MATCH(D899, {"Waiting for Input","Analyzing Object","Found Object","Needs Help","Confused","None"}, 0) - 1</f>
        <v/>
      </c>
      <c r="F899" s="31" t="inlineStr">
        <is>
          <t>Needs Help</t>
        </is>
      </c>
      <c r="G899" s="29">
        <f>MATCH(F899, {"Waiting for Input","Analyzing Object","Found Object","Needs Help","Confused","None"}, 0) - 1</f>
        <v/>
      </c>
      <c r="H899" s="29" t="n">
        <v>3</v>
      </c>
      <c r="I899" s="29">
        <f>IF(E899=G899, 1, 0)</f>
        <v/>
      </c>
    </row>
    <row r="900" ht="22" customHeight="1" s="270">
      <c r="A900" s="29" t="n">
        <v>898</v>
      </c>
      <c r="B900" s="29" t="inlineStr">
        <is>
          <t>1</t>
        </is>
      </c>
      <c r="C900" s="30" t="inlineStr">
        <is>
          <t>Random</t>
        </is>
      </c>
      <c r="D900" s="29" t="inlineStr">
        <is>
          <t>Confused</t>
        </is>
      </c>
      <c r="E900" s="29">
        <f>MATCH(D900, {"Waiting for Input","Analyzing Object","Found Object","Needs Help","Confused","None"}, 0) - 1</f>
        <v/>
      </c>
      <c r="F900" s="31" t="inlineStr">
        <is>
          <t>None</t>
        </is>
      </c>
      <c r="G900" s="29">
        <f>MATCH(F900, {"Waiting for Input","Analyzing Object","Found Object","Needs Help","Confused","None"}, 0) - 1</f>
        <v/>
      </c>
      <c r="H900" s="31" t="n"/>
      <c r="I900" s="29">
        <f>IF(E900=G900, 1, 0)</f>
        <v/>
      </c>
    </row>
    <row r="901" ht="22" customHeight="1" s="270">
      <c r="A901" s="29" t="n">
        <v>899</v>
      </c>
      <c r="B901" s="29" t="inlineStr">
        <is>
          <t>2</t>
        </is>
      </c>
      <c r="C901" s="30" t="inlineStr">
        <is>
          <t>Random</t>
        </is>
      </c>
      <c r="D901" s="29" t="inlineStr">
        <is>
          <t>Confused</t>
        </is>
      </c>
      <c r="E901" s="29">
        <f>MATCH(D901, {"Waiting for Input","Analyzing Object","Found Object","Needs Help","Confused","None"}, 0) - 1</f>
        <v/>
      </c>
      <c r="F901" s="31" t="inlineStr">
        <is>
          <t>Needs Help</t>
        </is>
      </c>
      <c r="G901" s="29">
        <f>MATCH(F901, {"Waiting for Input","Analyzing Object","Found Object","Needs Help","Confused","None"}, 0) - 1</f>
        <v/>
      </c>
      <c r="H901" s="29" t="n">
        <v>2</v>
      </c>
      <c r="I901" s="29">
        <f>IF(E901=G901, 1, 0)</f>
        <v/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24"/>
  <sheetViews>
    <sheetView topLeftCell="A865" workbookViewId="0">
      <pane xSplit="4" topLeftCell="H1" activePane="topRight" state="frozen"/>
      <selection activeCell="A3" sqref="A3"/>
      <selection pane="topRight" activeCell="D24" sqref="D24:L924"/>
    </sheetView>
  </sheetViews>
  <sheetFormatPr baseColWidth="10" defaultColWidth="12.6640625" defaultRowHeight="22" outlineLevelCol="0"/>
  <cols>
    <col width="8" bestFit="1" customWidth="1" style="3" min="1" max="1"/>
    <col width="12.6640625" customWidth="1" style="3" min="2" max="2"/>
    <col width="19.1640625" customWidth="1" style="3" min="3" max="3"/>
    <col width="28.1640625" bestFit="1" customWidth="1" style="3" min="4" max="4"/>
    <col width="16.5" bestFit="1" customWidth="1" style="3" min="5" max="5"/>
    <col width="34.33203125" bestFit="1" customWidth="1" style="3" min="6" max="6"/>
    <col width="19.33203125" bestFit="1" customWidth="1" style="3" min="7" max="7"/>
    <col width="21.5" customWidth="1" style="3" min="9" max="15"/>
    <col width="3.1640625" customWidth="1" style="3" min="16" max="16"/>
    <col width="19" customWidth="1" style="3" min="17" max="17"/>
    <col width="21.5" customWidth="1" style="3" min="18" max="25"/>
    <col width="20.83203125" customWidth="1" style="3" min="26" max="27"/>
    <col width="12.6640625" customWidth="1" style="3" min="28" max="67"/>
    <col width="12.6640625" customWidth="1" style="3" min="68" max="16384"/>
  </cols>
  <sheetData>
    <row r="1" ht="23" customHeight="1" s="270" thickBot="1">
      <c r="A1" s="110" t="inlineStr">
        <is>
          <t>Match</t>
        </is>
      </c>
      <c r="B1" s="54" t="inlineStr">
        <is>
          <t>Condition</t>
        </is>
      </c>
      <c r="C1" s="107" t="inlineStr">
        <is>
          <t>State</t>
        </is>
      </c>
      <c r="D1" s="109" t="inlineStr">
        <is>
          <t>HUMAN's MEAN SELECTION</t>
        </is>
      </c>
      <c r="E1" s="108" t="inlineStr">
        <is>
          <t>Correct Count</t>
        </is>
      </c>
      <c r="F1" s="4" t="inlineStr">
        <is>
          <t xml:space="preserve">Percentage </t>
        </is>
      </c>
      <c r="G1" s="5" t="inlineStr">
        <is>
          <t>Average</t>
        </is>
      </c>
      <c r="H1" s="55" t="inlineStr">
        <is>
          <t>Body Tilt</t>
        </is>
      </c>
      <c r="I1" s="56" t="inlineStr">
        <is>
          <t>Body Lean</t>
        </is>
      </c>
      <c r="J1" s="56" t="inlineStr">
        <is>
          <t>Body Turn</t>
        </is>
      </c>
      <c r="K1" s="56" t="inlineStr">
        <is>
          <t>Body Height</t>
        </is>
      </c>
      <c r="L1" s="56" t="inlineStr">
        <is>
          <t>Body Direction</t>
        </is>
      </c>
      <c r="M1" s="56" t="inlineStr">
        <is>
          <t>Pose Duration</t>
        </is>
      </c>
      <c r="N1" s="56" t="inlineStr">
        <is>
          <t>Velocity</t>
        </is>
      </c>
      <c r="O1" s="57" t="inlineStr">
        <is>
          <t>Smoothness</t>
        </is>
      </c>
      <c r="Q1" s="55" t="inlineStr">
        <is>
          <t>Body Tilt</t>
        </is>
      </c>
      <c r="R1" s="56" t="inlineStr">
        <is>
          <t>Body Lean</t>
        </is>
      </c>
      <c r="S1" s="56" t="inlineStr">
        <is>
          <t>Body Turn</t>
        </is>
      </c>
      <c r="T1" s="56" t="inlineStr">
        <is>
          <t>Body Height</t>
        </is>
      </c>
      <c r="U1" s="56" t="inlineStr">
        <is>
          <t>Body Direction</t>
        </is>
      </c>
      <c r="V1" s="56" t="inlineStr">
        <is>
          <t>Pose Duration</t>
        </is>
      </c>
      <c r="W1" s="56" t="inlineStr">
        <is>
          <t>Velocity</t>
        </is>
      </c>
      <c r="X1" s="57" t="inlineStr">
        <is>
          <t>Smoothness</t>
        </is>
      </c>
    </row>
    <row r="2" ht="23" customHeight="1" s="270" thickBot="1">
      <c r="A2" s="119" t="inlineStr">
        <is>
          <t>Yes</t>
        </is>
      </c>
      <c r="B2" s="111" t="inlineStr">
        <is>
          <t>GPT4</t>
        </is>
      </c>
      <c r="C2" s="58" t="inlineStr">
        <is>
          <t>Waiting for Input</t>
        </is>
      </c>
      <c r="D2" s="99" t="inlineStr">
        <is>
          <t>WFI 73% + split</t>
        </is>
      </c>
      <c r="E2" s="59">
        <f>SUM(L25:L84)</f>
        <v/>
      </c>
      <c r="F2" s="60">
        <f>E2/'META DATA'!B$2</f>
        <v/>
      </c>
      <c r="G2" s="267">
        <f>AVERAGE(F2:F6)</f>
        <v/>
      </c>
      <c r="H2" s="66" t="n">
        <v>1</v>
      </c>
      <c r="I2" s="66" t="n">
        <v>1</v>
      </c>
      <c r="J2" s="66" t="n">
        <v>1</v>
      </c>
      <c r="K2" s="66" t="n">
        <v>1</v>
      </c>
      <c r="L2" s="66" t="n">
        <v>1</v>
      </c>
      <c r="M2" s="66" t="n">
        <v>2</v>
      </c>
      <c r="N2" s="66" t="n">
        <v>0</v>
      </c>
      <c r="O2" s="66" t="n">
        <v>1</v>
      </c>
      <c r="Q2" s="72" t="inlineStr">
        <is>
          <t>neutral</t>
        </is>
      </c>
      <c r="R2" s="72" t="inlineStr">
        <is>
          <t>neutral</t>
        </is>
      </c>
      <c r="S2" s="72" t="inlineStr">
        <is>
          <t>neutral</t>
        </is>
      </c>
      <c r="T2" s="72" t="inlineStr">
        <is>
          <t>neutral</t>
        </is>
      </c>
      <c r="U2" s="72" t="inlineStr">
        <is>
          <t>user</t>
        </is>
      </c>
      <c r="V2" s="72" t="inlineStr">
        <is>
          <t>long</t>
        </is>
      </c>
      <c r="W2" s="72" t="inlineStr">
        <is>
          <t>slow</t>
        </is>
      </c>
      <c r="X2" s="72" t="inlineStr">
        <is>
          <t>smooth</t>
        </is>
      </c>
    </row>
    <row r="3" ht="23" customHeight="1" s="270" thickBot="1">
      <c r="A3" s="120" t="inlineStr">
        <is>
          <t>Close</t>
        </is>
      </c>
      <c r="B3" s="112" t="n"/>
      <c r="C3" s="7" t="inlineStr">
        <is>
          <t>Analyzing Object</t>
        </is>
      </c>
      <c r="D3" s="100" t="inlineStr">
        <is>
          <t>FO 50% + AO 33%</t>
        </is>
      </c>
      <c r="E3" s="6">
        <f>SUM(L205:L264)</f>
        <v/>
      </c>
      <c r="F3" s="8">
        <f>E3/'META DATA'!B$2</f>
        <v/>
      </c>
      <c r="G3" s="243" t="n"/>
      <c r="H3" s="67" t="n">
        <v>1</v>
      </c>
      <c r="I3" s="67" t="n">
        <v>1</v>
      </c>
      <c r="J3" s="67" t="n">
        <v>1</v>
      </c>
      <c r="K3" s="67" t="n">
        <v>0</v>
      </c>
      <c r="L3" s="67" t="n">
        <v>2</v>
      </c>
      <c r="M3" s="67" t="n">
        <v>2</v>
      </c>
      <c r="N3" s="67" t="n">
        <v>1</v>
      </c>
      <c r="O3" s="67" t="n">
        <v>1</v>
      </c>
      <c r="Q3" s="73" t="inlineStr">
        <is>
          <t>neutral</t>
        </is>
      </c>
      <c r="R3" s="73" t="inlineStr">
        <is>
          <t>neutral</t>
        </is>
      </c>
      <c r="S3" s="73" t="inlineStr">
        <is>
          <t>neutral</t>
        </is>
      </c>
      <c r="T3" s="73" t="inlineStr">
        <is>
          <t>low</t>
        </is>
      </c>
      <c r="U3" s="73" t="inlineStr">
        <is>
          <t>object</t>
        </is>
      </c>
      <c r="V3" s="73" t="inlineStr">
        <is>
          <t>long</t>
        </is>
      </c>
      <c r="W3" s="73" t="inlineStr">
        <is>
          <t>medium</t>
        </is>
      </c>
      <c r="X3" s="73" t="inlineStr">
        <is>
          <t>smooth</t>
        </is>
      </c>
    </row>
    <row r="4" ht="23" customHeight="1" s="270" thickBot="1">
      <c r="A4" s="120" t="inlineStr">
        <is>
          <t>Yes</t>
        </is>
      </c>
      <c r="B4" s="112" t="n"/>
      <c r="C4" s="7" t="inlineStr">
        <is>
          <t>Found Object</t>
        </is>
      </c>
      <c r="D4" s="100" t="inlineStr">
        <is>
          <t>AO 57% + FO 40%</t>
        </is>
      </c>
      <c r="E4" s="6">
        <f>SUM(L385:L444)</f>
        <v/>
      </c>
      <c r="F4" s="8">
        <f>E4/'META DATA'!B$2</f>
        <v/>
      </c>
      <c r="G4" s="243" t="n"/>
      <c r="H4" s="67" t="n">
        <v>1</v>
      </c>
      <c r="I4" s="67" t="n">
        <v>2</v>
      </c>
      <c r="J4" s="67" t="n">
        <v>1</v>
      </c>
      <c r="K4" s="67" t="n">
        <v>0</v>
      </c>
      <c r="L4" s="67" t="n">
        <v>2</v>
      </c>
      <c r="M4" s="67" t="n">
        <v>1</v>
      </c>
      <c r="N4" s="67" t="n">
        <v>0</v>
      </c>
      <c r="O4" s="67" t="n">
        <v>1</v>
      </c>
      <c r="Q4" s="73" t="inlineStr">
        <is>
          <t>neutral</t>
        </is>
      </c>
      <c r="R4" s="73" t="inlineStr">
        <is>
          <t>forward</t>
        </is>
      </c>
      <c r="S4" s="73" t="inlineStr">
        <is>
          <t>neutral</t>
        </is>
      </c>
      <c r="T4" s="73" t="inlineStr">
        <is>
          <t>low</t>
        </is>
      </c>
      <c r="U4" s="73" t="inlineStr">
        <is>
          <t>object</t>
        </is>
      </c>
      <c r="V4" s="73" t="inlineStr">
        <is>
          <t>medium</t>
        </is>
      </c>
      <c r="W4" s="73" t="inlineStr">
        <is>
          <t>slow</t>
        </is>
      </c>
      <c r="X4" s="73" t="inlineStr">
        <is>
          <t>smooth</t>
        </is>
      </c>
    </row>
    <row r="5" ht="23" customHeight="1" s="270" thickBot="1">
      <c r="A5" s="120" t="inlineStr">
        <is>
          <t>Yes</t>
        </is>
      </c>
      <c r="B5" s="112" t="n"/>
      <c r="C5" s="7" t="inlineStr">
        <is>
          <t>Needs Help</t>
        </is>
      </c>
      <c r="D5" s="100" t="inlineStr">
        <is>
          <t>NH 52% + split</t>
        </is>
      </c>
      <c r="E5" s="6">
        <f>SUM(L564:L623)</f>
        <v/>
      </c>
      <c r="F5" s="8">
        <f>E5/'META DATA'!B$2</f>
        <v/>
      </c>
      <c r="G5" s="243" t="n"/>
      <c r="H5" s="67" t="n">
        <v>0</v>
      </c>
      <c r="I5" s="67" t="n">
        <v>1</v>
      </c>
      <c r="J5" s="67" t="n">
        <v>1</v>
      </c>
      <c r="K5" s="67" t="n">
        <v>0</v>
      </c>
      <c r="L5" s="67" t="n">
        <v>1</v>
      </c>
      <c r="M5" s="67" t="n">
        <v>2</v>
      </c>
      <c r="N5" s="67" t="n">
        <v>1</v>
      </c>
      <c r="O5" s="67" t="n">
        <v>2</v>
      </c>
      <c r="Q5" s="73" t="inlineStr">
        <is>
          <t>left</t>
        </is>
      </c>
      <c r="R5" s="73" t="inlineStr">
        <is>
          <t>neutral</t>
        </is>
      </c>
      <c r="S5" s="73" t="inlineStr">
        <is>
          <t>neutral</t>
        </is>
      </c>
      <c r="T5" s="73" t="inlineStr">
        <is>
          <t>low</t>
        </is>
      </c>
      <c r="U5" s="73" t="inlineStr">
        <is>
          <t>user</t>
        </is>
      </c>
      <c r="V5" s="73" t="inlineStr">
        <is>
          <t>long</t>
        </is>
      </c>
      <c r="W5" s="73" t="inlineStr">
        <is>
          <t>medium</t>
        </is>
      </c>
      <c r="X5" s="73" t="inlineStr">
        <is>
          <t>shaky</t>
        </is>
      </c>
    </row>
    <row r="6" ht="23" customHeight="1" s="270" thickBot="1">
      <c r="A6" s="120" t="inlineStr">
        <is>
          <t>No</t>
        </is>
      </c>
      <c r="B6" s="112" t="n"/>
      <c r="C6" s="61" t="inlineStr">
        <is>
          <t>Confused</t>
        </is>
      </c>
      <c r="D6" s="101" t="inlineStr">
        <is>
          <t>NH 52% + C 32%</t>
        </is>
      </c>
      <c r="E6" s="6">
        <f>SUM(L745:L804)</f>
        <v/>
      </c>
      <c r="F6" s="8">
        <f>E6/'META DATA'!B$2</f>
        <v/>
      </c>
      <c r="G6" s="243" t="n"/>
      <c r="H6" s="67" t="n">
        <v>0</v>
      </c>
      <c r="I6" s="67" t="n">
        <v>1</v>
      </c>
      <c r="J6" s="67" t="n">
        <v>1</v>
      </c>
      <c r="K6" s="67" t="n">
        <v>1</v>
      </c>
      <c r="L6" s="67" t="n">
        <v>1</v>
      </c>
      <c r="M6" s="67" t="n">
        <v>1</v>
      </c>
      <c r="N6" s="67" t="n">
        <v>0</v>
      </c>
      <c r="O6" s="67" t="n">
        <v>2</v>
      </c>
      <c r="Q6" s="73" t="inlineStr">
        <is>
          <t>left</t>
        </is>
      </c>
      <c r="R6" s="73" t="inlineStr">
        <is>
          <t>neutral</t>
        </is>
      </c>
      <c r="S6" s="73" t="inlineStr">
        <is>
          <t>neutral</t>
        </is>
      </c>
      <c r="T6" s="73" t="inlineStr">
        <is>
          <t>neutral</t>
        </is>
      </c>
      <c r="U6" s="73" t="inlineStr">
        <is>
          <t>user</t>
        </is>
      </c>
      <c r="V6" s="73" t="inlineStr">
        <is>
          <t>medium</t>
        </is>
      </c>
      <c r="W6" s="73" t="inlineStr">
        <is>
          <t>slow</t>
        </is>
      </c>
      <c r="X6" s="73" t="inlineStr">
        <is>
          <t>shaky</t>
        </is>
      </c>
    </row>
    <row r="7" ht="23" customHeight="1" s="270" thickBot="1">
      <c r="A7" s="120" t="inlineStr">
        <is>
          <t>Yes</t>
        </is>
      </c>
      <c r="B7" s="113" t="inlineStr">
        <is>
          <t>Human</t>
        </is>
      </c>
      <c r="C7" s="62" t="inlineStr">
        <is>
          <t>Waiting for Input</t>
        </is>
      </c>
      <c r="D7" s="102" t="inlineStr">
        <is>
          <t>WFI 65% + split</t>
        </is>
      </c>
      <c r="E7" s="63">
        <f>SUM(L85:L144)</f>
        <v/>
      </c>
      <c r="F7" s="64">
        <f>E7/'META DATA'!B$2</f>
        <v/>
      </c>
      <c r="G7" s="263">
        <f>AVERAGE(F7:F11)</f>
        <v/>
      </c>
      <c r="H7" s="68" t="n">
        <v>1</v>
      </c>
      <c r="I7" s="68" t="n">
        <v>1</v>
      </c>
      <c r="J7" s="68" t="n">
        <v>1</v>
      </c>
      <c r="K7" s="68" t="n">
        <v>0</v>
      </c>
      <c r="L7" s="68" t="n">
        <v>1</v>
      </c>
      <c r="M7" s="68" t="n">
        <v>2</v>
      </c>
      <c r="N7" s="68" t="n">
        <v>1</v>
      </c>
      <c r="O7" s="68" t="n">
        <v>1</v>
      </c>
      <c r="Q7" s="74" t="inlineStr">
        <is>
          <t>neutral</t>
        </is>
      </c>
      <c r="R7" s="74" t="inlineStr">
        <is>
          <t>neutral</t>
        </is>
      </c>
      <c r="S7" s="74" t="inlineStr">
        <is>
          <t>neutral</t>
        </is>
      </c>
      <c r="T7" s="74" t="inlineStr">
        <is>
          <t>low</t>
        </is>
      </c>
      <c r="U7" s="74" t="inlineStr">
        <is>
          <t>user</t>
        </is>
      </c>
      <c r="V7" s="74" t="inlineStr">
        <is>
          <t>long</t>
        </is>
      </c>
      <c r="W7" s="74" t="inlineStr">
        <is>
          <t>medium</t>
        </is>
      </c>
      <c r="X7" s="74" t="inlineStr">
        <is>
          <t>smooth</t>
        </is>
      </c>
    </row>
    <row r="8" ht="23" customHeight="1" s="270" thickBot="1">
      <c r="A8" s="120" t="inlineStr">
        <is>
          <t>Yes</t>
        </is>
      </c>
      <c r="B8" s="114" t="n"/>
      <c r="C8" s="16" t="inlineStr">
        <is>
          <t>Analyzing Object</t>
        </is>
      </c>
      <c r="D8" s="103" t="inlineStr">
        <is>
          <t>AO 55% + FO 43%</t>
        </is>
      </c>
      <c r="E8" s="15">
        <f>SUM(L265:L324)</f>
        <v/>
      </c>
      <c r="F8" s="17">
        <f>E8/'META DATA'!B$2</f>
        <v/>
      </c>
      <c r="G8" s="243" t="n"/>
      <c r="H8" s="69" t="n">
        <v>0</v>
      </c>
      <c r="I8" s="69" t="n">
        <v>2</v>
      </c>
      <c r="J8" s="69" t="n">
        <v>1</v>
      </c>
      <c r="K8" s="69" t="n">
        <v>1</v>
      </c>
      <c r="L8" s="69" t="n">
        <v>2</v>
      </c>
      <c r="M8" s="69" t="n">
        <v>2</v>
      </c>
      <c r="N8" s="69" t="n">
        <v>1</v>
      </c>
      <c r="O8" s="69" t="n">
        <v>1</v>
      </c>
      <c r="Q8" s="75" t="inlineStr">
        <is>
          <t>left</t>
        </is>
      </c>
      <c r="R8" s="75" t="inlineStr">
        <is>
          <t>forward</t>
        </is>
      </c>
      <c r="S8" s="75" t="inlineStr">
        <is>
          <t>neutral</t>
        </is>
      </c>
      <c r="T8" s="75" t="inlineStr">
        <is>
          <t>neutral</t>
        </is>
      </c>
      <c r="U8" s="75" t="inlineStr">
        <is>
          <t>object</t>
        </is>
      </c>
      <c r="V8" s="75" t="inlineStr">
        <is>
          <t>long</t>
        </is>
      </c>
      <c r="W8" s="75" t="inlineStr">
        <is>
          <t>medium</t>
        </is>
      </c>
      <c r="X8" s="75" t="inlineStr">
        <is>
          <t>smooth</t>
        </is>
      </c>
    </row>
    <row r="9" ht="23" customHeight="1" s="270" thickBot="1">
      <c r="A9" s="120" t="inlineStr">
        <is>
          <t>Yes</t>
        </is>
      </c>
      <c r="B9" s="114" t="n"/>
      <c r="C9" s="16" t="inlineStr">
        <is>
          <t>Found Object</t>
        </is>
      </c>
      <c r="D9" s="103" t="inlineStr">
        <is>
          <t>AO 50% + FO 48%</t>
        </is>
      </c>
      <c r="E9" s="15">
        <f>SUM(L444:L503)</f>
        <v/>
      </c>
      <c r="F9" s="17">
        <f>E9/'META DATA'!B$2</f>
        <v/>
      </c>
      <c r="G9" s="243" t="n"/>
      <c r="H9" s="69" t="n">
        <v>1</v>
      </c>
      <c r="I9" s="69" t="n">
        <v>2</v>
      </c>
      <c r="J9" s="69" t="n">
        <v>1</v>
      </c>
      <c r="K9" s="69" t="n">
        <v>2</v>
      </c>
      <c r="L9" s="69" t="n">
        <v>2</v>
      </c>
      <c r="M9" s="69" t="n">
        <v>2</v>
      </c>
      <c r="N9" s="69" t="n">
        <v>1</v>
      </c>
      <c r="O9" s="69" t="n">
        <v>1</v>
      </c>
      <c r="Q9" s="75" t="inlineStr">
        <is>
          <t>neutral</t>
        </is>
      </c>
      <c r="R9" s="75" t="inlineStr">
        <is>
          <t>forward</t>
        </is>
      </c>
      <c r="S9" s="75" t="inlineStr">
        <is>
          <t>neutral</t>
        </is>
      </c>
      <c r="T9" s="75" t="inlineStr">
        <is>
          <t>high</t>
        </is>
      </c>
      <c r="U9" s="75" t="inlineStr">
        <is>
          <t>object</t>
        </is>
      </c>
      <c r="V9" s="75" t="inlineStr">
        <is>
          <t>long</t>
        </is>
      </c>
      <c r="W9" s="75" t="inlineStr">
        <is>
          <t>medium</t>
        </is>
      </c>
      <c r="X9" s="75" t="inlineStr">
        <is>
          <t>smooth</t>
        </is>
      </c>
    </row>
    <row r="10" ht="23" customHeight="1" s="270" thickBot="1">
      <c r="A10" s="120" t="inlineStr">
        <is>
          <t>No</t>
        </is>
      </c>
      <c r="B10" s="114" t="n"/>
      <c r="C10" s="16" t="inlineStr">
        <is>
          <t>Needs Help</t>
        </is>
      </c>
      <c r="D10" s="103" t="inlineStr">
        <is>
          <t>WFI 57% + NH 18%</t>
        </is>
      </c>
      <c r="E10" s="15">
        <f>SUM(L625:L684)</f>
        <v/>
      </c>
      <c r="F10" s="17">
        <f>E10/'META DATA'!B$2</f>
        <v/>
      </c>
      <c r="G10" s="243" t="n"/>
      <c r="H10" s="69" t="n">
        <v>1</v>
      </c>
      <c r="I10" s="69" t="n">
        <v>0</v>
      </c>
      <c r="J10" s="69" t="n">
        <v>1</v>
      </c>
      <c r="K10" s="69" t="n">
        <v>2</v>
      </c>
      <c r="L10" s="69" t="n">
        <v>1</v>
      </c>
      <c r="M10" s="69" t="n">
        <v>2</v>
      </c>
      <c r="N10" s="69" t="n">
        <v>1</v>
      </c>
      <c r="O10" s="69" t="n">
        <v>2</v>
      </c>
      <c r="Q10" s="75" t="inlineStr">
        <is>
          <t>neutral</t>
        </is>
      </c>
      <c r="R10" s="75" t="inlineStr">
        <is>
          <t>backward</t>
        </is>
      </c>
      <c r="S10" s="75" t="inlineStr">
        <is>
          <t>neutral</t>
        </is>
      </c>
      <c r="T10" s="75" t="inlineStr">
        <is>
          <t>high</t>
        </is>
      </c>
      <c r="U10" s="75" t="inlineStr">
        <is>
          <t>user</t>
        </is>
      </c>
      <c r="V10" s="75" t="inlineStr">
        <is>
          <t>long</t>
        </is>
      </c>
      <c r="W10" s="75" t="inlineStr">
        <is>
          <t>medium</t>
        </is>
      </c>
      <c r="X10" s="75" t="inlineStr">
        <is>
          <t>shaky</t>
        </is>
      </c>
    </row>
    <row r="11" ht="23" customHeight="1" s="270" thickBot="1">
      <c r="A11" s="120" t="inlineStr">
        <is>
          <t>No</t>
        </is>
      </c>
      <c r="B11" s="114" t="n"/>
      <c r="C11" s="78" t="inlineStr">
        <is>
          <t>Confused</t>
        </is>
      </c>
      <c r="D11" s="104" t="inlineStr">
        <is>
          <t>WFI 60% + C 27%</t>
        </is>
      </c>
      <c r="E11" s="15">
        <f>SUM(L804:L863)</f>
        <v/>
      </c>
      <c r="F11" s="17">
        <f>E11/'META DATA'!B$2</f>
        <v/>
      </c>
      <c r="G11" s="264" t="n"/>
      <c r="H11" s="69" t="n">
        <v>0</v>
      </c>
      <c r="I11" s="69" t="n">
        <v>0</v>
      </c>
      <c r="J11" s="69" t="n">
        <v>1</v>
      </c>
      <c r="K11" s="69" t="n">
        <v>0</v>
      </c>
      <c r="L11" s="69" t="n">
        <v>1</v>
      </c>
      <c r="M11" s="69" t="n">
        <v>2</v>
      </c>
      <c r="N11" s="69" t="n">
        <v>1</v>
      </c>
      <c r="O11" s="69" t="n">
        <v>1</v>
      </c>
      <c r="Q11" s="76" t="inlineStr">
        <is>
          <t>left</t>
        </is>
      </c>
      <c r="R11" s="76" t="inlineStr">
        <is>
          <t>backward</t>
        </is>
      </c>
      <c r="S11" s="76" t="inlineStr">
        <is>
          <t>neutral</t>
        </is>
      </c>
      <c r="T11" s="76" t="inlineStr">
        <is>
          <t>low</t>
        </is>
      </c>
      <c r="U11" s="76" t="inlineStr">
        <is>
          <t>user</t>
        </is>
      </c>
      <c r="V11" s="76" t="inlineStr">
        <is>
          <t>long</t>
        </is>
      </c>
      <c r="W11" s="76" t="inlineStr">
        <is>
          <t>medium</t>
        </is>
      </c>
      <c r="X11" s="76" t="inlineStr">
        <is>
          <t>smooth</t>
        </is>
      </c>
    </row>
    <row r="12" ht="23" customHeight="1" s="270" thickBot="1">
      <c r="A12" s="120" t="inlineStr">
        <is>
          <t>Yes</t>
        </is>
      </c>
      <c r="B12" s="115" t="inlineStr">
        <is>
          <t>Random</t>
        </is>
      </c>
      <c r="C12" s="79" t="inlineStr">
        <is>
          <t>Waiting for Input</t>
        </is>
      </c>
      <c r="D12" s="99" t="inlineStr">
        <is>
          <t>C 38% + split</t>
        </is>
      </c>
      <c r="E12" s="23">
        <f>SUM(L145:L204)</f>
        <v/>
      </c>
      <c r="F12" s="80">
        <f>E12/'META DATA'!B$2</f>
        <v/>
      </c>
      <c r="G12" s="268">
        <f>AVERAGE(F12:F16)</f>
        <v/>
      </c>
      <c r="H12" s="77" t="n">
        <v>2</v>
      </c>
      <c r="I12" s="77" t="n">
        <v>1</v>
      </c>
      <c r="J12" s="77" t="n">
        <v>1</v>
      </c>
      <c r="K12" s="77" t="n">
        <v>2</v>
      </c>
      <c r="L12" s="77" t="n">
        <v>2</v>
      </c>
      <c r="M12" s="77" t="n">
        <v>2</v>
      </c>
      <c r="N12" s="77" t="n">
        <v>0</v>
      </c>
      <c r="O12" s="77" t="n">
        <v>2</v>
      </c>
      <c r="Q12" s="77" t="inlineStr">
        <is>
          <t>right</t>
        </is>
      </c>
      <c r="R12" s="77" t="inlineStr">
        <is>
          <t>neutral</t>
        </is>
      </c>
      <c r="S12" s="77" t="inlineStr">
        <is>
          <t>neutral</t>
        </is>
      </c>
      <c r="T12" s="77" t="inlineStr">
        <is>
          <t>high</t>
        </is>
      </c>
      <c r="U12" s="77" t="inlineStr">
        <is>
          <t>object</t>
        </is>
      </c>
      <c r="V12" s="77" t="inlineStr">
        <is>
          <t>long</t>
        </is>
      </c>
      <c r="W12" s="77" t="inlineStr">
        <is>
          <t>slow</t>
        </is>
      </c>
      <c r="X12" s="77" t="inlineStr">
        <is>
          <t>shaky</t>
        </is>
      </c>
    </row>
    <row r="13" ht="23" customHeight="1" s="270" thickBot="1">
      <c r="A13" s="120" t="inlineStr">
        <is>
          <t>No</t>
        </is>
      </c>
      <c r="B13" s="116" t="n"/>
      <c r="C13" s="24" t="inlineStr">
        <is>
          <t>Analyzing Object</t>
        </is>
      </c>
      <c r="D13" s="100" t="inlineStr">
        <is>
          <t>NH 58% + split</t>
        </is>
      </c>
      <c r="E13" s="23">
        <f>SUM(L325:L384)</f>
        <v/>
      </c>
      <c r="F13" s="25">
        <f>E13/'META DATA'!B$2</f>
        <v/>
      </c>
      <c r="G13" s="243" t="n"/>
      <c r="H13" s="70" t="n">
        <v>1</v>
      </c>
      <c r="I13" s="70" t="n">
        <v>0</v>
      </c>
      <c r="J13" s="70" t="n">
        <v>0</v>
      </c>
      <c r="K13" s="70" t="n">
        <v>0</v>
      </c>
      <c r="L13" s="70" t="n">
        <v>1</v>
      </c>
      <c r="M13" s="70" t="n">
        <v>2</v>
      </c>
      <c r="N13" s="70" t="n">
        <v>1</v>
      </c>
      <c r="O13" s="70" t="n">
        <v>2</v>
      </c>
      <c r="Q13" s="70" t="inlineStr">
        <is>
          <t>neutral</t>
        </is>
      </c>
      <c r="R13" s="70" t="inlineStr">
        <is>
          <t>backward</t>
        </is>
      </c>
      <c r="S13" s="70" t="inlineStr">
        <is>
          <t>left</t>
        </is>
      </c>
      <c r="T13" s="70" t="inlineStr">
        <is>
          <t>low</t>
        </is>
      </c>
      <c r="U13" s="70" t="inlineStr">
        <is>
          <t>user</t>
        </is>
      </c>
      <c r="V13" s="70" t="inlineStr">
        <is>
          <t>long</t>
        </is>
      </c>
      <c r="W13" s="70" t="inlineStr">
        <is>
          <t>medium</t>
        </is>
      </c>
      <c r="X13" s="70" t="inlineStr">
        <is>
          <t>shaky</t>
        </is>
      </c>
    </row>
    <row r="14" ht="23" customHeight="1" s="270" thickBot="1">
      <c r="A14" s="120" t="inlineStr">
        <is>
          <t>Close</t>
        </is>
      </c>
      <c r="B14" s="116" t="n"/>
      <c r="C14" s="24" t="inlineStr">
        <is>
          <t>Found Object</t>
        </is>
      </c>
      <c r="D14" s="100" t="inlineStr">
        <is>
          <t>split</t>
        </is>
      </c>
      <c r="E14" s="23">
        <f>SUM(L505:L564)</f>
        <v/>
      </c>
      <c r="F14" s="25">
        <f>E14/'META DATA'!B$2</f>
        <v/>
      </c>
      <c r="G14" s="243" t="n"/>
      <c r="H14" s="70" t="n">
        <v>0</v>
      </c>
      <c r="I14" s="70" t="n">
        <v>1</v>
      </c>
      <c r="J14" s="70" t="n">
        <v>0</v>
      </c>
      <c r="K14" s="70" t="n">
        <v>1</v>
      </c>
      <c r="L14" s="70" t="n">
        <v>2</v>
      </c>
      <c r="M14" s="70" t="n">
        <v>2</v>
      </c>
      <c r="N14" s="70" t="n">
        <v>2</v>
      </c>
      <c r="O14" s="70" t="n">
        <v>2</v>
      </c>
      <c r="Q14" s="70" t="inlineStr">
        <is>
          <t>left</t>
        </is>
      </c>
      <c r="R14" s="70" t="inlineStr">
        <is>
          <t>neutral</t>
        </is>
      </c>
      <c r="S14" s="70" t="inlineStr">
        <is>
          <t>left</t>
        </is>
      </c>
      <c r="T14" s="70" t="inlineStr">
        <is>
          <t>neutral</t>
        </is>
      </c>
      <c r="U14" s="70" t="inlineStr">
        <is>
          <t>object</t>
        </is>
      </c>
      <c r="V14" s="70" t="inlineStr">
        <is>
          <t>long</t>
        </is>
      </c>
      <c r="W14" s="70" t="inlineStr">
        <is>
          <t>fast</t>
        </is>
      </c>
      <c r="X14" s="70" t="inlineStr">
        <is>
          <t>shaky</t>
        </is>
      </c>
    </row>
    <row r="15" ht="23" customHeight="1" s="270" thickBot="1">
      <c r="A15" s="120" t="inlineStr">
        <is>
          <t>No</t>
        </is>
      </c>
      <c r="B15" s="116" t="n"/>
      <c r="C15" s="24" t="inlineStr">
        <is>
          <t>Needs Help</t>
        </is>
      </c>
      <c r="D15" s="100" t="inlineStr">
        <is>
          <t>AO 45% + split</t>
        </is>
      </c>
      <c r="E15" s="23">
        <f>SUM(L684:L743)</f>
        <v/>
      </c>
      <c r="F15" s="25">
        <f>E15/'META DATA'!B$2</f>
        <v/>
      </c>
      <c r="G15" s="243" t="n"/>
      <c r="H15" s="70" t="n">
        <v>2</v>
      </c>
      <c r="I15" s="70" t="n">
        <v>2</v>
      </c>
      <c r="J15" s="70" t="n">
        <v>2</v>
      </c>
      <c r="K15" s="70" t="n">
        <v>2</v>
      </c>
      <c r="L15" s="70" t="n">
        <v>2</v>
      </c>
      <c r="M15" s="70" t="n">
        <v>0</v>
      </c>
      <c r="N15" s="70" t="n">
        <v>2</v>
      </c>
      <c r="O15" s="70" t="n">
        <v>2</v>
      </c>
      <c r="Q15" s="70" t="inlineStr">
        <is>
          <t>right</t>
        </is>
      </c>
      <c r="R15" s="70" t="inlineStr">
        <is>
          <t>forward</t>
        </is>
      </c>
      <c r="S15" s="70" t="inlineStr">
        <is>
          <t>right</t>
        </is>
      </c>
      <c r="T15" s="70" t="inlineStr">
        <is>
          <t>high</t>
        </is>
      </c>
      <c r="U15" s="70" t="inlineStr">
        <is>
          <t>object</t>
        </is>
      </c>
      <c r="V15" s="70" t="inlineStr">
        <is>
          <t>short</t>
        </is>
      </c>
      <c r="W15" s="70" t="inlineStr">
        <is>
          <t>fast</t>
        </is>
      </c>
      <c r="X15" s="70" t="inlineStr">
        <is>
          <t>shaky</t>
        </is>
      </c>
    </row>
    <row r="16" ht="23" customHeight="1" s="270" thickBot="1">
      <c r="A16" s="118" t="inlineStr">
        <is>
          <t>No</t>
        </is>
      </c>
      <c r="B16" s="117" t="n"/>
      <c r="C16" s="81" t="inlineStr">
        <is>
          <t>Confused</t>
        </is>
      </c>
      <c r="D16" s="101" t="inlineStr">
        <is>
          <t>NH 57% + split</t>
        </is>
      </c>
      <c r="E16" s="82">
        <f>SUM(L864:L923)</f>
        <v/>
      </c>
      <c r="F16" s="83">
        <f>E16/'META DATA'!B$2</f>
        <v/>
      </c>
      <c r="G16" s="264" t="n"/>
      <c r="H16" s="71" t="n">
        <v>0</v>
      </c>
      <c r="I16" s="71" t="n">
        <v>0</v>
      </c>
      <c r="J16" s="71" t="n">
        <v>0</v>
      </c>
      <c r="K16" s="71" t="n">
        <v>0</v>
      </c>
      <c r="L16" s="71" t="n">
        <v>1</v>
      </c>
      <c r="M16" s="71" t="n">
        <v>0</v>
      </c>
      <c r="N16" s="71" t="n">
        <v>2</v>
      </c>
      <c r="O16" s="71" t="n">
        <v>2</v>
      </c>
      <c r="Q16" s="71" t="inlineStr">
        <is>
          <t>left</t>
        </is>
      </c>
      <c r="R16" s="71" t="inlineStr">
        <is>
          <t>backward</t>
        </is>
      </c>
      <c r="S16" s="71" t="inlineStr">
        <is>
          <t>left</t>
        </is>
      </c>
      <c r="T16" s="71" t="inlineStr">
        <is>
          <t>low</t>
        </is>
      </c>
      <c r="U16" s="71" t="inlineStr">
        <is>
          <t>user</t>
        </is>
      </c>
      <c r="V16" s="71" t="inlineStr">
        <is>
          <t>short</t>
        </is>
      </c>
      <c r="W16" s="71" t="inlineStr">
        <is>
          <t>fast</t>
        </is>
      </c>
      <c r="X16" s="71" t="inlineStr">
        <is>
          <t>shaky</t>
        </is>
      </c>
    </row>
    <row r="17" ht="23" customHeight="1" s="270" thickBot="1">
      <c r="H17" s="3" t="n"/>
    </row>
    <row r="18" ht="23" customHeight="1" s="270" thickBot="1">
      <c r="D18" s="106" t="n"/>
      <c r="G18" s="51" t="inlineStr">
        <is>
          <t>Index</t>
        </is>
      </c>
      <c r="H18" s="48" t="inlineStr">
        <is>
          <t>Body Tilt</t>
        </is>
      </c>
      <c r="I18" s="49" t="inlineStr">
        <is>
          <t>Body Lean</t>
        </is>
      </c>
      <c r="J18" s="49" t="inlineStr">
        <is>
          <t>Body Turn</t>
        </is>
      </c>
      <c r="K18" s="49" t="inlineStr">
        <is>
          <t>Body Height</t>
        </is>
      </c>
      <c r="L18" s="49" t="inlineStr">
        <is>
          <t>Body Direction</t>
        </is>
      </c>
      <c r="M18" s="49" t="inlineStr">
        <is>
          <t>Pose Duration</t>
        </is>
      </c>
      <c r="N18" s="49" t="inlineStr">
        <is>
          <t>Velocity</t>
        </is>
      </c>
      <c r="O18" s="50" t="inlineStr">
        <is>
          <t>Smoothness</t>
        </is>
      </c>
    </row>
    <row r="19" ht="23" customHeight="1" s="270" thickBot="1">
      <c r="D19" s="105" t="n"/>
      <c r="G19" s="52" t="n">
        <v>0</v>
      </c>
      <c r="H19" s="33" t="inlineStr">
        <is>
          <t>left</t>
        </is>
      </c>
      <c r="I19" s="34" t="inlineStr">
        <is>
          <t>backward</t>
        </is>
      </c>
      <c r="J19" s="34" t="inlineStr">
        <is>
          <t>left</t>
        </is>
      </c>
      <c r="K19" s="34" t="inlineStr">
        <is>
          <t>low</t>
        </is>
      </c>
      <c r="L19" s="35" t="inlineStr">
        <is>
          <t>nan</t>
        </is>
      </c>
      <c r="M19" s="34" t="inlineStr">
        <is>
          <t>short</t>
        </is>
      </c>
      <c r="N19" s="34" t="inlineStr">
        <is>
          <t>slow</t>
        </is>
      </c>
      <c r="O19" s="36" t="inlineStr">
        <is>
          <t>nan</t>
        </is>
      </c>
      <c r="P19" s="37" t="n"/>
    </row>
    <row r="20" ht="23" customHeight="1" s="270" thickBot="1">
      <c r="D20" s="105" t="n"/>
      <c r="E20" s="265" t="inlineStr">
        <is>
          <t>ALL defalts are at IDX 1</t>
        </is>
      </c>
      <c r="F20" s="266" t="n"/>
      <c r="G20" s="65" t="n">
        <v>1</v>
      </c>
      <c r="H20" s="39" t="inlineStr">
        <is>
          <t>neutral</t>
        </is>
      </c>
      <c r="I20" s="40" t="inlineStr">
        <is>
          <t>neutral</t>
        </is>
      </c>
      <c r="J20" s="40" t="inlineStr">
        <is>
          <t>neutral</t>
        </is>
      </c>
      <c r="K20" s="40" t="inlineStr">
        <is>
          <t>neutral</t>
        </is>
      </c>
      <c r="L20" s="40" t="inlineStr">
        <is>
          <t>user</t>
        </is>
      </c>
      <c r="M20" s="40" t="inlineStr">
        <is>
          <t>medium</t>
        </is>
      </c>
      <c r="N20" s="40" t="inlineStr">
        <is>
          <t>medium</t>
        </is>
      </c>
      <c r="O20" s="41" t="inlineStr">
        <is>
          <t>smooth</t>
        </is>
      </c>
    </row>
    <row r="21" ht="23" customHeight="1" s="270" thickBot="1">
      <c r="D21" s="105" t="n"/>
      <c r="G21" s="53" t="n">
        <v>2</v>
      </c>
      <c r="H21" s="44" t="inlineStr">
        <is>
          <t>right</t>
        </is>
      </c>
      <c r="I21" s="45" t="inlineStr">
        <is>
          <t>forward</t>
        </is>
      </c>
      <c r="J21" s="45" t="inlineStr">
        <is>
          <t>right</t>
        </is>
      </c>
      <c r="K21" s="45" t="inlineStr">
        <is>
          <t>high</t>
        </is>
      </c>
      <c r="L21" s="46" t="inlineStr">
        <is>
          <t>object</t>
        </is>
      </c>
      <c r="M21" s="45" t="inlineStr">
        <is>
          <t>long</t>
        </is>
      </c>
      <c r="N21" s="45" t="inlineStr">
        <is>
          <t>fast</t>
        </is>
      </c>
      <c r="O21" s="47" t="inlineStr">
        <is>
          <t>shaky</t>
        </is>
      </c>
      <c r="P21" s="37" t="n"/>
    </row>
    <row r="22">
      <c r="H22" s="3" t="n"/>
    </row>
    <row r="23">
      <c r="H23" s="3" t="n"/>
    </row>
    <row r="24">
      <c r="D24" s="26" t="inlineStr">
        <is>
          <t>datapoint</t>
        </is>
      </c>
      <c r="E24" s="27" t="inlineStr">
        <is>
          <t>Previous Study (Y=1, N=2)</t>
        </is>
      </c>
      <c r="F24" s="27" t="inlineStr">
        <is>
          <t>condition</t>
        </is>
      </c>
      <c r="G24" s="27" t="inlineStr">
        <is>
          <t>real_state</t>
        </is>
      </c>
      <c r="H24" s="27" t="inlineStr">
        <is>
          <t>real_state_idx</t>
        </is>
      </c>
      <c r="I24" s="27" t="inlineStr">
        <is>
          <t>response</t>
        </is>
      </c>
      <c r="J24" s="27" t="inlineStr">
        <is>
          <t>response_idx</t>
        </is>
      </c>
      <c r="K24" s="27" t="inlineStr">
        <is>
          <t>confidence</t>
        </is>
      </c>
      <c r="L24" s="28" t="inlineStr">
        <is>
          <t>correct</t>
        </is>
      </c>
    </row>
    <row r="25">
      <c r="D25" s="29" t="n">
        <v>0</v>
      </c>
      <c r="E25" s="29" t="inlineStr">
        <is>
          <t>1</t>
        </is>
      </c>
      <c r="F25" s="30" t="inlineStr">
        <is>
          <t>GPT4</t>
        </is>
      </c>
      <c r="G25" s="29" t="inlineStr">
        <is>
          <t>Waiting for Input</t>
        </is>
      </c>
      <c r="H25" s="29">
        <f>MATCH(G25, {"Waiting for Input","Analyzing Object","Found Object","Needs Help","Confused","None"}, 0) - 1</f>
        <v/>
      </c>
      <c r="I25" s="29" t="inlineStr">
        <is>
          <t>Waiting for Input</t>
        </is>
      </c>
      <c r="J25" s="29">
        <f>MATCH(I25, {"Waiting for Input","Analyzing Object","Found Object","Needs Help","Confused","None"}, 0) - 1</f>
        <v/>
      </c>
      <c r="K25" s="29" t="n">
        <v>3</v>
      </c>
      <c r="L25" s="29">
        <f>IF(H25=J25, 1, 0)</f>
        <v/>
      </c>
    </row>
    <row r="26">
      <c r="D26" s="29" t="n">
        <v>1</v>
      </c>
      <c r="E26" s="29" t="inlineStr">
        <is>
          <t>1</t>
        </is>
      </c>
      <c r="F26" s="30" t="inlineStr">
        <is>
          <t>GPT4</t>
        </is>
      </c>
      <c r="G26" s="29" t="inlineStr">
        <is>
          <t>Waiting for Input</t>
        </is>
      </c>
      <c r="H26" s="29">
        <f>MATCH(G26, {"Waiting for Input","Analyzing Object","Found Object","Needs Help","Confused","None"}, 0) - 1</f>
        <v/>
      </c>
      <c r="I26" s="29" t="inlineStr">
        <is>
          <t>Waiting for Input</t>
        </is>
      </c>
      <c r="J26" s="29">
        <f>MATCH(I26, {"Waiting for Input","Analyzing Object","Found Object","Needs Help","Confused","None"}, 0) - 1</f>
        <v/>
      </c>
      <c r="K26" s="29" t="n">
        <v>4</v>
      </c>
      <c r="L26" s="29">
        <f>IF(H26=J26, 1, 0)</f>
        <v/>
      </c>
    </row>
    <row r="27">
      <c r="D27" s="29" t="n">
        <v>2</v>
      </c>
      <c r="E27" s="29" t="inlineStr">
        <is>
          <t>1</t>
        </is>
      </c>
      <c r="F27" s="30" t="inlineStr">
        <is>
          <t>GPT4</t>
        </is>
      </c>
      <c r="G27" s="29" t="inlineStr">
        <is>
          <t>Waiting for Input</t>
        </is>
      </c>
      <c r="H27" s="29">
        <f>MATCH(G27, {"Waiting for Input","Analyzing Object","Found Object","Needs Help","Confused","None"}, 0) - 1</f>
        <v/>
      </c>
      <c r="I27" s="29" t="inlineStr">
        <is>
          <t>Confused</t>
        </is>
      </c>
      <c r="J27" s="29">
        <f>MATCH(I27, {"Waiting for Input","Analyzing Object","Found Object","Needs Help","Confused","None"}, 0) - 1</f>
        <v/>
      </c>
      <c r="K27" s="29" t="n">
        <v>2</v>
      </c>
      <c r="L27" s="29">
        <f>IF(H27=J27, 1, 0)</f>
        <v/>
      </c>
    </row>
    <row r="28">
      <c r="D28" s="29" t="n">
        <v>3</v>
      </c>
      <c r="E28" s="29" t="inlineStr">
        <is>
          <t>2</t>
        </is>
      </c>
      <c r="F28" s="30" t="inlineStr">
        <is>
          <t>GPT4</t>
        </is>
      </c>
      <c r="G28" s="29" t="inlineStr">
        <is>
          <t>Waiting for Input</t>
        </is>
      </c>
      <c r="H28" s="29">
        <f>MATCH(G28, {"Waiting for Input","Analyzing Object","Found Object","Needs Help","Confused","None"}, 0) - 1</f>
        <v/>
      </c>
      <c r="I28" s="29" t="inlineStr">
        <is>
          <t>Waiting for Input</t>
        </is>
      </c>
      <c r="J28" s="29">
        <f>MATCH(I28, {"Waiting for Input","Analyzing Object","Found Object","Needs Help","Confused","None"}, 0) - 1</f>
        <v/>
      </c>
      <c r="K28" s="29" t="n">
        <v>5</v>
      </c>
      <c r="L28" s="29">
        <f>IF(H28=J28, 1, 0)</f>
        <v/>
      </c>
    </row>
    <row r="29">
      <c r="D29" s="29" t="n">
        <v>4</v>
      </c>
      <c r="E29" s="29" t="inlineStr">
        <is>
          <t>2</t>
        </is>
      </c>
      <c r="F29" s="30" t="inlineStr">
        <is>
          <t>GPT4</t>
        </is>
      </c>
      <c r="G29" s="29" t="inlineStr">
        <is>
          <t>Waiting for Input</t>
        </is>
      </c>
      <c r="H29" s="29">
        <f>MATCH(G29, {"Waiting for Input","Analyzing Object","Found Object","Needs Help","Confused","None"}, 0) - 1</f>
        <v/>
      </c>
      <c r="I29" s="29" t="inlineStr">
        <is>
          <t>Waiting for Input</t>
        </is>
      </c>
      <c r="J29" s="29">
        <f>MATCH(I29, {"Waiting for Input","Analyzing Object","Found Object","Needs Help","Confused","None"}, 0) - 1</f>
        <v/>
      </c>
      <c r="K29" s="29" t="n">
        <v>4</v>
      </c>
      <c r="L29" s="29">
        <f>IF(H29=J29, 1, 0)</f>
        <v/>
      </c>
    </row>
    <row r="30">
      <c r="D30" s="29" t="n">
        <v>5</v>
      </c>
      <c r="E30" s="29" t="inlineStr">
        <is>
          <t>1</t>
        </is>
      </c>
      <c r="F30" s="30" t="inlineStr">
        <is>
          <t>GPT4</t>
        </is>
      </c>
      <c r="G30" s="29" t="inlineStr">
        <is>
          <t>Waiting for Input</t>
        </is>
      </c>
      <c r="H30" s="29">
        <f>MATCH(G30, {"Waiting for Input","Analyzing Object","Found Object","Needs Help","Confused","None"}, 0) - 1</f>
        <v/>
      </c>
      <c r="I30" s="29" t="inlineStr">
        <is>
          <t>Waiting for Input</t>
        </is>
      </c>
      <c r="J30" s="29">
        <f>MATCH(I30, {"Waiting for Input","Analyzing Object","Found Object","Needs Help","Confused","None"}, 0) - 1</f>
        <v/>
      </c>
      <c r="K30" s="29" t="n">
        <v>5</v>
      </c>
      <c r="L30" s="29">
        <f>IF(H30=J30, 1, 0)</f>
        <v/>
      </c>
    </row>
    <row r="31">
      <c r="D31" s="29" t="n">
        <v>6</v>
      </c>
      <c r="E31" s="29" t="inlineStr">
        <is>
          <t>2</t>
        </is>
      </c>
      <c r="F31" s="30" t="inlineStr">
        <is>
          <t>GPT4</t>
        </is>
      </c>
      <c r="G31" s="29" t="inlineStr">
        <is>
          <t>Waiting for Input</t>
        </is>
      </c>
      <c r="H31" s="29">
        <f>MATCH(G31, {"Waiting for Input","Analyzing Object","Found Object","Needs Help","Confused","None"}, 0) - 1</f>
        <v/>
      </c>
      <c r="I31" s="31" t="inlineStr">
        <is>
          <t>None</t>
        </is>
      </c>
      <c r="J31" s="29">
        <f>MATCH(I31, {"Waiting for Input","Analyzing Object","Found Object","Needs Help","Confused","None"}, 0) - 1</f>
        <v/>
      </c>
      <c r="K31" s="29" t="n">
        <v>1</v>
      </c>
      <c r="L31" s="29">
        <f>IF(H31=J31, 1, 0)</f>
        <v/>
      </c>
    </row>
    <row r="32">
      <c r="D32" s="29" t="n">
        <v>7</v>
      </c>
      <c r="E32" s="29" t="inlineStr">
        <is>
          <t>1</t>
        </is>
      </c>
      <c r="F32" s="30" t="inlineStr">
        <is>
          <t>GPT4</t>
        </is>
      </c>
      <c r="G32" s="29" t="inlineStr">
        <is>
          <t>Waiting for Input</t>
        </is>
      </c>
      <c r="H32" s="29">
        <f>MATCH(G32, {"Waiting for Input","Analyzing Object","Found Object","Needs Help","Confused","None"}, 0) - 1</f>
        <v/>
      </c>
      <c r="I32" s="29" t="inlineStr">
        <is>
          <t>Waiting for Input</t>
        </is>
      </c>
      <c r="J32" s="29">
        <f>MATCH(I32, {"Waiting for Input","Analyzing Object","Found Object","Needs Help","Confused","None"}, 0) - 1</f>
        <v/>
      </c>
      <c r="K32" s="29" t="n">
        <v>3</v>
      </c>
      <c r="L32" s="29">
        <f>IF(H32=J32, 1, 0)</f>
        <v/>
      </c>
    </row>
    <row r="33">
      <c r="D33" s="29" t="n">
        <v>8</v>
      </c>
      <c r="E33" s="29" t="inlineStr">
        <is>
          <t>1</t>
        </is>
      </c>
      <c r="F33" s="30" t="inlineStr">
        <is>
          <t>GPT4</t>
        </is>
      </c>
      <c r="G33" s="29" t="inlineStr">
        <is>
          <t>Waiting for Input</t>
        </is>
      </c>
      <c r="H33" s="29">
        <f>MATCH(G33, {"Waiting for Input","Analyzing Object","Found Object","Needs Help","Confused","None"}, 0) - 1</f>
        <v/>
      </c>
      <c r="I33" s="31" t="inlineStr">
        <is>
          <t>None</t>
        </is>
      </c>
      <c r="J33" s="29">
        <f>MATCH(I33, {"Waiting for Input","Analyzing Object","Found Object","Needs Help","Confused","None"}, 0) - 1</f>
        <v/>
      </c>
      <c r="K33" s="29" t="n">
        <v>2</v>
      </c>
      <c r="L33" s="29">
        <f>IF(H33=J33, 1, 0)</f>
        <v/>
      </c>
    </row>
    <row r="34">
      <c r="D34" s="29" t="n">
        <v>9</v>
      </c>
      <c r="E34" s="29" t="inlineStr">
        <is>
          <t>1</t>
        </is>
      </c>
      <c r="F34" s="30" t="inlineStr">
        <is>
          <t>GPT4</t>
        </is>
      </c>
      <c r="G34" s="29" t="inlineStr">
        <is>
          <t>Waiting for Input</t>
        </is>
      </c>
      <c r="H34" s="29">
        <f>MATCH(G34, {"Waiting for Input","Analyzing Object","Found Object","Needs Help","Confused","None"}, 0) - 1</f>
        <v/>
      </c>
      <c r="I34" s="29" t="inlineStr">
        <is>
          <t>Waiting for Input</t>
        </is>
      </c>
      <c r="J34" s="29">
        <f>MATCH(I34, {"Waiting for Input","Analyzing Object","Found Object","Needs Help","Confused","None"}, 0) - 1</f>
        <v/>
      </c>
      <c r="K34" s="29" t="n">
        <v>5</v>
      </c>
      <c r="L34" s="29">
        <f>IF(H34=J34, 1, 0)</f>
        <v/>
      </c>
    </row>
    <row r="35">
      <c r="D35" s="29" t="n">
        <v>10</v>
      </c>
      <c r="E35" s="29" t="inlineStr">
        <is>
          <t>2</t>
        </is>
      </c>
      <c r="F35" s="30" t="inlineStr">
        <is>
          <t>GPT4</t>
        </is>
      </c>
      <c r="G35" s="29" t="inlineStr">
        <is>
          <t>Waiting for Input</t>
        </is>
      </c>
      <c r="H35" s="29">
        <f>MATCH(G35, {"Waiting for Input","Analyzing Object","Found Object","Needs Help","Confused","None"}, 0) - 1</f>
        <v/>
      </c>
      <c r="I35" s="29" t="inlineStr">
        <is>
          <t>Waiting for Input</t>
        </is>
      </c>
      <c r="J35" s="29">
        <f>MATCH(I35, {"Waiting for Input","Analyzing Object","Found Object","Needs Help","Confused","None"}, 0) - 1</f>
        <v/>
      </c>
      <c r="K35" s="29" t="n">
        <v>5</v>
      </c>
      <c r="L35" s="29">
        <f>IF(H35=J35, 1, 0)</f>
        <v/>
      </c>
    </row>
    <row r="36">
      <c r="D36" s="29" t="n">
        <v>11</v>
      </c>
      <c r="E36" s="29" t="inlineStr">
        <is>
          <t>2</t>
        </is>
      </c>
      <c r="F36" s="30" t="inlineStr">
        <is>
          <t>GPT4</t>
        </is>
      </c>
      <c r="G36" s="29" t="inlineStr">
        <is>
          <t>Waiting for Input</t>
        </is>
      </c>
      <c r="H36" s="29">
        <f>MATCH(G36, {"Waiting for Input","Analyzing Object","Found Object","Needs Help","Confused","None"}, 0) - 1</f>
        <v/>
      </c>
      <c r="I36" s="29" t="inlineStr">
        <is>
          <t>Waiting for Input</t>
        </is>
      </c>
      <c r="J36" s="29">
        <f>MATCH(I36, {"Waiting for Input","Analyzing Object","Found Object","Needs Help","Confused","None"}, 0) - 1</f>
        <v/>
      </c>
      <c r="K36" s="29" t="n">
        <v>5</v>
      </c>
      <c r="L36" s="29">
        <f>IF(H36=J36, 1, 0)</f>
        <v/>
      </c>
    </row>
    <row r="37">
      <c r="D37" s="29" t="n">
        <v>12</v>
      </c>
      <c r="E37" s="29" t="inlineStr">
        <is>
          <t>2</t>
        </is>
      </c>
      <c r="F37" s="30" t="inlineStr">
        <is>
          <t>GPT4</t>
        </is>
      </c>
      <c r="G37" s="29" t="inlineStr">
        <is>
          <t>Waiting for Input</t>
        </is>
      </c>
      <c r="H37" s="29">
        <f>MATCH(G37, {"Waiting for Input","Analyzing Object","Found Object","Needs Help","Confused","None"}, 0) - 1</f>
        <v/>
      </c>
      <c r="I37" s="29" t="inlineStr">
        <is>
          <t>Waiting for Input</t>
        </is>
      </c>
      <c r="J37" s="29">
        <f>MATCH(I37, {"Waiting for Input","Analyzing Object","Found Object","Needs Help","Confused","None"}, 0) - 1</f>
        <v/>
      </c>
      <c r="K37" s="29" t="n">
        <v>2</v>
      </c>
      <c r="L37" s="29">
        <f>IF(H37=J37, 1, 0)</f>
        <v/>
      </c>
    </row>
    <row r="38">
      <c r="D38" s="29" t="n">
        <v>13</v>
      </c>
      <c r="E38" s="29" t="inlineStr">
        <is>
          <t>2</t>
        </is>
      </c>
      <c r="F38" s="30" t="inlineStr">
        <is>
          <t>GPT4</t>
        </is>
      </c>
      <c r="G38" s="29" t="inlineStr">
        <is>
          <t>Waiting for Input</t>
        </is>
      </c>
      <c r="H38" s="29">
        <f>MATCH(G38, {"Waiting for Input","Analyzing Object","Found Object","Needs Help","Confused","None"}, 0) - 1</f>
        <v/>
      </c>
      <c r="I38" s="29" t="inlineStr">
        <is>
          <t>Waiting for Input</t>
        </is>
      </c>
      <c r="J38" s="29">
        <f>MATCH(I38, {"Waiting for Input","Analyzing Object","Found Object","Needs Help","Confused","None"}, 0) - 1</f>
        <v/>
      </c>
      <c r="K38" s="29" t="n">
        <v>2</v>
      </c>
      <c r="L38" s="29">
        <f>IF(H38=J38, 1, 0)</f>
        <v/>
      </c>
    </row>
    <row r="39">
      <c r="D39" s="29" t="n">
        <v>14</v>
      </c>
      <c r="E39" s="29" t="inlineStr">
        <is>
          <t>1</t>
        </is>
      </c>
      <c r="F39" s="30" t="inlineStr">
        <is>
          <t>GPT4</t>
        </is>
      </c>
      <c r="G39" s="29" t="inlineStr">
        <is>
          <t>Waiting for Input</t>
        </is>
      </c>
      <c r="H39" s="29">
        <f>MATCH(G39, {"Waiting for Input","Analyzing Object","Found Object","Needs Help","Confused","None"}, 0) - 1</f>
        <v/>
      </c>
      <c r="I39" s="29" t="inlineStr">
        <is>
          <t>Waiting for Input</t>
        </is>
      </c>
      <c r="J39" s="29">
        <f>MATCH(I39, {"Waiting for Input","Analyzing Object","Found Object","Needs Help","Confused","None"}, 0) - 1</f>
        <v/>
      </c>
      <c r="K39" s="29" t="n">
        <v>3</v>
      </c>
      <c r="L39" s="29">
        <f>IF(H39=J39, 1, 0)</f>
        <v/>
      </c>
    </row>
    <row r="40">
      <c r="D40" s="29" t="n">
        <v>15</v>
      </c>
      <c r="E40" s="29" t="inlineStr">
        <is>
          <t>1</t>
        </is>
      </c>
      <c r="F40" s="30" t="inlineStr">
        <is>
          <t>GPT4</t>
        </is>
      </c>
      <c r="G40" s="29" t="inlineStr">
        <is>
          <t>Waiting for Input</t>
        </is>
      </c>
      <c r="H40" s="29">
        <f>MATCH(G40, {"Waiting for Input","Analyzing Object","Found Object","Needs Help","Confused","None"}, 0) - 1</f>
        <v/>
      </c>
      <c r="I40" s="29" t="inlineStr">
        <is>
          <t>Waiting for Input</t>
        </is>
      </c>
      <c r="J40" s="29">
        <f>MATCH(I40, {"Waiting for Input","Analyzing Object","Found Object","Needs Help","Confused","None"}, 0) - 1</f>
        <v/>
      </c>
      <c r="K40" s="29" t="n">
        <v>4</v>
      </c>
      <c r="L40" s="29">
        <f>IF(H40=J40, 1, 0)</f>
        <v/>
      </c>
    </row>
    <row r="41">
      <c r="D41" s="29" t="n">
        <v>16</v>
      </c>
      <c r="E41" s="29" t="inlineStr">
        <is>
          <t>1</t>
        </is>
      </c>
      <c r="F41" s="30" t="inlineStr">
        <is>
          <t>GPT4</t>
        </is>
      </c>
      <c r="G41" s="29" t="inlineStr">
        <is>
          <t>Waiting for Input</t>
        </is>
      </c>
      <c r="H41" s="29">
        <f>MATCH(G41, {"Waiting for Input","Analyzing Object","Found Object","Needs Help","Confused","None"}, 0) - 1</f>
        <v/>
      </c>
      <c r="I41" s="29" t="inlineStr">
        <is>
          <t>Confused</t>
        </is>
      </c>
      <c r="J41" s="29">
        <f>MATCH(I41, {"Waiting for Input","Analyzing Object","Found Object","Needs Help","Confused","None"}, 0) - 1</f>
        <v/>
      </c>
      <c r="K41" s="29" t="n">
        <v>1</v>
      </c>
      <c r="L41" s="29">
        <f>IF(H41=J41, 1, 0)</f>
        <v/>
      </c>
    </row>
    <row r="42">
      <c r="D42" s="29" t="n">
        <v>17</v>
      </c>
      <c r="E42" s="29" t="inlineStr">
        <is>
          <t>2</t>
        </is>
      </c>
      <c r="F42" s="30" t="inlineStr">
        <is>
          <t>GPT4</t>
        </is>
      </c>
      <c r="G42" s="29" t="inlineStr">
        <is>
          <t>Waiting for Input</t>
        </is>
      </c>
      <c r="H42" s="29">
        <f>MATCH(G42, {"Waiting for Input","Analyzing Object","Found Object","Needs Help","Confused","None"}, 0) - 1</f>
        <v/>
      </c>
      <c r="I42" s="29" t="inlineStr">
        <is>
          <t>Needs Help</t>
        </is>
      </c>
      <c r="J42" s="29">
        <f>MATCH(I42, {"Waiting for Input","Analyzing Object","Found Object","Needs Help","Confused","None"}, 0) - 1</f>
        <v/>
      </c>
      <c r="K42" s="29" t="n">
        <v>2</v>
      </c>
      <c r="L42" s="29">
        <f>IF(H42=J42, 1, 0)</f>
        <v/>
      </c>
    </row>
    <row r="43">
      <c r="D43" s="29" t="n">
        <v>18</v>
      </c>
      <c r="E43" s="29" t="inlineStr">
        <is>
          <t>2</t>
        </is>
      </c>
      <c r="F43" s="30" t="inlineStr">
        <is>
          <t>GPT4</t>
        </is>
      </c>
      <c r="G43" s="29" t="inlineStr">
        <is>
          <t>Waiting for Input</t>
        </is>
      </c>
      <c r="H43" s="29">
        <f>MATCH(G43, {"Waiting for Input","Analyzing Object","Found Object","Needs Help","Confused","None"}, 0) - 1</f>
        <v/>
      </c>
      <c r="I43" s="29" t="inlineStr">
        <is>
          <t>Waiting for Input</t>
        </is>
      </c>
      <c r="J43" s="29">
        <f>MATCH(I43, {"Waiting for Input","Analyzing Object","Found Object","Needs Help","Confused","None"}, 0) - 1</f>
        <v/>
      </c>
      <c r="K43" s="29" t="n">
        <v>5</v>
      </c>
      <c r="L43" s="29">
        <f>IF(H43=J43, 1, 0)</f>
        <v/>
      </c>
    </row>
    <row r="44">
      <c r="D44" s="29" t="n">
        <v>19</v>
      </c>
      <c r="E44" s="29" t="inlineStr">
        <is>
          <t>1</t>
        </is>
      </c>
      <c r="F44" s="30" t="inlineStr">
        <is>
          <t>GPT4</t>
        </is>
      </c>
      <c r="G44" s="29" t="inlineStr">
        <is>
          <t>Waiting for Input</t>
        </is>
      </c>
      <c r="H44" s="29">
        <f>MATCH(G44, {"Waiting for Input","Analyzing Object","Found Object","Needs Help","Confused","None"}, 0) - 1</f>
        <v/>
      </c>
      <c r="I44" s="29" t="inlineStr">
        <is>
          <t>Waiting for Input</t>
        </is>
      </c>
      <c r="J44" s="29">
        <f>MATCH(I44, {"Waiting for Input","Analyzing Object","Found Object","Needs Help","Confused","None"}, 0) - 1</f>
        <v/>
      </c>
      <c r="K44" s="29" t="n">
        <v>3</v>
      </c>
      <c r="L44" s="29">
        <f>IF(H44=J44, 1, 0)</f>
        <v/>
      </c>
    </row>
    <row r="45">
      <c r="D45" s="29" t="n">
        <v>20</v>
      </c>
      <c r="E45" s="29" t="inlineStr">
        <is>
          <t>1</t>
        </is>
      </c>
      <c r="F45" s="30" t="inlineStr">
        <is>
          <t>GPT4</t>
        </is>
      </c>
      <c r="G45" s="29" t="inlineStr">
        <is>
          <t>Waiting for Input</t>
        </is>
      </c>
      <c r="H45" s="29">
        <f>MATCH(G45, {"Waiting for Input","Analyzing Object","Found Object","Needs Help","Confused","None"}, 0) - 1</f>
        <v/>
      </c>
      <c r="I45" s="31" t="inlineStr">
        <is>
          <t>None</t>
        </is>
      </c>
      <c r="J45" s="29">
        <f>MATCH(I45, {"Waiting for Input","Analyzing Object","Found Object","Needs Help","Confused","None"}, 0) - 1</f>
        <v/>
      </c>
      <c r="K45" s="29" t="n">
        <v>2</v>
      </c>
      <c r="L45" s="29">
        <f>IF(H45=J45, 1, 0)</f>
        <v/>
      </c>
    </row>
    <row r="46">
      <c r="D46" s="29" t="n">
        <v>21</v>
      </c>
      <c r="E46" s="29" t="inlineStr">
        <is>
          <t>2</t>
        </is>
      </c>
      <c r="F46" s="30" t="inlineStr">
        <is>
          <t>GPT4</t>
        </is>
      </c>
      <c r="G46" s="29" t="inlineStr">
        <is>
          <t>Waiting for Input</t>
        </is>
      </c>
      <c r="H46" s="29">
        <f>MATCH(G46, {"Waiting for Input","Analyzing Object","Found Object","Needs Help","Confused","None"}, 0) - 1</f>
        <v/>
      </c>
      <c r="I46" s="29" t="inlineStr">
        <is>
          <t>Waiting for Input</t>
        </is>
      </c>
      <c r="J46" s="29">
        <f>MATCH(I46, {"Waiting for Input","Analyzing Object","Found Object","Needs Help","Confused","None"}, 0) - 1</f>
        <v/>
      </c>
      <c r="K46" s="29" t="n">
        <v>3</v>
      </c>
      <c r="L46" s="29">
        <f>IF(H46=J46, 1, 0)</f>
        <v/>
      </c>
    </row>
    <row r="47">
      <c r="D47" s="29" t="n">
        <v>22</v>
      </c>
      <c r="E47" s="29" t="inlineStr">
        <is>
          <t>2</t>
        </is>
      </c>
      <c r="F47" s="30" t="inlineStr">
        <is>
          <t>GPT4</t>
        </is>
      </c>
      <c r="G47" s="29" t="inlineStr">
        <is>
          <t>Waiting for Input</t>
        </is>
      </c>
      <c r="H47" s="29">
        <f>MATCH(G47, {"Waiting for Input","Analyzing Object","Found Object","Needs Help","Confused","None"}, 0) - 1</f>
        <v/>
      </c>
      <c r="I47" s="29" t="inlineStr">
        <is>
          <t>Waiting for Input</t>
        </is>
      </c>
      <c r="J47" s="29">
        <f>MATCH(I47, {"Waiting for Input","Analyzing Object","Found Object","Needs Help","Confused","None"}, 0) - 1</f>
        <v/>
      </c>
      <c r="K47" s="29" t="n">
        <v>5</v>
      </c>
      <c r="L47" s="29">
        <f>IF(H47=J47, 1, 0)</f>
        <v/>
      </c>
    </row>
    <row r="48">
      <c r="D48" s="29" t="n">
        <v>23</v>
      </c>
      <c r="E48" s="29" t="inlineStr">
        <is>
          <t>1</t>
        </is>
      </c>
      <c r="F48" s="30" t="inlineStr">
        <is>
          <t>GPT4</t>
        </is>
      </c>
      <c r="G48" s="29" t="inlineStr">
        <is>
          <t>Waiting for Input</t>
        </is>
      </c>
      <c r="H48" s="29">
        <f>MATCH(G48, {"Waiting for Input","Analyzing Object","Found Object","Needs Help","Confused","None"}, 0) - 1</f>
        <v/>
      </c>
      <c r="I48" s="29" t="inlineStr">
        <is>
          <t>Waiting for Input</t>
        </is>
      </c>
      <c r="J48" s="29">
        <f>MATCH(I48, {"Waiting for Input","Analyzing Object","Found Object","Needs Help","Confused","None"}, 0) - 1</f>
        <v/>
      </c>
      <c r="K48" s="29" t="n">
        <v>2</v>
      </c>
      <c r="L48" s="29">
        <f>IF(H48=J48, 1, 0)</f>
        <v/>
      </c>
    </row>
    <row r="49">
      <c r="D49" s="29" t="n">
        <v>24</v>
      </c>
      <c r="E49" s="29" t="inlineStr">
        <is>
          <t>1</t>
        </is>
      </c>
      <c r="F49" s="30" t="inlineStr">
        <is>
          <t>GPT4</t>
        </is>
      </c>
      <c r="G49" s="29" t="inlineStr">
        <is>
          <t>Waiting for Input</t>
        </is>
      </c>
      <c r="H49" s="29">
        <f>MATCH(G49, {"Waiting for Input","Analyzing Object","Found Object","Needs Help","Confused","None"}, 0) - 1</f>
        <v/>
      </c>
      <c r="I49" s="29" t="inlineStr">
        <is>
          <t>Waiting for Input</t>
        </is>
      </c>
      <c r="J49" s="29">
        <f>MATCH(I49, {"Waiting for Input","Analyzing Object","Found Object","Needs Help","Confused","None"}, 0) - 1</f>
        <v/>
      </c>
      <c r="K49" s="29" t="n">
        <v>4</v>
      </c>
      <c r="L49" s="29">
        <f>IF(H49=J49, 1, 0)</f>
        <v/>
      </c>
    </row>
    <row r="50">
      <c r="D50" s="29" t="n">
        <v>25</v>
      </c>
      <c r="E50" s="29" t="inlineStr">
        <is>
          <t>2</t>
        </is>
      </c>
      <c r="F50" s="30" t="inlineStr">
        <is>
          <t>GPT4</t>
        </is>
      </c>
      <c r="G50" s="29" t="inlineStr">
        <is>
          <t>Waiting for Input</t>
        </is>
      </c>
      <c r="H50" s="29">
        <f>MATCH(G50, {"Waiting for Input","Analyzing Object","Found Object","Needs Help","Confused","None"}, 0) - 1</f>
        <v/>
      </c>
      <c r="I50" s="29" t="inlineStr">
        <is>
          <t>Waiting for Input</t>
        </is>
      </c>
      <c r="J50" s="29">
        <f>MATCH(I50, {"Waiting for Input","Analyzing Object","Found Object","Needs Help","Confused","None"}, 0) - 1</f>
        <v/>
      </c>
      <c r="K50" s="29" t="n">
        <v>3</v>
      </c>
      <c r="L50" s="29">
        <f>IF(H50=J50, 1, 0)</f>
        <v/>
      </c>
    </row>
    <row r="51">
      <c r="D51" s="29" t="n">
        <v>26</v>
      </c>
      <c r="E51" s="29" t="inlineStr">
        <is>
          <t>2</t>
        </is>
      </c>
      <c r="F51" s="30" t="inlineStr">
        <is>
          <t>GPT4</t>
        </is>
      </c>
      <c r="G51" s="29" t="inlineStr">
        <is>
          <t>Waiting for Input</t>
        </is>
      </c>
      <c r="H51" s="29">
        <f>MATCH(G51, {"Waiting for Input","Analyzing Object","Found Object","Needs Help","Confused","None"}, 0) - 1</f>
        <v/>
      </c>
      <c r="I51" s="29" t="inlineStr">
        <is>
          <t>Waiting for Input</t>
        </is>
      </c>
      <c r="J51" s="29">
        <f>MATCH(I51, {"Waiting for Input","Analyzing Object","Found Object","Needs Help","Confused","None"}, 0) - 1</f>
        <v/>
      </c>
      <c r="K51" s="29" t="n">
        <v>3</v>
      </c>
      <c r="L51" s="29">
        <f>IF(H51=J51, 1, 0)</f>
        <v/>
      </c>
    </row>
    <row r="52">
      <c r="D52" s="29" t="n">
        <v>27</v>
      </c>
      <c r="E52" s="29" t="inlineStr">
        <is>
          <t>2</t>
        </is>
      </c>
      <c r="F52" s="30" t="inlineStr">
        <is>
          <t>GPT4</t>
        </is>
      </c>
      <c r="G52" s="29" t="inlineStr">
        <is>
          <t>Waiting for Input</t>
        </is>
      </c>
      <c r="H52" s="29">
        <f>MATCH(G52, {"Waiting for Input","Analyzing Object","Found Object","Needs Help","Confused","None"}, 0) - 1</f>
        <v/>
      </c>
      <c r="I52" s="29" t="inlineStr">
        <is>
          <t>Waiting for Input</t>
        </is>
      </c>
      <c r="J52" s="29">
        <f>MATCH(I52, {"Waiting for Input","Analyzing Object","Found Object","Needs Help","Confused","None"}, 0) - 1</f>
        <v/>
      </c>
      <c r="K52" s="29" t="n">
        <v>3</v>
      </c>
      <c r="L52" s="29">
        <f>IF(H52=J52, 1, 0)</f>
        <v/>
      </c>
    </row>
    <row r="53">
      <c r="D53" s="29" t="n">
        <v>28</v>
      </c>
      <c r="E53" s="29" t="inlineStr">
        <is>
          <t>2</t>
        </is>
      </c>
      <c r="F53" s="30" t="inlineStr">
        <is>
          <t>GPT4</t>
        </is>
      </c>
      <c r="G53" s="29" t="inlineStr">
        <is>
          <t>Waiting for Input</t>
        </is>
      </c>
      <c r="H53" s="29">
        <f>MATCH(G53, {"Waiting for Input","Analyzing Object","Found Object","Needs Help","Confused","None"}, 0) - 1</f>
        <v/>
      </c>
      <c r="I53" s="29" t="inlineStr">
        <is>
          <t>Waiting for Input</t>
        </is>
      </c>
      <c r="J53" s="29">
        <f>MATCH(I53, {"Waiting for Input","Analyzing Object","Found Object","Needs Help","Confused","None"}, 0) - 1</f>
        <v/>
      </c>
      <c r="K53" s="29" t="n">
        <v>3</v>
      </c>
      <c r="L53" s="29">
        <f>IF(H53=J53, 1, 0)</f>
        <v/>
      </c>
    </row>
    <row r="54">
      <c r="D54" s="29" t="n">
        <v>29</v>
      </c>
      <c r="E54" s="29" t="inlineStr">
        <is>
          <t>2</t>
        </is>
      </c>
      <c r="F54" s="30" t="inlineStr">
        <is>
          <t>GPT4</t>
        </is>
      </c>
      <c r="G54" s="29" t="inlineStr">
        <is>
          <t>Waiting for Input</t>
        </is>
      </c>
      <c r="H54" s="29">
        <f>MATCH(G54, {"Waiting for Input","Analyzing Object","Found Object","Needs Help","Confused","None"}, 0) - 1</f>
        <v/>
      </c>
      <c r="I54" s="29" t="inlineStr">
        <is>
          <t>Waiting for Input</t>
        </is>
      </c>
      <c r="J54" s="29">
        <f>MATCH(I54, {"Waiting for Input","Analyzing Object","Found Object","Needs Help","Confused","None"}, 0) - 1</f>
        <v/>
      </c>
      <c r="K54" s="29" t="n">
        <v>4</v>
      </c>
      <c r="L54" s="29">
        <f>IF(H54=J54, 1, 0)</f>
        <v/>
      </c>
    </row>
    <row r="55">
      <c r="D55" s="29" t="n">
        <v>30</v>
      </c>
      <c r="E55" s="29" t="inlineStr">
        <is>
          <t>2</t>
        </is>
      </c>
      <c r="F55" s="30" t="inlineStr">
        <is>
          <t>GPT4</t>
        </is>
      </c>
      <c r="G55" s="29" t="inlineStr">
        <is>
          <t>Waiting for Input</t>
        </is>
      </c>
      <c r="H55" s="29">
        <f>MATCH(G55, {"Waiting for Input","Analyzing Object","Found Object","Needs Help","Confused","None"}, 0) - 1</f>
        <v/>
      </c>
      <c r="I55" s="29" t="inlineStr">
        <is>
          <t>Waiting for Input</t>
        </is>
      </c>
      <c r="J55" s="29">
        <f>MATCH(I55, {"Waiting for Input","Analyzing Object","Found Object","Needs Help","Confused","None"}, 0) - 1</f>
        <v/>
      </c>
      <c r="K55" s="29" t="n">
        <v>5</v>
      </c>
      <c r="L55" s="29">
        <f>IF(H55=J55, 1, 0)</f>
        <v/>
      </c>
    </row>
    <row r="56">
      <c r="D56" s="29" t="n">
        <v>31</v>
      </c>
      <c r="E56" s="29" t="inlineStr">
        <is>
          <t>1</t>
        </is>
      </c>
      <c r="F56" s="30" t="inlineStr">
        <is>
          <t>GPT4</t>
        </is>
      </c>
      <c r="G56" s="29" t="inlineStr">
        <is>
          <t>Waiting for Input</t>
        </is>
      </c>
      <c r="H56" s="29">
        <f>MATCH(G56, {"Waiting for Input","Analyzing Object","Found Object","Needs Help","Confused","None"}, 0) - 1</f>
        <v/>
      </c>
      <c r="I56" s="29" t="inlineStr">
        <is>
          <t>Waiting for Input</t>
        </is>
      </c>
      <c r="J56" s="29">
        <f>MATCH(I56, {"Waiting for Input","Analyzing Object","Found Object","Needs Help","Confused","None"}, 0) - 1</f>
        <v/>
      </c>
      <c r="K56" s="29" t="n">
        <v>2</v>
      </c>
      <c r="L56" s="29">
        <f>IF(H56=J56, 1, 0)</f>
        <v/>
      </c>
    </row>
    <row r="57">
      <c r="D57" s="29" t="n">
        <v>32</v>
      </c>
      <c r="E57" s="29" t="inlineStr">
        <is>
          <t>2</t>
        </is>
      </c>
      <c r="F57" s="30" t="inlineStr">
        <is>
          <t>GPT4</t>
        </is>
      </c>
      <c r="G57" s="29" t="inlineStr">
        <is>
          <t>Waiting for Input</t>
        </is>
      </c>
      <c r="H57" s="29">
        <f>MATCH(G57, {"Waiting for Input","Analyzing Object","Found Object","Needs Help","Confused","None"}, 0) - 1</f>
        <v/>
      </c>
      <c r="I57" s="31" t="inlineStr">
        <is>
          <t>None</t>
        </is>
      </c>
      <c r="J57" s="29">
        <f>MATCH(I57, {"Waiting for Input","Analyzing Object","Found Object","Needs Help","Confused","None"}, 0) - 1</f>
        <v/>
      </c>
      <c r="K57" s="29" t="n">
        <v>3</v>
      </c>
      <c r="L57" s="29">
        <f>IF(H57=J57, 1, 0)</f>
        <v/>
      </c>
    </row>
    <row r="58">
      <c r="D58" s="29" t="n">
        <v>33</v>
      </c>
      <c r="E58" s="29" t="inlineStr">
        <is>
          <t>1</t>
        </is>
      </c>
      <c r="F58" s="30" t="inlineStr">
        <is>
          <t>GPT4</t>
        </is>
      </c>
      <c r="G58" s="29" t="inlineStr">
        <is>
          <t>Waiting for Input</t>
        </is>
      </c>
      <c r="H58" s="29">
        <f>MATCH(G58, {"Waiting for Input","Analyzing Object","Found Object","Needs Help","Confused","None"}, 0) - 1</f>
        <v/>
      </c>
      <c r="I58" s="29" t="inlineStr">
        <is>
          <t>Waiting for Input</t>
        </is>
      </c>
      <c r="J58" s="29">
        <f>MATCH(I58, {"Waiting for Input","Analyzing Object","Found Object","Needs Help","Confused","None"}, 0) - 1</f>
        <v/>
      </c>
      <c r="K58" s="29" t="n">
        <v>4</v>
      </c>
      <c r="L58" s="29">
        <f>IF(H58=J58, 1, 0)</f>
        <v/>
      </c>
    </row>
    <row r="59">
      <c r="D59" s="29" t="n">
        <v>34</v>
      </c>
      <c r="E59" s="29" t="inlineStr">
        <is>
          <t>1</t>
        </is>
      </c>
      <c r="F59" s="30" t="inlineStr">
        <is>
          <t>GPT4</t>
        </is>
      </c>
      <c r="G59" s="29" t="inlineStr">
        <is>
          <t>Waiting for Input</t>
        </is>
      </c>
      <c r="H59" s="29">
        <f>MATCH(G59, {"Waiting for Input","Analyzing Object","Found Object","Needs Help","Confused","None"}, 0) - 1</f>
        <v/>
      </c>
      <c r="I59" s="29" t="inlineStr">
        <is>
          <t>Waiting for Input</t>
        </is>
      </c>
      <c r="J59" s="29">
        <f>MATCH(I59, {"Waiting for Input","Analyzing Object","Found Object","Needs Help","Confused","None"}, 0) - 1</f>
        <v/>
      </c>
      <c r="K59" s="29" t="n">
        <v>4</v>
      </c>
      <c r="L59" s="29">
        <f>IF(H59=J59, 1, 0)</f>
        <v/>
      </c>
    </row>
    <row r="60">
      <c r="D60" s="29" t="n">
        <v>35</v>
      </c>
      <c r="E60" s="29" t="inlineStr">
        <is>
          <t>1</t>
        </is>
      </c>
      <c r="F60" s="30" t="inlineStr">
        <is>
          <t>GPT4</t>
        </is>
      </c>
      <c r="G60" s="29" t="inlineStr">
        <is>
          <t>Waiting for Input</t>
        </is>
      </c>
      <c r="H60" s="29">
        <f>MATCH(G60, {"Waiting for Input","Analyzing Object","Found Object","Needs Help","Confused","None"}, 0) - 1</f>
        <v/>
      </c>
      <c r="I60" s="29" t="inlineStr">
        <is>
          <t>Waiting for Input</t>
        </is>
      </c>
      <c r="J60" s="29">
        <f>MATCH(I60, {"Waiting for Input","Analyzing Object","Found Object","Needs Help","Confused","None"}, 0) - 1</f>
        <v/>
      </c>
      <c r="K60" s="29" t="n">
        <v>4</v>
      </c>
      <c r="L60" s="29">
        <f>IF(H60=J60, 1, 0)</f>
        <v/>
      </c>
    </row>
    <row r="61">
      <c r="D61" s="29" t="n">
        <v>36</v>
      </c>
      <c r="E61" s="29" t="inlineStr">
        <is>
          <t>2</t>
        </is>
      </c>
      <c r="F61" s="30" t="inlineStr">
        <is>
          <t>GPT4</t>
        </is>
      </c>
      <c r="G61" s="29" t="inlineStr">
        <is>
          <t>Waiting for Input</t>
        </is>
      </c>
      <c r="H61" s="29">
        <f>MATCH(G61, {"Waiting for Input","Analyzing Object","Found Object","Needs Help","Confused","None"}, 0) - 1</f>
        <v/>
      </c>
      <c r="I61" s="29" t="inlineStr">
        <is>
          <t>Confused</t>
        </is>
      </c>
      <c r="J61" s="29">
        <f>MATCH(I61, {"Waiting for Input","Analyzing Object","Found Object","Needs Help","Confused","None"}, 0) - 1</f>
        <v/>
      </c>
      <c r="K61" s="29" t="n">
        <v>2</v>
      </c>
      <c r="L61" s="29">
        <f>IF(H61=J61, 1, 0)</f>
        <v/>
      </c>
    </row>
    <row r="62">
      <c r="D62" s="29" t="n">
        <v>37</v>
      </c>
      <c r="E62" s="29" t="inlineStr">
        <is>
          <t>2</t>
        </is>
      </c>
      <c r="F62" s="30" t="inlineStr">
        <is>
          <t>GPT4</t>
        </is>
      </c>
      <c r="G62" s="29" t="inlineStr">
        <is>
          <t>Waiting for Input</t>
        </is>
      </c>
      <c r="H62" s="29">
        <f>MATCH(G62, {"Waiting for Input","Analyzing Object","Found Object","Needs Help","Confused","None"}, 0) - 1</f>
        <v/>
      </c>
      <c r="I62" s="29" t="inlineStr">
        <is>
          <t>Needs Help</t>
        </is>
      </c>
      <c r="J62" s="29">
        <f>MATCH(I62, {"Waiting for Input","Analyzing Object","Found Object","Needs Help","Confused","None"}, 0) - 1</f>
        <v/>
      </c>
      <c r="K62" s="29" t="n">
        <v>4</v>
      </c>
      <c r="L62" s="29">
        <f>IF(H62=J62, 1, 0)</f>
        <v/>
      </c>
    </row>
    <row r="63">
      <c r="D63" s="29" t="n">
        <v>38</v>
      </c>
      <c r="E63" s="29" t="inlineStr">
        <is>
          <t>1</t>
        </is>
      </c>
      <c r="F63" s="30" t="inlineStr">
        <is>
          <t>GPT4</t>
        </is>
      </c>
      <c r="G63" s="29" t="inlineStr">
        <is>
          <t>Waiting for Input</t>
        </is>
      </c>
      <c r="H63" s="29">
        <f>MATCH(G63, {"Waiting for Input","Analyzing Object","Found Object","Needs Help","Confused","None"}, 0) - 1</f>
        <v/>
      </c>
      <c r="I63" s="29" t="inlineStr">
        <is>
          <t>Waiting for Input</t>
        </is>
      </c>
      <c r="J63" s="29">
        <f>MATCH(I63, {"Waiting for Input","Analyzing Object","Found Object","Needs Help","Confused","None"}, 0) - 1</f>
        <v/>
      </c>
      <c r="K63" s="29" t="n">
        <v>5</v>
      </c>
      <c r="L63" s="29">
        <f>IF(H63=J63, 1, 0)</f>
        <v/>
      </c>
    </row>
    <row r="64">
      <c r="D64" s="29" t="n">
        <v>39</v>
      </c>
      <c r="E64" s="29" t="inlineStr">
        <is>
          <t>1</t>
        </is>
      </c>
      <c r="F64" s="30" t="inlineStr">
        <is>
          <t>GPT4</t>
        </is>
      </c>
      <c r="G64" s="29" t="inlineStr">
        <is>
          <t>Waiting for Input</t>
        </is>
      </c>
      <c r="H64" s="29">
        <f>MATCH(G64, {"Waiting for Input","Analyzing Object","Found Object","Needs Help","Confused","None"}, 0) - 1</f>
        <v/>
      </c>
      <c r="I64" s="29" t="inlineStr">
        <is>
          <t>Waiting for Input</t>
        </is>
      </c>
      <c r="J64" s="29">
        <f>MATCH(I64, {"Waiting for Input","Analyzing Object","Found Object","Needs Help","Confused","None"}, 0) - 1</f>
        <v/>
      </c>
      <c r="K64" s="29" t="n">
        <v>2</v>
      </c>
      <c r="L64" s="29">
        <f>IF(H64=J64, 1, 0)</f>
        <v/>
      </c>
    </row>
    <row r="65">
      <c r="D65" s="29" t="n">
        <v>40</v>
      </c>
      <c r="E65" s="29" t="inlineStr">
        <is>
          <t>1</t>
        </is>
      </c>
      <c r="F65" s="30" t="inlineStr">
        <is>
          <t>GPT4</t>
        </is>
      </c>
      <c r="G65" s="29" t="inlineStr">
        <is>
          <t>Waiting for Input</t>
        </is>
      </c>
      <c r="H65" s="29">
        <f>MATCH(G65, {"Waiting for Input","Analyzing Object","Found Object","Needs Help","Confused","None"}, 0) - 1</f>
        <v/>
      </c>
      <c r="I65" s="29" t="inlineStr">
        <is>
          <t>Analyzing Object</t>
        </is>
      </c>
      <c r="J65" s="29">
        <f>MATCH(I65, {"Waiting for Input","Analyzing Object","Found Object","Needs Help","Confused","None"}, 0) - 1</f>
        <v/>
      </c>
      <c r="K65" s="29" t="n">
        <v>5</v>
      </c>
      <c r="L65" s="29">
        <f>IF(H65=J65, 1, 0)</f>
        <v/>
      </c>
    </row>
    <row r="66">
      <c r="D66" s="29" t="n">
        <v>41</v>
      </c>
      <c r="E66" s="29" t="inlineStr">
        <is>
          <t>2</t>
        </is>
      </c>
      <c r="F66" s="30" t="inlineStr">
        <is>
          <t>GPT4</t>
        </is>
      </c>
      <c r="G66" s="29" t="inlineStr">
        <is>
          <t>Waiting for Input</t>
        </is>
      </c>
      <c r="H66" s="29">
        <f>MATCH(G66, {"Waiting for Input","Analyzing Object","Found Object","Needs Help","Confused","None"}, 0) - 1</f>
        <v/>
      </c>
      <c r="I66" s="31" t="inlineStr">
        <is>
          <t>None</t>
        </is>
      </c>
      <c r="J66" s="29">
        <f>MATCH(I66, {"Waiting for Input","Analyzing Object","Found Object","Needs Help","Confused","None"}, 0) - 1</f>
        <v/>
      </c>
      <c r="K66" s="29" t="n">
        <v>3</v>
      </c>
      <c r="L66" s="29">
        <f>IF(H66=J66, 1, 0)</f>
        <v/>
      </c>
    </row>
    <row r="67">
      <c r="D67" s="29" t="n">
        <v>42</v>
      </c>
      <c r="E67" s="29" t="inlineStr">
        <is>
          <t>2</t>
        </is>
      </c>
      <c r="F67" s="30" t="inlineStr">
        <is>
          <t>GPT4</t>
        </is>
      </c>
      <c r="G67" s="29" t="inlineStr">
        <is>
          <t>Waiting for Input</t>
        </is>
      </c>
      <c r="H67" s="29">
        <f>MATCH(G67, {"Waiting for Input","Analyzing Object","Found Object","Needs Help","Confused","None"}, 0) - 1</f>
        <v/>
      </c>
      <c r="I67" s="29" t="inlineStr">
        <is>
          <t>Waiting for Input</t>
        </is>
      </c>
      <c r="J67" s="29">
        <f>MATCH(I67, {"Waiting for Input","Analyzing Object","Found Object","Needs Help","Confused","None"}, 0) - 1</f>
        <v/>
      </c>
      <c r="K67" s="29" t="n">
        <v>1</v>
      </c>
      <c r="L67" s="29">
        <f>IF(H67=J67, 1, 0)</f>
        <v/>
      </c>
    </row>
    <row r="68">
      <c r="D68" s="29" t="n">
        <v>43</v>
      </c>
      <c r="E68" s="29" t="inlineStr">
        <is>
          <t>2</t>
        </is>
      </c>
      <c r="F68" s="30" t="inlineStr">
        <is>
          <t>GPT4</t>
        </is>
      </c>
      <c r="G68" s="29" t="inlineStr">
        <is>
          <t>Waiting for Input</t>
        </is>
      </c>
      <c r="H68" s="29">
        <f>MATCH(G68, {"Waiting for Input","Analyzing Object","Found Object","Needs Help","Confused","None"}, 0) - 1</f>
        <v/>
      </c>
      <c r="I68" s="29" t="inlineStr">
        <is>
          <t>Waiting for Input</t>
        </is>
      </c>
      <c r="J68" s="29">
        <f>MATCH(I68, {"Waiting for Input","Analyzing Object","Found Object","Needs Help","Confused","None"}, 0) - 1</f>
        <v/>
      </c>
      <c r="K68" s="29" t="n">
        <v>1</v>
      </c>
      <c r="L68" s="29">
        <f>IF(H68=J68, 1, 0)</f>
        <v/>
      </c>
    </row>
    <row r="69">
      <c r="D69" s="29" t="n">
        <v>44</v>
      </c>
      <c r="E69" s="29" t="inlineStr">
        <is>
          <t>2</t>
        </is>
      </c>
      <c r="F69" s="30" t="inlineStr">
        <is>
          <t>GPT4</t>
        </is>
      </c>
      <c r="G69" s="29" t="inlineStr">
        <is>
          <t>Waiting for Input</t>
        </is>
      </c>
      <c r="H69" s="29">
        <f>MATCH(G69, {"Waiting for Input","Analyzing Object","Found Object","Needs Help","Confused","None"}, 0) - 1</f>
        <v/>
      </c>
      <c r="I69" s="29" t="inlineStr">
        <is>
          <t>Waiting for Input</t>
        </is>
      </c>
      <c r="J69" s="29">
        <f>MATCH(I69, {"Waiting for Input","Analyzing Object","Found Object","Needs Help","Confused","None"}, 0) - 1</f>
        <v/>
      </c>
      <c r="K69" s="29" t="n">
        <v>4</v>
      </c>
      <c r="L69" s="29">
        <f>IF(H69=J69, 1, 0)</f>
        <v/>
      </c>
    </row>
    <row r="70">
      <c r="D70" s="29" t="n">
        <v>45</v>
      </c>
      <c r="E70" s="29" t="inlineStr">
        <is>
          <t>2</t>
        </is>
      </c>
      <c r="F70" s="30" t="inlineStr">
        <is>
          <t>GPT4</t>
        </is>
      </c>
      <c r="G70" s="29" t="inlineStr">
        <is>
          <t>Waiting for Input</t>
        </is>
      </c>
      <c r="H70" s="29">
        <f>MATCH(G70, {"Waiting for Input","Analyzing Object","Found Object","Needs Help","Confused","None"}, 0) - 1</f>
        <v/>
      </c>
      <c r="I70" s="29" t="inlineStr">
        <is>
          <t>Waiting for Input</t>
        </is>
      </c>
      <c r="J70" s="29">
        <f>MATCH(I70, {"Waiting for Input","Analyzing Object","Found Object","Needs Help","Confused","None"}, 0) - 1</f>
        <v/>
      </c>
      <c r="K70" s="29" t="n">
        <v>3</v>
      </c>
      <c r="L70" s="29">
        <f>IF(H70=J70, 1, 0)</f>
        <v/>
      </c>
    </row>
    <row r="71">
      <c r="D71" s="29" t="n">
        <v>46</v>
      </c>
      <c r="E71" s="29" t="inlineStr">
        <is>
          <t>2</t>
        </is>
      </c>
      <c r="F71" s="30" t="inlineStr">
        <is>
          <t>GPT4</t>
        </is>
      </c>
      <c r="G71" s="29" t="inlineStr">
        <is>
          <t>Waiting for Input</t>
        </is>
      </c>
      <c r="H71" s="29">
        <f>MATCH(G71, {"Waiting for Input","Analyzing Object","Found Object","Needs Help","Confused","None"}, 0) - 1</f>
        <v/>
      </c>
      <c r="I71" s="29" t="inlineStr">
        <is>
          <t>Waiting for Input</t>
        </is>
      </c>
      <c r="J71" s="29">
        <f>MATCH(I71, {"Waiting for Input","Analyzing Object","Found Object","Needs Help","Confused","None"}, 0) - 1</f>
        <v/>
      </c>
      <c r="K71" s="29" t="n">
        <v>3</v>
      </c>
      <c r="L71" s="29">
        <f>IF(H71=J71, 1, 0)</f>
        <v/>
      </c>
    </row>
    <row r="72">
      <c r="D72" s="29" t="n">
        <v>47</v>
      </c>
      <c r="E72" s="29" t="inlineStr">
        <is>
          <t>2</t>
        </is>
      </c>
      <c r="F72" s="30" t="inlineStr">
        <is>
          <t>GPT4</t>
        </is>
      </c>
      <c r="G72" s="29" t="inlineStr">
        <is>
          <t>Waiting for Input</t>
        </is>
      </c>
      <c r="H72" s="29">
        <f>MATCH(G72, {"Waiting for Input","Analyzing Object","Found Object","Needs Help","Confused","None"}, 0) - 1</f>
        <v/>
      </c>
      <c r="I72" s="29" t="inlineStr">
        <is>
          <t>Waiting for Input</t>
        </is>
      </c>
      <c r="J72" s="29">
        <f>MATCH(I72, {"Waiting for Input","Analyzing Object","Found Object","Needs Help","Confused","None"}, 0) - 1</f>
        <v/>
      </c>
      <c r="K72" s="29" t="n">
        <v>2</v>
      </c>
      <c r="L72" s="29">
        <f>IF(H72=J72, 1, 0)</f>
        <v/>
      </c>
    </row>
    <row r="73">
      <c r="D73" s="29" t="n">
        <v>48</v>
      </c>
      <c r="E73" s="29" t="inlineStr">
        <is>
          <t>2</t>
        </is>
      </c>
      <c r="F73" s="30" t="inlineStr">
        <is>
          <t>GPT4</t>
        </is>
      </c>
      <c r="G73" s="29" t="inlineStr">
        <is>
          <t>Waiting for Input</t>
        </is>
      </c>
      <c r="H73" s="29">
        <f>MATCH(G73, {"Waiting for Input","Analyzing Object","Found Object","Needs Help","Confused","None"}, 0) - 1</f>
        <v/>
      </c>
      <c r="I73" s="29" t="inlineStr">
        <is>
          <t>Needs Help</t>
        </is>
      </c>
      <c r="J73" s="29">
        <f>MATCH(I73, {"Waiting for Input","Analyzing Object","Found Object","Needs Help","Confused","None"}, 0) - 1</f>
        <v/>
      </c>
      <c r="K73" s="29" t="n">
        <v>4</v>
      </c>
      <c r="L73" s="29">
        <f>IF(H73=J73, 1, 0)</f>
        <v/>
      </c>
    </row>
    <row r="74">
      <c r="D74" s="29" t="n">
        <v>49</v>
      </c>
      <c r="E74" s="29" t="inlineStr">
        <is>
          <t>2</t>
        </is>
      </c>
      <c r="F74" s="30" t="inlineStr">
        <is>
          <t>GPT4</t>
        </is>
      </c>
      <c r="G74" s="29" t="inlineStr">
        <is>
          <t>Waiting for Input</t>
        </is>
      </c>
      <c r="H74" s="29">
        <f>MATCH(G74, {"Waiting for Input","Analyzing Object","Found Object","Needs Help","Confused","None"}, 0) - 1</f>
        <v/>
      </c>
      <c r="I74" s="31" t="inlineStr">
        <is>
          <t>None</t>
        </is>
      </c>
      <c r="J74" s="29">
        <f>MATCH(I74, {"Waiting for Input","Analyzing Object","Found Object","Needs Help","Confused","None"}, 0) - 1</f>
        <v/>
      </c>
      <c r="K74" s="29" t="n">
        <v>1</v>
      </c>
      <c r="L74" s="29">
        <f>IF(H74=J74, 1, 0)</f>
        <v/>
      </c>
    </row>
    <row r="75">
      <c r="D75" s="29" t="n">
        <v>50</v>
      </c>
      <c r="E75" s="29" t="inlineStr">
        <is>
          <t>2</t>
        </is>
      </c>
      <c r="F75" s="30" t="inlineStr">
        <is>
          <t>GPT4</t>
        </is>
      </c>
      <c r="G75" s="29" t="inlineStr">
        <is>
          <t>Waiting for Input</t>
        </is>
      </c>
      <c r="H75" s="29">
        <f>MATCH(G75, {"Waiting for Input","Analyzing Object","Found Object","Needs Help","Confused","None"}, 0) - 1</f>
        <v/>
      </c>
      <c r="I75" s="29" t="inlineStr">
        <is>
          <t>Waiting for Input</t>
        </is>
      </c>
      <c r="J75" s="29">
        <f>MATCH(I75, {"Waiting for Input","Analyzing Object","Found Object","Needs Help","Confused","None"}, 0) - 1</f>
        <v/>
      </c>
      <c r="K75" s="29" t="n">
        <v>5</v>
      </c>
      <c r="L75" s="29">
        <f>IF(H75=J75, 1, 0)</f>
        <v/>
      </c>
    </row>
    <row r="76">
      <c r="D76" s="29" t="n">
        <v>51</v>
      </c>
      <c r="E76" s="29" t="inlineStr">
        <is>
          <t>1</t>
        </is>
      </c>
      <c r="F76" s="30" t="inlineStr">
        <is>
          <t>GPT4</t>
        </is>
      </c>
      <c r="G76" s="29" t="inlineStr">
        <is>
          <t>Waiting for Input</t>
        </is>
      </c>
      <c r="H76" s="29">
        <f>MATCH(G76, {"Waiting for Input","Analyzing Object","Found Object","Needs Help","Confused","None"}, 0) - 1</f>
        <v/>
      </c>
      <c r="I76" s="31" t="inlineStr">
        <is>
          <t>None</t>
        </is>
      </c>
      <c r="J76" s="29">
        <f>MATCH(I76, {"Waiting for Input","Analyzing Object","Found Object","Needs Help","Confused","None"}, 0) - 1</f>
        <v/>
      </c>
      <c r="K76" s="29" t="n">
        <v>3</v>
      </c>
      <c r="L76" s="29">
        <f>IF(H76=J76, 1, 0)</f>
        <v/>
      </c>
    </row>
    <row r="77">
      <c r="D77" s="29" t="n">
        <v>52</v>
      </c>
      <c r="E77" s="29" t="inlineStr">
        <is>
          <t>2</t>
        </is>
      </c>
      <c r="F77" s="30" t="inlineStr">
        <is>
          <t>GPT4</t>
        </is>
      </c>
      <c r="G77" s="29" t="inlineStr">
        <is>
          <t>Waiting for Input</t>
        </is>
      </c>
      <c r="H77" s="29">
        <f>MATCH(G77, {"Waiting for Input","Analyzing Object","Found Object","Needs Help","Confused","None"}, 0) - 1</f>
        <v/>
      </c>
      <c r="I77" s="29" t="inlineStr">
        <is>
          <t>Waiting for Input</t>
        </is>
      </c>
      <c r="J77" s="29">
        <f>MATCH(I77, {"Waiting for Input","Analyzing Object","Found Object","Needs Help","Confused","None"}, 0) - 1</f>
        <v/>
      </c>
      <c r="K77" s="29" t="n">
        <v>5</v>
      </c>
      <c r="L77" s="29">
        <f>IF(H77=J77, 1, 0)</f>
        <v/>
      </c>
    </row>
    <row r="78">
      <c r="D78" s="29" t="n">
        <v>53</v>
      </c>
      <c r="E78" s="29" t="inlineStr">
        <is>
          <t>2</t>
        </is>
      </c>
      <c r="F78" s="30" t="inlineStr">
        <is>
          <t>GPT4</t>
        </is>
      </c>
      <c r="G78" s="29" t="inlineStr">
        <is>
          <t>Waiting for Input</t>
        </is>
      </c>
      <c r="H78" s="29">
        <f>MATCH(G78, {"Waiting for Input","Analyzing Object","Found Object","Needs Help","Confused","None"}, 0) - 1</f>
        <v/>
      </c>
      <c r="I78" s="29" t="inlineStr">
        <is>
          <t>Found Object</t>
        </is>
      </c>
      <c r="J78" s="29">
        <f>MATCH(I78, {"Waiting for Input","Analyzing Object","Found Object","Needs Help","Confused","None"}, 0) - 1</f>
        <v/>
      </c>
      <c r="K78" s="29" t="n">
        <v>3</v>
      </c>
      <c r="L78" s="29">
        <f>IF(H78=J78, 1, 0)</f>
        <v/>
      </c>
    </row>
    <row r="79">
      <c r="D79" s="29" t="n">
        <v>54</v>
      </c>
      <c r="E79" s="29" t="inlineStr">
        <is>
          <t>1</t>
        </is>
      </c>
      <c r="F79" s="30" t="inlineStr">
        <is>
          <t>GPT4</t>
        </is>
      </c>
      <c r="G79" s="29" t="inlineStr">
        <is>
          <t>Waiting for Input</t>
        </is>
      </c>
      <c r="H79" s="29">
        <f>MATCH(G79, {"Waiting for Input","Analyzing Object","Found Object","Needs Help","Confused","None"}, 0) - 1</f>
        <v/>
      </c>
      <c r="I79" s="29" t="inlineStr">
        <is>
          <t>Waiting for Input</t>
        </is>
      </c>
      <c r="J79" s="29">
        <f>MATCH(I79, {"Waiting for Input","Analyzing Object","Found Object","Needs Help","Confused","None"}, 0) - 1</f>
        <v/>
      </c>
      <c r="K79" s="29" t="n">
        <v>4</v>
      </c>
      <c r="L79" s="29">
        <f>IF(H79=J79, 1, 0)</f>
        <v/>
      </c>
    </row>
    <row r="80">
      <c r="D80" s="29" t="n">
        <v>55</v>
      </c>
      <c r="E80" s="29" t="inlineStr">
        <is>
          <t>2</t>
        </is>
      </c>
      <c r="F80" s="30" t="inlineStr">
        <is>
          <t>GPT4</t>
        </is>
      </c>
      <c r="G80" s="29" t="inlineStr">
        <is>
          <t>Waiting for Input</t>
        </is>
      </c>
      <c r="H80" s="29">
        <f>MATCH(G80, {"Waiting for Input","Analyzing Object","Found Object","Needs Help","Confused","None"}, 0) - 1</f>
        <v/>
      </c>
      <c r="I80" s="29" t="inlineStr">
        <is>
          <t>Waiting for Input</t>
        </is>
      </c>
      <c r="J80" s="29">
        <f>MATCH(I80, {"Waiting for Input","Analyzing Object","Found Object","Needs Help","Confused","None"}, 0) - 1</f>
        <v/>
      </c>
      <c r="K80" s="29" t="n">
        <v>4</v>
      </c>
      <c r="L80" s="29">
        <f>IF(H80=J80, 1, 0)</f>
        <v/>
      </c>
    </row>
    <row r="81">
      <c r="D81" s="29" t="n">
        <v>56</v>
      </c>
      <c r="E81" s="29" t="inlineStr">
        <is>
          <t>2</t>
        </is>
      </c>
      <c r="F81" s="30" t="inlineStr">
        <is>
          <t>GPT4</t>
        </is>
      </c>
      <c r="G81" s="29" t="inlineStr">
        <is>
          <t>Waiting for Input</t>
        </is>
      </c>
      <c r="H81" s="29">
        <f>MATCH(G81, {"Waiting for Input","Analyzing Object","Found Object","Needs Help","Confused","None"}, 0) - 1</f>
        <v/>
      </c>
      <c r="I81" s="29" t="inlineStr">
        <is>
          <t>Waiting for Input</t>
        </is>
      </c>
      <c r="J81" s="29">
        <f>MATCH(I81, {"Waiting for Input","Analyzing Object","Found Object","Needs Help","Confused","None"}, 0) - 1</f>
        <v/>
      </c>
      <c r="K81" s="29" t="n">
        <v>5</v>
      </c>
      <c r="L81" s="29">
        <f>IF(H81=J81, 1, 0)</f>
        <v/>
      </c>
    </row>
    <row r="82">
      <c r="D82" s="29" t="n">
        <v>57</v>
      </c>
      <c r="E82" s="29" t="inlineStr">
        <is>
          <t>2</t>
        </is>
      </c>
      <c r="F82" s="30" t="inlineStr">
        <is>
          <t>GPT4</t>
        </is>
      </c>
      <c r="G82" s="29" t="inlineStr">
        <is>
          <t>Waiting for Input</t>
        </is>
      </c>
      <c r="H82" s="29">
        <f>MATCH(G82, {"Waiting for Input","Analyzing Object","Found Object","Needs Help","Confused","None"}, 0) - 1</f>
        <v/>
      </c>
      <c r="I82" s="29" t="inlineStr">
        <is>
          <t>Waiting for Input</t>
        </is>
      </c>
      <c r="J82" s="29">
        <f>MATCH(I82, {"Waiting for Input","Analyzing Object","Found Object","Needs Help","Confused","None"}, 0) - 1</f>
        <v/>
      </c>
      <c r="K82" s="29" t="n">
        <v>3</v>
      </c>
      <c r="L82" s="29">
        <f>IF(H82=J82, 1, 0)</f>
        <v/>
      </c>
    </row>
    <row r="83">
      <c r="D83" s="29" t="n">
        <v>58</v>
      </c>
      <c r="E83" s="29" t="inlineStr">
        <is>
          <t>1</t>
        </is>
      </c>
      <c r="F83" s="30" t="inlineStr">
        <is>
          <t>GPT4</t>
        </is>
      </c>
      <c r="G83" s="29" t="inlineStr">
        <is>
          <t>Waiting for Input</t>
        </is>
      </c>
      <c r="H83" s="29">
        <f>MATCH(G83, {"Waiting for Input","Analyzing Object","Found Object","Needs Help","Confused","None"}, 0) - 1</f>
        <v/>
      </c>
      <c r="I83" s="29" t="inlineStr">
        <is>
          <t>Waiting for Input</t>
        </is>
      </c>
      <c r="J83" s="29">
        <f>MATCH(I83, {"Waiting for Input","Analyzing Object","Found Object","Needs Help","Confused","None"}, 0) - 1</f>
        <v/>
      </c>
      <c r="K83" s="29" t="n">
        <v>5</v>
      </c>
      <c r="L83" s="29">
        <f>IF(H83=J83, 1, 0)</f>
        <v/>
      </c>
    </row>
    <row r="84">
      <c r="D84" s="29" t="n">
        <v>59</v>
      </c>
      <c r="E84" s="29" t="inlineStr">
        <is>
          <t>2</t>
        </is>
      </c>
      <c r="F84" s="30" t="inlineStr">
        <is>
          <t>GPT4</t>
        </is>
      </c>
      <c r="G84" s="29" t="inlineStr">
        <is>
          <t>Waiting for Input</t>
        </is>
      </c>
      <c r="H84" s="29">
        <f>MATCH(G84, {"Waiting for Input","Analyzing Object","Found Object","Needs Help","Confused","None"}, 0) - 1</f>
        <v/>
      </c>
      <c r="I84" s="29" t="inlineStr">
        <is>
          <t>Confused</t>
        </is>
      </c>
      <c r="J84" s="29">
        <f>MATCH(I84, {"Waiting for Input","Analyzing Object","Found Object","Needs Help","Confused","None"}, 0) - 1</f>
        <v/>
      </c>
      <c r="K84" s="29" t="n">
        <v>2</v>
      </c>
      <c r="L84" s="29">
        <f>IF(H84=J84, 1, 0)</f>
        <v/>
      </c>
    </row>
    <row r="85">
      <c r="D85" s="29" t="n">
        <v>60</v>
      </c>
      <c r="E85" s="29" t="inlineStr">
        <is>
          <t>1</t>
        </is>
      </c>
      <c r="F85" s="30" t="inlineStr">
        <is>
          <t>Human</t>
        </is>
      </c>
      <c r="G85" s="29" t="inlineStr">
        <is>
          <t>Waiting for Input</t>
        </is>
      </c>
      <c r="H85" s="29">
        <f>MATCH(G85, {"Waiting for Input","Analyzing Object","Found Object","Needs Help","Confused","None"}, 0) - 1</f>
        <v/>
      </c>
      <c r="I85" s="29" t="inlineStr">
        <is>
          <t>Waiting for Input</t>
        </is>
      </c>
      <c r="J85" s="29">
        <f>MATCH(I85, {"Waiting for Input","Analyzing Object","Found Object","Needs Help","Confused","None"}, 0) - 1</f>
        <v/>
      </c>
      <c r="K85" s="29" t="n">
        <v>4</v>
      </c>
      <c r="L85" s="29">
        <f>IF(H85=J85, 1, 0)</f>
        <v/>
      </c>
    </row>
    <row r="86">
      <c r="D86" s="29" t="n">
        <v>61</v>
      </c>
      <c r="E86" s="29" t="inlineStr">
        <is>
          <t>1</t>
        </is>
      </c>
      <c r="F86" s="30" t="inlineStr">
        <is>
          <t>Human</t>
        </is>
      </c>
      <c r="G86" s="29" t="inlineStr">
        <is>
          <t>Waiting for Input</t>
        </is>
      </c>
      <c r="H86" s="29">
        <f>MATCH(G86, {"Waiting for Input","Analyzing Object","Found Object","Needs Help","Confused","None"}, 0) - 1</f>
        <v/>
      </c>
      <c r="I86" s="29" t="inlineStr">
        <is>
          <t>Waiting for Input</t>
        </is>
      </c>
      <c r="J86" s="29">
        <f>MATCH(I86, {"Waiting for Input","Analyzing Object","Found Object","Needs Help","Confused","None"}, 0) - 1</f>
        <v/>
      </c>
      <c r="K86" s="29" t="n">
        <v>4</v>
      </c>
      <c r="L86" s="29">
        <f>IF(H86=J86, 1, 0)</f>
        <v/>
      </c>
    </row>
    <row r="87">
      <c r="D87" s="29" t="n">
        <v>62</v>
      </c>
      <c r="E87" s="29" t="inlineStr">
        <is>
          <t>1</t>
        </is>
      </c>
      <c r="F87" s="30" t="inlineStr">
        <is>
          <t>Human</t>
        </is>
      </c>
      <c r="G87" s="29" t="inlineStr">
        <is>
          <t>Waiting for Input</t>
        </is>
      </c>
      <c r="H87" s="29">
        <f>MATCH(G87, {"Waiting for Input","Analyzing Object","Found Object","Needs Help","Confused","None"}, 0) - 1</f>
        <v/>
      </c>
      <c r="I87" s="29" t="inlineStr">
        <is>
          <t>Waiting for Input</t>
        </is>
      </c>
      <c r="J87" s="29">
        <f>MATCH(I87, {"Waiting for Input","Analyzing Object","Found Object","Needs Help","Confused","None"}, 0) - 1</f>
        <v/>
      </c>
      <c r="K87" s="29" t="n">
        <v>2</v>
      </c>
      <c r="L87" s="29">
        <f>IF(H87=J87, 1, 0)</f>
        <v/>
      </c>
    </row>
    <row r="88">
      <c r="D88" s="29" t="n">
        <v>63</v>
      </c>
      <c r="E88" s="29" t="inlineStr">
        <is>
          <t>2</t>
        </is>
      </c>
      <c r="F88" s="30" t="inlineStr">
        <is>
          <t>Human</t>
        </is>
      </c>
      <c r="G88" s="29" t="inlineStr">
        <is>
          <t>Waiting for Input</t>
        </is>
      </c>
      <c r="H88" s="29">
        <f>MATCH(G88, {"Waiting for Input","Analyzing Object","Found Object","Needs Help","Confused","None"}, 0) - 1</f>
        <v/>
      </c>
      <c r="I88" s="29" t="inlineStr">
        <is>
          <t>Analyzing Object</t>
        </is>
      </c>
      <c r="J88" s="29">
        <f>MATCH(I88, {"Waiting for Input","Analyzing Object","Found Object","Needs Help","Confused","None"}, 0) - 1</f>
        <v/>
      </c>
      <c r="K88" s="29" t="n">
        <v>3</v>
      </c>
      <c r="L88" s="29">
        <f>IF(H88=J88, 1, 0)</f>
        <v/>
      </c>
    </row>
    <row r="89">
      <c r="D89" s="29" t="n">
        <v>64</v>
      </c>
      <c r="E89" s="29" t="inlineStr">
        <is>
          <t>2</t>
        </is>
      </c>
      <c r="F89" s="30" t="inlineStr">
        <is>
          <t>Human</t>
        </is>
      </c>
      <c r="G89" s="29" t="inlineStr">
        <is>
          <t>Waiting for Input</t>
        </is>
      </c>
      <c r="H89" s="29">
        <f>MATCH(G89, {"Waiting for Input","Analyzing Object","Found Object","Needs Help","Confused","None"}, 0) - 1</f>
        <v/>
      </c>
      <c r="I89" s="29" t="inlineStr">
        <is>
          <t>Waiting for Input</t>
        </is>
      </c>
      <c r="J89" s="29">
        <f>MATCH(I89, {"Waiting for Input","Analyzing Object","Found Object","Needs Help","Confused","None"}, 0) - 1</f>
        <v/>
      </c>
      <c r="K89" s="29" t="n">
        <v>3</v>
      </c>
      <c r="L89" s="29">
        <f>IF(H89=J89, 1, 0)</f>
        <v/>
      </c>
    </row>
    <row r="90">
      <c r="D90" s="29" t="n">
        <v>65</v>
      </c>
      <c r="E90" s="29" t="inlineStr">
        <is>
          <t>1</t>
        </is>
      </c>
      <c r="F90" s="30" t="inlineStr">
        <is>
          <t>Human</t>
        </is>
      </c>
      <c r="G90" s="29" t="inlineStr">
        <is>
          <t>Waiting for Input</t>
        </is>
      </c>
      <c r="H90" s="29">
        <f>MATCH(G90, {"Waiting for Input","Analyzing Object","Found Object","Needs Help","Confused","None"}, 0) - 1</f>
        <v/>
      </c>
      <c r="I90" s="29" t="inlineStr">
        <is>
          <t>Confused</t>
        </is>
      </c>
      <c r="J90" s="29">
        <f>MATCH(I90, {"Waiting for Input","Analyzing Object","Found Object","Needs Help","Confused","None"}, 0) - 1</f>
        <v/>
      </c>
      <c r="K90" s="29" t="n">
        <v>5</v>
      </c>
      <c r="L90" s="29">
        <f>IF(H90=J90, 1, 0)</f>
        <v/>
      </c>
    </row>
    <row r="91">
      <c r="D91" s="29" t="n">
        <v>66</v>
      </c>
      <c r="E91" s="29" t="inlineStr">
        <is>
          <t>2</t>
        </is>
      </c>
      <c r="F91" s="30" t="inlineStr">
        <is>
          <t>Human</t>
        </is>
      </c>
      <c r="G91" s="29" t="inlineStr">
        <is>
          <t>Waiting for Input</t>
        </is>
      </c>
      <c r="H91" s="29">
        <f>MATCH(G91, {"Waiting for Input","Analyzing Object","Found Object","Needs Help","Confused","None"}, 0) - 1</f>
        <v/>
      </c>
      <c r="I91" s="29" t="inlineStr">
        <is>
          <t>Waiting for Input</t>
        </is>
      </c>
      <c r="J91" s="29">
        <f>MATCH(I91, {"Waiting for Input","Analyzing Object","Found Object","Needs Help","Confused","None"}, 0) - 1</f>
        <v/>
      </c>
      <c r="K91" s="29" t="n">
        <v>5</v>
      </c>
      <c r="L91" s="29">
        <f>IF(H91=J91, 1, 0)</f>
        <v/>
      </c>
    </row>
    <row r="92">
      <c r="D92" s="29" t="n">
        <v>67</v>
      </c>
      <c r="E92" s="29" t="inlineStr">
        <is>
          <t>1</t>
        </is>
      </c>
      <c r="F92" s="30" t="inlineStr">
        <is>
          <t>Human</t>
        </is>
      </c>
      <c r="G92" s="29" t="inlineStr">
        <is>
          <t>Waiting for Input</t>
        </is>
      </c>
      <c r="H92" s="29">
        <f>MATCH(G92, {"Waiting for Input","Analyzing Object","Found Object","Needs Help","Confused","None"}, 0) - 1</f>
        <v/>
      </c>
      <c r="I92" s="29" t="inlineStr">
        <is>
          <t>Waiting for Input</t>
        </is>
      </c>
      <c r="J92" s="29">
        <f>MATCH(I92, {"Waiting for Input","Analyzing Object","Found Object","Needs Help","Confused","None"}, 0) - 1</f>
        <v/>
      </c>
      <c r="K92" s="29" t="n">
        <v>4</v>
      </c>
      <c r="L92" s="29">
        <f>IF(H92=J92, 1, 0)</f>
        <v/>
      </c>
    </row>
    <row r="93">
      <c r="D93" s="29" t="n">
        <v>68</v>
      </c>
      <c r="E93" s="29" t="inlineStr">
        <is>
          <t>1</t>
        </is>
      </c>
      <c r="F93" s="30" t="inlineStr">
        <is>
          <t>Human</t>
        </is>
      </c>
      <c r="G93" s="29" t="inlineStr">
        <is>
          <t>Waiting for Input</t>
        </is>
      </c>
      <c r="H93" s="29">
        <f>MATCH(G93, {"Waiting for Input","Analyzing Object","Found Object","Needs Help","Confused","None"}, 0) - 1</f>
        <v/>
      </c>
      <c r="I93" s="29" t="inlineStr">
        <is>
          <t>Waiting for Input</t>
        </is>
      </c>
      <c r="J93" s="29">
        <f>MATCH(I93, {"Waiting for Input","Analyzing Object","Found Object","Needs Help","Confused","None"}, 0) - 1</f>
        <v/>
      </c>
      <c r="K93" s="29" t="n">
        <v>3</v>
      </c>
      <c r="L93" s="29">
        <f>IF(H93=J93, 1, 0)</f>
        <v/>
      </c>
    </row>
    <row r="94">
      <c r="D94" s="29" t="n">
        <v>69</v>
      </c>
      <c r="E94" s="29" t="inlineStr">
        <is>
          <t>1</t>
        </is>
      </c>
      <c r="F94" s="30" t="inlineStr">
        <is>
          <t>Human</t>
        </is>
      </c>
      <c r="G94" s="29" t="inlineStr">
        <is>
          <t>Waiting for Input</t>
        </is>
      </c>
      <c r="H94" s="29">
        <f>MATCH(G94, {"Waiting for Input","Analyzing Object","Found Object","Needs Help","Confused","None"}, 0) - 1</f>
        <v/>
      </c>
      <c r="I94" s="29" t="inlineStr">
        <is>
          <t>Waiting for Input</t>
        </is>
      </c>
      <c r="J94" s="29">
        <f>MATCH(I94, {"Waiting for Input","Analyzing Object","Found Object","Needs Help","Confused","None"}, 0) - 1</f>
        <v/>
      </c>
      <c r="K94" s="29" t="n">
        <v>5</v>
      </c>
      <c r="L94" s="29">
        <f>IF(H94=J94, 1, 0)</f>
        <v/>
      </c>
    </row>
    <row r="95">
      <c r="D95" s="29" t="n">
        <v>70</v>
      </c>
      <c r="E95" s="29" t="inlineStr">
        <is>
          <t>2</t>
        </is>
      </c>
      <c r="F95" s="30" t="inlineStr">
        <is>
          <t>Human</t>
        </is>
      </c>
      <c r="G95" s="29" t="inlineStr">
        <is>
          <t>Waiting for Input</t>
        </is>
      </c>
      <c r="H95" s="29">
        <f>MATCH(G95, {"Waiting for Input","Analyzing Object","Found Object","Needs Help","Confused","None"}, 0) - 1</f>
        <v/>
      </c>
      <c r="I95" s="29" t="inlineStr">
        <is>
          <t>Waiting for Input</t>
        </is>
      </c>
      <c r="J95" s="29">
        <f>MATCH(I95, {"Waiting for Input","Analyzing Object","Found Object","Needs Help","Confused","None"}, 0) - 1</f>
        <v/>
      </c>
      <c r="K95" s="29" t="n">
        <v>5</v>
      </c>
      <c r="L95" s="29">
        <f>IF(H95=J95, 1, 0)</f>
        <v/>
      </c>
    </row>
    <row r="96">
      <c r="D96" s="29" t="n">
        <v>71</v>
      </c>
      <c r="E96" s="29" t="inlineStr">
        <is>
          <t>2</t>
        </is>
      </c>
      <c r="F96" s="30" t="inlineStr">
        <is>
          <t>Human</t>
        </is>
      </c>
      <c r="G96" s="29" t="inlineStr">
        <is>
          <t>Waiting for Input</t>
        </is>
      </c>
      <c r="H96" s="29">
        <f>MATCH(G96, {"Waiting for Input","Analyzing Object","Found Object","Needs Help","Confused","None"}, 0) - 1</f>
        <v/>
      </c>
      <c r="I96" s="31" t="inlineStr">
        <is>
          <t>None</t>
        </is>
      </c>
      <c r="J96" s="29">
        <f>MATCH(I96, {"Waiting for Input","Analyzing Object","Found Object","Needs Help","Confused","None"}, 0) - 1</f>
        <v/>
      </c>
      <c r="K96" s="29" t="n">
        <v>5</v>
      </c>
      <c r="L96" s="29">
        <f>IF(H96=J96, 1, 0)</f>
        <v/>
      </c>
    </row>
    <row r="97">
      <c r="D97" s="29" t="n">
        <v>72</v>
      </c>
      <c r="E97" s="29" t="inlineStr">
        <is>
          <t>2</t>
        </is>
      </c>
      <c r="F97" s="30" t="inlineStr">
        <is>
          <t>Human</t>
        </is>
      </c>
      <c r="G97" s="29" t="inlineStr">
        <is>
          <t>Waiting for Input</t>
        </is>
      </c>
      <c r="H97" s="29">
        <f>MATCH(G97, {"Waiting for Input","Analyzing Object","Found Object","Needs Help","Confused","None"}, 0) - 1</f>
        <v/>
      </c>
      <c r="I97" s="29" t="inlineStr">
        <is>
          <t>Waiting for Input</t>
        </is>
      </c>
      <c r="J97" s="29">
        <f>MATCH(I97, {"Waiting for Input","Analyzing Object","Found Object","Needs Help","Confused","None"}, 0) - 1</f>
        <v/>
      </c>
      <c r="K97" s="29" t="n">
        <v>2</v>
      </c>
      <c r="L97" s="29">
        <f>IF(H97=J97, 1, 0)</f>
        <v/>
      </c>
    </row>
    <row r="98">
      <c r="D98" s="29" t="n">
        <v>73</v>
      </c>
      <c r="E98" s="29" t="inlineStr">
        <is>
          <t>2</t>
        </is>
      </c>
      <c r="F98" s="30" t="inlineStr">
        <is>
          <t>Human</t>
        </is>
      </c>
      <c r="G98" s="29" t="inlineStr">
        <is>
          <t>Waiting for Input</t>
        </is>
      </c>
      <c r="H98" s="29">
        <f>MATCH(G98, {"Waiting for Input","Analyzing Object","Found Object","Needs Help","Confused","None"}, 0) - 1</f>
        <v/>
      </c>
      <c r="I98" s="29" t="inlineStr">
        <is>
          <t>Waiting for Input</t>
        </is>
      </c>
      <c r="J98" s="29">
        <f>MATCH(I98, {"Waiting for Input","Analyzing Object","Found Object","Needs Help","Confused","None"}, 0) - 1</f>
        <v/>
      </c>
      <c r="K98" s="29" t="n">
        <v>2</v>
      </c>
      <c r="L98" s="29">
        <f>IF(H98=J98, 1, 0)</f>
        <v/>
      </c>
    </row>
    <row r="99">
      <c r="D99" s="29" t="n">
        <v>74</v>
      </c>
      <c r="E99" s="29" t="inlineStr">
        <is>
          <t>1</t>
        </is>
      </c>
      <c r="F99" s="30" t="inlineStr">
        <is>
          <t>Human</t>
        </is>
      </c>
      <c r="G99" s="29" t="inlineStr">
        <is>
          <t>Waiting for Input</t>
        </is>
      </c>
      <c r="H99" s="29">
        <f>MATCH(G99, {"Waiting for Input","Analyzing Object","Found Object","Needs Help","Confused","None"}, 0) - 1</f>
        <v/>
      </c>
      <c r="I99" s="29" t="inlineStr">
        <is>
          <t>Waiting for Input</t>
        </is>
      </c>
      <c r="J99" s="29">
        <f>MATCH(I99, {"Waiting for Input","Analyzing Object","Found Object","Needs Help","Confused","None"}, 0) - 1</f>
        <v/>
      </c>
      <c r="K99" s="29" t="n">
        <v>5</v>
      </c>
      <c r="L99" s="29">
        <f>IF(H99=J99, 1, 0)</f>
        <v/>
      </c>
    </row>
    <row r="100">
      <c r="D100" s="29" t="n">
        <v>75</v>
      </c>
      <c r="E100" s="29" t="inlineStr">
        <is>
          <t>1</t>
        </is>
      </c>
      <c r="F100" s="30" t="inlineStr">
        <is>
          <t>Human</t>
        </is>
      </c>
      <c r="G100" s="29" t="inlineStr">
        <is>
          <t>Waiting for Input</t>
        </is>
      </c>
      <c r="H100" s="29">
        <f>MATCH(G100, {"Waiting for Input","Analyzing Object","Found Object","Needs Help","Confused","None"}, 0) - 1</f>
        <v/>
      </c>
      <c r="I100" s="29" t="inlineStr">
        <is>
          <t>Waiting for Input</t>
        </is>
      </c>
      <c r="J100" s="29">
        <f>MATCH(I100, {"Waiting for Input","Analyzing Object","Found Object","Needs Help","Confused","None"}, 0) - 1</f>
        <v/>
      </c>
      <c r="K100" s="29" t="n">
        <v>2</v>
      </c>
      <c r="L100" s="29">
        <f>IF(H100=J100, 1, 0)</f>
        <v/>
      </c>
    </row>
    <row r="101">
      <c r="D101" s="29" t="n">
        <v>76</v>
      </c>
      <c r="E101" s="29" t="inlineStr">
        <is>
          <t>1</t>
        </is>
      </c>
      <c r="F101" s="30" t="inlineStr">
        <is>
          <t>Human</t>
        </is>
      </c>
      <c r="G101" s="29" t="inlineStr">
        <is>
          <t>Waiting for Input</t>
        </is>
      </c>
      <c r="H101" s="29">
        <f>MATCH(G101, {"Waiting for Input","Analyzing Object","Found Object","Needs Help","Confused","None"}, 0) - 1</f>
        <v/>
      </c>
      <c r="I101" s="29" t="inlineStr">
        <is>
          <t>Waiting for Input</t>
        </is>
      </c>
      <c r="J101" s="29">
        <f>MATCH(I101, {"Waiting for Input","Analyzing Object","Found Object","Needs Help","Confused","None"}, 0) - 1</f>
        <v/>
      </c>
      <c r="K101" s="29" t="n">
        <v>4</v>
      </c>
      <c r="L101" s="29">
        <f>IF(H101=J101, 1, 0)</f>
        <v/>
      </c>
    </row>
    <row r="102">
      <c r="D102" s="29" t="n">
        <v>77</v>
      </c>
      <c r="E102" s="29" t="inlineStr">
        <is>
          <t>2</t>
        </is>
      </c>
      <c r="F102" s="30" t="inlineStr">
        <is>
          <t>Human</t>
        </is>
      </c>
      <c r="G102" s="29" t="inlineStr">
        <is>
          <t>Waiting for Input</t>
        </is>
      </c>
      <c r="H102" s="29">
        <f>MATCH(G102, {"Waiting for Input","Analyzing Object","Found Object","Needs Help","Confused","None"}, 0) - 1</f>
        <v/>
      </c>
      <c r="I102" s="29" t="inlineStr">
        <is>
          <t>Waiting for Input</t>
        </is>
      </c>
      <c r="J102" s="29">
        <f>MATCH(I102, {"Waiting for Input","Analyzing Object","Found Object","Needs Help","Confused","None"}, 0) - 1</f>
        <v/>
      </c>
      <c r="K102" s="29" t="n">
        <v>3</v>
      </c>
      <c r="L102" s="29">
        <f>IF(H102=J102, 1, 0)</f>
        <v/>
      </c>
    </row>
    <row r="103">
      <c r="D103" s="29" t="n">
        <v>78</v>
      </c>
      <c r="E103" s="29" t="inlineStr">
        <is>
          <t>2</t>
        </is>
      </c>
      <c r="F103" s="30" t="inlineStr">
        <is>
          <t>Human</t>
        </is>
      </c>
      <c r="G103" s="29" t="inlineStr">
        <is>
          <t>Waiting for Input</t>
        </is>
      </c>
      <c r="H103" s="29">
        <f>MATCH(G103, {"Waiting for Input","Analyzing Object","Found Object","Needs Help","Confused","None"}, 0) - 1</f>
        <v/>
      </c>
      <c r="I103" s="29" t="inlineStr">
        <is>
          <t>Waiting for Input</t>
        </is>
      </c>
      <c r="J103" s="29">
        <f>MATCH(I103, {"Waiting for Input","Analyzing Object","Found Object","Needs Help","Confused","None"}, 0) - 1</f>
        <v/>
      </c>
      <c r="K103" s="29" t="n">
        <v>4</v>
      </c>
      <c r="L103" s="29">
        <f>IF(H103=J103, 1, 0)</f>
        <v/>
      </c>
    </row>
    <row r="104">
      <c r="D104" s="29" t="n">
        <v>79</v>
      </c>
      <c r="E104" s="29" t="inlineStr">
        <is>
          <t>1</t>
        </is>
      </c>
      <c r="F104" s="30" t="inlineStr">
        <is>
          <t>Human</t>
        </is>
      </c>
      <c r="G104" s="29" t="inlineStr">
        <is>
          <t>Waiting for Input</t>
        </is>
      </c>
      <c r="H104" s="29">
        <f>MATCH(G104, {"Waiting for Input","Analyzing Object","Found Object","Needs Help","Confused","None"}, 0) - 1</f>
        <v/>
      </c>
      <c r="I104" s="29" t="inlineStr">
        <is>
          <t>Waiting for Input</t>
        </is>
      </c>
      <c r="J104" s="29">
        <f>MATCH(I104, {"Waiting for Input","Analyzing Object","Found Object","Needs Help","Confused","None"}, 0) - 1</f>
        <v/>
      </c>
      <c r="K104" s="29" t="n">
        <v>3</v>
      </c>
      <c r="L104" s="29">
        <f>IF(H104=J104, 1, 0)</f>
        <v/>
      </c>
    </row>
    <row r="105">
      <c r="D105" s="29" t="n">
        <v>80</v>
      </c>
      <c r="E105" s="29" t="inlineStr">
        <is>
          <t>1</t>
        </is>
      </c>
      <c r="F105" s="30" t="inlineStr">
        <is>
          <t>Human</t>
        </is>
      </c>
      <c r="G105" s="29" t="inlineStr">
        <is>
          <t>Waiting for Input</t>
        </is>
      </c>
      <c r="H105" s="29">
        <f>MATCH(G105, {"Waiting for Input","Analyzing Object","Found Object","Needs Help","Confused","None"}, 0) - 1</f>
        <v/>
      </c>
      <c r="I105" s="31" t="inlineStr">
        <is>
          <t>None</t>
        </is>
      </c>
      <c r="J105" s="29">
        <f>MATCH(I105, {"Waiting for Input","Analyzing Object","Found Object","Needs Help","Confused","None"}, 0) - 1</f>
        <v/>
      </c>
      <c r="K105" s="29" t="n">
        <v>2</v>
      </c>
      <c r="L105" s="29">
        <f>IF(H105=J105, 1, 0)</f>
        <v/>
      </c>
    </row>
    <row r="106">
      <c r="D106" s="29" t="n">
        <v>81</v>
      </c>
      <c r="E106" s="29" t="inlineStr">
        <is>
          <t>2</t>
        </is>
      </c>
      <c r="F106" s="30" t="inlineStr">
        <is>
          <t>Human</t>
        </is>
      </c>
      <c r="G106" s="29" t="inlineStr">
        <is>
          <t>Waiting for Input</t>
        </is>
      </c>
      <c r="H106" s="29">
        <f>MATCH(G106, {"Waiting for Input","Analyzing Object","Found Object","Needs Help","Confused","None"}, 0) - 1</f>
        <v/>
      </c>
      <c r="I106" s="29" t="inlineStr">
        <is>
          <t>Found Object</t>
        </is>
      </c>
      <c r="J106" s="29">
        <f>MATCH(I106, {"Waiting for Input","Analyzing Object","Found Object","Needs Help","Confused","None"}, 0) - 1</f>
        <v/>
      </c>
      <c r="K106" s="29" t="n">
        <v>3</v>
      </c>
      <c r="L106" s="29">
        <f>IF(H106=J106, 1, 0)</f>
        <v/>
      </c>
    </row>
    <row r="107">
      <c r="D107" s="29" t="n">
        <v>82</v>
      </c>
      <c r="E107" s="29" t="inlineStr">
        <is>
          <t>2</t>
        </is>
      </c>
      <c r="F107" s="30" t="inlineStr">
        <is>
          <t>Human</t>
        </is>
      </c>
      <c r="G107" s="29" t="inlineStr">
        <is>
          <t>Waiting for Input</t>
        </is>
      </c>
      <c r="H107" s="29">
        <f>MATCH(G107, {"Waiting for Input","Analyzing Object","Found Object","Needs Help","Confused","None"}, 0) - 1</f>
        <v/>
      </c>
      <c r="I107" s="29" t="inlineStr">
        <is>
          <t>Waiting for Input</t>
        </is>
      </c>
      <c r="J107" s="29">
        <f>MATCH(I107, {"Waiting for Input","Analyzing Object","Found Object","Needs Help","Confused","None"}, 0) - 1</f>
        <v/>
      </c>
      <c r="K107" s="29" t="n">
        <v>5</v>
      </c>
      <c r="L107" s="29">
        <f>IF(H107=J107, 1, 0)</f>
        <v/>
      </c>
    </row>
    <row r="108">
      <c r="D108" s="29" t="n">
        <v>83</v>
      </c>
      <c r="E108" s="29" t="inlineStr">
        <is>
          <t>1</t>
        </is>
      </c>
      <c r="F108" s="30" t="inlineStr">
        <is>
          <t>Human</t>
        </is>
      </c>
      <c r="G108" s="29" t="inlineStr">
        <is>
          <t>Waiting for Input</t>
        </is>
      </c>
      <c r="H108" s="29">
        <f>MATCH(G108, {"Waiting for Input","Analyzing Object","Found Object","Needs Help","Confused","None"}, 0) - 1</f>
        <v/>
      </c>
      <c r="I108" s="29" t="inlineStr">
        <is>
          <t>Waiting for Input</t>
        </is>
      </c>
      <c r="J108" s="29">
        <f>MATCH(I108, {"Waiting for Input","Analyzing Object","Found Object","Needs Help","Confused","None"}, 0) - 1</f>
        <v/>
      </c>
      <c r="K108" s="29" t="n">
        <v>1</v>
      </c>
      <c r="L108" s="29">
        <f>IF(H108=J108, 1, 0)</f>
        <v/>
      </c>
    </row>
    <row r="109">
      <c r="D109" s="29" t="n">
        <v>84</v>
      </c>
      <c r="E109" s="29" t="inlineStr">
        <is>
          <t>1</t>
        </is>
      </c>
      <c r="F109" s="30" t="inlineStr">
        <is>
          <t>Human</t>
        </is>
      </c>
      <c r="G109" s="29" t="inlineStr">
        <is>
          <t>Waiting for Input</t>
        </is>
      </c>
      <c r="H109" s="29">
        <f>MATCH(G109, {"Waiting for Input","Analyzing Object","Found Object","Needs Help","Confused","None"}, 0) - 1</f>
        <v/>
      </c>
      <c r="I109" s="29" t="inlineStr">
        <is>
          <t>Waiting for Input</t>
        </is>
      </c>
      <c r="J109" s="29">
        <f>MATCH(I109, {"Waiting for Input","Analyzing Object","Found Object","Needs Help","Confused","None"}, 0) - 1</f>
        <v/>
      </c>
      <c r="K109" s="29" t="n">
        <v>3</v>
      </c>
      <c r="L109" s="29">
        <f>IF(H109=J109, 1, 0)</f>
        <v/>
      </c>
    </row>
    <row r="110">
      <c r="D110" s="29" t="n">
        <v>85</v>
      </c>
      <c r="E110" s="29" t="inlineStr">
        <is>
          <t>2</t>
        </is>
      </c>
      <c r="F110" s="30" t="inlineStr">
        <is>
          <t>Human</t>
        </is>
      </c>
      <c r="G110" s="29" t="inlineStr">
        <is>
          <t>Waiting for Input</t>
        </is>
      </c>
      <c r="H110" s="29">
        <f>MATCH(G110, {"Waiting for Input","Analyzing Object","Found Object","Needs Help","Confused","None"}, 0) - 1</f>
        <v/>
      </c>
      <c r="I110" s="29" t="inlineStr">
        <is>
          <t>Needs Help</t>
        </is>
      </c>
      <c r="J110" s="29">
        <f>MATCH(I110, {"Waiting for Input","Analyzing Object","Found Object","Needs Help","Confused","None"}, 0) - 1</f>
        <v/>
      </c>
      <c r="K110" s="29" t="n">
        <v>2</v>
      </c>
      <c r="L110" s="29">
        <f>IF(H110=J110, 1, 0)</f>
        <v/>
      </c>
    </row>
    <row r="111">
      <c r="D111" s="29" t="n">
        <v>86</v>
      </c>
      <c r="E111" s="29" t="inlineStr">
        <is>
          <t>2</t>
        </is>
      </c>
      <c r="F111" s="30" t="inlineStr">
        <is>
          <t>Human</t>
        </is>
      </c>
      <c r="G111" s="29" t="inlineStr">
        <is>
          <t>Waiting for Input</t>
        </is>
      </c>
      <c r="H111" s="29">
        <f>MATCH(G111, {"Waiting for Input","Analyzing Object","Found Object","Needs Help","Confused","None"}, 0) - 1</f>
        <v/>
      </c>
      <c r="I111" s="29" t="inlineStr">
        <is>
          <t>Waiting for Input</t>
        </is>
      </c>
      <c r="J111" s="29">
        <f>MATCH(I111, {"Waiting for Input","Analyzing Object","Found Object","Needs Help","Confused","None"}, 0) - 1</f>
        <v/>
      </c>
      <c r="K111" s="29" t="n">
        <v>3</v>
      </c>
      <c r="L111" s="29">
        <f>IF(H111=J111, 1, 0)</f>
        <v/>
      </c>
    </row>
    <row r="112">
      <c r="D112" s="29" t="n">
        <v>87</v>
      </c>
      <c r="E112" s="29" t="inlineStr">
        <is>
          <t>2</t>
        </is>
      </c>
      <c r="F112" s="30" t="inlineStr">
        <is>
          <t>Human</t>
        </is>
      </c>
      <c r="G112" s="29" t="inlineStr">
        <is>
          <t>Waiting for Input</t>
        </is>
      </c>
      <c r="H112" s="29">
        <f>MATCH(G112, {"Waiting for Input","Analyzing Object","Found Object","Needs Help","Confused","None"}, 0) - 1</f>
        <v/>
      </c>
      <c r="I112" s="29" t="inlineStr">
        <is>
          <t>Waiting for Input</t>
        </is>
      </c>
      <c r="J112" s="29">
        <f>MATCH(I112, {"Waiting for Input","Analyzing Object","Found Object","Needs Help","Confused","None"}, 0) - 1</f>
        <v/>
      </c>
      <c r="K112" s="29" t="n">
        <v>4</v>
      </c>
      <c r="L112" s="29">
        <f>IF(H112=J112, 1, 0)</f>
        <v/>
      </c>
    </row>
    <row r="113">
      <c r="D113" s="29" t="n">
        <v>88</v>
      </c>
      <c r="E113" s="29" t="inlineStr">
        <is>
          <t>2</t>
        </is>
      </c>
      <c r="F113" s="30" t="inlineStr">
        <is>
          <t>Human</t>
        </is>
      </c>
      <c r="G113" s="29" t="inlineStr">
        <is>
          <t>Waiting for Input</t>
        </is>
      </c>
      <c r="H113" s="29">
        <f>MATCH(G113, {"Waiting for Input","Analyzing Object","Found Object","Needs Help","Confused","None"}, 0) - 1</f>
        <v/>
      </c>
      <c r="I113" s="29" t="inlineStr">
        <is>
          <t>Waiting for Input</t>
        </is>
      </c>
      <c r="J113" s="29">
        <f>MATCH(I113, {"Waiting for Input","Analyzing Object","Found Object","Needs Help","Confused","None"}, 0) - 1</f>
        <v/>
      </c>
      <c r="K113" s="29" t="n">
        <v>3</v>
      </c>
      <c r="L113" s="29">
        <f>IF(H113=J113, 1, 0)</f>
        <v/>
      </c>
    </row>
    <row r="114">
      <c r="D114" s="29" t="n">
        <v>89</v>
      </c>
      <c r="E114" s="29" t="inlineStr">
        <is>
          <t>2</t>
        </is>
      </c>
      <c r="F114" s="30" t="inlineStr">
        <is>
          <t>Human</t>
        </is>
      </c>
      <c r="G114" s="29" t="inlineStr">
        <is>
          <t>Waiting for Input</t>
        </is>
      </c>
      <c r="H114" s="29">
        <f>MATCH(G114, {"Waiting for Input","Analyzing Object","Found Object","Needs Help","Confused","None"}, 0) - 1</f>
        <v/>
      </c>
      <c r="I114" s="29" t="inlineStr">
        <is>
          <t>Needs Help</t>
        </is>
      </c>
      <c r="J114" s="29">
        <f>MATCH(I114, {"Waiting for Input","Analyzing Object","Found Object","Needs Help","Confused","None"}, 0) - 1</f>
        <v/>
      </c>
      <c r="K114" s="29" t="n">
        <v>2</v>
      </c>
      <c r="L114" s="29">
        <f>IF(H114=J114, 1, 0)</f>
        <v/>
      </c>
    </row>
    <row r="115">
      <c r="D115" s="29" t="n">
        <v>90</v>
      </c>
      <c r="E115" s="29" t="inlineStr">
        <is>
          <t>2</t>
        </is>
      </c>
      <c r="F115" s="30" t="inlineStr">
        <is>
          <t>Human</t>
        </is>
      </c>
      <c r="G115" s="29" t="inlineStr">
        <is>
          <t>Waiting for Input</t>
        </is>
      </c>
      <c r="H115" s="29">
        <f>MATCH(G115, {"Waiting for Input","Analyzing Object","Found Object","Needs Help","Confused","None"}, 0) - 1</f>
        <v/>
      </c>
      <c r="I115" s="29" t="inlineStr">
        <is>
          <t>Waiting for Input</t>
        </is>
      </c>
      <c r="J115" s="29">
        <f>MATCH(I115, {"Waiting for Input","Analyzing Object","Found Object","Needs Help","Confused","None"}, 0) - 1</f>
        <v/>
      </c>
      <c r="K115" s="29" t="n">
        <v>5</v>
      </c>
      <c r="L115" s="29">
        <f>IF(H115=J115, 1, 0)</f>
        <v/>
      </c>
    </row>
    <row r="116">
      <c r="D116" s="29" t="n">
        <v>91</v>
      </c>
      <c r="E116" s="29" t="inlineStr">
        <is>
          <t>1</t>
        </is>
      </c>
      <c r="F116" s="30" t="inlineStr">
        <is>
          <t>Human</t>
        </is>
      </c>
      <c r="G116" s="29" t="inlineStr">
        <is>
          <t>Waiting for Input</t>
        </is>
      </c>
      <c r="H116" s="29">
        <f>MATCH(G116, {"Waiting for Input","Analyzing Object","Found Object","Needs Help","Confused","None"}, 0) - 1</f>
        <v/>
      </c>
      <c r="I116" s="29" t="inlineStr">
        <is>
          <t>Waiting for Input</t>
        </is>
      </c>
      <c r="J116" s="29">
        <f>MATCH(I116, {"Waiting for Input","Analyzing Object","Found Object","Needs Help","Confused","None"}, 0) - 1</f>
        <v/>
      </c>
      <c r="K116" s="29" t="n">
        <v>4</v>
      </c>
      <c r="L116" s="29">
        <f>IF(H116=J116, 1, 0)</f>
        <v/>
      </c>
    </row>
    <row r="117">
      <c r="D117" s="29" t="n">
        <v>92</v>
      </c>
      <c r="E117" s="29" t="inlineStr">
        <is>
          <t>2</t>
        </is>
      </c>
      <c r="F117" s="30" t="inlineStr">
        <is>
          <t>Human</t>
        </is>
      </c>
      <c r="G117" s="29" t="inlineStr">
        <is>
          <t>Waiting for Input</t>
        </is>
      </c>
      <c r="H117" s="29">
        <f>MATCH(G117, {"Waiting for Input","Analyzing Object","Found Object","Needs Help","Confused","None"}, 0) - 1</f>
        <v/>
      </c>
      <c r="I117" s="29" t="inlineStr">
        <is>
          <t>Waiting for Input</t>
        </is>
      </c>
      <c r="J117" s="29">
        <f>MATCH(I117, {"Waiting for Input","Analyzing Object","Found Object","Needs Help","Confused","None"}, 0) - 1</f>
        <v/>
      </c>
      <c r="K117" s="29" t="n">
        <v>4</v>
      </c>
      <c r="L117" s="29">
        <f>IF(H117=J117, 1, 0)</f>
        <v/>
      </c>
    </row>
    <row r="118">
      <c r="D118" s="29" t="n">
        <v>93</v>
      </c>
      <c r="E118" s="29" t="inlineStr">
        <is>
          <t>1</t>
        </is>
      </c>
      <c r="F118" s="30" t="inlineStr">
        <is>
          <t>Human</t>
        </is>
      </c>
      <c r="G118" s="29" t="inlineStr">
        <is>
          <t>Waiting for Input</t>
        </is>
      </c>
      <c r="H118" s="29">
        <f>MATCH(G118, {"Waiting for Input","Analyzing Object","Found Object","Needs Help","Confused","None"}, 0) - 1</f>
        <v/>
      </c>
      <c r="I118" s="29" t="inlineStr">
        <is>
          <t>Found Object</t>
        </is>
      </c>
      <c r="J118" s="29">
        <f>MATCH(I118, {"Waiting for Input","Analyzing Object","Found Object","Needs Help","Confused","None"}, 0) - 1</f>
        <v/>
      </c>
      <c r="K118" s="29" t="n">
        <v>3</v>
      </c>
      <c r="L118" s="29">
        <f>IF(H118=J118, 1, 0)</f>
        <v/>
      </c>
    </row>
    <row r="119">
      <c r="D119" s="29" t="n">
        <v>94</v>
      </c>
      <c r="E119" s="29" t="inlineStr">
        <is>
          <t>1</t>
        </is>
      </c>
      <c r="F119" s="30" t="inlineStr">
        <is>
          <t>Human</t>
        </is>
      </c>
      <c r="G119" s="29" t="inlineStr">
        <is>
          <t>Waiting for Input</t>
        </is>
      </c>
      <c r="H119" s="29">
        <f>MATCH(G119, {"Waiting for Input","Analyzing Object","Found Object","Needs Help","Confused","None"}, 0) - 1</f>
        <v/>
      </c>
      <c r="I119" s="29" t="inlineStr">
        <is>
          <t>Analyzing Object</t>
        </is>
      </c>
      <c r="J119" s="29">
        <f>MATCH(I119, {"Waiting for Input","Analyzing Object","Found Object","Needs Help","Confused","None"}, 0) - 1</f>
        <v/>
      </c>
      <c r="K119" s="29" t="n">
        <v>3</v>
      </c>
      <c r="L119" s="29">
        <f>IF(H119=J119, 1, 0)</f>
        <v/>
      </c>
    </row>
    <row r="120">
      <c r="D120" s="29" t="n">
        <v>95</v>
      </c>
      <c r="E120" s="29" t="inlineStr">
        <is>
          <t>1</t>
        </is>
      </c>
      <c r="F120" s="30" t="inlineStr">
        <is>
          <t>Human</t>
        </is>
      </c>
      <c r="G120" s="29" t="inlineStr">
        <is>
          <t>Waiting for Input</t>
        </is>
      </c>
      <c r="H120" s="29">
        <f>MATCH(G120, {"Waiting for Input","Analyzing Object","Found Object","Needs Help","Confused","None"}, 0) - 1</f>
        <v/>
      </c>
      <c r="I120" s="29" t="inlineStr">
        <is>
          <t>Waiting for Input</t>
        </is>
      </c>
      <c r="J120" s="29">
        <f>MATCH(I120, {"Waiting for Input","Analyzing Object","Found Object","Needs Help","Confused","None"}, 0) - 1</f>
        <v/>
      </c>
      <c r="K120" s="29" t="n">
        <v>5</v>
      </c>
      <c r="L120" s="29">
        <f>IF(H120=J120, 1, 0)</f>
        <v/>
      </c>
    </row>
    <row r="121">
      <c r="D121" s="29" t="n">
        <v>96</v>
      </c>
      <c r="E121" s="29" t="inlineStr">
        <is>
          <t>2</t>
        </is>
      </c>
      <c r="F121" s="30" t="inlineStr">
        <is>
          <t>Human</t>
        </is>
      </c>
      <c r="G121" s="29" t="inlineStr">
        <is>
          <t>Waiting for Input</t>
        </is>
      </c>
      <c r="H121" s="29">
        <f>MATCH(G121, {"Waiting for Input","Analyzing Object","Found Object","Needs Help","Confused","None"}, 0) - 1</f>
        <v/>
      </c>
      <c r="I121" s="29" t="inlineStr">
        <is>
          <t>Waiting for Input</t>
        </is>
      </c>
      <c r="J121" s="29">
        <f>MATCH(I121, {"Waiting for Input","Analyzing Object","Found Object","Needs Help","Confused","None"}, 0) - 1</f>
        <v/>
      </c>
      <c r="K121" s="29" t="n">
        <v>1</v>
      </c>
      <c r="L121" s="29">
        <f>IF(H121=J121, 1, 0)</f>
        <v/>
      </c>
    </row>
    <row r="122">
      <c r="D122" s="29" t="n">
        <v>97</v>
      </c>
      <c r="E122" s="29" t="inlineStr">
        <is>
          <t>2</t>
        </is>
      </c>
      <c r="F122" s="30" t="inlineStr">
        <is>
          <t>Human</t>
        </is>
      </c>
      <c r="G122" s="29" t="inlineStr">
        <is>
          <t>Waiting for Input</t>
        </is>
      </c>
      <c r="H122" s="29">
        <f>MATCH(G122, {"Waiting for Input","Analyzing Object","Found Object","Needs Help","Confused","None"}, 0) - 1</f>
        <v/>
      </c>
      <c r="I122" s="29" t="inlineStr">
        <is>
          <t>Confused</t>
        </is>
      </c>
      <c r="J122" s="29">
        <f>MATCH(I122, {"Waiting for Input","Analyzing Object","Found Object","Needs Help","Confused","None"}, 0) - 1</f>
        <v/>
      </c>
      <c r="K122" s="29" t="n">
        <v>5</v>
      </c>
      <c r="L122" s="29">
        <f>IF(H122=J122, 1, 0)</f>
        <v/>
      </c>
    </row>
    <row r="123">
      <c r="D123" s="29" t="n">
        <v>98</v>
      </c>
      <c r="E123" s="29" t="inlineStr">
        <is>
          <t>1</t>
        </is>
      </c>
      <c r="F123" s="30" t="inlineStr">
        <is>
          <t>Human</t>
        </is>
      </c>
      <c r="G123" s="29" t="inlineStr">
        <is>
          <t>Waiting for Input</t>
        </is>
      </c>
      <c r="H123" s="29">
        <f>MATCH(G123, {"Waiting for Input","Analyzing Object","Found Object","Needs Help","Confused","None"}, 0) - 1</f>
        <v/>
      </c>
      <c r="I123" s="29" t="inlineStr">
        <is>
          <t>Waiting for Input</t>
        </is>
      </c>
      <c r="J123" s="29">
        <f>MATCH(I123, {"Waiting for Input","Analyzing Object","Found Object","Needs Help","Confused","None"}, 0) - 1</f>
        <v/>
      </c>
      <c r="K123" s="29" t="n">
        <v>4</v>
      </c>
      <c r="L123" s="29">
        <f>IF(H123=J123, 1, 0)</f>
        <v/>
      </c>
    </row>
    <row r="124">
      <c r="D124" s="29" t="n">
        <v>99</v>
      </c>
      <c r="E124" s="29" t="inlineStr">
        <is>
          <t>1</t>
        </is>
      </c>
      <c r="F124" s="30" t="inlineStr">
        <is>
          <t>Human</t>
        </is>
      </c>
      <c r="G124" s="29" t="inlineStr">
        <is>
          <t>Waiting for Input</t>
        </is>
      </c>
      <c r="H124" s="29">
        <f>MATCH(G124, {"Waiting for Input","Analyzing Object","Found Object","Needs Help","Confused","None"}, 0) - 1</f>
        <v/>
      </c>
      <c r="I124" s="31" t="inlineStr">
        <is>
          <t>None</t>
        </is>
      </c>
      <c r="J124" s="29">
        <f>MATCH(I124, {"Waiting for Input","Analyzing Object","Found Object","Needs Help","Confused","None"}, 0) - 1</f>
        <v/>
      </c>
      <c r="K124" s="29" t="n">
        <v>5</v>
      </c>
      <c r="L124" s="29">
        <f>IF(H124=J124, 1, 0)</f>
        <v/>
      </c>
    </row>
    <row r="125">
      <c r="D125" s="29" t="n">
        <v>100</v>
      </c>
      <c r="E125" s="29" t="inlineStr">
        <is>
          <t>1</t>
        </is>
      </c>
      <c r="F125" s="30" t="inlineStr">
        <is>
          <t>Human</t>
        </is>
      </c>
      <c r="G125" s="29" t="inlineStr">
        <is>
          <t>Waiting for Input</t>
        </is>
      </c>
      <c r="H125" s="29">
        <f>MATCH(G125, {"Waiting for Input","Analyzing Object","Found Object","Needs Help","Confused","None"}, 0) - 1</f>
        <v/>
      </c>
      <c r="I125" s="29" t="inlineStr">
        <is>
          <t>Analyzing Object</t>
        </is>
      </c>
      <c r="J125" s="29">
        <f>MATCH(I125, {"Waiting for Input","Analyzing Object","Found Object","Needs Help","Confused","None"}, 0) - 1</f>
        <v/>
      </c>
      <c r="K125" s="29" t="n">
        <v>4</v>
      </c>
      <c r="L125" s="29">
        <f>IF(H125=J125, 1, 0)</f>
        <v/>
      </c>
    </row>
    <row r="126">
      <c r="D126" s="29" t="n">
        <v>101</v>
      </c>
      <c r="E126" s="29" t="inlineStr">
        <is>
          <t>2</t>
        </is>
      </c>
      <c r="F126" s="30" t="inlineStr">
        <is>
          <t>Human</t>
        </is>
      </c>
      <c r="G126" s="29" t="inlineStr">
        <is>
          <t>Waiting for Input</t>
        </is>
      </c>
      <c r="H126" s="29">
        <f>MATCH(G126, {"Waiting for Input","Analyzing Object","Found Object","Needs Help","Confused","None"}, 0) - 1</f>
        <v/>
      </c>
      <c r="I126" s="29" t="inlineStr">
        <is>
          <t>Waiting for Input</t>
        </is>
      </c>
      <c r="J126" s="29">
        <f>MATCH(I126, {"Waiting for Input","Analyzing Object","Found Object","Needs Help","Confused","None"}, 0) - 1</f>
        <v/>
      </c>
      <c r="K126" s="29" t="n">
        <v>4</v>
      </c>
      <c r="L126" s="29">
        <f>IF(H126=J126, 1, 0)</f>
        <v/>
      </c>
    </row>
    <row r="127">
      <c r="D127" s="29" t="n">
        <v>102</v>
      </c>
      <c r="E127" s="29" t="inlineStr">
        <is>
          <t>2</t>
        </is>
      </c>
      <c r="F127" s="30" t="inlineStr">
        <is>
          <t>Human</t>
        </is>
      </c>
      <c r="G127" s="29" t="inlineStr">
        <is>
          <t>Waiting for Input</t>
        </is>
      </c>
      <c r="H127" s="29">
        <f>MATCH(G127, {"Waiting for Input","Analyzing Object","Found Object","Needs Help","Confused","None"}, 0) - 1</f>
        <v/>
      </c>
      <c r="I127" s="29" t="inlineStr">
        <is>
          <t>Waiting for Input</t>
        </is>
      </c>
      <c r="J127" s="29">
        <f>MATCH(I127, {"Waiting for Input","Analyzing Object","Found Object","Needs Help","Confused","None"}, 0) - 1</f>
        <v/>
      </c>
      <c r="K127" s="29" t="n">
        <v>5</v>
      </c>
      <c r="L127" s="29">
        <f>IF(H127=J127, 1, 0)</f>
        <v/>
      </c>
    </row>
    <row r="128">
      <c r="D128" s="29" t="n">
        <v>103</v>
      </c>
      <c r="E128" s="29" t="inlineStr">
        <is>
          <t>2</t>
        </is>
      </c>
      <c r="F128" s="30" t="inlineStr">
        <is>
          <t>Human</t>
        </is>
      </c>
      <c r="G128" s="29" t="inlineStr">
        <is>
          <t>Waiting for Input</t>
        </is>
      </c>
      <c r="H128" s="29">
        <f>MATCH(G128, {"Waiting for Input","Analyzing Object","Found Object","Needs Help","Confused","None"}, 0) - 1</f>
        <v/>
      </c>
      <c r="I128" s="29" t="inlineStr">
        <is>
          <t>Waiting for Input</t>
        </is>
      </c>
      <c r="J128" s="29">
        <f>MATCH(I128, {"Waiting for Input","Analyzing Object","Found Object","Needs Help","Confused","None"}, 0) - 1</f>
        <v/>
      </c>
      <c r="K128" s="29" t="n">
        <v>3</v>
      </c>
      <c r="L128" s="29">
        <f>IF(H128=J128, 1, 0)</f>
        <v/>
      </c>
    </row>
    <row r="129">
      <c r="D129" s="29" t="n">
        <v>104</v>
      </c>
      <c r="E129" s="29" t="inlineStr">
        <is>
          <t>2</t>
        </is>
      </c>
      <c r="F129" s="30" t="inlineStr">
        <is>
          <t>Human</t>
        </is>
      </c>
      <c r="G129" s="29" t="inlineStr">
        <is>
          <t>Waiting for Input</t>
        </is>
      </c>
      <c r="H129" s="29">
        <f>MATCH(G129, {"Waiting for Input","Analyzing Object","Found Object","Needs Help","Confused","None"}, 0) - 1</f>
        <v/>
      </c>
      <c r="I129" s="29" t="inlineStr">
        <is>
          <t>Waiting for Input</t>
        </is>
      </c>
      <c r="J129" s="29">
        <f>MATCH(I129, {"Waiting for Input","Analyzing Object","Found Object","Needs Help","Confused","None"}, 0) - 1</f>
        <v/>
      </c>
      <c r="K129" s="29" t="n">
        <v>3</v>
      </c>
      <c r="L129" s="29">
        <f>IF(H129=J129, 1, 0)</f>
        <v/>
      </c>
    </row>
    <row r="130">
      <c r="D130" s="29" t="n">
        <v>105</v>
      </c>
      <c r="E130" s="29" t="inlineStr">
        <is>
          <t>2</t>
        </is>
      </c>
      <c r="F130" s="30" t="inlineStr">
        <is>
          <t>Human</t>
        </is>
      </c>
      <c r="G130" s="29" t="inlineStr">
        <is>
          <t>Waiting for Input</t>
        </is>
      </c>
      <c r="H130" s="29">
        <f>MATCH(G130, {"Waiting for Input","Analyzing Object","Found Object","Needs Help","Confused","None"}, 0) - 1</f>
        <v/>
      </c>
      <c r="I130" s="29" t="inlineStr">
        <is>
          <t>Found Object</t>
        </is>
      </c>
      <c r="J130" s="29">
        <f>MATCH(I130, {"Waiting for Input","Analyzing Object","Found Object","Needs Help","Confused","None"}, 0) - 1</f>
        <v/>
      </c>
      <c r="K130" s="29" t="n">
        <v>3</v>
      </c>
      <c r="L130" s="29">
        <f>IF(H130=J130, 1, 0)</f>
        <v/>
      </c>
    </row>
    <row r="131">
      <c r="D131" s="29" t="n">
        <v>106</v>
      </c>
      <c r="E131" s="29" t="inlineStr">
        <is>
          <t>2</t>
        </is>
      </c>
      <c r="F131" s="30" t="inlineStr">
        <is>
          <t>Human</t>
        </is>
      </c>
      <c r="G131" s="29" t="inlineStr">
        <is>
          <t>Waiting for Input</t>
        </is>
      </c>
      <c r="H131" s="29">
        <f>MATCH(G131, {"Waiting for Input","Analyzing Object","Found Object","Needs Help","Confused","None"}, 0) - 1</f>
        <v/>
      </c>
      <c r="I131" s="29" t="inlineStr">
        <is>
          <t>Confused</t>
        </is>
      </c>
      <c r="J131" s="29">
        <f>MATCH(I131, {"Waiting for Input","Analyzing Object","Found Object","Needs Help","Confused","None"}, 0) - 1</f>
        <v/>
      </c>
      <c r="K131" s="29" t="n">
        <v>3</v>
      </c>
      <c r="L131" s="29">
        <f>IF(H131=J131, 1, 0)</f>
        <v/>
      </c>
    </row>
    <row r="132">
      <c r="D132" s="29" t="n">
        <v>107</v>
      </c>
      <c r="E132" s="29" t="inlineStr">
        <is>
          <t>2</t>
        </is>
      </c>
      <c r="F132" s="30" t="inlineStr">
        <is>
          <t>Human</t>
        </is>
      </c>
      <c r="G132" s="29" t="inlineStr">
        <is>
          <t>Waiting for Input</t>
        </is>
      </c>
      <c r="H132" s="29">
        <f>MATCH(G132, {"Waiting for Input","Analyzing Object","Found Object","Needs Help","Confused","None"}, 0) - 1</f>
        <v/>
      </c>
      <c r="I132" s="31" t="inlineStr">
        <is>
          <t>None</t>
        </is>
      </c>
      <c r="J132" s="29">
        <f>MATCH(I132, {"Waiting for Input","Analyzing Object","Found Object","Needs Help","Confused","None"}, 0) - 1</f>
        <v/>
      </c>
      <c r="K132" s="29" t="n">
        <v>2</v>
      </c>
      <c r="L132" s="29">
        <f>IF(H132=J132, 1, 0)</f>
        <v/>
      </c>
    </row>
    <row r="133">
      <c r="D133" s="29" t="n">
        <v>108</v>
      </c>
      <c r="E133" s="29" t="inlineStr">
        <is>
          <t>2</t>
        </is>
      </c>
      <c r="F133" s="30" t="inlineStr">
        <is>
          <t>Human</t>
        </is>
      </c>
      <c r="G133" s="29" t="inlineStr">
        <is>
          <t>Waiting for Input</t>
        </is>
      </c>
      <c r="H133" s="29">
        <f>MATCH(G133, {"Waiting for Input","Analyzing Object","Found Object","Needs Help","Confused","None"}, 0) - 1</f>
        <v/>
      </c>
      <c r="I133" s="29" t="inlineStr">
        <is>
          <t>Waiting for Input</t>
        </is>
      </c>
      <c r="J133" s="29">
        <f>MATCH(I133, {"Waiting for Input","Analyzing Object","Found Object","Needs Help","Confused","None"}, 0) - 1</f>
        <v/>
      </c>
      <c r="K133" s="29" t="n">
        <v>4</v>
      </c>
      <c r="L133" s="29">
        <f>IF(H133=J133, 1, 0)</f>
        <v/>
      </c>
    </row>
    <row r="134">
      <c r="D134" s="29" t="n">
        <v>109</v>
      </c>
      <c r="E134" s="29" t="inlineStr">
        <is>
          <t>2</t>
        </is>
      </c>
      <c r="F134" s="30" t="inlineStr">
        <is>
          <t>Human</t>
        </is>
      </c>
      <c r="G134" s="29" t="inlineStr">
        <is>
          <t>Waiting for Input</t>
        </is>
      </c>
      <c r="H134" s="29">
        <f>MATCH(G134, {"Waiting for Input","Analyzing Object","Found Object","Needs Help","Confused","None"}, 0) - 1</f>
        <v/>
      </c>
      <c r="I134" s="29" t="inlineStr">
        <is>
          <t>Waiting for Input</t>
        </is>
      </c>
      <c r="J134" s="29">
        <f>MATCH(I134, {"Waiting for Input","Analyzing Object","Found Object","Needs Help","Confused","None"}, 0) - 1</f>
        <v/>
      </c>
      <c r="K134" s="29" t="n">
        <v>4</v>
      </c>
      <c r="L134" s="29">
        <f>IF(H134=J134, 1, 0)</f>
        <v/>
      </c>
    </row>
    <row r="135">
      <c r="D135" s="29" t="n">
        <v>110</v>
      </c>
      <c r="E135" s="29" t="inlineStr">
        <is>
          <t>2</t>
        </is>
      </c>
      <c r="F135" s="30" t="inlineStr">
        <is>
          <t>Human</t>
        </is>
      </c>
      <c r="G135" s="29" t="inlineStr">
        <is>
          <t>Waiting for Input</t>
        </is>
      </c>
      <c r="H135" s="29">
        <f>MATCH(G135, {"Waiting for Input","Analyzing Object","Found Object","Needs Help","Confused","None"}, 0) - 1</f>
        <v/>
      </c>
      <c r="I135" s="29" t="inlineStr">
        <is>
          <t>Waiting for Input</t>
        </is>
      </c>
      <c r="J135" s="29">
        <f>MATCH(I135, {"Waiting for Input","Analyzing Object","Found Object","Needs Help","Confused","None"}, 0) - 1</f>
        <v/>
      </c>
      <c r="K135" s="29" t="n">
        <v>4</v>
      </c>
      <c r="L135" s="29">
        <f>IF(H135=J135, 1, 0)</f>
        <v/>
      </c>
    </row>
    <row r="136">
      <c r="D136" s="29" t="n">
        <v>111</v>
      </c>
      <c r="E136" s="29" t="inlineStr">
        <is>
          <t>1</t>
        </is>
      </c>
      <c r="F136" s="30" t="inlineStr">
        <is>
          <t>Human</t>
        </is>
      </c>
      <c r="G136" s="29" t="inlineStr">
        <is>
          <t>Waiting for Input</t>
        </is>
      </c>
      <c r="H136" s="29">
        <f>MATCH(G136, {"Waiting for Input","Analyzing Object","Found Object","Needs Help","Confused","None"}, 0) - 1</f>
        <v/>
      </c>
      <c r="I136" s="29" t="inlineStr">
        <is>
          <t>Found Object</t>
        </is>
      </c>
      <c r="J136" s="29">
        <f>MATCH(I136, {"Waiting for Input","Analyzing Object","Found Object","Needs Help","Confused","None"}, 0) - 1</f>
        <v/>
      </c>
      <c r="K136" s="29" t="n">
        <v>3</v>
      </c>
      <c r="L136" s="29">
        <f>IF(H136=J136, 1, 0)</f>
        <v/>
      </c>
    </row>
    <row r="137">
      <c r="D137" s="29" t="n">
        <v>112</v>
      </c>
      <c r="E137" s="29" t="inlineStr">
        <is>
          <t>2</t>
        </is>
      </c>
      <c r="F137" s="30" t="inlineStr">
        <is>
          <t>Human</t>
        </is>
      </c>
      <c r="G137" s="29" t="inlineStr">
        <is>
          <t>Waiting for Input</t>
        </is>
      </c>
      <c r="H137" s="29">
        <f>MATCH(G137, {"Waiting for Input","Analyzing Object","Found Object","Needs Help","Confused","None"}, 0) - 1</f>
        <v/>
      </c>
      <c r="I137" s="29" t="inlineStr">
        <is>
          <t>Confused</t>
        </is>
      </c>
      <c r="J137" s="29">
        <f>MATCH(I137, {"Waiting for Input","Analyzing Object","Found Object","Needs Help","Confused","None"}, 0) - 1</f>
        <v/>
      </c>
      <c r="K137" s="29" t="n">
        <v>3</v>
      </c>
      <c r="L137" s="29">
        <f>IF(H137=J137, 1, 0)</f>
        <v/>
      </c>
    </row>
    <row r="138">
      <c r="D138" s="29" t="n">
        <v>113</v>
      </c>
      <c r="E138" s="29" t="inlineStr">
        <is>
          <t>2</t>
        </is>
      </c>
      <c r="F138" s="30" t="inlineStr">
        <is>
          <t>Human</t>
        </is>
      </c>
      <c r="G138" s="29" t="inlineStr">
        <is>
          <t>Waiting for Input</t>
        </is>
      </c>
      <c r="H138" s="29">
        <f>MATCH(G138, {"Waiting for Input","Analyzing Object","Found Object","Needs Help","Confused","None"}, 0) - 1</f>
        <v/>
      </c>
      <c r="I138" s="29" t="inlineStr">
        <is>
          <t>Analyzing Object</t>
        </is>
      </c>
      <c r="J138" s="29">
        <f>MATCH(I138, {"Waiting for Input","Analyzing Object","Found Object","Needs Help","Confused","None"}, 0) - 1</f>
        <v/>
      </c>
      <c r="K138" s="29" t="n">
        <v>4</v>
      </c>
      <c r="L138" s="29">
        <f>IF(H138=J138, 1, 0)</f>
        <v/>
      </c>
    </row>
    <row r="139">
      <c r="D139" s="29" t="n">
        <v>114</v>
      </c>
      <c r="E139" s="29" t="inlineStr">
        <is>
          <t>1</t>
        </is>
      </c>
      <c r="F139" s="30" t="inlineStr">
        <is>
          <t>Human</t>
        </is>
      </c>
      <c r="G139" s="29" t="inlineStr">
        <is>
          <t>Waiting for Input</t>
        </is>
      </c>
      <c r="H139" s="29">
        <f>MATCH(G139, {"Waiting for Input","Analyzing Object","Found Object","Needs Help","Confused","None"}, 0) - 1</f>
        <v/>
      </c>
      <c r="I139" s="29" t="inlineStr">
        <is>
          <t>Needs Help</t>
        </is>
      </c>
      <c r="J139" s="29">
        <f>MATCH(I139, {"Waiting for Input","Analyzing Object","Found Object","Needs Help","Confused","None"}, 0) - 1</f>
        <v/>
      </c>
      <c r="K139" s="29" t="n">
        <v>3</v>
      </c>
      <c r="L139" s="29">
        <f>IF(H139=J139, 1, 0)</f>
        <v/>
      </c>
    </row>
    <row r="140">
      <c r="D140" s="29" t="n">
        <v>115</v>
      </c>
      <c r="E140" s="29" t="inlineStr">
        <is>
          <t>2</t>
        </is>
      </c>
      <c r="F140" s="30" t="inlineStr">
        <is>
          <t>Human</t>
        </is>
      </c>
      <c r="G140" s="29" t="inlineStr">
        <is>
          <t>Waiting for Input</t>
        </is>
      </c>
      <c r="H140" s="29">
        <f>MATCH(G140, {"Waiting for Input","Analyzing Object","Found Object","Needs Help","Confused","None"}, 0) - 1</f>
        <v/>
      </c>
      <c r="I140" s="29" t="inlineStr">
        <is>
          <t>Waiting for Input</t>
        </is>
      </c>
      <c r="J140" s="29">
        <f>MATCH(I140, {"Waiting for Input","Analyzing Object","Found Object","Needs Help","Confused","None"}, 0) - 1</f>
        <v/>
      </c>
      <c r="K140" s="29" t="n">
        <v>2</v>
      </c>
      <c r="L140" s="29">
        <f>IF(H140=J140, 1, 0)</f>
        <v/>
      </c>
    </row>
    <row r="141">
      <c r="D141" s="29" t="n">
        <v>116</v>
      </c>
      <c r="E141" s="29" t="inlineStr">
        <is>
          <t>2</t>
        </is>
      </c>
      <c r="F141" s="30" t="inlineStr">
        <is>
          <t>Human</t>
        </is>
      </c>
      <c r="G141" s="29" t="inlineStr">
        <is>
          <t>Waiting for Input</t>
        </is>
      </c>
      <c r="H141" s="29">
        <f>MATCH(G141, {"Waiting for Input","Analyzing Object","Found Object","Needs Help","Confused","None"}, 0) - 1</f>
        <v/>
      </c>
      <c r="I141" s="29" t="inlineStr">
        <is>
          <t>Waiting for Input</t>
        </is>
      </c>
      <c r="J141" s="29">
        <f>MATCH(I141, {"Waiting for Input","Analyzing Object","Found Object","Needs Help","Confused","None"}, 0) - 1</f>
        <v/>
      </c>
      <c r="K141" s="29" t="n">
        <v>3</v>
      </c>
      <c r="L141" s="29">
        <f>IF(H141=J141, 1, 0)</f>
        <v/>
      </c>
    </row>
    <row r="142">
      <c r="D142" s="29" t="n">
        <v>117</v>
      </c>
      <c r="E142" s="29" t="inlineStr">
        <is>
          <t>2</t>
        </is>
      </c>
      <c r="F142" s="30" t="inlineStr">
        <is>
          <t>Human</t>
        </is>
      </c>
      <c r="G142" s="29" t="inlineStr">
        <is>
          <t>Waiting for Input</t>
        </is>
      </c>
      <c r="H142" s="29">
        <f>MATCH(G142, {"Waiting for Input","Analyzing Object","Found Object","Needs Help","Confused","None"}, 0) - 1</f>
        <v/>
      </c>
      <c r="I142" s="29" t="inlineStr">
        <is>
          <t>Waiting for Input</t>
        </is>
      </c>
      <c r="J142" s="29">
        <f>MATCH(I142, {"Waiting for Input","Analyzing Object","Found Object","Needs Help","Confused","None"}, 0) - 1</f>
        <v/>
      </c>
      <c r="K142" s="29" t="n">
        <v>3</v>
      </c>
      <c r="L142" s="29">
        <f>IF(H142=J142, 1, 0)</f>
        <v/>
      </c>
    </row>
    <row r="143">
      <c r="D143" s="29" t="n">
        <v>118</v>
      </c>
      <c r="E143" s="29" t="inlineStr">
        <is>
          <t>1</t>
        </is>
      </c>
      <c r="F143" s="30" t="inlineStr">
        <is>
          <t>Human</t>
        </is>
      </c>
      <c r="G143" s="29" t="inlineStr">
        <is>
          <t>Waiting for Input</t>
        </is>
      </c>
      <c r="H143" s="29">
        <f>MATCH(G143, {"Waiting for Input","Analyzing Object","Found Object","Needs Help","Confused","None"}, 0) - 1</f>
        <v/>
      </c>
      <c r="I143" s="29" t="inlineStr">
        <is>
          <t>Found Object</t>
        </is>
      </c>
      <c r="J143" s="29">
        <f>MATCH(I143, {"Waiting for Input","Analyzing Object","Found Object","Needs Help","Confused","None"}, 0) - 1</f>
        <v/>
      </c>
      <c r="K143" s="29" t="n">
        <v>5</v>
      </c>
      <c r="L143" s="29">
        <f>IF(H143=J143, 1, 0)</f>
        <v/>
      </c>
    </row>
    <row r="144">
      <c r="D144" s="29" t="n">
        <v>119</v>
      </c>
      <c r="E144" s="29" t="inlineStr">
        <is>
          <t>2</t>
        </is>
      </c>
      <c r="F144" s="30" t="inlineStr">
        <is>
          <t>Human</t>
        </is>
      </c>
      <c r="G144" s="29" t="inlineStr">
        <is>
          <t>Waiting for Input</t>
        </is>
      </c>
      <c r="H144" s="29">
        <f>MATCH(G144, {"Waiting for Input","Analyzing Object","Found Object","Needs Help","Confused","None"}, 0) - 1</f>
        <v/>
      </c>
      <c r="I144" s="29" t="inlineStr">
        <is>
          <t>Analyzing Object</t>
        </is>
      </c>
      <c r="J144" s="29">
        <f>MATCH(I144, {"Waiting for Input","Analyzing Object","Found Object","Needs Help","Confused","None"}, 0) - 1</f>
        <v/>
      </c>
      <c r="K144" s="29" t="n">
        <v>4</v>
      </c>
      <c r="L144" s="29">
        <f>IF(H144=J144, 1, 0)</f>
        <v/>
      </c>
    </row>
    <row r="145">
      <c r="D145" s="29" t="n">
        <v>120</v>
      </c>
      <c r="E145" s="29" t="inlineStr">
        <is>
          <t>1</t>
        </is>
      </c>
      <c r="F145" s="30" t="inlineStr">
        <is>
          <t>Random</t>
        </is>
      </c>
      <c r="G145" s="29" t="inlineStr">
        <is>
          <t>Waiting for Input</t>
        </is>
      </c>
      <c r="H145" s="29">
        <f>MATCH(G145, {"Waiting for Input","Analyzing Object","Found Object","Needs Help","Confused","None"}, 0) - 1</f>
        <v/>
      </c>
      <c r="I145" s="29" t="inlineStr">
        <is>
          <t>Analyzing Object</t>
        </is>
      </c>
      <c r="J145" s="29">
        <f>MATCH(I145, {"Waiting for Input","Analyzing Object","Found Object","Needs Help","Confused","None"}, 0) - 1</f>
        <v/>
      </c>
      <c r="K145" s="29" t="n">
        <v>3</v>
      </c>
      <c r="L145" s="29">
        <f>IF(H145=J145, 1, 0)</f>
        <v/>
      </c>
    </row>
    <row r="146">
      <c r="D146" s="29" t="n">
        <v>121</v>
      </c>
      <c r="E146" s="29" t="inlineStr">
        <is>
          <t>1</t>
        </is>
      </c>
      <c r="F146" s="30" t="inlineStr">
        <is>
          <t>Random</t>
        </is>
      </c>
      <c r="G146" s="29" t="inlineStr">
        <is>
          <t>Waiting for Input</t>
        </is>
      </c>
      <c r="H146" s="29">
        <f>MATCH(G146, {"Waiting for Input","Analyzing Object","Found Object","Needs Help","Confused","None"}, 0) - 1</f>
        <v/>
      </c>
      <c r="I146" s="29" t="inlineStr">
        <is>
          <t>Confused</t>
        </is>
      </c>
      <c r="J146" s="29">
        <f>MATCH(I146, {"Waiting for Input","Analyzing Object","Found Object","Needs Help","Confused","None"}, 0) - 1</f>
        <v/>
      </c>
      <c r="K146" s="29" t="n">
        <v>2</v>
      </c>
      <c r="L146" s="29">
        <f>IF(H146=J146, 1, 0)</f>
        <v/>
      </c>
    </row>
    <row r="147">
      <c r="D147" s="29" t="n">
        <v>122</v>
      </c>
      <c r="E147" s="29" t="inlineStr">
        <is>
          <t>1</t>
        </is>
      </c>
      <c r="F147" s="30" t="inlineStr">
        <is>
          <t>Random</t>
        </is>
      </c>
      <c r="G147" s="29" t="inlineStr">
        <is>
          <t>Waiting for Input</t>
        </is>
      </c>
      <c r="H147" s="29">
        <f>MATCH(G147, {"Waiting for Input","Analyzing Object","Found Object","Needs Help","Confused","None"}, 0) - 1</f>
        <v/>
      </c>
      <c r="I147" s="29" t="inlineStr">
        <is>
          <t>Confused</t>
        </is>
      </c>
      <c r="J147" s="29">
        <f>MATCH(I147, {"Waiting for Input","Analyzing Object","Found Object","Needs Help","Confused","None"}, 0) - 1</f>
        <v/>
      </c>
      <c r="K147" s="29" t="n">
        <v>1</v>
      </c>
      <c r="L147" s="29">
        <f>IF(H147=J147, 1, 0)</f>
        <v/>
      </c>
    </row>
    <row r="148">
      <c r="D148" s="29" t="n">
        <v>123</v>
      </c>
      <c r="E148" s="29" t="inlineStr">
        <is>
          <t>2</t>
        </is>
      </c>
      <c r="F148" s="30" t="inlineStr">
        <is>
          <t>Random</t>
        </is>
      </c>
      <c r="G148" s="29" t="inlineStr">
        <is>
          <t>Waiting for Input</t>
        </is>
      </c>
      <c r="H148" s="29">
        <f>MATCH(G148, {"Waiting for Input","Analyzing Object","Found Object","Needs Help","Confused","None"}, 0) - 1</f>
        <v/>
      </c>
      <c r="I148" s="29" t="inlineStr">
        <is>
          <t>Needs Help</t>
        </is>
      </c>
      <c r="J148" s="29">
        <f>MATCH(I148, {"Waiting for Input","Analyzing Object","Found Object","Needs Help","Confused","None"}, 0) - 1</f>
        <v/>
      </c>
      <c r="K148" s="29" t="n">
        <v>4</v>
      </c>
      <c r="L148" s="29">
        <f>IF(H148=J148, 1, 0)</f>
        <v/>
      </c>
    </row>
    <row r="149">
      <c r="D149" s="29" t="n">
        <v>124</v>
      </c>
      <c r="E149" s="29" t="inlineStr">
        <is>
          <t>2</t>
        </is>
      </c>
      <c r="F149" s="30" t="inlineStr">
        <is>
          <t>Random</t>
        </is>
      </c>
      <c r="G149" s="29" t="inlineStr">
        <is>
          <t>Waiting for Input</t>
        </is>
      </c>
      <c r="H149" s="29">
        <f>MATCH(G149, {"Waiting for Input","Analyzing Object","Found Object","Needs Help","Confused","None"}, 0) - 1</f>
        <v/>
      </c>
      <c r="I149" s="31" t="inlineStr">
        <is>
          <t>None</t>
        </is>
      </c>
      <c r="J149" s="29">
        <f>MATCH(I149, {"Waiting for Input","Analyzing Object","Found Object","Needs Help","Confused","None"}, 0) - 1</f>
        <v/>
      </c>
      <c r="K149" s="29" t="n">
        <v>2</v>
      </c>
      <c r="L149" s="29">
        <f>IF(H149=J149, 1, 0)</f>
        <v/>
      </c>
    </row>
    <row r="150">
      <c r="D150" s="29" t="n">
        <v>125</v>
      </c>
      <c r="E150" s="29" t="inlineStr">
        <is>
          <t>1</t>
        </is>
      </c>
      <c r="F150" s="30" t="inlineStr">
        <is>
          <t>Random</t>
        </is>
      </c>
      <c r="G150" s="29" t="inlineStr">
        <is>
          <t>Waiting for Input</t>
        </is>
      </c>
      <c r="H150" s="29">
        <f>MATCH(G150, {"Waiting for Input","Analyzing Object","Found Object","Needs Help","Confused","None"}, 0) - 1</f>
        <v/>
      </c>
      <c r="I150" s="29" t="inlineStr">
        <is>
          <t>Found Object</t>
        </is>
      </c>
      <c r="J150" s="29">
        <f>MATCH(I150, {"Waiting for Input","Analyzing Object","Found Object","Needs Help","Confused","None"}, 0) - 1</f>
        <v/>
      </c>
      <c r="K150" s="29" t="n">
        <v>5</v>
      </c>
      <c r="L150" s="29">
        <f>IF(H150=J150, 1, 0)</f>
        <v/>
      </c>
    </row>
    <row r="151">
      <c r="D151" s="29" t="n">
        <v>126</v>
      </c>
      <c r="E151" s="29" t="inlineStr">
        <is>
          <t>2</t>
        </is>
      </c>
      <c r="F151" s="30" t="inlineStr">
        <is>
          <t>Random</t>
        </is>
      </c>
      <c r="G151" s="29" t="inlineStr">
        <is>
          <t>Waiting for Input</t>
        </is>
      </c>
      <c r="H151" s="29">
        <f>MATCH(G151, {"Waiting for Input","Analyzing Object","Found Object","Needs Help","Confused","None"}, 0) - 1</f>
        <v/>
      </c>
      <c r="I151" s="29" t="inlineStr">
        <is>
          <t>Confused</t>
        </is>
      </c>
      <c r="J151" s="29">
        <f>MATCH(I151, {"Waiting for Input","Analyzing Object","Found Object","Needs Help","Confused","None"}, 0) - 1</f>
        <v/>
      </c>
      <c r="K151" s="29" t="n">
        <v>2</v>
      </c>
      <c r="L151" s="29">
        <f>IF(H151=J151, 1, 0)</f>
        <v/>
      </c>
    </row>
    <row r="152">
      <c r="D152" s="29" t="n">
        <v>127</v>
      </c>
      <c r="E152" s="29" t="inlineStr">
        <is>
          <t>1</t>
        </is>
      </c>
      <c r="F152" s="30" t="inlineStr">
        <is>
          <t>Random</t>
        </is>
      </c>
      <c r="G152" s="29" t="inlineStr">
        <is>
          <t>Waiting for Input</t>
        </is>
      </c>
      <c r="H152" s="29">
        <f>MATCH(G152, {"Waiting for Input","Analyzing Object","Found Object","Needs Help","Confused","None"}, 0) - 1</f>
        <v/>
      </c>
      <c r="I152" s="29" t="inlineStr">
        <is>
          <t>Found Object</t>
        </is>
      </c>
      <c r="J152" s="29">
        <f>MATCH(I152, {"Waiting for Input","Analyzing Object","Found Object","Needs Help","Confused","None"}, 0) - 1</f>
        <v/>
      </c>
      <c r="K152" s="29" t="n">
        <v>3</v>
      </c>
      <c r="L152" s="29">
        <f>IF(H152=J152, 1, 0)</f>
        <v/>
      </c>
    </row>
    <row r="153">
      <c r="D153" s="29" t="n">
        <v>128</v>
      </c>
      <c r="E153" s="29" t="inlineStr">
        <is>
          <t>1</t>
        </is>
      </c>
      <c r="F153" s="30" t="inlineStr">
        <is>
          <t>Random</t>
        </is>
      </c>
      <c r="G153" s="29" t="inlineStr">
        <is>
          <t>Waiting for Input</t>
        </is>
      </c>
      <c r="H153" s="29">
        <f>MATCH(G153, {"Waiting for Input","Analyzing Object","Found Object","Needs Help","Confused","None"}, 0) - 1</f>
        <v/>
      </c>
      <c r="I153" s="29" t="inlineStr">
        <is>
          <t>Confused</t>
        </is>
      </c>
      <c r="J153" s="29">
        <f>MATCH(I153, {"Waiting for Input","Analyzing Object","Found Object","Needs Help","Confused","None"}, 0) - 1</f>
        <v/>
      </c>
      <c r="K153" s="29" t="n">
        <v>3</v>
      </c>
      <c r="L153" s="29">
        <f>IF(H153=J153, 1, 0)</f>
        <v/>
      </c>
    </row>
    <row r="154">
      <c r="D154" s="29" t="n">
        <v>129</v>
      </c>
      <c r="E154" s="29" t="inlineStr">
        <is>
          <t>1</t>
        </is>
      </c>
      <c r="F154" s="30" t="inlineStr">
        <is>
          <t>Random</t>
        </is>
      </c>
      <c r="G154" s="29" t="inlineStr">
        <is>
          <t>Waiting for Input</t>
        </is>
      </c>
      <c r="H154" s="29">
        <f>MATCH(G154, {"Waiting for Input","Analyzing Object","Found Object","Needs Help","Confused","None"}, 0) - 1</f>
        <v/>
      </c>
      <c r="I154" s="29" t="inlineStr">
        <is>
          <t>Confused</t>
        </is>
      </c>
      <c r="J154" s="29">
        <f>MATCH(I154, {"Waiting for Input","Analyzing Object","Found Object","Needs Help","Confused","None"}, 0) - 1</f>
        <v/>
      </c>
      <c r="K154" s="29" t="n">
        <v>1</v>
      </c>
      <c r="L154" s="29">
        <f>IF(H154=J154, 1, 0)</f>
        <v/>
      </c>
    </row>
    <row r="155">
      <c r="D155" s="29" t="n">
        <v>130</v>
      </c>
      <c r="E155" s="29" t="inlineStr">
        <is>
          <t>2</t>
        </is>
      </c>
      <c r="F155" s="30" t="inlineStr">
        <is>
          <t>Random</t>
        </is>
      </c>
      <c r="G155" s="29" t="inlineStr">
        <is>
          <t>Waiting for Input</t>
        </is>
      </c>
      <c r="H155" s="29">
        <f>MATCH(G155, {"Waiting for Input","Analyzing Object","Found Object","Needs Help","Confused","None"}, 0) - 1</f>
        <v/>
      </c>
      <c r="I155" s="29" t="inlineStr">
        <is>
          <t>Found Object</t>
        </is>
      </c>
      <c r="J155" s="29">
        <f>MATCH(I155, {"Waiting for Input","Analyzing Object","Found Object","Needs Help","Confused","None"}, 0) - 1</f>
        <v/>
      </c>
      <c r="K155" s="29" t="n">
        <v>4</v>
      </c>
      <c r="L155" s="29">
        <f>IF(H155=J155, 1, 0)</f>
        <v/>
      </c>
    </row>
    <row r="156">
      <c r="D156" s="29" t="n">
        <v>131</v>
      </c>
      <c r="E156" s="29" t="inlineStr">
        <is>
          <t>2</t>
        </is>
      </c>
      <c r="F156" s="30" t="inlineStr">
        <is>
          <t>Random</t>
        </is>
      </c>
      <c r="G156" s="29" t="inlineStr">
        <is>
          <t>Waiting for Input</t>
        </is>
      </c>
      <c r="H156" s="29">
        <f>MATCH(G156, {"Waiting for Input","Analyzing Object","Found Object","Needs Help","Confused","None"}, 0) - 1</f>
        <v/>
      </c>
      <c r="I156" s="29" t="inlineStr">
        <is>
          <t>Analyzing Object</t>
        </is>
      </c>
      <c r="J156" s="29">
        <f>MATCH(I156, {"Waiting for Input","Analyzing Object","Found Object","Needs Help","Confused","None"}, 0) - 1</f>
        <v/>
      </c>
      <c r="K156" s="29" t="n">
        <v>4</v>
      </c>
      <c r="L156" s="29">
        <f>IF(H156=J156, 1, 0)</f>
        <v/>
      </c>
    </row>
    <row r="157">
      <c r="D157" s="29" t="n">
        <v>132</v>
      </c>
      <c r="E157" s="29" t="inlineStr">
        <is>
          <t>2</t>
        </is>
      </c>
      <c r="F157" s="30" t="inlineStr">
        <is>
          <t>Random</t>
        </is>
      </c>
      <c r="G157" s="29" t="inlineStr">
        <is>
          <t>Waiting for Input</t>
        </is>
      </c>
      <c r="H157" s="29">
        <f>MATCH(G157, {"Waiting for Input","Analyzing Object","Found Object","Needs Help","Confused","None"}, 0) - 1</f>
        <v/>
      </c>
      <c r="I157" s="29" t="inlineStr">
        <is>
          <t>Confused</t>
        </is>
      </c>
      <c r="J157" s="29">
        <f>MATCH(I157, {"Waiting for Input","Analyzing Object","Found Object","Needs Help","Confused","None"}, 0) - 1</f>
        <v/>
      </c>
      <c r="K157" s="29" t="n">
        <v>2</v>
      </c>
      <c r="L157" s="29">
        <f>IF(H157=J157, 1, 0)</f>
        <v/>
      </c>
    </row>
    <row r="158">
      <c r="D158" s="29" t="n">
        <v>133</v>
      </c>
      <c r="E158" s="29" t="inlineStr">
        <is>
          <t>2</t>
        </is>
      </c>
      <c r="F158" s="30" t="inlineStr">
        <is>
          <t>Random</t>
        </is>
      </c>
      <c r="G158" s="29" t="inlineStr">
        <is>
          <t>Waiting for Input</t>
        </is>
      </c>
      <c r="H158" s="29">
        <f>MATCH(G158, {"Waiting for Input","Analyzing Object","Found Object","Needs Help","Confused","None"}, 0) - 1</f>
        <v/>
      </c>
      <c r="I158" s="29" t="inlineStr">
        <is>
          <t>Found Object</t>
        </is>
      </c>
      <c r="J158" s="29">
        <f>MATCH(I158, {"Waiting for Input","Analyzing Object","Found Object","Needs Help","Confused","None"}, 0) - 1</f>
        <v/>
      </c>
      <c r="K158" s="29" t="n">
        <v>3</v>
      </c>
      <c r="L158" s="29">
        <f>IF(H158=J158, 1, 0)</f>
        <v/>
      </c>
    </row>
    <row r="159">
      <c r="D159" s="29" t="n">
        <v>134</v>
      </c>
      <c r="E159" s="29" t="inlineStr">
        <is>
          <t>1</t>
        </is>
      </c>
      <c r="F159" s="30" t="inlineStr">
        <is>
          <t>Random</t>
        </is>
      </c>
      <c r="G159" s="29" t="inlineStr">
        <is>
          <t>Waiting for Input</t>
        </is>
      </c>
      <c r="H159" s="29">
        <f>MATCH(G159, {"Waiting for Input","Analyzing Object","Found Object","Needs Help","Confused","None"}, 0) - 1</f>
        <v/>
      </c>
      <c r="I159" s="29" t="inlineStr">
        <is>
          <t>Found Object</t>
        </is>
      </c>
      <c r="J159" s="29">
        <f>MATCH(I159, {"Waiting for Input","Analyzing Object","Found Object","Needs Help","Confused","None"}, 0) - 1</f>
        <v/>
      </c>
      <c r="K159" s="29" t="n">
        <v>4</v>
      </c>
      <c r="L159" s="29">
        <f>IF(H159=J159, 1, 0)</f>
        <v/>
      </c>
    </row>
    <row r="160">
      <c r="D160" s="29" t="n">
        <v>135</v>
      </c>
      <c r="E160" s="29" t="inlineStr">
        <is>
          <t>1</t>
        </is>
      </c>
      <c r="F160" s="30" t="inlineStr">
        <is>
          <t>Random</t>
        </is>
      </c>
      <c r="G160" s="29" t="inlineStr">
        <is>
          <t>Waiting for Input</t>
        </is>
      </c>
      <c r="H160" s="29">
        <f>MATCH(G160, {"Waiting for Input","Analyzing Object","Found Object","Needs Help","Confused","None"}, 0) - 1</f>
        <v/>
      </c>
      <c r="I160" s="29" t="inlineStr">
        <is>
          <t>Confused</t>
        </is>
      </c>
      <c r="J160" s="29">
        <f>MATCH(I160, {"Waiting for Input","Analyzing Object","Found Object","Needs Help","Confused","None"}, 0) - 1</f>
        <v/>
      </c>
      <c r="K160" s="29" t="n">
        <v>2</v>
      </c>
      <c r="L160" s="29">
        <f>IF(H160=J160, 1, 0)</f>
        <v/>
      </c>
    </row>
    <row r="161">
      <c r="D161" s="29" t="n">
        <v>136</v>
      </c>
      <c r="E161" s="29" t="inlineStr">
        <is>
          <t>1</t>
        </is>
      </c>
      <c r="F161" s="30" t="inlineStr">
        <is>
          <t>Random</t>
        </is>
      </c>
      <c r="G161" s="29" t="inlineStr">
        <is>
          <t>Waiting for Input</t>
        </is>
      </c>
      <c r="H161" s="29">
        <f>MATCH(G161, {"Waiting for Input","Analyzing Object","Found Object","Needs Help","Confused","None"}, 0) - 1</f>
        <v/>
      </c>
      <c r="I161" s="29" t="inlineStr">
        <is>
          <t>Confused</t>
        </is>
      </c>
      <c r="J161" s="29">
        <f>MATCH(I161, {"Waiting for Input","Analyzing Object","Found Object","Needs Help","Confused","None"}, 0) - 1</f>
        <v/>
      </c>
      <c r="K161" s="29" t="n">
        <v>1</v>
      </c>
      <c r="L161" s="29">
        <f>IF(H161=J161, 1, 0)</f>
        <v/>
      </c>
    </row>
    <row r="162">
      <c r="D162" s="29" t="n">
        <v>137</v>
      </c>
      <c r="E162" s="29" t="inlineStr">
        <is>
          <t>2</t>
        </is>
      </c>
      <c r="F162" s="30" t="inlineStr">
        <is>
          <t>Random</t>
        </is>
      </c>
      <c r="G162" s="29" t="inlineStr">
        <is>
          <t>Waiting for Input</t>
        </is>
      </c>
      <c r="H162" s="29">
        <f>MATCH(G162, {"Waiting for Input","Analyzing Object","Found Object","Needs Help","Confused","None"}, 0) - 1</f>
        <v/>
      </c>
      <c r="I162" s="29" t="inlineStr">
        <is>
          <t>Confused</t>
        </is>
      </c>
      <c r="J162" s="29">
        <f>MATCH(I162, {"Waiting for Input","Analyzing Object","Found Object","Needs Help","Confused","None"}, 0) - 1</f>
        <v/>
      </c>
      <c r="K162" s="29" t="n">
        <v>2</v>
      </c>
      <c r="L162" s="29">
        <f>IF(H162=J162, 1, 0)</f>
        <v/>
      </c>
    </row>
    <row r="163">
      <c r="D163" s="29" t="n">
        <v>138</v>
      </c>
      <c r="E163" s="29" t="inlineStr">
        <is>
          <t>2</t>
        </is>
      </c>
      <c r="F163" s="30" t="inlineStr">
        <is>
          <t>Random</t>
        </is>
      </c>
      <c r="G163" s="29" t="inlineStr">
        <is>
          <t>Waiting for Input</t>
        </is>
      </c>
      <c r="H163" s="29">
        <f>MATCH(G163, {"Waiting for Input","Analyzing Object","Found Object","Needs Help","Confused","None"}, 0) - 1</f>
        <v/>
      </c>
      <c r="I163" s="29" t="inlineStr">
        <is>
          <t>Analyzing Object</t>
        </is>
      </c>
      <c r="J163" s="29">
        <f>MATCH(I163, {"Waiting for Input","Analyzing Object","Found Object","Needs Help","Confused","None"}, 0) - 1</f>
        <v/>
      </c>
      <c r="K163" s="29" t="n">
        <v>2</v>
      </c>
      <c r="L163" s="29">
        <f>IF(H163=J163, 1, 0)</f>
        <v/>
      </c>
    </row>
    <row r="164">
      <c r="D164" s="29" t="n">
        <v>139</v>
      </c>
      <c r="E164" s="29" t="inlineStr">
        <is>
          <t>1</t>
        </is>
      </c>
      <c r="F164" s="30" t="inlineStr">
        <is>
          <t>Random</t>
        </is>
      </c>
      <c r="G164" s="29" t="inlineStr">
        <is>
          <t>Waiting for Input</t>
        </is>
      </c>
      <c r="H164" s="29">
        <f>MATCH(G164, {"Waiting for Input","Analyzing Object","Found Object","Needs Help","Confused","None"}, 0) - 1</f>
        <v/>
      </c>
      <c r="I164" s="29" t="inlineStr">
        <is>
          <t>Needs Help</t>
        </is>
      </c>
      <c r="J164" s="29">
        <f>MATCH(I164, {"Waiting for Input","Analyzing Object","Found Object","Needs Help","Confused","None"}, 0) - 1</f>
        <v/>
      </c>
      <c r="K164" s="29" t="n">
        <v>4</v>
      </c>
      <c r="L164" s="29">
        <f>IF(H164=J164, 1, 0)</f>
        <v/>
      </c>
    </row>
    <row r="165">
      <c r="D165" s="29" t="n">
        <v>140</v>
      </c>
      <c r="E165" s="29" t="inlineStr">
        <is>
          <t>1</t>
        </is>
      </c>
      <c r="F165" s="30" t="inlineStr">
        <is>
          <t>Random</t>
        </is>
      </c>
      <c r="G165" s="29" t="inlineStr">
        <is>
          <t>Waiting for Input</t>
        </is>
      </c>
      <c r="H165" s="29">
        <f>MATCH(G165, {"Waiting for Input","Analyzing Object","Found Object","Needs Help","Confused","None"}, 0) - 1</f>
        <v/>
      </c>
      <c r="I165" s="29" t="inlineStr">
        <is>
          <t>Confused</t>
        </is>
      </c>
      <c r="J165" s="29">
        <f>MATCH(I165, {"Waiting for Input","Analyzing Object","Found Object","Needs Help","Confused","None"}, 0) - 1</f>
        <v/>
      </c>
      <c r="K165" s="29" t="n">
        <v>2</v>
      </c>
      <c r="L165" s="29">
        <f>IF(H165=J165, 1, 0)</f>
        <v/>
      </c>
    </row>
    <row r="166">
      <c r="D166" s="29" t="n">
        <v>141</v>
      </c>
      <c r="E166" s="29" t="inlineStr">
        <is>
          <t>2</t>
        </is>
      </c>
      <c r="F166" s="30" t="inlineStr">
        <is>
          <t>Random</t>
        </is>
      </c>
      <c r="G166" s="29" t="inlineStr">
        <is>
          <t>Waiting for Input</t>
        </is>
      </c>
      <c r="H166" s="29">
        <f>MATCH(G166, {"Waiting for Input","Analyzing Object","Found Object","Needs Help","Confused","None"}, 0) - 1</f>
        <v/>
      </c>
      <c r="I166" s="29" t="inlineStr">
        <is>
          <t>Analyzing Object</t>
        </is>
      </c>
      <c r="J166" s="29">
        <f>MATCH(I166, {"Waiting for Input","Analyzing Object","Found Object","Needs Help","Confused","None"}, 0) - 1</f>
        <v/>
      </c>
      <c r="K166" s="29" t="n">
        <v>2</v>
      </c>
      <c r="L166" s="29">
        <f>IF(H166=J166, 1, 0)</f>
        <v/>
      </c>
    </row>
    <row r="167">
      <c r="D167" s="29" t="n">
        <v>142</v>
      </c>
      <c r="E167" s="29" t="inlineStr">
        <is>
          <t>2</t>
        </is>
      </c>
      <c r="F167" s="30" t="inlineStr">
        <is>
          <t>Random</t>
        </is>
      </c>
      <c r="G167" s="29" t="inlineStr">
        <is>
          <t>Waiting for Input</t>
        </is>
      </c>
      <c r="H167" s="29">
        <f>MATCH(G167, {"Waiting for Input","Analyzing Object","Found Object","Needs Help","Confused","None"}, 0) - 1</f>
        <v/>
      </c>
      <c r="I167" s="29" t="inlineStr">
        <is>
          <t>Confused</t>
        </is>
      </c>
      <c r="J167" s="29">
        <f>MATCH(I167, {"Waiting for Input","Analyzing Object","Found Object","Needs Help","Confused","None"}, 0) - 1</f>
        <v/>
      </c>
      <c r="K167" s="29" t="n">
        <v>2</v>
      </c>
      <c r="L167" s="29">
        <f>IF(H167=J167, 1, 0)</f>
        <v/>
      </c>
    </row>
    <row r="168">
      <c r="D168" s="29" t="n">
        <v>143</v>
      </c>
      <c r="E168" s="29" t="inlineStr">
        <is>
          <t>1</t>
        </is>
      </c>
      <c r="F168" s="30" t="inlineStr">
        <is>
          <t>Random</t>
        </is>
      </c>
      <c r="G168" s="29" t="inlineStr">
        <is>
          <t>Waiting for Input</t>
        </is>
      </c>
      <c r="H168" s="29">
        <f>MATCH(G168, {"Waiting for Input","Analyzing Object","Found Object","Needs Help","Confused","None"}, 0) - 1</f>
        <v/>
      </c>
      <c r="I168" s="31" t="inlineStr">
        <is>
          <t>None</t>
        </is>
      </c>
      <c r="J168" s="29">
        <f>MATCH(I168, {"Waiting for Input","Analyzing Object","Found Object","Needs Help","Confused","None"}, 0) - 1</f>
        <v/>
      </c>
      <c r="K168" s="29" t="n">
        <v>5</v>
      </c>
      <c r="L168" s="29">
        <f>IF(H168=J168, 1, 0)</f>
        <v/>
      </c>
    </row>
    <row r="169">
      <c r="D169" s="29" t="n">
        <v>144</v>
      </c>
      <c r="E169" s="29" t="inlineStr">
        <is>
          <t>1</t>
        </is>
      </c>
      <c r="F169" s="30" t="inlineStr">
        <is>
          <t>Random</t>
        </is>
      </c>
      <c r="G169" s="29" t="inlineStr">
        <is>
          <t>Waiting for Input</t>
        </is>
      </c>
      <c r="H169" s="29">
        <f>MATCH(G169, {"Waiting for Input","Analyzing Object","Found Object","Needs Help","Confused","None"}, 0) - 1</f>
        <v/>
      </c>
      <c r="I169" s="29" t="inlineStr">
        <is>
          <t>Analyzing Object</t>
        </is>
      </c>
      <c r="J169" s="29">
        <f>MATCH(I169, {"Waiting for Input","Analyzing Object","Found Object","Needs Help","Confused","None"}, 0) - 1</f>
        <v/>
      </c>
      <c r="K169" s="29" t="n">
        <v>4</v>
      </c>
      <c r="L169" s="29">
        <f>IF(H169=J169, 1, 0)</f>
        <v/>
      </c>
    </row>
    <row r="170">
      <c r="D170" s="29" t="n">
        <v>145</v>
      </c>
      <c r="E170" s="29" t="inlineStr">
        <is>
          <t>2</t>
        </is>
      </c>
      <c r="F170" s="30" t="inlineStr">
        <is>
          <t>Random</t>
        </is>
      </c>
      <c r="G170" s="29" t="inlineStr">
        <is>
          <t>Waiting for Input</t>
        </is>
      </c>
      <c r="H170" s="29">
        <f>MATCH(G170, {"Waiting for Input","Analyzing Object","Found Object","Needs Help","Confused","None"}, 0) - 1</f>
        <v/>
      </c>
      <c r="I170" s="29" t="inlineStr">
        <is>
          <t>Confused</t>
        </is>
      </c>
      <c r="J170" s="29">
        <f>MATCH(I170, {"Waiting for Input","Analyzing Object","Found Object","Needs Help","Confused","None"}, 0) - 1</f>
        <v/>
      </c>
      <c r="K170" s="29" t="n">
        <v>2</v>
      </c>
      <c r="L170" s="29">
        <f>IF(H170=J170, 1, 0)</f>
        <v/>
      </c>
    </row>
    <row r="171">
      <c r="D171" s="29" t="n">
        <v>146</v>
      </c>
      <c r="E171" s="29" t="inlineStr">
        <is>
          <t>2</t>
        </is>
      </c>
      <c r="F171" s="30" t="inlineStr">
        <is>
          <t>Random</t>
        </is>
      </c>
      <c r="G171" s="29" t="inlineStr">
        <is>
          <t>Waiting for Input</t>
        </is>
      </c>
      <c r="H171" s="29">
        <f>MATCH(G171, {"Waiting for Input","Analyzing Object","Found Object","Needs Help","Confused","None"}, 0) - 1</f>
        <v/>
      </c>
      <c r="I171" s="29" t="inlineStr">
        <is>
          <t>Needs Help</t>
        </is>
      </c>
      <c r="J171" s="29">
        <f>MATCH(I171, {"Waiting for Input","Analyzing Object","Found Object","Needs Help","Confused","None"}, 0) - 1</f>
        <v/>
      </c>
      <c r="K171" s="29" t="n">
        <v>3</v>
      </c>
      <c r="L171" s="29">
        <f>IF(H171=J171, 1, 0)</f>
        <v/>
      </c>
    </row>
    <row r="172">
      <c r="D172" s="29" t="n">
        <v>147</v>
      </c>
      <c r="E172" s="29" t="inlineStr">
        <is>
          <t>2</t>
        </is>
      </c>
      <c r="F172" s="30" t="inlineStr">
        <is>
          <t>Random</t>
        </is>
      </c>
      <c r="G172" s="29" t="inlineStr">
        <is>
          <t>Waiting for Input</t>
        </is>
      </c>
      <c r="H172" s="29">
        <f>MATCH(G172, {"Waiting for Input","Analyzing Object","Found Object","Needs Help","Confused","None"}, 0) - 1</f>
        <v/>
      </c>
      <c r="I172" s="29" t="inlineStr">
        <is>
          <t>Found Object</t>
        </is>
      </c>
      <c r="J172" s="29">
        <f>MATCH(I172, {"Waiting for Input","Analyzing Object","Found Object","Needs Help","Confused","None"}, 0) - 1</f>
        <v/>
      </c>
      <c r="K172" s="29" t="n">
        <v>3</v>
      </c>
      <c r="L172" s="29">
        <f>IF(H172=J172, 1, 0)</f>
        <v/>
      </c>
    </row>
    <row r="173">
      <c r="D173" s="29" t="n">
        <v>148</v>
      </c>
      <c r="E173" s="29" t="inlineStr">
        <is>
          <t>2</t>
        </is>
      </c>
      <c r="F173" s="30" t="inlineStr">
        <is>
          <t>Random</t>
        </is>
      </c>
      <c r="G173" s="29" t="inlineStr">
        <is>
          <t>Waiting for Input</t>
        </is>
      </c>
      <c r="H173" s="29">
        <f>MATCH(G173, {"Waiting for Input","Analyzing Object","Found Object","Needs Help","Confused","None"}, 0) - 1</f>
        <v/>
      </c>
      <c r="I173" s="29" t="inlineStr">
        <is>
          <t>Confused</t>
        </is>
      </c>
      <c r="J173" s="29">
        <f>MATCH(I173, {"Waiting for Input","Analyzing Object","Found Object","Needs Help","Confused","None"}, 0) - 1</f>
        <v/>
      </c>
      <c r="K173" s="29" t="n">
        <v>3</v>
      </c>
      <c r="L173" s="29">
        <f>IF(H173=J173, 1, 0)</f>
        <v/>
      </c>
    </row>
    <row r="174">
      <c r="D174" s="29" t="n">
        <v>149</v>
      </c>
      <c r="E174" s="29" t="inlineStr">
        <is>
          <t>2</t>
        </is>
      </c>
      <c r="F174" s="30" t="inlineStr">
        <is>
          <t>Random</t>
        </is>
      </c>
      <c r="G174" s="29" t="inlineStr">
        <is>
          <t>Waiting for Input</t>
        </is>
      </c>
      <c r="H174" s="29">
        <f>MATCH(G174, {"Waiting for Input","Analyzing Object","Found Object","Needs Help","Confused","None"}, 0) - 1</f>
        <v/>
      </c>
      <c r="I174" s="29" t="inlineStr">
        <is>
          <t>Confused</t>
        </is>
      </c>
      <c r="J174" s="29">
        <f>MATCH(I174, {"Waiting for Input","Analyzing Object","Found Object","Needs Help","Confused","None"}, 0) - 1</f>
        <v/>
      </c>
      <c r="K174" s="29" t="n">
        <v>2</v>
      </c>
      <c r="L174" s="29">
        <f>IF(H174=J174, 1, 0)</f>
        <v/>
      </c>
    </row>
    <row r="175">
      <c r="D175" s="29" t="n">
        <v>150</v>
      </c>
      <c r="E175" s="29" t="inlineStr">
        <is>
          <t>2</t>
        </is>
      </c>
      <c r="F175" s="30" t="inlineStr">
        <is>
          <t>Random</t>
        </is>
      </c>
      <c r="G175" s="29" t="inlineStr">
        <is>
          <t>Waiting for Input</t>
        </is>
      </c>
      <c r="H175" s="29">
        <f>MATCH(G175, {"Waiting for Input","Analyzing Object","Found Object","Needs Help","Confused","None"}, 0) - 1</f>
        <v/>
      </c>
      <c r="I175" s="29" t="inlineStr">
        <is>
          <t>Analyzing Object</t>
        </is>
      </c>
      <c r="J175" s="29">
        <f>MATCH(I175, {"Waiting for Input","Analyzing Object","Found Object","Needs Help","Confused","None"}, 0) - 1</f>
        <v/>
      </c>
      <c r="K175" s="29" t="n">
        <v>4</v>
      </c>
      <c r="L175" s="29">
        <f>IF(H175=J175, 1, 0)</f>
        <v/>
      </c>
    </row>
    <row r="176">
      <c r="D176" s="29" t="n">
        <v>151</v>
      </c>
      <c r="E176" s="29" t="inlineStr">
        <is>
          <t>1</t>
        </is>
      </c>
      <c r="F176" s="30" t="inlineStr">
        <is>
          <t>Random</t>
        </is>
      </c>
      <c r="G176" s="29" t="inlineStr">
        <is>
          <t>Waiting for Input</t>
        </is>
      </c>
      <c r="H176" s="29">
        <f>MATCH(G176, {"Waiting for Input","Analyzing Object","Found Object","Needs Help","Confused","None"}, 0) - 1</f>
        <v/>
      </c>
      <c r="I176" s="29" t="inlineStr">
        <is>
          <t>Confused</t>
        </is>
      </c>
      <c r="J176" s="29">
        <f>MATCH(I176, {"Waiting for Input","Analyzing Object","Found Object","Needs Help","Confused","None"}, 0) - 1</f>
        <v/>
      </c>
      <c r="K176" s="29" t="n">
        <v>2</v>
      </c>
      <c r="L176" s="29">
        <f>IF(H176=J176, 1, 0)</f>
        <v/>
      </c>
    </row>
    <row r="177">
      <c r="D177" s="29" t="n">
        <v>152</v>
      </c>
      <c r="E177" s="29" t="inlineStr">
        <is>
          <t>2</t>
        </is>
      </c>
      <c r="F177" s="30" t="inlineStr">
        <is>
          <t>Random</t>
        </is>
      </c>
      <c r="G177" s="29" t="inlineStr">
        <is>
          <t>Waiting for Input</t>
        </is>
      </c>
      <c r="H177" s="29">
        <f>MATCH(G177, {"Waiting for Input","Analyzing Object","Found Object","Needs Help","Confused","None"}, 0) - 1</f>
        <v/>
      </c>
      <c r="I177" s="29" t="inlineStr">
        <is>
          <t>Confused</t>
        </is>
      </c>
      <c r="J177" s="29">
        <f>MATCH(I177, {"Waiting for Input","Analyzing Object","Found Object","Needs Help","Confused","None"}, 0) - 1</f>
        <v/>
      </c>
      <c r="K177" s="29" t="n">
        <v>3</v>
      </c>
      <c r="L177" s="29">
        <f>IF(H177=J177, 1, 0)</f>
        <v/>
      </c>
    </row>
    <row r="178">
      <c r="D178" s="29" t="n">
        <v>153</v>
      </c>
      <c r="E178" s="29" t="inlineStr">
        <is>
          <t>1</t>
        </is>
      </c>
      <c r="F178" s="30" t="inlineStr">
        <is>
          <t>Random</t>
        </is>
      </c>
      <c r="G178" s="29" t="inlineStr">
        <is>
          <t>Waiting for Input</t>
        </is>
      </c>
      <c r="H178" s="29">
        <f>MATCH(G178, {"Waiting for Input","Analyzing Object","Found Object","Needs Help","Confused","None"}, 0) - 1</f>
        <v/>
      </c>
      <c r="I178" s="29" t="inlineStr">
        <is>
          <t>Needs Help</t>
        </is>
      </c>
      <c r="J178" s="29">
        <f>MATCH(I178, {"Waiting for Input","Analyzing Object","Found Object","Needs Help","Confused","None"}, 0) - 1</f>
        <v/>
      </c>
      <c r="K178" s="29" t="n">
        <v>4</v>
      </c>
      <c r="L178" s="29">
        <f>IF(H178=J178, 1, 0)</f>
        <v/>
      </c>
    </row>
    <row r="179">
      <c r="D179" s="29" t="n">
        <v>154</v>
      </c>
      <c r="E179" s="29" t="inlineStr">
        <is>
          <t>1</t>
        </is>
      </c>
      <c r="F179" s="30" t="inlineStr">
        <is>
          <t>Random</t>
        </is>
      </c>
      <c r="G179" s="29" t="inlineStr">
        <is>
          <t>Waiting for Input</t>
        </is>
      </c>
      <c r="H179" s="29">
        <f>MATCH(G179, {"Waiting for Input","Analyzing Object","Found Object","Needs Help","Confused","None"}, 0) - 1</f>
        <v/>
      </c>
      <c r="I179" s="29" t="inlineStr">
        <is>
          <t>Confused</t>
        </is>
      </c>
      <c r="J179" s="29">
        <f>MATCH(I179, {"Waiting for Input","Analyzing Object","Found Object","Needs Help","Confused","None"}, 0) - 1</f>
        <v/>
      </c>
      <c r="K179" s="29" t="n">
        <v>3</v>
      </c>
      <c r="L179" s="29">
        <f>IF(H179=J179, 1, 0)</f>
        <v/>
      </c>
    </row>
    <row r="180">
      <c r="D180" s="29" t="n">
        <v>155</v>
      </c>
      <c r="E180" s="29" t="inlineStr">
        <is>
          <t>1</t>
        </is>
      </c>
      <c r="F180" s="30" t="inlineStr">
        <is>
          <t>Random</t>
        </is>
      </c>
      <c r="G180" s="29" t="inlineStr">
        <is>
          <t>Waiting for Input</t>
        </is>
      </c>
      <c r="H180" s="29">
        <f>MATCH(G180, {"Waiting for Input","Analyzing Object","Found Object","Needs Help","Confused","None"}, 0) - 1</f>
        <v/>
      </c>
      <c r="I180" s="29" t="inlineStr">
        <is>
          <t>Confused</t>
        </is>
      </c>
      <c r="J180" s="29">
        <f>MATCH(I180, {"Waiting for Input","Analyzing Object","Found Object","Needs Help","Confused","None"}, 0) - 1</f>
        <v/>
      </c>
      <c r="K180" s="29" t="n">
        <v>3</v>
      </c>
      <c r="L180" s="29">
        <f>IF(H180=J180, 1, 0)</f>
        <v/>
      </c>
    </row>
    <row r="181">
      <c r="D181" s="29" t="n">
        <v>156</v>
      </c>
      <c r="E181" s="29" t="inlineStr">
        <is>
          <t>2</t>
        </is>
      </c>
      <c r="F181" s="30" t="inlineStr">
        <is>
          <t>Random</t>
        </is>
      </c>
      <c r="G181" s="29" t="inlineStr">
        <is>
          <t>Waiting for Input</t>
        </is>
      </c>
      <c r="H181" s="29">
        <f>MATCH(G181, {"Waiting for Input","Analyzing Object","Found Object","Needs Help","Confused","None"}, 0) - 1</f>
        <v/>
      </c>
      <c r="I181" s="29" t="inlineStr">
        <is>
          <t>Needs Help</t>
        </is>
      </c>
      <c r="J181" s="29">
        <f>MATCH(I181, {"Waiting for Input","Analyzing Object","Found Object","Needs Help","Confused","None"}, 0) - 1</f>
        <v/>
      </c>
      <c r="K181" s="29" t="n">
        <v>3</v>
      </c>
      <c r="L181" s="29">
        <f>IF(H181=J181, 1, 0)</f>
        <v/>
      </c>
    </row>
    <row r="182">
      <c r="D182" s="29" t="n">
        <v>157</v>
      </c>
      <c r="E182" s="29" t="inlineStr">
        <is>
          <t>2</t>
        </is>
      </c>
      <c r="F182" s="30" t="inlineStr">
        <is>
          <t>Random</t>
        </is>
      </c>
      <c r="G182" s="29" t="inlineStr">
        <is>
          <t>Waiting for Input</t>
        </is>
      </c>
      <c r="H182" s="29">
        <f>MATCH(G182, {"Waiting for Input","Analyzing Object","Found Object","Needs Help","Confused","None"}, 0) - 1</f>
        <v/>
      </c>
      <c r="I182" s="29" t="inlineStr">
        <is>
          <t>Waiting for Input</t>
        </is>
      </c>
      <c r="J182" s="29">
        <f>MATCH(I182, {"Waiting for Input","Analyzing Object","Found Object","Needs Help","Confused","None"}, 0) - 1</f>
        <v/>
      </c>
      <c r="K182" s="29" t="n">
        <v>5</v>
      </c>
      <c r="L182" s="29">
        <f>IF(H182=J182, 1, 0)</f>
        <v/>
      </c>
    </row>
    <row r="183">
      <c r="D183" s="29" t="n">
        <v>158</v>
      </c>
      <c r="E183" s="29" t="inlineStr">
        <is>
          <t>1</t>
        </is>
      </c>
      <c r="F183" s="30" t="inlineStr">
        <is>
          <t>Random</t>
        </is>
      </c>
      <c r="G183" s="29" t="inlineStr">
        <is>
          <t>Waiting for Input</t>
        </is>
      </c>
      <c r="H183" s="29">
        <f>MATCH(G183, {"Waiting for Input","Analyzing Object","Found Object","Needs Help","Confused","None"}, 0) - 1</f>
        <v/>
      </c>
      <c r="I183" s="29" t="inlineStr">
        <is>
          <t>Found Object</t>
        </is>
      </c>
      <c r="J183" s="29">
        <f>MATCH(I183, {"Waiting for Input","Analyzing Object","Found Object","Needs Help","Confused","None"}, 0) - 1</f>
        <v/>
      </c>
      <c r="K183" s="29" t="n">
        <v>2</v>
      </c>
      <c r="L183" s="29">
        <f>IF(H183=J183, 1, 0)</f>
        <v/>
      </c>
    </row>
    <row r="184">
      <c r="D184" s="29" t="n">
        <v>159</v>
      </c>
      <c r="E184" s="29" t="inlineStr">
        <is>
          <t>1</t>
        </is>
      </c>
      <c r="F184" s="30" t="inlineStr">
        <is>
          <t>Random</t>
        </is>
      </c>
      <c r="G184" s="29" t="inlineStr">
        <is>
          <t>Waiting for Input</t>
        </is>
      </c>
      <c r="H184" s="29">
        <f>MATCH(G184, {"Waiting for Input","Analyzing Object","Found Object","Needs Help","Confused","None"}, 0) - 1</f>
        <v/>
      </c>
      <c r="I184" s="29" t="inlineStr">
        <is>
          <t>Confused</t>
        </is>
      </c>
      <c r="J184" s="29">
        <f>MATCH(I184, {"Waiting for Input","Analyzing Object","Found Object","Needs Help","Confused","None"}, 0) - 1</f>
        <v/>
      </c>
      <c r="K184" s="29" t="n">
        <v>4</v>
      </c>
      <c r="L184" s="29">
        <f>IF(H184=J184, 1, 0)</f>
        <v/>
      </c>
    </row>
    <row r="185">
      <c r="D185" s="29" t="n">
        <v>160</v>
      </c>
      <c r="E185" s="29" t="inlineStr">
        <is>
          <t>1</t>
        </is>
      </c>
      <c r="F185" s="30" t="inlineStr">
        <is>
          <t>Random</t>
        </is>
      </c>
      <c r="G185" s="29" t="inlineStr">
        <is>
          <t>Waiting for Input</t>
        </is>
      </c>
      <c r="H185" s="29">
        <f>MATCH(G185, {"Waiting for Input","Analyzing Object","Found Object","Needs Help","Confused","None"}, 0) - 1</f>
        <v/>
      </c>
      <c r="I185" s="29" t="inlineStr">
        <is>
          <t>Found Object</t>
        </is>
      </c>
      <c r="J185" s="29">
        <f>MATCH(I185, {"Waiting for Input","Analyzing Object","Found Object","Needs Help","Confused","None"}, 0) - 1</f>
        <v/>
      </c>
      <c r="K185" s="29" t="n">
        <v>3</v>
      </c>
      <c r="L185" s="29">
        <f>IF(H185=J185, 1, 0)</f>
        <v/>
      </c>
    </row>
    <row r="186">
      <c r="D186" s="29" t="n">
        <v>161</v>
      </c>
      <c r="E186" s="29" t="inlineStr">
        <is>
          <t>2</t>
        </is>
      </c>
      <c r="F186" s="30" t="inlineStr">
        <is>
          <t>Random</t>
        </is>
      </c>
      <c r="G186" s="29" t="inlineStr">
        <is>
          <t>Waiting for Input</t>
        </is>
      </c>
      <c r="H186" s="29">
        <f>MATCH(G186, {"Waiting for Input","Analyzing Object","Found Object","Needs Help","Confused","None"}, 0) - 1</f>
        <v/>
      </c>
      <c r="I186" s="29" t="inlineStr">
        <is>
          <t>Found Object</t>
        </is>
      </c>
      <c r="J186" s="29">
        <f>MATCH(I186, {"Waiting for Input","Analyzing Object","Found Object","Needs Help","Confused","None"}, 0) - 1</f>
        <v/>
      </c>
      <c r="K186" s="29" t="n">
        <v>2</v>
      </c>
      <c r="L186" s="29">
        <f>IF(H186=J186, 1, 0)</f>
        <v/>
      </c>
    </row>
    <row r="187">
      <c r="D187" s="29" t="n">
        <v>162</v>
      </c>
      <c r="E187" s="29" t="inlineStr">
        <is>
          <t>2</t>
        </is>
      </c>
      <c r="F187" s="30" t="inlineStr">
        <is>
          <t>Random</t>
        </is>
      </c>
      <c r="G187" s="29" t="inlineStr">
        <is>
          <t>Waiting for Input</t>
        </is>
      </c>
      <c r="H187" s="29">
        <f>MATCH(G187, {"Waiting for Input","Analyzing Object","Found Object","Needs Help","Confused","None"}, 0) - 1</f>
        <v/>
      </c>
      <c r="I187" s="29" t="inlineStr">
        <is>
          <t>Needs Help</t>
        </is>
      </c>
      <c r="J187" s="29">
        <f>MATCH(I187, {"Waiting for Input","Analyzing Object","Found Object","Needs Help","Confused","None"}, 0) - 1</f>
        <v/>
      </c>
      <c r="K187" s="29" t="n">
        <v>5</v>
      </c>
      <c r="L187" s="29">
        <f>IF(H187=J187, 1, 0)</f>
        <v/>
      </c>
    </row>
    <row r="188">
      <c r="D188" s="29" t="n">
        <v>163</v>
      </c>
      <c r="E188" s="29" t="inlineStr">
        <is>
          <t>2</t>
        </is>
      </c>
      <c r="F188" s="30" t="inlineStr">
        <is>
          <t>Random</t>
        </is>
      </c>
      <c r="G188" s="29" t="inlineStr">
        <is>
          <t>Waiting for Input</t>
        </is>
      </c>
      <c r="H188" s="29">
        <f>MATCH(G188, {"Waiting for Input","Analyzing Object","Found Object","Needs Help","Confused","None"}, 0) - 1</f>
        <v/>
      </c>
      <c r="I188" s="29" t="inlineStr">
        <is>
          <t>Found Object</t>
        </is>
      </c>
      <c r="J188" s="29">
        <f>MATCH(I188, {"Waiting for Input","Analyzing Object","Found Object","Needs Help","Confused","None"}, 0) - 1</f>
        <v/>
      </c>
      <c r="K188" s="29" t="n">
        <v>2</v>
      </c>
      <c r="L188" s="29">
        <f>IF(H188=J188, 1, 0)</f>
        <v/>
      </c>
    </row>
    <row r="189">
      <c r="D189" s="29" t="n">
        <v>164</v>
      </c>
      <c r="E189" s="29" t="inlineStr">
        <is>
          <t>2</t>
        </is>
      </c>
      <c r="F189" s="30" t="inlineStr">
        <is>
          <t>Random</t>
        </is>
      </c>
      <c r="G189" s="29" t="inlineStr">
        <is>
          <t>Waiting for Input</t>
        </is>
      </c>
      <c r="H189" s="29">
        <f>MATCH(G189, {"Waiting for Input","Analyzing Object","Found Object","Needs Help","Confused","None"}, 0) - 1</f>
        <v/>
      </c>
      <c r="I189" s="29" t="inlineStr">
        <is>
          <t>Found Object</t>
        </is>
      </c>
      <c r="J189" s="29">
        <f>MATCH(I189, {"Waiting for Input","Analyzing Object","Found Object","Needs Help","Confused","None"}, 0) - 1</f>
        <v/>
      </c>
      <c r="K189" s="29" t="n">
        <v>3</v>
      </c>
      <c r="L189" s="29">
        <f>IF(H189=J189, 1, 0)</f>
        <v/>
      </c>
    </row>
    <row r="190">
      <c r="D190" s="29" t="n">
        <v>165</v>
      </c>
      <c r="E190" s="29" t="inlineStr">
        <is>
          <t>2</t>
        </is>
      </c>
      <c r="F190" s="30" t="inlineStr">
        <is>
          <t>Random</t>
        </is>
      </c>
      <c r="G190" s="29" t="inlineStr">
        <is>
          <t>Waiting for Input</t>
        </is>
      </c>
      <c r="H190" s="29">
        <f>MATCH(G190, {"Waiting for Input","Analyzing Object","Found Object","Needs Help","Confused","None"}, 0) - 1</f>
        <v/>
      </c>
      <c r="I190" s="29" t="inlineStr">
        <is>
          <t>Analyzing Object</t>
        </is>
      </c>
      <c r="J190" s="29">
        <f>MATCH(I190, {"Waiting for Input","Analyzing Object","Found Object","Needs Help","Confused","None"}, 0) - 1</f>
        <v/>
      </c>
      <c r="K190" s="29" t="n">
        <v>4</v>
      </c>
      <c r="L190" s="29">
        <f>IF(H190=J190, 1, 0)</f>
        <v/>
      </c>
    </row>
    <row r="191">
      <c r="D191" s="29" t="n">
        <v>166</v>
      </c>
      <c r="E191" s="29" t="inlineStr">
        <is>
          <t>2</t>
        </is>
      </c>
      <c r="F191" s="30" t="inlineStr">
        <is>
          <t>Random</t>
        </is>
      </c>
      <c r="G191" s="29" t="inlineStr">
        <is>
          <t>Waiting for Input</t>
        </is>
      </c>
      <c r="H191" s="29">
        <f>MATCH(G191, {"Waiting for Input","Analyzing Object","Found Object","Needs Help","Confused","None"}, 0) - 1</f>
        <v/>
      </c>
      <c r="I191" s="29" t="inlineStr">
        <is>
          <t>Found Object</t>
        </is>
      </c>
      <c r="J191" s="29">
        <f>MATCH(I191, {"Waiting for Input","Analyzing Object","Found Object","Needs Help","Confused","None"}, 0) - 1</f>
        <v/>
      </c>
      <c r="K191" s="29" t="n">
        <v>3</v>
      </c>
      <c r="L191" s="29">
        <f>IF(H191=J191, 1, 0)</f>
        <v/>
      </c>
    </row>
    <row r="192">
      <c r="D192" s="29" t="n">
        <v>167</v>
      </c>
      <c r="E192" s="29" t="inlineStr">
        <is>
          <t>2</t>
        </is>
      </c>
      <c r="F192" s="30" t="inlineStr">
        <is>
          <t>Random</t>
        </is>
      </c>
      <c r="G192" s="29" t="inlineStr">
        <is>
          <t>Waiting for Input</t>
        </is>
      </c>
      <c r="H192" s="29">
        <f>MATCH(G192, {"Waiting for Input","Analyzing Object","Found Object","Needs Help","Confused","None"}, 0) - 1</f>
        <v/>
      </c>
      <c r="I192" s="29" t="inlineStr">
        <is>
          <t>Analyzing Object</t>
        </is>
      </c>
      <c r="J192" s="29">
        <f>MATCH(I192, {"Waiting for Input","Analyzing Object","Found Object","Needs Help","Confused","None"}, 0) - 1</f>
        <v/>
      </c>
      <c r="K192" s="29" t="n">
        <v>2</v>
      </c>
      <c r="L192" s="29">
        <f>IF(H192=J192, 1, 0)</f>
        <v/>
      </c>
    </row>
    <row r="193">
      <c r="D193" s="29" t="n">
        <v>168</v>
      </c>
      <c r="E193" s="29" t="inlineStr">
        <is>
          <t>2</t>
        </is>
      </c>
      <c r="F193" s="30" t="inlineStr">
        <is>
          <t>Random</t>
        </is>
      </c>
      <c r="G193" s="29" t="inlineStr">
        <is>
          <t>Waiting for Input</t>
        </is>
      </c>
      <c r="H193" s="29">
        <f>MATCH(G193, {"Waiting for Input","Analyzing Object","Found Object","Needs Help","Confused","None"}, 0) - 1</f>
        <v/>
      </c>
      <c r="I193" s="29" t="inlineStr">
        <is>
          <t>Found Object</t>
        </is>
      </c>
      <c r="J193" s="29">
        <f>MATCH(I193, {"Waiting for Input","Analyzing Object","Found Object","Needs Help","Confused","None"}, 0) - 1</f>
        <v/>
      </c>
      <c r="K193" s="29" t="n">
        <v>4</v>
      </c>
      <c r="L193" s="29">
        <f>IF(H193=J193, 1, 0)</f>
        <v/>
      </c>
    </row>
    <row r="194">
      <c r="D194" s="29" t="n">
        <v>169</v>
      </c>
      <c r="E194" s="29" t="inlineStr">
        <is>
          <t>2</t>
        </is>
      </c>
      <c r="F194" s="30" t="inlineStr">
        <is>
          <t>Random</t>
        </is>
      </c>
      <c r="G194" s="29" t="inlineStr">
        <is>
          <t>Waiting for Input</t>
        </is>
      </c>
      <c r="H194" s="29">
        <f>MATCH(G194, {"Waiting for Input","Analyzing Object","Found Object","Needs Help","Confused","None"}, 0) - 1</f>
        <v/>
      </c>
      <c r="I194" s="29" t="inlineStr">
        <is>
          <t>Confused</t>
        </is>
      </c>
      <c r="J194" s="29">
        <f>MATCH(I194, {"Waiting for Input","Analyzing Object","Found Object","Needs Help","Confused","None"}, 0) - 1</f>
        <v/>
      </c>
      <c r="K194" s="29" t="n">
        <v>2</v>
      </c>
      <c r="L194" s="29">
        <f>IF(H194=J194, 1, 0)</f>
        <v/>
      </c>
    </row>
    <row r="195">
      <c r="D195" s="29" t="n">
        <v>170</v>
      </c>
      <c r="E195" s="29" t="inlineStr">
        <is>
          <t>2</t>
        </is>
      </c>
      <c r="F195" s="30" t="inlineStr">
        <is>
          <t>Random</t>
        </is>
      </c>
      <c r="G195" s="29" t="inlineStr">
        <is>
          <t>Waiting for Input</t>
        </is>
      </c>
      <c r="H195" s="29">
        <f>MATCH(G195, {"Waiting for Input","Analyzing Object","Found Object","Needs Help","Confused","None"}, 0) - 1</f>
        <v/>
      </c>
      <c r="I195" s="29" t="inlineStr">
        <is>
          <t>Confused</t>
        </is>
      </c>
      <c r="J195" s="29">
        <f>MATCH(I195, {"Waiting for Input","Analyzing Object","Found Object","Needs Help","Confused","None"}, 0) - 1</f>
        <v/>
      </c>
      <c r="K195" s="29" t="n">
        <v>3</v>
      </c>
      <c r="L195" s="29">
        <f>IF(H195=J195, 1, 0)</f>
        <v/>
      </c>
    </row>
    <row r="196">
      <c r="D196" s="29" t="n">
        <v>171</v>
      </c>
      <c r="E196" s="29" t="inlineStr">
        <is>
          <t>1</t>
        </is>
      </c>
      <c r="F196" s="30" t="inlineStr">
        <is>
          <t>Random</t>
        </is>
      </c>
      <c r="G196" s="29" t="inlineStr">
        <is>
          <t>Waiting for Input</t>
        </is>
      </c>
      <c r="H196" s="29">
        <f>MATCH(G196, {"Waiting for Input","Analyzing Object","Found Object","Needs Help","Confused","None"}, 0) - 1</f>
        <v/>
      </c>
      <c r="I196" s="29" t="inlineStr">
        <is>
          <t>Found Object</t>
        </is>
      </c>
      <c r="J196" s="29">
        <f>MATCH(I196, {"Waiting for Input","Analyzing Object","Found Object","Needs Help","Confused","None"}, 0) - 1</f>
        <v/>
      </c>
      <c r="K196" s="29" t="n">
        <v>4</v>
      </c>
      <c r="L196" s="29">
        <f>IF(H196=J196, 1, 0)</f>
        <v/>
      </c>
    </row>
    <row r="197">
      <c r="D197" s="29" t="n">
        <v>172</v>
      </c>
      <c r="E197" s="29" t="inlineStr">
        <is>
          <t>2</t>
        </is>
      </c>
      <c r="F197" s="30" t="inlineStr">
        <is>
          <t>Random</t>
        </is>
      </c>
      <c r="G197" s="29" t="inlineStr">
        <is>
          <t>Waiting for Input</t>
        </is>
      </c>
      <c r="H197" s="29">
        <f>MATCH(G197, {"Waiting for Input","Analyzing Object","Found Object","Needs Help","Confused","None"}, 0) - 1</f>
        <v/>
      </c>
      <c r="I197" s="29" t="inlineStr">
        <is>
          <t>Needs Help</t>
        </is>
      </c>
      <c r="J197" s="29">
        <f>MATCH(I197, {"Waiting for Input","Analyzing Object","Found Object","Needs Help","Confused","None"}, 0) - 1</f>
        <v/>
      </c>
      <c r="K197" s="29" t="n">
        <v>3</v>
      </c>
      <c r="L197" s="29">
        <f>IF(H197=J197, 1, 0)</f>
        <v/>
      </c>
    </row>
    <row r="198">
      <c r="D198" s="29" t="n">
        <v>173</v>
      </c>
      <c r="E198" s="29" t="inlineStr">
        <is>
          <t>2</t>
        </is>
      </c>
      <c r="F198" s="30" t="inlineStr">
        <is>
          <t>Random</t>
        </is>
      </c>
      <c r="G198" s="29" t="inlineStr">
        <is>
          <t>Waiting for Input</t>
        </is>
      </c>
      <c r="H198" s="29">
        <f>MATCH(G198, {"Waiting for Input","Analyzing Object","Found Object","Needs Help","Confused","None"}, 0) - 1</f>
        <v/>
      </c>
      <c r="I198" s="29" t="inlineStr">
        <is>
          <t>Needs Help</t>
        </is>
      </c>
      <c r="J198" s="29">
        <f>MATCH(I198, {"Waiting for Input","Analyzing Object","Found Object","Needs Help","Confused","None"}, 0) - 1</f>
        <v/>
      </c>
      <c r="K198" s="29" t="n">
        <v>3</v>
      </c>
      <c r="L198" s="29">
        <f>IF(H198=J198, 1, 0)</f>
        <v/>
      </c>
    </row>
    <row r="199">
      <c r="D199" s="29" t="n">
        <v>174</v>
      </c>
      <c r="E199" s="29" t="inlineStr">
        <is>
          <t>1</t>
        </is>
      </c>
      <c r="F199" s="30" t="inlineStr">
        <is>
          <t>Random</t>
        </is>
      </c>
      <c r="G199" s="29" t="inlineStr">
        <is>
          <t>Waiting for Input</t>
        </is>
      </c>
      <c r="H199" s="29">
        <f>MATCH(G199, {"Waiting for Input","Analyzing Object","Found Object","Needs Help","Confused","None"}, 0) - 1</f>
        <v/>
      </c>
      <c r="I199" s="29" t="inlineStr">
        <is>
          <t>Confused</t>
        </is>
      </c>
      <c r="J199" s="29">
        <f>MATCH(I199, {"Waiting for Input","Analyzing Object","Found Object","Needs Help","Confused","None"}, 0) - 1</f>
        <v/>
      </c>
      <c r="K199" s="29" t="n">
        <v>2</v>
      </c>
      <c r="L199" s="29">
        <f>IF(H199=J199, 1, 0)</f>
        <v/>
      </c>
    </row>
    <row r="200">
      <c r="D200" s="29" t="n">
        <v>175</v>
      </c>
      <c r="E200" s="29" t="inlineStr">
        <is>
          <t>2</t>
        </is>
      </c>
      <c r="F200" s="30" t="inlineStr">
        <is>
          <t>Random</t>
        </is>
      </c>
      <c r="G200" s="29" t="inlineStr">
        <is>
          <t>Waiting for Input</t>
        </is>
      </c>
      <c r="H200" s="29">
        <f>MATCH(G200, {"Waiting for Input","Analyzing Object","Found Object","Needs Help","Confused","None"}, 0) - 1</f>
        <v/>
      </c>
      <c r="I200" s="29" t="inlineStr">
        <is>
          <t>Needs Help</t>
        </is>
      </c>
      <c r="J200" s="29">
        <f>MATCH(I200, {"Waiting for Input","Analyzing Object","Found Object","Needs Help","Confused","None"}, 0) - 1</f>
        <v/>
      </c>
      <c r="K200" s="29" t="n">
        <v>1</v>
      </c>
      <c r="L200" s="29">
        <f>IF(H200=J200, 1, 0)</f>
        <v/>
      </c>
    </row>
    <row r="201">
      <c r="D201" s="29" t="n">
        <v>176</v>
      </c>
      <c r="E201" s="29" t="inlineStr">
        <is>
          <t>2</t>
        </is>
      </c>
      <c r="F201" s="30" t="inlineStr">
        <is>
          <t>Random</t>
        </is>
      </c>
      <c r="G201" s="29" t="inlineStr">
        <is>
          <t>Waiting for Input</t>
        </is>
      </c>
      <c r="H201" s="29">
        <f>MATCH(G201, {"Waiting for Input","Analyzing Object","Found Object","Needs Help","Confused","None"}, 0) - 1</f>
        <v/>
      </c>
      <c r="I201" s="29" t="inlineStr">
        <is>
          <t>Analyzing Object</t>
        </is>
      </c>
      <c r="J201" s="29">
        <f>MATCH(I201, {"Waiting for Input","Analyzing Object","Found Object","Needs Help","Confused","None"}, 0) - 1</f>
        <v/>
      </c>
      <c r="K201" s="29" t="n">
        <v>3</v>
      </c>
      <c r="L201" s="29">
        <f>IF(H201=J201, 1, 0)</f>
        <v/>
      </c>
    </row>
    <row r="202">
      <c r="D202" s="29" t="n">
        <v>177</v>
      </c>
      <c r="E202" s="29" t="inlineStr">
        <is>
          <t>2</t>
        </is>
      </c>
      <c r="F202" s="30" t="inlineStr">
        <is>
          <t>Random</t>
        </is>
      </c>
      <c r="G202" s="29" t="inlineStr">
        <is>
          <t>Waiting for Input</t>
        </is>
      </c>
      <c r="H202" s="29">
        <f>MATCH(G202, {"Waiting for Input","Analyzing Object","Found Object","Needs Help","Confused","None"}, 0) - 1</f>
        <v/>
      </c>
      <c r="I202" s="29" t="inlineStr">
        <is>
          <t>Confused</t>
        </is>
      </c>
      <c r="J202" s="29">
        <f>MATCH(I202, {"Waiting for Input","Analyzing Object","Found Object","Needs Help","Confused","None"}, 0) - 1</f>
        <v/>
      </c>
      <c r="K202" s="29" t="n">
        <v>3</v>
      </c>
      <c r="L202" s="29">
        <f>IF(H202=J202, 1, 0)</f>
        <v/>
      </c>
    </row>
    <row r="203">
      <c r="D203" s="29" t="n">
        <v>178</v>
      </c>
      <c r="E203" s="29" t="inlineStr">
        <is>
          <t>1</t>
        </is>
      </c>
      <c r="F203" s="30" t="inlineStr">
        <is>
          <t>Random</t>
        </is>
      </c>
      <c r="G203" s="29" t="inlineStr">
        <is>
          <t>Waiting for Input</t>
        </is>
      </c>
      <c r="H203" s="29">
        <f>MATCH(G203, {"Waiting for Input","Analyzing Object","Found Object","Needs Help","Confused","None"}, 0) - 1</f>
        <v/>
      </c>
      <c r="I203" s="31" t="inlineStr">
        <is>
          <t>None</t>
        </is>
      </c>
      <c r="J203" s="29">
        <f>MATCH(I203, {"Waiting for Input","Analyzing Object","Found Object","Needs Help","Confused","None"}, 0) - 1</f>
        <v/>
      </c>
      <c r="K203" s="29" t="n">
        <v>1</v>
      </c>
      <c r="L203" s="29">
        <f>IF(H203=J203, 1, 0)</f>
        <v/>
      </c>
    </row>
    <row r="204">
      <c r="D204" s="29" t="n">
        <v>179</v>
      </c>
      <c r="E204" s="29" t="inlineStr">
        <is>
          <t>2</t>
        </is>
      </c>
      <c r="F204" s="30" t="inlineStr">
        <is>
          <t>Random</t>
        </is>
      </c>
      <c r="G204" s="29" t="inlineStr">
        <is>
          <t>Waiting for Input</t>
        </is>
      </c>
      <c r="H204" s="29">
        <f>MATCH(G204, {"Waiting for Input","Analyzing Object","Found Object","Needs Help","Confused","None"}, 0) - 1</f>
        <v/>
      </c>
      <c r="I204" s="29" t="inlineStr">
        <is>
          <t>Found Object</t>
        </is>
      </c>
      <c r="J204" s="29">
        <f>MATCH(I204, {"Waiting for Input","Analyzing Object","Found Object","Needs Help","Confused","None"}, 0) - 1</f>
        <v/>
      </c>
      <c r="K204" s="29" t="n">
        <v>1</v>
      </c>
      <c r="L204" s="29">
        <f>IF(H204=J204, 1, 0)</f>
        <v/>
      </c>
    </row>
    <row r="205">
      <c r="D205" s="29" t="n">
        <v>180</v>
      </c>
      <c r="E205" s="29" t="inlineStr">
        <is>
          <t>1</t>
        </is>
      </c>
      <c r="F205" s="30" t="inlineStr">
        <is>
          <t>GPT4</t>
        </is>
      </c>
      <c r="G205" s="29" t="inlineStr">
        <is>
          <t>Analyzing Object</t>
        </is>
      </c>
      <c r="H205" s="29">
        <f>MATCH(G205, {"Waiting for Input","Analyzing Object","Found Object","Needs Help","Confused","None"}, 0) - 1</f>
        <v/>
      </c>
      <c r="I205" s="31" t="inlineStr">
        <is>
          <t>Found Object</t>
        </is>
      </c>
      <c r="J205" s="29">
        <f>MATCH(I205, {"Waiting for Input","Analyzing Object","Found Object","Needs Help","Confused","None"}, 0) - 1</f>
        <v/>
      </c>
      <c r="K205" s="29" t="n">
        <v>4</v>
      </c>
      <c r="L205" s="29">
        <f>IF(H205=J205, 1, 0)</f>
        <v/>
      </c>
    </row>
    <row r="206">
      <c r="D206" s="29" t="n">
        <v>181</v>
      </c>
      <c r="E206" s="29" t="inlineStr">
        <is>
          <t>1</t>
        </is>
      </c>
      <c r="F206" s="30" t="inlineStr">
        <is>
          <t>GPT4</t>
        </is>
      </c>
      <c r="G206" s="29" t="inlineStr">
        <is>
          <t>Analyzing Object</t>
        </is>
      </c>
      <c r="H206" s="29">
        <f>MATCH(G206, {"Waiting for Input","Analyzing Object","Found Object","Needs Help","Confused","None"}, 0) - 1</f>
        <v/>
      </c>
      <c r="I206" s="31" t="inlineStr">
        <is>
          <t>Analyzing Object</t>
        </is>
      </c>
      <c r="J206" s="29">
        <f>MATCH(I206, {"Waiting for Input","Analyzing Object","Found Object","Needs Help","Confused","None"}, 0) - 1</f>
        <v/>
      </c>
      <c r="K206" s="29" t="n">
        <v>2</v>
      </c>
      <c r="L206" s="29">
        <f>IF(H206=J206, 1, 0)</f>
        <v/>
      </c>
    </row>
    <row r="207">
      <c r="D207" s="29" t="n">
        <v>182</v>
      </c>
      <c r="E207" s="29" t="inlineStr">
        <is>
          <t>1</t>
        </is>
      </c>
      <c r="F207" s="30" t="inlineStr">
        <is>
          <t>GPT4</t>
        </is>
      </c>
      <c r="G207" s="29" t="inlineStr">
        <is>
          <t>Analyzing Object</t>
        </is>
      </c>
      <c r="H207" s="29">
        <f>MATCH(G207, {"Waiting for Input","Analyzing Object","Found Object","Needs Help","Confused","None"}, 0) - 1</f>
        <v/>
      </c>
      <c r="I207" s="31" t="inlineStr">
        <is>
          <t>Confused</t>
        </is>
      </c>
      <c r="J207" s="29">
        <f>MATCH(I207, {"Waiting for Input","Analyzing Object","Found Object","Needs Help","Confused","None"}, 0) - 1</f>
        <v/>
      </c>
      <c r="K207" s="29" t="n">
        <v>3</v>
      </c>
      <c r="L207" s="29">
        <f>IF(H207=J207, 1, 0)</f>
        <v/>
      </c>
    </row>
    <row r="208">
      <c r="D208" s="29" t="n">
        <v>183</v>
      </c>
      <c r="E208" s="29" t="inlineStr">
        <is>
          <t>2</t>
        </is>
      </c>
      <c r="F208" s="30" t="inlineStr">
        <is>
          <t>GPT4</t>
        </is>
      </c>
      <c r="G208" s="29" t="inlineStr">
        <is>
          <t>Analyzing Object</t>
        </is>
      </c>
      <c r="H208" s="29">
        <f>MATCH(G208, {"Waiting for Input","Analyzing Object","Found Object","Needs Help","Confused","None"}, 0) - 1</f>
        <v/>
      </c>
      <c r="I208" s="31" t="inlineStr">
        <is>
          <t>Analyzing Object</t>
        </is>
      </c>
      <c r="J208" s="29">
        <f>MATCH(I208, {"Waiting for Input","Analyzing Object","Found Object","Needs Help","Confused","None"}, 0) - 1</f>
        <v/>
      </c>
      <c r="K208" s="29" t="n">
        <v>3</v>
      </c>
      <c r="L208" s="29">
        <f>IF(H208=J208, 1, 0)</f>
        <v/>
      </c>
    </row>
    <row r="209">
      <c r="D209" s="29" t="n">
        <v>184</v>
      </c>
      <c r="E209" s="29" t="inlineStr">
        <is>
          <t>2</t>
        </is>
      </c>
      <c r="F209" s="30" t="inlineStr">
        <is>
          <t>GPT4</t>
        </is>
      </c>
      <c r="G209" s="29" t="inlineStr">
        <is>
          <t>Analyzing Object</t>
        </is>
      </c>
      <c r="H209" s="29">
        <f>MATCH(G209, {"Waiting for Input","Analyzing Object","Found Object","Needs Help","Confused","None"}, 0) - 1</f>
        <v/>
      </c>
      <c r="I209" s="31" t="inlineStr">
        <is>
          <t>Found Object</t>
        </is>
      </c>
      <c r="J209" s="29">
        <f>MATCH(I209, {"Waiting for Input","Analyzing Object","Found Object","Needs Help","Confused","None"}, 0) - 1</f>
        <v/>
      </c>
      <c r="K209" s="29" t="n">
        <v>5</v>
      </c>
      <c r="L209" s="29">
        <f>IF(H209=J209, 1, 0)</f>
        <v/>
      </c>
    </row>
    <row r="210">
      <c r="D210" s="29" t="n">
        <v>185</v>
      </c>
      <c r="E210" s="29" t="inlineStr">
        <is>
          <t>1</t>
        </is>
      </c>
      <c r="F210" s="30" t="inlineStr">
        <is>
          <t>GPT4</t>
        </is>
      </c>
      <c r="G210" s="29" t="inlineStr">
        <is>
          <t>Analyzing Object</t>
        </is>
      </c>
      <c r="H210" s="29">
        <f>MATCH(G210, {"Waiting for Input","Analyzing Object","Found Object","Needs Help","Confused","None"}, 0) - 1</f>
        <v/>
      </c>
      <c r="I210" s="31" t="inlineStr">
        <is>
          <t>Analyzing Object</t>
        </is>
      </c>
      <c r="J210" s="29">
        <f>MATCH(I210, {"Waiting for Input","Analyzing Object","Found Object","Needs Help","Confused","None"}, 0) - 1</f>
        <v/>
      </c>
      <c r="K210" s="29" t="n">
        <v>5</v>
      </c>
      <c r="L210" s="29">
        <f>IF(H210=J210, 1, 0)</f>
        <v/>
      </c>
    </row>
    <row r="211">
      <c r="D211" s="29" t="n">
        <v>186</v>
      </c>
      <c r="E211" s="29" t="inlineStr">
        <is>
          <t>2</t>
        </is>
      </c>
      <c r="F211" s="30" t="inlineStr">
        <is>
          <t>GPT4</t>
        </is>
      </c>
      <c r="G211" s="29" t="inlineStr">
        <is>
          <t>Analyzing Object</t>
        </is>
      </c>
      <c r="H211" s="29">
        <f>MATCH(G211, {"Waiting for Input","Analyzing Object","Found Object","Needs Help","Confused","None"}, 0) - 1</f>
        <v/>
      </c>
      <c r="I211" s="31" t="inlineStr">
        <is>
          <t>Waiting for Input</t>
        </is>
      </c>
      <c r="J211" s="29">
        <f>MATCH(I211, {"Waiting for Input","Analyzing Object","Found Object","Needs Help","Confused","None"}, 0) - 1</f>
        <v/>
      </c>
      <c r="K211" s="29" t="n">
        <v>3</v>
      </c>
      <c r="L211" s="29">
        <f>IF(H211=J211, 1, 0)</f>
        <v/>
      </c>
    </row>
    <row r="212">
      <c r="D212" s="29" t="n">
        <v>187</v>
      </c>
      <c r="E212" s="29" t="inlineStr">
        <is>
          <t>1</t>
        </is>
      </c>
      <c r="F212" s="30" t="inlineStr">
        <is>
          <t>GPT4</t>
        </is>
      </c>
      <c r="G212" s="29" t="inlineStr">
        <is>
          <t>Analyzing Object</t>
        </is>
      </c>
      <c r="H212" s="29">
        <f>MATCH(G212, {"Waiting for Input","Analyzing Object","Found Object","Needs Help","Confused","None"}, 0) - 1</f>
        <v/>
      </c>
      <c r="I212" s="31" t="inlineStr">
        <is>
          <t>Found Object</t>
        </is>
      </c>
      <c r="J212" s="29">
        <f>MATCH(I212, {"Waiting for Input","Analyzing Object","Found Object","Needs Help","Confused","None"}, 0) - 1</f>
        <v/>
      </c>
      <c r="K212" s="29" t="n">
        <v>4</v>
      </c>
      <c r="L212" s="29">
        <f>IF(H212=J212, 1, 0)</f>
        <v/>
      </c>
    </row>
    <row r="213">
      <c r="D213" s="29" t="n">
        <v>188</v>
      </c>
      <c r="E213" s="29" t="inlineStr">
        <is>
          <t>1</t>
        </is>
      </c>
      <c r="F213" s="30" t="inlineStr">
        <is>
          <t>GPT4</t>
        </is>
      </c>
      <c r="G213" s="29" t="inlineStr">
        <is>
          <t>Analyzing Object</t>
        </is>
      </c>
      <c r="H213" s="29">
        <f>MATCH(G213, {"Waiting for Input","Analyzing Object","Found Object","Needs Help","Confused","None"}, 0) - 1</f>
        <v/>
      </c>
      <c r="I213" s="31" t="inlineStr">
        <is>
          <t>Found Object</t>
        </is>
      </c>
      <c r="J213" s="29">
        <f>MATCH(I213, {"Waiting for Input","Analyzing Object","Found Object","Needs Help","Confused","None"}, 0) - 1</f>
        <v/>
      </c>
      <c r="K213" s="29" t="n">
        <v>4</v>
      </c>
      <c r="L213" s="29">
        <f>IF(H213=J213, 1, 0)</f>
        <v/>
      </c>
    </row>
    <row r="214">
      <c r="D214" s="29" t="n">
        <v>189</v>
      </c>
      <c r="E214" s="29" t="inlineStr">
        <is>
          <t>1</t>
        </is>
      </c>
      <c r="F214" s="30" t="inlineStr">
        <is>
          <t>GPT4</t>
        </is>
      </c>
      <c r="G214" s="29" t="inlineStr">
        <is>
          <t>Analyzing Object</t>
        </is>
      </c>
      <c r="H214" s="29">
        <f>MATCH(G214, {"Waiting for Input","Analyzing Object","Found Object","Needs Help","Confused","None"}, 0) - 1</f>
        <v/>
      </c>
      <c r="I214" s="31" t="inlineStr">
        <is>
          <t>Found Object</t>
        </is>
      </c>
      <c r="J214" s="29">
        <f>MATCH(I214, {"Waiting for Input","Analyzing Object","Found Object","Needs Help","Confused","None"}, 0) - 1</f>
        <v/>
      </c>
      <c r="K214" s="29" t="n">
        <v>4</v>
      </c>
      <c r="L214" s="29">
        <f>IF(H214=J214, 1, 0)</f>
        <v/>
      </c>
    </row>
    <row r="215">
      <c r="D215" s="29" t="n">
        <v>190</v>
      </c>
      <c r="E215" s="29" t="inlineStr">
        <is>
          <t>2</t>
        </is>
      </c>
      <c r="F215" s="30" t="inlineStr">
        <is>
          <t>GPT4</t>
        </is>
      </c>
      <c r="G215" s="29" t="inlineStr">
        <is>
          <t>Analyzing Object</t>
        </is>
      </c>
      <c r="H215" s="29">
        <f>MATCH(G215, {"Waiting for Input","Analyzing Object","Found Object","Needs Help","Confused","None"}, 0) - 1</f>
        <v/>
      </c>
      <c r="I215" s="31" t="inlineStr">
        <is>
          <t>Analyzing Object</t>
        </is>
      </c>
      <c r="J215" s="29">
        <f>MATCH(I215, {"Waiting for Input","Analyzing Object","Found Object","Needs Help","Confused","None"}, 0) - 1</f>
        <v/>
      </c>
      <c r="K215" s="29" t="n">
        <v>5</v>
      </c>
      <c r="L215" s="29">
        <f>IF(H215=J215, 1, 0)</f>
        <v/>
      </c>
    </row>
    <row r="216">
      <c r="D216" s="29" t="n">
        <v>191</v>
      </c>
      <c r="E216" s="29" t="inlineStr">
        <is>
          <t>2</t>
        </is>
      </c>
      <c r="F216" s="30" t="inlineStr">
        <is>
          <t>GPT4</t>
        </is>
      </c>
      <c r="G216" s="29" t="inlineStr">
        <is>
          <t>Analyzing Object</t>
        </is>
      </c>
      <c r="H216" s="29">
        <f>MATCH(G216, {"Waiting for Input","Analyzing Object","Found Object","Needs Help","Confused","None"}, 0) - 1</f>
        <v/>
      </c>
      <c r="I216" s="31" t="inlineStr">
        <is>
          <t>Found Object</t>
        </is>
      </c>
      <c r="J216" s="29">
        <f>MATCH(I216, {"Waiting for Input","Analyzing Object","Found Object","Needs Help","Confused","None"}, 0) - 1</f>
        <v/>
      </c>
      <c r="K216" s="29" t="n">
        <v>5</v>
      </c>
      <c r="L216" s="29">
        <f>IF(H216=J216, 1, 0)</f>
        <v/>
      </c>
    </row>
    <row r="217">
      <c r="D217" s="29" t="n">
        <v>192</v>
      </c>
      <c r="E217" s="29" t="inlineStr">
        <is>
          <t>2</t>
        </is>
      </c>
      <c r="F217" s="30" t="inlineStr">
        <is>
          <t>GPT4</t>
        </is>
      </c>
      <c r="G217" s="29" t="inlineStr">
        <is>
          <t>Analyzing Object</t>
        </is>
      </c>
      <c r="H217" s="29">
        <f>MATCH(G217, {"Waiting for Input","Analyzing Object","Found Object","Needs Help","Confused","None"}, 0) - 1</f>
        <v/>
      </c>
      <c r="I217" s="31" t="inlineStr">
        <is>
          <t>Found Object</t>
        </is>
      </c>
      <c r="J217" s="29">
        <f>MATCH(I217, {"Waiting for Input","Analyzing Object","Found Object","Needs Help","Confused","None"}, 0) - 1</f>
        <v/>
      </c>
      <c r="K217" s="29" t="n">
        <v>2</v>
      </c>
      <c r="L217" s="29">
        <f>IF(H217=J217, 1, 0)</f>
        <v/>
      </c>
    </row>
    <row r="218">
      <c r="D218" s="29" t="n">
        <v>193</v>
      </c>
      <c r="E218" s="29" t="inlineStr">
        <is>
          <t>2</t>
        </is>
      </c>
      <c r="F218" s="30" t="inlineStr">
        <is>
          <t>GPT4</t>
        </is>
      </c>
      <c r="G218" s="29" t="inlineStr">
        <is>
          <t>Analyzing Object</t>
        </is>
      </c>
      <c r="H218" s="29">
        <f>MATCH(G218, {"Waiting for Input","Analyzing Object","Found Object","Needs Help","Confused","None"}, 0) - 1</f>
        <v/>
      </c>
      <c r="I218" s="31" t="inlineStr">
        <is>
          <t>Analyzing Object</t>
        </is>
      </c>
      <c r="J218" s="29">
        <f>MATCH(I218, {"Waiting for Input","Analyzing Object","Found Object","Needs Help","Confused","None"}, 0) - 1</f>
        <v/>
      </c>
      <c r="K218" s="29" t="n">
        <v>5</v>
      </c>
      <c r="L218" s="29">
        <f>IF(H218=J218, 1, 0)</f>
        <v/>
      </c>
    </row>
    <row r="219">
      <c r="D219" s="29" t="n">
        <v>194</v>
      </c>
      <c r="E219" s="29" t="inlineStr">
        <is>
          <t>1</t>
        </is>
      </c>
      <c r="F219" s="30" t="inlineStr">
        <is>
          <t>GPT4</t>
        </is>
      </c>
      <c r="G219" s="29" t="inlineStr">
        <is>
          <t>Analyzing Object</t>
        </is>
      </c>
      <c r="H219" s="29">
        <f>MATCH(G219, {"Waiting for Input","Analyzing Object","Found Object","Needs Help","Confused","None"}, 0) - 1</f>
        <v/>
      </c>
      <c r="I219" s="31" t="inlineStr">
        <is>
          <t>Analyzing Object</t>
        </is>
      </c>
      <c r="J219" s="29">
        <f>MATCH(I219, {"Waiting for Input","Analyzing Object","Found Object","Needs Help","Confused","None"}, 0) - 1</f>
        <v/>
      </c>
      <c r="K219" s="29" t="n">
        <v>3</v>
      </c>
      <c r="L219" s="29">
        <f>IF(H219=J219, 1, 0)</f>
        <v/>
      </c>
    </row>
    <row r="220">
      <c r="D220" s="29" t="n">
        <v>195</v>
      </c>
      <c r="E220" s="29" t="inlineStr">
        <is>
          <t>1</t>
        </is>
      </c>
      <c r="F220" s="30" t="inlineStr">
        <is>
          <t>GPT4</t>
        </is>
      </c>
      <c r="G220" s="29" t="inlineStr">
        <is>
          <t>Analyzing Object</t>
        </is>
      </c>
      <c r="H220" s="29">
        <f>MATCH(G220, {"Waiting for Input","Analyzing Object","Found Object","Needs Help","Confused","None"}, 0) - 1</f>
        <v/>
      </c>
      <c r="I220" s="31" t="inlineStr">
        <is>
          <t>Analyzing Object</t>
        </is>
      </c>
      <c r="J220" s="29">
        <f>MATCH(I220, {"Waiting for Input","Analyzing Object","Found Object","Needs Help","Confused","None"}, 0) - 1</f>
        <v/>
      </c>
      <c r="K220" s="29" t="n">
        <v>4</v>
      </c>
      <c r="L220" s="29">
        <f>IF(H220=J220, 1, 0)</f>
        <v/>
      </c>
    </row>
    <row r="221">
      <c r="D221" s="29" t="n">
        <v>196</v>
      </c>
      <c r="E221" s="29" t="inlineStr">
        <is>
          <t>1</t>
        </is>
      </c>
      <c r="F221" s="30" t="inlineStr">
        <is>
          <t>GPT4</t>
        </is>
      </c>
      <c r="G221" s="29" t="inlineStr">
        <is>
          <t>Analyzing Object</t>
        </is>
      </c>
      <c r="H221" s="29">
        <f>MATCH(G221, {"Waiting for Input","Analyzing Object","Found Object","Needs Help","Confused","None"}, 0) - 1</f>
        <v/>
      </c>
      <c r="I221" s="31" t="inlineStr">
        <is>
          <t>Found Object</t>
        </is>
      </c>
      <c r="J221" s="29">
        <f>MATCH(I221, {"Waiting for Input","Analyzing Object","Found Object","Needs Help","Confused","None"}, 0) - 1</f>
        <v/>
      </c>
      <c r="K221" s="29" t="n">
        <v>2</v>
      </c>
      <c r="L221" s="29">
        <f>IF(H221=J221, 1, 0)</f>
        <v/>
      </c>
    </row>
    <row r="222">
      <c r="D222" s="29" t="n">
        <v>197</v>
      </c>
      <c r="E222" s="29" t="inlineStr">
        <is>
          <t>2</t>
        </is>
      </c>
      <c r="F222" s="30" t="inlineStr">
        <is>
          <t>GPT4</t>
        </is>
      </c>
      <c r="G222" s="29" t="inlineStr">
        <is>
          <t>Analyzing Object</t>
        </is>
      </c>
      <c r="H222" s="29">
        <f>MATCH(G222, {"Waiting for Input","Analyzing Object","Found Object","Needs Help","Confused","None"}, 0) - 1</f>
        <v/>
      </c>
      <c r="I222" s="31" t="inlineStr">
        <is>
          <t>Found Object</t>
        </is>
      </c>
      <c r="J222" s="29">
        <f>MATCH(I222, {"Waiting for Input","Analyzing Object","Found Object","Needs Help","Confused","None"}, 0) - 1</f>
        <v/>
      </c>
      <c r="K222" s="29" t="n">
        <v>4</v>
      </c>
      <c r="L222" s="29">
        <f>IF(H222=J222, 1, 0)</f>
        <v/>
      </c>
    </row>
    <row r="223">
      <c r="D223" s="29" t="n">
        <v>198</v>
      </c>
      <c r="E223" s="29" t="inlineStr">
        <is>
          <t>2</t>
        </is>
      </c>
      <c r="F223" s="30" t="inlineStr">
        <is>
          <t>GPT4</t>
        </is>
      </c>
      <c r="G223" s="29" t="inlineStr">
        <is>
          <t>Analyzing Object</t>
        </is>
      </c>
      <c r="H223" s="29">
        <f>MATCH(G223, {"Waiting for Input","Analyzing Object","Found Object","Needs Help","Confused","None"}, 0) - 1</f>
        <v/>
      </c>
      <c r="I223" s="31" t="inlineStr">
        <is>
          <t>Found Object</t>
        </is>
      </c>
      <c r="J223" s="29">
        <f>MATCH(I223, {"Waiting for Input","Analyzing Object","Found Object","Needs Help","Confused","None"}, 0) - 1</f>
        <v/>
      </c>
      <c r="K223" s="29" t="n">
        <v>4</v>
      </c>
      <c r="L223" s="29">
        <f>IF(H223=J223, 1, 0)</f>
        <v/>
      </c>
    </row>
    <row r="224">
      <c r="D224" s="29" t="n">
        <v>199</v>
      </c>
      <c r="E224" s="29" t="inlineStr">
        <is>
          <t>1</t>
        </is>
      </c>
      <c r="F224" s="30" t="inlineStr">
        <is>
          <t>GPT4</t>
        </is>
      </c>
      <c r="G224" s="29" t="inlineStr">
        <is>
          <t>Analyzing Object</t>
        </is>
      </c>
      <c r="H224" s="29">
        <f>MATCH(G224, {"Waiting for Input","Analyzing Object","Found Object","Needs Help","Confused","None"}, 0) - 1</f>
        <v/>
      </c>
      <c r="I224" s="31" t="inlineStr">
        <is>
          <t>Waiting for Input</t>
        </is>
      </c>
      <c r="J224" s="29">
        <f>MATCH(I224, {"Waiting for Input","Analyzing Object","Found Object","Needs Help","Confused","None"}, 0) - 1</f>
        <v/>
      </c>
      <c r="K224" s="29" t="n">
        <v>4</v>
      </c>
      <c r="L224" s="29">
        <f>IF(H224=J224, 1, 0)</f>
        <v/>
      </c>
    </row>
    <row r="225">
      <c r="D225" s="29" t="n">
        <v>200</v>
      </c>
      <c r="E225" s="29" t="inlineStr">
        <is>
          <t>1</t>
        </is>
      </c>
      <c r="F225" s="30" t="inlineStr">
        <is>
          <t>GPT4</t>
        </is>
      </c>
      <c r="G225" s="29" t="inlineStr">
        <is>
          <t>Analyzing Object</t>
        </is>
      </c>
      <c r="H225" s="29">
        <f>MATCH(G225, {"Waiting for Input","Analyzing Object","Found Object","Needs Help","Confused","None"}, 0) - 1</f>
        <v/>
      </c>
      <c r="I225" s="31" t="inlineStr">
        <is>
          <t>Confused</t>
        </is>
      </c>
      <c r="J225" s="29">
        <f>MATCH(I225, {"Waiting for Input","Analyzing Object","Found Object","Needs Help","Confused","None"}, 0) - 1</f>
        <v/>
      </c>
      <c r="K225" s="29" t="n">
        <v>2</v>
      </c>
      <c r="L225" s="29">
        <f>IF(H225=J225, 1, 0)</f>
        <v/>
      </c>
    </row>
    <row r="226">
      <c r="D226" s="29" t="n">
        <v>201</v>
      </c>
      <c r="E226" s="29" t="inlineStr">
        <is>
          <t>2</t>
        </is>
      </c>
      <c r="F226" s="30" t="inlineStr">
        <is>
          <t>GPT4</t>
        </is>
      </c>
      <c r="G226" s="29" t="inlineStr">
        <is>
          <t>Analyzing Object</t>
        </is>
      </c>
      <c r="H226" s="29">
        <f>MATCH(G226, {"Waiting for Input","Analyzing Object","Found Object","Needs Help","Confused","None"}, 0) - 1</f>
        <v/>
      </c>
      <c r="I226" s="31" t="inlineStr">
        <is>
          <t>Found Object</t>
        </is>
      </c>
      <c r="J226" s="29">
        <f>MATCH(I226, {"Waiting for Input","Analyzing Object","Found Object","Needs Help","Confused","None"}, 0) - 1</f>
        <v/>
      </c>
      <c r="K226" s="29" t="n">
        <v>4</v>
      </c>
      <c r="L226" s="29">
        <f>IF(H226=J226, 1, 0)</f>
        <v/>
      </c>
    </row>
    <row r="227">
      <c r="D227" s="29" t="n">
        <v>202</v>
      </c>
      <c r="E227" s="29" t="inlineStr">
        <is>
          <t>2</t>
        </is>
      </c>
      <c r="F227" s="30" t="inlineStr">
        <is>
          <t>GPT4</t>
        </is>
      </c>
      <c r="G227" s="29" t="inlineStr">
        <is>
          <t>Analyzing Object</t>
        </is>
      </c>
      <c r="H227" s="29">
        <f>MATCH(G227, {"Waiting for Input","Analyzing Object","Found Object","Needs Help","Confused","None"}, 0) - 1</f>
        <v/>
      </c>
      <c r="I227" s="31" t="inlineStr">
        <is>
          <t>Found Object</t>
        </is>
      </c>
      <c r="J227" s="29">
        <f>MATCH(I227, {"Waiting for Input","Analyzing Object","Found Object","Needs Help","Confused","None"}, 0) - 1</f>
        <v/>
      </c>
      <c r="K227" s="29" t="n">
        <v>5</v>
      </c>
      <c r="L227" s="29">
        <f>IF(H227=J227, 1, 0)</f>
        <v/>
      </c>
    </row>
    <row r="228">
      <c r="D228" s="29" t="n">
        <v>203</v>
      </c>
      <c r="E228" s="29" t="inlineStr">
        <is>
          <t>1</t>
        </is>
      </c>
      <c r="F228" s="30" t="inlineStr">
        <is>
          <t>GPT4</t>
        </is>
      </c>
      <c r="G228" s="29" t="inlineStr">
        <is>
          <t>Analyzing Object</t>
        </is>
      </c>
      <c r="H228" s="29">
        <f>MATCH(G228, {"Waiting for Input","Analyzing Object","Found Object","Needs Help","Confused","None"}, 0) - 1</f>
        <v/>
      </c>
      <c r="I228" s="31" t="inlineStr">
        <is>
          <t>Waiting for Input</t>
        </is>
      </c>
      <c r="J228" s="29">
        <f>MATCH(I228, {"Waiting for Input","Analyzing Object","Found Object","Needs Help","Confused","None"}, 0) - 1</f>
        <v/>
      </c>
      <c r="K228" s="29" t="n">
        <v>2</v>
      </c>
      <c r="L228" s="29">
        <f>IF(H228=J228, 1, 0)</f>
        <v/>
      </c>
    </row>
    <row r="229">
      <c r="D229" s="29" t="n">
        <v>204</v>
      </c>
      <c r="E229" s="29" t="inlineStr">
        <is>
          <t>1</t>
        </is>
      </c>
      <c r="F229" s="30" t="inlineStr">
        <is>
          <t>GPT4</t>
        </is>
      </c>
      <c r="G229" s="29" t="inlineStr">
        <is>
          <t>Analyzing Object</t>
        </is>
      </c>
      <c r="H229" s="29">
        <f>MATCH(G229, {"Waiting for Input","Analyzing Object","Found Object","Needs Help","Confused","None"}, 0) - 1</f>
        <v/>
      </c>
      <c r="I229" s="31" t="inlineStr">
        <is>
          <t>Analyzing Object</t>
        </is>
      </c>
      <c r="J229" s="29">
        <f>MATCH(I229, {"Waiting for Input","Analyzing Object","Found Object","Needs Help","Confused","None"}, 0) - 1</f>
        <v/>
      </c>
      <c r="K229" s="29" t="n">
        <v>4</v>
      </c>
      <c r="L229" s="29">
        <f>IF(H229=J229, 1, 0)</f>
        <v/>
      </c>
    </row>
    <row r="230">
      <c r="D230" s="29" t="n">
        <v>205</v>
      </c>
      <c r="E230" s="29" t="inlineStr">
        <is>
          <t>2</t>
        </is>
      </c>
      <c r="F230" s="30" t="inlineStr">
        <is>
          <t>GPT4</t>
        </is>
      </c>
      <c r="G230" s="29" t="inlineStr">
        <is>
          <t>Analyzing Object</t>
        </is>
      </c>
      <c r="H230" s="29">
        <f>MATCH(G230, {"Waiting for Input","Analyzing Object","Found Object","Needs Help","Confused","None"}, 0) - 1</f>
        <v/>
      </c>
      <c r="I230" s="31" t="inlineStr">
        <is>
          <t>Needs Help</t>
        </is>
      </c>
      <c r="J230" s="29">
        <f>MATCH(I230, {"Waiting for Input","Analyzing Object","Found Object","Needs Help","Confused","None"}, 0) - 1</f>
        <v/>
      </c>
      <c r="K230" s="29" t="n">
        <v>2</v>
      </c>
      <c r="L230" s="29">
        <f>IF(H230=J230, 1, 0)</f>
        <v/>
      </c>
    </row>
    <row r="231">
      <c r="D231" s="29" t="n">
        <v>206</v>
      </c>
      <c r="E231" s="29" t="inlineStr">
        <is>
          <t>2</t>
        </is>
      </c>
      <c r="F231" s="30" t="inlineStr">
        <is>
          <t>GPT4</t>
        </is>
      </c>
      <c r="G231" s="29" t="inlineStr">
        <is>
          <t>Analyzing Object</t>
        </is>
      </c>
      <c r="H231" s="29">
        <f>MATCH(G231, {"Waiting for Input","Analyzing Object","Found Object","Needs Help","Confused","None"}, 0) - 1</f>
        <v/>
      </c>
      <c r="I231" s="31" t="inlineStr">
        <is>
          <t>Found Object</t>
        </is>
      </c>
      <c r="J231" s="29">
        <f>MATCH(I231, {"Waiting for Input","Analyzing Object","Found Object","Needs Help","Confused","None"}, 0) - 1</f>
        <v/>
      </c>
      <c r="K231" s="29" t="n">
        <v>3</v>
      </c>
      <c r="L231" s="29">
        <f>IF(H231=J231, 1, 0)</f>
        <v/>
      </c>
    </row>
    <row r="232">
      <c r="D232" s="29" t="n">
        <v>207</v>
      </c>
      <c r="E232" s="29" t="inlineStr">
        <is>
          <t>2</t>
        </is>
      </c>
      <c r="F232" s="30" t="inlineStr">
        <is>
          <t>GPT4</t>
        </is>
      </c>
      <c r="G232" s="29" t="inlineStr">
        <is>
          <t>Analyzing Object</t>
        </is>
      </c>
      <c r="H232" s="29">
        <f>MATCH(G232, {"Waiting for Input","Analyzing Object","Found Object","Needs Help","Confused","None"}, 0) - 1</f>
        <v/>
      </c>
      <c r="I232" s="31" t="inlineStr">
        <is>
          <t>Found Object</t>
        </is>
      </c>
      <c r="J232" s="29">
        <f>MATCH(I232, {"Waiting for Input","Analyzing Object","Found Object","Needs Help","Confused","None"}, 0) - 1</f>
        <v/>
      </c>
      <c r="K232" s="29" t="n">
        <v>3</v>
      </c>
      <c r="L232" s="29">
        <f>IF(H232=J232, 1, 0)</f>
        <v/>
      </c>
    </row>
    <row r="233">
      <c r="D233" s="29" t="n">
        <v>208</v>
      </c>
      <c r="E233" s="29" t="inlineStr">
        <is>
          <t>2</t>
        </is>
      </c>
      <c r="F233" s="30" t="inlineStr">
        <is>
          <t>GPT4</t>
        </is>
      </c>
      <c r="G233" s="29" t="inlineStr">
        <is>
          <t>Analyzing Object</t>
        </is>
      </c>
      <c r="H233" s="29">
        <f>MATCH(G233, {"Waiting for Input","Analyzing Object","Found Object","Needs Help","Confused","None"}, 0) - 1</f>
        <v/>
      </c>
      <c r="I233" s="31" t="inlineStr">
        <is>
          <t>Found Object</t>
        </is>
      </c>
      <c r="J233" s="29">
        <f>MATCH(I233, {"Waiting for Input","Analyzing Object","Found Object","Needs Help","Confused","None"}, 0) - 1</f>
        <v/>
      </c>
      <c r="K233" s="29" t="n">
        <v>4</v>
      </c>
      <c r="L233" s="29">
        <f>IF(H233=J233, 1, 0)</f>
        <v/>
      </c>
    </row>
    <row r="234">
      <c r="D234" s="29" t="n">
        <v>209</v>
      </c>
      <c r="E234" s="29" t="inlineStr">
        <is>
          <t>2</t>
        </is>
      </c>
      <c r="F234" s="30" t="inlineStr">
        <is>
          <t>GPT4</t>
        </is>
      </c>
      <c r="G234" s="29" t="inlineStr">
        <is>
          <t>Analyzing Object</t>
        </is>
      </c>
      <c r="H234" s="29">
        <f>MATCH(G234, {"Waiting for Input","Analyzing Object","Found Object","Needs Help","Confused","None"}, 0) - 1</f>
        <v/>
      </c>
      <c r="I234" s="31" t="inlineStr">
        <is>
          <t>Found Object</t>
        </is>
      </c>
      <c r="J234" s="29">
        <f>MATCH(I234, {"Waiting for Input","Analyzing Object","Found Object","Needs Help","Confused","None"}, 0) - 1</f>
        <v/>
      </c>
      <c r="K234" s="29" t="n">
        <v>3</v>
      </c>
      <c r="L234" s="29">
        <f>IF(H234=J234, 1, 0)</f>
        <v/>
      </c>
    </row>
    <row r="235">
      <c r="D235" s="29" t="n">
        <v>210</v>
      </c>
      <c r="E235" s="29" t="inlineStr">
        <is>
          <t>2</t>
        </is>
      </c>
      <c r="F235" s="30" t="inlineStr">
        <is>
          <t>GPT4</t>
        </is>
      </c>
      <c r="G235" s="29" t="inlineStr">
        <is>
          <t>Analyzing Object</t>
        </is>
      </c>
      <c r="H235" s="29">
        <f>MATCH(G235, {"Waiting for Input","Analyzing Object","Found Object","Needs Help","Confused","None"}, 0) - 1</f>
        <v/>
      </c>
      <c r="I235" s="31" t="inlineStr">
        <is>
          <t>None</t>
        </is>
      </c>
      <c r="J235" s="29">
        <f>MATCH(I235, {"Waiting for Input","Analyzing Object","Found Object","Needs Help","Confused","None"}, 0) - 1</f>
        <v/>
      </c>
      <c r="K235" s="29" t="n">
        <v>2</v>
      </c>
      <c r="L235" s="29">
        <f>IF(H235=J235, 1, 0)</f>
        <v/>
      </c>
    </row>
    <row r="236">
      <c r="D236" s="29" t="n">
        <v>211</v>
      </c>
      <c r="E236" s="29" t="inlineStr">
        <is>
          <t>1</t>
        </is>
      </c>
      <c r="F236" s="30" t="inlineStr">
        <is>
          <t>GPT4</t>
        </is>
      </c>
      <c r="G236" s="29" t="inlineStr">
        <is>
          <t>Analyzing Object</t>
        </is>
      </c>
      <c r="H236" s="29">
        <f>MATCH(G236, {"Waiting for Input","Analyzing Object","Found Object","Needs Help","Confused","None"}, 0) - 1</f>
        <v/>
      </c>
      <c r="I236" s="31" t="inlineStr">
        <is>
          <t>Analyzing Object</t>
        </is>
      </c>
      <c r="J236" s="29">
        <f>MATCH(I236, {"Waiting for Input","Analyzing Object","Found Object","Needs Help","Confused","None"}, 0) - 1</f>
        <v/>
      </c>
      <c r="K236" s="29" t="n">
        <v>5</v>
      </c>
      <c r="L236" s="29">
        <f>IF(H236=J236, 1, 0)</f>
        <v/>
      </c>
    </row>
    <row r="237">
      <c r="D237" s="29" t="n">
        <v>212</v>
      </c>
      <c r="E237" s="29" t="inlineStr">
        <is>
          <t>2</t>
        </is>
      </c>
      <c r="F237" s="30" t="inlineStr">
        <is>
          <t>GPT4</t>
        </is>
      </c>
      <c r="G237" s="29" t="inlineStr">
        <is>
          <t>Analyzing Object</t>
        </is>
      </c>
      <c r="H237" s="29">
        <f>MATCH(G237, {"Waiting for Input","Analyzing Object","Found Object","Needs Help","Confused","None"}, 0) - 1</f>
        <v/>
      </c>
      <c r="I237" s="31" t="inlineStr">
        <is>
          <t>Found Object</t>
        </is>
      </c>
      <c r="J237" s="29">
        <f>MATCH(I237, {"Waiting for Input","Analyzing Object","Found Object","Needs Help","Confused","None"}, 0) - 1</f>
        <v/>
      </c>
      <c r="K237" s="29" t="n">
        <v>3</v>
      </c>
      <c r="L237" s="29">
        <f>IF(H237=J237, 1, 0)</f>
        <v/>
      </c>
    </row>
    <row r="238">
      <c r="D238" s="29" t="n">
        <v>213</v>
      </c>
      <c r="E238" s="29" t="inlineStr">
        <is>
          <t>1</t>
        </is>
      </c>
      <c r="F238" s="30" t="inlineStr">
        <is>
          <t>GPT4</t>
        </is>
      </c>
      <c r="G238" s="29" t="inlineStr">
        <is>
          <t>Analyzing Object</t>
        </is>
      </c>
      <c r="H238" s="29">
        <f>MATCH(G238, {"Waiting for Input","Analyzing Object","Found Object","Needs Help","Confused","None"}, 0) - 1</f>
        <v/>
      </c>
      <c r="I238" s="31" t="inlineStr">
        <is>
          <t>Found Object</t>
        </is>
      </c>
      <c r="J238" s="29">
        <f>MATCH(I238, {"Waiting for Input","Analyzing Object","Found Object","Needs Help","Confused","None"}, 0) - 1</f>
        <v/>
      </c>
      <c r="K238" s="29" t="n">
        <v>5</v>
      </c>
      <c r="L238" s="29">
        <f>IF(H238=J238, 1, 0)</f>
        <v/>
      </c>
    </row>
    <row r="239">
      <c r="D239" s="29" t="n">
        <v>214</v>
      </c>
      <c r="E239" s="29" t="inlineStr">
        <is>
          <t>1</t>
        </is>
      </c>
      <c r="F239" s="30" t="inlineStr">
        <is>
          <t>GPT4</t>
        </is>
      </c>
      <c r="G239" s="29" t="inlineStr">
        <is>
          <t>Analyzing Object</t>
        </is>
      </c>
      <c r="H239" s="29">
        <f>MATCH(G239, {"Waiting for Input","Analyzing Object","Found Object","Needs Help","Confused","None"}, 0) - 1</f>
        <v/>
      </c>
      <c r="I239" s="31" t="inlineStr">
        <is>
          <t>Analyzing Object</t>
        </is>
      </c>
      <c r="J239" s="29">
        <f>MATCH(I239, {"Waiting for Input","Analyzing Object","Found Object","Needs Help","Confused","None"}, 0) - 1</f>
        <v/>
      </c>
      <c r="K239" s="29" t="n">
        <v>4</v>
      </c>
      <c r="L239" s="29">
        <f>IF(H239=J239, 1, 0)</f>
        <v/>
      </c>
    </row>
    <row r="240">
      <c r="D240" s="29" t="n">
        <v>215</v>
      </c>
      <c r="E240" s="29" t="inlineStr">
        <is>
          <t>1</t>
        </is>
      </c>
      <c r="F240" s="30" t="inlineStr">
        <is>
          <t>GPT4</t>
        </is>
      </c>
      <c r="G240" s="29" t="inlineStr">
        <is>
          <t>Analyzing Object</t>
        </is>
      </c>
      <c r="H240" s="29">
        <f>MATCH(G240, {"Waiting for Input","Analyzing Object","Found Object","Needs Help","Confused","None"}, 0) - 1</f>
        <v/>
      </c>
      <c r="I240" s="31" t="inlineStr">
        <is>
          <t>Found Object</t>
        </is>
      </c>
      <c r="J240" s="29">
        <f>MATCH(I240, {"Waiting for Input","Analyzing Object","Found Object","Needs Help","Confused","None"}, 0) - 1</f>
        <v/>
      </c>
      <c r="K240" s="29" t="n">
        <v>5</v>
      </c>
      <c r="L240" s="29">
        <f>IF(H240=J240, 1, 0)</f>
        <v/>
      </c>
    </row>
    <row r="241">
      <c r="D241" s="29" t="n">
        <v>216</v>
      </c>
      <c r="E241" s="29" t="inlineStr">
        <is>
          <t>2</t>
        </is>
      </c>
      <c r="F241" s="30" t="inlineStr">
        <is>
          <t>GPT4</t>
        </is>
      </c>
      <c r="G241" s="29" t="inlineStr">
        <is>
          <t>Analyzing Object</t>
        </is>
      </c>
      <c r="H241" s="29">
        <f>MATCH(G241, {"Waiting for Input","Analyzing Object","Found Object","Needs Help","Confused","None"}, 0) - 1</f>
        <v/>
      </c>
      <c r="I241" s="31" t="inlineStr">
        <is>
          <t>Found Object</t>
        </is>
      </c>
      <c r="J241" s="29">
        <f>MATCH(I241, {"Waiting for Input","Analyzing Object","Found Object","Needs Help","Confused","None"}, 0) - 1</f>
        <v/>
      </c>
      <c r="K241" s="29" t="n">
        <v>1</v>
      </c>
      <c r="L241" s="29">
        <f>IF(H241=J241, 1, 0)</f>
        <v/>
      </c>
    </row>
    <row r="242">
      <c r="D242" s="29" t="n">
        <v>217</v>
      </c>
      <c r="E242" s="29" t="inlineStr">
        <is>
          <t>2</t>
        </is>
      </c>
      <c r="F242" s="30" t="inlineStr">
        <is>
          <t>GPT4</t>
        </is>
      </c>
      <c r="G242" s="29" t="inlineStr">
        <is>
          <t>Analyzing Object</t>
        </is>
      </c>
      <c r="H242" s="29">
        <f>MATCH(G242, {"Waiting for Input","Analyzing Object","Found Object","Needs Help","Confused","None"}, 0) - 1</f>
        <v/>
      </c>
      <c r="I242" s="31" t="inlineStr">
        <is>
          <t>Needs Help</t>
        </is>
      </c>
      <c r="J242" s="29">
        <f>MATCH(I242, {"Waiting for Input","Analyzing Object","Found Object","Needs Help","Confused","None"}, 0) - 1</f>
        <v/>
      </c>
      <c r="K242" s="29" t="n">
        <v>4</v>
      </c>
      <c r="L242" s="29">
        <f>IF(H242=J242, 1, 0)</f>
        <v/>
      </c>
    </row>
    <row r="243">
      <c r="D243" s="29" t="n">
        <v>218</v>
      </c>
      <c r="E243" s="29" t="inlineStr">
        <is>
          <t>1</t>
        </is>
      </c>
      <c r="F243" s="30" t="inlineStr">
        <is>
          <t>GPT4</t>
        </is>
      </c>
      <c r="G243" s="29" t="inlineStr">
        <is>
          <t>Analyzing Object</t>
        </is>
      </c>
      <c r="H243" s="29">
        <f>MATCH(G243, {"Waiting for Input","Analyzing Object","Found Object","Needs Help","Confused","None"}, 0) - 1</f>
        <v/>
      </c>
      <c r="I243" s="31" t="inlineStr">
        <is>
          <t>Analyzing Object</t>
        </is>
      </c>
      <c r="J243" s="29">
        <f>MATCH(I243, {"Waiting for Input","Analyzing Object","Found Object","Needs Help","Confused","None"}, 0) - 1</f>
        <v/>
      </c>
      <c r="K243" s="29" t="n">
        <v>4</v>
      </c>
      <c r="L243" s="29">
        <f>IF(H243=J243, 1, 0)</f>
        <v/>
      </c>
    </row>
    <row r="244">
      <c r="D244" s="29" t="n">
        <v>219</v>
      </c>
      <c r="E244" s="29" t="inlineStr">
        <is>
          <t>1</t>
        </is>
      </c>
      <c r="F244" s="30" t="inlineStr">
        <is>
          <t>GPT4</t>
        </is>
      </c>
      <c r="G244" s="29" t="inlineStr">
        <is>
          <t>Analyzing Object</t>
        </is>
      </c>
      <c r="H244" s="29">
        <f>MATCH(G244, {"Waiting for Input","Analyzing Object","Found Object","Needs Help","Confused","None"}, 0) - 1</f>
        <v/>
      </c>
      <c r="I244" s="31" t="inlineStr">
        <is>
          <t>Found Object</t>
        </is>
      </c>
      <c r="J244" s="29">
        <f>MATCH(I244, {"Waiting for Input","Analyzing Object","Found Object","Needs Help","Confused","None"}, 0) - 1</f>
        <v/>
      </c>
      <c r="K244" s="29" t="n">
        <v>3</v>
      </c>
      <c r="L244" s="29">
        <f>IF(H244=J244, 1, 0)</f>
        <v/>
      </c>
    </row>
    <row r="245">
      <c r="D245" s="29" t="n">
        <v>220</v>
      </c>
      <c r="E245" s="29" t="inlineStr">
        <is>
          <t>1</t>
        </is>
      </c>
      <c r="F245" s="30" t="inlineStr">
        <is>
          <t>GPT4</t>
        </is>
      </c>
      <c r="G245" s="29" t="inlineStr">
        <is>
          <t>Analyzing Object</t>
        </is>
      </c>
      <c r="H245" s="29">
        <f>MATCH(G245, {"Waiting for Input","Analyzing Object","Found Object","Needs Help","Confused","None"}, 0) - 1</f>
        <v/>
      </c>
      <c r="I245" s="31" t="inlineStr">
        <is>
          <t>Waiting for Input</t>
        </is>
      </c>
      <c r="J245" s="29">
        <f>MATCH(I245, {"Waiting for Input","Analyzing Object","Found Object","Needs Help","Confused","None"}, 0) - 1</f>
        <v/>
      </c>
      <c r="K245" s="29" t="n">
        <v>3</v>
      </c>
      <c r="L245" s="29">
        <f>IF(H245=J245, 1, 0)</f>
        <v/>
      </c>
    </row>
    <row r="246">
      <c r="D246" s="29" t="n">
        <v>221</v>
      </c>
      <c r="E246" s="29" t="inlineStr">
        <is>
          <t>2</t>
        </is>
      </c>
      <c r="F246" s="30" t="inlineStr">
        <is>
          <t>GPT4</t>
        </is>
      </c>
      <c r="G246" s="29" t="inlineStr">
        <is>
          <t>Analyzing Object</t>
        </is>
      </c>
      <c r="H246" s="29">
        <f>MATCH(G246, {"Waiting for Input","Analyzing Object","Found Object","Needs Help","Confused","None"}, 0) - 1</f>
        <v/>
      </c>
      <c r="I246" s="31" t="inlineStr">
        <is>
          <t>Waiting for Input</t>
        </is>
      </c>
      <c r="J246" s="29">
        <f>MATCH(I246, {"Waiting for Input","Analyzing Object","Found Object","Needs Help","Confused","None"}, 0) - 1</f>
        <v/>
      </c>
      <c r="K246" s="29" t="n">
        <v>2</v>
      </c>
      <c r="L246" s="29">
        <f>IF(H246=J246, 1, 0)</f>
        <v/>
      </c>
    </row>
    <row r="247">
      <c r="D247" s="29" t="n">
        <v>222</v>
      </c>
      <c r="E247" s="29" t="inlineStr">
        <is>
          <t>2</t>
        </is>
      </c>
      <c r="F247" s="30" t="inlineStr">
        <is>
          <t>GPT4</t>
        </is>
      </c>
      <c r="G247" s="29" t="inlineStr">
        <is>
          <t>Analyzing Object</t>
        </is>
      </c>
      <c r="H247" s="29">
        <f>MATCH(G247, {"Waiting for Input","Analyzing Object","Found Object","Needs Help","Confused","None"}, 0) - 1</f>
        <v/>
      </c>
      <c r="I247" s="31" t="inlineStr">
        <is>
          <t>Found Object</t>
        </is>
      </c>
      <c r="J247" s="29">
        <f>MATCH(I247, {"Waiting for Input","Analyzing Object","Found Object","Needs Help","Confused","None"}, 0) - 1</f>
        <v/>
      </c>
      <c r="K247" s="29" t="n">
        <v>5</v>
      </c>
      <c r="L247" s="29">
        <f>IF(H247=J247, 1, 0)</f>
        <v/>
      </c>
    </row>
    <row r="248">
      <c r="D248" s="29" t="n">
        <v>223</v>
      </c>
      <c r="E248" s="29" t="inlineStr">
        <is>
          <t>2</t>
        </is>
      </c>
      <c r="F248" s="30" t="inlineStr">
        <is>
          <t>GPT4</t>
        </is>
      </c>
      <c r="G248" s="29" t="inlineStr">
        <is>
          <t>Analyzing Object</t>
        </is>
      </c>
      <c r="H248" s="29">
        <f>MATCH(G248, {"Waiting for Input","Analyzing Object","Found Object","Needs Help","Confused","None"}, 0) - 1</f>
        <v/>
      </c>
      <c r="I248" s="31" t="inlineStr">
        <is>
          <t>Found Object</t>
        </is>
      </c>
      <c r="J248" s="29">
        <f>MATCH(I248, {"Waiting for Input","Analyzing Object","Found Object","Needs Help","Confused","None"}, 0) - 1</f>
        <v/>
      </c>
      <c r="K248" s="29" t="n">
        <v>3</v>
      </c>
      <c r="L248" s="29">
        <f>IF(H248=J248, 1, 0)</f>
        <v/>
      </c>
    </row>
    <row r="249">
      <c r="D249" s="29" t="n">
        <v>224</v>
      </c>
      <c r="E249" s="29" t="inlineStr">
        <is>
          <t>2</t>
        </is>
      </c>
      <c r="F249" s="30" t="inlineStr">
        <is>
          <t>GPT4</t>
        </is>
      </c>
      <c r="G249" s="29" t="inlineStr">
        <is>
          <t>Analyzing Object</t>
        </is>
      </c>
      <c r="H249" s="29">
        <f>MATCH(G249, {"Waiting for Input","Analyzing Object","Found Object","Needs Help","Confused","None"}, 0) - 1</f>
        <v/>
      </c>
      <c r="I249" s="31" t="inlineStr">
        <is>
          <t>Found Object</t>
        </is>
      </c>
      <c r="J249" s="29">
        <f>MATCH(I249, {"Waiting for Input","Analyzing Object","Found Object","Needs Help","Confused","None"}, 0) - 1</f>
        <v/>
      </c>
      <c r="K249" s="29" t="n">
        <v>4</v>
      </c>
      <c r="L249" s="29">
        <f>IF(H249=J249, 1, 0)</f>
        <v/>
      </c>
    </row>
    <row r="250">
      <c r="D250" s="29" t="n">
        <v>225</v>
      </c>
      <c r="E250" s="29" t="inlineStr">
        <is>
          <t>2</t>
        </is>
      </c>
      <c r="F250" s="30" t="inlineStr">
        <is>
          <t>GPT4</t>
        </is>
      </c>
      <c r="G250" s="29" t="inlineStr">
        <is>
          <t>Analyzing Object</t>
        </is>
      </c>
      <c r="H250" s="29">
        <f>MATCH(G250, {"Waiting for Input","Analyzing Object","Found Object","Needs Help","Confused","None"}, 0) - 1</f>
        <v/>
      </c>
      <c r="I250" s="31" t="inlineStr">
        <is>
          <t>Analyzing Object</t>
        </is>
      </c>
      <c r="J250" s="29">
        <f>MATCH(I250, {"Waiting for Input","Analyzing Object","Found Object","Needs Help","Confused","None"}, 0) - 1</f>
        <v/>
      </c>
      <c r="K250" s="29" t="n">
        <v>3</v>
      </c>
      <c r="L250" s="29">
        <f>IF(H250=J250, 1, 0)</f>
        <v/>
      </c>
    </row>
    <row r="251">
      <c r="D251" s="29" t="n">
        <v>226</v>
      </c>
      <c r="E251" s="29" t="inlineStr">
        <is>
          <t>2</t>
        </is>
      </c>
      <c r="F251" s="30" t="inlineStr">
        <is>
          <t>GPT4</t>
        </is>
      </c>
      <c r="G251" s="29" t="inlineStr">
        <is>
          <t>Analyzing Object</t>
        </is>
      </c>
      <c r="H251" s="29">
        <f>MATCH(G251, {"Waiting for Input","Analyzing Object","Found Object","Needs Help","Confused","None"}, 0) - 1</f>
        <v/>
      </c>
      <c r="I251" s="31" t="inlineStr">
        <is>
          <t>Analyzing Object</t>
        </is>
      </c>
      <c r="J251" s="29">
        <f>MATCH(I251, {"Waiting for Input","Analyzing Object","Found Object","Needs Help","Confused","None"}, 0) - 1</f>
        <v/>
      </c>
      <c r="K251" s="29" t="n">
        <v>3</v>
      </c>
      <c r="L251" s="29">
        <f>IF(H251=J251, 1, 0)</f>
        <v/>
      </c>
    </row>
    <row r="252">
      <c r="D252" s="29" t="n">
        <v>227</v>
      </c>
      <c r="E252" s="29" t="inlineStr">
        <is>
          <t>2</t>
        </is>
      </c>
      <c r="F252" s="30" t="inlineStr">
        <is>
          <t>GPT4</t>
        </is>
      </c>
      <c r="G252" s="29" t="inlineStr">
        <is>
          <t>Analyzing Object</t>
        </is>
      </c>
      <c r="H252" s="29">
        <f>MATCH(G252, {"Waiting for Input","Analyzing Object","Found Object","Needs Help","Confused","None"}, 0) - 1</f>
        <v/>
      </c>
      <c r="I252" s="31" t="inlineStr">
        <is>
          <t>Analyzing Object</t>
        </is>
      </c>
      <c r="J252" s="29">
        <f>MATCH(I252, {"Waiting for Input","Analyzing Object","Found Object","Needs Help","Confused","None"}, 0) - 1</f>
        <v/>
      </c>
      <c r="K252" s="29" t="n">
        <v>2</v>
      </c>
      <c r="L252" s="29">
        <f>IF(H252=J252, 1, 0)</f>
        <v/>
      </c>
    </row>
    <row r="253">
      <c r="D253" s="29" t="n">
        <v>228</v>
      </c>
      <c r="E253" s="29" t="inlineStr">
        <is>
          <t>2</t>
        </is>
      </c>
      <c r="F253" s="30" t="inlineStr">
        <is>
          <t>GPT4</t>
        </is>
      </c>
      <c r="G253" s="29" t="inlineStr">
        <is>
          <t>Analyzing Object</t>
        </is>
      </c>
      <c r="H253" s="29">
        <f>MATCH(G253, {"Waiting for Input","Analyzing Object","Found Object","Needs Help","Confused","None"}, 0) - 1</f>
        <v/>
      </c>
      <c r="I253" s="31" t="inlineStr">
        <is>
          <t>Found Object</t>
        </is>
      </c>
      <c r="J253" s="29">
        <f>MATCH(I253, {"Waiting for Input","Analyzing Object","Found Object","Needs Help","Confused","None"}, 0) - 1</f>
        <v/>
      </c>
      <c r="K253" s="29" t="n">
        <v>4</v>
      </c>
      <c r="L253" s="29">
        <f>IF(H253=J253, 1, 0)</f>
        <v/>
      </c>
    </row>
    <row r="254">
      <c r="D254" s="29" t="n">
        <v>229</v>
      </c>
      <c r="E254" s="29" t="inlineStr">
        <is>
          <t>2</t>
        </is>
      </c>
      <c r="F254" s="30" t="inlineStr">
        <is>
          <t>GPT4</t>
        </is>
      </c>
      <c r="G254" s="29" t="inlineStr">
        <is>
          <t>Analyzing Object</t>
        </is>
      </c>
      <c r="H254" s="29">
        <f>MATCH(G254, {"Waiting for Input","Analyzing Object","Found Object","Needs Help","Confused","None"}, 0) - 1</f>
        <v/>
      </c>
      <c r="I254" s="31" t="inlineStr">
        <is>
          <t>Found Object</t>
        </is>
      </c>
      <c r="J254" s="29">
        <f>MATCH(I254, {"Waiting for Input","Analyzing Object","Found Object","Needs Help","Confused","None"}, 0) - 1</f>
        <v/>
      </c>
      <c r="K254" s="29" t="n">
        <v>3</v>
      </c>
      <c r="L254" s="29">
        <f>IF(H254=J254, 1, 0)</f>
        <v/>
      </c>
    </row>
    <row r="255">
      <c r="D255" s="29" t="n">
        <v>230</v>
      </c>
      <c r="E255" s="29" t="inlineStr">
        <is>
          <t>2</t>
        </is>
      </c>
      <c r="F255" s="30" t="inlineStr">
        <is>
          <t>GPT4</t>
        </is>
      </c>
      <c r="G255" s="29" t="inlineStr">
        <is>
          <t>Analyzing Object</t>
        </is>
      </c>
      <c r="H255" s="29">
        <f>MATCH(G255, {"Waiting for Input","Analyzing Object","Found Object","Needs Help","Confused","None"}, 0) - 1</f>
        <v/>
      </c>
      <c r="I255" s="31" t="inlineStr">
        <is>
          <t>Analyzing Object</t>
        </is>
      </c>
      <c r="J255" s="29">
        <f>MATCH(I255, {"Waiting for Input","Analyzing Object","Found Object","Needs Help","Confused","None"}, 0) - 1</f>
        <v/>
      </c>
      <c r="K255" s="29" t="n">
        <v>5</v>
      </c>
      <c r="L255" s="29">
        <f>IF(H255=J255, 1, 0)</f>
        <v/>
      </c>
    </row>
    <row r="256">
      <c r="D256" s="29" t="n">
        <v>231</v>
      </c>
      <c r="E256" s="29" t="inlineStr">
        <is>
          <t>1</t>
        </is>
      </c>
      <c r="F256" s="30" t="inlineStr">
        <is>
          <t>GPT4</t>
        </is>
      </c>
      <c r="G256" s="29" t="inlineStr">
        <is>
          <t>Analyzing Object</t>
        </is>
      </c>
      <c r="H256" s="29">
        <f>MATCH(G256, {"Waiting for Input","Analyzing Object","Found Object","Needs Help","Confused","None"}, 0) - 1</f>
        <v/>
      </c>
      <c r="I256" s="31" t="inlineStr">
        <is>
          <t>Found Object</t>
        </is>
      </c>
      <c r="J256" s="29">
        <f>MATCH(I256, {"Waiting for Input","Analyzing Object","Found Object","Needs Help","Confused","None"}, 0) - 1</f>
        <v/>
      </c>
      <c r="K256" s="29" t="n">
        <v>4</v>
      </c>
      <c r="L256" s="29">
        <f>IF(H256=J256, 1, 0)</f>
        <v/>
      </c>
    </row>
    <row r="257">
      <c r="D257" s="29" t="n">
        <v>232</v>
      </c>
      <c r="E257" s="29" t="inlineStr">
        <is>
          <t>2</t>
        </is>
      </c>
      <c r="F257" s="30" t="inlineStr">
        <is>
          <t>GPT4</t>
        </is>
      </c>
      <c r="G257" s="29" t="inlineStr">
        <is>
          <t>Analyzing Object</t>
        </is>
      </c>
      <c r="H257" s="29">
        <f>MATCH(G257, {"Waiting for Input","Analyzing Object","Found Object","Needs Help","Confused","None"}, 0) - 1</f>
        <v/>
      </c>
      <c r="I257" s="31" t="inlineStr">
        <is>
          <t>Analyzing Object</t>
        </is>
      </c>
      <c r="J257" s="29">
        <f>MATCH(I257, {"Waiting for Input","Analyzing Object","Found Object","Needs Help","Confused","None"}, 0) - 1</f>
        <v/>
      </c>
      <c r="K257" s="29" t="n">
        <v>2</v>
      </c>
      <c r="L257" s="29">
        <f>IF(H257=J257, 1, 0)</f>
        <v/>
      </c>
    </row>
    <row r="258">
      <c r="D258" s="29" t="n">
        <v>233</v>
      </c>
      <c r="E258" s="29" t="inlineStr">
        <is>
          <t>2</t>
        </is>
      </c>
      <c r="F258" s="30" t="inlineStr">
        <is>
          <t>GPT4</t>
        </is>
      </c>
      <c r="G258" s="29" t="inlineStr">
        <is>
          <t>Analyzing Object</t>
        </is>
      </c>
      <c r="H258" s="29">
        <f>MATCH(G258, {"Waiting for Input","Analyzing Object","Found Object","Needs Help","Confused","None"}, 0) - 1</f>
        <v/>
      </c>
      <c r="I258" s="31" t="inlineStr">
        <is>
          <t>Found Object</t>
        </is>
      </c>
      <c r="J258" s="29">
        <f>MATCH(I258, {"Waiting for Input","Analyzing Object","Found Object","Needs Help","Confused","None"}, 0) - 1</f>
        <v/>
      </c>
      <c r="K258" s="29" t="n">
        <v>3</v>
      </c>
      <c r="L258" s="29">
        <f>IF(H258=J258, 1, 0)</f>
        <v/>
      </c>
    </row>
    <row r="259">
      <c r="D259" s="29" t="n">
        <v>234</v>
      </c>
      <c r="E259" s="29" t="inlineStr">
        <is>
          <t>1</t>
        </is>
      </c>
      <c r="F259" s="30" t="inlineStr">
        <is>
          <t>GPT4</t>
        </is>
      </c>
      <c r="G259" s="29" t="inlineStr">
        <is>
          <t>Analyzing Object</t>
        </is>
      </c>
      <c r="H259" s="29">
        <f>MATCH(G259, {"Waiting for Input","Analyzing Object","Found Object","Needs Help","Confused","None"}, 0) - 1</f>
        <v/>
      </c>
      <c r="I259" s="31" t="inlineStr">
        <is>
          <t>Found Object</t>
        </is>
      </c>
      <c r="J259" s="29">
        <f>MATCH(I259, {"Waiting for Input","Analyzing Object","Found Object","Needs Help","Confused","None"}, 0) - 1</f>
        <v/>
      </c>
      <c r="K259" s="29" t="n">
        <v>3</v>
      </c>
      <c r="L259" s="29">
        <f>IF(H259=J259, 1, 0)</f>
        <v/>
      </c>
    </row>
    <row r="260">
      <c r="D260" s="29" t="n">
        <v>235</v>
      </c>
      <c r="E260" s="29" t="inlineStr">
        <is>
          <t>2</t>
        </is>
      </c>
      <c r="F260" s="30" t="inlineStr">
        <is>
          <t>GPT4</t>
        </is>
      </c>
      <c r="G260" s="29" t="inlineStr">
        <is>
          <t>Analyzing Object</t>
        </is>
      </c>
      <c r="H260" s="29">
        <f>MATCH(G260, {"Waiting for Input","Analyzing Object","Found Object","Needs Help","Confused","None"}, 0) - 1</f>
        <v/>
      </c>
      <c r="I260" s="31" t="inlineStr">
        <is>
          <t>Analyzing Object</t>
        </is>
      </c>
      <c r="J260" s="29">
        <f>MATCH(I260, {"Waiting for Input","Analyzing Object","Found Object","Needs Help","Confused","None"}, 0) - 1</f>
        <v/>
      </c>
      <c r="K260" s="29" t="n">
        <v>5</v>
      </c>
      <c r="L260" s="29">
        <f>IF(H260=J260, 1, 0)</f>
        <v/>
      </c>
    </row>
    <row r="261">
      <c r="D261" s="29" t="n">
        <v>236</v>
      </c>
      <c r="E261" s="29" t="inlineStr">
        <is>
          <t>2</t>
        </is>
      </c>
      <c r="F261" s="30" t="inlineStr">
        <is>
          <t>GPT4</t>
        </is>
      </c>
      <c r="G261" s="29" t="inlineStr">
        <is>
          <t>Analyzing Object</t>
        </is>
      </c>
      <c r="H261" s="29">
        <f>MATCH(G261, {"Waiting for Input","Analyzing Object","Found Object","Needs Help","Confused","None"}, 0) - 1</f>
        <v/>
      </c>
      <c r="I261" s="31" t="inlineStr">
        <is>
          <t>Found Object</t>
        </is>
      </c>
      <c r="J261" s="29">
        <f>MATCH(I261, {"Waiting for Input","Analyzing Object","Found Object","Needs Help","Confused","None"}, 0) - 1</f>
        <v/>
      </c>
      <c r="K261" s="29" t="n">
        <v>4</v>
      </c>
      <c r="L261" s="29">
        <f>IF(H261=J261, 1, 0)</f>
        <v/>
      </c>
    </row>
    <row r="262">
      <c r="D262" s="29" t="n">
        <v>237</v>
      </c>
      <c r="E262" s="29" t="inlineStr">
        <is>
          <t>2</t>
        </is>
      </c>
      <c r="F262" s="30" t="inlineStr">
        <is>
          <t>GPT4</t>
        </is>
      </c>
      <c r="G262" s="29" t="inlineStr">
        <is>
          <t>Analyzing Object</t>
        </is>
      </c>
      <c r="H262" s="29">
        <f>MATCH(G262, {"Waiting for Input","Analyzing Object","Found Object","Needs Help","Confused","None"}, 0) - 1</f>
        <v/>
      </c>
      <c r="I262" s="31" t="inlineStr">
        <is>
          <t>Analyzing Object</t>
        </is>
      </c>
      <c r="J262" s="29">
        <f>MATCH(I262, {"Waiting for Input","Analyzing Object","Found Object","Needs Help","Confused","None"}, 0) - 1</f>
        <v/>
      </c>
      <c r="K262" s="29" t="n">
        <v>3</v>
      </c>
      <c r="L262" s="29">
        <f>IF(H262=J262, 1, 0)</f>
        <v/>
      </c>
    </row>
    <row r="263">
      <c r="D263" s="29" t="n">
        <v>238</v>
      </c>
      <c r="E263" s="29" t="inlineStr">
        <is>
          <t>1</t>
        </is>
      </c>
      <c r="F263" s="30" t="inlineStr">
        <is>
          <t>GPT4</t>
        </is>
      </c>
      <c r="G263" s="29" t="inlineStr">
        <is>
          <t>Analyzing Object</t>
        </is>
      </c>
      <c r="H263" s="29">
        <f>MATCH(G263, {"Waiting for Input","Analyzing Object","Found Object","Needs Help","Confused","None"}, 0) - 1</f>
        <v/>
      </c>
      <c r="I263" s="31" t="inlineStr">
        <is>
          <t>Analyzing Object</t>
        </is>
      </c>
      <c r="J263" s="29">
        <f>MATCH(I263, {"Waiting for Input","Analyzing Object","Found Object","Needs Help","Confused","None"}, 0) - 1</f>
        <v/>
      </c>
      <c r="K263" s="29" t="n">
        <v>5</v>
      </c>
      <c r="L263" s="29">
        <f>IF(H263=J263, 1, 0)</f>
        <v/>
      </c>
    </row>
    <row r="264">
      <c r="D264" s="29" t="n">
        <v>239</v>
      </c>
      <c r="E264" s="29" t="inlineStr">
        <is>
          <t>2</t>
        </is>
      </c>
      <c r="F264" s="30" t="inlineStr">
        <is>
          <t>GPT4</t>
        </is>
      </c>
      <c r="G264" s="29" t="inlineStr">
        <is>
          <t>Analyzing Object</t>
        </is>
      </c>
      <c r="H264" s="29">
        <f>MATCH(G264, {"Waiting for Input","Analyzing Object","Found Object","Needs Help","Confused","None"}, 0) - 1</f>
        <v/>
      </c>
      <c r="I264" s="31" t="inlineStr">
        <is>
          <t>Analyzing Object</t>
        </is>
      </c>
      <c r="J264" s="29">
        <f>MATCH(I264, {"Waiting for Input","Analyzing Object","Found Object","Needs Help","Confused","None"}, 0) - 1</f>
        <v/>
      </c>
      <c r="K264" s="29" t="n">
        <v>4</v>
      </c>
      <c r="L264" s="29">
        <f>IF(H264=J264, 1, 0)</f>
        <v/>
      </c>
    </row>
    <row r="265">
      <c r="D265" s="29" t="n">
        <v>240</v>
      </c>
      <c r="E265" s="29" t="inlineStr">
        <is>
          <t>1</t>
        </is>
      </c>
      <c r="F265" s="30" t="inlineStr">
        <is>
          <t>Human</t>
        </is>
      </c>
      <c r="G265" s="29" t="inlineStr">
        <is>
          <t>Analyzing Object</t>
        </is>
      </c>
      <c r="H265" s="29">
        <f>MATCH(G265, {"Waiting for Input","Analyzing Object","Found Object","Needs Help","Confused","None"}, 0) - 1</f>
        <v/>
      </c>
      <c r="I265" s="31" t="inlineStr">
        <is>
          <t>Analyzing Object</t>
        </is>
      </c>
      <c r="J265" s="29">
        <f>MATCH(I265, {"Waiting for Input","Analyzing Object","Found Object","Needs Help","Confused","None"}, 0) - 1</f>
        <v/>
      </c>
      <c r="K265" s="29" t="n">
        <v>3</v>
      </c>
      <c r="L265" s="29">
        <f>IF(H265=J265, 1, 0)</f>
        <v/>
      </c>
    </row>
    <row r="266">
      <c r="D266" s="29" t="n">
        <v>241</v>
      </c>
      <c r="E266" s="29" t="inlineStr">
        <is>
          <t>1</t>
        </is>
      </c>
      <c r="F266" s="30" t="inlineStr">
        <is>
          <t>Human</t>
        </is>
      </c>
      <c r="G266" s="29" t="inlineStr">
        <is>
          <t>Analyzing Object</t>
        </is>
      </c>
      <c r="H266" s="29">
        <f>MATCH(G266, {"Waiting for Input","Analyzing Object","Found Object","Needs Help","Confused","None"}, 0) - 1</f>
        <v/>
      </c>
      <c r="I266" s="31" t="inlineStr">
        <is>
          <t>Analyzing Object</t>
        </is>
      </c>
      <c r="J266" s="29">
        <f>MATCH(I266, {"Waiting for Input","Analyzing Object","Found Object","Needs Help","Confused","None"}, 0) - 1</f>
        <v/>
      </c>
      <c r="K266" s="29" t="n">
        <v>4</v>
      </c>
      <c r="L266" s="29">
        <f>IF(H266=J266, 1, 0)</f>
        <v/>
      </c>
    </row>
    <row r="267">
      <c r="D267" s="29" t="n">
        <v>242</v>
      </c>
      <c r="E267" s="29" t="inlineStr">
        <is>
          <t>1</t>
        </is>
      </c>
      <c r="F267" s="30" t="inlineStr">
        <is>
          <t>Human</t>
        </is>
      </c>
      <c r="G267" s="29" t="inlineStr">
        <is>
          <t>Analyzing Object</t>
        </is>
      </c>
      <c r="H267" s="29">
        <f>MATCH(G267, {"Waiting for Input","Analyzing Object","Found Object","Needs Help","Confused","None"}, 0) - 1</f>
        <v/>
      </c>
      <c r="I267" s="31" t="inlineStr">
        <is>
          <t>Analyzing Object</t>
        </is>
      </c>
      <c r="J267" s="29">
        <f>MATCH(I267, {"Waiting for Input","Analyzing Object","Found Object","Needs Help","Confused","None"}, 0) - 1</f>
        <v/>
      </c>
      <c r="K267" s="29" t="n">
        <v>3</v>
      </c>
      <c r="L267" s="29">
        <f>IF(H267=J267, 1, 0)</f>
        <v/>
      </c>
    </row>
    <row r="268">
      <c r="D268" s="29" t="n">
        <v>243</v>
      </c>
      <c r="E268" s="29" t="inlineStr">
        <is>
          <t>2</t>
        </is>
      </c>
      <c r="F268" s="30" t="inlineStr">
        <is>
          <t>Human</t>
        </is>
      </c>
      <c r="G268" s="29" t="inlineStr">
        <is>
          <t>Analyzing Object</t>
        </is>
      </c>
      <c r="H268" s="29">
        <f>MATCH(G268, {"Waiting for Input","Analyzing Object","Found Object","Needs Help","Confused","None"}, 0) - 1</f>
        <v/>
      </c>
      <c r="I268" s="31" t="inlineStr">
        <is>
          <t>Analyzing Object</t>
        </is>
      </c>
      <c r="J268" s="29">
        <f>MATCH(I268, {"Waiting for Input","Analyzing Object","Found Object","Needs Help","Confused","None"}, 0) - 1</f>
        <v/>
      </c>
      <c r="K268" s="29" t="n">
        <v>4</v>
      </c>
      <c r="L268" s="29">
        <f>IF(H268=J268, 1, 0)</f>
        <v/>
      </c>
    </row>
    <row r="269">
      <c r="D269" s="29" t="n">
        <v>244</v>
      </c>
      <c r="E269" s="29" t="inlineStr">
        <is>
          <t>2</t>
        </is>
      </c>
      <c r="F269" s="30" t="inlineStr">
        <is>
          <t>Human</t>
        </is>
      </c>
      <c r="G269" s="29" t="inlineStr">
        <is>
          <t>Analyzing Object</t>
        </is>
      </c>
      <c r="H269" s="29">
        <f>MATCH(G269, {"Waiting for Input","Analyzing Object","Found Object","Needs Help","Confused","None"}, 0) - 1</f>
        <v/>
      </c>
      <c r="I269" s="31" t="inlineStr">
        <is>
          <t>Found Object</t>
        </is>
      </c>
      <c r="J269" s="29">
        <f>MATCH(I269, {"Waiting for Input","Analyzing Object","Found Object","Needs Help","Confused","None"}, 0) - 1</f>
        <v/>
      </c>
      <c r="K269" s="29" t="n">
        <v>3</v>
      </c>
      <c r="L269" s="29">
        <f>IF(H269=J269, 1, 0)</f>
        <v/>
      </c>
    </row>
    <row r="270">
      <c r="D270" s="29" t="n">
        <v>245</v>
      </c>
      <c r="E270" s="29" t="inlineStr">
        <is>
          <t>1</t>
        </is>
      </c>
      <c r="F270" s="30" t="inlineStr">
        <is>
          <t>Human</t>
        </is>
      </c>
      <c r="G270" s="29" t="inlineStr">
        <is>
          <t>Analyzing Object</t>
        </is>
      </c>
      <c r="H270" s="29">
        <f>MATCH(G270, {"Waiting for Input","Analyzing Object","Found Object","Needs Help","Confused","None"}, 0) - 1</f>
        <v/>
      </c>
      <c r="I270" s="31" t="inlineStr">
        <is>
          <t>Analyzing Object</t>
        </is>
      </c>
      <c r="J270" s="29">
        <f>MATCH(I270, {"Waiting for Input","Analyzing Object","Found Object","Needs Help","Confused","None"}, 0) - 1</f>
        <v/>
      </c>
      <c r="K270" s="29" t="n">
        <v>5</v>
      </c>
      <c r="L270" s="29">
        <f>IF(H270=J270, 1, 0)</f>
        <v/>
      </c>
    </row>
    <row r="271">
      <c r="D271" s="29" t="n">
        <v>246</v>
      </c>
      <c r="E271" s="29" t="inlineStr">
        <is>
          <t>2</t>
        </is>
      </c>
      <c r="F271" s="30" t="inlineStr">
        <is>
          <t>Human</t>
        </is>
      </c>
      <c r="G271" s="29" t="inlineStr">
        <is>
          <t>Analyzing Object</t>
        </is>
      </c>
      <c r="H271" s="29">
        <f>MATCH(G271, {"Waiting for Input","Analyzing Object","Found Object","Needs Help","Confused","None"}, 0) - 1</f>
        <v/>
      </c>
      <c r="I271" s="31" t="inlineStr">
        <is>
          <t>Found Object</t>
        </is>
      </c>
      <c r="J271" s="29">
        <f>MATCH(I271, {"Waiting for Input","Analyzing Object","Found Object","Needs Help","Confused","None"}, 0) - 1</f>
        <v/>
      </c>
      <c r="K271" s="29" t="n">
        <v>4</v>
      </c>
      <c r="L271" s="29">
        <f>IF(H271=J271, 1, 0)</f>
        <v/>
      </c>
    </row>
    <row r="272">
      <c r="D272" s="29" t="n">
        <v>247</v>
      </c>
      <c r="E272" s="29" t="inlineStr">
        <is>
          <t>1</t>
        </is>
      </c>
      <c r="F272" s="30" t="inlineStr">
        <is>
          <t>Human</t>
        </is>
      </c>
      <c r="G272" s="29" t="inlineStr">
        <is>
          <t>Analyzing Object</t>
        </is>
      </c>
      <c r="H272" s="29">
        <f>MATCH(G272, {"Waiting for Input","Analyzing Object","Found Object","Needs Help","Confused","None"}, 0) - 1</f>
        <v/>
      </c>
      <c r="I272" s="31" t="inlineStr">
        <is>
          <t>Analyzing Object</t>
        </is>
      </c>
      <c r="J272" s="29">
        <f>MATCH(I272, {"Waiting for Input","Analyzing Object","Found Object","Needs Help","Confused","None"}, 0) - 1</f>
        <v/>
      </c>
      <c r="K272" s="29" t="n">
        <v>4</v>
      </c>
      <c r="L272" s="29">
        <f>IF(H272=J272, 1, 0)</f>
        <v/>
      </c>
    </row>
    <row r="273">
      <c r="D273" s="29" t="n">
        <v>248</v>
      </c>
      <c r="E273" s="29" t="inlineStr">
        <is>
          <t>1</t>
        </is>
      </c>
      <c r="F273" s="30" t="inlineStr">
        <is>
          <t>Human</t>
        </is>
      </c>
      <c r="G273" s="29" t="inlineStr">
        <is>
          <t>Analyzing Object</t>
        </is>
      </c>
      <c r="H273" s="29">
        <f>MATCH(G273, {"Waiting for Input","Analyzing Object","Found Object","Needs Help","Confused","None"}, 0) - 1</f>
        <v/>
      </c>
      <c r="I273" s="31" t="inlineStr">
        <is>
          <t>Found Object</t>
        </is>
      </c>
      <c r="J273" s="29">
        <f>MATCH(I273, {"Waiting for Input","Analyzing Object","Found Object","Needs Help","Confused","None"}, 0) - 1</f>
        <v/>
      </c>
      <c r="K273" s="29" t="n">
        <v>4</v>
      </c>
      <c r="L273" s="29">
        <f>IF(H273=J273, 1, 0)</f>
        <v/>
      </c>
    </row>
    <row r="274">
      <c r="D274" s="29" t="n">
        <v>249</v>
      </c>
      <c r="E274" s="29" t="inlineStr">
        <is>
          <t>1</t>
        </is>
      </c>
      <c r="F274" s="30" t="inlineStr">
        <is>
          <t>Human</t>
        </is>
      </c>
      <c r="G274" s="29" t="inlineStr">
        <is>
          <t>Analyzing Object</t>
        </is>
      </c>
      <c r="H274" s="29">
        <f>MATCH(G274, {"Waiting for Input","Analyzing Object","Found Object","Needs Help","Confused","None"}, 0) - 1</f>
        <v/>
      </c>
      <c r="I274" s="31" t="inlineStr">
        <is>
          <t>Analyzing Object</t>
        </is>
      </c>
      <c r="J274" s="29">
        <f>MATCH(I274, {"Waiting for Input","Analyzing Object","Found Object","Needs Help","Confused","None"}, 0) - 1</f>
        <v/>
      </c>
      <c r="K274" s="29" t="n">
        <v>4</v>
      </c>
      <c r="L274" s="29">
        <f>IF(H274=J274, 1, 0)</f>
        <v/>
      </c>
    </row>
    <row r="275">
      <c r="D275" s="29" t="n">
        <v>250</v>
      </c>
      <c r="E275" s="29" t="inlineStr">
        <is>
          <t>2</t>
        </is>
      </c>
      <c r="F275" s="30" t="inlineStr">
        <is>
          <t>Human</t>
        </is>
      </c>
      <c r="G275" s="29" t="inlineStr">
        <is>
          <t>Analyzing Object</t>
        </is>
      </c>
      <c r="H275" s="29">
        <f>MATCH(G275, {"Waiting for Input","Analyzing Object","Found Object","Needs Help","Confused","None"}, 0) - 1</f>
        <v/>
      </c>
      <c r="I275" s="31" t="inlineStr">
        <is>
          <t>Analyzing Object</t>
        </is>
      </c>
      <c r="J275" s="29">
        <f>MATCH(I275, {"Waiting for Input","Analyzing Object","Found Object","Needs Help","Confused","None"}, 0) - 1</f>
        <v/>
      </c>
      <c r="K275" s="29" t="n">
        <v>4</v>
      </c>
      <c r="L275" s="29">
        <f>IF(H275=J275, 1, 0)</f>
        <v/>
      </c>
    </row>
    <row r="276">
      <c r="D276" s="29" t="n">
        <v>251</v>
      </c>
      <c r="E276" s="29" t="inlineStr">
        <is>
          <t>2</t>
        </is>
      </c>
      <c r="F276" s="30" t="inlineStr">
        <is>
          <t>Human</t>
        </is>
      </c>
      <c r="G276" s="29" t="inlineStr">
        <is>
          <t>Analyzing Object</t>
        </is>
      </c>
      <c r="H276" s="29">
        <f>MATCH(G276, {"Waiting for Input","Analyzing Object","Found Object","Needs Help","Confused","None"}, 0) - 1</f>
        <v/>
      </c>
      <c r="I276" s="31" t="inlineStr">
        <is>
          <t>Found Object</t>
        </is>
      </c>
      <c r="J276" s="29">
        <f>MATCH(I276, {"Waiting for Input","Analyzing Object","Found Object","Needs Help","Confused","None"}, 0) - 1</f>
        <v/>
      </c>
      <c r="K276" s="29" t="n">
        <v>4</v>
      </c>
      <c r="L276" s="29">
        <f>IF(H276=J276, 1, 0)</f>
        <v/>
      </c>
    </row>
    <row r="277">
      <c r="D277" s="29" t="n">
        <v>252</v>
      </c>
      <c r="E277" s="29" t="inlineStr">
        <is>
          <t>2</t>
        </is>
      </c>
      <c r="F277" s="30" t="inlineStr">
        <is>
          <t>Human</t>
        </is>
      </c>
      <c r="G277" s="29" t="inlineStr">
        <is>
          <t>Analyzing Object</t>
        </is>
      </c>
      <c r="H277" s="29">
        <f>MATCH(G277, {"Waiting for Input","Analyzing Object","Found Object","Needs Help","Confused","None"}, 0) - 1</f>
        <v/>
      </c>
      <c r="I277" s="31" t="inlineStr">
        <is>
          <t>Found Object</t>
        </is>
      </c>
      <c r="J277" s="29">
        <f>MATCH(I277, {"Waiting for Input","Analyzing Object","Found Object","Needs Help","Confused","None"}, 0) - 1</f>
        <v/>
      </c>
      <c r="K277" s="29" t="n">
        <v>3</v>
      </c>
      <c r="L277" s="29">
        <f>IF(H277=J277, 1, 0)</f>
        <v/>
      </c>
    </row>
    <row r="278">
      <c r="D278" s="29" t="n">
        <v>253</v>
      </c>
      <c r="E278" s="29" t="inlineStr">
        <is>
          <t>2</t>
        </is>
      </c>
      <c r="F278" s="30" t="inlineStr">
        <is>
          <t>Human</t>
        </is>
      </c>
      <c r="G278" s="29" t="inlineStr">
        <is>
          <t>Analyzing Object</t>
        </is>
      </c>
      <c r="H278" s="29">
        <f>MATCH(G278, {"Waiting for Input","Analyzing Object","Found Object","Needs Help","Confused","None"}, 0) - 1</f>
        <v/>
      </c>
      <c r="I278" s="31" t="inlineStr">
        <is>
          <t>Analyzing Object</t>
        </is>
      </c>
      <c r="J278" s="29">
        <f>MATCH(I278, {"Waiting for Input","Analyzing Object","Found Object","Needs Help","Confused","None"}, 0) - 1</f>
        <v/>
      </c>
      <c r="K278" s="29" t="n">
        <v>5</v>
      </c>
      <c r="L278" s="29">
        <f>IF(H278=J278, 1, 0)</f>
        <v/>
      </c>
    </row>
    <row r="279">
      <c r="D279" s="29" t="n">
        <v>254</v>
      </c>
      <c r="E279" s="29" t="inlineStr">
        <is>
          <t>1</t>
        </is>
      </c>
      <c r="F279" s="30" t="inlineStr">
        <is>
          <t>Human</t>
        </is>
      </c>
      <c r="G279" s="29" t="inlineStr">
        <is>
          <t>Analyzing Object</t>
        </is>
      </c>
      <c r="H279" s="29">
        <f>MATCH(G279, {"Waiting for Input","Analyzing Object","Found Object","Needs Help","Confused","None"}, 0) - 1</f>
        <v/>
      </c>
      <c r="I279" s="31" t="inlineStr">
        <is>
          <t>Analyzing Object</t>
        </is>
      </c>
      <c r="J279" s="29">
        <f>MATCH(I279, {"Waiting for Input","Analyzing Object","Found Object","Needs Help","Confused","None"}, 0) - 1</f>
        <v/>
      </c>
      <c r="K279" s="29" t="n">
        <v>4</v>
      </c>
      <c r="L279" s="29">
        <f>IF(H279=J279, 1, 0)</f>
        <v/>
      </c>
    </row>
    <row r="280">
      <c r="D280" s="29" t="n">
        <v>255</v>
      </c>
      <c r="E280" s="29" t="inlineStr">
        <is>
          <t>1</t>
        </is>
      </c>
      <c r="F280" s="30" t="inlineStr">
        <is>
          <t>Human</t>
        </is>
      </c>
      <c r="G280" s="29" t="inlineStr">
        <is>
          <t>Analyzing Object</t>
        </is>
      </c>
      <c r="H280" s="29">
        <f>MATCH(G280, {"Waiting for Input","Analyzing Object","Found Object","Needs Help","Confused","None"}, 0) - 1</f>
        <v/>
      </c>
      <c r="I280" s="31" t="inlineStr">
        <is>
          <t>Found Object</t>
        </is>
      </c>
      <c r="J280" s="29">
        <f>MATCH(I280, {"Waiting for Input","Analyzing Object","Found Object","Needs Help","Confused","None"}, 0) - 1</f>
        <v/>
      </c>
      <c r="K280" s="29" t="n">
        <v>4</v>
      </c>
      <c r="L280" s="29">
        <f>IF(H280=J280, 1, 0)</f>
        <v/>
      </c>
    </row>
    <row r="281">
      <c r="D281" s="29" t="n">
        <v>256</v>
      </c>
      <c r="E281" s="29" t="inlineStr">
        <is>
          <t>1</t>
        </is>
      </c>
      <c r="F281" s="30" t="inlineStr">
        <is>
          <t>Human</t>
        </is>
      </c>
      <c r="G281" s="29" t="inlineStr">
        <is>
          <t>Analyzing Object</t>
        </is>
      </c>
      <c r="H281" s="29">
        <f>MATCH(G281, {"Waiting for Input","Analyzing Object","Found Object","Needs Help","Confused","None"}, 0) - 1</f>
        <v/>
      </c>
      <c r="I281" s="31" t="inlineStr">
        <is>
          <t>Analyzing Object</t>
        </is>
      </c>
      <c r="J281" s="29">
        <f>MATCH(I281, {"Waiting for Input","Analyzing Object","Found Object","Needs Help","Confused","None"}, 0) - 1</f>
        <v/>
      </c>
      <c r="K281" s="29" t="n">
        <v>2</v>
      </c>
      <c r="L281" s="29">
        <f>IF(H281=J281, 1, 0)</f>
        <v/>
      </c>
    </row>
    <row r="282">
      <c r="D282" s="29" t="n">
        <v>257</v>
      </c>
      <c r="E282" s="29" t="inlineStr">
        <is>
          <t>2</t>
        </is>
      </c>
      <c r="F282" s="30" t="inlineStr">
        <is>
          <t>Human</t>
        </is>
      </c>
      <c r="G282" s="29" t="inlineStr">
        <is>
          <t>Analyzing Object</t>
        </is>
      </c>
      <c r="H282" s="29">
        <f>MATCH(G282, {"Waiting for Input","Analyzing Object","Found Object","Needs Help","Confused","None"}, 0) - 1</f>
        <v/>
      </c>
      <c r="I282" s="31" t="inlineStr">
        <is>
          <t>Found Object</t>
        </is>
      </c>
      <c r="J282" s="29">
        <f>MATCH(I282, {"Waiting for Input","Analyzing Object","Found Object","Needs Help","Confused","None"}, 0) - 1</f>
        <v/>
      </c>
      <c r="K282" s="29" t="n">
        <v>5</v>
      </c>
      <c r="L282" s="29">
        <f>IF(H282=J282, 1, 0)</f>
        <v/>
      </c>
    </row>
    <row r="283">
      <c r="D283" s="29" t="n">
        <v>258</v>
      </c>
      <c r="E283" s="29" t="inlineStr">
        <is>
          <t>2</t>
        </is>
      </c>
      <c r="F283" s="30" t="inlineStr">
        <is>
          <t>Human</t>
        </is>
      </c>
      <c r="G283" s="29" t="inlineStr">
        <is>
          <t>Analyzing Object</t>
        </is>
      </c>
      <c r="H283" s="29">
        <f>MATCH(G283, {"Waiting for Input","Analyzing Object","Found Object","Needs Help","Confused","None"}, 0) - 1</f>
        <v/>
      </c>
      <c r="I283" s="31" t="inlineStr">
        <is>
          <t>Found Object</t>
        </is>
      </c>
      <c r="J283" s="29">
        <f>MATCH(I283, {"Waiting for Input","Analyzing Object","Found Object","Needs Help","Confused","None"}, 0) - 1</f>
        <v/>
      </c>
      <c r="K283" s="29" t="n">
        <v>4</v>
      </c>
      <c r="L283" s="29">
        <f>IF(H283=J283, 1, 0)</f>
        <v/>
      </c>
    </row>
    <row r="284">
      <c r="D284" s="29" t="n">
        <v>259</v>
      </c>
      <c r="E284" s="29" t="inlineStr">
        <is>
          <t>1</t>
        </is>
      </c>
      <c r="F284" s="30" t="inlineStr">
        <is>
          <t>Human</t>
        </is>
      </c>
      <c r="G284" s="29" t="inlineStr">
        <is>
          <t>Analyzing Object</t>
        </is>
      </c>
      <c r="H284" s="29">
        <f>MATCH(G284, {"Waiting for Input","Analyzing Object","Found Object","Needs Help","Confused","None"}, 0) - 1</f>
        <v/>
      </c>
      <c r="I284" s="31" t="inlineStr">
        <is>
          <t>Found Object</t>
        </is>
      </c>
      <c r="J284" s="29">
        <f>MATCH(I284, {"Waiting for Input","Analyzing Object","Found Object","Needs Help","Confused","None"}, 0) - 1</f>
        <v/>
      </c>
      <c r="K284" s="29" t="n">
        <v>5</v>
      </c>
      <c r="L284" s="29">
        <f>IF(H284=J284, 1, 0)</f>
        <v/>
      </c>
    </row>
    <row r="285">
      <c r="D285" s="29" t="n">
        <v>260</v>
      </c>
      <c r="E285" s="29" t="inlineStr">
        <is>
          <t>1</t>
        </is>
      </c>
      <c r="F285" s="30" t="inlineStr">
        <is>
          <t>Human</t>
        </is>
      </c>
      <c r="G285" s="29" t="inlineStr">
        <is>
          <t>Analyzing Object</t>
        </is>
      </c>
      <c r="H285" s="29">
        <f>MATCH(G285, {"Waiting for Input","Analyzing Object","Found Object","Needs Help","Confused","None"}, 0) - 1</f>
        <v/>
      </c>
      <c r="I285" s="31" t="inlineStr">
        <is>
          <t>Analyzing Object</t>
        </is>
      </c>
      <c r="J285" s="29">
        <f>MATCH(I285, {"Waiting for Input","Analyzing Object","Found Object","Needs Help","Confused","None"}, 0) - 1</f>
        <v/>
      </c>
      <c r="K285" s="29" t="n">
        <v>3</v>
      </c>
      <c r="L285" s="29">
        <f>IF(H285=J285, 1, 0)</f>
        <v/>
      </c>
    </row>
    <row r="286">
      <c r="D286" s="29" t="n">
        <v>261</v>
      </c>
      <c r="E286" s="29" t="inlineStr">
        <is>
          <t>2</t>
        </is>
      </c>
      <c r="F286" s="30" t="inlineStr">
        <is>
          <t>Human</t>
        </is>
      </c>
      <c r="G286" s="29" t="inlineStr">
        <is>
          <t>Analyzing Object</t>
        </is>
      </c>
      <c r="H286" s="29">
        <f>MATCH(G286, {"Waiting for Input","Analyzing Object","Found Object","Needs Help","Confused","None"}, 0) - 1</f>
        <v/>
      </c>
      <c r="I286" s="31" t="inlineStr">
        <is>
          <t>Analyzing Object</t>
        </is>
      </c>
      <c r="J286" s="29">
        <f>MATCH(I286, {"Waiting for Input","Analyzing Object","Found Object","Needs Help","Confused","None"}, 0) - 1</f>
        <v/>
      </c>
      <c r="K286" s="29" t="n">
        <v>4</v>
      </c>
      <c r="L286" s="29">
        <f>IF(H286=J286, 1, 0)</f>
        <v/>
      </c>
    </row>
    <row r="287">
      <c r="D287" s="29" t="n">
        <v>262</v>
      </c>
      <c r="E287" s="29" t="inlineStr">
        <is>
          <t>2</t>
        </is>
      </c>
      <c r="F287" s="30" t="inlineStr">
        <is>
          <t>Human</t>
        </is>
      </c>
      <c r="G287" s="29" t="inlineStr">
        <is>
          <t>Analyzing Object</t>
        </is>
      </c>
      <c r="H287" s="29">
        <f>MATCH(G287, {"Waiting for Input","Analyzing Object","Found Object","Needs Help","Confused","None"}, 0) - 1</f>
        <v/>
      </c>
      <c r="I287" s="31" t="inlineStr">
        <is>
          <t>Analyzing Object</t>
        </is>
      </c>
      <c r="J287" s="29">
        <f>MATCH(I287, {"Waiting for Input","Analyzing Object","Found Object","Needs Help","Confused","None"}, 0) - 1</f>
        <v/>
      </c>
      <c r="K287" s="29" t="n">
        <v>4</v>
      </c>
      <c r="L287" s="29">
        <f>IF(H287=J287, 1, 0)</f>
        <v/>
      </c>
    </row>
    <row r="288">
      <c r="D288" s="29" t="n">
        <v>263</v>
      </c>
      <c r="E288" s="29" t="inlineStr">
        <is>
          <t>1</t>
        </is>
      </c>
      <c r="F288" s="30" t="inlineStr">
        <is>
          <t>Human</t>
        </is>
      </c>
      <c r="G288" s="29" t="inlineStr">
        <is>
          <t>Analyzing Object</t>
        </is>
      </c>
      <c r="H288" s="29">
        <f>MATCH(G288, {"Waiting for Input","Analyzing Object","Found Object","Needs Help","Confused","None"}, 0) - 1</f>
        <v/>
      </c>
      <c r="I288" s="31" t="inlineStr">
        <is>
          <t>Found Object</t>
        </is>
      </c>
      <c r="J288" s="29">
        <f>MATCH(I288, {"Waiting for Input","Analyzing Object","Found Object","Needs Help","Confused","None"}, 0) - 1</f>
        <v/>
      </c>
      <c r="K288" s="29" t="n">
        <v>5</v>
      </c>
      <c r="L288" s="29">
        <f>IF(H288=J288, 1, 0)</f>
        <v/>
      </c>
    </row>
    <row r="289">
      <c r="D289" s="29" t="n">
        <v>264</v>
      </c>
      <c r="E289" s="29" t="inlineStr">
        <is>
          <t>1</t>
        </is>
      </c>
      <c r="F289" s="30" t="inlineStr">
        <is>
          <t>Human</t>
        </is>
      </c>
      <c r="G289" s="29" t="inlineStr">
        <is>
          <t>Analyzing Object</t>
        </is>
      </c>
      <c r="H289" s="29">
        <f>MATCH(G289, {"Waiting for Input","Analyzing Object","Found Object","Needs Help","Confused","None"}, 0) - 1</f>
        <v/>
      </c>
      <c r="I289" s="31" t="inlineStr">
        <is>
          <t>Analyzing Object</t>
        </is>
      </c>
      <c r="J289" s="29">
        <f>MATCH(I289, {"Waiting for Input","Analyzing Object","Found Object","Needs Help","Confused","None"}, 0) - 1</f>
        <v/>
      </c>
      <c r="K289" s="29" t="n">
        <v>4</v>
      </c>
      <c r="L289" s="29">
        <f>IF(H289=J289, 1, 0)</f>
        <v/>
      </c>
    </row>
    <row r="290">
      <c r="D290" s="29" t="n">
        <v>265</v>
      </c>
      <c r="E290" s="29" t="inlineStr">
        <is>
          <t>2</t>
        </is>
      </c>
      <c r="F290" s="30" t="inlineStr">
        <is>
          <t>Human</t>
        </is>
      </c>
      <c r="G290" s="29" t="inlineStr">
        <is>
          <t>Analyzing Object</t>
        </is>
      </c>
      <c r="H290" s="29">
        <f>MATCH(G290, {"Waiting for Input","Analyzing Object","Found Object","Needs Help","Confused","None"}, 0) - 1</f>
        <v/>
      </c>
      <c r="I290" s="31" t="inlineStr">
        <is>
          <t>Analyzing Object</t>
        </is>
      </c>
      <c r="J290" s="29">
        <f>MATCH(I290, {"Waiting for Input","Analyzing Object","Found Object","Needs Help","Confused","None"}, 0) - 1</f>
        <v/>
      </c>
      <c r="K290" s="29" t="n">
        <v>2</v>
      </c>
      <c r="L290" s="29">
        <f>IF(H290=J290, 1, 0)</f>
        <v/>
      </c>
    </row>
    <row r="291">
      <c r="D291" s="29" t="n">
        <v>266</v>
      </c>
      <c r="E291" s="29" t="inlineStr">
        <is>
          <t>2</t>
        </is>
      </c>
      <c r="F291" s="30" t="inlineStr">
        <is>
          <t>Human</t>
        </is>
      </c>
      <c r="G291" s="29" t="inlineStr">
        <is>
          <t>Analyzing Object</t>
        </is>
      </c>
      <c r="H291" s="29">
        <f>MATCH(G291, {"Waiting for Input","Analyzing Object","Found Object","Needs Help","Confused","None"}, 0) - 1</f>
        <v/>
      </c>
      <c r="I291" s="31" t="inlineStr">
        <is>
          <t>Analyzing Object</t>
        </is>
      </c>
      <c r="J291" s="29">
        <f>MATCH(I291, {"Waiting for Input","Analyzing Object","Found Object","Needs Help","Confused","None"}, 0) - 1</f>
        <v/>
      </c>
      <c r="K291" s="29" t="n">
        <v>3</v>
      </c>
      <c r="L291" s="29">
        <f>IF(H291=J291, 1, 0)</f>
        <v/>
      </c>
    </row>
    <row r="292">
      <c r="D292" s="29" t="n">
        <v>267</v>
      </c>
      <c r="E292" s="29" t="inlineStr">
        <is>
          <t>2</t>
        </is>
      </c>
      <c r="F292" s="30" t="inlineStr">
        <is>
          <t>Human</t>
        </is>
      </c>
      <c r="G292" s="29" t="inlineStr">
        <is>
          <t>Analyzing Object</t>
        </is>
      </c>
      <c r="H292" s="29">
        <f>MATCH(G292, {"Waiting for Input","Analyzing Object","Found Object","Needs Help","Confused","None"}, 0) - 1</f>
        <v/>
      </c>
      <c r="I292" s="31" t="inlineStr">
        <is>
          <t>Analyzing Object</t>
        </is>
      </c>
      <c r="J292" s="29">
        <f>MATCH(I292, {"Waiting for Input","Analyzing Object","Found Object","Needs Help","Confused","None"}, 0) - 1</f>
        <v/>
      </c>
      <c r="K292" s="29" t="n">
        <v>4</v>
      </c>
      <c r="L292" s="29">
        <f>IF(H292=J292, 1, 0)</f>
        <v/>
      </c>
    </row>
    <row r="293">
      <c r="D293" s="29" t="n">
        <v>268</v>
      </c>
      <c r="E293" s="29" t="inlineStr">
        <is>
          <t>2</t>
        </is>
      </c>
      <c r="F293" s="30" t="inlineStr">
        <is>
          <t>Human</t>
        </is>
      </c>
      <c r="G293" s="29" t="inlineStr">
        <is>
          <t>Analyzing Object</t>
        </is>
      </c>
      <c r="H293" s="29">
        <f>MATCH(G293, {"Waiting for Input","Analyzing Object","Found Object","Needs Help","Confused","None"}, 0) - 1</f>
        <v/>
      </c>
      <c r="I293" s="31" t="inlineStr">
        <is>
          <t>Found Object</t>
        </is>
      </c>
      <c r="J293" s="29">
        <f>MATCH(I293, {"Waiting for Input","Analyzing Object","Found Object","Needs Help","Confused","None"}, 0) - 1</f>
        <v/>
      </c>
      <c r="K293" s="29" t="n">
        <v>4</v>
      </c>
      <c r="L293" s="29">
        <f>IF(H293=J293, 1, 0)</f>
        <v/>
      </c>
    </row>
    <row r="294">
      <c r="D294" s="29" t="n">
        <v>269</v>
      </c>
      <c r="E294" s="29" t="inlineStr">
        <is>
          <t>2</t>
        </is>
      </c>
      <c r="F294" s="30" t="inlineStr">
        <is>
          <t>Human</t>
        </is>
      </c>
      <c r="G294" s="29" t="inlineStr">
        <is>
          <t>Analyzing Object</t>
        </is>
      </c>
      <c r="H294" s="29">
        <f>MATCH(G294, {"Waiting for Input","Analyzing Object","Found Object","Needs Help","Confused","None"}, 0) - 1</f>
        <v/>
      </c>
      <c r="I294" s="31" t="inlineStr">
        <is>
          <t>Analyzing Object</t>
        </is>
      </c>
      <c r="J294" s="29">
        <f>MATCH(I294, {"Waiting for Input","Analyzing Object","Found Object","Needs Help","Confused","None"}, 0) - 1</f>
        <v/>
      </c>
      <c r="K294" s="29" t="n">
        <v>4</v>
      </c>
      <c r="L294" s="29">
        <f>IF(H294=J294, 1, 0)</f>
        <v/>
      </c>
    </row>
    <row r="295">
      <c r="D295" s="29" t="n">
        <v>270</v>
      </c>
      <c r="E295" s="29" t="inlineStr">
        <is>
          <t>2</t>
        </is>
      </c>
      <c r="F295" s="30" t="inlineStr">
        <is>
          <t>Human</t>
        </is>
      </c>
      <c r="G295" s="29" t="inlineStr">
        <is>
          <t>Analyzing Object</t>
        </is>
      </c>
      <c r="H295" s="29">
        <f>MATCH(G295, {"Waiting for Input","Analyzing Object","Found Object","Needs Help","Confused","None"}, 0) - 1</f>
        <v/>
      </c>
      <c r="I295" s="31" t="inlineStr">
        <is>
          <t>Found Object</t>
        </is>
      </c>
      <c r="J295" s="29">
        <f>MATCH(I295, {"Waiting for Input","Analyzing Object","Found Object","Needs Help","Confused","None"}, 0) - 1</f>
        <v/>
      </c>
      <c r="K295" s="29" t="n">
        <v>5</v>
      </c>
      <c r="L295" s="29">
        <f>IF(H295=J295, 1, 0)</f>
        <v/>
      </c>
    </row>
    <row r="296">
      <c r="D296" s="29" t="n">
        <v>271</v>
      </c>
      <c r="E296" s="29" t="inlineStr">
        <is>
          <t>1</t>
        </is>
      </c>
      <c r="F296" s="30" t="inlineStr">
        <is>
          <t>Human</t>
        </is>
      </c>
      <c r="G296" s="29" t="inlineStr">
        <is>
          <t>Analyzing Object</t>
        </is>
      </c>
      <c r="H296" s="29">
        <f>MATCH(G296, {"Waiting for Input","Analyzing Object","Found Object","Needs Help","Confused","None"}, 0) - 1</f>
        <v/>
      </c>
      <c r="I296" s="31" t="inlineStr">
        <is>
          <t>Found Object</t>
        </is>
      </c>
      <c r="J296" s="29">
        <f>MATCH(I296, {"Waiting for Input","Analyzing Object","Found Object","Needs Help","Confused","None"}, 0) - 1</f>
        <v/>
      </c>
      <c r="K296" s="29" t="n">
        <v>4</v>
      </c>
      <c r="L296" s="29">
        <f>IF(H296=J296, 1, 0)</f>
        <v/>
      </c>
    </row>
    <row r="297">
      <c r="D297" s="29" t="n">
        <v>272</v>
      </c>
      <c r="E297" s="29" t="inlineStr">
        <is>
          <t>2</t>
        </is>
      </c>
      <c r="F297" s="30" t="inlineStr">
        <is>
          <t>Human</t>
        </is>
      </c>
      <c r="G297" s="29" t="inlineStr">
        <is>
          <t>Analyzing Object</t>
        </is>
      </c>
      <c r="H297" s="29">
        <f>MATCH(G297, {"Waiting for Input","Analyzing Object","Found Object","Needs Help","Confused","None"}, 0) - 1</f>
        <v/>
      </c>
      <c r="I297" s="31" t="inlineStr">
        <is>
          <t>Analyzing Object</t>
        </is>
      </c>
      <c r="J297" s="29">
        <f>MATCH(I297, {"Waiting for Input","Analyzing Object","Found Object","Needs Help","Confused","None"}, 0) - 1</f>
        <v/>
      </c>
      <c r="K297" s="29" t="n">
        <v>5</v>
      </c>
      <c r="L297" s="29">
        <f>IF(H297=J297, 1, 0)</f>
        <v/>
      </c>
    </row>
    <row r="298">
      <c r="D298" s="29" t="n">
        <v>273</v>
      </c>
      <c r="E298" s="29" t="inlineStr">
        <is>
          <t>1</t>
        </is>
      </c>
      <c r="F298" s="30" t="inlineStr">
        <is>
          <t>Human</t>
        </is>
      </c>
      <c r="G298" s="29" t="inlineStr">
        <is>
          <t>Analyzing Object</t>
        </is>
      </c>
      <c r="H298" s="29">
        <f>MATCH(G298, {"Waiting for Input","Analyzing Object","Found Object","Needs Help","Confused","None"}, 0) - 1</f>
        <v/>
      </c>
      <c r="I298" s="31" t="inlineStr">
        <is>
          <t>Analyzing Object</t>
        </is>
      </c>
      <c r="J298" s="29">
        <f>MATCH(I298, {"Waiting for Input","Analyzing Object","Found Object","Needs Help","Confused","None"}, 0) - 1</f>
        <v/>
      </c>
      <c r="K298" s="29" t="n">
        <v>5</v>
      </c>
      <c r="L298" s="29">
        <f>IF(H298=J298, 1, 0)</f>
        <v/>
      </c>
    </row>
    <row r="299">
      <c r="D299" s="29" t="n">
        <v>274</v>
      </c>
      <c r="E299" s="29" t="inlineStr">
        <is>
          <t>1</t>
        </is>
      </c>
      <c r="F299" s="30" t="inlineStr">
        <is>
          <t>Human</t>
        </is>
      </c>
      <c r="G299" s="29" t="inlineStr">
        <is>
          <t>Analyzing Object</t>
        </is>
      </c>
      <c r="H299" s="29">
        <f>MATCH(G299, {"Waiting for Input","Analyzing Object","Found Object","Needs Help","Confused","None"}, 0) - 1</f>
        <v/>
      </c>
      <c r="I299" s="31" t="inlineStr">
        <is>
          <t>Found Object</t>
        </is>
      </c>
      <c r="J299" s="29">
        <f>MATCH(I299, {"Waiting for Input","Analyzing Object","Found Object","Needs Help","Confused","None"}, 0) - 1</f>
        <v/>
      </c>
      <c r="K299" s="29" t="n">
        <v>4</v>
      </c>
      <c r="L299" s="29">
        <f>IF(H299=J299, 1, 0)</f>
        <v/>
      </c>
    </row>
    <row r="300">
      <c r="D300" s="29" t="n">
        <v>275</v>
      </c>
      <c r="E300" s="29" t="inlineStr">
        <is>
          <t>1</t>
        </is>
      </c>
      <c r="F300" s="30" t="inlineStr">
        <is>
          <t>Human</t>
        </is>
      </c>
      <c r="G300" s="29" t="inlineStr">
        <is>
          <t>Analyzing Object</t>
        </is>
      </c>
      <c r="H300" s="29">
        <f>MATCH(G300, {"Waiting for Input","Analyzing Object","Found Object","Needs Help","Confused","None"}, 0) - 1</f>
        <v/>
      </c>
      <c r="I300" s="31" t="inlineStr">
        <is>
          <t>Analyzing Object</t>
        </is>
      </c>
      <c r="J300" s="29">
        <f>MATCH(I300, {"Waiting for Input","Analyzing Object","Found Object","Needs Help","Confused","None"}, 0) - 1</f>
        <v/>
      </c>
      <c r="K300" s="29" t="n">
        <v>5</v>
      </c>
      <c r="L300" s="29">
        <f>IF(H300=J300, 1, 0)</f>
        <v/>
      </c>
    </row>
    <row r="301">
      <c r="D301" s="29" t="n">
        <v>276</v>
      </c>
      <c r="E301" s="29" t="inlineStr">
        <is>
          <t>2</t>
        </is>
      </c>
      <c r="F301" s="30" t="inlineStr">
        <is>
          <t>Human</t>
        </is>
      </c>
      <c r="G301" s="29" t="inlineStr">
        <is>
          <t>Analyzing Object</t>
        </is>
      </c>
      <c r="H301" s="29">
        <f>MATCH(G301, {"Waiting for Input","Analyzing Object","Found Object","Needs Help","Confused","None"}, 0) - 1</f>
        <v/>
      </c>
      <c r="I301" s="31" t="inlineStr">
        <is>
          <t>Found Object</t>
        </is>
      </c>
      <c r="J301" s="29">
        <f>MATCH(I301, {"Waiting for Input","Analyzing Object","Found Object","Needs Help","Confused","None"}, 0) - 1</f>
        <v/>
      </c>
      <c r="K301" s="29" t="n">
        <v>2</v>
      </c>
      <c r="L301" s="29">
        <f>IF(H301=J301, 1, 0)</f>
        <v/>
      </c>
    </row>
    <row r="302">
      <c r="D302" s="29" t="n">
        <v>277</v>
      </c>
      <c r="E302" s="29" t="inlineStr">
        <is>
          <t>2</t>
        </is>
      </c>
      <c r="F302" s="30" t="inlineStr">
        <is>
          <t>Human</t>
        </is>
      </c>
      <c r="G302" s="29" t="inlineStr">
        <is>
          <t>Analyzing Object</t>
        </is>
      </c>
      <c r="H302" s="29">
        <f>MATCH(G302, {"Waiting for Input","Analyzing Object","Found Object","Needs Help","Confused","None"}, 0) - 1</f>
        <v/>
      </c>
      <c r="I302" s="31" t="inlineStr">
        <is>
          <t>Found Object</t>
        </is>
      </c>
      <c r="J302" s="29">
        <f>MATCH(I302, {"Waiting for Input","Analyzing Object","Found Object","Needs Help","Confused","None"}, 0) - 1</f>
        <v/>
      </c>
      <c r="K302" s="29" t="n">
        <v>5</v>
      </c>
      <c r="L302" s="29">
        <f>IF(H302=J302, 1, 0)</f>
        <v/>
      </c>
    </row>
    <row r="303">
      <c r="D303" s="29" t="n">
        <v>278</v>
      </c>
      <c r="E303" s="29" t="inlineStr">
        <is>
          <t>1</t>
        </is>
      </c>
      <c r="F303" s="30" t="inlineStr">
        <is>
          <t>Human</t>
        </is>
      </c>
      <c r="G303" s="29" t="inlineStr">
        <is>
          <t>Analyzing Object</t>
        </is>
      </c>
      <c r="H303" s="29">
        <f>MATCH(G303, {"Waiting for Input","Analyzing Object","Found Object","Needs Help","Confused","None"}, 0) - 1</f>
        <v/>
      </c>
      <c r="I303" s="31" t="inlineStr">
        <is>
          <t>Analyzing Object</t>
        </is>
      </c>
      <c r="J303" s="29">
        <f>MATCH(I303, {"Waiting for Input","Analyzing Object","Found Object","Needs Help","Confused","None"}, 0) - 1</f>
        <v/>
      </c>
      <c r="K303" s="29" t="n">
        <v>4</v>
      </c>
      <c r="L303" s="29">
        <f>IF(H303=J303, 1, 0)</f>
        <v/>
      </c>
    </row>
    <row r="304">
      <c r="D304" s="29" t="n">
        <v>279</v>
      </c>
      <c r="E304" s="29" t="inlineStr">
        <is>
          <t>1</t>
        </is>
      </c>
      <c r="F304" s="30" t="inlineStr">
        <is>
          <t>Human</t>
        </is>
      </c>
      <c r="G304" s="29" t="inlineStr">
        <is>
          <t>Analyzing Object</t>
        </is>
      </c>
      <c r="H304" s="29">
        <f>MATCH(G304, {"Waiting for Input","Analyzing Object","Found Object","Needs Help","Confused","None"}, 0) - 1</f>
        <v/>
      </c>
      <c r="I304" s="31" t="inlineStr">
        <is>
          <t>Found Object</t>
        </is>
      </c>
      <c r="J304" s="29">
        <f>MATCH(I304, {"Waiting for Input","Analyzing Object","Found Object","Needs Help","Confused","None"}, 0) - 1</f>
        <v/>
      </c>
      <c r="K304" s="29" t="n">
        <v>5</v>
      </c>
      <c r="L304" s="29">
        <f>IF(H304=J304, 1, 0)</f>
        <v/>
      </c>
    </row>
    <row r="305">
      <c r="D305" s="29" t="n">
        <v>280</v>
      </c>
      <c r="E305" s="29" t="inlineStr">
        <is>
          <t>1</t>
        </is>
      </c>
      <c r="F305" s="30" t="inlineStr">
        <is>
          <t>Human</t>
        </is>
      </c>
      <c r="G305" s="29" t="inlineStr">
        <is>
          <t>Analyzing Object</t>
        </is>
      </c>
      <c r="H305" s="29">
        <f>MATCH(G305, {"Waiting for Input","Analyzing Object","Found Object","Needs Help","Confused","None"}, 0) - 1</f>
        <v/>
      </c>
      <c r="I305" s="31" t="inlineStr">
        <is>
          <t>Found Object</t>
        </is>
      </c>
      <c r="J305" s="29">
        <f>MATCH(I305, {"Waiting for Input","Analyzing Object","Found Object","Needs Help","Confused","None"}, 0) - 1</f>
        <v/>
      </c>
      <c r="K305" s="29" t="n">
        <v>5</v>
      </c>
      <c r="L305" s="29">
        <f>IF(H305=J305, 1, 0)</f>
        <v/>
      </c>
    </row>
    <row r="306">
      <c r="D306" s="29" t="n">
        <v>281</v>
      </c>
      <c r="E306" s="29" t="inlineStr">
        <is>
          <t>2</t>
        </is>
      </c>
      <c r="F306" s="30" t="inlineStr">
        <is>
          <t>Human</t>
        </is>
      </c>
      <c r="G306" s="29" t="inlineStr">
        <is>
          <t>Analyzing Object</t>
        </is>
      </c>
      <c r="H306" s="29">
        <f>MATCH(G306, {"Waiting for Input","Analyzing Object","Found Object","Needs Help","Confused","None"}, 0) - 1</f>
        <v/>
      </c>
      <c r="I306" s="31" t="inlineStr">
        <is>
          <t>Analyzing Object</t>
        </is>
      </c>
      <c r="J306" s="29">
        <f>MATCH(I306, {"Waiting for Input","Analyzing Object","Found Object","Needs Help","Confused","None"}, 0) - 1</f>
        <v/>
      </c>
      <c r="K306" s="29" t="n">
        <v>2</v>
      </c>
      <c r="L306" s="29">
        <f>IF(H306=J306, 1, 0)</f>
        <v/>
      </c>
    </row>
    <row r="307">
      <c r="D307" s="29" t="n">
        <v>282</v>
      </c>
      <c r="E307" s="29" t="inlineStr">
        <is>
          <t>2</t>
        </is>
      </c>
      <c r="F307" s="30" t="inlineStr">
        <is>
          <t>Human</t>
        </is>
      </c>
      <c r="G307" s="29" t="inlineStr">
        <is>
          <t>Analyzing Object</t>
        </is>
      </c>
      <c r="H307" s="29">
        <f>MATCH(G307, {"Waiting for Input","Analyzing Object","Found Object","Needs Help","Confused","None"}, 0) - 1</f>
        <v/>
      </c>
      <c r="I307" s="31" t="inlineStr">
        <is>
          <t>Found Object</t>
        </is>
      </c>
      <c r="J307" s="29">
        <f>MATCH(I307, {"Waiting for Input","Analyzing Object","Found Object","Needs Help","Confused","None"}, 0) - 1</f>
        <v/>
      </c>
      <c r="K307" s="29" t="n">
        <v>3</v>
      </c>
      <c r="L307" s="29">
        <f>IF(H307=J307, 1, 0)</f>
        <v/>
      </c>
    </row>
    <row r="308">
      <c r="D308" s="29" t="n">
        <v>283</v>
      </c>
      <c r="E308" s="29" t="inlineStr">
        <is>
          <t>2</t>
        </is>
      </c>
      <c r="F308" s="30" t="inlineStr">
        <is>
          <t>Human</t>
        </is>
      </c>
      <c r="G308" s="29" t="inlineStr">
        <is>
          <t>Analyzing Object</t>
        </is>
      </c>
      <c r="H308" s="29">
        <f>MATCH(G308, {"Waiting for Input","Analyzing Object","Found Object","Needs Help","Confused","None"}, 0) - 1</f>
        <v/>
      </c>
      <c r="I308" s="31" t="inlineStr">
        <is>
          <t>Analyzing Object</t>
        </is>
      </c>
      <c r="J308" s="29">
        <f>MATCH(I308, {"Waiting for Input","Analyzing Object","Found Object","Needs Help","Confused","None"}, 0) - 1</f>
        <v/>
      </c>
      <c r="K308" s="29" t="n">
        <v>3</v>
      </c>
      <c r="L308" s="29">
        <f>IF(H308=J308, 1, 0)</f>
        <v/>
      </c>
    </row>
    <row r="309">
      <c r="D309" s="29" t="n">
        <v>284</v>
      </c>
      <c r="E309" s="29" t="inlineStr">
        <is>
          <t>2</t>
        </is>
      </c>
      <c r="F309" s="30" t="inlineStr">
        <is>
          <t>Human</t>
        </is>
      </c>
      <c r="G309" s="29" t="inlineStr">
        <is>
          <t>Analyzing Object</t>
        </is>
      </c>
      <c r="H309" s="29">
        <f>MATCH(G309, {"Waiting for Input","Analyzing Object","Found Object","Needs Help","Confused","None"}, 0) - 1</f>
        <v/>
      </c>
      <c r="I309" s="31" t="inlineStr">
        <is>
          <t>Analyzing Object</t>
        </is>
      </c>
      <c r="J309" s="29">
        <f>MATCH(I309, {"Waiting for Input","Analyzing Object","Found Object","Needs Help","Confused","None"}, 0) - 1</f>
        <v/>
      </c>
      <c r="K309" s="29" t="n">
        <v>3</v>
      </c>
      <c r="L309" s="29">
        <f>IF(H309=J309, 1, 0)</f>
        <v/>
      </c>
    </row>
    <row r="310">
      <c r="D310" s="29" t="n">
        <v>285</v>
      </c>
      <c r="E310" s="29" t="inlineStr">
        <is>
          <t>2</t>
        </is>
      </c>
      <c r="F310" s="30" t="inlineStr">
        <is>
          <t>Human</t>
        </is>
      </c>
      <c r="G310" s="29" t="inlineStr">
        <is>
          <t>Analyzing Object</t>
        </is>
      </c>
      <c r="H310" s="29">
        <f>MATCH(G310, {"Waiting for Input","Analyzing Object","Found Object","Needs Help","Confused","None"}, 0) - 1</f>
        <v/>
      </c>
      <c r="I310" s="31" t="inlineStr">
        <is>
          <t>Found Object</t>
        </is>
      </c>
      <c r="J310" s="29">
        <f>MATCH(I310, {"Waiting for Input","Analyzing Object","Found Object","Needs Help","Confused","None"}, 0) - 1</f>
        <v/>
      </c>
      <c r="K310" s="29" t="n">
        <v>3</v>
      </c>
      <c r="L310" s="29">
        <f>IF(H310=J310, 1, 0)</f>
        <v/>
      </c>
    </row>
    <row r="311">
      <c r="D311" s="29" t="n">
        <v>286</v>
      </c>
      <c r="E311" s="29" t="inlineStr">
        <is>
          <t>2</t>
        </is>
      </c>
      <c r="F311" s="30" t="inlineStr">
        <is>
          <t>Human</t>
        </is>
      </c>
      <c r="G311" s="29" t="inlineStr">
        <is>
          <t>Analyzing Object</t>
        </is>
      </c>
      <c r="H311" s="29">
        <f>MATCH(G311, {"Waiting for Input","Analyzing Object","Found Object","Needs Help","Confused","None"}, 0) - 1</f>
        <v/>
      </c>
      <c r="I311" s="31" t="inlineStr">
        <is>
          <t>Analyzing Object</t>
        </is>
      </c>
      <c r="J311" s="29">
        <f>MATCH(I311, {"Waiting for Input","Analyzing Object","Found Object","Needs Help","Confused","None"}, 0) - 1</f>
        <v/>
      </c>
      <c r="K311" s="29" t="n">
        <v>3</v>
      </c>
      <c r="L311" s="29">
        <f>IF(H311=J311, 1, 0)</f>
        <v/>
      </c>
    </row>
    <row r="312">
      <c r="D312" s="29" t="n">
        <v>287</v>
      </c>
      <c r="E312" s="29" t="inlineStr">
        <is>
          <t>2</t>
        </is>
      </c>
      <c r="F312" s="30" t="inlineStr">
        <is>
          <t>Human</t>
        </is>
      </c>
      <c r="G312" s="29" t="inlineStr">
        <is>
          <t>Analyzing Object</t>
        </is>
      </c>
      <c r="H312" s="29">
        <f>MATCH(G312, {"Waiting for Input","Analyzing Object","Found Object","Needs Help","Confused","None"}, 0) - 1</f>
        <v/>
      </c>
      <c r="I312" s="31" t="inlineStr">
        <is>
          <t>Found Object</t>
        </is>
      </c>
      <c r="J312" s="29">
        <f>MATCH(I312, {"Waiting for Input","Analyzing Object","Found Object","Needs Help","Confused","None"}, 0) - 1</f>
        <v/>
      </c>
      <c r="K312" s="29" t="n">
        <v>2</v>
      </c>
      <c r="L312" s="29">
        <f>IF(H312=J312, 1, 0)</f>
        <v/>
      </c>
    </row>
    <row r="313">
      <c r="D313" s="29" t="n">
        <v>288</v>
      </c>
      <c r="E313" s="29" t="inlineStr">
        <is>
          <t>2</t>
        </is>
      </c>
      <c r="F313" s="30" t="inlineStr">
        <is>
          <t>Human</t>
        </is>
      </c>
      <c r="G313" s="29" t="inlineStr">
        <is>
          <t>Analyzing Object</t>
        </is>
      </c>
      <c r="H313" s="29">
        <f>MATCH(G313, {"Waiting for Input","Analyzing Object","Found Object","Needs Help","Confused","None"}, 0) - 1</f>
        <v/>
      </c>
      <c r="I313" s="31" t="inlineStr">
        <is>
          <t>Analyzing Object</t>
        </is>
      </c>
      <c r="J313" s="29">
        <f>MATCH(I313, {"Waiting for Input","Analyzing Object","Found Object","Needs Help","Confused","None"}, 0) - 1</f>
        <v/>
      </c>
      <c r="K313" s="29" t="n">
        <v>5</v>
      </c>
      <c r="L313" s="29">
        <f>IF(H313=J313, 1, 0)</f>
        <v/>
      </c>
    </row>
    <row r="314">
      <c r="D314" s="29" t="n">
        <v>289</v>
      </c>
      <c r="E314" s="29" t="inlineStr">
        <is>
          <t>2</t>
        </is>
      </c>
      <c r="F314" s="30" t="inlineStr">
        <is>
          <t>Human</t>
        </is>
      </c>
      <c r="G314" s="29" t="inlineStr">
        <is>
          <t>Analyzing Object</t>
        </is>
      </c>
      <c r="H314" s="29">
        <f>MATCH(G314, {"Waiting for Input","Analyzing Object","Found Object","Needs Help","Confused","None"}, 0) - 1</f>
        <v/>
      </c>
      <c r="I314" s="31" t="inlineStr">
        <is>
          <t>Found Object</t>
        </is>
      </c>
      <c r="J314" s="29">
        <f>MATCH(I314, {"Waiting for Input","Analyzing Object","Found Object","Needs Help","Confused","None"}, 0) - 1</f>
        <v/>
      </c>
      <c r="K314" s="29" t="n">
        <v>4</v>
      </c>
      <c r="L314" s="29">
        <f>IF(H314=J314, 1, 0)</f>
        <v/>
      </c>
    </row>
    <row r="315">
      <c r="D315" s="29" t="n">
        <v>290</v>
      </c>
      <c r="E315" s="29" t="inlineStr">
        <is>
          <t>2</t>
        </is>
      </c>
      <c r="F315" s="30" t="inlineStr">
        <is>
          <t>Human</t>
        </is>
      </c>
      <c r="G315" s="29" t="inlineStr">
        <is>
          <t>Analyzing Object</t>
        </is>
      </c>
      <c r="H315" s="29">
        <f>MATCH(G315, {"Waiting for Input","Analyzing Object","Found Object","Needs Help","Confused","None"}, 0) - 1</f>
        <v/>
      </c>
      <c r="I315" s="31" t="inlineStr">
        <is>
          <t>Confused</t>
        </is>
      </c>
      <c r="J315" s="29">
        <f>MATCH(I315, {"Waiting for Input","Analyzing Object","Found Object","Needs Help","Confused","None"}, 0) - 1</f>
        <v/>
      </c>
      <c r="K315" s="29" t="n">
        <v>3</v>
      </c>
      <c r="L315" s="29">
        <f>IF(H315=J315, 1, 0)</f>
        <v/>
      </c>
    </row>
    <row r="316">
      <c r="D316" s="29" t="n">
        <v>291</v>
      </c>
      <c r="E316" s="29" t="inlineStr">
        <is>
          <t>1</t>
        </is>
      </c>
      <c r="F316" s="30" t="inlineStr">
        <is>
          <t>Human</t>
        </is>
      </c>
      <c r="G316" s="29" t="inlineStr">
        <is>
          <t>Analyzing Object</t>
        </is>
      </c>
      <c r="H316" s="29">
        <f>MATCH(G316, {"Waiting for Input","Analyzing Object","Found Object","Needs Help","Confused","None"}, 0) - 1</f>
        <v/>
      </c>
      <c r="I316" s="31" t="inlineStr">
        <is>
          <t>Analyzing Object</t>
        </is>
      </c>
      <c r="J316" s="29">
        <f>MATCH(I316, {"Waiting for Input","Analyzing Object","Found Object","Needs Help","Confused","None"}, 0) - 1</f>
        <v/>
      </c>
      <c r="K316" s="29" t="n">
        <v>4</v>
      </c>
      <c r="L316" s="29">
        <f>IF(H316=J316, 1, 0)</f>
        <v/>
      </c>
    </row>
    <row r="317">
      <c r="D317" s="29" t="n">
        <v>292</v>
      </c>
      <c r="E317" s="29" t="inlineStr">
        <is>
          <t>2</t>
        </is>
      </c>
      <c r="F317" s="30" t="inlineStr">
        <is>
          <t>Human</t>
        </is>
      </c>
      <c r="G317" s="29" t="inlineStr">
        <is>
          <t>Analyzing Object</t>
        </is>
      </c>
      <c r="H317" s="29">
        <f>MATCH(G317, {"Waiting for Input","Analyzing Object","Found Object","Needs Help","Confused","None"}, 0) - 1</f>
        <v/>
      </c>
      <c r="I317" s="31" t="inlineStr">
        <is>
          <t>Analyzing Object</t>
        </is>
      </c>
      <c r="J317" s="29">
        <f>MATCH(I317, {"Waiting for Input","Analyzing Object","Found Object","Needs Help","Confused","None"}, 0) - 1</f>
        <v/>
      </c>
      <c r="K317" s="29" t="n">
        <v>4</v>
      </c>
      <c r="L317" s="29">
        <f>IF(H317=J317, 1, 0)</f>
        <v/>
      </c>
    </row>
    <row r="318">
      <c r="D318" s="29" t="n">
        <v>293</v>
      </c>
      <c r="E318" s="29" t="inlineStr">
        <is>
          <t>2</t>
        </is>
      </c>
      <c r="F318" s="30" t="inlineStr">
        <is>
          <t>Human</t>
        </is>
      </c>
      <c r="G318" s="29" t="inlineStr">
        <is>
          <t>Analyzing Object</t>
        </is>
      </c>
      <c r="H318" s="29">
        <f>MATCH(G318, {"Waiting for Input","Analyzing Object","Found Object","Needs Help","Confused","None"}, 0) - 1</f>
        <v/>
      </c>
      <c r="I318" s="31" t="inlineStr">
        <is>
          <t>Found Object</t>
        </is>
      </c>
      <c r="J318" s="29">
        <f>MATCH(I318, {"Waiting for Input","Analyzing Object","Found Object","Needs Help","Confused","None"}, 0) - 1</f>
        <v/>
      </c>
      <c r="K318" s="29" t="n">
        <v>2</v>
      </c>
      <c r="L318" s="29">
        <f>IF(H318=J318, 1, 0)</f>
        <v/>
      </c>
    </row>
    <row r="319">
      <c r="D319" s="29" t="n">
        <v>294</v>
      </c>
      <c r="E319" s="29" t="inlineStr">
        <is>
          <t>1</t>
        </is>
      </c>
      <c r="F319" s="30" t="inlineStr">
        <is>
          <t>Human</t>
        </is>
      </c>
      <c r="G319" s="29" t="inlineStr">
        <is>
          <t>Analyzing Object</t>
        </is>
      </c>
      <c r="H319" s="29">
        <f>MATCH(G319, {"Waiting for Input","Analyzing Object","Found Object","Needs Help","Confused","None"}, 0) - 1</f>
        <v/>
      </c>
      <c r="I319" s="31" t="inlineStr">
        <is>
          <t>Analyzing Object</t>
        </is>
      </c>
      <c r="J319" s="29">
        <f>MATCH(I319, {"Waiting for Input","Analyzing Object","Found Object","Needs Help","Confused","None"}, 0) - 1</f>
        <v/>
      </c>
      <c r="K319" s="29" t="n">
        <v>4</v>
      </c>
      <c r="L319" s="29">
        <f>IF(H319=J319, 1, 0)</f>
        <v/>
      </c>
    </row>
    <row r="320">
      <c r="D320" s="29" t="n">
        <v>295</v>
      </c>
      <c r="E320" s="29" t="inlineStr">
        <is>
          <t>2</t>
        </is>
      </c>
      <c r="F320" s="30" t="inlineStr">
        <is>
          <t>Human</t>
        </is>
      </c>
      <c r="G320" s="29" t="inlineStr">
        <is>
          <t>Analyzing Object</t>
        </is>
      </c>
      <c r="H320" s="29">
        <f>MATCH(G320, {"Waiting for Input","Analyzing Object","Found Object","Needs Help","Confused","None"}, 0) - 1</f>
        <v/>
      </c>
      <c r="I320" s="31" t="inlineStr">
        <is>
          <t>Found Object</t>
        </is>
      </c>
      <c r="J320" s="29">
        <f>MATCH(I320, {"Waiting for Input","Analyzing Object","Found Object","Needs Help","Confused","None"}, 0) - 1</f>
        <v/>
      </c>
      <c r="K320" s="29" t="n">
        <v>5</v>
      </c>
      <c r="L320" s="29">
        <f>IF(H320=J320, 1, 0)</f>
        <v/>
      </c>
    </row>
    <row r="321">
      <c r="D321" s="29" t="n">
        <v>296</v>
      </c>
      <c r="E321" s="29" t="inlineStr">
        <is>
          <t>2</t>
        </is>
      </c>
      <c r="F321" s="30" t="inlineStr">
        <is>
          <t>Human</t>
        </is>
      </c>
      <c r="G321" s="29" t="inlineStr">
        <is>
          <t>Analyzing Object</t>
        </is>
      </c>
      <c r="H321" s="29">
        <f>MATCH(G321, {"Waiting for Input","Analyzing Object","Found Object","Needs Help","Confused","None"}, 0) - 1</f>
        <v/>
      </c>
      <c r="I321" s="31" t="inlineStr">
        <is>
          <t>Found Object</t>
        </is>
      </c>
      <c r="J321" s="29">
        <f>MATCH(I321, {"Waiting for Input","Analyzing Object","Found Object","Needs Help","Confused","None"}, 0) - 1</f>
        <v/>
      </c>
      <c r="K321" s="29" t="n">
        <v>5</v>
      </c>
      <c r="L321" s="29">
        <f>IF(H321=J321, 1, 0)</f>
        <v/>
      </c>
    </row>
    <row r="322">
      <c r="D322" s="29" t="n">
        <v>297</v>
      </c>
      <c r="E322" s="29" t="inlineStr">
        <is>
          <t>2</t>
        </is>
      </c>
      <c r="F322" s="30" t="inlineStr">
        <is>
          <t>Human</t>
        </is>
      </c>
      <c r="G322" s="29" t="inlineStr">
        <is>
          <t>Analyzing Object</t>
        </is>
      </c>
      <c r="H322" s="29">
        <f>MATCH(G322, {"Waiting for Input","Analyzing Object","Found Object","Needs Help","Confused","None"}, 0) - 1</f>
        <v/>
      </c>
      <c r="I322" s="31" t="inlineStr">
        <is>
          <t>Analyzing Object</t>
        </is>
      </c>
      <c r="J322" s="29">
        <f>MATCH(I322, {"Waiting for Input","Analyzing Object","Found Object","Needs Help","Confused","None"}, 0) - 1</f>
        <v/>
      </c>
      <c r="K322" s="29" t="n">
        <v>3</v>
      </c>
      <c r="L322" s="29">
        <f>IF(H322=J322, 1, 0)</f>
        <v/>
      </c>
    </row>
    <row r="323">
      <c r="D323" s="29" t="n">
        <v>298</v>
      </c>
      <c r="E323" s="29" t="inlineStr">
        <is>
          <t>1</t>
        </is>
      </c>
      <c r="F323" s="30" t="inlineStr">
        <is>
          <t>Human</t>
        </is>
      </c>
      <c r="G323" s="29" t="inlineStr">
        <is>
          <t>Analyzing Object</t>
        </is>
      </c>
      <c r="H323" s="29">
        <f>MATCH(G323, {"Waiting for Input","Analyzing Object","Found Object","Needs Help","Confused","None"}, 0) - 1</f>
        <v/>
      </c>
      <c r="I323" s="31" t="inlineStr">
        <is>
          <t>Found Object</t>
        </is>
      </c>
      <c r="J323" s="29">
        <f>MATCH(I323, {"Waiting for Input","Analyzing Object","Found Object","Needs Help","Confused","None"}, 0) - 1</f>
        <v/>
      </c>
      <c r="K323" s="29" t="n">
        <v>3</v>
      </c>
      <c r="L323" s="29">
        <f>IF(H323=J323, 1, 0)</f>
        <v/>
      </c>
    </row>
    <row r="324">
      <c r="D324" s="29" t="n">
        <v>299</v>
      </c>
      <c r="E324" s="29" t="inlineStr">
        <is>
          <t>2</t>
        </is>
      </c>
      <c r="F324" s="30" t="inlineStr">
        <is>
          <t>Human</t>
        </is>
      </c>
      <c r="G324" s="29" t="inlineStr">
        <is>
          <t>Analyzing Object</t>
        </is>
      </c>
      <c r="H324" s="29">
        <f>MATCH(G324, {"Waiting for Input","Analyzing Object","Found Object","Needs Help","Confused","None"}, 0) - 1</f>
        <v/>
      </c>
      <c r="I324" s="31" t="inlineStr">
        <is>
          <t>Analyzing Object</t>
        </is>
      </c>
      <c r="J324" s="29">
        <f>MATCH(I324, {"Waiting for Input","Analyzing Object","Found Object","Needs Help","Confused","None"}, 0) - 1</f>
        <v/>
      </c>
      <c r="K324" s="29" t="n">
        <v>3</v>
      </c>
      <c r="L324" s="29">
        <f>IF(H324=J324, 1, 0)</f>
        <v/>
      </c>
    </row>
    <row r="325">
      <c r="D325" s="29" t="n">
        <v>300</v>
      </c>
      <c r="E325" s="29" t="inlineStr">
        <is>
          <t>1</t>
        </is>
      </c>
      <c r="F325" s="30" t="inlineStr">
        <is>
          <t>Random</t>
        </is>
      </c>
      <c r="G325" s="29" t="inlineStr">
        <is>
          <t>Analyzing Object</t>
        </is>
      </c>
      <c r="H325" s="29">
        <f>MATCH(G325, {"Waiting for Input","Analyzing Object","Found Object","Needs Help","Confused","None"}, 0) - 1</f>
        <v/>
      </c>
      <c r="I325" s="31" t="inlineStr">
        <is>
          <t>Needs Help</t>
        </is>
      </c>
      <c r="J325" s="29">
        <f>MATCH(I325, {"Waiting for Input","Analyzing Object","Found Object","Needs Help","Confused","None"}, 0) - 1</f>
        <v/>
      </c>
      <c r="K325" s="29" t="n">
        <v>4</v>
      </c>
      <c r="L325" s="29">
        <f>IF(H325=J325, 1, 0)</f>
        <v/>
      </c>
    </row>
    <row r="326">
      <c r="D326" s="29" t="n">
        <v>301</v>
      </c>
      <c r="E326" s="29" t="inlineStr">
        <is>
          <t>1</t>
        </is>
      </c>
      <c r="F326" s="30" t="inlineStr">
        <is>
          <t>Random</t>
        </is>
      </c>
      <c r="G326" s="29" t="inlineStr">
        <is>
          <t>Analyzing Object</t>
        </is>
      </c>
      <c r="H326" s="29">
        <f>MATCH(G326, {"Waiting for Input","Analyzing Object","Found Object","Needs Help","Confused","None"}, 0) - 1</f>
        <v/>
      </c>
      <c r="I326" s="31" t="inlineStr">
        <is>
          <t>Needs Help</t>
        </is>
      </c>
      <c r="J326" s="29">
        <f>MATCH(I326, {"Waiting for Input","Analyzing Object","Found Object","Needs Help","Confused","None"}, 0) - 1</f>
        <v/>
      </c>
      <c r="K326" s="29" t="n">
        <v>3</v>
      </c>
      <c r="L326" s="29">
        <f>IF(H326=J326, 1, 0)</f>
        <v/>
      </c>
    </row>
    <row r="327">
      <c r="D327" s="29" t="n">
        <v>302</v>
      </c>
      <c r="E327" s="29" t="inlineStr">
        <is>
          <t>1</t>
        </is>
      </c>
      <c r="F327" s="30" t="inlineStr">
        <is>
          <t>Random</t>
        </is>
      </c>
      <c r="G327" s="29" t="inlineStr">
        <is>
          <t>Analyzing Object</t>
        </is>
      </c>
      <c r="H327" s="29">
        <f>MATCH(G327, {"Waiting for Input","Analyzing Object","Found Object","Needs Help","Confused","None"}, 0) - 1</f>
        <v/>
      </c>
      <c r="I327" s="31" t="inlineStr">
        <is>
          <t>Needs Help</t>
        </is>
      </c>
      <c r="J327" s="29">
        <f>MATCH(I327, {"Waiting for Input","Analyzing Object","Found Object","Needs Help","Confused","None"}, 0) - 1</f>
        <v/>
      </c>
      <c r="K327" s="29" t="n">
        <v>1</v>
      </c>
      <c r="L327" s="29">
        <f>IF(H327=J327, 1, 0)</f>
        <v/>
      </c>
    </row>
    <row r="328">
      <c r="D328" s="29" t="n">
        <v>303</v>
      </c>
      <c r="E328" s="29" t="inlineStr">
        <is>
          <t>2</t>
        </is>
      </c>
      <c r="F328" s="30" t="inlineStr">
        <is>
          <t>Random</t>
        </is>
      </c>
      <c r="G328" s="29" t="inlineStr">
        <is>
          <t>Analyzing Object</t>
        </is>
      </c>
      <c r="H328" s="29">
        <f>MATCH(G328, {"Waiting for Input","Analyzing Object","Found Object","Needs Help","Confused","None"}, 0) - 1</f>
        <v/>
      </c>
      <c r="I328" s="31" t="inlineStr">
        <is>
          <t>Analyzing Object</t>
        </is>
      </c>
      <c r="J328" s="29">
        <f>MATCH(I328, {"Waiting for Input","Analyzing Object","Found Object","Needs Help","Confused","None"}, 0) - 1</f>
        <v/>
      </c>
      <c r="K328" s="29" t="n">
        <v>1</v>
      </c>
      <c r="L328" s="29">
        <f>IF(H328=J328, 1, 0)</f>
        <v/>
      </c>
    </row>
    <row r="329">
      <c r="D329" s="29" t="n">
        <v>304</v>
      </c>
      <c r="E329" s="29" t="inlineStr">
        <is>
          <t>2</t>
        </is>
      </c>
      <c r="F329" s="30" t="inlineStr">
        <is>
          <t>Random</t>
        </is>
      </c>
      <c r="G329" s="29" t="inlineStr">
        <is>
          <t>Analyzing Object</t>
        </is>
      </c>
      <c r="H329" s="29">
        <f>MATCH(G329, {"Waiting for Input","Analyzing Object","Found Object","Needs Help","Confused","None"}, 0) - 1</f>
        <v/>
      </c>
      <c r="I329" s="31" t="inlineStr">
        <is>
          <t>Waiting for Input</t>
        </is>
      </c>
      <c r="J329" s="29">
        <f>MATCH(I329, {"Waiting for Input","Analyzing Object","Found Object","Needs Help","Confused","None"}, 0) - 1</f>
        <v/>
      </c>
      <c r="K329" s="29" t="n">
        <v>4</v>
      </c>
      <c r="L329" s="29">
        <f>IF(H329=J329, 1, 0)</f>
        <v/>
      </c>
    </row>
    <row r="330">
      <c r="D330" s="29" t="n">
        <v>305</v>
      </c>
      <c r="E330" s="29" t="inlineStr">
        <is>
          <t>1</t>
        </is>
      </c>
      <c r="F330" s="30" t="inlineStr">
        <is>
          <t>Random</t>
        </is>
      </c>
      <c r="G330" s="29" t="inlineStr">
        <is>
          <t>Analyzing Object</t>
        </is>
      </c>
      <c r="H330" s="29">
        <f>MATCH(G330, {"Waiting for Input","Analyzing Object","Found Object","Needs Help","Confused","None"}, 0) - 1</f>
        <v/>
      </c>
      <c r="I330" s="31" t="inlineStr">
        <is>
          <t>Waiting for Input</t>
        </is>
      </c>
      <c r="J330" s="29">
        <f>MATCH(I330, {"Waiting for Input","Analyzing Object","Found Object","Needs Help","Confused","None"}, 0) - 1</f>
        <v/>
      </c>
      <c r="K330" s="29" t="n">
        <v>5</v>
      </c>
      <c r="L330" s="29">
        <f>IF(H330=J330, 1, 0)</f>
        <v/>
      </c>
    </row>
    <row r="331">
      <c r="D331" s="29" t="n">
        <v>306</v>
      </c>
      <c r="E331" s="29" t="inlineStr">
        <is>
          <t>2</t>
        </is>
      </c>
      <c r="F331" s="30" t="inlineStr">
        <is>
          <t>Random</t>
        </is>
      </c>
      <c r="G331" s="29" t="inlineStr">
        <is>
          <t>Analyzing Object</t>
        </is>
      </c>
      <c r="H331" s="29">
        <f>MATCH(G331, {"Waiting for Input","Analyzing Object","Found Object","Needs Help","Confused","None"}, 0) - 1</f>
        <v/>
      </c>
      <c r="I331" s="31" t="inlineStr">
        <is>
          <t>Confused</t>
        </is>
      </c>
      <c r="J331" s="29">
        <f>MATCH(I331, {"Waiting for Input","Analyzing Object","Found Object","Needs Help","Confused","None"}, 0) - 1</f>
        <v/>
      </c>
      <c r="K331" s="29" t="n">
        <v>5</v>
      </c>
      <c r="L331" s="29">
        <f>IF(H331=J331, 1, 0)</f>
        <v/>
      </c>
    </row>
    <row r="332">
      <c r="D332" s="29" t="n">
        <v>307</v>
      </c>
      <c r="E332" s="29" t="inlineStr">
        <is>
          <t>1</t>
        </is>
      </c>
      <c r="F332" s="30" t="inlineStr">
        <is>
          <t>Random</t>
        </is>
      </c>
      <c r="G332" s="29" t="inlineStr">
        <is>
          <t>Analyzing Object</t>
        </is>
      </c>
      <c r="H332" s="29">
        <f>MATCH(G332, {"Waiting for Input","Analyzing Object","Found Object","Needs Help","Confused","None"}, 0) - 1</f>
        <v/>
      </c>
      <c r="I332" s="31" t="inlineStr">
        <is>
          <t>Waiting for Input</t>
        </is>
      </c>
      <c r="J332" s="29">
        <f>MATCH(I332, {"Waiting for Input","Analyzing Object","Found Object","Needs Help","Confused","None"}, 0) - 1</f>
        <v/>
      </c>
      <c r="K332" s="29" t="n">
        <v>3</v>
      </c>
      <c r="L332" s="29">
        <f>IF(H332=J332, 1, 0)</f>
        <v/>
      </c>
    </row>
    <row r="333">
      <c r="D333" s="29" t="n">
        <v>308</v>
      </c>
      <c r="E333" s="29" t="inlineStr">
        <is>
          <t>1</t>
        </is>
      </c>
      <c r="F333" s="30" t="inlineStr">
        <is>
          <t>Random</t>
        </is>
      </c>
      <c r="G333" s="29" t="inlineStr">
        <is>
          <t>Analyzing Object</t>
        </is>
      </c>
      <c r="H333" s="29">
        <f>MATCH(G333, {"Waiting for Input","Analyzing Object","Found Object","Needs Help","Confused","None"}, 0) - 1</f>
        <v/>
      </c>
      <c r="I333" s="31" t="inlineStr">
        <is>
          <t>None</t>
        </is>
      </c>
      <c r="J333" s="29">
        <f>MATCH(I333, {"Waiting for Input","Analyzing Object","Found Object","Needs Help","Confused","None"}, 0) - 1</f>
        <v/>
      </c>
      <c r="K333" s="29" t="n">
        <v>2</v>
      </c>
      <c r="L333" s="29">
        <f>IF(H333=J333, 1, 0)</f>
        <v/>
      </c>
    </row>
    <row r="334">
      <c r="D334" s="29" t="n">
        <v>309</v>
      </c>
      <c r="E334" s="29" t="inlineStr">
        <is>
          <t>1</t>
        </is>
      </c>
      <c r="F334" s="30" t="inlineStr">
        <is>
          <t>Random</t>
        </is>
      </c>
      <c r="G334" s="29" t="inlineStr">
        <is>
          <t>Analyzing Object</t>
        </is>
      </c>
      <c r="H334" s="29">
        <f>MATCH(G334, {"Waiting for Input","Analyzing Object","Found Object","Needs Help","Confused","None"}, 0) - 1</f>
        <v/>
      </c>
      <c r="I334" s="31" t="inlineStr">
        <is>
          <t>Needs Help</t>
        </is>
      </c>
      <c r="J334" s="29">
        <f>MATCH(I334, {"Waiting for Input","Analyzing Object","Found Object","Needs Help","Confused","None"}, 0) - 1</f>
        <v/>
      </c>
      <c r="K334" s="29" t="n">
        <v>2</v>
      </c>
      <c r="L334" s="29">
        <f>IF(H334=J334, 1, 0)</f>
        <v/>
      </c>
    </row>
    <row r="335">
      <c r="D335" s="29" t="n">
        <v>310</v>
      </c>
      <c r="E335" s="29" t="inlineStr">
        <is>
          <t>2</t>
        </is>
      </c>
      <c r="F335" s="30" t="inlineStr">
        <is>
          <t>Random</t>
        </is>
      </c>
      <c r="G335" s="29" t="inlineStr">
        <is>
          <t>Analyzing Object</t>
        </is>
      </c>
      <c r="H335" s="29">
        <f>MATCH(G335, {"Waiting for Input","Analyzing Object","Found Object","Needs Help","Confused","None"}, 0) - 1</f>
        <v/>
      </c>
      <c r="I335" s="31" t="inlineStr">
        <is>
          <t>Confused</t>
        </is>
      </c>
      <c r="J335" s="29">
        <f>MATCH(I335, {"Waiting for Input","Analyzing Object","Found Object","Needs Help","Confused","None"}, 0) - 1</f>
        <v/>
      </c>
      <c r="K335" s="29" t="n">
        <v>3</v>
      </c>
      <c r="L335" s="29">
        <f>IF(H335=J335, 1, 0)</f>
        <v/>
      </c>
    </row>
    <row r="336">
      <c r="D336" s="29" t="n">
        <v>311</v>
      </c>
      <c r="E336" s="29" t="inlineStr">
        <is>
          <t>2</t>
        </is>
      </c>
      <c r="F336" s="30" t="inlineStr">
        <is>
          <t>Random</t>
        </is>
      </c>
      <c r="G336" s="29" t="inlineStr">
        <is>
          <t>Analyzing Object</t>
        </is>
      </c>
      <c r="H336" s="29">
        <f>MATCH(G336, {"Waiting for Input","Analyzing Object","Found Object","Needs Help","Confused","None"}, 0) - 1</f>
        <v/>
      </c>
      <c r="I336" s="31" t="inlineStr">
        <is>
          <t>Needs Help</t>
        </is>
      </c>
      <c r="J336" s="29">
        <f>MATCH(I336, {"Waiting for Input","Analyzing Object","Found Object","Needs Help","Confused","None"}, 0) - 1</f>
        <v/>
      </c>
      <c r="K336" s="29" t="n">
        <v>4</v>
      </c>
      <c r="L336" s="29">
        <f>IF(H336=J336, 1, 0)</f>
        <v/>
      </c>
    </row>
    <row r="337">
      <c r="D337" s="29" t="n">
        <v>312</v>
      </c>
      <c r="E337" s="29" t="inlineStr">
        <is>
          <t>2</t>
        </is>
      </c>
      <c r="F337" s="30" t="inlineStr">
        <is>
          <t>Random</t>
        </is>
      </c>
      <c r="G337" s="29" t="inlineStr">
        <is>
          <t>Analyzing Object</t>
        </is>
      </c>
      <c r="H337" s="29">
        <f>MATCH(G337, {"Waiting for Input","Analyzing Object","Found Object","Needs Help","Confused","None"}, 0) - 1</f>
        <v/>
      </c>
      <c r="I337" s="31" t="inlineStr">
        <is>
          <t>Waiting for Input</t>
        </is>
      </c>
      <c r="J337" s="29">
        <f>MATCH(I337, {"Waiting for Input","Analyzing Object","Found Object","Needs Help","Confused","None"}, 0) - 1</f>
        <v/>
      </c>
      <c r="K337" s="29" t="n">
        <v>3</v>
      </c>
      <c r="L337" s="29">
        <f>IF(H337=J337, 1, 0)</f>
        <v/>
      </c>
    </row>
    <row r="338">
      <c r="D338" s="29" t="n">
        <v>313</v>
      </c>
      <c r="E338" s="29" t="inlineStr">
        <is>
          <t>2</t>
        </is>
      </c>
      <c r="F338" s="30" t="inlineStr">
        <is>
          <t>Random</t>
        </is>
      </c>
      <c r="G338" s="29" t="inlineStr">
        <is>
          <t>Analyzing Object</t>
        </is>
      </c>
      <c r="H338" s="29">
        <f>MATCH(G338, {"Waiting for Input","Analyzing Object","Found Object","Needs Help","Confused","None"}, 0) - 1</f>
        <v/>
      </c>
      <c r="I338" s="31" t="inlineStr">
        <is>
          <t>Needs Help</t>
        </is>
      </c>
      <c r="J338" s="29">
        <f>MATCH(I338, {"Waiting for Input","Analyzing Object","Found Object","Needs Help","Confused","None"}, 0) - 1</f>
        <v/>
      </c>
      <c r="K338" s="29" t="n">
        <v>3</v>
      </c>
      <c r="L338" s="29">
        <f>IF(H338=J338, 1, 0)</f>
        <v/>
      </c>
    </row>
    <row r="339">
      <c r="D339" s="29" t="n">
        <v>314</v>
      </c>
      <c r="E339" s="29" t="inlineStr">
        <is>
          <t>1</t>
        </is>
      </c>
      <c r="F339" s="30" t="inlineStr">
        <is>
          <t>Random</t>
        </is>
      </c>
      <c r="G339" s="29" t="inlineStr">
        <is>
          <t>Analyzing Object</t>
        </is>
      </c>
      <c r="H339" s="29">
        <f>MATCH(G339, {"Waiting for Input","Analyzing Object","Found Object","Needs Help","Confused","None"}, 0) - 1</f>
        <v/>
      </c>
      <c r="I339" s="31" t="inlineStr">
        <is>
          <t>Needs Help</t>
        </is>
      </c>
      <c r="J339" s="29">
        <f>MATCH(I339, {"Waiting for Input","Analyzing Object","Found Object","Needs Help","Confused","None"}, 0) - 1</f>
        <v/>
      </c>
      <c r="K339" s="29" t="n">
        <v>5</v>
      </c>
      <c r="L339" s="29">
        <f>IF(H339=J339, 1, 0)</f>
        <v/>
      </c>
    </row>
    <row r="340">
      <c r="D340" s="29" t="n">
        <v>315</v>
      </c>
      <c r="E340" s="29" t="inlineStr">
        <is>
          <t>1</t>
        </is>
      </c>
      <c r="F340" s="30" t="inlineStr">
        <is>
          <t>Random</t>
        </is>
      </c>
      <c r="G340" s="29" t="inlineStr">
        <is>
          <t>Analyzing Object</t>
        </is>
      </c>
      <c r="H340" s="29">
        <f>MATCH(G340, {"Waiting for Input","Analyzing Object","Found Object","Needs Help","Confused","None"}, 0) - 1</f>
        <v/>
      </c>
      <c r="I340" s="31" t="inlineStr">
        <is>
          <t>Needs Help</t>
        </is>
      </c>
      <c r="J340" s="29">
        <f>MATCH(I340, {"Waiting for Input","Analyzing Object","Found Object","Needs Help","Confused","None"}, 0) - 1</f>
        <v/>
      </c>
      <c r="K340" s="29" t="n">
        <v>2</v>
      </c>
      <c r="L340" s="29">
        <f>IF(H340=J340, 1, 0)</f>
        <v/>
      </c>
    </row>
    <row r="341">
      <c r="D341" s="29" t="n">
        <v>316</v>
      </c>
      <c r="E341" s="29" t="inlineStr">
        <is>
          <t>1</t>
        </is>
      </c>
      <c r="F341" s="30" t="inlineStr">
        <is>
          <t>Random</t>
        </is>
      </c>
      <c r="G341" s="29" t="inlineStr">
        <is>
          <t>Analyzing Object</t>
        </is>
      </c>
      <c r="H341" s="29">
        <f>MATCH(G341, {"Waiting for Input","Analyzing Object","Found Object","Needs Help","Confused","None"}, 0) - 1</f>
        <v/>
      </c>
      <c r="I341" s="31" t="inlineStr">
        <is>
          <t>Needs Help</t>
        </is>
      </c>
      <c r="J341" s="29">
        <f>MATCH(I341, {"Waiting for Input","Analyzing Object","Found Object","Needs Help","Confused","None"}, 0) - 1</f>
        <v/>
      </c>
      <c r="K341" s="29" t="n">
        <v>3</v>
      </c>
      <c r="L341" s="29">
        <f>IF(H341=J341, 1, 0)</f>
        <v/>
      </c>
    </row>
    <row r="342">
      <c r="D342" s="29" t="n">
        <v>317</v>
      </c>
      <c r="E342" s="29" t="inlineStr">
        <is>
          <t>2</t>
        </is>
      </c>
      <c r="F342" s="30" t="inlineStr">
        <is>
          <t>Random</t>
        </is>
      </c>
      <c r="G342" s="29" t="inlineStr">
        <is>
          <t>Analyzing Object</t>
        </is>
      </c>
      <c r="H342" s="29">
        <f>MATCH(G342, {"Waiting for Input","Analyzing Object","Found Object","Needs Help","Confused","None"}, 0) - 1</f>
        <v/>
      </c>
      <c r="I342" s="31" t="inlineStr">
        <is>
          <t>Needs Help</t>
        </is>
      </c>
      <c r="J342" s="29">
        <f>MATCH(I342, {"Waiting for Input","Analyzing Object","Found Object","Needs Help","Confused","None"}, 0) - 1</f>
        <v/>
      </c>
      <c r="K342" s="29" t="n">
        <v>2</v>
      </c>
      <c r="L342" s="29">
        <f>IF(H342=J342, 1, 0)</f>
        <v/>
      </c>
    </row>
    <row r="343">
      <c r="D343" s="29" t="n">
        <v>318</v>
      </c>
      <c r="E343" s="29" t="inlineStr">
        <is>
          <t>2</t>
        </is>
      </c>
      <c r="F343" s="30" t="inlineStr">
        <is>
          <t>Random</t>
        </is>
      </c>
      <c r="G343" s="29" t="inlineStr">
        <is>
          <t>Analyzing Object</t>
        </is>
      </c>
      <c r="H343" s="29">
        <f>MATCH(G343, {"Waiting for Input","Analyzing Object","Found Object","Needs Help","Confused","None"}, 0) - 1</f>
        <v/>
      </c>
      <c r="I343" s="31" t="inlineStr">
        <is>
          <t>Needs Help</t>
        </is>
      </c>
      <c r="J343" s="29">
        <f>MATCH(I343, {"Waiting for Input","Analyzing Object","Found Object","Needs Help","Confused","None"}, 0) - 1</f>
        <v/>
      </c>
      <c r="K343" s="29" t="n">
        <v>2</v>
      </c>
      <c r="L343" s="29">
        <f>IF(H343=J343, 1, 0)</f>
        <v/>
      </c>
    </row>
    <row r="344">
      <c r="D344" s="29" t="n">
        <v>319</v>
      </c>
      <c r="E344" s="29" t="inlineStr">
        <is>
          <t>1</t>
        </is>
      </c>
      <c r="F344" s="30" t="inlineStr">
        <is>
          <t>Random</t>
        </is>
      </c>
      <c r="G344" s="29" t="inlineStr">
        <is>
          <t>Analyzing Object</t>
        </is>
      </c>
      <c r="H344" s="29">
        <f>MATCH(G344, {"Waiting for Input","Analyzing Object","Found Object","Needs Help","Confused","None"}, 0) - 1</f>
        <v/>
      </c>
      <c r="I344" s="31" t="inlineStr">
        <is>
          <t>Waiting for Input</t>
        </is>
      </c>
      <c r="J344" s="29">
        <f>MATCH(I344, {"Waiting for Input","Analyzing Object","Found Object","Needs Help","Confused","None"}, 0) - 1</f>
        <v/>
      </c>
      <c r="K344" s="29" t="n">
        <v>5</v>
      </c>
      <c r="L344" s="29">
        <f>IF(H344=J344, 1, 0)</f>
        <v/>
      </c>
    </row>
    <row r="345">
      <c r="D345" s="29" t="n">
        <v>320</v>
      </c>
      <c r="E345" s="29" t="inlineStr">
        <is>
          <t>1</t>
        </is>
      </c>
      <c r="F345" s="30" t="inlineStr">
        <is>
          <t>Random</t>
        </is>
      </c>
      <c r="G345" s="29" t="inlineStr">
        <is>
          <t>Analyzing Object</t>
        </is>
      </c>
      <c r="H345" s="29">
        <f>MATCH(G345, {"Waiting for Input","Analyzing Object","Found Object","Needs Help","Confused","None"}, 0) - 1</f>
        <v/>
      </c>
      <c r="I345" s="31" t="inlineStr">
        <is>
          <t>Found Object</t>
        </is>
      </c>
      <c r="J345" s="29">
        <f>MATCH(I345, {"Waiting for Input","Analyzing Object","Found Object","Needs Help","Confused","None"}, 0) - 1</f>
        <v/>
      </c>
      <c r="K345" s="29" t="n">
        <v>2</v>
      </c>
      <c r="L345" s="29">
        <f>IF(H345=J345, 1, 0)</f>
        <v/>
      </c>
    </row>
    <row r="346">
      <c r="D346" s="29" t="n">
        <v>321</v>
      </c>
      <c r="E346" s="29" t="inlineStr">
        <is>
          <t>2</t>
        </is>
      </c>
      <c r="F346" s="30" t="inlineStr">
        <is>
          <t>Random</t>
        </is>
      </c>
      <c r="G346" s="29" t="inlineStr">
        <is>
          <t>Analyzing Object</t>
        </is>
      </c>
      <c r="H346" s="29">
        <f>MATCH(G346, {"Waiting for Input","Analyzing Object","Found Object","Needs Help","Confused","None"}, 0) - 1</f>
        <v/>
      </c>
      <c r="I346" s="31" t="inlineStr">
        <is>
          <t>Confused</t>
        </is>
      </c>
      <c r="J346" s="29">
        <f>MATCH(I346, {"Waiting for Input","Analyzing Object","Found Object","Needs Help","Confused","None"}, 0) - 1</f>
        <v/>
      </c>
      <c r="K346" s="29" t="n">
        <v>4</v>
      </c>
      <c r="L346" s="29">
        <f>IF(H346=J346, 1, 0)</f>
        <v/>
      </c>
    </row>
    <row r="347">
      <c r="D347" s="29" t="n">
        <v>322</v>
      </c>
      <c r="E347" s="29" t="inlineStr">
        <is>
          <t>2</t>
        </is>
      </c>
      <c r="F347" s="30" t="inlineStr">
        <is>
          <t>Random</t>
        </is>
      </c>
      <c r="G347" s="29" t="inlineStr">
        <is>
          <t>Analyzing Object</t>
        </is>
      </c>
      <c r="H347" s="29">
        <f>MATCH(G347, {"Waiting for Input","Analyzing Object","Found Object","Needs Help","Confused","None"}, 0) - 1</f>
        <v/>
      </c>
      <c r="I347" s="31" t="inlineStr">
        <is>
          <t>Needs Help</t>
        </is>
      </c>
      <c r="J347" s="29">
        <f>MATCH(I347, {"Waiting for Input","Analyzing Object","Found Object","Needs Help","Confused","None"}, 0) - 1</f>
        <v/>
      </c>
      <c r="K347" s="29" t="n">
        <v>5</v>
      </c>
      <c r="L347" s="29">
        <f>IF(H347=J347, 1, 0)</f>
        <v/>
      </c>
    </row>
    <row r="348">
      <c r="D348" s="29" t="n">
        <v>323</v>
      </c>
      <c r="E348" s="29" t="inlineStr">
        <is>
          <t>1</t>
        </is>
      </c>
      <c r="F348" s="30" t="inlineStr">
        <is>
          <t>Random</t>
        </is>
      </c>
      <c r="G348" s="29" t="inlineStr">
        <is>
          <t>Analyzing Object</t>
        </is>
      </c>
      <c r="H348" s="29">
        <f>MATCH(G348, {"Waiting for Input","Analyzing Object","Found Object","Needs Help","Confused","None"}, 0) - 1</f>
        <v/>
      </c>
      <c r="I348" s="31" t="inlineStr">
        <is>
          <t>Waiting for Input</t>
        </is>
      </c>
      <c r="J348" s="29">
        <f>MATCH(I348, {"Waiting for Input","Analyzing Object","Found Object","Needs Help","Confused","None"}, 0) - 1</f>
        <v/>
      </c>
      <c r="K348" s="29" t="n">
        <v>2</v>
      </c>
      <c r="L348" s="29">
        <f>IF(H348=J348, 1, 0)</f>
        <v/>
      </c>
    </row>
    <row r="349">
      <c r="D349" s="29" t="n">
        <v>324</v>
      </c>
      <c r="E349" s="29" t="inlineStr">
        <is>
          <t>1</t>
        </is>
      </c>
      <c r="F349" s="30" t="inlineStr">
        <is>
          <t>Random</t>
        </is>
      </c>
      <c r="G349" s="29" t="inlineStr">
        <is>
          <t>Analyzing Object</t>
        </is>
      </c>
      <c r="H349" s="29">
        <f>MATCH(G349, {"Waiting for Input","Analyzing Object","Found Object","Needs Help","Confused","None"}, 0) - 1</f>
        <v/>
      </c>
      <c r="I349" s="31" t="inlineStr">
        <is>
          <t>Confused</t>
        </is>
      </c>
      <c r="J349" s="29">
        <f>MATCH(I349, {"Waiting for Input","Analyzing Object","Found Object","Needs Help","Confused","None"}, 0) - 1</f>
        <v/>
      </c>
      <c r="K349" s="29" t="n">
        <v>2</v>
      </c>
      <c r="L349" s="29">
        <f>IF(H349=J349, 1, 0)</f>
        <v/>
      </c>
    </row>
    <row r="350">
      <c r="D350" s="29" t="n">
        <v>325</v>
      </c>
      <c r="E350" s="29" t="inlineStr">
        <is>
          <t>2</t>
        </is>
      </c>
      <c r="F350" s="30" t="inlineStr">
        <is>
          <t>Random</t>
        </is>
      </c>
      <c r="G350" s="29" t="inlineStr">
        <is>
          <t>Analyzing Object</t>
        </is>
      </c>
      <c r="H350" s="29">
        <f>MATCH(G350, {"Waiting for Input","Analyzing Object","Found Object","Needs Help","Confused","None"}, 0) - 1</f>
        <v/>
      </c>
      <c r="I350" s="31" t="inlineStr">
        <is>
          <t>Needs Help</t>
        </is>
      </c>
      <c r="J350" s="29">
        <f>MATCH(I350, {"Waiting for Input","Analyzing Object","Found Object","Needs Help","Confused","None"}, 0) - 1</f>
        <v/>
      </c>
      <c r="K350" s="29" t="n">
        <v>2</v>
      </c>
      <c r="L350" s="29">
        <f>IF(H350=J350, 1, 0)</f>
        <v/>
      </c>
    </row>
    <row r="351">
      <c r="D351" s="29" t="n">
        <v>326</v>
      </c>
      <c r="E351" s="29" t="inlineStr">
        <is>
          <t>2</t>
        </is>
      </c>
      <c r="F351" s="30" t="inlineStr">
        <is>
          <t>Random</t>
        </is>
      </c>
      <c r="G351" s="29" t="inlineStr">
        <is>
          <t>Analyzing Object</t>
        </is>
      </c>
      <c r="H351" s="29">
        <f>MATCH(G351, {"Waiting for Input","Analyzing Object","Found Object","Needs Help","Confused","None"}, 0) - 1</f>
        <v/>
      </c>
      <c r="I351" s="31" t="inlineStr">
        <is>
          <t>Needs Help</t>
        </is>
      </c>
      <c r="J351" s="29">
        <f>MATCH(I351, {"Waiting for Input","Analyzing Object","Found Object","Needs Help","Confused","None"}, 0) - 1</f>
        <v/>
      </c>
      <c r="K351" s="29" t="n">
        <v>3</v>
      </c>
      <c r="L351" s="29">
        <f>IF(H351=J351, 1, 0)</f>
        <v/>
      </c>
    </row>
    <row r="352">
      <c r="D352" s="29" t="n">
        <v>327</v>
      </c>
      <c r="E352" s="29" t="inlineStr">
        <is>
          <t>2</t>
        </is>
      </c>
      <c r="F352" s="30" t="inlineStr">
        <is>
          <t>Random</t>
        </is>
      </c>
      <c r="G352" s="29" t="inlineStr">
        <is>
          <t>Analyzing Object</t>
        </is>
      </c>
      <c r="H352" s="29">
        <f>MATCH(G352, {"Waiting for Input","Analyzing Object","Found Object","Needs Help","Confused","None"}, 0) - 1</f>
        <v/>
      </c>
      <c r="I352" s="31" t="inlineStr">
        <is>
          <t>Found Object</t>
        </is>
      </c>
      <c r="J352" s="29">
        <f>MATCH(I352, {"Waiting for Input","Analyzing Object","Found Object","Needs Help","Confused","None"}, 0) - 1</f>
        <v/>
      </c>
      <c r="K352" s="29" t="n">
        <v>3</v>
      </c>
      <c r="L352" s="29">
        <f>IF(H352=J352, 1, 0)</f>
        <v/>
      </c>
    </row>
    <row r="353">
      <c r="D353" s="29" t="n">
        <v>328</v>
      </c>
      <c r="E353" s="29" t="inlineStr">
        <is>
          <t>2</t>
        </is>
      </c>
      <c r="F353" s="30" t="inlineStr">
        <is>
          <t>Random</t>
        </is>
      </c>
      <c r="G353" s="29" t="inlineStr">
        <is>
          <t>Analyzing Object</t>
        </is>
      </c>
      <c r="H353" s="29">
        <f>MATCH(G353, {"Waiting for Input","Analyzing Object","Found Object","Needs Help","Confused","None"}, 0) - 1</f>
        <v/>
      </c>
      <c r="I353" s="31" t="inlineStr">
        <is>
          <t>Needs Help</t>
        </is>
      </c>
      <c r="J353" s="29">
        <f>MATCH(I353, {"Waiting for Input","Analyzing Object","Found Object","Needs Help","Confused","None"}, 0) - 1</f>
        <v/>
      </c>
      <c r="K353" s="29" t="n">
        <v>3</v>
      </c>
      <c r="L353" s="29">
        <f>IF(H353=J353, 1, 0)</f>
        <v/>
      </c>
    </row>
    <row r="354">
      <c r="D354" s="29" t="n">
        <v>329</v>
      </c>
      <c r="E354" s="29" t="inlineStr">
        <is>
          <t>2</t>
        </is>
      </c>
      <c r="F354" s="30" t="inlineStr">
        <is>
          <t>Random</t>
        </is>
      </c>
      <c r="G354" s="29" t="inlineStr">
        <is>
          <t>Analyzing Object</t>
        </is>
      </c>
      <c r="H354" s="29">
        <f>MATCH(G354, {"Waiting for Input","Analyzing Object","Found Object","Needs Help","Confused","None"}, 0) - 1</f>
        <v/>
      </c>
      <c r="I354" s="31" t="inlineStr">
        <is>
          <t>Needs Help</t>
        </is>
      </c>
      <c r="J354" s="29">
        <f>MATCH(I354, {"Waiting for Input","Analyzing Object","Found Object","Needs Help","Confused","None"}, 0) - 1</f>
        <v/>
      </c>
      <c r="K354" s="29" t="n">
        <v>1</v>
      </c>
      <c r="L354" s="29">
        <f>IF(H354=J354, 1, 0)</f>
        <v/>
      </c>
    </row>
    <row r="355">
      <c r="D355" s="29" t="n">
        <v>330</v>
      </c>
      <c r="E355" s="29" t="inlineStr">
        <is>
          <t>2</t>
        </is>
      </c>
      <c r="F355" s="30" t="inlineStr">
        <is>
          <t>Random</t>
        </is>
      </c>
      <c r="G355" s="29" t="inlineStr">
        <is>
          <t>Analyzing Object</t>
        </is>
      </c>
      <c r="H355" s="29">
        <f>MATCH(G355, {"Waiting for Input","Analyzing Object","Found Object","Needs Help","Confused","None"}, 0) - 1</f>
        <v/>
      </c>
      <c r="I355" s="31" t="inlineStr">
        <is>
          <t>None</t>
        </is>
      </c>
      <c r="J355" s="29">
        <f>MATCH(I355, {"Waiting for Input","Analyzing Object","Found Object","Needs Help","Confused","None"}, 0) - 1</f>
        <v/>
      </c>
      <c r="K355" s="29" t="n">
        <v>3</v>
      </c>
      <c r="L355" s="29">
        <f>IF(H355=J355, 1, 0)</f>
        <v/>
      </c>
    </row>
    <row r="356">
      <c r="D356" s="29" t="n">
        <v>331</v>
      </c>
      <c r="E356" s="29" t="inlineStr">
        <is>
          <t>1</t>
        </is>
      </c>
      <c r="F356" s="30" t="inlineStr">
        <is>
          <t>Random</t>
        </is>
      </c>
      <c r="G356" s="29" t="inlineStr">
        <is>
          <t>Analyzing Object</t>
        </is>
      </c>
      <c r="H356" s="29">
        <f>MATCH(G356, {"Waiting for Input","Analyzing Object","Found Object","Needs Help","Confused","None"}, 0) - 1</f>
        <v/>
      </c>
      <c r="I356" s="31" t="inlineStr">
        <is>
          <t>Needs Help</t>
        </is>
      </c>
      <c r="J356" s="29">
        <f>MATCH(I356, {"Waiting for Input","Analyzing Object","Found Object","Needs Help","Confused","None"}, 0) - 1</f>
        <v/>
      </c>
      <c r="K356" s="29" t="n">
        <v>5</v>
      </c>
      <c r="L356" s="29">
        <f>IF(H356=J356, 1, 0)</f>
        <v/>
      </c>
    </row>
    <row r="357">
      <c r="D357" s="29" t="n">
        <v>332</v>
      </c>
      <c r="E357" s="29" t="inlineStr">
        <is>
          <t>2</t>
        </is>
      </c>
      <c r="F357" s="30" t="inlineStr">
        <is>
          <t>Random</t>
        </is>
      </c>
      <c r="G357" s="29" t="inlineStr">
        <is>
          <t>Analyzing Object</t>
        </is>
      </c>
      <c r="H357" s="29">
        <f>MATCH(G357, {"Waiting for Input","Analyzing Object","Found Object","Needs Help","Confused","None"}, 0) - 1</f>
        <v/>
      </c>
      <c r="I357" s="31" t="inlineStr">
        <is>
          <t>Needs Help</t>
        </is>
      </c>
      <c r="J357" s="29">
        <f>MATCH(I357, {"Waiting for Input","Analyzing Object","Found Object","Needs Help","Confused","None"}, 0) - 1</f>
        <v/>
      </c>
      <c r="K357" s="29" t="n">
        <v>3</v>
      </c>
      <c r="L357" s="29">
        <f>IF(H357=J357, 1, 0)</f>
        <v/>
      </c>
    </row>
    <row r="358">
      <c r="D358" s="29" t="n">
        <v>333</v>
      </c>
      <c r="E358" s="29" t="inlineStr">
        <is>
          <t>1</t>
        </is>
      </c>
      <c r="F358" s="30" t="inlineStr">
        <is>
          <t>Random</t>
        </is>
      </c>
      <c r="G358" s="29" t="inlineStr">
        <is>
          <t>Analyzing Object</t>
        </is>
      </c>
      <c r="H358" s="29">
        <f>MATCH(G358, {"Waiting for Input","Analyzing Object","Found Object","Needs Help","Confused","None"}, 0) - 1</f>
        <v/>
      </c>
      <c r="I358" s="31" t="inlineStr">
        <is>
          <t>Needs Help</t>
        </is>
      </c>
      <c r="J358" s="29">
        <f>MATCH(I358, {"Waiting for Input","Analyzing Object","Found Object","Needs Help","Confused","None"}, 0) - 1</f>
        <v/>
      </c>
      <c r="K358" s="29" t="n">
        <v>2</v>
      </c>
      <c r="L358" s="29">
        <f>IF(H358=J358, 1, 0)</f>
        <v/>
      </c>
    </row>
    <row r="359">
      <c r="D359" s="29" t="n">
        <v>334</v>
      </c>
      <c r="E359" s="29" t="inlineStr">
        <is>
          <t>1</t>
        </is>
      </c>
      <c r="F359" s="30" t="inlineStr">
        <is>
          <t>Random</t>
        </is>
      </c>
      <c r="G359" s="29" t="inlineStr">
        <is>
          <t>Analyzing Object</t>
        </is>
      </c>
      <c r="H359" s="29">
        <f>MATCH(G359, {"Waiting for Input","Analyzing Object","Found Object","Needs Help","Confused","None"}, 0) - 1</f>
        <v/>
      </c>
      <c r="I359" s="31" t="inlineStr">
        <is>
          <t>Needs Help</t>
        </is>
      </c>
      <c r="J359" s="29">
        <f>MATCH(I359, {"Waiting for Input","Analyzing Object","Found Object","Needs Help","Confused","None"}, 0) - 1</f>
        <v/>
      </c>
      <c r="K359" s="29" t="n">
        <v>3</v>
      </c>
      <c r="L359" s="29">
        <f>IF(H359=J359, 1, 0)</f>
        <v/>
      </c>
    </row>
    <row r="360">
      <c r="D360" s="29" t="n">
        <v>335</v>
      </c>
      <c r="E360" s="29" t="inlineStr">
        <is>
          <t>1</t>
        </is>
      </c>
      <c r="F360" s="30" t="inlineStr">
        <is>
          <t>Random</t>
        </is>
      </c>
      <c r="G360" s="29" t="inlineStr">
        <is>
          <t>Analyzing Object</t>
        </is>
      </c>
      <c r="H360" s="29">
        <f>MATCH(G360, {"Waiting for Input","Analyzing Object","Found Object","Needs Help","Confused","None"}, 0) - 1</f>
        <v/>
      </c>
      <c r="I360" s="31" t="inlineStr">
        <is>
          <t>Needs Help</t>
        </is>
      </c>
      <c r="J360" s="29">
        <f>MATCH(I360, {"Waiting for Input","Analyzing Object","Found Object","Needs Help","Confused","None"}, 0) - 1</f>
        <v/>
      </c>
      <c r="K360" s="29" t="n">
        <v>3</v>
      </c>
      <c r="L360" s="29">
        <f>IF(H360=J360, 1, 0)</f>
        <v/>
      </c>
    </row>
    <row r="361">
      <c r="D361" s="29" t="n">
        <v>336</v>
      </c>
      <c r="E361" s="29" t="inlineStr">
        <is>
          <t>2</t>
        </is>
      </c>
      <c r="F361" s="30" t="inlineStr">
        <is>
          <t>Random</t>
        </is>
      </c>
      <c r="G361" s="29" t="inlineStr">
        <is>
          <t>Analyzing Object</t>
        </is>
      </c>
      <c r="H361" s="29">
        <f>MATCH(G361, {"Waiting for Input","Analyzing Object","Found Object","Needs Help","Confused","None"}, 0) - 1</f>
        <v/>
      </c>
      <c r="I361" s="31" t="inlineStr">
        <is>
          <t>Needs Help</t>
        </is>
      </c>
      <c r="J361" s="29">
        <f>MATCH(I361, {"Waiting for Input","Analyzing Object","Found Object","Needs Help","Confused","None"}, 0) - 1</f>
        <v/>
      </c>
      <c r="K361" s="29" t="n">
        <v>4</v>
      </c>
      <c r="L361" s="29">
        <f>IF(H361=J361, 1, 0)</f>
        <v/>
      </c>
    </row>
    <row r="362">
      <c r="D362" s="29" t="n">
        <v>337</v>
      </c>
      <c r="E362" s="29" t="inlineStr">
        <is>
          <t>2</t>
        </is>
      </c>
      <c r="F362" s="30" t="inlineStr">
        <is>
          <t>Random</t>
        </is>
      </c>
      <c r="G362" s="29" t="inlineStr">
        <is>
          <t>Analyzing Object</t>
        </is>
      </c>
      <c r="H362" s="29">
        <f>MATCH(G362, {"Waiting for Input","Analyzing Object","Found Object","Needs Help","Confused","None"}, 0) - 1</f>
        <v/>
      </c>
      <c r="I362" s="31" t="inlineStr">
        <is>
          <t>Needs Help</t>
        </is>
      </c>
      <c r="J362" s="29">
        <f>MATCH(I362, {"Waiting for Input","Analyzing Object","Found Object","Needs Help","Confused","None"}, 0) - 1</f>
        <v/>
      </c>
      <c r="K362" s="29" t="n">
        <v>5</v>
      </c>
      <c r="L362" s="29">
        <f>IF(H362=J362, 1, 0)</f>
        <v/>
      </c>
    </row>
    <row r="363">
      <c r="D363" s="29" t="n">
        <v>338</v>
      </c>
      <c r="E363" s="29" t="inlineStr">
        <is>
          <t>1</t>
        </is>
      </c>
      <c r="F363" s="30" t="inlineStr">
        <is>
          <t>Random</t>
        </is>
      </c>
      <c r="G363" s="29" t="inlineStr">
        <is>
          <t>Analyzing Object</t>
        </is>
      </c>
      <c r="H363" s="29">
        <f>MATCH(G363, {"Waiting for Input","Analyzing Object","Found Object","Needs Help","Confused","None"}, 0) - 1</f>
        <v/>
      </c>
      <c r="I363" s="31" t="inlineStr">
        <is>
          <t>None</t>
        </is>
      </c>
      <c r="J363" s="29">
        <f>MATCH(I363, {"Waiting for Input","Analyzing Object","Found Object","Needs Help","Confused","None"}, 0) - 1</f>
        <v/>
      </c>
      <c r="K363" s="29" t="n">
        <v>1</v>
      </c>
      <c r="L363" s="29">
        <f>IF(H363=J363, 1, 0)</f>
        <v/>
      </c>
    </row>
    <row r="364">
      <c r="D364" s="29" t="n">
        <v>339</v>
      </c>
      <c r="E364" s="29" t="inlineStr">
        <is>
          <t>1</t>
        </is>
      </c>
      <c r="F364" s="30" t="inlineStr">
        <is>
          <t>Random</t>
        </is>
      </c>
      <c r="G364" s="29" t="inlineStr">
        <is>
          <t>Analyzing Object</t>
        </is>
      </c>
      <c r="H364" s="29">
        <f>MATCH(G364, {"Waiting for Input","Analyzing Object","Found Object","Needs Help","Confused","None"}, 0) - 1</f>
        <v/>
      </c>
      <c r="I364" s="31" t="inlineStr">
        <is>
          <t>Needs Help</t>
        </is>
      </c>
      <c r="J364" s="29">
        <f>MATCH(I364, {"Waiting for Input","Analyzing Object","Found Object","Needs Help","Confused","None"}, 0) - 1</f>
        <v/>
      </c>
      <c r="K364" s="29" t="n">
        <v>5</v>
      </c>
      <c r="L364" s="29">
        <f>IF(H364=J364, 1, 0)</f>
        <v/>
      </c>
    </row>
    <row r="365">
      <c r="D365" s="29" t="n">
        <v>340</v>
      </c>
      <c r="E365" s="29" t="inlineStr">
        <is>
          <t>1</t>
        </is>
      </c>
      <c r="F365" s="30" t="inlineStr">
        <is>
          <t>Random</t>
        </is>
      </c>
      <c r="G365" s="29" t="inlineStr">
        <is>
          <t>Analyzing Object</t>
        </is>
      </c>
      <c r="H365" s="29">
        <f>MATCH(G365, {"Waiting for Input","Analyzing Object","Found Object","Needs Help","Confused","None"}, 0) - 1</f>
        <v/>
      </c>
      <c r="I365" s="31" t="inlineStr">
        <is>
          <t>None</t>
        </is>
      </c>
      <c r="J365" s="29">
        <f>MATCH(I365, {"Waiting for Input","Analyzing Object","Found Object","Needs Help","Confused","None"}, 0) - 1</f>
        <v/>
      </c>
      <c r="K365" s="29" t="n">
        <v>1</v>
      </c>
      <c r="L365" s="29">
        <f>IF(H365=J365, 1, 0)</f>
        <v/>
      </c>
    </row>
    <row r="366">
      <c r="D366" s="29" t="n">
        <v>341</v>
      </c>
      <c r="E366" s="29" t="inlineStr">
        <is>
          <t>2</t>
        </is>
      </c>
      <c r="F366" s="30" t="inlineStr">
        <is>
          <t>Random</t>
        </is>
      </c>
      <c r="G366" s="29" t="inlineStr">
        <is>
          <t>Analyzing Object</t>
        </is>
      </c>
      <c r="H366" s="29">
        <f>MATCH(G366, {"Waiting for Input","Analyzing Object","Found Object","Needs Help","Confused","None"}, 0) - 1</f>
        <v/>
      </c>
      <c r="I366" s="31" t="inlineStr">
        <is>
          <t>None</t>
        </is>
      </c>
      <c r="J366" s="29">
        <f>MATCH(I366, {"Waiting for Input","Analyzing Object","Found Object","Needs Help","Confused","None"}, 0) - 1</f>
        <v/>
      </c>
      <c r="K366" s="29" t="n">
        <v>2</v>
      </c>
      <c r="L366" s="29">
        <f>IF(H366=J366, 1, 0)</f>
        <v/>
      </c>
    </row>
    <row r="367">
      <c r="D367" s="29" t="n">
        <v>342</v>
      </c>
      <c r="E367" s="29" t="inlineStr">
        <is>
          <t>2</t>
        </is>
      </c>
      <c r="F367" s="30" t="inlineStr">
        <is>
          <t>Random</t>
        </is>
      </c>
      <c r="G367" s="29" t="inlineStr">
        <is>
          <t>Analyzing Object</t>
        </is>
      </c>
      <c r="H367" s="29">
        <f>MATCH(G367, {"Waiting for Input","Analyzing Object","Found Object","Needs Help","Confused","None"}, 0) - 1</f>
        <v/>
      </c>
      <c r="I367" s="31" t="inlineStr">
        <is>
          <t>Needs Help</t>
        </is>
      </c>
      <c r="J367" s="29">
        <f>MATCH(I367, {"Waiting for Input","Analyzing Object","Found Object","Needs Help","Confused","None"}, 0) - 1</f>
        <v/>
      </c>
      <c r="K367" s="29" t="n">
        <v>3</v>
      </c>
      <c r="L367" s="29">
        <f>IF(H367=J367, 1, 0)</f>
        <v/>
      </c>
    </row>
    <row r="368">
      <c r="D368" s="29" t="n">
        <v>343</v>
      </c>
      <c r="E368" s="29" t="inlineStr">
        <is>
          <t>2</t>
        </is>
      </c>
      <c r="F368" s="30" t="inlineStr">
        <is>
          <t>Random</t>
        </is>
      </c>
      <c r="G368" s="29" t="inlineStr">
        <is>
          <t>Analyzing Object</t>
        </is>
      </c>
      <c r="H368" s="29">
        <f>MATCH(G368, {"Waiting for Input","Analyzing Object","Found Object","Needs Help","Confused","None"}, 0) - 1</f>
        <v/>
      </c>
      <c r="I368" s="31" t="inlineStr">
        <is>
          <t>Needs Help</t>
        </is>
      </c>
      <c r="J368" s="29">
        <f>MATCH(I368, {"Waiting for Input","Analyzing Object","Found Object","Needs Help","Confused","None"}, 0) - 1</f>
        <v/>
      </c>
      <c r="K368" s="29" t="n">
        <v>1</v>
      </c>
      <c r="L368" s="29">
        <f>IF(H368=J368, 1, 0)</f>
        <v/>
      </c>
    </row>
    <row r="369">
      <c r="D369" s="29" t="n">
        <v>344</v>
      </c>
      <c r="E369" s="29" t="inlineStr">
        <is>
          <t>2</t>
        </is>
      </c>
      <c r="F369" s="30" t="inlineStr">
        <is>
          <t>Random</t>
        </is>
      </c>
      <c r="G369" s="29" t="inlineStr">
        <is>
          <t>Analyzing Object</t>
        </is>
      </c>
      <c r="H369" s="29">
        <f>MATCH(G369, {"Waiting for Input","Analyzing Object","Found Object","Needs Help","Confused","None"}, 0) - 1</f>
        <v/>
      </c>
      <c r="I369" s="31" t="inlineStr">
        <is>
          <t>Confused</t>
        </is>
      </c>
      <c r="J369" s="29">
        <f>MATCH(I369, {"Waiting for Input","Analyzing Object","Found Object","Needs Help","Confused","None"}, 0) - 1</f>
        <v/>
      </c>
      <c r="K369" s="29" t="n">
        <v>3</v>
      </c>
      <c r="L369" s="29">
        <f>IF(H369=J369, 1, 0)</f>
        <v/>
      </c>
    </row>
    <row r="370">
      <c r="D370" s="29" t="n">
        <v>345</v>
      </c>
      <c r="E370" s="29" t="inlineStr">
        <is>
          <t>2</t>
        </is>
      </c>
      <c r="F370" s="30" t="inlineStr">
        <is>
          <t>Random</t>
        </is>
      </c>
      <c r="G370" s="29" t="inlineStr">
        <is>
          <t>Analyzing Object</t>
        </is>
      </c>
      <c r="H370" s="29">
        <f>MATCH(G370, {"Waiting for Input","Analyzing Object","Found Object","Needs Help","Confused","None"}, 0) - 1</f>
        <v/>
      </c>
      <c r="I370" s="31" t="inlineStr">
        <is>
          <t>Confused</t>
        </is>
      </c>
      <c r="J370" s="29">
        <f>MATCH(I370, {"Waiting for Input","Analyzing Object","Found Object","Needs Help","Confused","None"}, 0) - 1</f>
        <v/>
      </c>
      <c r="K370" s="29" t="n">
        <v>3</v>
      </c>
      <c r="L370" s="29">
        <f>IF(H370=J370, 1, 0)</f>
        <v/>
      </c>
    </row>
    <row r="371">
      <c r="D371" s="29" t="n">
        <v>346</v>
      </c>
      <c r="E371" s="29" t="inlineStr">
        <is>
          <t>2</t>
        </is>
      </c>
      <c r="F371" s="30" t="inlineStr">
        <is>
          <t>Random</t>
        </is>
      </c>
      <c r="G371" s="29" t="inlineStr">
        <is>
          <t>Analyzing Object</t>
        </is>
      </c>
      <c r="H371" s="29">
        <f>MATCH(G371, {"Waiting for Input","Analyzing Object","Found Object","Needs Help","Confused","None"}, 0) - 1</f>
        <v/>
      </c>
      <c r="I371" s="31" t="inlineStr">
        <is>
          <t>Needs Help</t>
        </is>
      </c>
      <c r="J371" s="29">
        <f>MATCH(I371, {"Waiting for Input","Analyzing Object","Found Object","Needs Help","Confused","None"}, 0) - 1</f>
        <v/>
      </c>
      <c r="K371" s="29" t="n">
        <v>3</v>
      </c>
      <c r="L371" s="29">
        <f>IF(H371=J371, 1, 0)</f>
        <v/>
      </c>
    </row>
    <row r="372">
      <c r="D372" s="29" t="n">
        <v>347</v>
      </c>
      <c r="E372" s="29" t="inlineStr">
        <is>
          <t>2</t>
        </is>
      </c>
      <c r="F372" s="30" t="inlineStr">
        <is>
          <t>Random</t>
        </is>
      </c>
      <c r="G372" s="29" t="inlineStr">
        <is>
          <t>Analyzing Object</t>
        </is>
      </c>
      <c r="H372" s="29">
        <f>MATCH(G372, {"Waiting for Input","Analyzing Object","Found Object","Needs Help","Confused","None"}, 0) - 1</f>
        <v/>
      </c>
      <c r="I372" s="31" t="inlineStr">
        <is>
          <t>None</t>
        </is>
      </c>
      <c r="J372" s="29">
        <f>MATCH(I372, {"Waiting for Input","Analyzing Object","Found Object","Needs Help","Confused","None"}, 0) - 1</f>
        <v/>
      </c>
      <c r="K372" s="29" t="n">
        <v>3</v>
      </c>
      <c r="L372" s="29">
        <f>IF(H372=J372, 1, 0)</f>
        <v/>
      </c>
    </row>
    <row r="373">
      <c r="D373" s="29" t="n">
        <v>348</v>
      </c>
      <c r="E373" s="29" t="inlineStr">
        <is>
          <t>2</t>
        </is>
      </c>
      <c r="F373" s="30" t="inlineStr">
        <is>
          <t>Random</t>
        </is>
      </c>
      <c r="G373" s="29" t="inlineStr">
        <is>
          <t>Analyzing Object</t>
        </is>
      </c>
      <c r="H373" s="29">
        <f>MATCH(G373, {"Waiting for Input","Analyzing Object","Found Object","Needs Help","Confused","None"}, 0) - 1</f>
        <v/>
      </c>
      <c r="I373" s="31" t="inlineStr">
        <is>
          <t>Needs Help</t>
        </is>
      </c>
      <c r="J373" s="29">
        <f>MATCH(I373, {"Waiting for Input","Analyzing Object","Found Object","Needs Help","Confused","None"}, 0) - 1</f>
        <v/>
      </c>
      <c r="K373" s="29" t="n">
        <v>4</v>
      </c>
      <c r="L373" s="29">
        <f>IF(H373=J373, 1, 0)</f>
        <v/>
      </c>
    </row>
    <row r="374">
      <c r="D374" s="29" t="n">
        <v>349</v>
      </c>
      <c r="E374" s="29" t="inlineStr">
        <is>
          <t>2</t>
        </is>
      </c>
      <c r="F374" s="30" t="inlineStr">
        <is>
          <t>Random</t>
        </is>
      </c>
      <c r="G374" s="29" t="inlineStr">
        <is>
          <t>Analyzing Object</t>
        </is>
      </c>
      <c r="H374" s="29">
        <f>MATCH(G374, {"Waiting for Input","Analyzing Object","Found Object","Needs Help","Confused","None"}, 0) - 1</f>
        <v/>
      </c>
      <c r="I374" s="31" t="inlineStr">
        <is>
          <t>Needs Help</t>
        </is>
      </c>
      <c r="J374" s="29">
        <f>MATCH(I374, {"Waiting for Input","Analyzing Object","Found Object","Needs Help","Confused","None"}, 0) - 1</f>
        <v/>
      </c>
      <c r="K374" s="29" t="n">
        <v>3</v>
      </c>
      <c r="L374" s="29">
        <f>IF(H374=J374, 1, 0)</f>
        <v/>
      </c>
    </row>
    <row r="375">
      <c r="D375" s="29" t="n">
        <v>350</v>
      </c>
      <c r="E375" s="29" t="inlineStr">
        <is>
          <t>2</t>
        </is>
      </c>
      <c r="F375" s="30" t="inlineStr">
        <is>
          <t>Random</t>
        </is>
      </c>
      <c r="G375" s="29" t="inlineStr">
        <is>
          <t>Analyzing Object</t>
        </is>
      </c>
      <c r="H375" s="29">
        <f>MATCH(G375, {"Waiting for Input","Analyzing Object","Found Object","Needs Help","Confused","None"}, 0) - 1</f>
        <v/>
      </c>
      <c r="I375" s="31" t="inlineStr">
        <is>
          <t>Waiting for Input</t>
        </is>
      </c>
      <c r="J375" s="29">
        <f>MATCH(I375, {"Waiting for Input","Analyzing Object","Found Object","Needs Help","Confused","None"}, 0) - 1</f>
        <v/>
      </c>
      <c r="K375" s="29" t="n">
        <v>2</v>
      </c>
      <c r="L375" s="29">
        <f>IF(H375=J375, 1, 0)</f>
        <v/>
      </c>
    </row>
    <row r="376">
      <c r="D376" s="29" t="n">
        <v>351</v>
      </c>
      <c r="E376" s="29" t="inlineStr">
        <is>
          <t>1</t>
        </is>
      </c>
      <c r="F376" s="30" t="inlineStr">
        <is>
          <t>Random</t>
        </is>
      </c>
      <c r="G376" s="29" t="inlineStr">
        <is>
          <t>Analyzing Object</t>
        </is>
      </c>
      <c r="H376" s="29">
        <f>MATCH(G376, {"Waiting for Input","Analyzing Object","Found Object","Needs Help","Confused","None"}, 0) - 1</f>
        <v/>
      </c>
      <c r="I376" s="31" t="inlineStr">
        <is>
          <t>None</t>
        </is>
      </c>
      <c r="J376" s="29">
        <f>MATCH(I376, {"Waiting for Input","Analyzing Object","Found Object","Needs Help","Confused","None"}, 0) - 1</f>
        <v/>
      </c>
      <c r="K376" s="29" t="n">
        <v>4</v>
      </c>
      <c r="L376" s="29">
        <f>IF(H376=J376, 1, 0)</f>
        <v/>
      </c>
    </row>
    <row r="377">
      <c r="D377" s="29" t="n">
        <v>352</v>
      </c>
      <c r="E377" s="29" t="inlineStr">
        <is>
          <t>2</t>
        </is>
      </c>
      <c r="F377" s="30" t="inlineStr">
        <is>
          <t>Random</t>
        </is>
      </c>
      <c r="G377" s="29" t="inlineStr">
        <is>
          <t>Analyzing Object</t>
        </is>
      </c>
      <c r="H377" s="29">
        <f>MATCH(G377, {"Waiting for Input","Analyzing Object","Found Object","Needs Help","Confused","None"}, 0) - 1</f>
        <v/>
      </c>
      <c r="I377" s="31" t="inlineStr">
        <is>
          <t>Needs Help</t>
        </is>
      </c>
      <c r="J377" s="29">
        <f>MATCH(I377, {"Waiting for Input","Analyzing Object","Found Object","Needs Help","Confused","None"}, 0) - 1</f>
        <v/>
      </c>
      <c r="K377" s="29" t="n">
        <v>3</v>
      </c>
      <c r="L377" s="29">
        <f>IF(H377=J377, 1, 0)</f>
        <v/>
      </c>
    </row>
    <row r="378">
      <c r="D378" s="29" t="n">
        <v>353</v>
      </c>
      <c r="E378" s="29" t="inlineStr">
        <is>
          <t>2</t>
        </is>
      </c>
      <c r="F378" s="30" t="inlineStr">
        <is>
          <t>Random</t>
        </is>
      </c>
      <c r="G378" s="29" t="inlineStr">
        <is>
          <t>Analyzing Object</t>
        </is>
      </c>
      <c r="H378" s="29">
        <f>MATCH(G378, {"Waiting for Input","Analyzing Object","Found Object","Needs Help","Confused","None"}, 0) - 1</f>
        <v/>
      </c>
      <c r="I378" s="31" t="inlineStr">
        <is>
          <t>Confused</t>
        </is>
      </c>
      <c r="J378" s="29">
        <f>MATCH(I378, {"Waiting for Input","Analyzing Object","Found Object","Needs Help","Confused","None"}, 0) - 1</f>
        <v/>
      </c>
      <c r="K378" s="29" t="n">
        <v>2</v>
      </c>
      <c r="L378" s="29">
        <f>IF(H378=J378, 1, 0)</f>
        <v/>
      </c>
    </row>
    <row r="379">
      <c r="D379" s="29" t="n">
        <v>354</v>
      </c>
      <c r="E379" s="29" t="inlineStr">
        <is>
          <t>1</t>
        </is>
      </c>
      <c r="F379" s="30" t="inlineStr">
        <is>
          <t>Random</t>
        </is>
      </c>
      <c r="G379" s="29" t="inlineStr">
        <is>
          <t>Analyzing Object</t>
        </is>
      </c>
      <c r="H379" s="29">
        <f>MATCH(G379, {"Waiting for Input","Analyzing Object","Found Object","Needs Help","Confused","None"}, 0) - 1</f>
        <v/>
      </c>
      <c r="I379" s="31" t="inlineStr">
        <is>
          <t>Needs Help</t>
        </is>
      </c>
      <c r="J379" s="29">
        <f>MATCH(I379, {"Waiting for Input","Analyzing Object","Found Object","Needs Help","Confused","None"}, 0) - 1</f>
        <v/>
      </c>
      <c r="K379" s="29" t="n">
        <v>3</v>
      </c>
      <c r="L379" s="29">
        <f>IF(H379=J379, 1, 0)</f>
        <v/>
      </c>
    </row>
    <row r="380">
      <c r="D380" s="29" t="n">
        <v>355</v>
      </c>
      <c r="E380" s="29" t="inlineStr">
        <is>
          <t>2</t>
        </is>
      </c>
      <c r="F380" s="30" t="inlineStr">
        <is>
          <t>Random</t>
        </is>
      </c>
      <c r="G380" s="29" t="inlineStr">
        <is>
          <t>Analyzing Object</t>
        </is>
      </c>
      <c r="H380" s="29">
        <f>MATCH(G380, {"Waiting for Input","Analyzing Object","Found Object","Needs Help","Confused","None"}, 0) - 1</f>
        <v/>
      </c>
      <c r="I380" s="31" t="inlineStr">
        <is>
          <t>Needs Help</t>
        </is>
      </c>
      <c r="J380" s="29">
        <f>MATCH(I380, {"Waiting for Input","Analyzing Object","Found Object","Needs Help","Confused","None"}, 0) - 1</f>
        <v/>
      </c>
      <c r="K380" s="29" t="n">
        <v>1</v>
      </c>
      <c r="L380" s="29">
        <f>IF(H380=J380, 1, 0)</f>
        <v/>
      </c>
    </row>
    <row r="381">
      <c r="D381" s="29" t="n">
        <v>356</v>
      </c>
      <c r="E381" s="29" t="inlineStr">
        <is>
          <t>2</t>
        </is>
      </c>
      <c r="F381" s="30" t="inlineStr">
        <is>
          <t>Random</t>
        </is>
      </c>
      <c r="G381" s="29" t="inlineStr">
        <is>
          <t>Analyzing Object</t>
        </is>
      </c>
      <c r="H381" s="29">
        <f>MATCH(G381, {"Waiting for Input","Analyzing Object","Found Object","Needs Help","Confused","None"}, 0) - 1</f>
        <v/>
      </c>
      <c r="I381" s="31" t="inlineStr">
        <is>
          <t>Needs Help</t>
        </is>
      </c>
      <c r="J381" s="29">
        <f>MATCH(I381, {"Waiting for Input","Analyzing Object","Found Object","Needs Help","Confused","None"}, 0) - 1</f>
        <v/>
      </c>
      <c r="K381" s="29" t="n">
        <v>2</v>
      </c>
      <c r="L381" s="29">
        <f>IF(H381=J381, 1, 0)</f>
        <v/>
      </c>
    </row>
    <row r="382">
      <c r="D382" s="29" t="n">
        <v>357</v>
      </c>
      <c r="E382" s="29" t="inlineStr">
        <is>
          <t>2</t>
        </is>
      </c>
      <c r="F382" s="30" t="inlineStr">
        <is>
          <t>Random</t>
        </is>
      </c>
      <c r="G382" s="29" t="inlineStr">
        <is>
          <t>Analyzing Object</t>
        </is>
      </c>
      <c r="H382" s="29">
        <f>MATCH(G382, {"Waiting for Input","Analyzing Object","Found Object","Needs Help","Confused","None"}, 0) - 1</f>
        <v/>
      </c>
      <c r="I382" s="31" t="inlineStr">
        <is>
          <t>Waiting for Input</t>
        </is>
      </c>
      <c r="J382" s="29">
        <f>MATCH(I382, {"Waiting for Input","Analyzing Object","Found Object","Needs Help","Confused","None"}, 0) - 1</f>
        <v/>
      </c>
      <c r="K382" s="29" t="n">
        <v>3</v>
      </c>
      <c r="L382" s="29">
        <f>IF(H382=J382, 1, 0)</f>
        <v/>
      </c>
    </row>
    <row r="383">
      <c r="D383" s="29" t="n">
        <v>358</v>
      </c>
      <c r="E383" s="29" t="inlineStr">
        <is>
          <t>1</t>
        </is>
      </c>
      <c r="F383" s="30" t="inlineStr">
        <is>
          <t>Random</t>
        </is>
      </c>
      <c r="G383" s="29" t="inlineStr">
        <is>
          <t>Analyzing Object</t>
        </is>
      </c>
      <c r="H383" s="29">
        <f>MATCH(G383, {"Waiting for Input","Analyzing Object","Found Object","Needs Help","Confused","None"}, 0) - 1</f>
        <v/>
      </c>
      <c r="I383" s="31" t="inlineStr">
        <is>
          <t>Needs Help</t>
        </is>
      </c>
      <c r="J383" s="29">
        <f>MATCH(I383, {"Waiting for Input","Analyzing Object","Found Object","Needs Help","Confused","None"}, 0) - 1</f>
        <v/>
      </c>
      <c r="K383" s="29" t="n">
        <v>3</v>
      </c>
      <c r="L383" s="29">
        <f>IF(H383=J383, 1, 0)</f>
        <v/>
      </c>
    </row>
    <row r="384">
      <c r="D384" s="29" t="n">
        <v>359</v>
      </c>
      <c r="E384" s="29" t="inlineStr">
        <is>
          <t>2</t>
        </is>
      </c>
      <c r="F384" s="30" t="inlineStr">
        <is>
          <t>Random</t>
        </is>
      </c>
      <c r="G384" s="29" t="inlineStr">
        <is>
          <t>Analyzing Object</t>
        </is>
      </c>
      <c r="H384" s="29">
        <f>MATCH(G384, {"Waiting for Input","Analyzing Object","Found Object","Needs Help","Confused","None"}, 0) - 1</f>
        <v/>
      </c>
      <c r="I384" s="31" t="inlineStr">
        <is>
          <t>Needs Help</t>
        </is>
      </c>
      <c r="J384" s="29">
        <f>MATCH(I384, {"Waiting for Input","Analyzing Object","Found Object","Needs Help","Confused","None"}, 0) - 1</f>
        <v/>
      </c>
      <c r="K384" s="29" t="n">
        <v>2</v>
      </c>
      <c r="L384" s="29">
        <f>IF(H384=J384, 1, 0)</f>
        <v/>
      </c>
    </row>
    <row r="385">
      <c r="D385" s="29" t="n">
        <v>360</v>
      </c>
      <c r="E385" s="29" t="inlineStr">
        <is>
          <t>1</t>
        </is>
      </c>
      <c r="F385" s="30" t="inlineStr">
        <is>
          <t>GPT4</t>
        </is>
      </c>
      <c r="G385" s="29" t="inlineStr">
        <is>
          <t>Found Object</t>
        </is>
      </c>
      <c r="H385" s="29">
        <f>MATCH(G385, {"Waiting for Input","Analyzing Object","Found Object","Needs Help","Confused","None"}, 0) - 1</f>
        <v/>
      </c>
      <c r="I385" s="31" t="inlineStr">
        <is>
          <t>Found Object</t>
        </is>
      </c>
      <c r="J385" s="29">
        <f>MATCH(I385, {"Waiting for Input","Analyzing Object","Found Object","Needs Help","Confused","None"}, 0) - 1</f>
        <v/>
      </c>
      <c r="K385" s="29" t="n">
        <v>4</v>
      </c>
      <c r="L385" s="29">
        <f>IF(H385=J385, 1, 0)</f>
        <v/>
      </c>
    </row>
    <row r="386">
      <c r="D386" s="29" t="n">
        <v>361</v>
      </c>
      <c r="E386" s="29" t="inlineStr">
        <is>
          <t>1</t>
        </is>
      </c>
      <c r="F386" s="30" t="inlineStr">
        <is>
          <t>GPT4</t>
        </is>
      </c>
      <c r="G386" s="29" t="inlineStr">
        <is>
          <t>Found Object</t>
        </is>
      </c>
      <c r="H386" s="29">
        <f>MATCH(G386, {"Waiting for Input","Analyzing Object","Found Object","Needs Help","Confused","None"}, 0) - 1</f>
        <v/>
      </c>
      <c r="I386" s="31" t="inlineStr">
        <is>
          <t>Analyzing Object</t>
        </is>
      </c>
      <c r="J386" s="29">
        <f>MATCH(I386, {"Waiting for Input","Analyzing Object","Found Object","Needs Help","Confused","None"}, 0) - 1</f>
        <v/>
      </c>
      <c r="K386" s="29" t="n">
        <v>5</v>
      </c>
      <c r="L386" s="29">
        <f>IF(H386=J386, 1, 0)</f>
        <v/>
      </c>
    </row>
    <row r="387">
      <c r="D387" s="29" t="n">
        <v>362</v>
      </c>
      <c r="E387" s="29" t="inlineStr">
        <is>
          <t>1</t>
        </is>
      </c>
      <c r="F387" s="30" t="inlineStr">
        <is>
          <t>GPT4</t>
        </is>
      </c>
      <c r="G387" s="29" t="inlineStr">
        <is>
          <t>Found Object</t>
        </is>
      </c>
      <c r="H387" s="29">
        <f>MATCH(G387, {"Waiting for Input","Analyzing Object","Found Object","Needs Help","Confused","None"}, 0) - 1</f>
        <v/>
      </c>
      <c r="I387" s="31" t="inlineStr">
        <is>
          <t>Found Object</t>
        </is>
      </c>
      <c r="J387" s="29">
        <f>MATCH(I387, {"Waiting for Input","Analyzing Object","Found Object","Needs Help","Confused","None"}, 0) - 1</f>
        <v/>
      </c>
      <c r="K387" s="29" t="n">
        <v>2</v>
      </c>
      <c r="L387" s="29">
        <f>IF(H387=J387, 1, 0)</f>
        <v/>
      </c>
    </row>
    <row r="388">
      <c r="D388" s="29" t="n">
        <v>363</v>
      </c>
      <c r="E388" s="29" t="inlineStr">
        <is>
          <t>2</t>
        </is>
      </c>
      <c r="F388" s="30" t="inlineStr">
        <is>
          <t>GPT4</t>
        </is>
      </c>
      <c r="G388" s="29" t="inlineStr">
        <is>
          <t>Found Object</t>
        </is>
      </c>
      <c r="H388" s="29">
        <f>MATCH(G388, {"Waiting for Input","Analyzing Object","Found Object","Needs Help","Confused","None"}, 0) - 1</f>
        <v/>
      </c>
      <c r="I388" s="31" t="inlineStr">
        <is>
          <t>Analyzing Object</t>
        </is>
      </c>
      <c r="J388" s="29">
        <f>MATCH(I388, {"Waiting for Input","Analyzing Object","Found Object","Needs Help","Confused","None"}, 0) - 1</f>
        <v/>
      </c>
      <c r="K388" s="29" t="n">
        <v>3</v>
      </c>
      <c r="L388" s="29">
        <f>IF(H388=J388, 1, 0)</f>
        <v/>
      </c>
    </row>
    <row r="389">
      <c r="D389" s="29" t="n">
        <v>364</v>
      </c>
      <c r="E389" s="29" t="inlineStr">
        <is>
          <t>2</t>
        </is>
      </c>
      <c r="F389" s="30" t="inlineStr">
        <is>
          <t>GPT4</t>
        </is>
      </c>
      <c r="G389" s="29" t="inlineStr">
        <is>
          <t>Found Object</t>
        </is>
      </c>
      <c r="H389" s="29">
        <f>MATCH(G389, {"Waiting for Input","Analyzing Object","Found Object","Needs Help","Confused","None"}, 0) - 1</f>
        <v/>
      </c>
      <c r="I389" s="31" t="inlineStr">
        <is>
          <t>Analyzing Object</t>
        </is>
      </c>
      <c r="J389" s="29">
        <f>MATCH(I389, {"Waiting for Input","Analyzing Object","Found Object","Needs Help","Confused","None"}, 0) - 1</f>
        <v/>
      </c>
      <c r="K389" s="29" t="n">
        <v>3</v>
      </c>
      <c r="L389" s="29">
        <f>IF(H389=J389, 1, 0)</f>
        <v/>
      </c>
    </row>
    <row r="390">
      <c r="D390" s="29" t="n">
        <v>365</v>
      </c>
      <c r="E390" s="29" t="inlineStr">
        <is>
          <t>1</t>
        </is>
      </c>
      <c r="F390" s="30" t="inlineStr">
        <is>
          <t>GPT4</t>
        </is>
      </c>
      <c r="G390" s="29" t="inlineStr">
        <is>
          <t>Found Object</t>
        </is>
      </c>
      <c r="H390" s="29">
        <f>MATCH(G390, {"Waiting for Input","Analyzing Object","Found Object","Needs Help","Confused","None"}, 0) - 1</f>
        <v/>
      </c>
      <c r="I390" s="31" t="inlineStr">
        <is>
          <t>Analyzing Object</t>
        </is>
      </c>
      <c r="J390" s="29">
        <f>MATCH(I390, {"Waiting for Input","Analyzing Object","Found Object","Needs Help","Confused","None"}, 0) - 1</f>
        <v/>
      </c>
      <c r="K390" s="29" t="n">
        <v>5</v>
      </c>
      <c r="L390" s="29">
        <f>IF(H390=J390, 1, 0)</f>
        <v/>
      </c>
    </row>
    <row r="391">
      <c r="D391" s="29" t="n">
        <v>366</v>
      </c>
      <c r="E391" s="29" t="inlineStr">
        <is>
          <t>2</t>
        </is>
      </c>
      <c r="F391" s="30" t="inlineStr">
        <is>
          <t>GPT4</t>
        </is>
      </c>
      <c r="G391" s="29" t="inlineStr">
        <is>
          <t>Found Object</t>
        </is>
      </c>
      <c r="H391" s="29">
        <f>MATCH(G391, {"Waiting for Input","Analyzing Object","Found Object","Needs Help","Confused","None"}, 0) - 1</f>
        <v/>
      </c>
      <c r="I391" s="31" t="inlineStr">
        <is>
          <t>Found Object</t>
        </is>
      </c>
      <c r="J391" s="29">
        <f>MATCH(I391, {"Waiting for Input","Analyzing Object","Found Object","Needs Help","Confused","None"}, 0) - 1</f>
        <v/>
      </c>
      <c r="K391" s="29" t="n">
        <v>3</v>
      </c>
      <c r="L391" s="29">
        <f>IF(H391=J391, 1, 0)</f>
        <v/>
      </c>
    </row>
    <row r="392">
      <c r="D392" s="29" t="n">
        <v>367</v>
      </c>
      <c r="E392" s="29" t="inlineStr">
        <is>
          <t>1</t>
        </is>
      </c>
      <c r="F392" s="30" t="inlineStr">
        <is>
          <t>GPT4</t>
        </is>
      </c>
      <c r="G392" s="29" t="inlineStr">
        <is>
          <t>Found Object</t>
        </is>
      </c>
      <c r="H392" s="29">
        <f>MATCH(G392, {"Waiting for Input","Analyzing Object","Found Object","Needs Help","Confused","None"}, 0) - 1</f>
        <v/>
      </c>
      <c r="I392" s="31" t="inlineStr">
        <is>
          <t>Found Object</t>
        </is>
      </c>
      <c r="J392" s="29">
        <f>MATCH(I392, {"Waiting for Input","Analyzing Object","Found Object","Needs Help","Confused","None"}, 0) - 1</f>
        <v/>
      </c>
      <c r="K392" s="29" t="n">
        <v>5</v>
      </c>
      <c r="L392" s="29">
        <f>IF(H392=J392, 1, 0)</f>
        <v/>
      </c>
    </row>
    <row r="393">
      <c r="D393" s="29" t="n">
        <v>368</v>
      </c>
      <c r="E393" s="29" t="inlineStr">
        <is>
          <t>1</t>
        </is>
      </c>
      <c r="F393" s="30" t="inlineStr">
        <is>
          <t>GPT4</t>
        </is>
      </c>
      <c r="G393" s="29" t="inlineStr">
        <is>
          <t>Found Object</t>
        </is>
      </c>
      <c r="H393" s="29">
        <f>MATCH(G393, {"Waiting for Input","Analyzing Object","Found Object","Needs Help","Confused","None"}, 0) - 1</f>
        <v/>
      </c>
      <c r="I393" s="31" t="inlineStr">
        <is>
          <t>Analyzing Object</t>
        </is>
      </c>
      <c r="J393" s="29">
        <f>MATCH(I393, {"Waiting for Input","Analyzing Object","Found Object","Needs Help","Confused","None"}, 0) - 1</f>
        <v/>
      </c>
      <c r="K393" s="29" t="n">
        <v>2</v>
      </c>
      <c r="L393" s="29">
        <f>IF(H393=J393, 1, 0)</f>
        <v/>
      </c>
    </row>
    <row r="394">
      <c r="D394" s="29" t="n">
        <v>369</v>
      </c>
      <c r="E394" s="29" t="inlineStr">
        <is>
          <t>1</t>
        </is>
      </c>
      <c r="F394" s="30" t="inlineStr">
        <is>
          <t>GPT4</t>
        </is>
      </c>
      <c r="G394" s="29" t="inlineStr">
        <is>
          <t>Found Object</t>
        </is>
      </c>
      <c r="H394" s="29">
        <f>MATCH(G394, {"Waiting for Input","Analyzing Object","Found Object","Needs Help","Confused","None"}, 0) - 1</f>
        <v/>
      </c>
      <c r="I394" s="31" t="inlineStr">
        <is>
          <t>Analyzing Object</t>
        </is>
      </c>
      <c r="J394" s="29">
        <f>MATCH(I394, {"Waiting for Input","Analyzing Object","Found Object","Needs Help","Confused","None"}, 0) - 1</f>
        <v/>
      </c>
      <c r="K394" s="29" t="n">
        <v>5</v>
      </c>
      <c r="L394" s="29">
        <f>IF(H394=J394, 1, 0)</f>
        <v/>
      </c>
    </row>
    <row r="395">
      <c r="D395" s="29" t="n">
        <v>370</v>
      </c>
      <c r="E395" s="29" t="inlineStr">
        <is>
          <t>2</t>
        </is>
      </c>
      <c r="F395" s="30" t="inlineStr">
        <is>
          <t>GPT4</t>
        </is>
      </c>
      <c r="G395" s="29" t="inlineStr">
        <is>
          <t>Found Object</t>
        </is>
      </c>
      <c r="H395" s="29">
        <f>MATCH(G395, {"Waiting for Input","Analyzing Object","Found Object","Needs Help","Confused","None"}, 0) - 1</f>
        <v/>
      </c>
      <c r="I395" s="31" t="inlineStr">
        <is>
          <t>Analyzing Object</t>
        </is>
      </c>
      <c r="J395" s="29">
        <f>MATCH(I395, {"Waiting for Input","Analyzing Object","Found Object","Needs Help","Confused","None"}, 0) - 1</f>
        <v/>
      </c>
      <c r="K395" s="29" t="n">
        <v>4</v>
      </c>
      <c r="L395" s="29">
        <f>IF(H395=J395, 1, 0)</f>
        <v/>
      </c>
    </row>
    <row r="396">
      <c r="D396" s="29" t="n">
        <v>371</v>
      </c>
      <c r="E396" s="29" t="inlineStr">
        <is>
          <t>2</t>
        </is>
      </c>
      <c r="F396" s="30" t="inlineStr">
        <is>
          <t>GPT4</t>
        </is>
      </c>
      <c r="G396" s="29" t="inlineStr">
        <is>
          <t>Found Object</t>
        </is>
      </c>
      <c r="H396" s="29">
        <f>MATCH(G396, {"Waiting for Input","Analyzing Object","Found Object","Needs Help","Confused","None"}, 0) - 1</f>
        <v/>
      </c>
      <c r="I396" s="31" t="inlineStr">
        <is>
          <t>Found Object</t>
        </is>
      </c>
      <c r="J396" s="29">
        <f>MATCH(I396, {"Waiting for Input","Analyzing Object","Found Object","Needs Help","Confused","None"}, 0) - 1</f>
        <v/>
      </c>
      <c r="K396" s="29" t="n">
        <v>5</v>
      </c>
      <c r="L396" s="29">
        <f>IF(H396=J396, 1, 0)</f>
        <v/>
      </c>
    </row>
    <row r="397">
      <c r="D397" s="29" t="n">
        <v>372</v>
      </c>
      <c r="E397" s="29" t="inlineStr">
        <is>
          <t>2</t>
        </is>
      </c>
      <c r="F397" s="30" t="inlineStr">
        <is>
          <t>GPT4</t>
        </is>
      </c>
      <c r="G397" s="29" t="inlineStr">
        <is>
          <t>Found Object</t>
        </is>
      </c>
      <c r="H397" s="29">
        <f>MATCH(G397, {"Waiting for Input","Analyzing Object","Found Object","Needs Help","Confused","None"}, 0) - 1</f>
        <v/>
      </c>
      <c r="I397" s="31" t="inlineStr">
        <is>
          <t>Found Object</t>
        </is>
      </c>
      <c r="J397" s="29">
        <f>MATCH(I397, {"Waiting for Input","Analyzing Object","Found Object","Needs Help","Confused","None"}, 0) - 1</f>
        <v/>
      </c>
      <c r="K397" s="29" t="n">
        <v>4</v>
      </c>
      <c r="L397" s="29">
        <f>IF(H397=J397, 1, 0)</f>
        <v/>
      </c>
    </row>
    <row r="398">
      <c r="D398" s="29" t="n">
        <v>373</v>
      </c>
      <c r="E398" s="29" t="inlineStr">
        <is>
          <t>2</t>
        </is>
      </c>
      <c r="F398" s="30" t="inlineStr">
        <is>
          <t>GPT4</t>
        </is>
      </c>
      <c r="G398" s="29" t="inlineStr">
        <is>
          <t>Found Object</t>
        </is>
      </c>
      <c r="H398" s="29">
        <f>MATCH(G398, {"Waiting for Input","Analyzing Object","Found Object","Needs Help","Confused","None"}, 0) - 1</f>
        <v/>
      </c>
      <c r="I398" s="31" t="inlineStr">
        <is>
          <t>Analyzing Object</t>
        </is>
      </c>
      <c r="J398" s="29">
        <f>MATCH(I398, {"Waiting for Input","Analyzing Object","Found Object","Needs Help","Confused","None"}, 0) - 1</f>
        <v/>
      </c>
      <c r="K398" s="29" t="n">
        <v>3</v>
      </c>
      <c r="L398" s="29">
        <f>IF(H398=J398, 1, 0)</f>
        <v/>
      </c>
    </row>
    <row r="399">
      <c r="D399" s="29" t="n">
        <v>374</v>
      </c>
      <c r="E399" s="29" t="inlineStr">
        <is>
          <t>1</t>
        </is>
      </c>
      <c r="F399" s="30" t="inlineStr">
        <is>
          <t>GPT4</t>
        </is>
      </c>
      <c r="G399" s="29" t="inlineStr">
        <is>
          <t>Found Object</t>
        </is>
      </c>
      <c r="H399" s="29">
        <f>MATCH(G399, {"Waiting for Input","Analyzing Object","Found Object","Needs Help","Confused","None"}, 0) - 1</f>
        <v/>
      </c>
      <c r="I399" s="31" t="inlineStr">
        <is>
          <t>Analyzing Object</t>
        </is>
      </c>
      <c r="J399" s="29">
        <f>MATCH(I399, {"Waiting for Input","Analyzing Object","Found Object","Needs Help","Confused","None"}, 0) - 1</f>
        <v/>
      </c>
      <c r="K399" s="29" t="n">
        <v>4</v>
      </c>
      <c r="L399" s="29">
        <f>IF(H399=J399, 1, 0)</f>
        <v/>
      </c>
    </row>
    <row r="400">
      <c r="D400" s="29" t="n">
        <v>375</v>
      </c>
      <c r="E400" s="29" t="inlineStr">
        <is>
          <t>1</t>
        </is>
      </c>
      <c r="F400" s="30" t="inlineStr">
        <is>
          <t>GPT4</t>
        </is>
      </c>
      <c r="G400" s="29" t="inlineStr">
        <is>
          <t>Found Object</t>
        </is>
      </c>
      <c r="H400" s="29">
        <f>MATCH(G400, {"Waiting for Input","Analyzing Object","Found Object","Needs Help","Confused","None"}, 0) - 1</f>
        <v/>
      </c>
      <c r="I400" s="31" t="inlineStr">
        <is>
          <t>Analyzing Object</t>
        </is>
      </c>
      <c r="J400" s="29">
        <f>MATCH(I400, {"Waiting for Input","Analyzing Object","Found Object","Needs Help","Confused","None"}, 0) - 1</f>
        <v/>
      </c>
      <c r="K400" s="29" t="n">
        <v>4</v>
      </c>
      <c r="L400" s="29">
        <f>IF(H400=J400, 1, 0)</f>
        <v/>
      </c>
    </row>
    <row r="401">
      <c r="D401" s="29" t="n">
        <v>376</v>
      </c>
      <c r="E401" s="29" t="inlineStr">
        <is>
          <t>1</t>
        </is>
      </c>
      <c r="F401" s="30" t="inlineStr">
        <is>
          <t>GPT4</t>
        </is>
      </c>
      <c r="G401" s="29" t="inlineStr">
        <is>
          <t>Found Object</t>
        </is>
      </c>
      <c r="H401" s="29">
        <f>MATCH(G401, {"Waiting for Input","Analyzing Object","Found Object","Needs Help","Confused","None"}, 0) - 1</f>
        <v/>
      </c>
      <c r="I401" s="31" t="inlineStr">
        <is>
          <t>Found Object</t>
        </is>
      </c>
      <c r="J401" s="29">
        <f>MATCH(I401, {"Waiting for Input","Analyzing Object","Found Object","Needs Help","Confused","None"}, 0) - 1</f>
        <v/>
      </c>
      <c r="K401" s="29" t="n">
        <v>4</v>
      </c>
      <c r="L401" s="29">
        <f>IF(H401=J401, 1, 0)</f>
        <v/>
      </c>
    </row>
    <row r="402">
      <c r="D402" s="29" t="n">
        <v>377</v>
      </c>
      <c r="E402" s="29" t="inlineStr">
        <is>
          <t>2</t>
        </is>
      </c>
      <c r="F402" s="30" t="inlineStr">
        <is>
          <t>GPT4</t>
        </is>
      </c>
      <c r="G402" s="29" t="inlineStr">
        <is>
          <t>Found Object</t>
        </is>
      </c>
      <c r="H402" s="29">
        <f>MATCH(G402, {"Waiting for Input","Analyzing Object","Found Object","Needs Help","Confused","None"}, 0) - 1</f>
        <v/>
      </c>
      <c r="I402" s="31" t="inlineStr">
        <is>
          <t>Found Object</t>
        </is>
      </c>
      <c r="J402" s="29">
        <f>MATCH(I402, {"Waiting for Input","Analyzing Object","Found Object","Needs Help","Confused","None"}, 0) - 1</f>
        <v/>
      </c>
      <c r="K402" s="29" t="n">
        <v>3</v>
      </c>
      <c r="L402" s="29">
        <f>IF(H402=J402, 1, 0)</f>
        <v/>
      </c>
    </row>
    <row r="403">
      <c r="D403" s="29" t="n">
        <v>378</v>
      </c>
      <c r="E403" s="29" t="inlineStr">
        <is>
          <t>2</t>
        </is>
      </c>
      <c r="F403" s="30" t="inlineStr">
        <is>
          <t>GPT4</t>
        </is>
      </c>
      <c r="G403" s="29" t="inlineStr">
        <is>
          <t>Found Object</t>
        </is>
      </c>
      <c r="H403" s="29">
        <f>MATCH(G403, {"Waiting for Input","Analyzing Object","Found Object","Needs Help","Confused","None"}, 0) - 1</f>
        <v/>
      </c>
      <c r="I403" s="31" t="inlineStr">
        <is>
          <t>Found Object</t>
        </is>
      </c>
      <c r="J403" s="29">
        <f>MATCH(I403, {"Waiting for Input","Analyzing Object","Found Object","Needs Help","Confused","None"}, 0) - 1</f>
        <v/>
      </c>
      <c r="K403" s="29" t="n">
        <v>4</v>
      </c>
      <c r="L403" s="29">
        <f>IF(H403=J403, 1, 0)</f>
        <v/>
      </c>
    </row>
    <row r="404">
      <c r="D404" s="29" t="n">
        <v>379</v>
      </c>
      <c r="E404" s="29" t="inlineStr">
        <is>
          <t>1</t>
        </is>
      </c>
      <c r="F404" s="30" t="inlineStr">
        <is>
          <t>GPT4</t>
        </is>
      </c>
      <c r="G404" s="29" t="inlineStr">
        <is>
          <t>Found Object</t>
        </is>
      </c>
      <c r="H404" s="29">
        <f>MATCH(G404, {"Waiting for Input","Analyzing Object","Found Object","Needs Help","Confused","None"}, 0) - 1</f>
        <v/>
      </c>
      <c r="I404" s="31" t="inlineStr">
        <is>
          <t>Found Object</t>
        </is>
      </c>
      <c r="J404" s="29">
        <f>MATCH(I404, {"Waiting for Input","Analyzing Object","Found Object","Needs Help","Confused","None"}, 0) - 1</f>
        <v/>
      </c>
      <c r="K404" s="29" t="n">
        <v>4</v>
      </c>
      <c r="L404" s="29">
        <f>IF(H404=J404, 1, 0)</f>
        <v/>
      </c>
    </row>
    <row r="405">
      <c r="D405" s="29" t="n">
        <v>380</v>
      </c>
      <c r="E405" s="29" t="inlineStr">
        <is>
          <t>1</t>
        </is>
      </c>
      <c r="F405" s="30" t="inlineStr">
        <is>
          <t>GPT4</t>
        </is>
      </c>
      <c r="G405" s="29" t="inlineStr">
        <is>
          <t>Found Object</t>
        </is>
      </c>
      <c r="H405" s="29">
        <f>MATCH(G405, {"Waiting for Input","Analyzing Object","Found Object","Needs Help","Confused","None"}, 0) - 1</f>
        <v/>
      </c>
      <c r="I405" s="31" t="inlineStr">
        <is>
          <t>Analyzing Object</t>
        </is>
      </c>
      <c r="J405" s="29">
        <f>MATCH(I405, {"Waiting for Input","Analyzing Object","Found Object","Needs Help","Confused","None"}, 0) - 1</f>
        <v/>
      </c>
      <c r="K405" s="29" t="n">
        <v>3</v>
      </c>
      <c r="L405" s="29">
        <f>IF(H405=J405, 1, 0)</f>
        <v/>
      </c>
    </row>
    <row r="406">
      <c r="D406" s="29" t="n">
        <v>381</v>
      </c>
      <c r="E406" s="29" t="inlineStr">
        <is>
          <t>2</t>
        </is>
      </c>
      <c r="F406" s="30" t="inlineStr">
        <is>
          <t>GPT4</t>
        </is>
      </c>
      <c r="G406" s="29" t="inlineStr">
        <is>
          <t>Found Object</t>
        </is>
      </c>
      <c r="H406" s="29">
        <f>MATCH(G406, {"Waiting for Input","Analyzing Object","Found Object","Needs Help","Confused","None"}, 0) - 1</f>
        <v/>
      </c>
      <c r="I406" s="31" t="inlineStr">
        <is>
          <t>Analyzing Object</t>
        </is>
      </c>
      <c r="J406" s="29">
        <f>MATCH(I406, {"Waiting for Input","Analyzing Object","Found Object","Needs Help","Confused","None"}, 0) - 1</f>
        <v/>
      </c>
      <c r="K406" s="29" t="n">
        <v>4</v>
      </c>
      <c r="L406" s="29">
        <f>IF(H406=J406, 1, 0)</f>
        <v/>
      </c>
    </row>
    <row r="407">
      <c r="D407" s="29" t="n">
        <v>382</v>
      </c>
      <c r="E407" s="29" t="inlineStr">
        <is>
          <t>2</t>
        </is>
      </c>
      <c r="F407" s="30" t="inlineStr">
        <is>
          <t>GPT4</t>
        </is>
      </c>
      <c r="G407" s="29" t="inlineStr">
        <is>
          <t>Found Object</t>
        </is>
      </c>
      <c r="H407" s="29">
        <f>MATCH(G407, {"Waiting for Input","Analyzing Object","Found Object","Needs Help","Confused","None"}, 0) - 1</f>
        <v/>
      </c>
      <c r="I407" s="31" t="inlineStr">
        <is>
          <t>Analyzing Object</t>
        </is>
      </c>
      <c r="J407" s="29">
        <f>MATCH(I407, {"Waiting for Input","Analyzing Object","Found Object","Needs Help","Confused","None"}, 0) - 1</f>
        <v/>
      </c>
      <c r="K407" s="29" t="n">
        <v>5</v>
      </c>
      <c r="L407" s="29">
        <f>IF(H407=J407, 1, 0)</f>
        <v/>
      </c>
    </row>
    <row r="408">
      <c r="D408" s="29" t="n">
        <v>383</v>
      </c>
      <c r="E408" s="29" t="inlineStr">
        <is>
          <t>1</t>
        </is>
      </c>
      <c r="F408" s="30" t="inlineStr">
        <is>
          <t>GPT4</t>
        </is>
      </c>
      <c r="G408" s="29" t="inlineStr">
        <is>
          <t>Found Object</t>
        </is>
      </c>
      <c r="H408" s="29">
        <f>MATCH(G408, {"Waiting for Input","Analyzing Object","Found Object","Needs Help","Confused","None"}, 0) - 1</f>
        <v/>
      </c>
      <c r="I408" s="31" t="inlineStr">
        <is>
          <t>Analyzing Object</t>
        </is>
      </c>
      <c r="J408" s="29">
        <f>MATCH(I408, {"Waiting for Input","Analyzing Object","Found Object","Needs Help","Confused","None"}, 0) - 1</f>
        <v/>
      </c>
      <c r="K408" s="29" t="n">
        <v>4</v>
      </c>
      <c r="L408" s="29">
        <f>IF(H408=J408, 1, 0)</f>
        <v/>
      </c>
    </row>
    <row r="409">
      <c r="D409" s="29" t="n">
        <v>384</v>
      </c>
      <c r="E409" s="29" t="inlineStr">
        <is>
          <t>1</t>
        </is>
      </c>
      <c r="F409" s="30" t="inlineStr">
        <is>
          <t>GPT4</t>
        </is>
      </c>
      <c r="G409" s="29" t="inlineStr">
        <is>
          <t>Found Object</t>
        </is>
      </c>
      <c r="H409" s="29">
        <f>MATCH(G409, {"Waiting for Input","Analyzing Object","Found Object","Needs Help","Confused","None"}, 0) - 1</f>
        <v/>
      </c>
      <c r="I409" s="31" t="inlineStr">
        <is>
          <t>Found Object</t>
        </is>
      </c>
      <c r="J409" s="29">
        <f>MATCH(I409, {"Waiting for Input","Analyzing Object","Found Object","Needs Help","Confused","None"}, 0) - 1</f>
        <v/>
      </c>
      <c r="K409" s="29" t="n">
        <v>3</v>
      </c>
      <c r="L409" s="29">
        <f>IF(H409=J409, 1, 0)</f>
        <v/>
      </c>
    </row>
    <row r="410">
      <c r="D410" s="29" t="n">
        <v>385</v>
      </c>
      <c r="E410" s="29" t="inlineStr">
        <is>
          <t>2</t>
        </is>
      </c>
      <c r="F410" s="30" t="inlineStr">
        <is>
          <t>GPT4</t>
        </is>
      </c>
      <c r="G410" s="29" t="inlineStr">
        <is>
          <t>Found Object</t>
        </is>
      </c>
      <c r="H410" s="29">
        <f>MATCH(G410, {"Waiting for Input","Analyzing Object","Found Object","Needs Help","Confused","None"}, 0) - 1</f>
        <v/>
      </c>
      <c r="I410" s="31" t="inlineStr">
        <is>
          <t>Analyzing Object</t>
        </is>
      </c>
      <c r="J410" s="29">
        <f>MATCH(I410, {"Waiting for Input","Analyzing Object","Found Object","Needs Help","Confused","None"}, 0) - 1</f>
        <v/>
      </c>
      <c r="K410" s="29" t="n">
        <v>3</v>
      </c>
      <c r="L410" s="29">
        <f>IF(H410=J410, 1, 0)</f>
        <v/>
      </c>
    </row>
    <row r="411">
      <c r="D411" s="29" t="n">
        <v>386</v>
      </c>
      <c r="E411" s="29" t="inlineStr">
        <is>
          <t>2</t>
        </is>
      </c>
      <c r="F411" s="30" t="inlineStr">
        <is>
          <t>GPT4</t>
        </is>
      </c>
      <c r="G411" s="29" t="inlineStr">
        <is>
          <t>Found Object</t>
        </is>
      </c>
      <c r="H411" s="29">
        <f>MATCH(G411, {"Waiting for Input","Analyzing Object","Found Object","Needs Help","Confused","None"}, 0) - 1</f>
        <v/>
      </c>
      <c r="I411" s="31" t="inlineStr">
        <is>
          <t>Found Object</t>
        </is>
      </c>
      <c r="J411" s="29">
        <f>MATCH(I411, {"Waiting for Input","Analyzing Object","Found Object","Needs Help","Confused","None"}, 0) - 1</f>
        <v/>
      </c>
      <c r="K411" s="29" t="n">
        <v>3</v>
      </c>
      <c r="L411" s="29">
        <f>IF(H411=J411, 1, 0)</f>
        <v/>
      </c>
    </row>
    <row r="412">
      <c r="D412" s="29" t="n">
        <v>387</v>
      </c>
      <c r="E412" s="29" t="inlineStr">
        <is>
          <t>2</t>
        </is>
      </c>
      <c r="F412" s="30" t="inlineStr">
        <is>
          <t>GPT4</t>
        </is>
      </c>
      <c r="G412" s="29" t="inlineStr">
        <is>
          <t>Found Object</t>
        </is>
      </c>
      <c r="H412" s="29">
        <f>MATCH(G412, {"Waiting for Input","Analyzing Object","Found Object","Needs Help","Confused","None"}, 0) - 1</f>
        <v/>
      </c>
      <c r="I412" s="31" t="inlineStr">
        <is>
          <t>Analyzing Object</t>
        </is>
      </c>
      <c r="J412" s="29">
        <f>MATCH(I412, {"Waiting for Input","Analyzing Object","Found Object","Needs Help","Confused","None"}, 0) - 1</f>
        <v/>
      </c>
      <c r="K412" s="29" t="n">
        <v>4</v>
      </c>
      <c r="L412" s="29">
        <f>IF(H412=J412, 1, 0)</f>
        <v/>
      </c>
    </row>
    <row r="413">
      <c r="D413" s="29" t="n">
        <v>388</v>
      </c>
      <c r="E413" s="29" t="inlineStr">
        <is>
          <t>2</t>
        </is>
      </c>
      <c r="F413" s="30" t="inlineStr">
        <is>
          <t>GPT4</t>
        </is>
      </c>
      <c r="G413" s="29" t="inlineStr">
        <is>
          <t>Found Object</t>
        </is>
      </c>
      <c r="H413" s="29">
        <f>MATCH(G413, {"Waiting for Input","Analyzing Object","Found Object","Needs Help","Confused","None"}, 0) - 1</f>
        <v/>
      </c>
      <c r="I413" s="31" t="inlineStr">
        <is>
          <t>Analyzing Object</t>
        </is>
      </c>
      <c r="J413" s="29">
        <f>MATCH(I413, {"Waiting for Input","Analyzing Object","Found Object","Needs Help","Confused","None"}, 0) - 1</f>
        <v/>
      </c>
      <c r="K413" s="29" t="n">
        <v>4</v>
      </c>
      <c r="L413" s="29">
        <f>IF(H413=J413, 1, 0)</f>
        <v/>
      </c>
    </row>
    <row r="414">
      <c r="D414" s="29" t="n">
        <v>389</v>
      </c>
      <c r="E414" s="29" t="inlineStr">
        <is>
          <t>2</t>
        </is>
      </c>
      <c r="F414" s="30" t="inlineStr">
        <is>
          <t>GPT4</t>
        </is>
      </c>
      <c r="G414" s="29" t="inlineStr">
        <is>
          <t>Found Object</t>
        </is>
      </c>
      <c r="H414" s="29">
        <f>MATCH(G414, {"Waiting for Input","Analyzing Object","Found Object","Needs Help","Confused","None"}, 0) - 1</f>
        <v/>
      </c>
      <c r="I414" s="31" t="inlineStr">
        <is>
          <t>Found Object</t>
        </is>
      </c>
      <c r="J414" s="29">
        <f>MATCH(I414, {"Waiting for Input","Analyzing Object","Found Object","Needs Help","Confused","None"}, 0) - 1</f>
        <v/>
      </c>
      <c r="K414" s="29" t="n">
        <v>4</v>
      </c>
      <c r="L414" s="29">
        <f>IF(H414=J414, 1, 0)</f>
        <v/>
      </c>
    </row>
    <row r="415">
      <c r="D415" s="29" t="n">
        <v>390</v>
      </c>
      <c r="E415" s="29" t="inlineStr">
        <is>
          <t>2</t>
        </is>
      </c>
      <c r="F415" s="30" t="inlineStr">
        <is>
          <t>GPT4</t>
        </is>
      </c>
      <c r="G415" s="29" t="inlineStr">
        <is>
          <t>Found Object</t>
        </is>
      </c>
      <c r="H415" s="29">
        <f>MATCH(G415, {"Waiting for Input","Analyzing Object","Found Object","Needs Help","Confused","None"}, 0) - 1</f>
        <v/>
      </c>
      <c r="I415" s="31" t="inlineStr">
        <is>
          <t>Found Object</t>
        </is>
      </c>
      <c r="J415" s="29">
        <f>MATCH(I415, {"Waiting for Input","Analyzing Object","Found Object","Needs Help","Confused","None"}, 0) - 1</f>
        <v/>
      </c>
      <c r="K415" s="29" t="n">
        <v>5</v>
      </c>
      <c r="L415" s="29">
        <f>IF(H415=J415, 1, 0)</f>
        <v/>
      </c>
    </row>
    <row r="416">
      <c r="D416" s="29" t="n">
        <v>391</v>
      </c>
      <c r="E416" s="29" t="inlineStr">
        <is>
          <t>1</t>
        </is>
      </c>
      <c r="F416" s="30" t="inlineStr">
        <is>
          <t>GPT4</t>
        </is>
      </c>
      <c r="G416" s="29" t="inlineStr">
        <is>
          <t>Found Object</t>
        </is>
      </c>
      <c r="H416" s="29">
        <f>MATCH(G416, {"Waiting for Input","Analyzing Object","Found Object","Needs Help","Confused","None"}, 0) - 1</f>
        <v/>
      </c>
      <c r="I416" s="31" t="inlineStr">
        <is>
          <t>Analyzing Object</t>
        </is>
      </c>
      <c r="J416" s="29">
        <f>MATCH(I416, {"Waiting for Input","Analyzing Object","Found Object","Needs Help","Confused","None"}, 0) - 1</f>
        <v/>
      </c>
      <c r="K416" s="29" t="n">
        <v>3</v>
      </c>
      <c r="L416" s="29">
        <f>IF(H416=J416, 1, 0)</f>
        <v/>
      </c>
    </row>
    <row r="417">
      <c r="D417" s="29" t="n">
        <v>392</v>
      </c>
      <c r="E417" s="29" t="inlineStr">
        <is>
          <t>2</t>
        </is>
      </c>
      <c r="F417" s="30" t="inlineStr">
        <is>
          <t>GPT4</t>
        </is>
      </c>
      <c r="G417" s="29" t="inlineStr">
        <is>
          <t>Found Object</t>
        </is>
      </c>
      <c r="H417" s="29">
        <f>MATCH(G417, {"Waiting for Input","Analyzing Object","Found Object","Needs Help","Confused","None"}, 0) - 1</f>
        <v/>
      </c>
      <c r="I417" s="31" t="inlineStr">
        <is>
          <t>Analyzing Object</t>
        </is>
      </c>
      <c r="J417" s="29">
        <f>MATCH(I417, {"Waiting for Input","Analyzing Object","Found Object","Needs Help","Confused","None"}, 0) - 1</f>
        <v/>
      </c>
      <c r="K417" s="29" t="n">
        <v>5</v>
      </c>
      <c r="L417" s="29">
        <f>IF(H417=J417, 1, 0)</f>
        <v/>
      </c>
    </row>
    <row r="418">
      <c r="D418" s="29" t="n">
        <v>393</v>
      </c>
      <c r="E418" s="29" t="inlineStr">
        <is>
          <t>1</t>
        </is>
      </c>
      <c r="F418" s="30" t="inlineStr">
        <is>
          <t>GPT4</t>
        </is>
      </c>
      <c r="G418" s="29" t="inlineStr">
        <is>
          <t>Found Object</t>
        </is>
      </c>
      <c r="H418" s="29">
        <f>MATCH(G418, {"Waiting for Input","Analyzing Object","Found Object","Needs Help","Confused","None"}, 0) - 1</f>
        <v/>
      </c>
      <c r="I418" s="31" t="inlineStr">
        <is>
          <t>Analyzing Object</t>
        </is>
      </c>
      <c r="J418" s="29">
        <f>MATCH(I418, {"Waiting for Input","Analyzing Object","Found Object","Needs Help","Confused","None"}, 0) - 1</f>
        <v/>
      </c>
      <c r="K418" s="29" t="n">
        <v>4</v>
      </c>
      <c r="L418" s="29">
        <f>IF(H418=J418, 1, 0)</f>
        <v/>
      </c>
    </row>
    <row r="419">
      <c r="D419" s="29" t="n">
        <v>394</v>
      </c>
      <c r="E419" s="29" t="inlineStr">
        <is>
          <t>1</t>
        </is>
      </c>
      <c r="F419" s="30" t="inlineStr">
        <is>
          <t>GPT4</t>
        </is>
      </c>
      <c r="G419" s="29" t="inlineStr">
        <is>
          <t>Found Object</t>
        </is>
      </c>
      <c r="H419" s="29">
        <f>MATCH(G419, {"Waiting for Input","Analyzing Object","Found Object","Needs Help","Confused","None"}, 0) - 1</f>
        <v/>
      </c>
      <c r="I419" s="31" t="inlineStr">
        <is>
          <t>Analyzing Object</t>
        </is>
      </c>
      <c r="J419" s="29">
        <f>MATCH(I419, {"Waiting for Input","Analyzing Object","Found Object","Needs Help","Confused","None"}, 0) - 1</f>
        <v/>
      </c>
      <c r="K419" s="29" t="n">
        <v>5</v>
      </c>
      <c r="L419" s="29">
        <f>IF(H419=J419, 1, 0)</f>
        <v/>
      </c>
    </row>
    <row r="420">
      <c r="D420" s="29" t="n">
        <v>395</v>
      </c>
      <c r="E420" s="29" t="inlineStr">
        <is>
          <t>1</t>
        </is>
      </c>
      <c r="F420" s="30" t="inlineStr">
        <is>
          <t>GPT4</t>
        </is>
      </c>
      <c r="G420" s="29" t="inlineStr">
        <is>
          <t>Found Object</t>
        </is>
      </c>
      <c r="H420" s="29">
        <f>MATCH(G420, {"Waiting for Input","Analyzing Object","Found Object","Needs Help","Confused","None"}, 0) - 1</f>
        <v/>
      </c>
      <c r="I420" s="31" t="inlineStr">
        <is>
          <t>Found Object</t>
        </is>
      </c>
      <c r="J420" s="29">
        <f>MATCH(I420, {"Waiting for Input","Analyzing Object","Found Object","Needs Help","Confused","None"}, 0) - 1</f>
        <v/>
      </c>
      <c r="K420" s="29" t="n">
        <v>5</v>
      </c>
      <c r="L420" s="29">
        <f>IF(H420=J420, 1, 0)</f>
        <v/>
      </c>
    </row>
    <row r="421">
      <c r="D421" s="29" t="n">
        <v>396</v>
      </c>
      <c r="E421" s="29" t="inlineStr">
        <is>
          <t>2</t>
        </is>
      </c>
      <c r="F421" s="30" t="inlineStr">
        <is>
          <t>GPT4</t>
        </is>
      </c>
      <c r="G421" s="29" t="inlineStr">
        <is>
          <t>Found Object</t>
        </is>
      </c>
      <c r="H421" s="29">
        <f>MATCH(G421, {"Waiting for Input","Analyzing Object","Found Object","Needs Help","Confused","None"}, 0) - 1</f>
        <v/>
      </c>
      <c r="I421" s="31" t="inlineStr">
        <is>
          <t>Analyzing Object</t>
        </is>
      </c>
      <c r="J421" s="29">
        <f>MATCH(I421, {"Waiting for Input","Analyzing Object","Found Object","Needs Help","Confused","None"}, 0) - 1</f>
        <v/>
      </c>
      <c r="K421" s="29" t="n">
        <v>3</v>
      </c>
      <c r="L421" s="29">
        <f>IF(H421=J421, 1, 0)</f>
        <v/>
      </c>
    </row>
    <row r="422">
      <c r="D422" s="29" t="n">
        <v>397</v>
      </c>
      <c r="E422" s="29" t="inlineStr">
        <is>
          <t>2</t>
        </is>
      </c>
      <c r="F422" s="30" t="inlineStr">
        <is>
          <t>GPT4</t>
        </is>
      </c>
      <c r="G422" s="29" t="inlineStr">
        <is>
          <t>Found Object</t>
        </is>
      </c>
      <c r="H422" s="29">
        <f>MATCH(G422, {"Waiting for Input","Analyzing Object","Found Object","Needs Help","Confused","None"}, 0) - 1</f>
        <v/>
      </c>
      <c r="I422" s="31" t="inlineStr">
        <is>
          <t>Waiting for Input</t>
        </is>
      </c>
      <c r="J422" s="29">
        <f>MATCH(I422, {"Waiting for Input","Analyzing Object","Found Object","Needs Help","Confused","None"}, 0) - 1</f>
        <v/>
      </c>
      <c r="K422" s="29" t="n">
        <v>5</v>
      </c>
      <c r="L422" s="29">
        <f>IF(H422=J422, 1, 0)</f>
        <v/>
      </c>
    </row>
    <row r="423">
      <c r="D423" s="29" t="n">
        <v>398</v>
      </c>
      <c r="E423" s="29" t="inlineStr">
        <is>
          <t>1</t>
        </is>
      </c>
      <c r="F423" s="30" t="inlineStr">
        <is>
          <t>GPT4</t>
        </is>
      </c>
      <c r="G423" s="29" t="inlineStr">
        <is>
          <t>Found Object</t>
        </is>
      </c>
      <c r="H423" s="29">
        <f>MATCH(G423, {"Waiting for Input","Analyzing Object","Found Object","Needs Help","Confused","None"}, 0) - 1</f>
        <v/>
      </c>
      <c r="I423" s="31" t="inlineStr">
        <is>
          <t>Analyzing Object</t>
        </is>
      </c>
      <c r="J423" s="29">
        <f>MATCH(I423, {"Waiting for Input","Analyzing Object","Found Object","Needs Help","Confused","None"}, 0) - 1</f>
        <v/>
      </c>
      <c r="K423" s="29" t="n">
        <v>3</v>
      </c>
      <c r="L423" s="29">
        <f>IF(H423=J423, 1, 0)</f>
        <v/>
      </c>
    </row>
    <row r="424">
      <c r="D424" s="29" t="n">
        <v>399</v>
      </c>
      <c r="E424" s="29" t="inlineStr">
        <is>
          <t>1</t>
        </is>
      </c>
      <c r="F424" s="30" t="inlineStr">
        <is>
          <t>GPT4</t>
        </is>
      </c>
      <c r="G424" s="29" t="inlineStr">
        <is>
          <t>Found Object</t>
        </is>
      </c>
      <c r="H424" s="29">
        <f>MATCH(G424, {"Waiting for Input","Analyzing Object","Found Object","Needs Help","Confused","None"}, 0) - 1</f>
        <v/>
      </c>
      <c r="I424" s="31" t="inlineStr">
        <is>
          <t>Found Object</t>
        </is>
      </c>
      <c r="J424" s="29">
        <f>MATCH(I424, {"Waiting for Input","Analyzing Object","Found Object","Needs Help","Confused","None"}, 0) - 1</f>
        <v/>
      </c>
      <c r="K424" s="29" t="n">
        <v>5</v>
      </c>
      <c r="L424" s="29">
        <f>IF(H424=J424, 1, 0)</f>
        <v/>
      </c>
    </row>
    <row r="425">
      <c r="D425" s="29" t="n">
        <v>400</v>
      </c>
      <c r="E425" s="29" t="inlineStr">
        <is>
          <t>1</t>
        </is>
      </c>
      <c r="F425" s="30" t="inlineStr">
        <is>
          <t>GPT4</t>
        </is>
      </c>
      <c r="G425" s="29" t="inlineStr">
        <is>
          <t>Found Object</t>
        </is>
      </c>
      <c r="H425" s="29">
        <f>MATCH(G425, {"Waiting for Input","Analyzing Object","Found Object","Needs Help","Confused","None"}, 0) - 1</f>
        <v/>
      </c>
      <c r="I425" s="31" t="inlineStr">
        <is>
          <t>Found Object</t>
        </is>
      </c>
      <c r="J425" s="29">
        <f>MATCH(I425, {"Waiting for Input","Analyzing Object","Found Object","Needs Help","Confused","None"}, 0) - 1</f>
        <v/>
      </c>
      <c r="K425" s="29" t="n">
        <v>5</v>
      </c>
      <c r="L425" s="29">
        <f>IF(H425=J425, 1, 0)</f>
        <v/>
      </c>
    </row>
    <row r="426">
      <c r="D426" s="29" t="n">
        <v>401</v>
      </c>
      <c r="E426" s="29" t="inlineStr">
        <is>
          <t>2</t>
        </is>
      </c>
      <c r="F426" s="30" t="inlineStr">
        <is>
          <t>GPT4</t>
        </is>
      </c>
      <c r="G426" s="29" t="inlineStr">
        <is>
          <t>Found Object</t>
        </is>
      </c>
      <c r="H426" s="29">
        <f>MATCH(G426, {"Waiting for Input","Analyzing Object","Found Object","Needs Help","Confused","None"}, 0) - 1</f>
        <v/>
      </c>
      <c r="I426" s="31" t="inlineStr">
        <is>
          <t>Found Object</t>
        </is>
      </c>
      <c r="J426" s="29">
        <f>MATCH(I426, {"Waiting for Input","Analyzing Object","Found Object","Needs Help","Confused","None"}, 0) - 1</f>
        <v/>
      </c>
      <c r="K426" s="29" t="n">
        <v>2</v>
      </c>
      <c r="L426" s="29">
        <f>IF(H426=J426, 1, 0)</f>
        <v/>
      </c>
    </row>
    <row r="427">
      <c r="D427" s="29" t="n">
        <v>402</v>
      </c>
      <c r="E427" s="29" t="inlineStr">
        <is>
          <t>2</t>
        </is>
      </c>
      <c r="F427" s="30" t="inlineStr">
        <is>
          <t>GPT4</t>
        </is>
      </c>
      <c r="G427" s="29" t="inlineStr">
        <is>
          <t>Found Object</t>
        </is>
      </c>
      <c r="H427" s="29">
        <f>MATCH(G427, {"Waiting for Input","Analyzing Object","Found Object","Needs Help","Confused","None"}, 0) - 1</f>
        <v/>
      </c>
      <c r="I427" s="31" t="inlineStr">
        <is>
          <t>Found Object</t>
        </is>
      </c>
      <c r="J427" s="29">
        <f>MATCH(I427, {"Waiting for Input","Analyzing Object","Found Object","Needs Help","Confused","None"}, 0) - 1</f>
        <v/>
      </c>
      <c r="K427" s="29" t="n">
        <v>4</v>
      </c>
      <c r="L427" s="29">
        <f>IF(H427=J427, 1, 0)</f>
        <v/>
      </c>
    </row>
    <row r="428">
      <c r="D428" s="29" t="n">
        <v>403</v>
      </c>
      <c r="E428" s="29" t="inlineStr">
        <is>
          <t>2</t>
        </is>
      </c>
      <c r="F428" s="30" t="inlineStr">
        <is>
          <t>GPT4</t>
        </is>
      </c>
      <c r="G428" s="29" t="inlineStr">
        <is>
          <t>Found Object</t>
        </is>
      </c>
      <c r="H428" s="29">
        <f>MATCH(G428, {"Waiting for Input","Analyzing Object","Found Object","Needs Help","Confused","None"}, 0) - 1</f>
        <v/>
      </c>
      <c r="I428" s="31" t="inlineStr">
        <is>
          <t>Analyzing Object</t>
        </is>
      </c>
      <c r="J428" s="29">
        <f>MATCH(I428, {"Waiting for Input","Analyzing Object","Found Object","Needs Help","Confused","None"}, 0) - 1</f>
        <v/>
      </c>
      <c r="K428" s="29" t="n">
        <v>3</v>
      </c>
      <c r="L428" s="29">
        <f>IF(H428=J428, 1, 0)</f>
        <v/>
      </c>
    </row>
    <row r="429">
      <c r="D429" s="29" t="n">
        <v>404</v>
      </c>
      <c r="E429" s="29" t="inlineStr">
        <is>
          <t>2</t>
        </is>
      </c>
      <c r="F429" s="30" t="inlineStr">
        <is>
          <t>GPT4</t>
        </is>
      </c>
      <c r="G429" s="29" t="inlineStr">
        <is>
          <t>Found Object</t>
        </is>
      </c>
      <c r="H429" s="29">
        <f>MATCH(G429, {"Waiting for Input","Analyzing Object","Found Object","Needs Help","Confused","None"}, 0) - 1</f>
        <v/>
      </c>
      <c r="I429" s="31" t="inlineStr">
        <is>
          <t>Analyzing Object</t>
        </is>
      </c>
      <c r="J429" s="29">
        <f>MATCH(I429, {"Waiting for Input","Analyzing Object","Found Object","Needs Help","Confused","None"}, 0) - 1</f>
        <v/>
      </c>
      <c r="K429" s="29" t="n">
        <v>4</v>
      </c>
      <c r="L429" s="29">
        <f>IF(H429=J429, 1, 0)</f>
        <v/>
      </c>
    </row>
    <row r="430">
      <c r="D430" s="29" t="n">
        <v>405</v>
      </c>
      <c r="E430" s="29" t="inlineStr">
        <is>
          <t>2</t>
        </is>
      </c>
      <c r="F430" s="30" t="inlineStr">
        <is>
          <t>GPT4</t>
        </is>
      </c>
      <c r="G430" s="29" t="inlineStr">
        <is>
          <t>Found Object</t>
        </is>
      </c>
      <c r="H430" s="29">
        <f>MATCH(G430, {"Waiting for Input","Analyzing Object","Found Object","Needs Help","Confused","None"}, 0) - 1</f>
        <v/>
      </c>
      <c r="I430" s="31" t="inlineStr">
        <is>
          <t>Found Object</t>
        </is>
      </c>
      <c r="J430" s="29">
        <f>MATCH(I430, {"Waiting for Input","Analyzing Object","Found Object","Needs Help","Confused","None"}, 0) - 1</f>
        <v/>
      </c>
      <c r="K430" s="29" t="n">
        <v>3</v>
      </c>
      <c r="L430" s="29">
        <f>IF(H430=J430, 1, 0)</f>
        <v/>
      </c>
    </row>
    <row r="431">
      <c r="D431" s="29" t="n">
        <v>406</v>
      </c>
      <c r="E431" s="29" t="inlineStr">
        <is>
          <t>2</t>
        </is>
      </c>
      <c r="F431" s="30" t="inlineStr">
        <is>
          <t>GPT4</t>
        </is>
      </c>
      <c r="G431" s="29" t="inlineStr">
        <is>
          <t>Found Object</t>
        </is>
      </c>
      <c r="H431" s="29">
        <f>MATCH(G431, {"Waiting for Input","Analyzing Object","Found Object","Needs Help","Confused","None"}, 0) - 1</f>
        <v/>
      </c>
      <c r="I431" s="31" t="inlineStr">
        <is>
          <t>Analyzing Object</t>
        </is>
      </c>
      <c r="J431" s="29">
        <f>MATCH(I431, {"Waiting for Input","Analyzing Object","Found Object","Needs Help","Confused","None"}, 0) - 1</f>
        <v/>
      </c>
      <c r="K431" s="29" t="n">
        <v>3</v>
      </c>
      <c r="L431" s="29">
        <f>IF(H431=J431, 1, 0)</f>
        <v/>
      </c>
    </row>
    <row r="432">
      <c r="D432" s="29" t="n">
        <v>407</v>
      </c>
      <c r="E432" s="29" t="inlineStr">
        <is>
          <t>2</t>
        </is>
      </c>
      <c r="F432" s="30" t="inlineStr">
        <is>
          <t>GPT4</t>
        </is>
      </c>
      <c r="G432" s="29" t="inlineStr">
        <is>
          <t>Found Object</t>
        </is>
      </c>
      <c r="H432" s="29">
        <f>MATCH(G432, {"Waiting for Input","Analyzing Object","Found Object","Needs Help","Confused","None"}, 0) - 1</f>
        <v/>
      </c>
      <c r="I432" s="31" t="inlineStr">
        <is>
          <t>Analyzing Object</t>
        </is>
      </c>
      <c r="J432" s="29">
        <f>MATCH(I432, {"Waiting for Input","Analyzing Object","Found Object","Needs Help","Confused","None"}, 0) - 1</f>
        <v/>
      </c>
      <c r="K432" s="29" t="n">
        <v>4</v>
      </c>
      <c r="L432" s="29">
        <f>IF(H432=J432, 1, 0)</f>
        <v/>
      </c>
    </row>
    <row r="433">
      <c r="D433" s="29" t="n">
        <v>408</v>
      </c>
      <c r="E433" s="29" t="inlineStr">
        <is>
          <t>2</t>
        </is>
      </c>
      <c r="F433" s="30" t="inlineStr">
        <is>
          <t>GPT4</t>
        </is>
      </c>
      <c r="G433" s="29" t="inlineStr">
        <is>
          <t>Found Object</t>
        </is>
      </c>
      <c r="H433" s="29">
        <f>MATCH(G433, {"Waiting for Input","Analyzing Object","Found Object","Needs Help","Confused","None"}, 0) - 1</f>
        <v/>
      </c>
      <c r="I433" s="31" t="inlineStr">
        <is>
          <t>Analyzing Object</t>
        </is>
      </c>
      <c r="J433" s="29">
        <f>MATCH(I433, {"Waiting for Input","Analyzing Object","Found Object","Needs Help","Confused","None"}, 0) - 1</f>
        <v/>
      </c>
      <c r="K433" s="29" t="n">
        <v>5</v>
      </c>
      <c r="L433" s="29">
        <f>IF(H433=J433, 1, 0)</f>
        <v/>
      </c>
    </row>
    <row r="434">
      <c r="D434" s="29" t="n">
        <v>409</v>
      </c>
      <c r="E434" s="29" t="inlineStr">
        <is>
          <t>2</t>
        </is>
      </c>
      <c r="F434" s="30" t="inlineStr">
        <is>
          <t>GPT4</t>
        </is>
      </c>
      <c r="G434" s="29" t="inlineStr">
        <is>
          <t>Found Object</t>
        </is>
      </c>
      <c r="H434" s="29">
        <f>MATCH(G434, {"Waiting for Input","Analyzing Object","Found Object","Needs Help","Confused","None"}, 0) - 1</f>
        <v/>
      </c>
      <c r="I434" s="31" t="inlineStr">
        <is>
          <t>Found Object</t>
        </is>
      </c>
      <c r="J434" s="29">
        <f>MATCH(I434, {"Waiting for Input","Analyzing Object","Found Object","Needs Help","Confused","None"}, 0) - 1</f>
        <v/>
      </c>
      <c r="K434" s="29" t="n">
        <v>4</v>
      </c>
      <c r="L434" s="29">
        <f>IF(H434=J434, 1, 0)</f>
        <v/>
      </c>
    </row>
    <row r="435">
      <c r="D435" s="29" t="n">
        <v>410</v>
      </c>
      <c r="E435" s="29" t="inlineStr">
        <is>
          <t>2</t>
        </is>
      </c>
      <c r="F435" s="30" t="inlineStr">
        <is>
          <t>GPT4</t>
        </is>
      </c>
      <c r="G435" s="29" t="inlineStr">
        <is>
          <t>Found Object</t>
        </is>
      </c>
      <c r="H435" s="29">
        <f>MATCH(G435, {"Waiting for Input","Analyzing Object","Found Object","Needs Help","Confused","None"}, 0) - 1</f>
        <v/>
      </c>
      <c r="I435" s="31" t="inlineStr">
        <is>
          <t>Analyzing Object</t>
        </is>
      </c>
      <c r="J435" s="29">
        <f>MATCH(I435, {"Waiting for Input","Analyzing Object","Found Object","Needs Help","Confused","None"}, 0) - 1</f>
        <v/>
      </c>
      <c r="K435" s="29" t="n">
        <v>3</v>
      </c>
      <c r="L435" s="29">
        <f>IF(H435=J435, 1, 0)</f>
        <v/>
      </c>
    </row>
    <row r="436">
      <c r="D436" s="29" t="n">
        <v>411</v>
      </c>
      <c r="E436" s="29" t="inlineStr">
        <is>
          <t>1</t>
        </is>
      </c>
      <c r="F436" s="30" t="inlineStr">
        <is>
          <t>GPT4</t>
        </is>
      </c>
      <c r="G436" s="29" t="inlineStr">
        <is>
          <t>Found Object</t>
        </is>
      </c>
      <c r="H436" s="29">
        <f>MATCH(G436, {"Waiting for Input","Analyzing Object","Found Object","Needs Help","Confused","None"}, 0) - 1</f>
        <v/>
      </c>
      <c r="I436" s="31" t="inlineStr">
        <is>
          <t>Analyzing Object</t>
        </is>
      </c>
      <c r="J436" s="29">
        <f>MATCH(I436, {"Waiting for Input","Analyzing Object","Found Object","Needs Help","Confused","None"}, 0) - 1</f>
        <v/>
      </c>
      <c r="K436" s="29" t="n">
        <v>4</v>
      </c>
      <c r="L436" s="29">
        <f>IF(H436=J436, 1, 0)</f>
        <v/>
      </c>
    </row>
    <row r="437">
      <c r="D437" s="29" t="n">
        <v>412</v>
      </c>
      <c r="E437" s="29" t="inlineStr">
        <is>
          <t>2</t>
        </is>
      </c>
      <c r="F437" s="30" t="inlineStr">
        <is>
          <t>GPT4</t>
        </is>
      </c>
      <c r="G437" s="29" t="inlineStr">
        <is>
          <t>Found Object</t>
        </is>
      </c>
      <c r="H437" s="29">
        <f>MATCH(G437, {"Waiting for Input","Analyzing Object","Found Object","Needs Help","Confused","None"}, 0) - 1</f>
        <v/>
      </c>
      <c r="I437" s="31" t="inlineStr">
        <is>
          <t>Found Object</t>
        </is>
      </c>
      <c r="J437" s="29">
        <f>MATCH(I437, {"Waiting for Input","Analyzing Object","Found Object","Needs Help","Confused","None"}, 0) - 1</f>
        <v/>
      </c>
      <c r="K437" s="29" t="n">
        <v>5</v>
      </c>
      <c r="L437" s="29">
        <f>IF(H437=J437, 1, 0)</f>
        <v/>
      </c>
    </row>
    <row r="438">
      <c r="D438" s="29" t="n">
        <v>413</v>
      </c>
      <c r="E438" s="29" t="inlineStr">
        <is>
          <t>2</t>
        </is>
      </c>
      <c r="F438" s="30" t="inlineStr">
        <is>
          <t>GPT4</t>
        </is>
      </c>
      <c r="G438" s="29" t="inlineStr">
        <is>
          <t>Found Object</t>
        </is>
      </c>
      <c r="H438" s="29">
        <f>MATCH(G438, {"Waiting for Input","Analyzing Object","Found Object","Needs Help","Confused","None"}, 0) - 1</f>
        <v/>
      </c>
      <c r="I438" s="31" t="inlineStr">
        <is>
          <t>Analyzing Object</t>
        </is>
      </c>
      <c r="J438" s="29">
        <f>MATCH(I438, {"Waiting for Input","Analyzing Object","Found Object","Needs Help","Confused","None"}, 0) - 1</f>
        <v/>
      </c>
      <c r="K438" s="29" t="n">
        <v>4</v>
      </c>
      <c r="L438" s="29">
        <f>IF(H438=J438, 1, 0)</f>
        <v/>
      </c>
    </row>
    <row r="439">
      <c r="D439" s="29" t="n">
        <v>414</v>
      </c>
      <c r="E439" s="29" t="inlineStr">
        <is>
          <t>1</t>
        </is>
      </c>
      <c r="F439" s="30" t="inlineStr">
        <is>
          <t>GPT4</t>
        </is>
      </c>
      <c r="G439" s="29" t="inlineStr">
        <is>
          <t>Found Object</t>
        </is>
      </c>
      <c r="H439" s="29">
        <f>MATCH(G439, {"Waiting for Input","Analyzing Object","Found Object","Needs Help","Confused","None"}, 0) - 1</f>
        <v/>
      </c>
      <c r="I439" s="31" t="inlineStr">
        <is>
          <t>Found Object</t>
        </is>
      </c>
      <c r="J439" s="29">
        <f>MATCH(I439, {"Waiting for Input","Analyzing Object","Found Object","Needs Help","Confused","None"}, 0) - 1</f>
        <v/>
      </c>
      <c r="K439" s="29" t="n">
        <v>4</v>
      </c>
      <c r="L439" s="29">
        <f>IF(H439=J439, 1, 0)</f>
        <v/>
      </c>
    </row>
    <row r="440">
      <c r="D440" s="29" t="n">
        <v>415</v>
      </c>
      <c r="E440" s="29" t="inlineStr">
        <is>
          <t>2</t>
        </is>
      </c>
      <c r="F440" s="30" t="inlineStr">
        <is>
          <t>GPT4</t>
        </is>
      </c>
      <c r="G440" s="29" t="inlineStr">
        <is>
          <t>Found Object</t>
        </is>
      </c>
      <c r="H440" s="29">
        <f>MATCH(G440, {"Waiting for Input","Analyzing Object","Found Object","Needs Help","Confused","None"}, 0) - 1</f>
        <v/>
      </c>
      <c r="I440" s="31" t="inlineStr">
        <is>
          <t>Analyzing Object</t>
        </is>
      </c>
      <c r="J440" s="29">
        <f>MATCH(I440, {"Waiting for Input","Analyzing Object","Found Object","Needs Help","Confused","None"}, 0) - 1</f>
        <v/>
      </c>
      <c r="K440" s="29" t="n">
        <v>3</v>
      </c>
      <c r="L440" s="29">
        <f>IF(H440=J440, 1, 0)</f>
        <v/>
      </c>
    </row>
    <row r="441">
      <c r="D441" s="29" t="n">
        <v>416</v>
      </c>
      <c r="E441" s="29" t="inlineStr">
        <is>
          <t>2</t>
        </is>
      </c>
      <c r="F441" s="30" t="inlineStr">
        <is>
          <t>GPT4</t>
        </is>
      </c>
      <c r="G441" s="29" t="inlineStr">
        <is>
          <t>Found Object</t>
        </is>
      </c>
      <c r="H441" s="29">
        <f>MATCH(G441, {"Waiting for Input","Analyzing Object","Found Object","Needs Help","Confused","None"}, 0) - 1</f>
        <v/>
      </c>
      <c r="I441" s="31" t="inlineStr">
        <is>
          <t>Found Object</t>
        </is>
      </c>
      <c r="J441" s="29">
        <f>MATCH(I441, {"Waiting for Input","Analyzing Object","Found Object","Needs Help","Confused","None"}, 0) - 1</f>
        <v/>
      </c>
      <c r="K441" s="29" t="n">
        <v>5</v>
      </c>
      <c r="L441" s="29">
        <f>IF(H441=J441, 1, 0)</f>
        <v/>
      </c>
    </row>
    <row r="442">
      <c r="D442" s="29" t="n">
        <v>417</v>
      </c>
      <c r="E442" s="29" t="inlineStr">
        <is>
          <t>2</t>
        </is>
      </c>
      <c r="F442" s="30" t="inlineStr">
        <is>
          <t>GPT4</t>
        </is>
      </c>
      <c r="G442" s="29" t="inlineStr">
        <is>
          <t>Found Object</t>
        </is>
      </c>
      <c r="H442" s="29">
        <f>MATCH(G442, {"Waiting for Input","Analyzing Object","Found Object","Needs Help","Confused","None"}, 0) - 1</f>
        <v/>
      </c>
      <c r="I442" s="31" t="inlineStr">
        <is>
          <t>Analyzing Object</t>
        </is>
      </c>
      <c r="J442" s="29">
        <f>MATCH(I442, {"Waiting for Input","Analyzing Object","Found Object","Needs Help","Confused","None"}, 0) - 1</f>
        <v/>
      </c>
      <c r="K442" s="29" t="n">
        <v>2</v>
      </c>
      <c r="L442" s="29">
        <f>IF(H442=J442, 1, 0)</f>
        <v/>
      </c>
    </row>
    <row r="443">
      <c r="D443" s="29" t="n">
        <v>418</v>
      </c>
      <c r="E443" s="29" t="inlineStr">
        <is>
          <t>1</t>
        </is>
      </c>
      <c r="F443" s="30" t="inlineStr">
        <is>
          <t>GPT4</t>
        </is>
      </c>
      <c r="G443" s="29" t="inlineStr">
        <is>
          <t>Found Object</t>
        </is>
      </c>
      <c r="H443" s="29">
        <f>MATCH(G443, {"Waiting for Input","Analyzing Object","Found Object","Needs Help","Confused","None"}, 0) - 1</f>
        <v/>
      </c>
      <c r="I443" s="31" t="inlineStr">
        <is>
          <t>None</t>
        </is>
      </c>
      <c r="J443" s="29">
        <f>MATCH(I443, {"Waiting for Input","Analyzing Object","Found Object","Needs Help","Confused","None"}, 0) - 1</f>
        <v/>
      </c>
      <c r="K443" s="31" t="n"/>
      <c r="L443" s="29">
        <f>IF(H443=J443, 1, 0)</f>
        <v/>
      </c>
    </row>
    <row r="444">
      <c r="D444" s="29" t="n">
        <v>419</v>
      </c>
      <c r="E444" s="29" t="inlineStr">
        <is>
          <t>2</t>
        </is>
      </c>
      <c r="F444" s="30" t="inlineStr">
        <is>
          <t>GPT4</t>
        </is>
      </c>
      <c r="G444" s="29" t="inlineStr">
        <is>
          <t>Found Object</t>
        </is>
      </c>
      <c r="H444" s="29">
        <f>MATCH(G444, {"Waiting for Input","Analyzing Object","Found Object","Needs Help","Confused","None"}, 0) - 1</f>
        <v/>
      </c>
      <c r="I444" s="31" t="inlineStr">
        <is>
          <t>Analyzing Object</t>
        </is>
      </c>
      <c r="J444" s="29">
        <f>MATCH(I444, {"Waiting for Input","Analyzing Object","Found Object","Needs Help","Confused","None"}, 0) - 1</f>
        <v/>
      </c>
      <c r="K444" s="29" t="n">
        <v>3</v>
      </c>
      <c r="L444" s="29">
        <f>IF(H444=J444, 1, 0)</f>
        <v/>
      </c>
    </row>
    <row r="445">
      <c r="D445" s="29" t="n">
        <v>420</v>
      </c>
      <c r="E445" s="29" t="inlineStr">
        <is>
          <t>1</t>
        </is>
      </c>
      <c r="F445" s="30" t="inlineStr">
        <is>
          <t>Human</t>
        </is>
      </c>
      <c r="G445" s="29" t="inlineStr">
        <is>
          <t>Found Object</t>
        </is>
      </c>
      <c r="H445" s="29">
        <f>MATCH(G445, {"Waiting for Input","Analyzing Object","Found Object","Needs Help","Confused","None"}, 0) - 1</f>
        <v/>
      </c>
      <c r="I445" s="31" t="inlineStr">
        <is>
          <t>Found Object</t>
        </is>
      </c>
      <c r="J445" s="29">
        <f>MATCH(I445, {"Waiting for Input","Analyzing Object","Found Object","Needs Help","Confused","None"}, 0) - 1</f>
        <v/>
      </c>
      <c r="K445" s="29" t="n">
        <v>3</v>
      </c>
      <c r="L445" s="29">
        <f>IF(H445=J445, 1, 0)</f>
        <v/>
      </c>
    </row>
    <row r="446">
      <c r="D446" s="29" t="n">
        <v>421</v>
      </c>
      <c r="E446" s="29" t="inlineStr">
        <is>
          <t>1</t>
        </is>
      </c>
      <c r="F446" s="30" t="inlineStr">
        <is>
          <t>Human</t>
        </is>
      </c>
      <c r="G446" s="29" t="inlineStr">
        <is>
          <t>Found Object</t>
        </is>
      </c>
      <c r="H446" s="29">
        <f>MATCH(G446, {"Waiting for Input","Analyzing Object","Found Object","Needs Help","Confused","None"}, 0) - 1</f>
        <v/>
      </c>
      <c r="I446" s="31" t="inlineStr">
        <is>
          <t>Analyzing Object</t>
        </is>
      </c>
      <c r="J446" s="29">
        <f>MATCH(I446, {"Waiting for Input","Analyzing Object","Found Object","Needs Help","Confused","None"}, 0) - 1</f>
        <v/>
      </c>
      <c r="K446" s="29" t="n">
        <v>4</v>
      </c>
      <c r="L446" s="29">
        <f>IF(H446=J446, 1, 0)</f>
        <v/>
      </c>
    </row>
    <row r="447">
      <c r="D447" s="29" t="n">
        <v>422</v>
      </c>
      <c r="E447" s="29" t="inlineStr">
        <is>
          <t>1</t>
        </is>
      </c>
      <c r="F447" s="30" t="inlineStr">
        <is>
          <t>Human</t>
        </is>
      </c>
      <c r="G447" s="29" t="inlineStr">
        <is>
          <t>Found Object</t>
        </is>
      </c>
      <c r="H447" s="29">
        <f>MATCH(G447, {"Waiting for Input","Analyzing Object","Found Object","Needs Help","Confused","None"}, 0) - 1</f>
        <v/>
      </c>
      <c r="I447" s="31" t="inlineStr">
        <is>
          <t>Found Object</t>
        </is>
      </c>
      <c r="J447" s="29">
        <f>MATCH(I447, {"Waiting for Input","Analyzing Object","Found Object","Needs Help","Confused","None"}, 0) - 1</f>
        <v/>
      </c>
      <c r="K447" s="29" t="n">
        <v>2</v>
      </c>
      <c r="L447" s="29">
        <f>IF(H447=J447, 1, 0)</f>
        <v/>
      </c>
    </row>
    <row r="448">
      <c r="D448" s="29" t="n">
        <v>423</v>
      </c>
      <c r="E448" s="29" t="inlineStr">
        <is>
          <t>2</t>
        </is>
      </c>
      <c r="F448" s="30" t="inlineStr">
        <is>
          <t>Human</t>
        </is>
      </c>
      <c r="G448" s="29" t="inlineStr">
        <is>
          <t>Found Object</t>
        </is>
      </c>
      <c r="H448" s="29">
        <f>MATCH(G448, {"Waiting for Input","Analyzing Object","Found Object","Needs Help","Confused","None"}, 0) - 1</f>
        <v/>
      </c>
      <c r="I448" s="31" t="inlineStr">
        <is>
          <t>Found Object</t>
        </is>
      </c>
      <c r="J448" s="29">
        <f>MATCH(I448, {"Waiting for Input","Analyzing Object","Found Object","Needs Help","Confused","None"}, 0) - 1</f>
        <v/>
      </c>
      <c r="K448" s="29" t="n">
        <v>5</v>
      </c>
      <c r="L448" s="29">
        <f>IF(H448=J448, 1, 0)</f>
        <v/>
      </c>
    </row>
    <row r="449">
      <c r="D449" s="29" t="n">
        <v>424</v>
      </c>
      <c r="E449" s="29" t="inlineStr">
        <is>
          <t>2</t>
        </is>
      </c>
      <c r="F449" s="30" t="inlineStr">
        <is>
          <t>Human</t>
        </is>
      </c>
      <c r="G449" s="29" t="inlineStr">
        <is>
          <t>Found Object</t>
        </is>
      </c>
      <c r="H449" s="29">
        <f>MATCH(G449, {"Waiting for Input","Analyzing Object","Found Object","Needs Help","Confused","None"}, 0) - 1</f>
        <v/>
      </c>
      <c r="I449" s="31" t="inlineStr">
        <is>
          <t>Found Object</t>
        </is>
      </c>
      <c r="J449" s="29">
        <f>MATCH(I449, {"Waiting for Input","Analyzing Object","Found Object","Needs Help","Confused","None"}, 0) - 1</f>
        <v/>
      </c>
      <c r="K449" s="29" t="n">
        <v>3</v>
      </c>
      <c r="L449" s="29">
        <f>IF(H449=J449, 1, 0)</f>
        <v/>
      </c>
    </row>
    <row r="450">
      <c r="D450" s="29" t="n">
        <v>425</v>
      </c>
      <c r="E450" s="29" t="inlineStr">
        <is>
          <t>1</t>
        </is>
      </c>
      <c r="F450" s="30" t="inlineStr">
        <is>
          <t>Human</t>
        </is>
      </c>
      <c r="G450" s="29" t="inlineStr">
        <is>
          <t>Found Object</t>
        </is>
      </c>
      <c r="H450" s="29">
        <f>MATCH(G450, {"Waiting for Input","Analyzing Object","Found Object","Needs Help","Confused","None"}, 0) - 1</f>
        <v/>
      </c>
      <c r="I450" s="31" t="inlineStr">
        <is>
          <t>Analyzing Object</t>
        </is>
      </c>
      <c r="J450" s="29">
        <f>MATCH(I450, {"Waiting for Input","Analyzing Object","Found Object","Needs Help","Confused","None"}, 0) - 1</f>
        <v/>
      </c>
      <c r="K450" s="29" t="n">
        <v>5</v>
      </c>
      <c r="L450" s="29">
        <f>IF(H450=J450, 1, 0)</f>
        <v/>
      </c>
    </row>
    <row r="451">
      <c r="D451" s="29" t="n">
        <v>426</v>
      </c>
      <c r="E451" s="29" t="inlineStr">
        <is>
          <t>2</t>
        </is>
      </c>
      <c r="F451" s="30" t="inlineStr">
        <is>
          <t>Human</t>
        </is>
      </c>
      <c r="G451" s="29" t="inlineStr">
        <is>
          <t>Found Object</t>
        </is>
      </c>
      <c r="H451" s="29">
        <f>MATCH(G451, {"Waiting for Input","Analyzing Object","Found Object","Needs Help","Confused","None"}, 0) - 1</f>
        <v/>
      </c>
      <c r="I451" s="31" t="inlineStr">
        <is>
          <t>Found Object</t>
        </is>
      </c>
      <c r="J451" s="29">
        <f>MATCH(I451, {"Waiting for Input","Analyzing Object","Found Object","Needs Help","Confused","None"}, 0) - 1</f>
        <v/>
      </c>
      <c r="K451" s="29" t="n">
        <v>2</v>
      </c>
      <c r="L451" s="29">
        <f>IF(H451=J451, 1, 0)</f>
        <v/>
      </c>
    </row>
    <row r="452">
      <c r="D452" s="29" t="n">
        <v>427</v>
      </c>
      <c r="E452" s="29" t="inlineStr">
        <is>
          <t>1</t>
        </is>
      </c>
      <c r="F452" s="30" t="inlineStr">
        <is>
          <t>Human</t>
        </is>
      </c>
      <c r="G452" s="29" t="inlineStr">
        <is>
          <t>Found Object</t>
        </is>
      </c>
      <c r="H452" s="29">
        <f>MATCH(G452, {"Waiting for Input","Analyzing Object","Found Object","Needs Help","Confused","None"}, 0) - 1</f>
        <v/>
      </c>
      <c r="I452" s="31" t="inlineStr">
        <is>
          <t>Analyzing Object</t>
        </is>
      </c>
      <c r="J452" s="29">
        <f>MATCH(I452, {"Waiting for Input","Analyzing Object","Found Object","Needs Help","Confused","None"}, 0) - 1</f>
        <v/>
      </c>
      <c r="K452" s="29" t="n">
        <v>4</v>
      </c>
      <c r="L452" s="29">
        <f>IF(H452=J452, 1, 0)</f>
        <v/>
      </c>
    </row>
    <row r="453">
      <c r="D453" s="29" t="n">
        <v>428</v>
      </c>
      <c r="E453" s="29" t="inlineStr">
        <is>
          <t>1</t>
        </is>
      </c>
      <c r="F453" s="30" t="inlineStr">
        <is>
          <t>Human</t>
        </is>
      </c>
      <c r="G453" s="29" t="inlineStr">
        <is>
          <t>Found Object</t>
        </is>
      </c>
      <c r="H453" s="29">
        <f>MATCH(G453, {"Waiting for Input","Analyzing Object","Found Object","Needs Help","Confused","None"}, 0) - 1</f>
        <v/>
      </c>
      <c r="I453" s="31" t="inlineStr">
        <is>
          <t>Found Object</t>
        </is>
      </c>
      <c r="J453" s="29">
        <f>MATCH(I453, {"Waiting for Input","Analyzing Object","Found Object","Needs Help","Confused","None"}, 0) - 1</f>
        <v/>
      </c>
      <c r="K453" s="29" t="n">
        <v>3</v>
      </c>
      <c r="L453" s="29">
        <f>IF(H453=J453, 1, 0)</f>
        <v/>
      </c>
    </row>
    <row r="454">
      <c r="D454" s="29" t="n">
        <v>429</v>
      </c>
      <c r="E454" s="29" t="inlineStr">
        <is>
          <t>1</t>
        </is>
      </c>
      <c r="F454" s="30" t="inlineStr">
        <is>
          <t>Human</t>
        </is>
      </c>
      <c r="G454" s="29" t="inlineStr">
        <is>
          <t>Found Object</t>
        </is>
      </c>
      <c r="H454" s="29">
        <f>MATCH(G454, {"Waiting for Input","Analyzing Object","Found Object","Needs Help","Confused","None"}, 0) - 1</f>
        <v/>
      </c>
      <c r="I454" s="31" t="inlineStr">
        <is>
          <t>Analyzing Object</t>
        </is>
      </c>
      <c r="J454" s="29">
        <f>MATCH(I454, {"Waiting for Input","Analyzing Object","Found Object","Needs Help","Confused","None"}, 0) - 1</f>
        <v/>
      </c>
      <c r="K454" s="29" t="n">
        <v>5</v>
      </c>
      <c r="L454" s="29">
        <f>IF(H454=J454, 1, 0)</f>
        <v/>
      </c>
    </row>
    <row r="455">
      <c r="D455" s="29" t="n">
        <v>430</v>
      </c>
      <c r="E455" s="29" t="inlineStr">
        <is>
          <t>2</t>
        </is>
      </c>
      <c r="F455" s="30" t="inlineStr">
        <is>
          <t>Human</t>
        </is>
      </c>
      <c r="G455" s="29" t="inlineStr">
        <is>
          <t>Found Object</t>
        </is>
      </c>
      <c r="H455" s="29">
        <f>MATCH(G455, {"Waiting for Input","Analyzing Object","Found Object","Needs Help","Confused","None"}, 0) - 1</f>
        <v/>
      </c>
      <c r="I455" s="31" t="inlineStr">
        <is>
          <t>Analyzing Object</t>
        </is>
      </c>
      <c r="J455" s="29">
        <f>MATCH(I455, {"Waiting for Input","Analyzing Object","Found Object","Needs Help","Confused","None"}, 0) - 1</f>
        <v/>
      </c>
      <c r="K455" s="29" t="n">
        <v>4</v>
      </c>
      <c r="L455" s="29">
        <f>IF(H455=J455, 1, 0)</f>
        <v/>
      </c>
    </row>
    <row r="456">
      <c r="D456" s="29" t="n">
        <v>431</v>
      </c>
      <c r="E456" s="29" t="inlineStr">
        <is>
          <t>2</t>
        </is>
      </c>
      <c r="F456" s="30" t="inlineStr">
        <is>
          <t>Human</t>
        </is>
      </c>
      <c r="G456" s="29" t="inlineStr">
        <is>
          <t>Found Object</t>
        </is>
      </c>
      <c r="H456" s="29">
        <f>MATCH(G456, {"Waiting for Input","Analyzing Object","Found Object","Needs Help","Confused","None"}, 0) - 1</f>
        <v/>
      </c>
      <c r="I456" s="31" t="inlineStr">
        <is>
          <t>Found Object</t>
        </is>
      </c>
      <c r="J456" s="29">
        <f>MATCH(I456, {"Waiting for Input","Analyzing Object","Found Object","Needs Help","Confused","None"}, 0) - 1</f>
        <v/>
      </c>
      <c r="K456" s="29" t="n">
        <v>5</v>
      </c>
      <c r="L456" s="29">
        <f>IF(H456=J456, 1, 0)</f>
        <v/>
      </c>
    </row>
    <row r="457">
      <c r="D457" s="29" t="n">
        <v>432</v>
      </c>
      <c r="E457" s="29" t="inlineStr">
        <is>
          <t>2</t>
        </is>
      </c>
      <c r="F457" s="30" t="inlineStr">
        <is>
          <t>Human</t>
        </is>
      </c>
      <c r="G457" s="29" t="inlineStr">
        <is>
          <t>Found Object</t>
        </is>
      </c>
      <c r="H457" s="29">
        <f>MATCH(G457, {"Waiting for Input","Analyzing Object","Found Object","Needs Help","Confused","None"}, 0) - 1</f>
        <v/>
      </c>
      <c r="I457" s="31" t="inlineStr">
        <is>
          <t>Analyzing Object</t>
        </is>
      </c>
      <c r="J457" s="29">
        <f>MATCH(I457, {"Waiting for Input","Analyzing Object","Found Object","Needs Help","Confused","None"}, 0) - 1</f>
        <v/>
      </c>
      <c r="K457" s="29" t="n">
        <v>2</v>
      </c>
      <c r="L457" s="29">
        <f>IF(H457=J457, 1, 0)</f>
        <v/>
      </c>
    </row>
    <row r="458">
      <c r="D458" s="29" t="n">
        <v>433</v>
      </c>
      <c r="E458" s="29" t="inlineStr">
        <is>
          <t>2</t>
        </is>
      </c>
      <c r="F458" s="30" t="inlineStr">
        <is>
          <t>Human</t>
        </is>
      </c>
      <c r="G458" s="29" t="inlineStr">
        <is>
          <t>Found Object</t>
        </is>
      </c>
      <c r="H458" s="29">
        <f>MATCH(G458, {"Waiting for Input","Analyzing Object","Found Object","Needs Help","Confused","None"}, 0) - 1</f>
        <v/>
      </c>
      <c r="I458" s="31" t="inlineStr">
        <is>
          <t>Analyzing Object</t>
        </is>
      </c>
      <c r="J458" s="29">
        <f>MATCH(I458, {"Waiting for Input","Analyzing Object","Found Object","Needs Help","Confused","None"}, 0) - 1</f>
        <v/>
      </c>
      <c r="K458" s="29" t="n">
        <v>4</v>
      </c>
      <c r="L458" s="29">
        <f>IF(H458=J458, 1, 0)</f>
        <v/>
      </c>
    </row>
    <row r="459">
      <c r="D459" s="29" t="n">
        <v>434</v>
      </c>
      <c r="E459" s="29" t="inlineStr">
        <is>
          <t>1</t>
        </is>
      </c>
      <c r="F459" s="30" t="inlineStr">
        <is>
          <t>Human</t>
        </is>
      </c>
      <c r="G459" s="29" t="inlineStr">
        <is>
          <t>Found Object</t>
        </is>
      </c>
      <c r="H459" s="29">
        <f>MATCH(G459, {"Waiting for Input","Analyzing Object","Found Object","Needs Help","Confused","None"}, 0) - 1</f>
        <v/>
      </c>
      <c r="I459" s="31" t="inlineStr">
        <is>
          <t>Analyzing Object</t>
        </is>
      </c>
      <c r="J459" s="29">
        <f>MATCH(I459, {"Waiting for Input","Analyzing Object","Found Object","Needs Help","Confused","None"}, 0) - 1</f>
        <v/>
      </c>
      <c r="K459" s="29" t="n">
        <v>3</v>
      </c>
      <c r="L459" s="29">
        <f>IF(H459=J459, 1, 0)</f>
        <v/>
      </c>
    </row>
    <row r="460">
      <c r="D460" s="29" t="n">
        <v>435</v>
      </c>
      <c r="E460" s="29" t="inlineStr">
        <is>
          <t>1</t>
        </is>
      </c>
      <c r="F460" s="30" t="inlineStr">
        <is>
          <t>Human</t>
        </is>
      </c>
      <c r="G460" s="29" t="inlineStr">
        <is>
          <t>Found Object</t>
        </is>
      </c>
      <c r="H460" s="29">
        <f>MATCH(G460, {"Waiting for Input","Analyzing Object","Found Object","Needs Help","Confused","None"}, 0) - 1</f>
        <v/>
      </c>
      <c r="I460" s="31" t="inlineStr">
        <is>
          <t>Found Object</t>
        </is>
      </c>
      <c r="J460" s="29">
        <f>MATCH(I460, {"Waiting for Input","Analyzing Object","Found Object","Needs Help","Confused","None"}, 0) - 1</f>
        <v/>
      </c>
      <c r="K460" s="29" t="n">
        <v>3</v>
      </c>
      <c r="L460" s="29">
        <f>IF(H460=J460, 1, 0)</f>
        <v/>
      </c>
    </row>
    <row r="461">
      <c r="D461" s="29" t="n">
        <v>436</v>
      </c>
      <c r="E461" s="29" t="inlineStr">
        <is>
          <t>1</t>
        </is>
      </c>
      <c r="F461" s="30" t="inlineStr">
        <is>
          <t>Human</t>
        </is>
      </c>
      <c r="G461" s="29" t="inlineStr">
        <is>
          <t>Found Object</t>
        </is>
      </c>
      <c r="H461" s="29">
        <f>MATCH(G461, {"Waiting for Input","Analyzing Object","Found Object","Needs Help","Confused","None"}, 0) - 1</f>
        <v/>
      </c>
      <c r="I461" s="31" t="inlineStr">
        <is>
          <t>Analyzing Object</t>
        </is>
      </c>
      <c r="J461" s="29">
        <f>MATCH(I461, {"Waiting for Input","Analyzing Object","Found Object","Needs Help","Confused","None"}, 0) - 1</f>
        <v/>
      </c>
      <c r="K461" s="29" t="n">
        <v>2</v>
      </c>
      <c r="L461" s="29">
        <f>IF(H461=J461, 1, 0)</f>
        <v/>
      </c>
    </row>
    <row r="462">
      <c r="D462" s="29" t="n">
        <v>437</v>
      </c>
      <c r="E462" s="29" t="inlineStr">
        <is>
          <t>2</t>
        </is>
      </c>
      <c r="F462" s="30" t="inlineStr">
        <is>
          <t>Human</t>
        </is>
      </c>
      <c r="G462" s="29" t="inlineStr">
        <is>
          <t>Found Object</t>
        </is>
      </c>
      <c r="H462" s="29">
        <f>MATCH(G462, {"Waiting for Input","Analyzing Object","Found Object","Needs Help","Confused","None"}, 0) - 1</f>
        <v/>
      </c>
      <c r="I462" s="31" t="inlineStr">
        <is>
          <t>Found Object</t>
        </is>
      </c>
      <c r="J462" s="29">
        <f>MATCH(I462, {"Waiting for Input","Analyzing Object","Found Object","Needs Help","Confused","None"}, 0) - 1</f>
        <v/>
      </c>
      <c r="K462" s="29" t="n">
        <v>2</v>
      </c>
      <c r="L462" s="29">
        <f>IF(H462=J462, 1, 0)</f>
        <v/>
      </c>
    </row>
    <row r="463">
      <c r="D463" s="29" t="n">
        <v>438</v>
      </c>
      <c r="E463" s="29" t="inlineStr">
        <is>
          <t>2</t>
        </is>
      </c>
      <c r="F463" s="30" t="inlineStr">
        <is>
          <t>Human</t>
        </is>
      </c>
      <c r="G463" s="29" t="inlineStr">
        <is>
          <t>Found Object</t>
        </is>
      </c>
      <c r="H463" s="29">
        <f>MATCH(G463, {"Waiting for Input","Analyzing Object","Found Object","Needs Help","Confused","None"}, 0) - 1</f>
        <v/>
      </c>
      <c r="I463" s="31" t="inlineStr">
        <is>
          <t>Found Object</t>
        </is>
      </c>
      <c r="J463" s="29">
        <f>MATCH(I463, {"Waiting for Input","Analyzing Object","Found Object","Needs Help","Confused","None"}, 0) - 1</f>
        <v/>
      </c>
      <c r="K463" s="29" t="n">
        <v>5</v>
      </c>
      <c r="L463" s="29">
        <f>IF(H463=J463, 1, 0)</f>
        <v/>
      </c>
    </row>
    <row r="464">
      <c r="D464" s="29" t="n">
        <v>439</v>
      </c>
      <c r="E464" s="29" t="inlineStr">
        <is>
          <t>1</t>
        </is>
      </c>
      <c r="F464" s="30" t="inlineStr">
        <is>
          <t>Human</t>
        </is>
      </c>
      <c r="G464" s="29" t="inlineStr">
        <is>
          <t>Found Object</t>
        </is>
      </c>
      <c r="H464" s="29">
        <f>MATCH(G464, {"Waiting for Input","Analyzing Object","Found Object","Needs Help","Confused","None"}, 0) - 1</f>
        <v/>
      </c>
      <c r="I464" s="31" t="inlineStr">
        <is>
          <t>Analyzing Object</t>
        </is>
      </c>
      <c r="J464" s="29">
        <f>MATCH(I464, {"Waiting for Input","Analyzing Object","Found Object","Needs Help","Confused","None"}, 0) - 1</f>
        <v/>
      </c>
      <c r="K464" s="29" t="n">
        <v>4</v>
      </c>
      <c r="L464" s="29">
        <f>IF(H464=J464, 1, 0)</f>
        <v/>
      </c>
    </row>
    <row r="465">
      <c r="D465" s="29" t="n">
        <v>440</v>
      </c>
      <c r="E465" s="29" t="inlineStr">
        <is>
          <t>1</t>
        </is>
      </c>
      <c r="F465" s="30" t="inlineStr">
        <is>
          <t>Human</t>
        </is>
      </c>
      <c r="G465" s="29" t="inlineStr">
        <is>
          <t>Found Object</t>
        </is>
      </c>
      <c r="H465" s="29">
        <f>MATCH(G465, {"Waiting for Input","Analyzing Object","Found Object","Needs Help","Confused","None"}, 0) - 1</f>
        <v/>
      </c>
      <c r="I465" s="31" t="inlineStr">
        <is>
          <t>Analyzing Object</t>
        </is>
      </c>
      <c r="J465" s="29">
        <f>MATCH(I465, {"Waiting for Input","Analyzing Object","Found Object","Needs Help","Confused","None"}, 0) - 1</f>
        <v/>
      </c>
      <c r="K465" s="29" t="n">
        <v>2</v>
      </c>
      <c r="L465" s="29">
        <f>IF(H465=J465, 1, 0)</f>
        <v/>
      </c>
    </row>
    <row r="466">
      <c r="D466" s="29" t="n">
        <v>441</v>
      </c>
      <c r="E466" s="29" t="inlineStr">
        <is>
          <t>2</t>
        </is>
      </c>
      <c r="F466" s="30" t="inlineStr">
        <is>
          <t>Human</t>
        </is>
      </c>
      <c r="G466" s="29" t="inlineStr">
        <is>
          <t>Found Object</t>
        </is>
      </c>
      <c r="H466" s="29">
        <f>MATCH(G466, {"Waiting for Input","Analyzing Object","Found Object","Needs Help","Confused","None"}, 0) - 1</f>
        <v/>
      </c>
      <c r="I466" s="31" t="inlineStr">
        <is>
          <t>Found Object</t>
        </is>
      </c>
      <c r="J466" s="29">
        <f>MATCH(I466, {"Waiting for Input","Analyzing Object","Found Object","Needs Help","Confused","None"}, 0) - 1</f>
        <v/>
      </c>
      <c r="K466" s="29" t="n">
        <v>4</v>
      </c>
      <c r="L466" s="29">
        <f>IF(H466=J466, 1, 0)</f>
        <v/>
      </c>
    </row>
    <row r="467">
      <c r="D467" s="29" t="n">
        <v>442</v>
      </c>
      <c r="E467" s="29" t="inlineStr">
        <is>
          <t>2</t>
        </is>
      </c>
      <c r="F467" s="30" t="inlineStr">
        <is>
          <t>Human</t>
        </is>
      </c>
      <c r="G467" s="29" t="inlineStr">
        <is>
          <t>Found Object</t>
        </is>
      </c>
      <c r="H467" s="29">
        <f>MATCH(G467, {"Waiting for Input","Analyzing Object","Found Object","Needs Help","Confused","None"}, 0) - 1</f>
        <v/>
      </c>
      <c r="I467" s="31" t="inlineStr">
        <is>
          <t>Found Object</t>
        </is>
      </c>
      <c r="J467" s="29">
        <f>MATCH(I467, {"Waiting for Input","Analyzing Object","Found Object","Needs Help","Confused","None"}, 0) - 1</f>
        <v/>
      </c>
      <c r="K467" s="29" t="n">
        <v>3</v>
      </c>
      <c r="L467" s="29">
        <f>IF(H467=J467, 1, 0)</f>
        <v/>
      </c>
    </row>
    <row r="468">
      <c r="D468" s="29" t="n">
        <v>443</v>
      </c>
      <c r="E468" s="29" t="inlineStr">
        <is>
          <t>1</t>
        </is>
      </c>
      <c r="F468" s="30" t="inlineStr">
        <is>
          <t>Human</t>
        </is>
      </c>
      <c r="G468" s="29" t="inlineStr">
        <is>
          <t>Found Object</t>
        </is>
      </c>
      <c r="H468" s="29">
        <f>MATCH(G468, {"Waiting for Input","Analyzing Object","Found Object","Needs Help","Confused","None"}, 0) - 1</f>
        <v/>
      </c>
      <c r="I468" s="31" t="inlineStr">
        <is>
          <t>Found Object</t>
        </is>
      </c>
      <c r="J468" s="29">
        <f>MATCH(I468, {"Waiting for Input","Analyzing Object","Found Object","Needs Help","Confused","None"}, 0) - 1</f>
        <v/>
      </c>
      <c r="K468" s="29" t="n">
        <v>4</v>
      </c>
      <c r="L468" s="29">
        <f>IF(H468=J468, 1, 0)</f>
        <v/>
      </c>
    </row>
    <row r="469">
      <c r="D469" s="29" t="n">
        <v>444</v>
      </c>
      <c r="E469" s="29" t="inlineStr">
        <is>
          <t>1</t>
        </is>
      </c>
      <c r="F469" s="30" t="inlineStr">
        <is>
          <t>Human</t>
        </is>
      </c>
      <c r="G469" s="29" t="inlineStr">
        <is>
          <t>Found Object</t>
        </is>
      </c>
      <c r="H469" s="29">
        <f>MATCH(G469, {"Waiting for Input","Analyzing Object","Found Object","Needs Help","Confused","None"}, 0) - 1</f>
        <v/>
      </c>
      <c r="I469" s="31" t="inlineStr">
        <is>
          <t>Analyzing Object</t>
        </is>
      </c>
      <c r="J469" s="29">
        <f>MATCH(I469, {"Waiting for Input","Analyzing Object","Found Object","Needs Help","Confused","None"}, 0) - 1</f>
        <v/>
      </c>
      <c r="K469" s="29" t="n">
        <v>3</v>
      </c>
      <c r="L469" s="29">
        <f>IF(H469=J469, 1, 0)</f>
        <v/>
      </c>
    </row>
    <row r="470">
      <c r="D470" s="29" t="n">
        <v>445</v>
      </c>
      <c r="E470" s="29" t="inlineStr">
        <is>
          <t>2</t>
        </is>
      </c>
      <c r="F470" s="30" t="inlineStr">
        <is>
          <t>Human</t>
        </is>
      </c>
      <c r="G470" s="29" t="inlineStr">
        <is>
          <t>Found Object</t>
        </is>
      </c>
      <c r="H470" s="29">
        <f>MATCH(G470, {"Waiting for Input","Analyzing Object","Found Object","Needs Help","Confused","None"}, 0) - 1</f>
        <v/>
      </c>
      <c r="I470" s="31" t="inlineStr">
        <is>
          <t>Analyzing Object</t>
        </is>
      </c>
      <c r="J470" s="29">
        <f>MATCH(I470, {"Waiting for Input","Analyzing Object","Found Object","Needs Help","Confused","None"}, 0) - 1</f>
        <v/>
      </c>
      <c r="K470" s="29" t="n">
        <v>3</v>
      </c>
      <c r="L470" s="29">
        <f>IF(H470=J470, 1, 0)</f>
        <v/>
      </c>
    </row>
    <row r="471">
      <c r="D471" s="29" t="n">
        <v>446</v>
      </c>
      <c r="E471" s="29" t="inlineStr">
        <is>
          <t>2</t>
        </is>
      </c>
      <c r="F471" s="30" t="inlineStr">
        <is>
          <t>Human</t>
        </is>
      </c>
      <c r="G471" s="29" t="inlineStr">
        <is>
          <t>Found Object</t>
        </is>
      </c>
      <c r="H471" s="29">
        <f>MATCH(G471, {"Waiting for Input","Analyzing Object","Found Object","Needs Help","Confused","None"}, 0) - 1</f>
        <v/>
      </c>
      <c r="I471" s="31" t="inlineStr">
        <is>
          <t>Analyzing Object</t>
        </is>
      </c>
      <c r="J471" s="29">
        <f>MATCH(I471, {"Waiting for Input","Analyzing Object","Found Object","Needs Help","Confused","None"}, 0) - 1</f>
        <v/>
      </c>
      <c r="K471" s="29" t="n">
        <v>4</v>
      </c>
      <c r="L471" s="29">
        <f>IF(H471=J471, 1, 0)</f>
        <v/>
      </c>
    </row>
    <row r="472">
      <c r="D472" s="29" t="n">
        <v>447</v>
      </c>
      <c r="E472" s="29" t="inlineStr">
        <is>
          <t>2</t>
        </is>
      </c>
      <c r="F472" s="30" t="inlineStr">
        <is>
          <t>Human</t>
        </is>
      </c>
      <c r="G472" s="29" t="inlineStr">
        <is>
          <t>Found Object</t>
        </is>
      </c>
      <c r="H472" s="29">
        <f>MATCH(G472, {"Waiting for Input","Analyzing Object","Found Object","Needs Help","Confused","None"}, 0) - 1</f>
        <v/>
      </c>
      <c r="I472" s="31" t="inlineStr">
        <is>
          <t>Found Object</t>
        </is>
      </c>
      <c r="J472" s="29">
        <f>MATCH(I472, {"Waiting for Input","Analyzing Object","Found Object","Needs Help","Confused","None"}, 0) - 1</f>
        <v/>
      </c>
      <c r="K472" s="29" t="n">
        <v>4</v>
      </c>
      <c r="L472" s="29">
        <f>IF(H472=J472, 1, 0)</f>
        <v/>
      </c>
    </row>
    <row r="473">
      <c r="D473" s="29" t="n">
        <v>448</v>
      </c>
      <c r="E473" s="29" t="inlineStr">
        <is>
          <t>2</t>
        </is>
      </c>
      <c r="F473" s="30" t="inlineStr">
        <is>
          <t>Human</t>
        </is>
      </c>
      <c r="G473" s="29" t="inlineStr">
        <is>
          <t>Found Object</t>
        </is>
      </c>
      <c r="H473" s="29">
        <f>MATCH(G473, {"Waiting for Input","Analyzing Object","Found Object","Needs Help","Confused","None"}, 0) - 1</f>
        <v/>
      </c>
      <c r="I473" s="31" t="inlineStr">
        <is>
          <t>Found Object</t>
        </is>
      </c>
      <c r="J473" s="29">
        <f>MATCH(I473, {"Waiting for Input","Analyzing Object","Found Object","Needs Help","Confused","None"}, 0) - 1</f>
        <v/>
      </c>
      <c r="K473" s="29" t="n">
        <v>4</v>
      </c>
      <c r="L473" s="29">
        <f>IF(H473=J473, 1, 0)</f>
        <v/>
      </c>
    </row>
    <row r="474">
      <c r="D474" s="29" t="n">
        <v>449</v>
      </c>
      <c r="E474" s="29" t="inlineStr">
        <is>
          <t>2</t>
        </is>
      </c>
      <c r="F474" s="30" t="inlineStr">
        <is>
          <t>Human</t>
        </is>
      </c>
      <c r="G474" s="29" t="inlineStr">
        <is>
          <t>Found Object</t>
        </is>
      </c>
      <c r="H474" s="29">
        <f>MATCH(G474, {"Waiting for Input","Analyzing Object","Found Object","Needs Help","Confused","None"}, 0) - 1</f>
        <v/>
      </c>
      <c r="I474" s="31" t="inlineStr">
        <is>
          <t>Analyzing Object</t>
        </is>
      </c>
      <c r="J474" s="29">
        <f>MATCH(I474, {"Waiting for Input","Analyzing Object","Found Object","Needs Help","Confused","None"}, 0) - 1</f>
        <v/>
      </c>
      <c r="K474" s="29" t="n">
        <v>2</v>
      </c>
      <c r="L474" s="29">
        <f>IF(H474=J474, 1, 0)</f>
        <v/>
      </c>
    </row>
    <row r="475">
      <c r="D475" s="29" t="n">
        <v>450</v>
      </c>
      <c r="E475" s="29" t="inlineStr">
        <is>
          <t>2</t>
        </is>
      </c>
      <c r="F475" s="30" t="inlineStr">
        <is>
          <t>Human</t>
        </is>
      </c>
      <c r="G475" s="29" t="inlineStr">
        <is>
          <t>Found Object</t>
        </is>
      </c>
      <c r="H475" s="29">
        <f>MATCH(G475, {"Waiting for Input","Analyzing Object","Found Object","Needs Help","Confused","None"}, 0) - 1</f>
        <v/>
      </c>
      <c r="I475" s="31" t="inlineStr">
        <is>
          <t>Found Object</t>
        </is>
      </c>
      <c r="J475" s="29">
        <f>MATCH(I475, {"Waiting for Input","Analyzing Object","Found Object","Needs Help","Confused","None"}, 0) - 1</f>
        <v/>
      </c>
      <c r="K475" s="29" t="n">
        <v>4</v>
      </c>
      <c r="L475" s="29">
        <f>IF(H475=J475, 1, 0)</f>
        <v/>
      </c>
    </row>
    <row r="476">
      <c r="D476" s="29" t="n">
        <v>451</v>
      </c>
      <c r="E476" s="29" t="inlineStr">
        <is>
          <t>1</t>
        </is>
      </c>
      <c r="F476" s="30" t="inlineStr">
        <is>
          <t>Human</t>
        </is>
      </c>
      <c r="G476" s="29" t="inlineStr">
        <is>
          <t>Found Object</t>
        </is>
      </c>
      <c r="H476" s="29">
        <f>MATCH(G476, {"Waiting for Input","Analyzing Object","Found Object","Needs Help","Confused","None"}, 0) - 1</f>
        <v/>
      </c>
      <c r="I476" s="31" t="inlineStr">
        <is>
          <t>Found Object</t>
        </is>
      </c>
      <c r="J476" s="29">
        <f>MATCH(I476, {"Waiting for Input","Analyzing Object","Found Object","Needs Help","Confused","None"}, 0) - 1</f>
        <v/>
      </c>
      <c r="K476" s="29" t="n">
        <v>4</v>
      </c>
      <c r="L476" s="29">
        <f>IF(H476=J476, 1, 0)</f>
        <v/>
      </c>
    </row>
    <row r="477">
      <c r="D477" s="29" t="n">
        <v>452</v>
      </c>
      <c r="E477" s="29" t="inlineStr">
        <is>
          <t>2</t>
        </is>
      </c>
      <c r="F477" s="30" t="inlineStr">
        <is>
          <t>Human</t>
        </is>
      </c>
      <c r="G477" s="29" t="inlineStr">
        <is>
          <t>Found Object</t>
        </is>
      </c>
      <c r="H477" s="29">
        <f>MATCH(G477, {"Waiting for Input","Analyzing Object","Found Object","Needs Help","Confused","None"}, 0) - 1</f>
        <v/>
      </c>
      <c r="I477" s="31" t="inlineStr">
        <is>
          <t>Analyzing Object</t>
        </is>
      </c>
      <c r="J477" s="29">
        <f>MATCH(I477, {"Waiting for Input","Analyzing Object","Found Object","Needs Help","Confused","None"}, 0) - 1</f>
        <v/>
      </c>
      <c r="K477" s="29" t="n">
        <v>5</v>
      </c>
      <c r="L477" s="29">
        <f>IF(H477=J477, 1, 0)</f>
        <v/>
      </c>
    </row>
    <row r="478">
      <c r="D478" s="29" t="n">
        <v>453</v>
      </c>
      <c r="E478" s="29" t="inlineStr">
        <is>
          <t>1</t>
        </is>
      </c>
      <c r="F478" s="30" t="inlineStr">
        <is>
          <t>Human</t>
        </is>
      </c>
      <c r="G478" s="29" t="inlineStr">
        <is>
          <t>Found Object</t>
        </is>
      </c>
      <c r="H478" s="29">
        <f>MATCH(G478, {"Waiting for Input","Analyzing Object","Found Object","Needs Help","Confused","None"}, 0) - 1</f>
        <v/>
      </c>
      <c r="I478" s="31" t="inlineStr">
        <is>
          <t>Found Object</t>
        </is>
      </c>
      <c r="J478" s="29">
        <f>MATCH(I478, {"Waiting for Input","Analyzing Object","Found Object","Needs Help","Confused","None"}, 0) - 1</f>
        <v/>
      </c>
      <c r="K478" s="29" t="n">
        <v>5</v>
      </c>
      <c r="L478" s="29">
        <f>IF(H478=J478, 1, 0)</f>
        <v/>
      </c>
    </row>
    <row r="479">
      <c r="D479" s="29" t="n">
        <v>454</v>
      </c>
      <c r="E479" s="29" t="inlineStr">
        <is>
          <t>1</t>
        </is>
      </c>
      <c r="F479" s="30" t="inlineStr">
        <is>
          <t>Human</t>
        </is>
      </c>
      <c r="G479" s="29" t="inlineStr">
        <is>
          <t>Found Object</t>
        </is>
      </c>
      <c r="H479" s="29">
        <f>MATCH(G479, {"Waiting for Input","Analyzing Object","Found Object","Needs Help","Confused","None"}, 0) - 1</f>
        <v/>
      </c>
      <c r="I479" s="31" t="inlineStr">
        <is>
          <t>Found Object</t>
        </is>
      </c>
      <c r="J479" s="29">
        <f>MATCH(I479, {"Waiting for Input","Analyzing Object","Found Object","Needs Help","Confused","None"}, 0) - 1</f>
        <v/>
      </c>
      <c r="K479" s="29" t="n">
        <v>4</v>
      </c>
      <c r="L479" s="29">
        <f>IF(H479=J479, 1, 0)</f>
        <v/>
      </c>
    </row>
    <row r="480">
      <c r="D480" s="29" t="n">
        <v>455</v>
      </c>
      <c r="E480" s="29" t="inlineStr">
        <is>
          <t>1</t>
        </is>
      </c>
      <c r="F480" s="30" t="inlineStr">
        <is>
          <t>Human</t>
        </is>
      </c>
      <c r="G480" s="29" t="inlineStr">
        <is>
          <t>Found Object</t>
        </is>
      </c>
      <c r="H480" s="29">
        <f>MATCH(G480, {"Waiting for Input","Analyzing Object","Found Object","Needs Help","Confused","None"}, 0) - 1</f>
        <v/>
      </c>
      <c r="I480" s="31" t="inlineStr">
        <is>
          <t>Analyzing Object</t>
        </is>
      </c>
      <c r="J480" s="29">
        <f>MATCH(I480, {"Waiting for Input","Analyzing Object","Found Object","Needs Help","Confused","None"}, 0) - 1</f>
        <v/>
      </c>
      <c r="K480" s="29" t="n">
        <v>5</v>
      </c>
      <c r="L480" s="29">
        <f>IF(H480=J480, 1, 0)</f>
        <v/>
      </c>
    </row>
    <row r="481">
      <c r="D481" s="29" t="n">
        <v>456</v>
      </c>
      <c r="E481" s="29" t="inlineStr">
        <is>
          <t>2</t>
        </is>
      </c>
      <c r="F481" s="30" t="inlineStr">
        <is>
          <t>Human</t>
        </is>
      </c>
      <c r="G481" s="29" t="inlineStr">
        <is>
          <t>Found Object</t>
        </is>
      </c>
      <c r="H481" s="29">
        <f>MATCH(G481, {"Waiting for Input","Analyzing Object","Found Object","Needs Help","Confused","None"}, 0) - 1</f>
        <v/>
      </c>
      <c r="I481" s="31" t="inlineStr">
        <is>
          <t>Found Object</t>
        </is>
      </c>
      <c r="J481" s="29">
        <f>MATCH(I481, {"Waiting for Input","Analyzing Object","Found Object","Needs Help","Confused","None"}, 0) - 1</f>
        <v/>
      </c>
      <c r="K481" s="29" t="n">
        <v>3</v>
      </c>
      <c r="L481" s="29">
        <f>IF(H481=J481, 1, 0)</f>
        <v/>
      </c>
    </row>
    <row r="482">
      <c r="D482" s="29" t="n">
        <v>457</v>
      </c>
      <c r="E482" s="29" t="inlineStr">
        <is>
          <t>2</t>
        </is>
      </c>
      <c r="F482" s="30" t="inlineStr">
        <is>
          <t>Human</t>
        </is>
      </c>
      <c r="G482" s="29" t="inlineStr">
        <is>
          <t>Found Object</t>
        </is>
      </c>
      <c r="H482" s="29">
        <f>MATCH(G482, {"Waiting for Input","Analyzing Object","Found Object","Needs Help","Confused","None"}, 0) - 1</f>
        <v/>
      </c>
      <c r="I482" s="31" t="inlineStr">
        <is>
          <t>Needs Help</t>
        </is>
      </c>
      <c r="J482" s="29">
        <f>MATCH(I482, {"Waiting for Input","Analyzing Object","Found Object","Needs Help","Confused","None"}, 0) - 1</f>
        <v/>
      </c>
      <c r="K482" s="29" t="n">
        <v>4</v>
      </c>
      <c r="L482" s="29">
        <f>IF(H482=J482, 1, 0)</f>
        <v/>
      </c>
    </row>
    <row r="483">
      <c r="D483" s="29" t="n">
        <v>458</v>
      </c>
      <c r="E483" s="29" t="inlineStr">
        <is>
          <t>1</t>
        </is>
      </c>
      <c r="F483" s="30" t="inlineStr">
        <is>
          <t>Human</t>
        </is>
      </c>
      <c r="G483" s="29" t="inlineStr">
        <is>
          <t>Found Object</t>
        </is>
      </c>
      <c r="H483" s="29">
        <f>MATCH(G483, {"Waiting for Input","Analyzing Object","Found Object","Needs Help","Confused","None"}, 0) - 1</f>
        <v/>
      </c>
      <c r="I483" s="31" t="inlineStr">
        <is>
          <t>Found Object</t>
        </is>
      </c>
      <c r="J483" s="29">
        <f>MATCH(I483, {"Waiting for Input","Analyzing Object","Found Object","Needs Help","Confused","None"}, 0) - 1</f>
        <v/>
      </c>
      <c r="K483" s="29" t="n">
        <v>5</v>
      </c>
      <c r="L483" s="29">
        <f>IF(H483=J483, 1, 0)</f>
        <v/>
      </c>
    </row>
    <row r="484">
      <c r="D484" s="29" t="n">
        <v>459</v>
      </c>
      <c r="E484" s="29" t="inlineStr">
        <is>
          <t>1</t>
        </is>
      </c>
      <c r="F484" s="30" t="inlineStr">
        <is>
          <t>Human</t>
        </is>
      </c>
      <c r="G484" s="29" t="inlineStr">
        <is>
          <t>Found Object</t>
        </is>
      </c>
      <c r="H484" s="29">
        <f>MATCH(G484, {"Waiting for Input","Analyzing Object","Found Object","Needs Help","Confused","None"}, 0) - 1</f>
        <v/>
      </c>
      <c r="I484" s="31" t="inlineStr">
        <is>
          <t>Found Object</t>
        </is>
      </c>
      <c r="J484" s="29">
        <f>MATCH(I484, {"Waiting for Input","Analyzing Object","Found Object","Needs Help","Confused","None"}, 0) - 1</f>
        <v/>
      </c>
      <c r="K484" s="29" t="n">
        <v>3</v>
      </c>
      <c r="L484" s="29">
        <f>IF(H484=J484, 1, 0)</f>
        <v/>
      </c>
    </row>
    <row r="485">
      <c r="D485" s="29" t="n">
        <v>460</v>
      </c>
      <c r="E485" s="29" t="inlineStr">
        <is>
          <t>1</t>
        </is>
      </c>
      <c r="F485" s="30" t="inlineStr">
        <is>
          <t>Human</t>
        </is>
      </c>
      <c r="G485" s="29" t="inlineStr">
        <is>
          <t>Found Object</t>
        </is>
      </c>
      <c r="H485" s="29">
        <f>MATCH(G485, {"Waiting for Input","Analyzing Object","Found Object","Needs Help","Confused","None"}, 0) - 1</f>
        <v/>
      </c>
      <c r="I485" s="31" t="inlineStr">
        <is>
          <t>Found Object</t>
        </is>
      </c>
      <c r="J485" s="29">
        <f>MATCH(I485, {"Waiting for Input","Analyzing Object","Found Object","Needs Help","Confused","None"}, 0) - 1</f>
        <v/>
      </c>
      <c r="K485" s="29" t="n">
        <v>5</v>
      </c>
      <c r="L485" s="29">
        <f>IF(H485=J485, 1, 0)</f>
        <v/>
      </c>
    </row>
    <row r="486">
      <c r="D486" s="29" t="n">
        <v>461</v>
      </c>
      <c r="E486" s="29" t="inlineStr">
        <is>
          <t>2</t>
        </is>
      </c>
      <c r="F486" s="30" t="inlineStr">
        <is>
          <t>Human</t>
        </is>
      </c>
      <c r="G486" s="29" t="inlineStr">
        <is>
          <t>Found Object</t>
        </is>
      </c>
      <c r="H486" s="29">
        <f>MATCH(G486, {"Waiting for Input","Analyzing Object","Found Object","Needs Help","Confused","None"}, 0) - 1</f>
        <v/>
      </c>
      <c r="I486" s="31" t="inlineStr">
        <is>
          <t>Analyzing Object</t>
        </is>
      </c>
      <c r="J486" s="29">
        <f>MATCH(I486, {"Waiting for Input","Analyzing Object","Found Object","Needs Help","Confused","None"}, 0) - 1</f>
        <v/>
      </c>
      <c r="K486" s="29" t="n">
        <v>3</v>
      </c>
      <c r="L486" s="29">
        <f>IF(H486=J486, 1, 0)</f>
        <v/>
      </c>
    </row>
    <row r="487">
      <c r="D487" s="29" t="n">
        <v>462</v>
      </c>
      <c r="E487" s="29" t="inlineStr">
        <is>
          <t>2</t>
        </is>
      </c>
      <c r="F487" s="30" t="inlineStr">
        <is>
          <t>Human</t>
        </is>
      </c>
      <c r="G487" s="29" t="inlineStr">
        <is>
          <t>Found Object</t>
        </is>
      </c>
      <c r="H487" s="29">
        <f>MATCH(G487, {"Waiting for Input","Analyzing Object","Found Object","Needs Help","Confused","None"}, 0) - 1</f>
        <v/>
      </c>
      <c r="I487" s="31" t="inlineStr">
        <is>
          <t>Analyzing Object</t>
        </is>
      </c>
      <c r="J487" s="29">
        <f>MATCH(I487, {"Waiting for Input","Analyzing Object","Found Object","Needs Help","Confused","None"}, 0) - 1</f>
        <v/>
      </c>
      <c r="K487" s="29" t="n">
        <v>2</v>
      </c>
      <c r="L487" s="29">
        <f>IF(H487=J487, 1, 0)</f>
        <v/>
      </c>
    </row>
    <row r="488">
      <c r="D488" s="29" t="n">
        <v>463</v>
      </c>
      <c r="E488" s="29" t="inlineStr">
        <is>
          <t>2</t>
        </is>
      </c>
      <c r="F488" s="30" t="inlineStr">
        <is>
          <t>Human</t>
        </is>
      </c>
      <c r="G488" s="29" t="inlineStr">
        <is>
          <t>Found Object</t>
        </is>
      </c>
      <c r="H488" s="29">
        <f>MATCH(G488, {"Waiting for Input","Analyzing Object","Found Object","Needs Help","Confused","None"}, 0) - 1</f>
        <v/>
      </c>
      <c r="I488" s="31" t="inlineStr">
        <is>
          <t>Analyzing Object</t>
        </is>
      </c>
      <c r="J488" s="29">
        <f>MATCH(I488, {"Waiting for Input","Analyzing Object","Found Object","Needs Help","Confused","None"}, 0) - 1</f>
        <v/>
      </c>
      <c r="K488" s="29" t="n">
        <v>3</v>
      </c>
      <c r="L488" s="29">
        <f>IF(H488=J488, 1, 0)</f>
        <v/>
      </c>
    </row>
    <row r="489">
      <c r="D489" s="29" t="n">
        <v>464</v>
      </c>
      <c r="E489" s="29" t="inlineStr">
        <is>
          <t>2</t>
        </is>
      </c>
      <c r="F489" s="30" t="inlineStr">
        <is>
          <t>Human</t>
        </is>
      </c>
      <c r="G489" s="29" t="inlineStr">
        <is>
          <t>Found Object</t>
        </is>
      </c>
      <c r="H489" s="29">
        <f>MATCH(G489, {"Waiting for Input","Analyzing Object","Found Object","Needs Help","Confused","None"}, 0) - 1</f>
        <v/>
      </c>
      <c r="I489" s="31" t="inlineStr">
        <is>
          <t>Analyzing Object</t>
        </is>
      </c>
      <c r="J489" s="29">
        <f>MATCH(I489, {"Waiting for Input","Analyzing Object","Found Object","Needs Help","Confused","None"}, 0) - 1</f>
        <v/>
      </c>
      <c r="K489" s="29" t="n">
        <v>4</v>
      </c>
      <c r="L489" s="29">
        <f>IF(H489=J489, 1, 0)</f>
        <v/>
      </c>
    </row>
    <row r="490">
      <c r="D490" s="29" t="n">
        <v>465</v>
      </c>
      <c r="E490" s="29" t="inlineStr">
        <is>
          <t>2</t>
        </is>
      </c>
      <c r="F490" s="30" t="inlineStr">
        <is>
          <t>Human</t>
        </is>
      </c>
      <c r="G490" s="29" t="inlineStr">
        <is>
          <t>Found Object</t>
        </is>
      </c>
      <c r="H490" s="29">
        <f>MATCH(G490, {"Waiting for Input","Analyzing Object","Found Object","Needs Help","Confused","None"}, 0) - 1</f>
        <v/>
      </c>
      <c r="I490" s="31" t="inlineStr">
        <is>
          <t>Analyzing Object</t>
        </is>
      </c>
      <c r="J490" s="29">
        <f>MATCH(I490, {"Waiting for Input","Analyzing Object","Found Object","Needs Help","Confused","None"}, 0) - 1</f>
        <v/>
      </c>
      <c r="K490" s="29" t="n">
        <v>3</v>
      </c>
      <c r="L490" s="29">
        <f>IF(H490=J490, 1, 0)</f>
        <v/>
      </c>
    </row>
    <row r="491">
      <c r="D491" s="29" t="n">
        <v>466</v>
      </c>
      <c r="E491" s="29" t="inlineStr">
        <is>
          <t>2</t>
        </is>
      </c>
      <c r="F491" s="30" t="inlineStr">
        <is>
          <t>Human</t>
        </is>
      </c>
      <c r="G491" s="29" t="inlineStr">
        <is>
          <t>Found Object</t>
        </is>
      </c>
      <c r="H491" s="29">
        <f>MATCH(G491, {"Waiting for Input","Analyzing Object","Found Object","Needs Help","Confused","None"}, 0) - 1</f>
        <v/>
      </c>
      <c r="I491" s="31" t="inlineStr">
        <is>
          <t>Analyzing Object</t>
        </is>
      </c>
      <c r="J491" s="29">
        <f>MATCH(I491, {"Waiting for Input","Analyzing Object","Found Object","Needs Help","Confused","None"}, 0) - 1</f>
        <v/>
      </c>
      <c r="K491" s="29" t="n">
        <v>3</v>
      </c>
      <c r="L491" s="29">
        <f>IF(H491=J491, 1, 0)</f>
        <v/>
      </c>
    </row>
    <row r="492">
      <c r="D492" s="29" t="n">
        <v>467</v>
      </c>
      <c r="E492" s="29" t="inlineStr">
        <is>
          <t>2</t>
        </is>
      </c>
      <c r="F492" s="30" t="inlineStr">
        <is>
          <t>Human</t>
        </is>
      </c>
      <c r="G492" s="29" t="inlineStr">
        <is>
          <t>Found Object</t>
        </is>
      </c>
      <c r="H492" s="29">
        <f>MATCH(G492, {"Waiting for Input","Analyzing Object","Found Object","Needs Help","Confused","None"}, 0) - 1</f>
        <v/>
      </c>
      <c r="I492" s="31" t="inlineStr">
        <is>
          <t>Analyzing Object</t>
        </is>
      </c>
      <c r="J492" s="29">
        <f>MATCH(I492, {"Waiting for Input","Analyzing Object","Found Object","Needs Help","Confused","None"}, 0) - 1</f>
        <v/>
      </c>
      <c r="K492" s="29" t="n">
        <v>2</v>
      </c>
      <c r="L492" s="29">
        <f>IF(H492=J492, 1, 0)</f>
        <v/>
      </c>
    </row>
    <row r="493">
      <c r="D493" s="29" t="n">
        <v>468</v>
      </c>
      <c r="E493" s="29" t="inlineStr">
        <is>
          <t>2</t>
        </is>
      </c>
      <c r="F493" s="30" t="inlineStr">
        <is>
          <t>Human</t>
        </is>
      </c>
      <c r="G493" s="29" t="inlineStr">
        <is>
          <t>Found Object</t>
        </is>
      </c>
      <c r="H493" s="29">
        <f>MATCH(G493, {"Waiting for Input","Analyzing Object","Found Object","Needs Help","Confused","None"}, 0) - 1</f>
        <v/>
      </c>
      <c r="I493" s="31" t="inlineStr">
        <is>
          <t>Analyzing Object</t>
        </is>
      </c>
      <c r="J493" s="29">
        <f>MATCH(I493, {"Waiting for Input","Analyzing Object","Found Object","Needs Help","Confused","None"}, 0) - 1</f>
        <v/>
      </c>
      <c r="K493" s="29" t="n">
        <v>3</v>
      </c>
      <c r="L493" s="29">
        <f>IF(H493=J493, 1, 0)</f>
        <v/>
      </c>
    </row>
    <row r="494">
      <c r="D494" s="29" t="n">
        <v>469</v>
      </c>
      <c r="E494" s="29" t="inlineStr">
        <is>
          <t>2</t>
        </is>
      </c>
      <c r="F494" s="30" t="inlineStr">
        <is>
          <t>Human</t>
        </is>
      </c>
      <c r="G494" s="29" t="inlineStr">
        <is>
          <t>Found Object</t>
        </is>
      </c>
      <c r="H494" s="29">
        <f>MATCH(G494, {"Waiting for Input","Analyzing Object","Found Object","Needs Help","Confused","None"}, 0) - 1</f>
        <v/>
      </c>
      <c r="I494" s="31" t="inlineStr">
        <is>
          <t>Found Object</t>
        </is>
      </c>
      <c r="J494" s="29">
        <f>MATCH(I494, {"Waiting for Input","Analyzing Object","Found Object","Needs Help","Confused","None"}, 0) - 1</f>
        <v/>
      </c>
      <c r="K494" s="29" t="n">
        <v>4</v>
      </c>
      <c r="L494" s="29">
        <f>IF(H494=J494, 1, 0)</f>
        <v/>
      </c>
    </row>
    <row r="495">
      <c r="D495" s="29" t="n">
        <v>470</v>
      </c>
      <c r="E495" s="29" t="inlineStr">
        <is>
          <t>2</t>
        </is>
      </c>
      <c r="F495" s="30" t="inlineStr">
        <is>
          <t>Human</t>
        </is>
      </c>
      <c r="G495" s="29" t="inlineStr">
        <is>
          <t>Found Object</t>
        </is>
      </c>
      <c r="H495" s="29">
        <f>MATCH(G495, {"Waiting for Input","Analyzing Object","Found Object","Needs Help","Confused","None"}, 0) - 1</f>
        <v/>
      </c>
      <c r="I495" s="31" t="inlineStr">
        <is>
          <t>Found Object</t>
        </is>
      </c>
      <c r="J495" s="29">
        <f>MATCH(I495, {"Waiting for Input","Analyzing Object","Found Object","Needs Help","Confused","None"}, 0) - 1</f>
        <v/>
      </c>
      <c r="K495" s="29" t="n">
        <v>5</v>
      </c>
      <c r="L495" s="29">
        <f>IF(H495=J495, 1, 0)</f>
        <v/>
      </c>
    </row>
    <row r="496">
      <c r="D496" s="29" t="n">
        <v>471</v>
      </c>
      <c r="E496" s="29" t="inlineStr">
        <is>
          <t>1</t>
        </is>
      </c>
      <c r="F496" s="30" t="inlineStr">
        <is>
          <t>Human</t>
        </is>
      </c>
      <c r="G496" s="29" t="inlineStr">
        <is>
          <t>Found Object</t>
        </is>
      </c>
      <c r="H496" s="29">
        <f>MATCH(G496, {"Waiting for Input","Analyzing Object","Found Object","Needs Help","Confused","None"}, 0) - 1</f>
        <v/>
      </c>
      <c r="I496" s="31" t="inlineStr">
        <is>
          <t>Analyzing Object</t>
        </is>
      </c>
      <c r="J496" s="29">
        <f>MATCH(I496, {"Waiting for Input","Analyzing Object","Found Object","Needs Help","Confused","None"}, 0) - 1</f>
        <v/>
      </c>
      <c r="K496" s="29" t="n">
        <v>4</v>
      </c>
      <c r="L496" s="29">
        <f>IF(H496=J496, 1, 0)</f>
        <v/>
      </c>
    </row>
    <row r="497">
      <c r="D497" s="29" t="n">
        <v>472</v>
      </c>
      <c r="E497" s="29" t="inlineStr">
        <is>
          <t>2</t>
        </is>
      </c>
      <c r="F497" s="30" t="inlineStr">
        <is>
          <t>Human</t>
        </is>
      </c>
      <c r="G497" s="29" t="inlineStr">
        <is>
          <t>Found Object</t>
        </is>
      </c>
      <c r="H497" s="29">
        <f>MATCH(G497, {"Waiting for Input","Analyzing Object","Found Object","Needs Help","Confused","None"}, 0) - 1</f>
        <v/>
      </c>
      <c r="I497" s="31" t="inlineStr">
        <is>
          <t>Found Object</t>
        </is>
      </c>
      <c r="J497" s="29">
        <f>MATCH(I497, {"Waiting for Input","Analyzing Object","Found Object","Needs Help","Confused","None"}, 0) - 1</f>
        <v/>
      </c>
      <c r="K497" s="29" t="n">
        <v>5</v>
      </c>
      <c r="L497" s="29">
        <f>IF(H497=J497, 1, 0)</f>
        <v/>
      </c>
    </row>
    <row r="498">
      <c r="D498" s="29" t="n">
        <v>473</v>
      </c>
      <c r="E498" s="29" t="inlineStr">
        <is>
          <t>2</t>
        </is>
      </c>
      <c r="F498" s="30" t="inlineStr">
        <is>
          <t>Human</t>
        </is>
      </c>
      <c r="G498" s="29" t="inlineStr">
        <is>
          <t>Found Object</t>
        </is>
      </c>
      <c r="H498" s="29">
        <f>MATCH(G498, {"Waiting for Input","Analyzing Object","Found Object","Needs Help","Confused","None"}, 0) - 1</f>
        <v/>
      </c>
      <c r="I498" s="31" t="inlineStr">
        <is>
          <t>Analyzing Object</t>
        </is>
      </c>
      <c r="J498" s="29">
        <f>MATCH(I498, {"Waiting for Input","Analyzing Object","Found Object","Needs Help","Confused","None"}, 0) - 1</f>
        <v/>
      </c>
      <c r="K498" s="29" t="n">
        <v>3</v>
      </c>
      <c r="L498" s="29">
        <f>IF(H498=J498, 1, 0)</f>
        <v/>
      </c>
    </row>
    <row r="499">
      <c r="D499" s="29" t="n">
        <v>474</v>
      </c>
      <c r="E499" s="29" t="inlineStr">
        <is>
          <t>1</t>
        </is>
      </c>
      <c r="F499" s="30" t="inlineStr">
        <is>
          <t>Human</t>
        </is>
      </c>
      <c r="G499" s="29" t="inlineStr">
        <is>
          <t>Found Object</t>
        </is>
      </c>
      <c r="H499" s="29">
        <f>MATCH(G499, {"Waiting for Input","Analyzing Object","Found Object","Needs Help","Confused","None"}, 0) - 1</f>
        <v/>
      </c>
      <c r="I499" s="31" t="inlineStr">
        <is>
          <t>Found Object</t>
        </is>
      </c>
      <c r="J499" s="29">
        <f>MATCH(I499, {"Waiting for Input","Analyzing Object","Found Object","Needs Help","Confused","None"}, 0) - 1</f>
        <v/>
      </c>
      <c r="K499" s="29" t="n">
        <v>4</v>
      </c>
      <c r="L499" s="29">
        <f>IF(H499=J499, 1, 0)</f>
        <v/>
      </c>
    </row>
    <row r="500">
      <c r="D500" s="29" t="n">
        <v>475</v>
      </c>
      <c r="E500" s="29" t="inlineStr">
        <is>
          <t>2</t>
        </is>
      </c>
      <c r="F500" s="30" t="inlineStr">
        <is>
          <t>Human</t>
        </is>
      </c>
      <c r="G500" s="29" t="inlineStr">
        <is>
          <t>Found Object</t>
        </is>
      </c>
      <c r="H500" s="29">
        <f>MATCH(G500, {"Waiting for Input","Analyzing Object","Found Object","Needs Help","Confused","None"}, 0) - 1</f>
        <v/>
      </c>
      <c r="I500" s="31" t="inlineStr">
        <is>
          <t>Found Object</t>
        </is>
      </c>
      <c r="J500" s="29">
        <f>MATCH(I500, {"Waiting for Input","Analyzing Object","Found Object","Needs Help","Confused","None"}, 0) - 1</f>
        <v/>
      </c>
      <c r="K500" s="29" t="n">
        <v>5</v>
      </c>
      <c r="L500" s="29">
        <f>IF(H500=J500, 1, 0)</f>
        <v/>
      </c>
    </row>
    <row r="501">
      <c r="D501" s="29" t="n">
        <v>476</v>
      </c>
      <c r="E501" s="29" t="inlineStr">
        <is>
          <t>2</t>
        </is>
      </c>
      <c r="F501" s="30" t="inlineStr">
        <is>
          <t>Human</t>
        </is>
      </c>
      <c r="G501" s="29" t="inlineStr">
        <is>
          <t>Found Object</t>
        </is>
      </c>
      <c r="H501" s="29">
        <f>MATCH(G501, {"Waiting for Input","Analyzing Object","Found Object","Needs Help","Confused","None"}, 0) - 1</f>
        <v/>
      </c>
      <c r="I501" s="31" t="inlineStr">
        <is>
          <t>Found Object</t>
        </is>
      </c>
      <c r="J501" s="29">
        <f>MATCH(I501, {"Waiting for Input","Analyzing Object","Found Object","Needs Help","Confused","None"}, 0) - 1</f>
        <v/>
      </c>
      <c r="K501" s="29" t="n">
        <v>4</v>
      </c>
      <c r="L501" s="29">
        <f>IF(H501=J501, 1, 0)</f>
        <v/>
      </c>
    </row>
    <row r="502">
      <c r="D502" s="29" t="n">
        <v>477</v>
      </c>
      <c r="E502" s="29" t="inlineStr">
        <is>
          <t>2</t>
        </is>
      </c>
      <c r="F502" s="30" t="inlineStr">
        <is>
          <t>Human</t>
        </is>
      </c>
      <c r="G502" s="29" t="inlineStr">
        <is>
          <t>Found Object</t>
        </is>
      </c>
      <c r="H502" s="29">
        <f>MATCH(G502, {"Waiting for Input","Analyzing Object","Found Object","Needs Help","Confused","None"}, 0) - 1</f>
        <v/>
      </c>
      <c r="I502" s="31" t="inlineStr">
        <is>
          <t>Analyzing Object</t>
        </is>
      </c>
      <c r="J502" s="29">
        <f>MATCH(I502, {"Waiting for Input","Analyzing Object","Found Object","Needs Help","Confused","None"}, 0) - 1</f>
        <v/>
      </c>
      <c r="K502" s="29" t="n">
        <v>2</v>
      </c>
      <c r="L502" s="29">
        <f>IF(H502=J502, 1, 0)</f>
        <v/>
      </c>
    </row>
    <row r="503">
      <c r="D503" s="29" t="n">
        <v>478</v>
      </c>
      <c r="E503" s="29" t="inlineStr">
        <is>
          <t>1</t>
        </is>
      </c>
      <c r="F503" s="30" t="inlineStr">
        <is>
          <t>Human</t>
        </is>
      </c>
      <c r="G503" s="29" t="inlineStr">
        <is>
          <t>Found Object</t>
        </is>
      </c>
      <c r="H503" s="29">
        <f>MATCH(G503, {"Waiting for Input","Analyzing Object","Found Object","Needs Help","Confused","None"}, 0) - 1</f>
        <v/>
      </c>
      <c r="I503" s="31" t="inlineStr">
        <is>
          <t>Analyzing Object</t>
        </is>
      </c>
      <c r="J503" s="29">
        <f>MATCH(I503, {"Waiting for Input","Analyzing Object","Found Object","Needs Help","Confused","None"}, 0) - 1</f>
        <v/>
      </c>
      <c r="K503" s="29" t="n">
        <v>5</v>
      </c>
      <c r="L503" s="29">
        <f>IF(H503=J503, 1, 0)</f>
        <v/>
      </c>
    </row>
    <row r="504">
      <c r="D504" s="29" t="n">
        <v>479</v>
      </c>
      <c r="E504" s="29" t="inlineStr">
        <is>
          <t>2</t>
        </is>
      </c>
      <c r="F504" s="30" t="inlineStr">
        <is>
          <t>Human</t>
        </is>
      </c>
      <c r="G504" s="29" t="inlineStr">
        <is>
          <t>Found Object</t>
        </is>
      </c>
      <c r="H504" s="29">
        <f>MATCH(G504, {"Waiting for Input","Analyzing Object","Found Object","Needs Help","Confused","None"}, 0) - 1</f>
        <v/>
      </c>
      <c r="I504" s="31" t="inlineStr">
        <is>
          <t>Analyzing Object</t>
        </is>
      </c>
      <c r="J504" s="29">
        <f>MATCH(I504, {"Waiting for Input","Analyzing Object","Found Object","Needs Help","Confused","None"}, 0) - 1</f>
        <v/>
      </c>
      <c r="K504" s="29" t="n">
        <v>3</v>
      </c>
      <c r="L504" s="29">
        <f>IF(H504=J504, 1, 0)</f>
        <v/>
      </c>
    </row>
    <row r="505">
      <c r="D505" s="29" t="n">
        <v>480</v>
      </c>
      <c r="E505" s="29" t="inlineStr">
        <is>
          <t>1</t>
        </is>
      </c>
      <c r="F505" s="30" t="inlineStr">
        <is>
          <t>Random</t>
        </is>
      </c>
      <c r="G505" s="29" t="inlineStr">
        <is>
          <t>Found Object</t>
        </is>
      </c>
      <c r="H505" s="29">
        <f>MATCH(G505, {"Waiting for Input","Analyzing Object","Found Object","Needs Help","Confused","None"}, 0) - 1</f>
        <v/>
      </c>
      <c r="I505" s="31" t="inlineStr">
        <is>
          <t>Confused</t>
        </is>
      </c>
      <c r="J505" s="29">
        <f>MATCH(I505, {"Waiting for Input","Analyzing Object","Found Object","Needs Help","Confused","None"}, 0) - 1</f>
        <v/>
      </c>
      <c r="K505" s="29" t="n">
        <v>2</v>
      </c>
      <c r="L505" s="29">
        <f>IF(H505=J505, 1, 0)</f>
        <v/>
      </c>
    </row>
    <row r="506">
      <c r="D506" s="29" t="n">
        <v>481</v>
      </c>
      <c r="E506" s="29" t="inlineStr">
        <is>
          <t>1</t>
        </is>
      </c>
      <c r="F506" s="30" t="inlineStr">
        <is>
          <t>Random</t>
        </is>
      </c>
      <c r="G506" s="29" t="inlineStr">
        <is>
          <t>Found Object</t>
        </is>
      </c>
      <c r="H506" s="29">
        <f>MATCH(G506, {"Waiting for Input","Analyzing Object","Found Object","Needs Help","Confused","None"}, 0) - 1</f>
        <v/>
      </c>
      <c r="I506" s="31" t="inlineStr">
        <is>
          <t>Confused</t>
        </is>
      </c>
      <c r="J506" s="29">
        <f>MATCH(I506, {"Waiting for Input","Analyzing Object","Found Object","Needs Help","Confused","None"}, 0) - 1</f>
        <v/>
      </c>
      <c r="K506" s="29" t="n">
        <v>3</v>
      </c>
      <c r="L506" s="29">
        <f>IF(H506=J506, 1, 0)</f>
        <v/>
      </c>
    </row>
    <row r="507">
      <c r="D507" s="29" t="n">
        <v>482</v>
      </c>
      <c r="E507" s="29" t="inlineStr">
        <is>
          <t>1</t>
        </is>
      </c>
      <c r="F507" s="30" t="inlineStr">
        <is>
          <t>Random</t>
        </is>
      </c>
      <c r="G507" s="29" t="inlineStr">
        <is>
          <t>Found Object</t>
        </is>
      </c>
      <c r="H507" s="29">
        <f>MATCH(G507, {"Waiting for Input","Analyzing Object","Found Object","Needs Help","Confused","None"}, 0) - 1</f>
        <v/>
      </c>
      <c r="I507" s="31" t="inlineStr">
        <is>
          <t>Analyzing Object</t>
        </is>
      </c>
      <c r="J507" s="29">
        <f>MATCH(I507, {"Waiting for Input","Analyzing Object","Found Object","Needs Help","Confused","None"}, 0) - 1</f>
        <v/>
      </c>
      <c r="K507" s="29" t="n">
        <v>3</v>
      </c>
      <c r="L507" s="29">
        <f>IF(H507=J507, 1, 0)</f>
        <v/>
      </c>
    </row>
    <row r="508">
      <c r="D508" s="29" t="n">
        <v>483</v>
      </c>
      <c r="E508" s="29" t="inlineStr">
        <is>
          <t>2</t>
        </is>
      </c>
      <c r="F508" s="30" t="inlineStr">
        <is>
          <t>Random</t>
        </is>
      </c>
      <c r="G508" s="29" t="inlineStr">
        <is>
          <t>Found Object</t>
        </is>
      </c>
      <c r="H508" s="29">
        <f>MATCH(G508, {"Waiting for Input","Analyzing Object","Found Object","Needs Help","Confused","None"}, 0) - 1</f>
        <v/>
      </c>
      <c r="I508" s="31" t="inlineStr">
        <is>
          <t>Confused</t>
        </is>
      </c>
      <c r="J508" s="29">
        <f>MATCH(I508, {"Waiting for Input","Analyzing Object","Found Object","Needs Help","Confused","None"}, 0) - 1</f>
        <v/>
      </c>
      <c r="K508" s="29" t="n">
        <v>3</v>
      </c>
      <c r="L508" s="29">
        <f>IF(H508=J508, 1, 0)</f>
        <v/>
      </c>
    </row>
    <row r="509">
      <c r="D509" s="29" t="n">
        <v>484</v>
      </c>
      <c r="E509" s="29" t="inlineStr">
        <is>
          <t>2</t>
        </is>
      </c>
      <c r="F509" s="30" t="inlineStr">
        <is>
          <t>Random</t>
        </is>
      </c>
      <c r="G509" s="29" t="inlineStr">
        <is>
          <t>Found Object</t>
        </is>
      </c>
      <c r="H509" s="29">
        <f>MATCH(G509, {"Waiting for Input","Analyzing Object","Found Object","Needs Help","Confused","None"}, 0) - 1</f>
        <v/>
      </c>
      <c r="I509" s="31" t="inlineStr">
        <is>
          <t>Analyzing Object</t>
        </is>
      </c>
      <c r="J509" s="29">
        <f>MATCH(I509, {"Waiting for Input","Analyzing Object","Found Object","Needs Help","Confused","None"}, 0) - 1</f>
        <v/>
      </c>
      <c r="K509" s="29" t="n">
        <v>4</v>
      </c>
      <c r="L509" s="29">
        <f>IF(H509=J509, 1, 0)</f>
        <v/>
      </c>
    </row>
    <row r="510">
      <c r="D510" s="29" t="n">
        <v>485</v>
      </c>
      <c r="E510" s="29" t="inlineStr">
        <is>
          <t>1</t>
        </is>
      </c>
      <c r="F510" s="30" t="inlineStr">
        <is>
          <t>Random</t>
        </is>
      </c>
      <c r="G510" s="29" t="inlineStr">
        <is>
          <t>Found Object</t>
        </is>
      </c>
      <c r="H510" s="29">
        <f>MATCH(G510, {"Waiting for Input","Analyzing Object","Found Object","Needs Help","Confused","None"}, 0) - 1</f>
        <v/>
      </c>
      <c r="I510" s="31" t="inlineStr">
        <is>
          <t>Needs Help</t>
        </is>
      </c>
      <c r="J510" s="29">
        <f>MATCH(I510, {"Waiting for Input","Analyzing Object","Found Object","Needs Help","Confused","None"}, 0) - 1</f>
        <v/>
      </c>
      <c r="K510" s="29" t="n">
        <v>5</v>
      </c>
      <c r="L510" s="29">
        <f>IF(H510=J510, 1, 0)</f>
        <v/>
      </c>
    </row>
    <row r="511">
      <c r="D511" s="29" t="n">
        <v>486</v>
      </c>
      <c r="E511" s="29" t="inlineStr">
        <is>
          <t>2</t>
        </is>
      </c>
      <c r="F511" s="30" t="inlineStr">
        <is>
          <t>Random</t>
        </is>
      </c>
      <c r="G511" s="29" t="inlineStr">
        <is>
          <t>Found Object</t>
        </is>
      </c>
      <c r="H511" s="29">
        <f>MATCH(G511, {"Waiting for Input","Analyzing Object","Found Object","Needs Help","Confused","None"}, 0) - 1</f>
        <v/>
      </c>
      <c r="I511" s="31" t="inlineStr">
        <is>
          <t>Analyzing Object</t>
        </is>
      </c>
      <c r="J511" s="29">
        <f>MATCH(I511, {"Waiting for Input","Analyzing Object","Found Object","Needs Help","Confused","None"}, 0) - 1</f>
        <v/>
      </c>
      <c r="K511" s="29" t="n">
        <v>3</v>
      </c>
      <c r="L511" s="29">
        <f>IF(H511=J511, 1, 0)</f>
        <v/>
      </c>
    </row>
    <row r="512">
      <c r="D512" s="29" t="n">
        <v>487</v>
      </c>
      <c r="E512" s="29" t="inlineStr">
        <is>
          <t>1</t>
        </is>
      </c>
      <c r="F512" s="30" t="inlineStr">
        <is>
          <t>Random</t>
        </is>
      </c>
      <c r="G512" s="29" t="inlineStr">
        <is>
          <t>Found Object</t>
        </is>
      </c>
      <c r="H512" s="29">
        <f>MATCH(G512, {"Waiting for Input","Analyzing Object","Found Object","Needs Help","Confused","None"}, 0) - 1</f>
        <v/>
      </c>
      <c r="I512" s="31" t="inlineStr">
        <is>
          <t>None</t>
        </is>
      </c>
      <c r="J512" s="29">
        <f>MATCH(I512, {"Waiting for Input","Analyzing Object","Found Object","Needs Help","Confused","None"}, 0) - 1</f>
        <v/>
      </c>
      <c r="K512" s="29" t="n">
        <v>3</v>
      </c>
      <c r="L512" s="29">
        <f>IF(H512=J512, 1, 0)</f>
        <v/>
      </c>
    </row>
    <row r="513">
      <c r="D513" s="29" t="n">
        <v>488</v>
      </c>
      <c r="E513" s="29" t="inlineStr">
        <is>
          <t>1</t>
        </is>
      </c>
      <c r="F513" s="30" t="inlineStr">
        <is>
          <t>Random</t>
        </is>
      </c>
      <c r="G513" s="29" t="inlineStr">
        <is>
          <t>Found Object</t>
        </is>
      </c>
      <c r="H513" s="29">
        <f>MATCH(G513, {"Waiting for Input","Analyzing Object","Found Object","Needs Help","Confused","None"}, 0) - 1</f>
        <v/>
      </c>
      <c r="I513" s="31" t="inlineStr">
        <is>
          <t>Found Object</t>
        </is>
      </c>
      <c r="J513" s="29">
        <f>MATCH(I513, {"Waiting for Input","Analyzing Object","Found Object","Needs Help","Confused","None"}, 0) - 1</f>
        <v/>
      </c>
      <c r="K513" s="29" t="n">
        <v>2</v>
      </c>
      <c r="L513" s="29">
        <f>IF(H513=J513, 1, 0)</f>
        <v/>
      </c>
    </row>
    <row r="514">
      <c r="D514" s="29" t="n">
        <v>489</v>
      </c>
      <c r="E514" s="29" t="inlineStr">
        <is>
          <t>1</t>
        </is>
      </c>
      <c r="F514" s="30" t="inlineStr">
        <is>
          <t>Random</t>
        </is>
      </c>
      <c r="G514" s="29" t="inlineStr">
        <is>
          <t>Found Object</t>
        </is>
      </c>
      <c r="H514" s="29">
        <f>MATCH(G514, {"Waiting for Input","Analyzing Object","Found Object","Needs Help","Confused","None"}, 0) - 1</f>
        <v/>
      </c>
      <c r="I514" s="31" t="inlineStr">
        <is>
          <t>Needs Help</t>
        </is>
      </c>
      <c r="J514" s="29">
        <f>MATCH(I514, {"Waiting for Input","Analyzing Object","Found Object","Needs Help","Confused","None"}, 0) - 1</f>
        <v/>
      </c>
      <c r="K514" s="29" t="n">
        <v>5</v>
      </c>
      <c r="L514" s="29">
        <f>IF(H514=J514, 1, 0)</f>
        <v/>
      </c>
    </row>
    <row r="515">
      <c r="D515" s="29" t="n">
        <v>490</v>
      </c>
      <c r="E515" s="29" t="inlineStr">
        <is>
          <t>2</t>
        </is>
      </c>
      <c r="F515" s="30" t="inlineStr">
        <is>
          <t>Random</t>
        </is>
      </c>
      <c r="G515" s="29" t="inlineStr">
        <is>
          <t>Found Object</t>
        </is>
      </c>
      <c r="H515" s="29">
        <f>MATCH(G515, {"Waiting for Input","Analyzing Object","Found Object","Needs Help","Confused","None"}, 0) - 1</f>
        <v/>
      </c>
      <c r="I515" s="31" t="inlineStr">
        <is>
          <t>Found Object</t>
        </is>
      </c>
      <c r="J515" s="29">
        <f>MATCH(I515, {"Waiting for Input","Analyzing Object","Found Object","Needs Help","Confused","None"}, 0) - 1</f>
        <v/>
      </c>
      <c r="K515" s="29" t="n">
        <v>4</v>
      </c>
      <c r="L515" s="29">
        <f>IF(H515=J515, 1, 0)</f>
        <v/>
      </c>
    </row>
    <row r="516">
      <c r="D516" s="29" t="n">
        <v>491</v>
      </c>
      <c r="E516" s="29" t="inlineStr">
        <is>
          <t>2</t>
        </is>
      </c>
      <c r="F516" s="30" t="inlineStr">
        <is>
          <t>Random</t>
        </is>
      </c>
      <c r="G516" s="29" t="inlineStr">
        <is>
          <t>Found Object</t>
        </is>
      </c>
      <c r="H516" s="29">
        <f>MATCH(G516, {"Waiting for Input","Analyzing Object","Found Object","Needs Help","Confused","None"}, 0) - 1</f>
        <v/>
      </c>
      <c r="I516" s="31" t="inlineStr">
        <is>
          <t>Analyzing Object</t>
        </is>
      </c>
      <c r="J516" s="29">
        <f>MATCH(I516, {"Waiting for Input","Analyzing Object","Found Object","Needs Help","Confused","None"}, 0) - 1</f>
        <v/>
      </c>
      <c r="K516" s="29" t="n">
        <v>5</v>
      </c>
      <c r="L516" s="29">
        <f>IF(H516=J516, 1, 0)</f>
        <v/>
      </c>
    </row>
    <row r="517">
      <c r="D517" s="29" t="n">
        <v>492</v>
      </c>
      <c r="E517" s="29" t="inlineStr">
        <is>
          <t>2</t>
        </is>
      </c>
      <c r="F517" s="30" t="inlineStr">
        <is>
          <t>Random</t>
        </is>
      </c>
      <c r="G517" s="29" t="inlineStr">
        <is>
          <t>Found Object</t>
        </is>
      </c>
      <c r="H517" s="29">
        <f>MATCH(G517, {"Waiting for Input","Analyzing Object","Found Object","Needs Help","Confused","None"}, 0) - 1</f>
        <v/>
      </c>
      <c r="I517" s="31" t="inlineStr">
        <is>
          <t>Analyzing Object</t>
        </is>
      </c>
      <c r="J517" s="29">
        <f>MATCH(I517, {"Waiting for Input","Analyzing Object","Found Object","Needs Help","Confused","None"}, 0) - 1</f>
        <v/>
      </c>
      <c r="K517" s="29" t="n">
        <v>3</v>
      </c>
      <c r="L517" s="29">
        <f>IF(H517=J517, 1, 0)</f>
        <v/>
      </c>
    </row>
    <row r="518">
      <c r="D518" s="29" t="n">
        <v>493</v>
      </c>
      <c r="E518" s="29" t="inlineStr">
        <is>
          <t>2</t>
        </is>
      </c>
      <c r="F518" s="30" t="inlineStr">
        <is>
          <t>Random</t>
        </is>
      </c>
      <c r="G518" s="29" t="inlineStr">
        <is>
          <t>Found Object</t>
        </is>
      </c>
      <c r="H518" s="29">
        <f>MATCH(G518, {"Waiting for Input","Analyzing Object","Found Object","Needs Help","Confused","None"}, 0) - 1</f>
        <v/>
      </c>
      <c r="I518" s="31" t="inlineStr">
        <is>
          <t>Found Object</t>
        </is>
      </c>
      <c r="J518" s="29">
        <f>MATCH(I518, {"Waiting for Input","Analyzing Object","Found Object","Needs Help","Confused","None"}, 0) - 1</f>
        <v/>
      </c>
      <c r="K518" s="29" t="n">
        <v>4</v>
      </c>
      <c r="L518" s="29">
        <f>IF(H518=J518, 1, 0)</f>
        <v/>
      </c>
    </row>
    <row r="519">
      <c r="D519" s="29" t="n">
        <v>494</v>
      </c>
      <c r="E519" s="29" t="inlineStr">
        <is>
          <t>1</t>
        </is>
      </c>
      <c r="F519" s="30" t="inlineStr">
        <is>
          <t>Random</t>
        </is>
      </c>
      <c r="G519" s="29" t="inlineStr">
        <is>
          <t>Found Object</t>
        </is>
      </c>
      <c r="H519" s="29">
        <f>MATCH(G519, {"Waiting for Input","Analyzing Object","Found Object","Needs Help","Confused","None"}, 0) - 1</f>
        <v/>
      </c>
      <c r="I519" s="31" t="inlineStr">
        <is>
          <t>Needs Help</t>
        </is>
      </c>
      <c r="J519" s="29">
        <f>MATCH(I519, {"Waiting for Input","Analyzing Object","Found Object","Needs Help","Confused","None"}, 0) - 1</f>
        <v/>
      </c>
      <c r="K519" s="29" t="n">
        <v>3</v>
      </c>
      <c r="L519" s="29">
        <f>IF(H519=J519, 1, 0)</f>
        <v/>
      </c>
    </row>
    <row r="520">
      <c r="D520" s="29" t="n">
        <v>495</v>
      </c>
      <c r="E520" s="29" t="inlineStr">
        <is>
          <t>1</t>
        </is>
      </c>
      <c r="F520" s="30" t="inlineStr">
        <is>
          <t>Random</t>
        </is>
      </c>
      <c r="G520" s="29" t="inlineStr">
        <is>
          <t>Found Object</t>
        </is>
      </c>
      <c r="H520" s="29">
        <f>MATCH(G520, {"Waiting for Input","Analyzing Object","Found Object","Needs Help","Confused","None"}, 0) - 1</f>
        <v/>
      </c>
      <c r="I520" s="31" t="inlineStr">
        <is>
          <t>Confused</t>
        </is>
      </c>
      <c r="J520" s="29">
        <f>MATCH(I520, {"Waiting for Input","Analyzing Object","Found Object","Needs Help","Confused","None"}, 0) - 1</f>
        <v/>
      </c>
      <c r="K520" s="29" t="n">
        <v>4</v>
      </c>
      <c r="L520" s="29">
        <f>IF(H520=J520, 1, 0)</f>
        <v/>
      </c>
    </row>
    <row r="521">
      <c r="D521" s="29" t="n">
        <v>496</v>
      </c>
      <c r="E521" s="29" t="inlineStr">
        <is>
          <t>1</t>
        </is>
      </c>
      <c r="F521" s="30" t="inlineStr">
        <is>
          <t>Random</t>
        </is>
      </c>
      <c r="G521" s="29" t="inlineStr">
        <is>
          <t>Found Object</t>
        </is>
      </c>
      <c r="H521" s="29">
        <f>MATCH(G521, {"Waiting for Input","Analyzing Object","Found Object","Needs Help","Confused","None"}, 0) - 1</f>
        <v/>
      </c>
      <c r="I521" s="31" t="inlineStr">
        <is>
          <t>Analyzing Object</t>
        </is>
      </c>
      <c r="J521" s="29">
        <f>MATCH(I521, {"Waiting for Input","Analyzing Object","Found Object","Needs Help","Confused","None"}, 0) - 1</f>
        <v/>
      </c>
      <c r="K521" s="29" t="n">
        <v>2</v>
      </c>
      <c r="L521" s="29">
        <f>IF(H521=J521, 1, 0)</f>
        <v/>
      </c>
    </row>
    <row r="522">
      <c r="D522" s="29" t="n">
        <v>497</v>
      </c>
      <c r="E522" s="29" t="inlineStr">
        <is>
          <t>2</t>
        </is>
      </c>
      <c r="F522" s="30" t="inlineStr">
        <is>
          <t>Random</t>
        </is>
      </c>
      <c r="G522" s="29" t="inlineStr">
        <is>
          <t>Found Object</t>
        </is>
      </c>
      <c r="H522" s="29">
        <f>MATCH(G522, {"Waiting for Input","Analyzing Object","Found Object","Needs Help","Confused","None"}, 0) - 1</f>
        <v/>
      </c>
      <c r="I522" s="31" t="inlineStr">
        <is>
          <t>Confused</t>
        </is>
      </c>
      <c r="J522" s="29">
        <f>MATCH(I522, {"Waiting for Input","Analyzing Object","Found Object","Needs Help","Confused","None"}, 0) - 1</f>
        <v/>
      </c>
      <c r="K522" s="29" t="n">
        <v>2</v>
      </c>
      <c r="L522" s="29">
        <f>IF(H522=J522, 1, 0)</f>
        <v/>
      </c>
    </row>
    <row r="523">
      <c r="D523" s="29" t="n">
        <v>498</v>
      </c>
      <c r="E523" s="29" t="inlineStr">
        <is>
          <t>2</t>
        </is>
      </c>
      <c r="F523" s="30" t="inlineStr">
        <is>
          <t>Random</t>
        </is>
      </c>
      <c r="G523" s="29" t="inlineStr">
        <is>
          <t>Found Object</t>
        </is>
      </c>
      <c r="H523" s="29">
        <f>MATCH(G523, {"Waiting for Input","Analyzing Object","Found Object","Needs Help","Confused","None"}, 0) - 1</f>
        <v/>
      </c>
      <c r="I523" s="31" t="inlineStr">
        <is>
          <t>Found Object</t>
        </is>
      </c>
      <c r="J523" s="29">
        <f>MATCH(I523, {"Waiting for Input","Analyzing Object","Found Object","Needs Help","Confused","None"}, 0) - 1</f>
        <v/>
      </c>
      <c r="K523" s="29" t="n">
        <v>2</v>
      </c>
      <c r="L523" s="29">
        <f>IF(H523=J523, 1, 0)</f>
        <v/>
      </c>
    </row>
    <row r="524">
      <c r="D524" s="29" t="n">
        <v>499</v>
      </c>
      <c r="E524" s="29" t="inlineStr">
        <is>
          <t>1</t>
        </is>
      </c>
      <c r="F524" s="30" t="inlineStr">
        <is>
          <t>Random</t>
        </is>
      </c>
      <c r="G524" s="29" t="inlineStr">
        <is>
          <t>Found Object</t>
        </is>
      </c>
      <c r="H524" s="29">
        <f>MATCH(G524, {"Waiting for Input","Analyzing Object","Found Object","Needs Help","Confused","None"}, 0) - 1</f>
        <v/>
      </c>
      <c r="I524" s="31" t="inlineStr">
        <is>
          <t>Needs Help</t>
        </is>
      </c>
      <c r="J524" s="29">
        <f>MATCH(I524, {"Waiting for Input","Analyzing Object","Found Object","Needs Help","Confused","None"}, 0) - 1</f>
        <v/>
      </c>
      <c r="K524" s="29" t="n">
        <v>3</v>
      </c>
      <c r="L524" s="29">
        <f>IF(H524=J524, 1, 0)</f>
        <v/>
      </c>
    </row>
    <row r="525">
      <c r="D525" s="29" t="n">
        <v>500</v>
      </c>
      <c r="E525" s="29" t="inlineStr">
        <is>
          <t>1</t>
        </is>
      </c>
      <c r="F525" s="30" t="inlineStr">
        <is>
          <t>Random</t>
        </is>
      </c>
      <c r="G525" s="29" t="inlineStr">
        <is>
          <t>Found Object</t>
        </is>
      </c>
      <c r="H525" s="29">
        <f>MATCH(G525, {"Waiting for Input","Analyzing Object","Found Object","Needs Help","Confused","None"}, 0) - 1</f>
        <v/>
      </c>
      <c r="I525" s="31" t="inlineStr">
        <is>
          <t>Confused</t>
        </is>
      </c>
      <c r="J525" s="29">
        <f>MATCH(I525, {"Waiting for Input","Analyzing Object","Found Object","Needs Help","Confused","None"}, 0) - 1</f>
        <v/>
      </c>
      <c r="K525" s="29" t="n">
        <v>2</v>
      </c>
      <c r="L525" s="29">
        <f>IF(H525=J525, 1, 0)</f>
        <v/>
      </c>
    </row>
    <row r="526">
      <c r="D526" s="29" t="n">
        <v>501</v>
      </c>
      <c r="E526" s="29" t="inlineStr">
        <is>
          <t>2</t>
        </is>
      </c>
      <c r="F526" s="30" t="inlineStr">
        <is>
          <t>Random</t>
        </is>
      </c>
      <c r="G526" s="29" t="inlineStr">
        <is>
          <t>Found Object</t>
        </is>
      </c>
      <c r="H526" s="29">
        <f>MATCH(G526, {"Waiting for Input","Analyzing Object","Found Object","Needs Help","Confused","None"}, 0) - 1</f>
        <v/>
      </c>
      <c r="I526" s="31" t="inlineStr">
        <is>
          <t>Confused</t>
        </is>
      </c>
      <c r="J526" s="29">
        <f>MATCH(I526, {"Waiting for Input","Analyzing Object","Found Object","Needs Help","Confused","None"}, 0) - 1</f>
        <v/>
      </c>
      <c r="K526" s="29" t="n">
        <v>3</v>
      </c>
      <c r="L526" s="29">
        <f>IF(H526=J526, 1, 0)</f>
        <v/>
      </c>
    </row>
    <row r="527">
      <c r="D527" s="29" t="n">
        <v>502</v>
      </c>
      <c r="E527" s="29" t="inlineStr">
        <is>
          <t>2</t>
        </is>
      </c>
      <c r="F527" s="30" t="inlineStr">
        <is>
          <t>Random</t>
        </is>
      </c>
      <c r="G527" s="29" t="inlineStr">
        <is>
          <t>Found Object</t>
        </is>
      </c>
      <c r="H527" s="29">
        <f>MATCH(G527, {"Waiting for Input","Analyzing Object","Found Object","Needs Help","Confused","None"}, 0) - 1</f>
        <v/>
      </c>
      <c r="I527" s="31" t="inlineStr">
        <is>
          <t>Confused</t>
        </is>
      </c>
      <c r="J527" s="29">
        <f>MATCH(I527, {"Waiting for Input","Analyzing Object","Found Object","Needs Help","Confused","None"}, 0) - 1</f>
        <v/>
      </c>
      <c r="K527" s="29" t="n">
        <v>2</v>
      </c>
      <c r="L527" s="29">
        <f>IF(H527=J527, 1, 0)</f>
        <v/>
      </c>
    </row>
    <row r="528">
      <c r="D528" s="29" t="n">
        <v>503</v>
      </c>
      <c r="E528" s="29" t="inlineStr">
        <is>
          <t>1</t>
        </is>
      </c>
      <c r="F528" s="30" t="inlineStr">
        <is>
          <t>Random</t>
        </is>
      </c>
      <c r="G528" s="29" t="inlineStr">
        <is>
          <t>Found Object</t>
        </is>
      </c>
      <c r="H528" s="29">
        <f>MATCH(G528, {"Waiting for Input","Analyzing Object","Found Object","Needs Help","Confused","None"}, 0) - 1</f>
        <v/>
      </c>
      <c r="I528" s="31" t="inlineStr">
        <is>
          <t>Confused</t>
        </is>
      </c>
      <c r="J528" s="29">
        <f>MATCH(I528, {"Waiting for Input","Analyzing Object","Found Object","Needs Help","Confused","None"}, 0) - 1</f>
        <v/>
      </c>
      <c r="K528" s="29" t="n">
        <v>1</v>
      </c>
      <c r="L528" s="29">
        <f>IF(H528=J528, 1, 0)</f>
        <v/>
      </c>
    </row>
    <row r="529">
      <c r="D529" s="29" t="n">
        <v>504</v>
      </c>
      <c r="E529" s="29" t="inlineStr">
        <is>
          <t>1</t>
        </is>
      </c>
      <c r="F529" s="30" t="inlineStr">
        <is>
          <t>Random</t>
        </is>
      </c>
      <c r="G529" s="29" t="inlineStr">
        <is>
          <t>Found Object</t>
        </is>
      </c>
      <c r="H529" s="29">
        <f>MATCH(G529, {"Waiting for Input","Analyzing Object","Found Object","Needs Help","Confused","None"}, 0) - 1</f>
        <v/>
      </c>
      <c r="I529" s="31" t="inlineStr">
        <is>
          <t>Analyzing Object</t>
        </is>
      </c>
      <c r="J529" s="29">
        <f>MATCH(I529, {"Waiting for Input","Analyzing Object","Found Object","Needs Help","Confused","None"}, 0) - 1</f>
        <v/>
      </c>
      <c r="K529" s="29" t="n">
        <v>4</v>
      </c>
      <c r="L529" s="29">
        <f>IF(H529=J529, 1, 0)</f>
        <v/>
      </c>
    </row>
    <row r="530">
      <c r="D530" s="29" t="n">
        <v>505</v>
      </c>
      <c r="E530" s="29" t="inlineStr">
        <is>
          <t>2</t>
        </is>
      </c>
      <c r="F530" s="30" t="inlineStr">
        <is>
          <t>Random</t>
        </is>
      </c>
      <c r="G530" s="29" t="inlineStr">
        <is>
          <t>Found Object</t>
        </is>
      </c>
      <c r="H530" s="29">
        <f>MATCH(G530, {"Waiting for Input","Analyzing Object","Found Object","Needs Help","Confused","None"}, 0) - 1</f>
        <v/>
      </c>
      <c r="I530" s="31" t="inlineStr">
        <is>
          <t>Analyzing Object</t>
        </is>
      </c>
      <c r="J530" s="29">
        <f>MATCH(I530, {"Waiting for Input","Analyzing Object","Found Object","Needs Help","Confused","None"}, 0) - 1</f>
        <v/>
      </c>
      <c r="K530" s="29" t="n">
        <v>2</v>
      </c>
      <c r="L530" s="29">
        <f>IF(H530=J530, 1, 0)</f>
        <v/>
      </c>
    </row>
    <row r="531">
      <c r="D531" s="29" t="n">
        <v>506</v>
      </c>
      <c r="E531" s="29" t="inlineStr">
        <is>
          <t>2</t>
        </is>
      </c>
      <c r="F531" s="30" t="inlineStr">
        <is>
          <t>Random</t>
        </is>
      </c>
      <c r="G531" s="29" t="inlineStr">
        <is>
          <t>Found Object</t>
        </is>
      </c>
      <c r="H531" s="29">
        <f>MATCH(G531, {"Waiting for Input","Analyzing Object","Found Object","Needs Help","Confused","None"}, 0) - 1</f>
        <v/>
      </c>
      <c r="I531" s="31" t="inlineStr">
        <is>
          <t>Needs Help</t>
        </is>
      </c>
      <c r="J531" s="29">
        <f>MATCH(I531, {"Waiting for Input","Analyzing Object","Found Object","Needs Help","Confused","None"}, 0) - 1</f>
        <v/>
      </c>
      <c r="K531" s="29" t="n">
        <v>3</v>
      </c>
      <c r="L531" s="29">
        <f>IF(H531=J531, 1, 0)</f>
        <v/>
      </c>
    </row>
    <row r="532">
      <c r="D532" s="29" t="n">
        <v>507</v>
      </c>
      <c r="E532" s="29" t="inlineStr">
        <is>
          <t>2</t>
        </is>
      </c>
      <c r="F532" s="30" t="inlineStr">
        <is>
          <t>Random</t>
        </is>
      </c>
      <c r="G532" s="29" t="inlineStr">
        <is>
          <t>Found Object</t>
        </is>
      </c>
      <c r="H532" s="29">
        <f>MATCH(G532, {"Waiting for Input","Analyzing Object","Found Object","Needs Help","Confused","None"}, 0) - 1</f>
        <v/>
      </c>
      <c r="I532" s="31" t="inlineStr">
        <is>
          <t>Analyzing Object</t>
        </is>
      </c>
      <c r="J532" s="29">
        <f>MATCH(I532, {"Waiting for Input","Analyzing Object","Found Object","Needs Help","Confused","None"}, 0) - 1</f>
        <v/>
      </c>
      <c r="K532" s="29" t="n">
        <v>3</v>
      </c>
      <c r="L532" s="29">
        <f>IF(H532=J532, 1, 0)</f>
        <v/>
      </c>
    </row>
    <row r="533">
      <c r="D533" s="29" t="n">
        <v>508</v>
      </c>
      <c r="E533" s="29" t="inlineStr">
        <is>
          <t>2</t>
        </is>
      </c>
      <c r="F533" s="30" t="inlineStr">
        <is>
          <t>Random</t>
        </is>
      </c>
      <c r="G533" s="29" t="inlineStr">
        <is>
          <t>Found Object</t>
        </is>
      </c>
      <c r="H533" s="29">
        <f>MATCH(G533, {"Waiting for Input","Analyzing Object","Found Object","Needs Help","Confused","None"}, 0) - 1</f>
        <v/>
      </c>
      <c r="I533" s="31" t="inlineStr">
        <is>
          <t>Confused</t>
        </is>
      </c>
      <c r="J533" s="29">
        <f>MATCH(I533, {"Waiting for Input","Analyzing Object","Found Object","Needs Help","Confused","None"}, 0) - 1</f>
        <v/>
      </c>
      <c r="K533" s="29" t="n">
        <v>4</v>
      </c>
      <c r="L533" s="29">
        <f>IF(H533=J533, 1, 0)</f>
        <v/>
      </c>
    </row>
    <row r="534">
      <c r="D534" s="29" t="n">
        <v>509</v>
      </c>
      <c r="E534" s="29" t="inlineStr">
        <is>
          <t>2</t>
        </is>
      </c>
      <c r="F534" s="30" t="inlineStr">
        <is>
          <t>Random</t>
        </is>
      </c>
      <c r="G534" s="29" t="inlineStr">
        <is>
          <t>Found Object</t>
        </is>
      </c>
      <c r="H534" s="29">
        <f>MATCH(G534, {"Waiting for Input","Analyzing Object","Found Object","Needs Help","Confused","None"}, 0) - 1</f>
        <v/>
      </c>
      <c r="I534" s="31" t="inlineStr">
        <is>
          <t>Confused</t>
        </is>
      </c>
      <c r="J534" s="29">
        <f>MATCH(I534, {"Waiting for Input","Analyzing Object","Found Object","Needs Help","Confused","None"}, 0) - 1</f>
        <v/>
      </c>
      <c r="K534" s="29" t="n">
        <v>2</v>
      </c>
      <c r="L534" s="29">
        <f>IF(H534=J534, 1, 0)</f>
        <v/>
      </c>
    </row>
    <row r="535">
      <c r="D535" s="29" t="n">
        <v>510</v>
      </c>
      <c r="E535" s="29" t="inlineStr">
        <is>
          <t>2</t>
        </is>
      </c>
      <c r="F535" s="30" t="inlineStr">
        <is>
          <t>Random</t>
        </is>
      </c>
      <c r="G535" s="29" t="inlineStr">
        <is>
          <t>Found Object</t>
        </is>
      </c>
      <c r="H535" s="29">
        <f>MATCH(G535, {"Waiting for Input","Analyzing Object","Found Object","Needs Help","Confused","None"}, 0) - 1</f>
        <v/>
      </c>
      <c r="I535" s="31" t="inlineStr">
        <is>
          <t>Analyzing Object</t>
        </is>
      </c>
      <c r="J535" s="29">
        <f>MATCH(I535, {"Waiting for Input","Analyzing Object","Found Object","Needs Help","Confused","None"}, 0) - 1</f>
        <v/>
      </c>
      <c r="K535" s="29" t="n">
        <v>4</v>
      </c>
      <c r="L535" s="29">
        <f>IF(H535=J535, 1, 0)</f>
        <v/>
      </c>
    </row>
    <row r="536">
      <c r="D536" s="29" t="n">
        <v>511</v>
      </c>
      <c r="E536" s="29" t="inlineStr">
        <is>
          <t>1</t>
        </is>
      </c>
      <c r="F536" s="30" t="inlineStr">
        <is>
          <t>Random</t>
        </is>
      </c>
      <c r="G536" s="29" t="inlineStr">
        <is>
          <t>Found Object</t>
        </is>
      </c>
      <c r="H536" s="29">
        <f>MATCH(G536, {"Waiting for Input","Analyzing Object","Found Object","Needs Help","Confused","None"}, 0) - 1</f>
        <v/>
      </c>
      <c r="I536" s="31" t="inlineStr">
        <is>
          <t>Needs Help</t>
        </is>
      </c>
      <c r="J536" s="29">
        <f>MATCH(I536, {"Waiting for Input","Analyzing Object","Found Object","Needs Help","Confused","None"}, 0) - 1</f>
        <v/>
      </c>
      <c r="K536" s="29" t="n">
        <v>4</v>
      </c>
      <c r="L536" s="29">
        <f>IF(H536=J536, 1, 0)</f>
        <v/>
      </c>
    </row>
    <row r="537">
      <c r="D537" s="29" t="n">
        <v>512</v>
      </c>
      <c r="E537" s="29" t="inlineStr">
        <is>
          <t>2</t>
        </is>
      </c>
      <c r="F537" s="30" t="inlineStr">
        <is>
          <t>Random</t>
        </is>
      </c>
      <c r="G537" s="29" t="inlineStr">
        <is>
          <t>Found Object</t>
        </is>
      </c>
      <c r="H537" s="29">
        <f>MATCH(G537, {"Waiting for Input","Analyzing Object","Found Object","Needs Help","Confused","None"}, 0) - 1</f>
        <v/>
      </c>
      <c r="I537" s="31" t="inlineStr">
        <is>
          <t>Found Object</t>
        </is>
      </c>
      <c r="J537" s="29">
        <f>MATCH(I537, {"Waiting for Input","Analyzing Object","Found Object","Needs Help","Confused","None"}, 0) - 1</f>
        <v/>
      </c>
      <c r="K537" s="29" t="n">
        <v>4</v>
      </c>
      <c r="L537" s="29">
        <f>IF(H537=J537, 1, 0)</f>
        <v/>
      </c>
    </row>
    <row r="538">
      <c r="D538" s="29" t="n">
        <v>513</v>
      </c>
      <c r="E538" s="29" t="inlineStr">
        <is>
          <t>1</t>
        </is>
      </c>
      <c r="F538" s="30" t="inlineStr">
        <is>
          <t>Random</t>
        </is>
      </c>
      <c r="G538" s="29" t="inlineStr">
        <is>
          <t>Found Object</t>
        </is>
      </c>
      <c r="H538" s="29">
        <f>MATCH(G538, {"Waiting for Input","Analyzing Object","Found Object","Needs Help","Confused","None"}, 0) - 1</f>
        <v/>
      </c>
      <c r="I538" s="31" t="inlineStr">
        <is>
          <t>Needs Help</t>
        </is>
      </c>
      <c r="J538" s="29">
        <f>MATCH(I538, {"Waiting for Input","Analyzing Object","Found Object","Needs Help","Confused","None"}, 0) - 1</f>
        <v/>
      </c>
      <c r="K538" s="29" t="n">
        <v>3</v>
      </c>
      <c r="L538" s="29">
        <f>IF(H538=J538, 1, 0)</f>
        <v/>
      </c>
    </row>
    <row r="539">
      <c r="D539" s="29" t="n">
        <v>514</v>
      </c>
      <c r="E539" s="29" t="inlineStr">
        <is>
          <t>1</t>
        </is>
      </c>
      <c r="F539" s="30" t="inlineStr">
        <is>
          <t>Random</t>
        </is>
      </c>
      <c r="G539" s="29" t="inlineStr">
        <is>
          <t>Found Object</t>
        </is>
      </c>
      <c r="H539" s="29">
        <f>MATCH(G539, {"Waiting for Input","Analyzing Object","Found Object","Needs Help","Confused","None"}, 0) - 1</f>
        <v/>
      </c>
      <c r="I539" s="31" t="inlineStr">
        <is>
          <t>Needs Help</t>
        </is>
      </c>
      <c r="J539" s="29">
        <f>MATCH(I539, {"Waiting for Input","Analyzing Object","Found Object","Needs Help","Confused","None"}, 0) - 1</f>
        <v/>
      </c>
      <c r="K539" s="29" t="n">
        <v>3</v>
      </c>
      <c r="L539" s="29">
        <f>IF(H539=J539, 1, 0)</f>
        <v/>
      </c>
    </row>
    <row r="540">
      <c r="D540" s="29" t="n">
        <v>515</v>
      </c>
      <c r="E540" s="29" t="inlineStr">
        <is>
          <t>1</t>
        </is>
      </c>
      <c r="F540" s="30" t="inlineStr">
        <is>
          <t>Random</t>
        </is>
      </c>
      <c r="G540" s="29" t="inlineStr">
        <is>
          <t>Found Object</t>
        </is>
      </c>
      <c r="H540" s="29">
        <f>MATCH(G540, {"Waiting for Input","Analyzing Object","Found Object","Needs Help","Confused","None"}, 0) - 1</f>
        <v/>
      </c>
      <c r="I540" s="31" t="inlineStr">
        <is>
          <t>Needs Help</t>
        </is>
      </c>
      <c r="J540" s="29">
        <f>MATCH(I540, {"Waiting for Input","Analyzing Object","Found Object","Needs Help","Confused","None"}, 0) - 1</f>
        <v/>
      </c>
      <c r="K540" s="29" t="n">
        <v>3</v>
      </c>
      <c r="L540" s="29">
        <f>IF(H540=J540, 1, 0)</f>
        <v/>
      </c>
    </row>
    <row r="541">
      <c r="D541" s="29" t="n">
        <v>516</v>
      </c>
      <c r="E541" s="29" t="inlineStr">
        <is>
          <t>2</t>
        </is>
      </c>
      <c r="F541" s="30" t="inlineStr">
        <is>
          <t>Random</t>
        </is>
      </c>
      <c r="G541" s="29" t="inlineStr">
        <is>
          <t>Found Object</t>
        </is>
      </c>
      <c r="H541" s="29">
        <f>MATCH(G541, {"Waiting for Input","Analyzing Object","Found Object","Needs Help","Confused","None"}, 0) - 1</f>
        <v/>
      </c>
      <c r="I541" s="31" t="inlineStr">
        <is>
          <t>Needs Help</t>
        </is>
      </c>
      <c r="J541" s="29">
        <f>MATCH(I541, {"Waiting for Input","Analyzing Object","Found Object","Needs Help","Confused","None"}, 0) - 1</f>
        <v/>
      </c>
      <c r="K541" s="29" t="n">
        <v>4</v>
      </c>
      <c r="L541" s="29">
        <f>IF(H541=J541, 1, 0)</f>
        <v/>
      </c>
    </row>
    <row r="542">
      <c r="D542" s="29" t="n">
        <v>517</v>
      </c>
      <c r="E542" s="29" t="inlineStr">
        <is>
          <t>2</t>
        </is>
      </c>
      <c r="F542" s="30" t="inlineStr">
        <is>
          <t>Random</t>
        </is>
      </c>
      <c r="G542" s="29" t="inlineStr">
        <is>
          <t>Found Object</t>
        </is>
      </c>
      <c r="H542" s="29">
        <f>MATCH(G542, {"Waiting for Input","Analyzing Object","Found Object","Needs Help","Confused","None"}, 0) - 1</f>
        <v/>
      </c>
      <c r="I542" s="31" t="inlineStr">
        <is>
          <t>Analyzing Object</t>
        </is>
      </c>
      <c r="J542" s="29">
        <f>MATCH(I542, {"Waiting for Input","Analyzing Object","Found Object","Needs Help","Confused","None"}, 0) - 1</f>
        <v/>
      </c>
      <c r="K542" s="29" t="n">
        <v>4</v>
      </c>
      <c r="L542" s="29">
        <f>IF(H542=J542, 1, 0)</f>
        <v/>
      </c>
    </row>
    <row r="543">
      <c r="D543" s="29" t="n">
        <v>518</v>
      </c>
      <c r="E543" s="29" t="inlineStr">
        <is>
          <t>1</t>
        </is>
      </c>
      <c r="F543" s="30" t="inlineStr">
        <is>
          <t>Random</t>
        </is>
      </c>
      <c r="G543" s="29" t="inlineStr">
        <is>
          <t>Found Object</t>
        </is>
      </c>
      <c r="H543" s="29">
        <f>MATCH(G543, {"Waiting for Input","Analyzing Object","Found Object","Needs Help","Confused","None"}, 0) - 1</f>
        <v/>
      </c>
      <c r="I543" s="31" t="inlineStr">
        <is>
          <t>Found Object</t>
        </is>
      </c>
      <c r="J543" s="29">
        <f>MATCH(I543, {"Waiting for Input","Analyzing Object","Found Object","Needs Help","Confused","None"}, 0) - 1</f>
        <v/>
      </c>
      <c r="K543" s="29" t="n">
        <v>3</v>
      </c>
      <c r="L543" s="29">
        <f>IF(H543=J543, 1, 0)</f>
        <v/>
      </c>
    </row>
    <row r="544">
      <c r="D544" s="29" t="n">
        <v>519</v>
      </c>
      <c r="E544" s="29" t="inlineStr">
        <is>
          <t>1</t>
        </is>
      </c>
      <c r="F544" s="30" t="inlineStr">
        <is>
          <t>Random</t>
        </is>
      </c>
      <c r="G544" s="29" t="inlineStr">
        <is>
          <t>Found Object</t>
        </is>
      </c>
      <c r="H544" s="29">
        <f>MATCH(G544, {"Waiting for Input","Analyzing Object","Found Object","Needs Help","Confused","None"}, 0) - 1</f>
        <v/>
      </c>
      <c r="I544" s="31" t="inlineStr">
        <is>
          <t>Analyzing Object</t>
        </is>
      </c>
      <c r="J544" s="29">
        <f>MATCH(I544, {"Waiting for Input","Analyzing Object","Found Object","Needs Help","Confused","None"}, 0) - 1</f>
        <v/>
      </c>
      <c r="K544" s="29" t="n">
        <v>5</v>
      </c>
      <c r="L544" s="29">
        <f>IF(H544=J544, 1, 0)</f>
        <v/>
      </c>
    </row>
    <row r="545">
      <c r="D545" s="29" t="n">
        <v>520</v>
      </c>
      <c r="E545" s="29" t="inlineStr">
        <is>
          <t>1</t>
        </is>
      </c>
      <c r="F545" s="30" t="inlineStr">
        <is>
          <t>Random</t>
        </is>
      </c>
      <c r="G545" s="29" t="inlineStr">
        <is>
          <t>Found Object</t>
        </is>
      </c>
      <c r="H545" s="29">
        <f>MATCH(G545, {"Waiting for Input","Analyzing Object","Found Object","Needs Help","Confused","None"}, 0) - 1</f>
        <v/>
      </c>
      <c r="I545" s="31" t="inlineStr">
        <is>
          <t>Analyzing Object</t>
        </is>
      </c>
      <c r="J545" s="29">
        <f>MATCH(I545, {"Waiting for Input","Analyzing Object","Found Object","Needs Help","Confused","None"}, 0) - 1</f>
        <v/>
      </c>
      <c r="K545" s="29" t="n">
        <v>5</v>
      </c>
      <c r="L545" s="29">
        <f>IF(H545=J545, 1, 0)</f>
        <v/>
      </c>
    </row>
    <row r="546">
      <c r="D546" s="29" t="n">
        <v>521</v>
      </c>
      <c r="E546" s="29" t="inlineStr">
        <is>
          <t>2</t>
        </is>
      </c>
      <c r="F546" s="30" t="inlineStr">
        <is>
          <t>Random</t>
        </is>
      </c>
      <c r="G546" s="29" t="inlineStr">
        <is>
          <t>Found Object</t>
        </is>
      </c>
      <c r="H546" s="29">
        <f>MATCH(G546, {"Waiting for Input","Analyzing Object","Found Object","Needs Help","Confused","None"}, 0) - 1</f>
        <v/>
      </c>
      <c r="I546" s="31" t="inlineStr">
        <is>
          <t>Analyzing Object</t>
        </is>
      </c>
      <c r="J546" s="29">
        <f>MATCH(I546, {"Waiting for Input","Analyzing Object","Found Object","Needs Help","Confused","None"}, 0) - 1</f>
        <v/>
      </c>
      <c r="K546" s="29" t="n">
        <v>2</v>
      </c>
      <c r="L546" s="29">
        <f>IF(H546=J546, 1, 0)</f>
        <v/>
      </c>
    </row>
    <row r="547">
      <c r="D547" s="29" t="n">
        <v>522</v>
      </c>
      <c r="E547" s="29" t="inlineStr">
        <is>
          <t>2</t>
        </is>
      </c>
      <c r="F547" s="30" t="inlineStr">
        <is>
          <t>Random</t>
        </is>
      </c>
      <c r="G547" s="29" t="inlineStr">
        <is>
          <t>Found Object</t>
        </is>
      </c>
      <c r="H547" s="29">
        <f>MATCH(G547, {"Waiting for Input","Analyzing Object","Found Object","Needs Help","Confused","None"}, 0) - 1</f>
        <v/>
      </c>
      <c r="I547" s="31" t="inlineStr">
        <is>
          <t>Needs Help</t>
        </is>
      </c>
      <c r="J547" s="29">
        <f>MATCH(I547, {"Waiting for Input","Analyzing Object","Found Object","Needs Help","Confused","None"}, 0) - 1</f>
        <v/>
      </c>
      <c r="K547" s="29" t="n">
        <v>3</v>
      </c>
      <c r="L547" s="29">
        <f>IF(H547=J547, 1, 0)</f>
        <v/>
      </c>
    </row>
    <row r="548">
      <c r="D548" s="29" t="n">
        <v>523</v>
      </c>
      <c r="E548" s="29" t="inlineStr">
        <is>
          <t>2</t>
        </is>
      </c>
      <c r="F548" s="30" t="inlineStr">
        <is>
          <t>Random</t>
        </is>
      </c>
      <c r="G548" s="29" t="inlineStr">
        <is>
          <t>Found Object</t>
        </is>
      </c>
      <c r="H548" s="29">
        <f>MATCH(G548, {"Waiting for Input","Analyzing Object","Found Object","Needs Help","Confused","None"}, 0) - 1</f>
        <v/>
      </c>
      <c r="I548" s="31" t="inlineStr">
        <is>
          <t>Found Object</t>
        </is>
      </c>
      <c r="J548" s="29">
        <f>MATCH(I548, {"Waiting for Input","Analyzing Object","Found Object","Needs Help","Confused","None"}, 0) - 1</f>
        <v/>
      </c>
      <c r="K548" s="29" t="n">
        <v>1</v>
      </c>
      <c r="L548" s="29">
        <f>IF(H548=J548, 1, 0)</f>
        <v/>
      </c>
    </row>
    <row r="549">
      <c r="D549" s="29" t="n">
        <v>524</v>
      </c>
      <c r="E549" s="29" t="inlineStr">
        <is>
          <t>2</t>
        </is>
      </c>
      <c r="F549" s="30" t="inlineStr">
        <is>
          <t>Random</t>
        </is>
      </c>
      <c r="G549" s="29" t="inlineStr">
        <is>
          <t>Found Object</t>
        </is>
      </c>
      <c r="H549" s="29">
        <f>MATCH(G549, {"Waiting for Input","Analyzing Object","Found Object","Needs Help","Confused","None"}, 0) - 1</f>
        <v/>
      </c>
      <c r="I549" s="31" t="inlineStr">
        <is>
          <t>Confused</t>
        </is>
      </c>
      <c r="J549" s="29">
        <f>MATCH(I549, {"Waiting for Input","Analyzing Object","Found Object","Needs Help","Confused","None"}, 0) - 1</f>
        <v/>
      </c>
      <c r="K549" s="29" t="n">
        <v>4</v>
      </c>
      <c r="L549" s="29">
        <f>IF(H549=J549, 1, 0)</f>
        <v/>
      </c>
    </row>
    <row r="550">
      <c r="D550" s="29" t="n">
        <v>525</v>
      </c>
      <c r="E550" s="29" t="inlineStr">
        <is>
          <t>2</t>
        </is>
      </c>
      <c r="F550" s="30" t="inlineStr">
        <is>
          <t>Random</t>
        </is>
      </c>
      <c r="G550" s="29" t="inlineStr">
        <is>
          <t>Found Object</t>
        </is>
      </c>
      <c r="H550" s="29">
        <f>MATCH(G550, {"Waiting for Input","Analyzing Object","Found Object","Needs Help","Confused","None"}, 0) - 1</f>
        <v/>
      </c>
      <c r="I550" s="31" t="inlineStr">
        <is>
          <t>Needs Help</t>
        </is>
      </c>
      <c r="J550" s="29">
        <f>MATCH(I550, {"Waiting for Input","Analyzing Object","Found Object","Needs Help","Confused","None"}, 0) - 1</f>
        <v/>
      </c>
      <c r="K550" s="29" t="n">
        <v>3</v>
      </c>
      <c r="L550" s="29">
        <f>IF(H550=J550, 1, 0)</f>
        <v/>
      </c>
    </row>
    <row r="551">
      <c r="D551" s="29" t="n">
        <v>526</v>
      </c>
      <c r="E551" s="29" t="inlineStr">
        <is>
          <t>2</t>
        </is>
      </c>
      <c r="F551" s="30" t="inlineStr">
        <is>
          <t>Random</t>
        </is>
      </c>
      <c r="G551" s="29" t="inlineStr">
        <is>
          <t>Found Object</t>
        </is>
      </c>
      <c r="H551" s="29">
        <f>MATCH(G551, {"Waiting for Input","Analyzing Object","Found Object","Needs Help","Confused","None"}, 0) - 1</f>
        <v/>
      </c>
      <c r="I551" s="31" t="inlineStr">
        <is>
          <t>Needs Help</t>
        </is>
      </c>
      <c r="J551" s="29">
        <f>MATCH(I551, {"Waiting for Input","Analyzing Object","Found Object","Needs Help","Confused","None"}, 0) - 1</f>
        <v/>
      </c>
      <c r="K551" s="29" t="n">
        <v>3</v>
      </c>
      <c r="L551" s="29">
        <f>IF(H551=J551, 1, 0)</f>
        <v/>
      </c>
    </row>
    <row r="552">
      <c r="D552" s="29" t="n">
        <v>527</v>
      </c>
      <c r="E552" s="29" t="inlineStr">
        <is>
          <t>2</t>
        </is>
      </c>
      <c r="F552" s="30" t="inlineStr">
        <is>
          <t>Random</t>
        </is>
      </c>
      <c r="G552" s="29" t="inlineStr">
        <is>
          <t>Found Object</t>
        </is>
      </c>
      <c r="H552" s="29">
        <f>MATCH(G552, {"Waiting for Input","Analyzing Object","Found Object","Needs Help","Confused","None"}, 0) - 1</f>
        <v/>
      </c>
      <c r="I552" s="31" t="inlineStr">
        <is>
          <t>Analyzing Object</t>
        </is>
      </c>
      <c r="J552" s="29">
        <f>MATCH(I552, {"Waiting for Input","Analyzing Object","Found Object","Needs Help","Confused","None"}, 0) - 1</f>
        <v/>
      </c>
      <c r="K552" s="29" t="n">
        <v>2</v>
      </c>
      <c r="L552" s="29">
        <f>IF(H552=J552, 1, 0)</f>
        <v/>
      </c>
    </row>
    <row r="553">
      <c r="D553" s="29" t="n">
        <v>528</v>
      </c>
      <c r="E553" s="29" t="inlineStr">
        <is>
          <t>2</t>
        </is>
      </c>
      <c r="F553" s="30" t="inlineStr">
        <is>
          <t>Random</t>
        </is>
      </c>
      <c r="G553" s="29" t="inlineStr">
        <is>
          <t>Found Object</t>
        </is>
      </c>
      <c r="H553" s="29">
        <f>MATCH(G553, {"Waiting for Input","Analyzing Object","Found Object","Needs Help","Confused","None"}, 0) - 1</f>
        <v/>
      </c>
      <c r="I553" s="31" t="inlineStr">
        <is>
          <t>Found Object</t>
        </is>
      </c>
      <c r="J553" s="29">
        <f>MATCH(I553, {"Waiting for Input","Analyzing Object","Found Object","Needs Help","Confused","None"}, 0) - 1</f>
        <v/>
      </c>
      <c r="K553" s="29" t="n">
        <v>3</v>
      </c>
      <c r="L553" s="29">
        <f>IF(H553=J553, 1, 0)</f>
        <v/>
      </c>
    </row>
    <row r="554">
      <c r="D554" s="29" t="n">
        <v>529</v>
      </c>
      <c r="E554" s="29" t="inlineStr">
        <is>
          <t>2</t>
        </is>
      </c>
      <c r="F554" s="30" t="inlineStr">
        <is>
          <t>Random</t>
        </is>
      </c>
      <c r="G554" s="29" t="inlineStr">
        <is>
          <t>Found Object</t>
        </is>
      </c>
      <c r="H554" s="29">
        <f>MATCH(G554, {"Waiting for Input","Analyzing Object","Found Object","Needs Help","Confused","None"}, 0) - 1</f>
        <v/>
      </c>
      <c r="I554" s="31" t="inlineStr">
        <is>
          <t>Analyzing Object</t>
        </is>
      </c>
      <c r="J554" s="29">
        <f>MATCH(I554, {"Waiting for Input","Analyzing Object","Found Object","Needs Help","Confused","None"}, 0) - 1</f>
        <v/>
      </c>
      <c r="K554" s="29" t="n">
        <v>4</v>
      </c>
      <c r="L554" s="29">
        <f>IF(H554=J554, 1, 0)</f>
        <v/>
      </c>
    </row>
    <row r="555">
      <c r="D555" s="29" t="n">
        <v>530</v>
      </c>
      <c r="E555" s="29" t="inlineStr">
        <is>
          <t>2</t>
        </is>
      </c>
      <c r="F555" s="30" t="inlineStr">
        <is>
          <t>Random</t>
        </is>
      </c>
      <c r="G555" s="29" t="inlineStr">
        <is>
          <t>Found Object</t>
        </is>
      </c>
      <c r="H555" s="29">
        <f>MATCH(G555, {"Waiting for Input","Analyzing Object","Found Object","Needs Help","Confused","None"}, 0) - 1</f>
        <v/>
      </c>
      <c r="I555" s="31" t="inlineStr">
        <is>
          <t>Confused</t>
        </is>
      </c>
      <c r="J555" s="29">
        <f>MATCH(I555, {"Waiting for Input","Analyzing Object","Found Object","Needs Help","Confused","None"}, 0) - 1</f>
        <v/>
      </c>
      <c r="K555" s="29" t="n">
        <v>2</v>
      </c>
      <c r="L555" s="29">
        <f>IF(H555=J555, 1, 0)</f>
        <v/>
      </c>
    </row>
    <row r="556">
      <c r="D556" s="29" t="n">
        <v>531</v>
      </c>
      <c r="E556" s="29" t="inlineStr">
        <is>
          <t>1</t>
        </is>
      </c>
      <c r="F556" s="30" t="inlineStr">
        <is>
          <t>Random</t>
        </is>
      </c>
      <c r="G556" s="29" t="inlineStr">
        <is>
          <t>Found Object</t>
        </is>
      </c>
      <c r="H556" s="29">
        <f>MATCH(G556, {"Waiting for Input","Analyzing Object","Found Object","Needs Help","Confused","None"}, 0) - 1</f>
        <v/>
      </c>
      <c r="I556" s="31" t="inlineStr">
        <is>
          <t>Needs Help</t>
        </is>
      </c>
      <c r="J556" s="29">
        <f>MATCH(I556, {"Waiting for Input","Analyzing Object","Found Object","Needs Help","Confused","None"}, 0) - 1</f>
        <v/>
      </c>
      <c r="K556" s="29" t="n">
        <v>4</v>
      </c>
      <c r="L556" s="29">
        <f>IF(H556=J556, 1, 0)</f>
        <v/>
      </c>
    </row>
    <row r="557">
      <c r="D557" s="29" t="n">
        <v>532</v>
      </c>
      <c r="E557" s="29" t="inlineStr">
        <is>
          <t>2</t>
        </is>
      </c>
      <c r="F557" s="30" t="inlineStr">
        <is>
          <t>Random</t>
        </is>
      </c>
      <c r="G557" s="29" t="inlineStr">
        <is>
          <t>Found Object</t>
        </is>
      </c>
      <c r="H557" s="29">
        <f>MATCH(G557, {"Waiting for Input","Analyzing Object","Found Object","Needs Help","Confused","None"}, 0) - 1</f>
        <v/>
      </c>
      <c r="I557" s="31" t="inlineStr">
        <is>
          <t>Needs Help</t>
        </is>
      </c>
      <c r="J557" s="29">
        <f>MATCH(I557, {"Waiting for Input","Analyzing Object","Found Object","Needs Help","Confused","None"}, 0) - 1</f>
        <v/>
      </c>
      <c r="K557" s="29" t="n">
        <v>5</v>
      </c>
      <c r="L557" s="29">
        <f>IF(H557=J557, 1, 0)</f>
        <v/>
      </c>
    </row>
    <row r="558">
      <c r="D558" s="29" t="n">
        <v>533</v>
      </c>
      <c r="E558" s="29" t="inlineStr">
        <is>
          <t>2</t>
        </is>
      </c>
      <c r="F558" s="30" t="inlineStr">
        <is>
          <t>Random</t>
        </is>
      </c>
      <c r="G558" s="29" t="inlineStr">
        <is>
          <t>Found Object</t>
        </is>
      </c>
      <c r="H558" s="29">
        <f>MATCH(G558, {"Waiting for Input","Analyzing Object","Found Object","Needs Help","Confused","None"}, 0) - 1</f>
        <v/>
      </c>
      <c r="I558" s="31" t="inlineStr">
        <is>
          <t>Needs Help</t>
        </is>
      </c>
      <c r="J558" s="29">
        <f>MATCH(I558, {"Waiting for Input","Analyzing Object","Found Object","Needs Help","Confused","None"}, 0) - 1</f>
        <v/>
      </c>
      <c r="K558" s="29" t="n">
        <v>3</v>
      </c>
      <c r="L558" s="29">
        <f>IF(H558=J558, 1, 0)</f>
        <v/>
      </c>
    </row>
    <row r="559">
      <c r="D559" s="29" t="n">
        <v>534</v>
      </c>
      <c r="E559" s="29" t="inlineStr">
        <is>
          <t>1</t>
        </is>
      </c>
      <c r="F559" s="30" t="inlineStr">
        <is>
          <t>Random</t>
        </is>
      </c>
      <c r="G559" s="29" t="inlineStr">
        <is>
          <t>Found Object</t>
        </is>
      </c>
      <c r="H559" s="29">
        <f>MATCH(G559, {"Waiting for Input","Analyzing Object","Found Object","Needs Help","Confused","None"}, 0) - 1</f>
        <v/>
      </c>
      <c r="I559" s="31" t="inlineStr">
        <is>
          <t>Analyzing Object</t>
        </is>
      </c>
      <c r="J559" s="29">
        <f>MATCH(I559, {"Waiting for Input","Analyzing Object","Found Object","Needs Help","Confused","None"}, 0) - 1</f>
        <v/>
      </c>
      <c r="K559" s="29" t="n">
        <v>4</v>
      </c>
      <c r="L559" s="29">
        <f>IF(H559=J559, 1, 0)</f>
        <v/>
      </c>
    </row>
    <row r="560">
      <c r="D560" s="29" t="n">
        <v>535</v>
      </c>
      <c r="E560" s="29" t="inlineStr">
        <is>
          <t>2</t>
        </is>
      </c>
      <c r="F560" s="30" t="inlineStr">
        <is>
          <t>Random</t>
        </is>
      </c>
      <c r="G560" s="29" t="inlineStr">
        <is>
          <t>Found Object</t>
        </is>
      </c>
      <c r="H560" s="29">
        <f>MATCH(G560, {"Waiting for Input","Analyzing Object","Found Object","Needs Help","Confused","None"}, 0) - 1</f>
        <v/>
      </c>
      <c r="I560" s="31" t="inlineStr">
        <is>
          <t>Confused</t>
        </is>
      </c>
      <c r="J560" s="29">
        <f>MATCH(I560, {"Waiting for Input","Analyzing Object","Found Object","Needs Help","Confused","None"}, 0) - 1</f>
        <v/>
      </c>
      <c r="K560" s="29" t="n">
        <v>2</v>
      </c>
      <c r="L560" s="29">
        <f>IF(H560=J560, 1, 0)</f>
        <v/>
      </c>
    </row>
    <row r="561">
      <c r="D561" s="29" t="n">
        <v>536</v>
      </c>
      <c r="E561" s="29" t="inlineStr">
        <is>
          <t>2</t>
        </is>
      </c>
      <c r="F561" s="30" t="inlineStr">
        <is>
          <t>Random</t>
        </is>
      </c>
      <c r="G561" s="29" t="inlineStr">
        <is>
          <t>Found Object</t>
        </is>
      </c>
      <c r="H561" s="29">
        <f>MATCH(G561, {"Waiting for Input","Analyzing Object","Found Object","Needs Help","Confused","None"}, 0) - 1</f>
        <v/>
      </c>
      <c r="I561" s="31" t="inlineStr">
        <is>
          <t>Analyzing Object</t>
        </is>
      </c>
      <c r="J561" s="29">
        <f>MATCH(I561, {"Waiting for Input","Analyzing Object","Found Object","Needs Help","Confused","None"}, 0) - 1</f>
        <v/>
      </c>
      <c r="K561" s="29" t="n">
        <v>4</v>
      </c>
      <c r="L561" s="29">
        <f>IF(H561=J561, 1, 0)</f>
        <v/>
      </c>
    </row>
    <row r="562">
      <c r="D562" s="29" t="n">
        <v>537</v>
      </c>
      <c r="E562" s="29" t="inlineStr">
        <is>
          <t>2</t>
        </is>
      </c>
      <c r="F562" s="30" t="inlineStr">
        <is>
          <t>Random</t>
        </is>
      </c>
      <c r="G562" s="29" t="inlineStr">
        <is>
          <t>Found Object</t>
        </is>
      </c>
      <c r="H562" s="29">
        <f>MATCH(G562, {"Waiting for Input","Analyzing Object","Found Object","Needs Help","Confused","None"}, 0) - 1</f>
        <v/>
      </c>
      <c r="I562" s="31" t="inlineStr">
        <is>
          <t>Needs Help</t>
        </is>
      </c>
      <c r="J562" s="29">
        <f>MATCH(I562, {"Waiting for Input","Analyzing Object","Found Object","Needs Help","Confused","None"}, 0) - 1</f>
        <v/>
      </c>
      <c r="K562" s="29" t="n">
        <v>2</v>
      </c>
      <c r="L562" s="29">
        <f>IF(H562=J562, 1, 0)</f>
        <v/>
      </c>
    </row>
    <row r="563">
      <c r="D563" s="29" t="n">
        <v>538</v>
      </c>
      <c r="E563" s="29" t="inlineStr">
        <is>
          <t>1</t>
        </is>
      </c>
      <c r="F563" s="30" t="inlineStr">
        <is>
          <t>Random</t>
        </is>
      </c>
      <c r="G563" s="29" t="inlineStr">
        <is>
          <t>Found Object</t>
        </is>
      </c>
      <c r="H563" s="29">
        <f>MATCH(G563, {"Waiting for Input","Analyzing Object","Found Object","Needs Help","Confused","None"}, 0) - 1</f>
        <v/>
      </c>
      <c r="I563" s="31" t="inlineStr">
        <is>
          <t>Found Object</t>
        </is>
      </c>
      <c r="J563" s="29">
        <f>MATCH(I563, {"Waiting for Input","Analyzing Object","Found Object","Needs Help","Confused","None"}, 0) - 1</f>
        <v/>
      </c>
      <c r="K563" s="29" t="n">
        <v>5</v>
      </c>
      <c r="L563" s="29">
        <f>IF(H563=J563, 1, 0)</f>
        <v/>
      </c>
    </row>
    <row r="564">
      <c r="D564" s="29" t="n">
        <v>539</v>
      </c>
      <c r="E564" s="29" t="inlineStr">
        <is>
          <t>2</t>
        </is>
      </c>
      <c r="F564" s="30" t="inlineStr">
        <is>
          <t>Random</t>
        </is>
      </c>
      <c r="G564" s="29" t="inlineStr">
        <is>
          <t>Found Object</t>
        </is>
      </c>
      <c r="H564" s="29">
        <f>MATCH(G564, {"Waiting for Input","Analyzing Object","Found Object","Needs Help","Confused","None"}, 0) - 1</f>
        <v/>
      </c>
      <c r="I564" s="31" t="inlineStr">
        <is>
          <t>Found Object</t>
        </is>
      </c>
      <c r="J564" s="29">
        <f>MATCH(I564, {"Waiting for Input","Analyzing Object","Found Object","Needs Help","Confused","None"}, 0) - 1</f>
        <v/>
      </c>
      <c r="K564" s="29" t="n">
        <v>2</v>
      </c>
      <c r="L564" s="29">
        <f>IF(H564=J564, 1, 0)</f>
        <v/>
      </c>
    </row>
    <row r="565">
      <c r="D565" s="29" t="n">
        <v>540</v>
      </c>
      <c r="E565" s="29" t="inlineStr">
        <is>
          <t>1</t>
        </is>
      </c>
      <c r="F565" s="30" t="inlineStr">
        <is>
          <t>GPT4</t>
        </is>
      </c>
      <c r="G565" s="29" t="inlineStr">
        <is>
          <t>Needs Help</t>
        </is>
      </c>
      <c r="H565" s="29">
        <f>MATCH(G565, {"Waiting for Input","Analyzing Object","Found Object","Needs Help","Confused","None"}, 0) - 1</f>
        <v/>
      </c>
      <c r="I565" s="31" t="inlineStr">
        <is>
          <t>Confused</t>
        </is>
      </c>
      <c r="J565" s="29">
        <f>MATCH(I565, {"Waiting for Input","Analyzing Object","Found Object","Needs Help","Confused","None"}, 0) - 1</f>
        <v/>
      </c>
      <c r="K565" s="29" t="n">
        <v>2</v>
      </c>
      <c r="L565" s="29">
        <f>IF(H565=J565, 1, 0)</f>
        <v/>
      </c>
    </row>
    <row r="566">
      <c r="D566" s="29" t="n">
        <v>541</v>
      </c>
      <c r="E566" s="29" t="inlineStr">
        <is>
          <t>1</t>
        </is>
      </c>
      <c r="F566" s="30" t="inlineStr">
        <is>
          <t>GPT4</t>
        </is>
      </c>
      <c r="G566" s="29" t="inlineStr">
        <is>
          <t>Needs Help</t>
        </is>
      </c>
      <c r="H566" s="29">
        <f>MATCH(G566, {"Waiting for Input","Analyzing Object","Found Object","Needs Help","Confused","None"}, 0) - 1</f>
        <v/>
      </c>
      <c r="I566" s="31" t="inlineStr">
        <is>
          <t>Confused</t>
        </is>
      </c>
      <c r="J566" s="29">
        <f>MATCH(I566, {"Waiting for Input","Analyzing Object","Found Object","Needs Help","Confused","None"}, 0) - 1</f>
        <v/>
      </c>
      <c r="K566" s="29" t="n">
        <v>3</v>
      </c>
      <c r="L566" s="29">
        <f>IF(H566=J566, 1, 0)</f>
        <v/>
      </c>
    </row>
    <row r="567">
      <c r="D567" s="29" t="n">
        <v>542</v>
      </c>
      <c r="E567" s="29" t="inlineStr">
        <is>
          <t>1</t>
        </is>
      </c>
      <c r="F567" s="30" t="inlineStr">
        <is>
          <t>GPT4</t>
        </is>
      </c>
      <c r="G567" s="29" t="inlineStr">
        <is>
          <t>Needs Help</t>
        </is>
      </c>
      <c r="H567" s="29">
        <f>MATCH(G567, {"Waiting for Input","Analyzing Object","Found Object","Needs Help","Confused","None"}, 0) - 1</f>
        <v/>
      </c>
      <c r="I567" s="31" t="inlineStr">
        <is>
          <t>Needs Help</t>
        </is>
      </c>
      <c r="J567" s="29">
        <f>MATCH(I567, {"Waiting for Input","Analyzing Object","Found Object","Needs Help","Confused","None"}, 0) - 1</f>
        <v/>
      </c>
      <c r="K567" s="29" t="n">
        <v>2</v>
      </c>
      <c r="L567" s="29">
        <f>IF(H567=J567, 1, 0)</f>
        <v/>
      </c>
    </row>
    <row r="568">
      <c r="D568" s="29" t="n">
        <v>543</v>
      </c>
      <c r="E568" s="29" t="inlineStr">
        <is>
          <t>2</t>
        </is>
      </c>
      <c r="F568" s="30" t="inlineStr">
        <is>
          <t>GPT4</t>
        </is>
      </c>
      <c r="G568" s="29" t="inlineStr">
        <is>
          <t>Needs Help</t>
        </is>
      </c>
      <c r="H568" s="29">
        <f>MATCH(G568, {"Waiting for Input","Analyzing Object","Found Object","Needs Help","Confused","None"}, 0) - 1</f>
        <v/>
      </c>
      <c r="I568" s="31" t="inlineStr">
        <is>
          <t>Needs Help</t>
        </is>
      </c>
      <c r="J568" s="29">
        <f>MATCH(I568, {"Waiting for Input","Analyzing Object","Found Object","Needs Help","Confused","None"}, 0) - 1</f>
        <v/>
      </c>
      <c r="K568" s="29" t="n">
        <v>3</v>
      </c>
      <c r="L568" s="29">
        <f>IF(H568=J568, 1, 0)</f>
        <v/>
      </c>
    </row>
    <row r="569">
      <c r="D569" s="29" t="n">
        <v>544</v>
      </c>
      <c r="E569" s="29" t="inlineStr">
        <is>
          <t>2</t>
        </is>
      </c>
      <c r="F569" s="30" t="inlineStr">
        <is>
          <t>GPT4</t>
        </is>
      </c>
      <c r="G569" s="29" t="inlineStr">
        <is>
          <t>Needs Help</t>
        </is>
      </c>
      <c r="H569" s="29">
        <f>MATCH(G569, {"Waiting for Input","Analyzing Object","Found Object","Needs Help","Confused","None"}, 0) - 1</f>
        <v/>
      </c>
      <c r="I569" s="31" t="inlineStr">
        <is>
          <t>Confused</t>
        </is>
      </c>
      <c r="J569" s="29">
        <f>MATCH(I569, {"Waiting for Input","Analyzing Object","Found Object","Needs Help","Confused","None"}, 0) - 1</f>
        <v/>
      </c>
      <c r="K569" s="29" t="n">
        <v>3</v>
      </c>
      <c r="L569" s="29">
        <f>IF(H569=J569, 1, 0)</f>
        <v/>
      </c>
    </row>
    <row r="570">
      <c r="D570" s="29" t="n">
        <v>545</v>
      </c>
      <c r="E570" s="29" t="inlineStr">
        <is>
          <t>1</t>
        </is>
      </c>
      <c r="F570" s="30" t="inlineStr">
        <is>
          <t>GPT4</t>
        </is>
      </c>
      <c r="G570" s="29" t="inlineStr">
        <is>
          <t>Needs Help</t>
        </is>
      </c>
      <c r="H570" s="29">
        <f>MATCH(G570, {"Waiting for Input","Analyzing Object","Found Object","Needs Help","Confused","None"}, 0) - 1</f>
        <v/>
      </c>
      <c r="I570" s="31" t="inlineStr">
        <is>
          <t>Waiting for Input</t>
        </is>
      </c>
      <c r="J570" s="29">
        <f>MATCH(I570, {"Waiting for Input","Analyzing Object","Found Object","Needs Help","Confused","None"}, 0) - 1</f>
        <v/>
      </c>
      <c r="K570" s="29" t="n">
        <v>5</v>
      </c>
      <c r="L570" s="29">
        <f>IF(H570=J570, 1, 0)</f>
        <v/>
      </c>
    </row>
    <row r="571">
      <c r="D571" s="29" t="n">
        <v>546</v>
      </c>
      <c r="E571" s="29" t="inlineStr">
        <is>
          <t>2</t>
        </is>
      </c>
      <c r="F571" s="30" t="inlineStr">
        <is>
          <t>GPT4</t>
        </is>
      </c>
      <c r="G571" s="29" t="inlineStr">
        <is>
          <t>Needs Help</t>
        </is>
      </c>
      <c r="H571" s="29">
        <f>MATCH(G571, {"Waiting for Input","Analyzing Object","Found Object","Needs Help","Confused","None"}, 0) - 1</f>
        <v/>
      </c>
      <c r="I571" s="31" t="inlineStr">
        <is>
          <t>Needs Help</t>
        </is>
      </c>
      <c r="J571" s="29">
        <f>MATCH(I571, {"Waiting for Input","Analyzing Object","Found Object","Needs Help","Confused","None"}, 0) - 1</f>
        <v/>
      </c>
      <c r="K571" s="29" t="n">
        <v>2</v>
      </c>
      <c r="L571" s="29">
        <f>IF(H571=J571, 1, 0)</f>
        <v/>
      </c>
    </row>
    <row r="572">
      <c r="D572" s="29" t="n">
        <v>547</v>
      </c>
      <c r="E572" s="29" t="inlineStr">
        <is>
          <t>1</t>
        </is>
      </c>
      <c r="F572" s="30" t="inlineStr">
        <is>
          <t>GPT4</t>
        </is>
      </c>
      <c r="G572" s="29" t="inlineStr">
        <is>
          <t>Needs Help</t>
        </is>
      </c>
      <c r="H572" s="29">
        <f>MATCH(G572, {"Waiting for Input","Analyzing Object","Found Object","Needs Help","Confused","None"}, 0) - 1</f>
        <v/>
      </c>
      <c r="I572" s="31" t="inlineStr">
        <is>
          <t>Needs Help</t>
        </is>
      </c>
      <c r="J572" s="29">
        <f>MATCH(I572, {"Waiting for Input","Analyzing Object","Found Object","Needs Help","Confused","None"}, 0) - 1</f>
        <v/>
      </c>
      <c r="K572" s="29" t="n">
        <v>3</v>
      </c>
      <c r="L572" s="29">
        <f>IF(H572=J572, 1, 0)</f>
        <v/>
      </c>
    </row>
    <row r="573">
      <c r="D573" s="29" t="n">
        <v>548</v>
      </c>
      <c r="E573" s="29" t="inlineStr">
        <is>
          <t>1</t>
        </is>
      </c>
      <c r="F573" s="30" t="inlineStr">
        <is>
          <t>GPT4</t>
        </is>
      </c>
      <c r="G573" s="29" t="inlineStr">
        <is>
          <t>Needs Help</t>
        </is>
      </c>
      <c r="H573" s="29">
        <f>MATCH(G573, {"Waiting for Input","Analyzing Object","Found Object","Needs Help","Confused","None"}, 0) - 1</f>
        <v/>
      </c>
      <c r="I573" s="31" t="inlineStr">
        <is>
          <t>Needs Help</t>
        </is>
      </c>
      <c r="J573" s="29">
        <f>MATCH(I573, {"Waiting for Input","Analyzing Object","Found Object","Needs Help","Confused","None"}, 0) - 1</f>
        <v/>
      </c>
      <c r="K573" s="29" t="n">
        <v>3</v>
      </c>
      <c r="L573" s="29">
        <f>IF(H573=J573, 1, 0)</f>
        <v/>
      </c>
    </row>
    <row r="574">
      <c r="D574" s="29" t="n">
        <v>549</v>
      </c>
      <c r="E574" s="29" t="inlineStr">
        <is>
          <t>1</t>
        </is>
      </c>
      <c r="F574" s="30" t="inlineStr">
        <is>
          <t>GPT4</t>
        </is>
      </c>
      <c r="G574" s="29" t="inlineStr">
        <is>
          <t>Needs Help</t>
        </is>
      </c>
      <c r="H574" s="29">
        <f>MATCH(G574, {"Waiting for Input","Analyzing Object","Found Object","Needs Help","Confused","None"}, 0) - 1</f>
        <v/>
      </c>
      <c r="I574" s="31" t="inlineStr">
        <is>
          <t>Needs Help</t>
        </is>
      </c>
      <c r="J574" s="29">
        <f>MATCH(I574, {"Waiting for Input","Analyzing Object","Found Object","Needs Help","Confused","None"}, 0) - 1</f>
        <v/>
      </c>
      <c r="K574" s="29" t="n">
        <v>2</v>
      </c>
      <c r="L574" s="29">
        <f>IF(H574=J574, 1, 0)</f>
        <v/>
      </c>
    </row>
    <row r="575">
      <c r="D575" s="29" t="n">
        <v>550</v>
      </c>
      <c r="E575" s="29" t="inlineStr">
        <is>
          <t>2</t>
        </is>
      </c>
      <c r="F575" s="30" t="inlineStr">
        <is>
          <t>GPT4</t>
        </is>
      </c>
      <c r="G575" s="29" t="inlineStr">
        <is>
          <t>Needs Help</t>
        </is>
      </c>
      <c r="H575" s="29">
        <f>MATCH(G575, {"Waiting for Input","Analyzing Object","Found Object","Needs Help","Confused","None"}, 0) - 1</f>
        <v/>
      </c>
      <c r="I575" s="31" t="inlineStr">
        <is>
          <t>Needs Help</t>
        </is>
      </c>
      <c r="J575" s="29">
        <f>MATCH(I575, {"Waiting for Input","Analyzing Object","Found Object","Needs Help","Confused","None"}, 0) - 1</f>
        <v/>
      </c>
      <c r="K575" s="29" t="n">
        <v>3</v>
      </c>
      <c r="L575" s="29">
        <f>IF(H575=J575, 1, 0)</f>
        <v/>
      </c>
    </row>
    <row r="576">
      <c r="D576" s="29" t="n">
        <v>551</v>
      </c>
      <c r="E576" s="29" t="inlineStr">
        <is>
          <t>2</t>
        </is>
      </c>
      <c r="F576" s="30" t="inlineStr">
        <is>
          <t>GPT4</t>
        </is>
      </c>
      <c r="G576" s="29" t="inlineStr">
        <is>
          <t>Needs Help</t>
        </is>
      </c>
      <c r="H576" s="29">
        <f>MATCH(G576, {"Waiting for Input","Analyzing Object","Found Object","Needs Help","Confused","None"}, 0) - 1</f>
        <v/>
      </c>
      <c r="I576" s="31" t="inlineStr">
        <is>
          <t>Needs Help</t>
        </is>
      </c>
      <c r="J576" s="29">
        <f>MATCH(I576, {"Waiting for Input","Analyzing Object","Found Object","Needs Help","Confused","None"}, 0) - 1</f>
        <v/>
      </c>
      <c r="K576" s="29" t="n">
        <v>5</v>
      </c>
      <c r="L576" s="29">
        <f>IF(H576=J576, 1, 0)</f>
        <v/>
      </c>
    </row>
    <row r="577">
      <c r="D577" s="29" t="n">
        <v>552</v>
      </c>
      <c r="E577" s="29" t="inlineStr">
        <is>
          <t>2</t>
        </is>
      </c>
      <c r="F577" s="30" t="inlineStr">
        <is>
          <t>GPT4</t>
        </is>
      </c>
      <c r="G577" s="29" t="inlineStr">
        <is>
          <t>Needs Help</t>
        </is>
      </c>
      <c r="H577" s="29">
        <f>MATCH(G577, {"Waiting for Input","Analyzing Object","Found Object","Needs Help","Confused","None"}, 0) - 1</f>
        <v/>
      </c>
      <c r="I577" s="31" t="inlineStr">
        <is>
          <t>Needs Help</t>
        </is>
      </c>
      <c r="J577" s="29">
        <f>MATCH(I577, {"Waiting for Input","Analyzing Object","Found Object","Needs Help","Confused","None"}, 0) - 1</f>
        <v/>
      </c>
      <c r="K577" s="29" t="n">
        <v>3</v>
      </c>
      <c r="L577" s="29">
        <f>IF(H577=J577, 1, 0)</f>
        <v/>
      </c>
    </row>
    <row r="578">
      <c r="D578" s="29" t="n">
        <v>553</v>
      </c>
      <c r="E578" s="29" t="inlineStr">
        <is>
          <t>2</t>
        </is>
      </c>
      <c r="F578" s="30" t="inlineStr">
        <is>
          <t>GPT4</t>
        </is>
      </c>
      <c r="G578" s="29" t="inlineStr">
        <is>
          <t>Needs Help</t>
        </is>
      </c>
      <c r="H578" s="29">
        <f>MATCH(G578, {"Waiting for Input","Analyzing Object","Found Object","Needs Help","Confused","None"}, 0) - 1</f>
        <v/>
      </c>
      <c r="I578" s="31" t="inlineStr">
        <is>
          <t>Confused</t>
        </is>
      </c>
      <c r="J578" s="29">
        <f>MATCH(I578, {"Waiting for Input","Analyzing Object","Found Object","Needs Help","Confused","None"}, 0) - 1</f>
        <v/>
      </c>
      <c r="K578" s="29" t="n">
        <v>3</v>
      </c>
      <c r="L578" s="29">
        <f>IF(H578=J578, 1, 0)</f>
        <v/>
      </c>
    </row>
    <row r="579">
      <c r="D579" s="29" t="n">
        <v>554</v>
      </c>
      <c r="E579" s="29" t="inlineStr">
        <is>
          <t>1</t>
        </is>
      </c>
      <c r="F579" s="30" t="inlineStr">
        <is>
          <t>GPT4</t>
        </is>
      </c>
      <c r="G579" s="29" t="inlineStr">
        <is>
          <t>Needs Help</t>
        </is>
      </c>
      <c r="H579" s="29">
        <f>MATCH(G579, {"Waiting for Input","Analyzing Object","Found Object","Needs Help","Confused","None"}, 0) - 1</f>
        <v/>
      </c>
      <c r="I579" s="31" t="inlineStr">
        <is>
          <t>Confused</t>
        </is>
      </c>
      <c r="J579" s="29">
        <f>MATCH(I579, {"Waiting for Input","Analyzing Object","Found Object","Needs Help","Confused","None"}, 0) - 1</f>
        <v/>
      </c>
      <c r="K579" s="29" t="n">
        <v>3</v>
      </c>
      <c r="L579" s="29">
        <f>IF(H579=J579, 1, 0)</f>
        <v/>
      </c>
    </row>
    <row r="580">
      <c r="D580" s="29" t="n">
        <v>555</v>
      </c>
      <c r="E580" s="29" t="inlineStr">
        <is>
          <t>1</t>
        </is>
      </c>
      <c r="F580" s="30" t="inlineStr">
        <is>
          <t>GPT4</t>
        </is>
      </c>
      <c r="G580" s="29" t="inlineStr">
        <is>
          <t>Needs Help</t>
        </is>
      </c>
      <c r="H580" s="29">
        <f>MATCH(G580, {"Waiting for Input","Analyzing Object","Found Object","Needs Help","Confused","None"}, 0) - 1</f>
        <v/>
      </c>
      <c r="I580" s="31" t="inlineStr">
        <is>
          <t>Waiting for Input</t>
        </is>
      </c>
      <c r="J580" s="29">
        <f>MATCH(I580, {"Waiting for Input","Analyzing Object","Found Object","Needs Help","Confused","None"}, 0) - 1</f>
        <v/>
      </c>
      <c r="K580" s="29" t="n">
        <v>2</v>
      </c>
      <c r="L580" s="29">
        <f>IF(H580=J580, 1, 0)</f>
        <v/>
      </c>
    </row>
    <row r="581">
      <c r="D581" s="29" t="n">
        <v>556</v>
      </c>
      <c r="E581" s="29" t="inlineStr">
        <is>
          <t>1</t>
        </is>
      </c>
      <c r="F581" s="30" t="inlineStr">
        <is>
          <t>GPT4</t>
        </is>
      </c>
      <c r="G581" s="29" t="inlineStr">
        <is>
          <t>Needs Help</t>
        </is>
      </c>
      <c r="H581" s="29">
        <f>MATCH(G581, {"Waiting for Input","Analyzing Object","Found Object","Needs Help","Confused","None"}, 0) - 1</f>
        <v/>
      </c>
      <c r="I581" s="31" t="inlineStr">
        <is>
          <t>Waiting for Input</t>
        </is>
      </c>
      <c r="J581" s="29">
        <f>MATCH(I581, {"Waiting for Input","Analyzing Object","Found Object","Needs Help","Confused","None"}, 0) - 1</f>
        <v/>
      </c>
      <c r="K581" s="29" t="n">
        <v>4</v>
      </c>
      <c r="L581" s="29">
        <f>IF(H581=J581, 1, 0)</f>
        <v/>
      </c>
    </row>
    <row r="582">
      <c r="D582" s="29" t="n">
        <v>557</v>
      </c>
      <c r="E582" s="29" t="inlineStr">
        <is>
          <t>2</t>
        </is>
      </c>
      <c r="F582" s="30" t="inlineStr">
        <is>
          <t>GPT4</t>
        </is>
      </c>
      <c r="G582" s="29" t="inlineStr">
        <is>
          <t>Needs Help</t>
        </is>
      </c>
      <c r="H582" s="29">
        <f>MATCH(G582, {"Waiting for Input","Analyzing Object","Found Object","Needs Help","Confused","None"}, 0) - 1</f>
        <v/>
      </c>
      <c r="I582" s="31" t="inlineStr">
        <is>
          <t>Waiting for Input</t>
        </is>
      </c>
      <c r="J582" s="29">
        <f>MATCH(I582, {"Waiting for Input","Analyzing Object","Found Object","Needs Help","Confused","None"}, 0) - 1</f>
        <v/>
      </c>
      <c r="K582" s="29" t="n">
        <v>2</v>
      </c>
      <c r="L582" s="29">
        <f>IF(H582=J582, 1, 0)</f>
        <v/>
      </c>
    </row>
    <row r="583">
      <c r="D583" s="29" t="n">
        <v>558</v>
      </c>
      <c r="E583" s="29" t="inlineStr">
        <is>
          <t>2</t>
        </is>
      </c>
      <c r="F583" s="30" t="inlineStr">
        <is>
          <t>GPT4</t>
        </is>
      </c>
      <c r="G583" s="29" t="inlineStr">
        <is>
          <t>Needs Help</t>
        </is>
      </c>
      <c r="H583" s="29">
        <f>MATCH(G583, {"Waiting for Input","Analyzing Object","Found Object","Needs Help","Confused","None"}, 0) - 1</f>
        <v/>
      </c>
      <c r="I583" s="31" t="inlineStr">
        <is>
          <t>Needs Help</t>
        </is>
      </c>
      <c r="J583" s="29">
        <f>MATCH(I583, {"Waiting for Input","Analyzing Object","Found Object","Needs Help","Confused","None"}, 0) - 1</f>
        <v/>
      </c>
      <c r="K583" s="29" t="n">
        <v>2</v>
      </c>
      <c r="L583" s="29">
        <f>IF(H583=J583, 1, 0)</f>
        <v/>
      </c>
    </row>
    <row r="584">
      <c r="D584" s="29" t="n">
        <v>559</v>
      </c>
      <c r="E584" s="29" t="inlineStr">
        <is>
          <t>1</t>
        </is>
      </c>
      <c r="F584" s="30" t="inlineStr">
        <is>
          <t>GPT4</t>
        </is>
      </c>
      <c r="G584" s="29" t="inlineStr">
        <is>
          <t>Needs Help</t>
        </is>
      </c>
      <c r="H584" s="29">
        <f>MATCH(G584, {"Waiting for Input","Analyzing Object","Found Object","Needs Help","Confused","None"}, 0) - 1</f>
        <v/>
      </c>
      <c r="I584" s="31" t="inlineStr">
        <is>
          <t>Analyzing Object</t>
        </is>
      </c>
      <c r="J584" s="29">
        <f>MATCH(I584, {"Waiting for Input","Analyzing Object","Found Object","Needs Help","Confused","None"}, 0) - 1</f>
        <v/>
      </c>
      <c r="K584" s="29" t="n">
        <v>2</v>
      </c>
      <c r="L584" s="29">
        <f>IF(H584=J584, 1, 0)</f>
        <v/>
      </c>
    </row>
    <row r="585">
      <c r="D585" s="29" t="n">
        <v>560</v>
      </c>
      <c r="E585" s="29" t="inlineStr">
        <is>
          <t>1</t>
        </is>
      </c>
      <c r="F585" s="30" t="inlineStr">
        <is>
          <t>GPT4</t>
        </is>
      </c>
      <c r="G585" s="29" t="inlineStr">
        <is>
          <t>Needs Help</t>
        </is>
      </c>
      <c r="H585" s="29">
        <f>MATCH(G585, {"Waiting for Input","Analyzing Object","Found Object","Needs Help","Confused","None"}, 0) - 1</f>
        <v/>
      </c>
      <c r="I585" s="31" t="inlineStr">
        <is>
          <t>Confused</t>
        </is>
      </c>
      <c r="J585" s="29">
        <f>MATCH(I585, {"Waiting for Input","Analyzing Object","Found Object","Needs Help","Confused","None"}, 0) - 1</f>
        <v/>
      </c>
      <c r="K585" s="29" t="n">
        <v>2</v>
      </c>
      <c r="L585" s="29">
        <f>IF(H585=J585, 1, 0)</f>
        <v/>
      </c>
    </row>
    <row r="586">
      <c r="D586" s="29" t="n">
        <v>561</v>
      </c>
      <c r="E586" s="29" t="inlineStr">
        <is>
          <t>2</t>
        </is>
      </c>
      <c r="F586" s="30" t="inlineStr">
        <is>
          <t>GPT4</t>
        </is>
      </c>
      <c r="G586" s="29" t="inlineStr">
        <is>
          <t>Needs Help</t>
        </is>
      </c>
      <c r="H586" s="29">
        <f>MATCH(G586, {"Waiting for Input","Analyzing Object","Found Object","Needs Help","Confused","None"}, 0) - 1</f>
        <v/>
      </c>
      <c r="I586" s="31" t="inlineStr">
        <is>
          <t>Found Object</t>
        </is>
      </c>
      <c r="J586" s="29">
        <f>MATCH(I586, {"Waiting for Input","Analyzing Object","Found Object","Needs Help","Confused","None"}, 0) - 1</f>
        <v/>
      </c>
      <c r="K586" s="29" t="n">
        <v>2</v>
      </c>
      <c r="L586" s="29">
        <f>IF(H586=J586, 1, 0)</f>
        <v/>
      </c>
    </row>
    <row r="587">
      <c r="D587" s="29" t="n">
        <v>562</v>
      </c>
      <c r="E587" s="29" t="inlineStr">
        <is>
          <t>2</t>
        </is>
      </c>
      <c r="F587" s="30" t="inlineStr">
        <is>
          <t>GPT4</t>
        </is>
      </c>
      <c r="G587" s="29" t="inlineStr">
        <is>
          <t>Needs Help</t>
        </is>
      </c>
      <c r="H587" s="29">
        <f>MATCH(G587, {"Waiting for Input","Analyzing Object","Found Object","Needs Help","Confused","None"}, 0) - 1</f>
        <v/>
      </c>
      <c r="I587" s="31" t="inlineStr">
        <is>
          <t>Needs Help</t>
        </is>
      </c>
      <c r="J587" s="29">
        <f>MATCH(I587, {"Waiting for Input","Analyzing Object","Found Object","Needs Help","Confused","None"}, 0) - 1</f>
        <v/>
      </c>
      <c r="K587" s="29" t="n">
        <v>4</v>
      </c>
      <c r="L587" s="29">
        <f>IF(H587=J587, 1, 0)</f>
        <v/>
      </c>
    </row>
    <row r="588">
      <c r="D588" s="29" t="n">
        <v>563</v>
      </c>
      <c r="E588" s="29" t="inlineStr">
        <is>
          <t>1</t>
        </is>
      </c>
      <c r="F588" s="30" t="inlineStr">
        <is>
          <t>GPT4</t>
        </is>
      </c>
      <c r="G588" s="29" t="inlineStr">
        <is>
          <t>Needs Help</t>
        </is>
      </c>
      <c r="H588" s="29">
        <f>MATCH(G588, {"Waiting for Input","Analyzing Object","Found Object","Needs Help","Confused","None"}, 0) - 1</f>
        <v/>
      </c>
      <c r="I588" s="31" t="inlineStr">
        <is>
          <t>None</t>
        </is>
      </c>
      <c r="J588" s="29">
        <f>MATCH(I588, {"Waiting for Input","Analyzing Object","Found Object","Needs Help","Confused","None"}, 0) - 1</f>
        <v/>
      </c>
      <c r="K588" s="29" t="n">
        <v>3</v>
      </c>
      <c r="L588" s="29">
        <f>IF(H588=J588, 1, 0)</f>
        <v/>
      </c>
    </row>
    <row r="589">
      <c r="D589" s="29" t="n">
        <v>564</v>
      </c>
      <c r="E589" s="29" t="inlineStr">
        <is>
          <t>1</t>
        </is>
      </c>
      <c r="F589" s="30" t="inlineStr">
        <is>
          <t>GPT4</t>
        </is>
      </c>
      <c r="G589" s="29" t="inlineStr">
        <is>
          <t>Needs Help</t>
        </is>
      </c>
      <c r="H589" s="29">
        <f>MATCH(G589, {"Waiting for Input","Analyzing Object","Found Object","Needs Help","Confused","None"}, 0) - 1</f>
        <v/>
      </c>
      <c r="I589" s="31" t="inlineStr">
        <is>
          <t>Needs Help</t>
        </is>
      </c>
      <c r="J589" s="29">
        <f>MATCH(I589, {"Waiting for Input","Analyzing Object","Found Object","Needs Help","Confused","None"}, 0) - 1</f>
        <v/>
      </c>
      <c r="K589" s="29" t="n">
        <v>3</v>
      </c>
      <c r="L589" s="29">
        <f>IF(H589=J589, 1, 0)</f>
        <v/>
      </c>
    </row>
    <row r="590">
      <c r="D590" s="29" t="n">
        <v>565</v>
      </c>
      <c r="E590" s="29" t="inlineStr">
        <is>
          <t>2</t>
        </is>
      </c>
      <c r="F590" s="30" t="inlineStr">
        <is>
          <t>GPT4</t>
        </is>
      </c>
      <c r="G590" s="29" t="inlineStr">
        <is>
          <t>Needs Help</t>
        </is>
      </c>
      <c r="H590" s="29">
        <f>MATCH(G590, {"Waiting for Input","Analyzing Object","Found Object","Needs Help","Confused","None"}, 0) - 1</f>
        <v/>
      </c>
      <c r="I590" s="31" t="inlineStr">
        <is>
          <t>Needs Help</t>
        </is>
      </c>
      <c r="J590" s="29">
        <f>MATCH(I590, {"Waiting for Input","Analyzing Object","Found Object","Needs Help","Confused","None"}, 0) - 1</f>
        <v/>
      </c>
      <c r="K590" s="29" t="n">
        <v>2</v>
      </c>
      <c r="L590" s="29">
        <f>IF(H590=J590, 1, 0)</f>
        <v/>
      </c>
    </row>
    <row r="591">
      <c r="D591" s="29" t="n">
        <v>566</v>
      </c>
      <c r="E591" s="29" t="inlineStr">
        <is>
          <t>2</t>
        </is>
      </c>
      <c r="F591" s="30" t="inlineStr">
        <is>
          <t>GPT4</t>
        </is>
      </c>
      <c r="G591" s="29" t="inlineStr">
        <is>
          <t>Needs Help</t>
        </is>
      </c>
      <c r="H591" s="29">
        <f>MATCH(G591, {"Waiting for Input","Analyzing Object","Found Object","Needs Help","Confused","None"}, 0) - 1</f>
        <v/>
      </c>
      <c r="I591" s="31" t="inlineStr">
        <is>
          <t>Needs Help</t>
        </is>
      </c>
      <c r="J591" s="29">
        <f>MATCH(I591, {"Waiting for Input","Analyzing Object","Found Object","Needs Help","Confused","None"}, 0) - 1</f>
        <v/>
      </c>
      <c r="K591" s="29" t="n">
        <v>3</v>
      </c>
      <c r="L591" s="29">
        <f>IF(H591=J591, 1, 0)</f>
        <v/>
      </c>
    </row>
    <row r="592">
      <c r="D592" s="29" t="n">
        <v>567</v>
      </c>
      <c r="E592" s="29" t="inlineStr">
        <is>
          <t>2</t>
        </is>
      </c>
      <c r="F592" s="30" t="inlineStr">
        <is>
          <t>GPT4</t>
        </is>
      </c>
      <c r="G592" s="29" t="inlineStr">
        <is>
          <t>Needs Help</t>
        </is>
      </c>
      <c r="H592" s="29">
        <f>MATCH(G592, {"Waiting for Input","Analyzing Object","Found Object","Needs Help","Confused","None"}, 0) - 1</f>
        <v/>
      </c>
      <c r="I592" s="31" t="inlineStr">
        <is>
          <t>None</t>
        </is>
      </c>
      <c r="J592" s="29">
        <f>MATCH(I592, {"Waiting for Input","Analyzing Object","Found Object","Needs Help","Confused","None"}, 0) - 1</f>
        <v/>
      </c>
      <c r="K592" s="29" t="n">
        <v>2</v>
      </c>
      <c r="L592" s="29">
        <f>IF(H592=J592, 1, 0)</f>
        <v/>
      </c>
    </row>
    <row r="593">
      <c r="D593" s="29" t="n">
        <v>568</v>
      </c>
      <c r="E593" s="29" t="inlineStr">
        <is>
          <t>2</t>
        </is>
      </c>
      <c r="F593" s="30" t="inlineStr">
        <is>
          <t>GPT4</t>
        </is>
      </c>
      <c r="G593" s="29" t="inlineStr">
        <is>
          <t>Needs Help</t>
        </is>
      </c>
      <c r="H593" s="29">
        <f>MATCH(G593, {"Waiting for Input","Analyzing Object","Found Object","Needs Help","Confused","None"}, 0) - 1</f>
        <v/>
      </c>
      <c r="I593" s="31" t="inlineStr">
        <is>
          <t>Needs Help</t>
        </is>
      </c>
      <c r="J593" s="29">
        <f>MATCH(I593, {"Waiting for Input","Analyzing Object","Found Object","Needs Help","Confused","None"}, 0) - 1</f>
        <v/>
      </c>
      <c r="K593" s="29" t="n">
        <v>3</v>
      </c>
      <c r="L593" s="29">
        <f>IF(H593=J593, 1, 0)</f>
        <v/>
      </c>
    </row>
    <row r="594">
      <c r="D594" s="29" t="n">
        <v>569</v>
      </c>
      <c r="E594" s="29" t="inlineStr">
        <is>
          <t>2</t>
        </is>
      </c>
      <c r="F594" s="30" t="inlineStr">
        <is>
          <t>GPT4</t>
        </is>
      </c>
      <c r="G594" s="29" t="inlineStr">
        <is>
          <t>Needs Help</t>
        </is>
      </c>
      <c r="H594" s="29">
        <f>MATCH(G594, {"Waiting for Input","Analyzing Object","Found Object","Needs Help","Confused","None"}, 0) - 1</f>
        <v/>
      </c>
      <c r="I594" s="31" t="inlineStr">
        <is>
          <t>Needs Help</t>
        </is>
      </c>
      <c r="J594" s="29">
        <f>MATCH(I594, {"Waiting for Input","Analyzing Object","Found Object","Needs Help","Confused","None"}, 0) - 1</f>
        <v/>
      </c>
      <c r="K594" s="29" t="n">
        <v>3</v>
      </c>
      <c r="L594" s="29">
        <f>IF(H594=J594, 1, 0)</f>
        <v/>
      </c>
    </row>
    <row r="595">
      <c r="D595" s="29" t="n">
        <v>570</v>
      </c>
      <c r="E595" s="29" t="inlineStr">
        <is>
          <t>2</t>
        </is>
      </c>
      <c r="F595" s="30" t="inlineStr">
        <is>
          <t>GPT4</t>
        </is>
      </c>
      <c r="G595" s="29" t="inlineStr">
        <is>
          <t>Needs Help</t>
        </is>
      </c>
      <c r="H595" s="29">
        <f>MATCH(G595, {"Waiting for Input","Analyzing Object","Found Object","Needs Help","Confused","None"}, 0) - 1</f>
        <v/>
      </c>
      <c r="I595" s="31" t="inlineStr">
        <is>
          <t>Needs Help</t>
        </is>
      </c>
      <c r="J595" s="29">
        <f>MATCH(I595, {"Waiting for Input","Analyzing Object","Found Object","Needs Help","Confused","None"}, 0) - 1</f>
        <v/>
      </c>
      <c r="K595" s="29" t="n">
        <v>4</v>
      </c>
      <c r="L595" s="29">
        <f>IF(H595=J595, 1, 0)</f>
        <v/>
      </c>
    </row>
    <row r="596">
      <c r="D596" s="29" t="n">
        <v>571</v>
      </c>
      <c r="E596" s="29" t="inlineStr">
        <is>
          <t>1</t>
        </is>
      </c>
      <c r="F596" s="30" t="inlineStr">
        <is>
          <t>GPT4</t>
        </is>
      </c>
      <c r="G596" s="29" t="inlineStr">
        <is>
          <t>Needs Help</t>
        </is>
      </c>
      <c r="H596" s="29">
        <f>MATCH(G596, {"Waiting for Input","Analyzing Object","Found Object","Needs Help","Confused","None"}, 0) - 1</f>
        <v/>
      </c>
      <c r="I596" s="31" t="inlineStr">
        <is>
          <t>Analyzing Object</t>
        </is>
      </c>
      <c r="J596" s="29">
        <f>MATCH(I596, {"Waiting for Input","Analyzing Object","Found Object","Needs Help","Confused","None"}, 0) - 1</f>
        <v/>
      </c>
      <c r="K596" s="29" t="n">
        <v>2</v>
      </c>
      <c r="L596" s="29">
        <f>IF(H596=J596, 1, 0)</f>
        <v/>
      </c>
    </row>
    <row r="597">
      <c r="D597" s="29" t="n">
        <v>572</v>
      </c>
      <c r="E597" s="29" t="inlineStr">
        <is>
          <t>2</t>
        </is>
      </c>
      <c r="F597" s="30" t="inlineStr">
        <is>
          <t>GPT4</t>
        </is>
      </c>
      <c r="G597" s="29" t="inlineStr">
        <is>
          <t>Needs Help</t>
        </is>
      </c>
      <c r="H597" s="29">
        <f>MATCH(G597, {"Waiting for Input","Analyzing Object","Found Object","Needs Help","Confused","None"}, 0) - 1</f>
        <v/>
      </c>
      <c r="I597" s="31" t="inlineStr">
        <is>
          <t>Waiting for Input</t>
        </is>
      </c>
      <c r="J597" s="29">
        <f>MATCH(I597, {"Waiting for Input","Analyzing Object","Found Object","Needs Help","Confused","None"}, 0) - 1</f>
        <v/>
      </c>
      <c r="K597" s="29" t="n">
        <v>3</v>
      </c>
      <c r="L597" s="29">
        <f>IF(H597=J597, 1, 0)</f>
        <v/>
      </c>
    </row>
    <row r="598">
      <c r="D598" s="29" t="n">
        <v>573</v>
      </c>
      <c r="E598" s="29" t="inlineStr">
        <is>
          <t>1</t>
        </is>
      </c>
      <c r="F598" s="30" t="inlineStr">
        <is>
          <t>GPT4</t>
        </is>
      </c>
      <c r="G598" s="29" t="inlineStr">
        <is>
          <t>Needs Help</t>
        </is>
      </c>
      <c r="H598" s="29">
        <f>MATCH(G598, {"Waiting for Input","Analyzing Object","Found Object","Needs Help","Confused","None"}, 0) - 1</f>
        <v/>
      </c>
      <c r="I598" s="31" t="inlineStr">
        <is>
          <t>Needs Help</t>
        </is>
      </c>
      <c r="J598" s="29">
        <f>MATCH(I598, {"Waiting for Input","Analyzing Object","Found Object","Needs Help","Confused","None"}, 0) - 1</f>
        <v/>
      </c>
      <c r="K598" s="29" t="n">
        <v>4</v>
      </c>
      <c r="L598" s="29">
        <f>IF(H598=J598, 1, 0)</f>
        <v/>
      </c>
    </row>
    <row r="599">
      <c r="D599" s="29" t="n">
        <v>574</v>
      </c>
      <c r="E599" s="29" t="inlineStr">
        <is>
          <t>1</t>
        </is>
      </c>
      <c r="F599" s="30" t="inlineStr">
        <is>
          <t>GPT4</t>
        </is>
      </c>
      <c r="G599" s="29" t="inlineStr">
        <is>
          <t>Needs Help</t>
        </is>
      </c>
      <c r="H599" s="29">
        <f>MATCH(G599, {"Waiting for Input","Analyzing Object","Found Object","Needs Help","Confused","None"}, 0) - 1</f>
        <v/>
      </c>
      <c r="I599" s="31" t="inlineStr">
        <is>
          <t>Needs Help</t>
        </is>
      </c>
      <c r="J599" s="29">
        <f>MATCH(I599, {"Waiting for Input","Analyzing Object","Found Object","Needs Help","Confused","None"}, 0) - 1</f>
        <v/>
      </c>
      <c r="K599" s="29" t="n">
        <v>3</v>
      </c>
      <c r="L599" s="29">
        <f>IF(H599=J599, 1, 0)</f>
        <v/>
      </c>
    </row>
    <row r="600">
      <c r="D600" s="29" t="n">
        <v>575</v>
      </c>
      <c r="E600" s="29" t="inlineStr">
        <is>
          <t>1</t>
        </is>
      </c>
      <c r="F600" s="30" t="inlineStr">
        <is>
          <t>GPT4</t>
        </is>
      </c>
      <c r="G600" s="29" t="inlineStr">
        <is>
          <t>Needs Help</t>
        </is>
      </c>
      <c r="H600" s="29">
        <f>MATCH(G600, {"Waiting for Input","Analyzing Object","Found Object","Needs Help","Confused","None"}, 0) - 1</f>
        <v/>
      </c>
      <c r="I600" s="31" t="inlineStr">
        <is>
          <t>Needs Help</t>
        </is>
      </c>
      <c r="J600" s="29">
        <f>MATCH(I600, {"Waiting for Input","Analyzing Object","Found Object","Needs Help","Confused","None"}, 0) - 1</f>
        <v/>
      </c>
      <c r="K600" s="29" t="n">
        <v>2</v>
      </c>
      <c r="L600" s="29">
        <f>IF(H600=J600, 1, 0)</f>
        <v/>
      </c>
    </row>
    <row r="601">
      <c r="D601" s="29" t="n">
        <v>576</v>
      </c>
      <c r="E601" s="29" t="inlineStr">
        <is>
          <t>2</t>
        </is>
      </c>
      <c r="F601" s="30" t="inlineStr">
        <is>
          <t>GPT4</t>
        </is>
      </c>
      <c r="G601" s="29" t="inlineStr">
        <is>
          <t>Needs Help</t>
        </is>
      </c>
      <c r="H601" s="29">
        <f>MATCH(G601, {"Waiting for Input","Analyzing Object","Found Object","Needs Help","Confused","None"}, 0) - 1</f>
        <v/>
      </c>
      <c r="I601" s="31" t="inlineStr">
        <is>
          <t>None</t>
        </is>
      </c>
      <c r="J601" s="29">
        <f>MATCH(I601, {"Waiting for Input","Analyzing Object","Found Object","Needs Help","Confused","None"}, 0) - 1</f>
        <v/>
      </c>
      <c r="K601" s="29" t="n">
        <v>1</v>
      </c>
      <c r="L601" s="29">
        <f>IF(H601=J601, 1, 0)</f>
        <v/>
      </c>
    </row>
    <row r="602">
      <c r="D602" s="29" t="n">
        <v>577</v>
      </c>
      <c r="E602" s="29" t="inlineStr">
        <is>
          <t>2</t>
        </is>
      </c>
      <c r="F602" s="30" t="inlineStr">
        <is>
          <t>GPT4</t>
        </is>
      </c>
      <c r="G602" s="29" t="inlineStr">
        <is>
          <t>Needs Help</t>
        </is>
      </c>
      <c r="H602" s="29">
        <f>MATCH(G602, {"Waiting for Input","Analyzing Object","Found Object","Needs Help","Confused","None"}, 0) - 1</f>
        <v/>
      </c>
      <c r="I602" s="31" t="inlineStr">
        <is>
          <t>Waiting for Input</t>
        </is>
      </c>
      <c r="J602" s="29">
        <f>MATCH(I602, {"Waiting for Input","Analyzing Object","Found Object","Needs Help","Confused","None"}, 0) - 1</f>
        <v/>
      </c>
      <c r="K602" s="29" t="n">
        <v>5</v>
      </c>
      <c r="L602" s="29">
        <f>IF(H602=J602, 1, 0)</f>
        <v/>
      </c>
    </row>
    <row r="603">
      <c r="D603" s="29" t="n">
        <v>578</v>
      </c>
      <c r="E603" s="29" t="inlineStr">
        <is>
          <t>1</t>
        </is>
      </c>
      <c r="F603" s="30" t="inlineStr">
        <is>
          <t>GPT4</t>
        </is>
      </c>
      <c r="G603" s="29" t="inlineStr">
        <is>
          <t>Needs Help</t>
        </is>
      </c>
      <c r="H603" s="29">
        <f>MATCH(G603, {"Waiting for Input","Analyzing Object","Found Object","Needs Help","Confused","None"}, 0) - 1</f>
        <v/>
      </c>
      <c r="I603" s="31" t="inlineStr">
        <is>
          <t>Needs Help</t>
        </is>
      </c>
      <c r="J603" s="29">
        <f>MATCH(I603, {"Waiting for Input","Analyzing Object","Found Object","Needs Help","Confused","None"}, 0) - 1</f>
        <v/>
      </c>
      <c r="K603" s="29" t="n">
        <v>4</v>
      </c>
      <c r="L603" s="29">
        <f>IF(H603=J603, 1, 0)</f>
        <v/>
      </c>
    </row>
    <row r="604">
      <c r="D604" s="29" t="n">
        <v>579</v>
      </c>
      <c r="E604" s="29" t="inlineStr">
        <is>
          <t>1</t>
        </is>
      </c>
      <c r="F604" s="30" t="inlineStr">
        <is>
          <t>GPT4</t>
        </is>
      </c>
      <c r="G604" s="29" t="inlineStr">
        <is>
          <t>Needs Help</t>
        </is>
      </c>
      <c r="H604" s="29">
        <f>MATCH(G604, {"Waiting for Input","Analyzing Object","Found Object","Needs Help","Confused","None"}, 0) - 1</f>
        <v/>
      </c>
      <c r="I604" s="31" t="inlineStr">
        <is>
          <t>Needs Help</t>
        </is>
      </c>
      <c r="J604" s="29">
        <f>MATCH(I604, {"Waiting for Input","Analyzing Object","Found Object","Needs Help","Confused","None"}, 0) - 1</f>
        <v/>
      </c>
      <c r="K604" s="29" t="n">
        <v>4</v>
      </c>
      <c r="L604" s="29">
        <f>IF(H604=J604, 1, 0)</f>
        <v/>
      </c>
    </row>
    <row r="605">
      <c r="D605" s="29" t="n">
        <v>580</v>
      </c>
      <c r="E605" s="29" t="inlineStr">
        <is>
          <t>1</t>
        </is>
      </c>
      <c r="F605" s="30" t="inlineStr">
        <is>
          <t>GPT4</t>
        </is>
      </c>
      <c r="G605" s="29" t="inlineStr">
        <is>
          <t>Needs Help</t>
        </is>
      </c>
      <c r="H605" s="29">
        <f>MATCH(G605, {"Waiting for Input","Analyzing Object","Found Object","Needs Help","Confused","None"}, 0) - 1</f>
        <v/>
      </c>
      <c r="I605" s="31" t="inlineStr">
        <is>
          <t>Waiting for Input</t>
        </is>
      </c>
      <c r="J605" s="29">
        <f>MATCH(I605, {"Waiting for Input","Analyzing Object","Found Object","Needs Help","Confused","None"}, 0) - 1</f>
        <v/>
      </c>
      <c r="K605" s="29" t="n">
        <v>3</v>
      </c>
      <c r="L605" s="29">
        <f>IF(H605=J605, 1, 0)</f>
        <v/>
      </c>
    </row>
    <row r="606">
      <c r="D606" s="29" t="n">
        <v>581</v>
      </c>
      <c r="E606" s="29" t="inlineStr">
        <is>
          <t>2</t>
        </is>
      </c>
      <c r="F606" s="30" t="inlineStr">
        <is>
          <t>GPT4</t>
        </is>
      </c>
      <c r="G606" s="29" t="inlineStr">
        <is>
          <t>Needs Help</t>
        </is>
      </c>
      <c r="H606" s="29">
        <f>MATCH(G606, {"Waiting for Input","Analyzing Object","Found Object","Needs Help","Confused","None"}, 0) - 1</f>
        <v/>
      </c>
      <c r="I606" s="31" t="inlineStr">
        <is>
          <t>None</t>
        </is>
      </c>
      <c r="J606" s="29">
        <f>MATCH(I606, {"Waiting for Input","Analyzing Object","Found Object","Needs Help","Confused","None"}, 0) - 1</f>
        <v/>
      </c>
      <c r="K606" s="29" t="n">
        <v>3</v>
      </c>
      <c r="L606" s="29">
        <f>IF(H606=J606, 1, 0)</f>
        <v/>
      </c>
    </row>
    <row r="607">
      <c r="D607" s="29" t="n">
        <v>582</v>
      </c>
      <c r="E607" s="29" t="inlineStr">
        <is>
          <t>2</t>
        </is>
      </c>
      <c r="F607" s="30" t="inlineStr">
        <is>
          <t>GPT4</t>
        </is>
      </c>
      <c r="G607" s="29" t="inlineStr">
        <is>
          <t>Needs Help</t>
        </is>
      </c>
      <c r="H607" s="29">
        <f>MATCH(G607, {"Waiting for Input","Analyzing Object","Found Object","Needs Help","Confused","None"}, 0) - 1</f>
        <v/>
      </c>
      <c r="I607" s="31" t="inlineStr">
        <is>
          <t>Needs Help</t>
        </is>
      </c>
      <c r="J607" s="29">
        <f>MATCH(I607, {"Waiting for Input","Analyzing Object","Found Object","Needs Help","Confused","None"}, 0) - 1</f>
        <v/>
      </c>
      <c r="K607" s="29" t="n">
        <v>3</v>
      </c>
      <c r="L607" s="29">
        <f>IF(H607=J607, 1, 0)</f>
        <v/>
      </c>
    </row>
    <row r="608">
      <c r="D608" s="29" t="n">
        <v>583</v>
      </c>
      <c r="E608" s="29" t="inlineStr">
        <is>
          <t>2</t>
        </is>
      </c>
      <c r="F608" s="30" t="inlineStr">
        <is>
          <t>GPT4</t>
        </is>
      </c>
      <c r="G608" s="29" t="inlineStr">
        <is>
          <t>Needs Help</t>
        </is>
      </c>
      <c r="H608" s="29">
        <f>MATCH(G608, {"Waiting for Input","Analyzing Object","Found Object","Needs Help","Confused","None"}, 0) - 1</f>
        <v/>
      </c>
      <c r="I608" s="31" t="inlineStr">
        <is>
          <t>Needs Help</t>
        </is>
      </c>
      <c r="J608" s="29">
        <f>MATCH(I608, {"Waiting for Input","Analyzing Object","Found Object","Needs Help","Confused","None"}, 0) - 1</f>
        <v/>
      </c>
      <c r="K608" s="29" t="n">
        <v>2</v>
      </c>
      <c r="L608" s="29">
        <f>IF(H608=J608, 1, 0)</f>
        <v/>
      </c>
    </row>
    <row r="609">
      <c r="D609" s="29" t="n">
        <v>584</v>
      </c>
      <c r="E609" s="29" t="inlineStr">
        <is>
          <t>2</t>
        </is>
      </c>
      <c r="F609" s="30" t="inlineStr">
        <is>
          <t>GPT4</t>
        </is>
      </c>
      <c r="G609" s="29" t="inlineStr">
        <is>
          <t>Needs Help</t>
        </is>
      </c>
      <c r="H609" s="29">
        <f>MATCH(G609, {"Waiting for Input","Analyzing Object","Found Object","Needs Help","Confused","None"}, 0) - 1</f>
        <v/>
      </c>
      <c r="I609" s="31" t="inlineStr">
        <is>
          <t>Waiting for Input</t>
        </is>
      </c>
      <c r="J609" s="29">
        <f>MATCH(I609, {"Waiting for Input","Analyzing Object","Found Object","Needs Help","Confused","None"}, 0) - 1</f>
        <v/>
      </c>
      <c r="K609" s="29" t="n">
        <v>4</v>
      </c>
      <c r="L609" s="29">
        <f>IF(H609=J609, 1, 0)</f>
        <v/>
      </c>
    </row>
    <row r="610">
      <c r="D610" s="29" t="n">
        <v>585</v>
      </c>
      <c r="E610" s="29" t="inlineStr">
        <is>
          <t>2</t>
        </is>
      </c>
      <c r="F610" s="30" t="inlineStr">
        <is>
          <t>GPT4</t>
        </is>
      </c>
      <c r="G610" s="29" t="inlineStr">
        <is>
          <t>Needs Help</t>
        </is>
      </c>
      <c r="H610" s="29">
        <f>MATCH(G610, {"Waiting for Input","Analyzing Object","Found Object","Needs Help","Confused","None"}, 0) - 1</f>
        <v/>
      </c>
      <c r="I610" s="31" t="inlineStr">
        <is>
          <t>Needs Help</t>
        </is>
      </c>
      <c r="J610" s="29">
        <f>MATCH(I610, {"Waiting for Input","Analyzing Object","Found Object","Needs Help","Confused","None"}, 0) - 1</f>
        <v/>
      </c>
      <c r="K610" s="29" t="n">
        <v>3</v>
      </c>
      <c r="L610" s="29">
        <f>IF(H610=J610, 1, 0)</f>
        <v/>
      </c>
    </row>
    <row r="611">
      <c r="D611" s="29" t="n">
        <v>586</v>
      </c>
      <c r="E611" s="29" t="inlineStr">
        <is>
          <t>2</t>
        </is>
      </c>
      <c r="F611" s="30" t="inlineStr">
        <is>
          <t>GPT4</t>
        </is>
      </c>
      <c r="G611" s="29" t="inlineStr">
        <is>
          <t>Needs Help</t>
        </is>
      </c>
      <c r="H611" s="29">
        <f>MATCH(G611, {"Waiting for Input","Analyzing Object","Found Object","Needs Help","Confused","None"}, 0) - 1</f>
        <v/>
      </c>
      <c r="I611" s="31" t="inlineStr">
        <is>
          <t>Needs Help</t>
        </is>
      </c>
      <c r="J611" s="29">
        <f>MATCH(I611, {"Waiting for Input","Analyzing Object","Found Object","Needs Help","Confused","None"}, 0) - 1</f>
        <v/>
      </c>
      <c r="K611" s="29" t="n">
        <v>3</v>
      </c>
      <c r="L611" s="29">
        <f>IF(H611=J611, 1, 0)</f>
        <v/>
      </c>
    </row>
    <row r="612">
      <c r="D612" s="29" t="n">
        <v>587</v>
      </c>
      <c r="E612" s="29" t="inlineStr">
        <is>
          <t>2</t>
        </is>
      </c>
      <c r="F612" s="30" t="inlineStr">
        <is>
          <t>GPT4</t>
        </is>
      </c>
      <c r="G612" s="29" t="inlineStr">
        <is>
          <t>Needs Help</t>
        </is>
      </c>
      <c r="H612" s="29">
        <f>MATCH(G612, {"Waiting for Input","Analyzing Object","Found Object","Needs Help","Confused","None"}, 0) - 1</f>
        <v/>
      </c>
      <c r="I612" s="31" t="inlineStr">
        <is>
          <t>Analyzing Object</t>
        </is>
      </c>
      <c r="J612" s="29">
        <f>MATCH(I612, {"Waiting for Input","Analyzing Object","Found Object","Needs Help","Confused","None"}, 0) - 1</f>
        <v/>
      </c>
      <c r="K612" s="29" t="n">
        <v>2</v>
      </c>
      <c r="L612" s="29">
        <f>IF(H612=J612, 1, 0)</f>
        <v/>
      </c>
    </row>
    <row r="613">
      <c r="D613" s="29" t="n">
        <v>588</v>
      </c>
      <c r="E613" s="29" t="inlineStr">
        <is>
          <t>2</t>
        </is>
      </c>
      <c r="F613" s="30" t="inlineStr">
        <is>
          <t>GPT4</t>
        </is>
      </c>
      <c r="G613" s="29" t="inlineStr">
        <is>
          <t>Needs Help</t>
        </is>
      </c>
      <c r="H613" s="29">
        <f>MATCH(G613, {"Waiting for Input","Analyzing Object","Found Object","Needs Help","Confused","None"}, 0) - 1</f>
        <v/>
      </c>
      <c r="I613" s="31" t="inlineStr">
        <is>
          <t>Waiting for Input</t>
        </is>
      </c>
      <c r="J613" s="29">
        <f>MATCH(I613, {"Waiting for Input","Analyzing Object","Found Object","Needs Help","Confused","None"}, 0) - 1</f>
        <v/>
      </c>
      <c r="K613" s="29" t="n">
        <v>2</v>
      </c>
      <c r="L613" s="29">
        <f>IF(H613=J613, 1, 0)</f>
        <v/>
      </c>
    </row>
    <row r="614">
      <c r="D614" s="29" t="n">
        <v>589</v>
      </c>
      <c r="E614" s="29" t="inlineStr">
        <is>
          <t>2</t>
        </is>
      </c>
      <c r="F614" s="30" t="inlineStr">
        <is>
          <t>GPT4</t>
        </is>
      </c>
      <c r="G614" s="29" t="inlineStr">
        <is>
          <t>Needs Help</t>
        </is>
      </c>
      <c r="H614" s="29">
        <f>MATCH(G614, {"Waiting for Input","Analyzing Object","Found Object","Needs Help","Confused","None"}, 0) - 1</f>
        <v/>
      </c>
      <c r="I614" s="31" t="inlineStr">
        <is>
          <t>Confused</t>
        </is>
      </c>
      <c r="J614" s="29">
        <f>MATCH(I614, {"Waiting for Input","Analyzing Object","Found Object","Needs Help","Confused","None"}, 0) - 1</f>
        <v/>
      </c>
      <c r="K614" s="29" t="n">
        <v>3</v>
      </c>
      <c r="L614" s="29">
        <f>IF(H614=J614, 1, 0)</f>
        <v/>
      </c>
    </row>
    <row r="615">
      <c r="D615" s="29" t="n">
        <v>590</v>
      </c>
      <c r="E615" s="29" t="inlineStr">
        <is>
          <t>2</t>
        </is>
      </c>
      <c r="F615" s="30" t="inlineStr">
        <is>
          <t>GPT4</t>
        </is>
      </c>
      <c r="G615" s="29" t="inlineStr">
        <is>
          <t>Needs Help</t>
        </is>
      </c>
      <c r="H615" s="29">
        <f>MATCH(G615, {"Waiting for Input","Analyzing Object","Found Object","Needs Help","Confused","None"}, 0) - 1</f>
        <v/>
      </c>
      <c r="I615" s="31" t="inlineStr">
        <is>
          <t>None</t>
        </is>
      </c>
      <c r="J615" s="29">
        <f>MATCH(I615, {"Waiting for Input","Analyzing Object","Found Object","Needs Help","Confused","None"}, 0) - 1</f>
        <v/>
      </c>
      <c r="K615" s="29" t="n">
        <v>3</v>
      </c>
      <c r="L615" s="29">
        <f>IF(H615=J615, 1, 0)</f>
        <v/>
      </c>
    </row>
    <row r="616">
      <c r="D616" s="29" t="n">
        <v>591</v>
      </c>
      <c r="E616" s="29" t="inlineStr">
        <is>
          <t>1</t>
        </is>
      </c>
      <c r="F616" s="30" t="inlineStr">
        <is>
          <t>GPT4</t>
        </is>
      </c>
      <c r="G616" s="29" t="inlineStr">
        <is>
          <t>Needs Help</t>
        </is>
      </c>
      <c r="H616" s="29">
        <f>MATCH(G616, {"Waiting for Input","Analyzing Object","Found Object","Needs Help","Confused","None"}, 0) - 1</f>
        <v/>
      </c>
      <c r="I616" s="31" t="inlineStr">
        <is>
          <t>Analyzing Object</t>
        </is>
      </c>
      <c r="J616" s="29">
        <f>MATCH(I616, {"Waiting for Input","Analyzing Object","Found Object","Needs Help","Confused","None"}, 0) - 1</f>
        <v/>
      </c>
      <c r="K616" s="29" t="n">
        <v>4</v>
      </c>
      <c r="L616" s="29">
        <f>IF(H616=J616, 1, 0)</f>
        <v/>
      </c>
    </row>
    <row r="617">
      <c r="D617" s="29" t="n">
        <v>592</v>
      </c>
      <c r="E617" s="29" t="inlineStr">
        <is>
          <t>2</t>
        </is>
      </c>
      <c r="F617" s="30" t="inlineStr">
        <is>
          <t>GPT4</t>
        </is>
      </c>
      <c r="G617" s="29" t="inlineStr">
        <is>
          <t>Needs Help</t>
        </is>
      </c>
      <c r="H617" s="29">
        <f>MATCH(G617, {"Waiting for Input","Analyzing Object","Found Object","Needs Help","Confused","None"}, 0) - 1</f>
        <v/>
      </c>
      <c r="I617" s="31" t="inlineStr">
        <is>
          <t>Analyzing Object</t>
        </is>
      </c>
      <c r="J617" s="29">
        <f>MATCH(I617, {"Waiting for Input","Analyzing Object","Found Object","Needs Help","Confused","None"}, 0) - 1</f>
        <v/>
      </c>
      <c r="K617" s="29" t="n">
        <v>4</v>
      </c>
      <c r="L617" s="29">
        <f>IF(H617=J617, 1, 0)</f>
        <v/>
      </c>
    </row>
    <row r="618">
      <c r="D618" s="29" t="n">
        <v>593</v>
      </c>
      <c r="E618" s="29" t="inlineStr">
        <is>
          <t>2</t>
        </is>
      </c>
      <c r="F618" s="30" t="inlineStr">
        <is>
          <t>GPT4</t>
        </is>
      </c>
      <c r="G618" s="29" t="inlineStr">
        <is>
          <t>Needs Help</t>
        </is>
      </c>
      <c r="H618" s="29">
        <f>MATCH(G618, {"Waiting for Input","Analyzing Object","Found Object","Needs Help","Confused","None"}, 0) - 1</f>
        <v/>
      </c>
      <c r="I618" s="31" t="inlineStr">
        <is>
          <t>Analyzing Object</t>
        </is>
      </c>
      <c r="J618" s="29">
        <f>MATCH(I618, {"Waiting for Input","Analyzing Object","Found Object","Needs Help","Confused","None"}, 0) - 1</f>
        <v/>
      </c>
      <c r="K618" s="29" t="n">
        <v>3</v>
      </c>
      <c r="L618" s="29">
        <f>IF(H618=J618, 1, 0)</f>
        <v/>
      </c>
    </row>
    <row r="619">
      <c r="D619" s="29" t="n">
        <v>594</v>
      </c>
      <c r="E619" s="29" t="inlineStr">
        <is>
          <t>1</t>
        </is>
      </c>
      <c r="F619" s="30" t="inlineStr">
        <is>
          <t>GPT4</t>
        </is>
      </c>
      <c r="G619" s="29" t="inlineStr">
        <is>
          <t>Needs Help</t>
        </is>
      </c>
      <c r="H619" s="29">
        <f>MATCH(G619, {"Waiting for Input","Analyzing Object","Found Object","Needs Help","Confused","None"}, 0) - 1</f>
        <v/>
      </c>
      <c r="I619" s="31" t="inlineStr">
        <is>
          <t>Needs Help</t>
        </is>
      </c>
      <c r="J619" s="29">
        <f>MATCH(I619, {"Waiting for Input","Analyzing Object","Found Object","Needs Help","Confused","None"}, 0) - 1</f>
        <v/>
      </c>
      <c r="K619" s="29" t="n">
        <v>2</v>
      </c>
      <c r="L619" s="29">
        <f>IF(H619=J619, 1, 0)</f>
        <v/>
      </c>
    </row>
    <row r="620">
      <c r="D620" s="29" t="n">
        <v>595</v>
      </c>
      <c r="E620" s="29" t="inlineStr">
        <is>
          <t>2</t>
        </is>
      </c>
      <c r="F620" s="30" t="inlineStr">
        <is>
          <t>GPT4</t>
        </is>
      </c>
      <c r="G620" s="29" t="inlineStr">
        <is>
          <t>Needs Help</t>
        </is>
      </c>
      <c r="H620" s="29">
        <f>MATCH(G620, {"Waiting for Input","Analyzing Object","Found Object","Needs Help","Confused","None"}, 0) - 1</f>
        <v/>
      </c>
      <c r="I620" s="31" t="inlineStr">
        <is>
          <t>Needs Help</t>
        </is>
      </c>
      <c r="J620" s="29">
        <f>MATCH(I620, {"Waiting for Input","Analyzing Object","Found Object","Needs Help","Confused","None"}, 0) - 1</f>
        <v/>
      </c>
      <c r="K620" s="29" t="n">
        <v>2</v>
      </c>
      <c r="L620" s="29">
        <f>IF(H620=J620, 1, 0)</f>
        <v/>
      </c>
    </row>
    <row r="621">
      <c r="D621" s="29" t="n">
        <v>596</v>
      </c>
      <c r="E621" s="29" t="inlineStr">
        <is>
          <t>2</t>
        </is>
      </c>
      <c r="F621" s="30" t="inlineStr">
        <is>
          <t>GPT4</t>
        </is>
      </c>
      <c r="G621" s="29" t="inlineStr">
        <is>
          <t>Needs Help</t>
        </is>
      </c>
      <c r="H621" s="29">
        <f>MATCH(G621, {"Waiting for Input","Analyzing Object","Found Object","Needs Help","Confused","None"}, 0) - 1</f>
        <v/>
      </c>
      <c r="I621" s="31" t="inlineStr">
        <is>
          <t>Needs Help</t>
        </is>
      </c>
      <c r="J621" s="29">
        <f>MATCH(I621, {"Waiting for Input","Analyzing Object","Found Object","Needs Help","Confused","None"}, 0) - 1</f>
        <v/>
      </c>
      <c r="K621" s="29" t="n">
        <v>3</v>
      </c>
      <c r="L621" s="29">
        <f>IF(H621=J621, 1, 0)</f>
        <v/>
      </c>
    </row>
    <row r="622">
      <c r="D622" s="29" t="n">
        <v>597</v>
      </c>
      <c r="E622" s="29" t="inlineStr">
        <is>
          <t>2</t>
        </is>
      </c>
      <c r="F622" s="30" t="inlineStr">
        <is>
          <t>GPT4</t>
        </is>
      </c>
      <c r="G622" s="29" t="inlineStr">
        <is>
          <t>Needs Help</t>
        </is>
      </c>
      <c r="H622" s="29">
        <f>MATCH(G622, {"Waiting for Input","Analyzing Object","Found Object","Needs Help","Confused","None"}, 0) - 1</f>
        <v/>
      </c>
      <c r="I622" s="31" t="inlineStr">
        <is>
          <t>Needs Help</t>
        </is>
      </c>
      <c r="J622" s="29">
        <f>MATCH(I622, {"Waiting for Input","Analyzing Object","Found Object","Needs Help","Confused","None"}, 0) - 1</f>
        <v/>
      </c>
      <c r="K622" s="29" t="n">
        <v>2</v>
      </c>
      <c r="L622" s="29">
        <f>IF(H622=J622, 1, 0)</f>
        <v/>
      </c>
    </row>
    <row r="623">
      <c r="D623" s="29" t="n">
        <v>598</v>
      </c>
      <c r="E623" s="29" t="inlineStr">
        <is>
          <t>1</t>
        </is>
      </c>
      <c r="F623" s="30" t="inlineStr">
        <is>
          <t>GPT4</t>
        </is>
      </c>
      <c r="G623" s="29" t="inlineStr">
        <is>
          <t>Needs Help</t>
        </is>
      </c>
      <c r="H623" s="29">
        <f>MATCH(G623, {"Waiting for Input","Analyzing Object","Found Object","Needs Help","Confused","None"}, 0) - 1</f>
        <v/>
      </c>
      <c r="I623" s="31" t="inlineStr">
        <is>
          <t>Found Object</t>
        </is>
      </c>
      <c r="J623" s="29">
        <f>MATCH(I623, {"Waiting for Input","Analyzing Object","Found Object","Needs Help","Confused","None"}, 0) - 1</f>
        <v/>
      </c>
      <c r="K623" s="29" t="n">
        <v>5</v>
      </c>
      <c r="L623" s="29">
        <f>IF(H623=J623, 1, 0)</f>
        <v/>
      </c>
    </row>
    <row r="624">
      <c r="D624" s="29" t="n">
        <v>599</v>
      </c>
      <c r="E624" s="29" t="inlineStr">
        <is>
          <t>2</t>
        </is>
      </c>
      <c r="F624" s="30" t="inlineStr">
        <is>
          <t>GPT4</t>
        </is>
      </c>
      <c r="G624" s="29" t="inlineStr">
        <is>
          <t>Needs Help</t>
        </is>
      </c>
      <c r="H624" s="29">
        <f>MATCH(G624, {"Waiting for Input","Analyzing Object","Found Object","Needs Help","Confused","None"}, 0) - 1</f>
        <v/>
      </c>
      <c r="I624" s="31" t="inlineStr">
        <is>
          <t>Needs Help</t>
        </is>
      </c>
      <c r="J624" s="29">
        <f>MATCH(I624, {"Waiting for Input","Analyzing Object","Found Object","Needs Help","Confused","None"}, 0) - 1</f>
        <v/>
      </c>
      <c r="K624" s="29" t="n">
        <v>3</v>
      </c>
      <c r="L624" s="29">
        <f>IF(H624=J624, 1, 0)</f>
        <v/>
      </c>
    </row>
    <row r="625">
      <c r="D625" s="29" t="n">
        <v>600</v>
      </c>
      <c r="E625" s="29" t="inlineStr">
        <is>
          <t>1</t>
        </is>
      </c>
      <c r="F625" s="30" t="inlineStr">
        <is>
          <t>Human</t>
        </is>
      </c>
      <c r="G625" s="29" t="inlineStr">
        <is>
          <t>Needs Help</t>
        </is>
      </c>
      <c r="H625" s="29">
        <f>MATCH(G625, {"Waiting for Input","Analyzing Object","Found Object","Needs Help","Confused","None"}, 0) - 1</f>
        <v/>
      </c>
      <c r="I625" s="31" t="inlineStr">
        <is>
          <t>Waiting for Input</t>
        </is>
      </c>
      <c r="J625" s="29">
        <f>MATCH(I625, {"Waiting for Input","Analyzing Object","Found Object","Needs Help","Confused","None"}, 0) - 1</f>
        <v/>
      </c>
      <c r="K625" s="29" t="n">
        <v>2</v>
      </c>
      <c r="L625" s="29">
        <f>IF(H625=J625, 1, 0)</f>
        <v/>
      </c>
    </row>
    <row r="626">
      <c r="D626" s="29" t="n">
        <v>601</v>
      </c>
      <c r="E626" s="29" t="inlineStr">
        <is>
          <t>1</t>
        </is>
      </c>
      <c r="F626" s="30" t="inlineStr">
        <is>
          <t>Human</t>
        </is>
      </c>
      <c r="G626" s="29" t="inlineStr">
        <is>
          <t>Needs Help</t>
        </is>
      </c>
      <c r="H626" s="29">
        <f>MATCH(G626, {"Waiting for Input","Analyzing Object","Found Object","Needs Help","Confused","None"}, 0) - 1</f>
        <v/>
      </c>
      <c r="I626" s="31" t="inlineStr">
        <is>
          <t>Found Object</t>
        </is>
      </c>
      <c r="J626" s="29">
        <f>MATCH(I626, {"Waiting for Input","Analyzing Object","Found Object","Needs Help","Confused","None"}, 0) - 1</f>
        <v/>
      </c>
      <c r="K626" s="29" t="n">
        <v>4</v>
      </c>
      <c r="L626" s="29">
        <f>IF(H626=J626, 1, 0)</f>
        <v/>
      </c>
    </row>
    <row r="627">
      <c r="D627" s="29" t="n">
        <v>602</v>
      </c>
      <c r="E627" s="29" t="inlineStr">
        <is>
          <t>1</t>
        </is>
      </c>
      <c r="F627" s="30" t="inlineStr">
        <is>
          <t>Human</t>
        </is>
      </c>
      <c r="G627" s="29" t="inlineStr">
        <is>
          <t>Needs Help</t>
        </is>
      </c>
      <c r="H627" s="29">
        <f>MATCH(G627, {"Waiting for Input","Analyzing Object","Found Object","Needs Help","Confused","None"}, 0) - 1</f>
        <v/>
      </c>
      <c r="I627" s="31" t="inlineStr">
        <is>
          <t>Confused</t>
        </is>
      </c>
      <c r="J627" s="29">
        <f>MATCH(I627, {"Waiting for Input","Analyzing Object","Found Object","Needs Help","Confused","None"}, 0) - 1</f>
        <v/>
      </c>
      <c r="K627" s="29" t="n">
        <v>1</v>
      </c>
      <c r="L627" s="29">
        <f>IF(H627=J627, 1, 0)</f>
        <v/>
      </c>
    </row>
    <row r="628">
      <c r="D628" s="29" t="n">
        <v>603</v>
      </c>
      <c r="E628" s="29" t="inlineStr">
        <is>
          <t>2</t>
        </is>
      </c>
      <c r="F628" s="30" t="inlineStr">
        <is>
          <t>Human</t>
        </is>
      </c>
      <c r="G628" s="29" t="inlineStr">
        <is>
          <t>Needs Help</t>
        </is>
      </c>
      <c r="H628" s="29">
        <f>MATCH(G628, {"Waiting for Input","Analyzing Object","Found Object","Needs Help","Confused","None"}, 0) - 1</f>
        <v/>
      </c>
      <c r="I628" s="31" t="inlineStr">
        <is>
          <t>Analyzing Object</t>
        </is>
      </c>
      <c r="J628" s="29">
        <f>MATCH(I628, {"Waiting for Input","Analyzing Object","Found Object","Needs Help","Confused","None"}, 0) - 1</f>
        <v/>
      </c>
      <c r="K628" s="29" t="n">
        <v>3</v>
      </c>
      <c r="L628" s="29">
        <f>IF(H628=J628, 1, 0)</f>
        <v/>
      </c>
    </row>
    <row r="629">
      <c r="D629" s="29" t="n">
        <v>604</v>
      </c>
      <c r="E629" s="29" t="inlineStr">
        <is>
          <t>2</t>
        </is>
      </c>
      <c r="F629" s="30" t="inlineStr">
        <is>
          <t>Human</t>
        </is>
      </c>
      <c r="G629" s="29" t="inlineStr">
        <is>
          <t>Needs Help</t>
        </is>
      </c>
      <c r="H629" s="29">
        <f>MATCH(G629, {"Waiting for Input","Analyzing Object","Found Object","Needs Help","Confused","None"}, 0) - 1</f>
        <v/>
      </c>
      <c r="I629" s="31" t="inlineStr">
        <is>
          <t>Waiting for Input</t>
        </is>
      </c>
      <c r="J629" s="29">
        <f>MATCH(I629, {"Waiting for Input","Analyzing Object","Found Object","Needs Help","Confused","None"}, 0) - 1</f>
        <v/>
      </c>
      <c r="K629" s="29" t="n">
        <v>3</v>
      </c>
      <c r="L629" s="29">
        <f>IF(H629=J629, 1, 0)</f>
        <v/>
      </c>
    </row>
    <row r="630">
      <c r="D630" s="29" t="n">
        <v>605</v>
      </c>
      <c r="E630" s="29" t="inlineStr">
        <is>
          <t>1</t>
        </is>
      </c>
      <c r="F630" s="30" t="inlineStr">
        <is>
          <t>Human</t>
        </is>
      </c>
      <c r="G630" s="29" t="inlineStr">
        <is>
          <t>Needs Help</t>
        </is>
      </c>
      <c r="H630" s="29">
        <f>MATCH(G630, {"Waiting for Input","Analyzing Object","Found Object","Needs Help","Confused","None"}, 0) - 1</f>
        <v/>
      </c>
      <c r="I630" s="31" t="inlineStr">
        <is>
          <t>Waiting for Input</t>
        </is>
      </c>
      <c r="J630" s="29">
        <f>MATCH(I630, {"Waiting for Input","Analyzing Object","Found Object","Needs Help","Confused","None"}, 0) - 1</f>
        <v/>
      </c>
      <c r="K630" s="29" t="n">
        <v>5</v>
      </c>
      <c r="L630" s="29">
        <f>IF(H630=J630, 1, 0)</f>
        <v/>
      </c>
    </row>
    <row r="631">
      <c r="D631" s="29" t="n">
        <v>606</v>
      </c>
      <c r="E631" s="29" t="inlineStr">
        <is>
          <t>2</t>
        </is>
      </c>
      <c r="F631" s="30" t="inlineStr">
        <is>
          <t>Human</t>
        </is>
      </c>
      <c r="G631" s="29" t="inlineStr">
        <is>
          <t>Needs Help</t>
        </is>
      </c>
      <c r="H631" s="29">
        <f>MATCH(G631, {"Waiting for Input","Analyzing Object","Found Object","Needs Help","Confused","None"}, 0) - 1</f>
        <v/>
      </c>
      <c r="I631" s="31" t="inlineStr">
        <is>
          <t>Needs Help</t>
        </is>
      </c>
      <c r="J631" s="29">
        <f>MATCH(I631, {"Waiting for Input","Analyzing Object","Found Object","Needs Help","Confused","None"}, 0) - 1</f>
        <v/>
      </c>
      <c r="K631" s="29" t="n">
        <v>3</v>
      </c>
      <c r="L631" s="29">
        <f>IF(H631=J631, 1, 0)</f>
        <v/>
      </c>
    </row>
    <row r="632">
      <c r="D632" s="29" t="n">
        <v>607</v>
      </c>
      <c r="E632" s="29" t="inlineStr">
        <is>
          <t>1</t>
        </is>
      </c>
      <c r="F632" s="30" t="inlineStr">
        <is>
          <t>Human</t>
        </is>
      </c>
      <c r="G632" s="29" t="inlineStr">
        <is>
          <t>Needs Help</t>
        </is>
      </c>
      <c r="H632" s="29">
        <f>MATCH(G632, {"Waiting for Input","Analyzing Object","Found Object","Needs Help","Confused","None"}, 0) - 1</f>
        <v/>
      </c>
      <c r="I632" s="31" t="inlineStr">
        <is>
          <t>Needs Help</t>
        </is>
      </c>
      <c r="J632" s="29">
        <f>MATCH(I632, {"Waiting for Input","Analyzing Object","Found Object","Needs Help","Confused","None"}, 0) - 1</f>
        <v/>
      </c>
      <c r="K632" s="29" t="n">
        <v>4</v>
      </c>
      <c r="L632" s="29">
        <f>IF(H632=J632, 1, 0)</f>
        <v/>
      </c>
    </row>
    <row r="633">
      <c r="D633" s="29" t="n">
        <v>608</v>
      </c>
      <c r="E633" s="29" t="inlineStr">
        <is>
          <t>1</t>
        </is>
      </c>
      <c r="F633" s="30" t="inlineStr">
        <is>
          <t>Human</t>
        </is>
      </c>
      <c r="G633" s="29" t="inlineStr">
        <is>
          <t>Needs Help</t>
        </is>
      </c>
      <c r="H633" s="29">
        <f>MATCH(G633, {"Waiting for Input","Analyzing Object","Found Object","Needs Help","Confused","None"}, 0) - 1</f>
        <v/>
      </c>
      <c r="I633" s="31" t="inlineStr">
        <is>
          <t>Waiting for Input</t>
        </is>
      </c>
      <c r="J633" s="29">
        <f>MATCH(I633, {"Waiting for Input","Analyzing Object","Found Object","Needs Help","Confused","None"}, 0) - 1</f>
        <v/>
      </c>
      <c r="K633" s="29" t="n">
        <v>3</v>
      </c>
      <c r="L633" s="29">
        <f>IF(H633=J633, 1, 0)</f>
        <v/>
      </c>
    </row>
    <row r="634">
      <c r="D634" s="29" t="n">
        <v>609</v>
      </c>
      <c r="E634" s="29" t="inlineStr">
        <is>
          <t>1</t>
        </is>
      </c>
      <c r="F634" s="30" t="inlineStr">
        <is>
          <t>Human</t>
        </is>
      </c>
      <c r="G634" s="29" t="inlineStr">
        <is>
          <t>Needs Help</t>
        </is>
      </c>
      <c r="H634" s="29">
        <f>MATCH(G634, {"Waiting for Input","Analyzing Object","Found Object","Needs Help","Confused","None"}, 0) - 1</f>
        <v/>
      </c>
      <c r="I634" s="31" t="inlineStr">
        <is>
          <t>Found Object</t>
        </is>
      </c>
      <c r="J634" s="29">
        <f>MATCH(I634, {"Waiting for Input","Analyzing Object","Found Object","Needs Help","Confused","None"}, 0) - 1</f>
        <v/>
      </c>
      <c r="K634" s="29" t="n">
        <v>2</v>
      </c>
      <c r="L634" s="29">
        <f>IF(H634=J634, 1, 0)</f>
        <v/>
      </c>
    </row>
    <row r="635">
      <c r="D635" s="29" t="n">
        <v>610</v>
      </c>
      <c r="E635" s="29" t="inlineStr">
        <is>
          <t>2</t>
        </is>
      </c>
      <c r="F635" s="30" t="inlineStr">
        <is>
          <t>Human</t>
        </is>
      </c>
      <c r="G635" s="29" t="inlineStr">
        <is>
          <t>Needs Help</t>
        </is>
      </c>
      <c r="H635" s="29">
        <f>MATCH(G635, {"Waiting for Input","Analyzing Object","Found Object","Needs Help","Confused","None"}, 0) - 1</f>
        <v/>
      </c>
      <c r="I635" s="31" t="inlineStr">
        <is>
          <t>Needs Help</t>
        </is>
      </c>
      <c r="J635" s="29">
        <f>MATCH(I635, {"Waiting for Input","Analyzing Object","Found Object","Needs Help","Confused","None"}, 0) - 1</f>
        <v/>
      </c>
      <c r="K635" s="29" t="n">
        <v>4</v>
      </c>
      <c r="L635" s="29">
        <f>IF(H635=J635, 1, 0)</f>
        <v/>
      </c>
    </row>
    <row r="636">
      <c r="D636" s="29" t="n">
        <v>611</v>
      </c>
      <c r="E636" s="29" t="inlineStr">
        <is>
          <t>2</t>
        </is>
      </c>
      <c r="F636" s="30" t="inlineStr">
        <is>
          <t>Human</t>
        </is>
      </c>
      <c r="G636" s="29" t="inlineStr">
        <is>
          <t>Needs Help</t>
        </is>
      </c>
      <c r="H636" s="29">
        <f>MATCH(G636, {"Waiting for Input","Analyzing Object","Found Object","Needs Help","Confused","None"}, 0) - 1</f>
        <v/>
      </c>
      <c r="I636" s="31" t="inlineStr">
        <is>
          <t>Confused</t>
        </is>
      </c>
      <c r="J636" s="29">
        <f>MATCH(I636, {"Waiting for Input","Analyzing Object","Found Object","Needs Help","Confused","None"}, 0) - 1</f>
        <v/>
      </c>
      <c r="K636" s="29" t="n">
        <v>4</v>
      </c>
      <c r="L636" s="29">
        <f>IF(H636=J636, 1, 0)</f>
        <v/>
      </c>
    </row>
    <row r="637">
      <c r="D637" s="29" t="n">
        <v>612</v>
      </c>
      <c r="E637" s="29" t="inlineStr">
        <is>
          <t>2</t>
        </is>
      </c>
      <c r="F637" s="30" t="inlineStr">
        <is>
          <t>Human</t>
        </is>
      </c>
      <c r="G637" s="29" t="inlineStr">
        <is>
          <t>Needs Help</t>
        </is>
      </c>
      <c r="H637" s="29">
        <f>MATCH(G637, {"Waiting for Input","Analyzing Object","Found Object","Needs Help","Confused","None"}, 0) - 1</f>
        <v/>
      </c>
      <c r="I637" s="31" t="inlineStr">
        <is>
          <t>Needs Help</t>
        </is>
      </c>
      <c r="J637" s="29">
        <f>MATCH(I637, {"Waiting for Input","Analyzing Object","Found Object","Needs Help","Confused","None"}, 0) - 1</f>
        <v/>
      </c>
      <c r="K637" s="29" t="n">
        <v>2</v>
      </c>
      <c r="L637" s="29">
        <f>IF(H637=J637, 1, 0)</f>
        <v/>
      </c>
    </row>
    <row r="638">
      <c r="D638" s="29" t="n">
        <v>613</v>
      </c>
      <c r="E638" s="29" t="inlineStr">
        <is>
          <t>2</t>
        </is>
      </c>
      <c r="F638" s="30" t="inlineStr">
        <is>
          <t>Human</t>
        </is>
      </c>
      <c r="G638" s="29" t="inlineStr">
        <is>
          <t>Needs Help</t>
        </is>
      </c>
      <c r="H638" s="29">
        <f>MATCH(G638, {"Waiting for Input","Analyzing Object","Found Object","Needs Help","Confused","None"}, 0) - 1</f>
        <v/>
      </c>
      <c r="I638" s="31" t="inlineStr">
        <is>
          <t>Waiting for Input</t>
        </is>
      </c>
      <c r="J638" s="29">
        <f>MATCH(I638, {"Waiting for Input","Analyzing Object","Found Object","Needs Help","Confused","None"}, 0) - 1</f>
        <v/>
      </c>
      <c r="K638" s="29" t="n">
        <v>4</v>
      </c>
      <c r="L638" s="29">
        <f>IF(H638=J638, 1, 0)</f>
        <v/>
      </c>
    </row>
    <row r="639">
      <c r="D639" s="29" t="n">
        <v>614</v>
      </c>
      <c r="E639" s="29" t="inlineStr">
        <is>
          <t>1</t>
        </is>
      </c>
      <c r="F639" s="30" t="inlineStr">
        <is>
          <t>Human</t>
        </is>
      </c>
      <c r="G639" s="29" t="inlineStr">
        <is>
          <t>Needs Help</t>
        </is>
      </c>
      <c r="H639" s="29">
        <f>MATCH(G639, {"Waiting for Input","Analyzing Object","Found Object","Needs Help","Confused","None"}, 0) - 1</f>
        <v/>
      </c>
      <c r="I639" s="31" t="inlineStr">
        <is>
          <t>Confused</t>
        </is>
      </c>
      <c r="J639" s="29">
        <f>MATCH(I639, {"Waiting for Input","Analyzing Object","Found Object","Needs Help","Confused","None"}, 0) - 1</f>
        <v/>
      </c>
      <c r="K639" s="29" t="n">
        <v>3</v>
      </c>
      <c r="L639" s="29">
        <f>IF(H639=J639, 1, 0)</f>
        <v/>
      </c>
    </row>
    <row r="640">
      <c r="D640" s="29" t="n">
        <v>615</v>
      </c>
      <c r="E640" s="29" t="inlineStr">
        <is>
          <t>1</t>
        </is>
      </c>
      <c r="F640" s="30" t="inlineStr">
        <is>
          <t>Human</t>
        </is>
      </c>
      <c r="G640" s="29" t="inlineStr">
        <is>
          <t>Needs Help</t>
        </is>
      </c>
      <c r="H640" s="29">
        <f>MATCH(G640, {"Waiting for Input","Analyzing Object","Found Object","Needs Help","Confused","None"}, 0) - 1</f>
        <v/>
      </c>
      <c r="I640" s="31" t="inlineStr">
        <is>
          <t>Waiting for Input</t>
        </is>
      </c>
      <c r="J640" s="29">
        <f>MATCH(I640, {"Waiting for Input","Analyzing Object","Found Object","Needs Help","Confused","None"}, 0) - 1</f>
        <v/>
      </c>
      <c r="K640" s="29" t="n">
        <v>3</v>
      </c>
      <c r="L640" s="29">
        <f>IF(H640=J640, 1, 0)</f>
        <v/>
      </c>
    </row>
    <row r="641">
      <c r="D641" s="29" t="n">
        <v>616</v>
      </c>
      <c r="E641" s="29" t="inlineStr">
        <is>
          <t>1</t>
        </is>
      </c>
      <c r="F641" s="30" t="inlineStr">
        <is>
          <t>Human</t>
        </is>
      </c>
      <c r="G641" s="29" t="inlineStr">
        <is>
          <t>Needs Help</t>
        </is>
      </c>
      <c r="H641" s="29">
        <f>MATCH(G641, {"Waiting for Input","Analyzing Object","Found Object","Needs Help","Confused","None"}, 0) - 1</f>
        <v/>
      </c>
      <c r="I641" s="31" t="inlineStr">
        <is>
          <t>Waiting for Input</t>
        </is>
      </c>
      <c r="J641" s="29">
        <f>MATCH(I641, {"Waiting for Input","Analyzing Object","Found Object","Needs Help","Confused","None"}, 0) - 1</f>
        <v/>
      </c>
      <c r="K641" s="29" t="n">
        <v>2</v>
      </c>
      <c r="L641" s="29">
        <f>IF(H641=J641, 1, 0)</f>
        <v/>
      </c>
    </row>
    <row r="642">
      <c r="D642" s="29" t="n">
        <v>617</v>
      </c>
      <c r="E642" s="29" t="inlineStr">
        <is>
          <t>2</t>
        </is>
      </c>
      <c r="F642" s="30" t="inlineStr">
        <is>
          <t>Human</t>
        </is>
      </c>
      <c r="G642" s="29" t="inlineStr">
        <is>
          <t>Needs Help</t>
        </is>
      </c>
      <c r="H642" s="29">
        <f>MATCH(G642, {"Waiting for Input","Analyzing Object","Found Object","Needs Help","Confused","None"}, 0) - 1</f>
        <v/>
      </c>
      <c r="I642" s="31" t="inlineStr">
        <is>
          <t>Waiting for Input</t>
        </is>
      </c>
      <c r="J642" s="29">
        <f>MATCH(I642, {"Waiting for Input","Analyzing Object","Found Object","Needs Help","Confused","None"}, 0) - 1</f>
        <v/>
      </c>
      <c r="K642" s="29" t="n">
        <v>2</v>
      </c>
      <c r="L642" s="29">
        <f>IF(H642=J642, 1, 0)</f>
        <v/>
      </c>
    </row>
    <row r="643">
      <c r="D643" s="29" t="n">
        <v>618</v>
      </c>
      <c r="E643" s="29" t="inlineStr">
        <is>
          <t>2</t>
        </is>
      </c>
      <c r="F643" s="30" t="inlineStr">
        <is>
          <t>Human</t>
        </is>
      </c>
      <c r="G643" s="29" t="inlineStr">
        <is>
          <t>Needs Help</t>
        </is>
      </c>
      <c r="H643" s="29">
        <f>MATCH(G643, {"Waiting for Input","Analyzing Object","Found Object","Needs Help","Confused","None"}, 0) - 1</f>
        <v/>
      </c>
      <c r="I643" s="31" t="inlineStr">
        <is>
          <t>Needs Help</t>
        </is>
      </c>
      <c r="J643" s="29">
        <f>MATCH(I643, {"Waiting for Input","Analyzing Object","Found Object","Needs Help","Confused","None"}, 0) - 1</f>
        <v/>
      </c>
      <c r="K643" s="29" t="n">
        <v>2</v>
      </c>
      <c r="L643" s="29">
        <f>IF(H643=J643, 1, 0)</f>
        <v/>
      </c>
    </row>
    <row r="644">
      <c r="D644" s="29" t="n">
        <v>619</v>
      </c>
      <c r="E644" s="29" t="inlineStr">
        <is>
          <t>1</t>
        </is>
      </c>
      <c r="F644" s="30" t="inlineStr">
        <is>
          <t>Human</t>
        </is>
      </c>
      <c r="G644" s="29" t="inlineStr">
        <is>
          <t>Needs Help</t>
        </is>
      </c>
      <c r="H644" s="29">
        <f>MATCH(G644, {"Waiting for Input","Analyzing Object","Found Object","Needs Help","Confused","None"}, 0) - 1</f>
        <v/>
      </c>
      <c r="I644" s="31" t="inlineStr">
        <is>
          <t>Waiting for Input</t>
        </is>
      </c>
      <c r="J644" s="29">
        <f>MATCH(I644, {"Waiting for Input","Analyzing Object","Found Object","Needs Help","Confused","None"}, 0) - 1</f>
        <v/>
      </c>
      <c r="K644" s="29" t="n">
        <v>4</v>
      </c>
      <c r="L644" s="29">
        <f>IF(H644=J644, 1, 0)</f>
        <v/>
      </c>
    </row>
    <row r="645">
      <c r="D645" s="29" t="n">
        <v>620</v>
      </c>
      <c r="E645" s="29" t="inlineStr">
        <is>
          <t>1</t>
        </is>
      </c>
      <c r="F645" s="30" t="inlineStr">
        <is>
          <t>Human</t>
        </is>
      </c>
      <c r="G645" s="29" t="inlineStr">
        <is>
          <t>Needs Help</t>
        </is>
      </c>
      <c r="H645" s="29">
        <f>MATCH(G645, {"Waiting for Input","Analyzing Object","Found Object","Needs Help","Confused","None"}, 0) - 1</f>
        <v/>
      </c>
      <c r="I645" s="31" t="inlineStr">
        <is>
          <t>Waiting for Input</t>
        </is>
      </c>
      <c r="J645" s="29">
        <f>MATCH(I645, {"Waiting for Input","Analyzing Object","Found Object","Needs Help","Confused","None"}, 0) - 1</f>
        <v/>
      </c>
      <c r="K645" s="29" t="n">
        <v>3</v>
      </c>
      <c r="L645" s="29">
        <f>IF(H645=J645, 1, 0)</f>
        <v/>
      </c>
    </row>
    <row r="646">
      <c r="D646" s="29" t="n">
        <v>621</v>
      </c>
      <c r="E646" s="29" t="inlineStr">
        <is>
          <t>2</t>
        </is>
      </c>
      <c r="F646" s="30" t="inlineStr">
        <is>
          <t>Human</t>
        </is>
      </c>
      <c r="G646" s="29" t="inlineStr">
        <is>
          <t>Needs Help</t>
        </is>
      </c>
      <c r="H646" s="29">
        <f>MATCH(G646, {"Waiting for Input","Analyzing Object","Found Object","Needs Help","Confused","None"}, 0) - 1</f>
        <v/>
      </c>
      <c r="I646" s="31" t="inlineStr">
        <is>
          <t>Needs Help</t>
        </is>
      </c>
      <c r="J646" s="29">
        <f>MATCH(I646, {"Waiting for Input","Analyzing Object","Found Object","Needs Help","Confused","None"}, 0) - 1</f>
        <v/>
      </c>
      <c r="K646" s="29" t="n">
        <v>2</v>
      </c>
      <c r="L646" s="29">
        <f>IF(H646=J646, 1, 0)</f>
        <v/>
      </c>
    </row>
    <row r="647">
      <c r="D647" s="29" t="n">
        <v>622</v>
      </c>
      <c r="E647" s="29" t="inlineStr">
        <is>
          <t>2</t>
        </is>
      </c>
      <c r="F647" s="30" t="inlineStr">
        <is>
          <t>Human</t>
        </is>
      </c>
      <c r="G647" s="29" t="inlineStr">
        <is>
          <t>Needs Help</t>
        </is>
      </c>
      <c r="H647" s="29">
        <f>MATCH(G647, {"Waiting for Input","Analyzing Object","Found Object","Needs Help","Confused","None"}, 0) - 1</f>
        <v/>
      </c>
      <c r="I647" s="31" t="inlineStr">
        <is>
          <t>Needs Help</t>
        </is>
      </c>
      <c r="J647" s="29">
        <f>MATCH(I647, {"Waiting for Input","Analyzing Object","Found Object","Needs Help","Confused","None"}, 0) - 1</f>
        <v/>
      </c>
      <c r="K647" s="29" t="n">
        <v>4</v>
      </c>
      <c r="L647" s="29">
        <f>IF(H647=J647, 1, 0)</f>
        <v/>
      </c>
    </row>
    <row r="648">
      <c r="D648" s="29" t="n">
        <v>623</v>
      </c>
      <c r="E648" s="29" t="inlineStr">
        <is>
          <t>1</t>
        </is>
      </c>
      <c r="F648" s="30" t="inlineStr">
        <is>
          <t>Human</t>
        </is>
      </c>
      <c r="G648" s="29" t="inlineStr">
        <is>
          <t>Needs Help</t>
        </is>
      </c>
      <c r="H648" s="29">
        <f>MATCH(G648, {"Waiting for Input","Analyzing Object","Found Object","Needs Help","Confused","None"}, 0) - 1</f>
        <v/>
      </c>
      <c r="I648" s="31" t="inlineStr">
        <is>
          <t>Waiting for Input</t>
        </is>
      </c>
      <c r="J648" s="29">
        <f>MATCH(I648, {"Waiting for Input","Analyzing Object","Found Object","Needs Help","Confused","None"}, 0) - 1</f>
        <v/>
      </c>
      <c r="K648" s="29" t="n">
        <v>2</v>
      </c>
      <c r="L648" s="29">
        <f>IF(H648=J648, 1, 0)</f>
        <v/>
      </c>
    </row>
    <row r="649">
      <c r="D649" s="29" t="n">
        <v>624</v>
      </c>
      <c r="E649" s="29" t="inlineStr">
        <is>
          <t>1</t>
        </is>
      </c>
      <c r="F649" s="30" t="inlineStr">
        <is>
          <t>Human</t>
        </is>
      </c>
      <c r="G649" s="29" t="inlineStr">
        <is>
          <t>Needs Help</t>
        </is>
      </c>
      <c r="H649" s="29">
        <f>MATCH(G649, {"Waiting for Input","Analyzing Object","Found Object","Needs Help","Confused","None"}, 0) - 1</f>
        <v/>
      </c>
      <c r="I649" s="31" t="inlineStr">
        <is>
          <t>Needs Help</t>
        </is>
      </c>
      <c r="J649" s="29">
        <f>MATCH(I649, {"Waiting for Input","Analyzing Object","Found Object","Needs Help","Confused","None"}, 0) - 1</f>
        <v/>
      </c>
      <c r="K649" s="29" t="n">
        <v>2</v>
      </c>
      <c r="L649" s="29">
        <f>IF(H649=J649, 1, 0)</f>
        <v/>
      </c>
    </row>
    <row r="650">
      <c r="D650" s="29" t="n">
        <v>625</v>
      </c>
      <c r="E650" s="29" t="inlineStr">
        <is>
          <t>2</t>
        </is>
      </c>
      <c r="F650" s="30" t="inlineStr">
        <is>
          <t>Human</t>
        </is>
      </c>
      <c r="G650" s="29" t="inlineStr">
        <is>
          <t>Needs Help</t>
        </is>
      </c>
      <c r="H650" s="29">
        <f>MATCH(G650, {"Waiting for Input","Analyzing Object","Found Object","Needs Help","Confused","None"}, 0) - 1</f>
        <v/>
      </c>
      <c r="I650" s="31" t="inlineStr">
        <is>
          <t>Waiting for Input</t>
        </is>
      </c>
      <c r="J650" s="29">
        <f>MATCH(I650, {"Waiting for Input","Analyzing Object","Found Object","Needs Help","Confused","None"}, 0) - 1</f>
        <v/>
      </c>
      <c r="K650" s="29" t="n">
        <v>2</v>
      </c>
      <c r="L650" s="29">
        <f>IF(H650=J650, 1, 0)</f>
        <v/>
      </c>
    </row>
    <row r="651">
      <c r="D651" s="29" t="n">
        <v>626</v>
      </c>
      <c r="E651" s="29" t="inlineStr">
        <is>
          <t>2</t>
        </is>
      </c>
      <c r="F651" s="30" t="inlineStr">
        <is>
          <t>Human</t>
        </is>
      </c>
      <c r="G651" s="29" t="inlineStr">
        <is>
          <t>Needs Help</t>
        </is>
      </c>
      <c r="H651" s="29">
        <f>MATCH(G651, {"Waiting for Input","Analyzing Object","Found Object","Needs Help","Confused","None"}, 0) - 1</f>
        <v/>
      </c>
      <c r="I651" s="31" t="inlineStr">
        <is>
          <t>Waiting for Input</t>
        </is>
      </c>
      <c r="J651" s="29">
        <f>MATCH(I651, {"Waiting for Input","Analyzing Object","Found Object","Needs Help","Confused","None"}, 0) - 1</f>
        <v/>
      </c>
      <c r="K651" s="29" t="n">
        <v>3</v>
      </c>
      <c r="L651" s="29">
        <f>IF(H651=J651, 1, 0)</f>
        <v/>
      </c>
    </row>
    <row r="652">
      <c r="D652" s="29" t="n">
        <v>627</v>
      </c>
      <c r="E652" s="29" t="inlineStr">
        <is>
          <t>2</t>
        </is>
      </c>
      <c r="F652" s="30" t="inlineStr">
        <is>
          <t>Human</t>
        </is>
      </c>
      <c r="G652" s="29" t="inlineStr">
        <is>
          <t>Needs Help</t>
        </is>
      </c>
      <c r="H652" s="29">
        <f>MATCH(G652, {"Waiting for Input","Analyzing Object","Found Object","Needs Help","Confused","None"}, 0) - 1</f>
        <v/>
      </c>
      <c r="I652" s="31" t="inlineStr">
        <is>
          <t>Found Object</t>
        </is>
      </c>
      <c r="J652" s="29">
        <f>MATCH(I652, {"Waiting for Input","Analyzing Object","Found Object","Needs Help","Confused","None"}, 0) - 1</f>
        <v/>
      </c>
      <c r="K652" s="29" t="n">
        <v>3</v>
      </c>
      <c r="L652" s="29">
        <f>IF(H652=J652, 1, 0)</f>
        <v/>
      </c>
    </row>
    <row r="653">
      <c r="D653" s="29" t="n">
        <v>628</v>
      </c>
      <c r="E653" s="29" t="inlineStr">
        <is>
          <t>2</t>
        </is>
      </c>
      <c r="F653" s="30" t="inlineStr">
        <is>
          <t>Human</t>
        </is>
      </c>
      <c r="G653" s="29" t="inlineStr">
        <is>
          <t>Needs Help</t>
        </is>
      </c>
      <c r="H653" s="29">
        <f>MATCH(G653, {"Waiting for Input","Analyzing Object","Found Object","Needs Help","Confused","None"}, 0) - 1</f>
        <v/>
      </c>
      <c r="I653" s="31" t="inlineStr">
        <is>
          <t>Waiting for Input</t>
        </is>
      </c>
      <c r="J653" s="29">
        <f>MATCH(I653, {"Waiting for Input","Analyzing Object","Found Object","Needs Help","Confused","None"}, 0) - 1</f>
        <v/>
      </c>
      <c r="K653" s="29" t="n">
        <v>4</v>
      </c>
      <c r="L653" s="29">
        <f>IF(H653=J653, 1, 0)</f>
        <v/>
      </c>
    </row>
    <row r="654">
      <c r="D654" s="29" t="n">
        <v>629</v>
      </c>
      <c r="E654" s="29" t="inlineStr">
        <is>
          <t>2</t>
        </is>
      </c>
      <c r="F654" s="30" t="inlineStr">
        <is>
          <t>Human</t>
        </is>
      </c>
      <c r="G654" s="29" t="inlineStr">
        <is>
          <t>Needs Help</t>
        </is>
      </c>
      <c r="H654" s="29">
        <f>MATCH(G654, {"Waiting for Input","Analyzing Object","Found Object","Needs Help","Confused","None"}, 0) - 1</f>
        <v/>
      </c>
      <c r="I654" s="31" t="inlineStr">
        <is>
          <t>Needs Help</t>
        </is>
      </c>
      <c r="J654" s="29">
        <f>MATCH(I654, {"Waiting for Input","Analyzing Object","Found Object","Needs Help","Confused","None"}, 0) - 1</f>
        <v/>
      </c>
      <c r="K654" s="29" t="n">
        <v>2</v>
      </c>
      <c r="L654" s="29">
        <f>IF(H654=J654, 1, 0)</f>
        <v/>
      </c>
    </row>
    <row r="655">
      <c r="D655" s="29" t="n">
        <v>630</v>
      </c>
      <c r="E655" s="29" t="inlineStr">
        <is>
          <t>2</t>
        </is>
      </c>
      <c r="F655" s="30" t="inlineStr">
        <is>
          <t>Human</t>
        </is>
      </c>
      <c r="G655" s="29" t="inlineStr">
        <is>
          <t>Needs Help</t>
        </is>
      </c>
      <c r="H655" s="29">
        <f>MATCH(G655, {"Waiting for Input","Analyzing Object","Found Object","Needs Help","Confused","None"}, 0) - 1</f>
        <v/>
      </c>
      <c r="I655" s="31" t="inlineStr">
        <is>
          <t>Confused</t>
        </is>
      </c>
      <c r="J655" s="29">
        <f>MATCH(I655, {"Waiting for Input","Analyzing Object","Found Object","Needs Help","Confused","None"}, 0) - 1</f>
        <v/>
      </c>
      <c r="K655" s="29" t="n">
        <v>4</v>
      </c>
      <c r="L655" s="29">
        <f>IF(H655=J655, 1, 0)</f>
        <v/>
      </c>
    </row>
    <row r="656">
      <c r="D656" s="29" t="n">
        <v>631</v>
      </c>
      <c r="E656" s="29" t="inlineStr">
        <is>
          <t>1</t>
        </is>
      </c>
      <c r="F656" s="30" t="inlineStr">
        <is>
          <t>Human</t>
        </is>
      </c>
      <c r="G656" s="29" t="inlineStr">
        <is>
          <t>Needs Help</t>
        </is>
      </c>
      <c r="H656" s="29">
        <f>MATCH(G656, {"Waiting for Input","Analyzing Object","Found Object","Needs Help","Confused","None"}, 0) - 1</f>
        <v/>
      </c>
      <c r="I656" s="31" t="inlineStr">
        <is>
          <t>Waiting for Input</t>
        </is>
      </c>
      <c r="J656" s="29">
        <f>MATCH(I656, {"Waiting for Input","Analyzing Object","Found Object","Needs Help","Confused","None"}, 0) - 1</f>
        <v/>
      </c>
      <c r="K656" s="29" t="n">
        <v>3</v>
      </c>
      <c r="L656" s="29">
        <f>IF(H656=J656, 1, 0)</f>
        <v/>
      </c>
    </row>
    <row r="657">
      <c r="D657" s="29" t="n">
        <v>632</v>
      </c>
      <c r="E657" s="29" t="inlineStr">
        <is>
          <t>2</t>
        </is>
      </c>
      <c r="F657" s="30" t="inlineStr">
        <is>
          <t>Human</t>
        </is>
      </c>
      <c r="G657" s="29" t="inlineStr">
        <is>
          <t>Needs Help</t>
        </is>
      </c>
      <c r="H657" s="29">
        <f>MATCH(G657, {"Waiting for Input","Analyzing Object","Found Object","Needs Help","Confused","None"}, 0) - 1</f>
        <v/>
      </c>
      <c r="I657" s="31" t="inlineStr">
        <is>
          <t>Waiting for Input</t>
        </is>
      </c>
      <c r="J657" s="29">
        <f>MATCH(I657, {"Waiting for Input","Analyzing Object","Found Object","Needs Help","Confused","None"}, 0) - 1</f>
        <v/>
      </c>
      <c r="K657" s="29" t="n">
        <v>3</v>
      </c>
      <c r="L657" s="29">
        <f>IF(H657=J657, 1, 0)</f>
        <v/>
      </c>
    </row>
    <row r="658">
      <c r="D658" s="29" t="n">
        <v>633</v>
      </c>
      <c r="E658" s="29" t="inlineStr">
        <is>
          <t>1</t>
        </is>
      </c>
      <c r="F658" s="30" t="inlineStr">
        <is>
          <t>Human</t>
        </is>
      </c>
      <c r="G658" s="29" t="inlineStr">
        <is>
          <t>Needs Help</t>
        </is>
      </c>
      <c r="H658" s="29">
        <f>MATCH(G658, {"Waiting for Input","Analyzing Object","Found Object","Needs Help","Confused","None"}, 0) - 1</f>
        <v/>
      </c>
      <c r="I658" s="31" t="inlineStr">
        <is>
          <t>Waiting for Input</t>
        </is>
      </c>
      <c r="J658" s="29">
        <f>MATCH(I658, {"Waiting for Input","Analyzing Object","Found Object","Needs Help","Confused","None"}, 0) - 1</f>
        <v/>
      </c>
      <c r="K658" s="29" t="n">
        <v>4</v>
      </c>
      <c r="L658" s="29">
        <f>IF(H658=J658, 1, 0)</f>
        <v/>
      </c>
    </row>
    <row r="659">
      <c r="D659" s="29" t="n">
        <v>634</v>
      </c>
      <c r="E659" s="29" t="inlineStr">
        <is>
          <t>1</t>
        </is>
      </c>
      <c r="F659" s="30" t="inlineStr">
        <is>
          <t>Human</t>
        </is>
      </c>
      <c r="G659" s="29" t="inlineStr">
        <is>
          <t>Needs Help</t>
        </is>
      </c>
      <c r="H659" s="29">
        <f>MATCH(G659, {"Waiting for Input","Analyzing Object","Found Object","Needs Help","Confused","None"}, 0) - 1</f>
        <v/>
      </c>
      <c r="I659" s="31" t="inlineStr">
        <is>
          <t>Confused</t>
        </is>
      </c>
      <c r="J659" s="29">
        <f>MATCH(I659, {"Waiting for Input","Analyzing Object","Found Object","Needs Help","Confused","None"}, 0) - 1</f>
        <v/>
      </c>
      <c r="K659" s="29" t="n">
        <v>2</v>
      </c>
      <c r="L659" s="29">
        <f>IF(H659=J659, 1, 0)</f>
        <v/>
      </c>
    </row>
    <row r="660">
      <c r="D660" s="29" t="n">
        <v>635</v>
      </c>
      <c r="E660" s="29" t="inlineStr">
        <is>
          <t>1</t>
        </is>
      </c>
      <c r="F660" s="30" t="inlineStr">
        <is>
          <t>Human</t>
        </is>
      </c>
      <c r="G660" s="29" t="inlineStr">
        <is>
          <t>Needs Help</t>
        </is>
      </c>
      <c r="H660" s="29">
        <f>MATCH(G660, {"Waiting for Input","Analyzing Object","Found Object","Needs Help","Confused","None"}, 0) - 1</f>
        <v/>
      </c>
      <c r="I660" s="31" t="inlineStr">
        <is>
          <t>Needs Help</t>
        </is>
      </c>
      <c r="J660" s="29">
        <f>MATCH(I660, {"Waiting for Input","Analyzing Object","Found Object","Needs Help","Confused","None"}, 0) - 1</f>
        <v/>
      </c>
      <c r="K660" s="29" t="n">
        <v>4</v>
      </c>
      <c r="L660" s="29">
        <f>IF(H660=J660, 1, 0)</f>
        <v/>
      </c>
    </row>
    <row r="661">
      <c r="D661" s="29" t="n">
        <v>636</v>
      </c>
      <c r="E661" s="29" t="inlineStr">
        <is>
          <t>2</t>
        </is>
      </c>
      <c r="F661" s="30" t="inlineStr">
        <is>
          <t>Human</t>
        </is>
      </c>
      <c r="G661" s="29" t="inlineStr">
        <is>
          <t>Needs Help</t>
        </is>
      </c>
      <c r="H661" s="29">
        <f>MATCH(G661, {"Waiting for Input","Analyzing Object","Found Object","Needs Help","Confused","None"}, 0) - 1</f>
        <v/>
      </c>
      <c r="I661" s="31" t="inlineStr">
        <is>
          <t>Confused</t>
        </is>
      </c>
      <c r="J661" s="29">
        <f>MATCH(I661, {"Waiting for Input","Analyzing Object","Found Object","Needs Help","Confused","None"}, 0) - 1</f>
        <v/>
      </c>
      <c r="K661" s="29" t="n">
        <v>2</v>
      </c>
      <c r="L661" s="29">
        <f>IF(H661=J661, 1, 0)</f>
        <v/>
      </c>
    </row>
    <row r="662">
      <c r="D662" s="29" t="n">
        <v>637</v>
      </c>
      <c r="E662" s="29" t="inlineStr">
        <is>
          <t>2</t>
        </is>
      </c>
      <c r="F662" s="30" t="inlineStr">
        <is>
          <t>Human</t>
        </is>
      </c>
      <c r="G662" s="29" t="inlineStr">
        <is>
          <t>Needs Help</t>
        </is>
      </c>
      <c r="H662" s="29">
        <f>MATCH(G662, {"Waiting for Input","Analyzing Object","Found Object","Needs Help","Confused","None"}, 0) - 1</f>
        <v/>
      </c>
      <c r="I662" s="31" t="inlineStr">
        <is>
          <t>Waiting for Input</t>
        </is>
      </c>
      <c r="J662" s="29">
        <f>MATCH(I662, {"Waiting for Input","Analyzing Object","Found Object","Needs Help","Confused","None"}, 0) - 1</f>
        <v/>
      </c>
      <c r="K662" s="29" t="n">
        <v>5</v>
      </c>
      <c r="L662" s="29">
        <f>IF(H662=J662, 1, 0)</f>
        <v/>
      </c>
    </row>
    <row r="663">
      <c r="D663" s="29" t="n">
        <v>638</v>
      </c>
      <c r="E663" s="29" t="inlineStr">
        <is>
          <t>1</t>
        </is>
      </c>
      <c r="F663" s="30" t="inlineStr">
        <is>
          <t>Human</t>
        </is>
      </c>
      <c r="G663" s="29" t="inlineStr">
        <is>
          <t>Needs Help</t>
        </is>
      </c>
      <c r="H663" s="29">
        <f>MATCH(G663, {"Waiting for Input","Analyzing Object","Found Object","Needs Help","Confused","None"}, 0) - 1</f>
        <v/>
      </c>
      <c r="I663" s="31" t="inlineStr">
        <is>
          <t>Waiting for Input</t>
        </is>
      </c>
      <c r="J663" s="29">
        <f>MATCH(I663, {"Waiting for Input","Analyzing Object","Found Object","Needs Help","Confused","None"}, 0) - 1</f>
        <v/>
      </c>
      <c r="K663" s="29" t="n">
        <v>2</v>
      </c>
      <c r="L663" s="29">
        <f>IF(H663=J663, 1, 0)</f>
        <v/>
      </c>
    </row>
    <row r="664">
      <c r="D664" s="29" t="n">
        <v>639</v>
      </c>
      <c r="E664" s="29" t="inlineStr">
        <is>
          <t>1</t>
        </is>
      </c>
      <c r="F664" s="30" t="inlineStr">
        <is>
          <t>Human</t>
        </is>
      </c>
      <c r="G664" s="29" t="inlineStr">
        <is>
          <t>Needs Help</t>
        </is>
      </c>
      <c r="H664" s="29">
        <f>MATCH(G664, {"Waiting for Input","Analyzing Object","Found Object","Needs Help","Confused","None"}, 0) - 1</f>
        <v/>
      </c>
      <c r="I664" s="31" t="inlineStr">
        <is>
          <t>Waiting for Input</t>
        </is>
      </c>
      <c r="J664" s="29">
        <f>MATCH(I664, {"Waiting for Input","Analyzing Object","Found Object","Needs Help","Confused","None"}, 0) - 1</f>
        <v/>
      </c>
      <c r="K664" s="29" t="n">
        <v>4</v>
      </c>
      <c r="L664" s="29">
        <f>IF(H664=J664, 1, 0)</f>
        <v/>
      </c>
    </row>
    <row r="665">
      <c r="D665" s="29" t="n">
        <v>640</v>
      </c>
      <c r="E665" s="29" t="inlineStr">
        <is>
          <t>1</t>
        </is>
      </c>
      <c r="F665" s="30" t="inlineStr">
        <is>
          <t>Human</t>
        </is>
      </c>
      <c r="G665" s="29" t="inlineStr">
        <is>
          <t>Needs Help</t>
        </is>
      </c>
      <c r="H665" s="29">
        <f>MATCH(G665, {"Waiting for Input","Analyzing Object","Found Object","Needs Help","Confused","None"}, 0) - 1</f>
        <v/>
      </c>
      <c r="I665" s="31" t="inlineStr">
        <is>
          <t>Waiting for Input</t>
        </is>
      </c>
      <c r="J665" s="29">
        <f>MATCH(I665, {"Waiting for Input","Analyzing Object","Found Object","Needs Help","Confused","None"}, 0) - 1</f>
        <v/>
      </c>
      <c r="K665" s="29" t="n">
        <v>4</v>
      </c>
      <c r="L665" s="29">
        <f>IF(H665=J665, 1, 0)</f>
        <v/>
      </c>
    </row>
    <row r="666">
      <c r="D666" s="29" t="n">
        <v>641</v>
      </c>
      <c r="E666" s="29" t="inlineStr">
        <is>
          <t>2</t>
        </is>
      </c>
      <c r="F666" s="30" t="inlineStr">
        <is>
          <t>Human</t>
        </is>
      </c>
      <c r="G666" s="29" t="inlineStr">
        <is>
          <t>Needs Help</t>
        </is>
      </c>
      <c r="H666" s="29">
        <f>MATCH(G666, {"Waiting for Input","Analyzing Object","Found Object","Needs Help","Confused","None"}, 0) - 1</f>
        <v/>
      </c>
      <c r="I666" s="31" t="inlineStr">
        <is>
          <t>Waiting for Input</t>
        </is>
      </c>
      <c r="J666" s="29">
        <f>MATCH(I666, {"Waiting for Input","Analyzing Object","Found Object","Needs Help","Confused","None"}, 0) - 1</f>
        <v/>
      </c>
      <c r="K666" s="29" t="n">
        <v>3</v>
      </c>
      <c r="L666" s="29">
        <f>IF(H666=J666, 1, 0)</f>
        <v/>
      </c>
    </row>
    <row r="667">
      <c r="D667" s="29" t="n">
        <v>642</v>
      </c>
      <c r="E667" s="29" t="inlineStr">
        <is>
          <t>2</t>
        </is>
      </c>
      <c r="F667" s="30" t="inlineStr">
        <is>
          <t>Human</t>
        </is>
      </c>
      <c r="G667" s="29" t="inlineStr">
        <is>
          <t>Needs Help</t>
        </is>
      </c>
      <c r="H667" s="29">
        <f>MATCH(G667, {"Waiting for Input","Analyzing Object","Found Object","Needs Help","Confused","None"}, 0) - 1</f>
        <v/>
      </c>
      <c r="I667" s="31" t="inlineStr">
        <is>
          <t>Analyzing Object</t>
        </is>
      </c>
      <c r="J667" s="29">
        <f>MATCH(I667, {"Waiting for Input","Analyzing Object","Found Object","Needs Help","Confused","None"}, 0) - 1</f>
        <v/>
      </c>
      <c r="K667" s="29" t="n">
        <v>2</v>
      </c>
      <c r="L667" s="29">
        <f>IF(H667=J667, 1, 0)</f>
        <v/>
      </c>
    </row>
    <row r="668">
      <c r="D668" s="29" t="n">
        <v>643</v>
      </c>
      <c r="E668" s="29" t="inlineStr">
        <is>
          <t>2</t>
        </is>
      </c>
      <c r="F668" s="30" t="inlineStr">
        <is>
          <t>Human</t>
        </is>
      </c>
      <c r="G668" s="29" t="inlineStr">
        <is>
          <t>Needs Help</t>
        </is>
      </c>
      <c r="H668" s="29">
        <f>MATCH(G668, {"Waiting for Input","Analyzing Object","Found Object","Needs Help","Confused","None"}, 0) - 1</f>
        <v/>
      </c>
      <c r="I668" s="31" t="inlineStr">
        <is>
          <t>Confused</t>
        </is>
      </c>
      <c r="J668" s="29">
        <f>MATCH(I668, {"Waiting for Input","Analyzing Object","Found Object","Needs Help","Confused","None"}, 0) - 1</f>
        <v/>
      </c>
      <c r="K668" s="29" t="n">
        <v>2</v>
      </c>
      <c r="L668" s="29">
        <f>IF(H668=J668, 1, 0)</f>
        <v/>
      </c>
    </row>
    <row r="669">
      <c r="D669" s="29" t="n">
        <v>644</v>
      </c>
      <c r="E669" s="29" t="inlineStr">
        <is>
          <t>2</t>
        </is>
      </c>
      <c r="F669" s="30" t="inlineStr">
        <is>
          <t>Human</t>
        </is>
      </c>
      <c r="G669" s="29" t="inlineStr">
        <is>
          <t>Needs Help</t>
        </is>
      </c>
      <c r="H669" s="29">
        <f>MATCH(G669, {"Waiting for Input","Analyzing Object","Found Object","Needs Help","Confused","None"}, 0) - 1</f>
        <v/>
      </c>
      <c r="I669" s="31" t="inlineStr">
        <is>
          <t>Waiting for Input</t>
        </is>
      </c>
      <c r="J669" s="29">
        <f>MATCH(I669, {"Waiting for Input","Analyzing Object","Found Object","Needs Help","Confused","None"}, 0) - 1</f>
        <v/>
      </c>
      <c r="K669" s="29" t="n">
        <v>4</v>
      </c>
      <c r="L669" s="29">
        <f>IF(H669=J669, 1, 0)</f>
        <v/>
      </c>
    </row>
    <row r="670">
      <c r="D670" s="29" t="n">
        <v>645</v>
      </c>
      <c r="E670" s="29" t="inlineStr">
        <is>
          <t>2</t>
        </is>
      </c>
      <c r="F670" s="30" t="inlineStr">
        <is>
          <t>Human</t>
        </is>
      </c>
      <c r="G670" s="29" t="inlineStr">
        <is>
          <t>Needs Help</t>
        </is>
      </c>
      <c r="H670" s="29">
        <f>MATCH(G670, {"Waiting for Input","Analyzing Object","Found Object","Needs Help","Confused","None"}, 0) - 1</f>
        <v/>
      </c>
      <c r="I670" s="31" t="inlineStr">
        <is>
          <t>Confused</t>
        </is>
      </c>
      <c r="J670" s="29">
        <f>MATCH(I670, {"Waiting for Input","Analyzing Object","Found Object","Needs Help","Confused","None"}, 0) - 1</f>
        <v/>
      </c>
      <c r="K670" s="29" t="n">
        <v>3</v>
      </c>
      <c r="L670" s="29">
        <f>IF(H670=J670, 1, 0)</f>
        <v/>
      </c>
    </row>
    <row r="671">
      <c r="D671" s="29" t="n">
        <v>646</v>
      </c>
      <c r="E671" s="29" t="inlineStr">
        <is>
          <t>2</t>
        </is>
      </c>
      <c r="F671" s="30" t="inlineStr">
        <is>
          <t>Human</t>
        </is>
      </c>
      <c r="G671" s="29" t="inlineStr">
        <is>
          <t>Needs Help</t>
        </is>
      </c>
      <c r="H671" s="29">
        <f>MATCH(G671, {"Waiting for Input","Analyzing Object","Found Object","Needs Help","Confused","None"}, 0) - 1</f>
        <v/>
      </c>
      <c r="I671" s="31" t="inlineStr">
        <is>
          <t>Waiting for Input</t>
        </is>
      </c>
      <c r="J671" s="29">
        <f>MATCH(I671, {"Waiting for Input","Analyzing Object","Found Object","Needs Help","Confused","None"}, 0) - 1</f>
        <v/>
      </c>
      <c r="K671" s="29" t="n">
        <v>3</v>
      </c>
      <c r="L671" s="29">
        <f>IF(H671=J671, 1, 0)</f>
        <v/>
      </c>
    </row>
    <row r="672">
      <c r="D672" s="29" t="n">
        <v>647</v>
      </c>
      <c r="E672" s="29" t="inlineStr">
        <is>
          <t>2</t>
        </is>
      </c>
      <c r="F672" s="30" t="inlineStr">
        <is>
          <t>Human</t>
        </is>
      </c>
      <c r="G672" s="29" t="inlineStr">
        <is>
          <t>Needs Help</t>
        </is>
      </c>
      <c r="H672" s="29">
        <f>MATCH(G672, {"Waiting for Input","Analyzing Object","Found Object","Needs Help","Confused","None"}, 0) - 1</f>
        <v/>
      </c>
      <c r="I672" s="31" t="inlineStr">
        <is>
          <t>Waiting for Input</t>
        </is>
      </c>
      <c r="J672" s="29">
        <f>MATCH(I672, {"Waiting for Input","Analyzing Object","Found Object","Needs Help","Confused","None"}, 0) - 1</f>
        <v/>
      </c>
      <c r="K672" s="29" t="n">
        <v>2</v>
      </c>
      <c r="L672" s="29">
        <f>IF(H672=J672, 1, 0)</f>
        <v/>
      </c>
    </row>
    <row r="673">
      <c r="D673" s="29" t="n">
        <v>648</v>
      </c>
      <c r="E673" s="29" t="inlineStr">
        <is>
          <t>2</t>
        </is>
      </c>
      <c r="F673" s="30" t="inlineStr">
        <is>
          <t>Human</t>
        </is>
      </c>
      <c r="G673" s="29" t="inlineStr">
        <is>
          <t>Needs Help</t>
        </is>
      </c>
      <c r="H673" s="29">
        <f>MATCH(G673, {"Waiting for Input","Analyzing Object","Found Object","Needs Help","Confused","None"}, 0) - 1</f>
        <v/>
      </c>
      <c r="I673" s="31" t="inlineStr">
        <is>
          <t>Waiting for Input</t>
        </is>
      </c>
      <c r="J673" s="29">
        <f>MATCH(I673, {"Waiting for Input","Analyzing Object","Found Object","Needs Help","Confused","None"}, 0) - 1</f>
        <v/>
      </c>
      <c r="K673" s="29" t="n">
        <v>5</v>
      </c>
      <c r="L673" s="29">
        <f>IF(H673=J673, 1, 0)</f>
        <v/>
      </c>
    </row>
    <row r="674">
      <c r="D674" s="29" t="n">
        <v>649</v>
      </c>
      <c r="E674" s="29" t="inlineStr">
        <is>
          <t>2</t>
        </is>
      </c>
      <c r="F674" s="30" t="inlineStr">
        <is>
          <t>Human</t>
        </is>
      </c>
      <c r="G674" s="29" t="inlineStr">
        <is>
          <t>Needs Help</t>
        </is>
      </c>
      <c r="H674" s="29">
        <f>MATCH(G674, {"Waiting for Input","Analyzing Object","Found Object","Needs Help","Confused","None"}, 0) - 1</f>
        <v/>
      </c>
      <c r="I674" s="31" t="inlineStr">
        <is>
          <t>Waiting for Input</t>
        </is>
      </c>
      <c r="J674" s="29">
        <f>MATCH(I674, {"Waiting for Input","Analyzing Object","Found Object","Needs Help","Confused","None"}, 0) - 1</f>
        <v/>
      </c>
      <c r="K674" s="29" t="n">
        <v>2</v>
      </c>
      <c r="L674" s="29">
        <f>IF(H674=J674, 1, 0)</f>
        <v/>
      </c>
    </row>
    <row r="675">
      <c r="D675" s="29" t="n">
        <v>650</v>
      </c>
      <c r="E675" s="29" t="inlineStr">
        <is>
          <t>2</t>
        </is>
      </c>
      <c r="F675" s="30" t="inlineStr">
        <is>
          <t>Human</t>
        </is>
      </c>
      <c r="G675" s="29" t="inlineStr">
        <is>
          <t>Needs Help</t>
        </is>
      </c>
      <c r="H675" s="29">
        <f>MATCH(G675, {"Waiting for Input","Analyzing Object","Found Object","Needs Help","Confused","None"}, 0) - 1</f>
        <v/>
      </c>
      <c r="I675" s="31" t="inlineStr">
        <is>
          <t>Waiting for Input</t>
        </is>
      </c>
      <c r="J675" s="29">
        <f>MATCH(I675, {"Waiting for Input","Analyzing Object","Found Object","Needs Help","Confused","None"}, 0) - 1</f>
        <v/>
      </c>
      <c r="K675" s="29" t="n">
        <v>3</v>
      </c>
      <c r="L675" s="29">
        <f>IF(H675=J675, 1, 0)</f>
        <v/>
      </c>
    </row>
    <row r="676">
      <c r="D676" s="29" t="n">
        <v>651</v>
      </c>
      <c r="E676" s="29" t="inlineStr">
        <is>
          <t>1</t>
        </is>
      </c>
      <c r="F676" s="30" t="inlineStr">
        <is>
          <t>Human</t>
        </is>
      </c>
      <c r="G676" s="29" t="inlineStr">
        <is>
          <t>Needs Help</t>
        </is>
      </c>
      <c r="H676" s="29">
        <f>MATCH(G676, {"Waiting for Input","Analyzing Object","Found Object","Needs Help","Confused","None"}, 0) - 1</f>
        <v/>
      </c>
      <c r="I676" s="31" t="inlineStr">
        <is>
          <t>Needs Help</t>
        </is>
      </c>
      <c r="J676" s="29">
        <f>MATCH(I676, {"Waiting for Input","Analyzing Object","Found Object","Needs Help","Confused","None"}, 0) - 1</f>
        <v/>
      </c>
      <c r="K676" s="29" t="n">
        <v>3</v>
      </c>
      <c r="L676" s="29">
        <f>IF(H676=J676, 1, 0)</f>
        <v/>
      </c>
    </row>
    <row r="677">
      <c r="D677" s="29" t="n">
        <v>652</v>
      </c>
      <c r="E677" s="29" t="inlineStr">
        <is>
          <t>2</t>
        </is>
      </c>
      <c r="F677" s="30" t="inlineStr">
        <is>
          <t>Human</t>
        </is>
      </c>
      <c r="G677" s="29" t="inlineStr">
        <is>
          <t>Needs Help</t>
        </is>
      </c>
      <c r="H677" s="29">
        <f>MATCH(G677, {"Waiting for Input","Analyzing Object","Found Object","Needs Help","Confused","None"}, 0) - 1</f>
        <v/>
      </c>
      <c r="I677" s="31" t="inlineStr">
        <is>
          <t>Waiting for Input</t>
        </is>
      </c>
      <c r="J677" s="29">
        <f>MATCH(I677, {"Waiting for Input","Analyzing Object","Found Object","Needs Help","Confused","None"}, 0) - 1</f>
        <v/>
      </c>
      <c r="K677" s="29" t="n">
        <v>5</v>
      </c>
      <c r="L677" s="29">
        <f>IF(H677=J677, 1, 0)</f>
        <v/>
      </c>
    </row>
    <row r="678">
      <c r="D678" s="29" t="n">
        <v>653</v>
      </c>
      <c r="E678" s="29" t="inlineStr">
        <is>
          <t>2</t>
        </is>
      </c>
      <c r="F678" s="30" t="inlineStr">
        <is>
          <t>Human</t>
        </is>
      </c>
      <c r="G678" s="29" t="inlineStr">
        <is>
          <t>Needs Help</t>
        </is>
      </c>
      <c r="H678" s="29">
        <f>MATCH(G678, {"Waiting for Input","Analyzing Object","Found Object","Needs Help","Confused","None"}, 0) - 1</f>
        <v/>
      </c>
      <c r="I678" s="31" t="inlineStr">
        <is>
          <t>Waiting for Input</t>
        </is>
      </c>
      <c r="J678" s="29">
        <f>MATCH(I678, {"Waiting for Input","Analyzing Object","Found Object","Needs Help","Confused","None"}, 0) - 1</f>
        <v/>
      </c>
      <c r="K678" s="29" t="n">
        <v>4</v>
      </c>
      <c r="L678" s="29">
        <f>IF(H678=J678, 1, 0)</f>
        <v/>
      </c>
    </row>
    <row r="679">
      <c r="D679" s="29" t="n">
        <v>654</v>
      </c>
      <c r="E679" s="29" t="inlineStr">
        <is>
          <t>1</t>
        </is>
      </c>
      <c r="F679" s="30" t="inlineStr">
        <is>
          <t>Human</t>
        </is>
      </c>
      <c r="G679" s="29" t="inlineStr">
        <is>
          <t>Needs Help</t>
        </is>
      </c>
      <c r="H679" s="29">
        <f>MATCH(G679, {"Waiting for Input","Analyzing Object","Found Object","Needs Help","Confused","None"}, 0) - 1</f>
        <v/>
      </c>
      <c r="I679" s="31" t="inlineStr">
        <is>
          <t>Waiting for Input</t>
        </is>
      </c>
      <c r="J679" s="29">
        <f>MATCH(I679, {"Waiting for Input","Analyzing Object","Found Object","Needs Help","Confused","None"}, 0) - 1</f>
        <v/>
      </c>
      <c r="K679" s="29" t="n">
        <v>4</v>
      </c>
      <c r="L679" s="29">
        <f>IF(H679=J679, 1, 0)</f>
        <v/>
      </c>
    </row>
    <row r="680">
      <c r="D680" s="29" t="n">
        <v>655</v>
      </c>
      <c r="E680" s="29" t="inlineStr">
        <is>
          <t>2</t>
        </is>
      </c>
      <c r="F680" s="30" t="inlineStr">
        <is>
          <t>Human</t>
        </is>
      </c>
      <c r="G680" s="29" t="inlineStr">
        <is>
          <t>Needs Help</t>
        </is>
      </c>
      <c r="H680" s="29">
        <f>MATCH(G680, {"Waiting for Input","Analyzing Object","Found Object","Needs Help","Confused","None"}, 0) - 1</f>
        <v/>
      </c>
      <c r="I680" s="31" t="inlineStr">
        <is>
          <t>Confused</t>
        </is>
      </c>
      <c r="J680" s="29">
        <f>MATCH(I680, {"Waiting for Input","Analyzing Object","Found Object","Needs Help","Confused","None"}, 0) - 1</f>
        <v/>
      </c>
      <c r="K680" s="29" t="n">
        <v>1</v>
      </c>
      <c r="L680" s="29">
        <f>IF(H680=J680, 1, 0)</f>
        <v/>
      </c>
    </row>
    <row r="681">
      <c r="D681" s="29" t="n">
        <v>656</v>
      </c>
      <c r="E681" s="29" t="inlineStr">
        <is>
          <t>2</t>
        </is>
      </c>
      <c r="F681" s="30" t="inlineStr">
        <is>
          <t>Human</t>
        </is>
      </c>
      <c r="G681" s="29" t="inlineStr">
        <is>
          <t>Needs Help</t>
        </is>
      </c>
      <c r="H681" s="29">
        <f>MATCH(G681, {"Waiting for Input","Analyzing Object","Found Object","Needs Help","Confused","None"}, 0) - 1</f>
        <v/>
      </c>
      <c r="I681" s="31" t="inlineStr">
        <is>
          <t>Waiting for Input</t>
        </is>
      </c>
      <c r="J681" s="29">
        <f>MATCH(I681, {"Waiting for Input","Analyzing Object","Found Object","Needs Help","Confused","None"}, 0) - 1</f>
        <v/>
      </c>
      <c r="K681" s="29" t="n">
        <v>2</v>
      </c>
      <c r="L681" s="29">
        <f>IF(H681=J681, 1, 0)</f>
        <v/>
      </c>
    </row>
    <row r="682">
      <c r="D682" s="29" t="n">
        <v>657</v>
      </c>
      <c r="E682" s="29" t="inlineStr">
        <is>
          <t>2</t>
        </is>
      </c>
      <c r="F682" s="30" t="inlineStr">
        <is>
          <t>Human</t>
        </is>
      </c>
      <c r="G682" s="29" t="inlineStr">
        <is>
          <t>Needs Help</t>
        </is>
      </c>
      <c r="H682" s="29">
        <f>MATCH(G682, {"Waiting for Input","Analyzing Object","Found Object","Needs Help","Confused","None"}, 0) - 1</f>
        <v/>
      </c>
      <c r="I682" s="31" t="inlineStr">
        <is>
          <t>Waiting for Input</t>
        </is>
      </c>
      <c r="J682" s="29">
        <f>MATCH(I682, {"Waiting for Input","Analyzing Object","Found Object","Needs Help","Confused","None"}, 0) - 1</f>
        <v/>
      </c>
      <c r="K682" s="29" t="n">
        <v>2</v>
      </c>
      <c r="L682" s="29">
        <f>IF(H682=J682, 1, 0)</f>
        <v/>
      </c>
    </row>
    <row r="683">
      <c r="D683" s="29" t="n">
        <v>658</v>
      </c>
      <c r="E683" s="29" t="inlineStr">
        <is>
          <t>1</t>
        </is>
      </c>
      <c r="F683" s="30" t="inlineStr">
        <is>
          <t>Human</t>
        </is>
      </c>
      <c r="G683" s="29" t="inlineStr">
        <is>
          <t>Needs Help</t>
        </is>
      </c>
      <c r="H683" s="29">
        <f>MATCH(G683, {"Waiting for Input","Analyzing Object","Found Object","Needs Help","Confused","None"}, 0) - 1</f>
        <v/>
      </c>
      <c r="I683" s="31" t="inlineStr">
        <is>
          <t>None</t>
        </is>
      </c>
      <c r="J683" s="29">
        <f>MATCH(I683, {"Waiting for Input","Analyzing Object","Found Object","Needs Help","Confused","None"}, 0) - 1</f>
        <v/>
      </c>
      <c r="K683" s="31" t="n"/>
      <c r="L683" s="29">
        <f>IF(H683=J683, 1, 0)</f>
        <v/>
      </c>
    </row>
    <row r="684">
      <c r="D684" s="29" t="n">
        <v>659</v>
      </c>
      <c r="E684" s="29" t="inlineStr">
        <is>
          <t>2</t>
        </is>
      </c>
      <c r="F684" s="30" t="inlineStr">
        <is>
          <t>Human</t>
        </is>
      </c>
      <c r="G684" s="29" t="inlineStr">
        <is>
          <t>Needs Help</t>
        </is>
      </c>
      <c r="H684" s="29">
        <f>MATCH(G684, {"Waiting for Input","Analyzing Object","Found Object","Needs Help","Confused","None"}, 0) - 1</f>
        <v/>
      </c>
      <c r="I684" s="31" t="inlineStr">
        <is>
          <t>Waiting for Input</t>
        </is>
      </c>
      <c r="J684" s="29">
        <f>MATCH(I684, {"Waiting for Input","Analyzing Object","Found Object","Needs Help","Confused","None"}, 0) - 1</f>
        <v/>
      </c>
      <c r="K684" s="29" t="n">
        <v>3</v>
      </c>
      <c r="L684" s="29">
        <f>IF(H684=J684, 1, 0)</f>
        <v/>
      </c>
    </row>
    <row r="685">
      <c r="D685" s="29" t="n">
        <v>660</v>
      </c>
      <c r="E685" s="29" t="inlineStr">
        <is>
          <t>1</t>
        </is>
      </c>
      <c r="F685" s="30" t="inlineStr">
        <is>
          <t>Random</t>
        </is>
      </c>
      <c r="G685" s="29" t="inlineStr">
        <is>
          <t>Needs Help</t>
        </is>
      </c>
      <c r="H685" s="29">
        <f>MATCH(G685, {"Waiting for Input","Analyzing Object","Found Object","Needs Help","Confused","None"}, 0) - 1</f>
        <v/>
      </c>
      <c r="I685" s="31" t="inlineStr">
        <is>
          <t>Analyzing Object</t>
        </is>
      </c>
      <c r="J685" s="29">
        <f>MATCH(I685, {"Waiting for Input","Analyzing Object","Found Object","Needs Help","Confused","None"}, 0) - 1</f>
        <v/>
      </c>
      <c r="K685" s="29" t="n">
        <v>2</v>
      </c>
      <c r="L685" s="29">
        <f>IF(H685=J685, 1, 0)</f>
        <v/>
      </c>
    </row>
    <row r="686">
      <c r="D686" s="29" t="n">
        <v>661</v>
      </c>
      <c r="E686" s="29" t="inlineStr">
        <is>
          <t>1</t>
        </is>
      </c>
      <c r="F686" s="30" t="inlineStr">
        <is>
          <t>Random</t>
        </is>
      </c>
      <c r="G686" s="29" t="inlineStr">
        <is>
          <t>Needs Help</t>
        </is>
      </c>
      <c r="H686" s="29">
        <f>MATCH(G686, {"Waiting for Input","Analyzing Object","Found Object","Needs Help","Confused","None"}, 0) - 1</f>
        <v/>
      </c>
      <c r="I686" s="31" t="inlineStr">
        <is>
          <t>Analyzing Object</t>
        </is>
      </c>
      <c r="J686" s="29">
        <f>MATCH(I686, {"Waiting for Input","Analyzing Object","Found Object","Needs Help","Confused","None"}, 0) - 1</f>
        <v/>
      </c>
      <c r="K686" s="29" t="n">
        <v>3</v>
      </c>
      <c r="L686" s="29">
        <f>IF(H686=J686, 1, 0)</f>
        <v/>
      </c>
    </row>
    <row r="687">
      <c r="D687" s="29" t="n">
        <v>662</v>
      </c>
      <c r="E687" s="29" t="inlineStr">
        <is>
          <t>1</t>
        </is>
      </c>
      <c r="F687" s="30" t="inlineStr">
        <is>
          <t>Random</t>
        </is>
      </c>
      <c r="G687" s="29" t="inlineStr">
        <is>
          <t>Needs Help</t>
        </is>
      </c>
      <c r="H687" s="29">
        <f>MATCH(G687, {"Waiting for Input","Analyzing Object","Found Object","Needs Help","Confused","None"}, 0) - 1</f>
        <v/>
      </c>
      <c r="I687" s="31" t="inlineStr">
        <is>
          <t>Found Object</t>
        </is>
      </c>
      <c r="J687" s="29">
        <f>MATCH(I687, {"Waiting for Input","Analyzing Object","Found Object","Needs Help","Confused","None"}, 0) - 1</f>
        <v/>
      </c>
      <c r="K687" s="29" t="n">
        <v>1</v>
      </c>
      <c r="L687" s="29">
        <f>IF(H687=J687, 1, 0)</f>
        <v/>
      </c>
    </row>
    <row r="688">
      <c r="D688" s="29" t="n">
        <v>663</v>
      </c>
      <c r="E688" s="29" t="inlineStr">
        <is>
          <t>2</t>
        </is>
      </c>
      <c r="F688" s="30" t="inlineStr">
        <is>
          <t>Random</t>
        </is>
      </c>
      <c r="G688" s="29" t="inlineStr">
        <is>
          <t>Needs Help</t>
        </is>
      </c>
      <c r="H688" s="29">
        <f>MATCH(G688, {"Waiting for Input","Analyzing Object","Found Object","Needs Help","Confused","None"}, 0) - 1</f>
        <v/>
      </c>
      <c r="I688" s="31" t="inlineStr">
        <is>
          <t>Needs Help</t>
        </is>
      </c>
      <c r="J688" s="29">
        <f>MATCH(I688, {"Waiting for Input","Analyzing Object","Found Object","Needs Help","Confused","None"}, 0) - 1</f>
        <v/>
      </c>
      <c r="K688" s="29" t="n">
        <v>3</v>
      </c>
      <c r="L688" s="29">
        <f>IF(H688=J688, 1, 0)</f>
        <v/>
      </c>
    </row>
    <row r="689">
      <c r="D689" s="29" t="n">
        <v>664</v>
      </c>
      <c r="E689" s="29" t="inlineStr">
        <is>
          <t>2</t>
        </is>
      </c>
      <c r="F689" s="30" t="inlineStr">
        <is>
          <t>Random</t>
        </is>
      </c>
      <c r="G689" s="29" t="inlineStr">
        <is>
          <t>Needs Help</t>
        </is>
      </c>
      <c r="H689" s="29">
        <f>MATCH(G689, {"Waiting for Input","Analyzing Object","Found Object","Needs Help","Confused","None"}, 0) - 1</f>
        <v/>
      </c>
      <c r="I689" s="31" t="inlineStr">
        <is>
          <t>Analyzing Object</t>
        </is>
      </c>
      <c r="J689" s="29">
        <f>MATCH(I689, {"Waiting for Input","Analyzing Object","Found Object","Needs Help","Confused","None"}, 0) - 1</f>
        <v/>
      </c>
      <c r="K689" s="29" t="n">
        <v>3</v>
      </c>
      <c r="L689" s="29">
        <f>IF(H689=J689, 1, 0)</f>
        <v/>
      </c>
    </row>
    <row r="690">
      <c r="D690" s="29" t="n">
        <v>665</v>
      </c>
      <c r="E690" s="29" t="inlineStr">
        <is>
          <t>1</t>
        </is>
      </c>
      <c r="F690" s="30" t="inlineStr">
        <is>
          <t>Random</t>
        </is>
      </c>
      <c r="G690" s="29" t="inlineStr">
        <is>
          <t>Needs Help</t>
        </is>
      </c>
      <c r="H690" s="29">
        <f>MATCH(G690, {"Waiting for Input","Analyzing Object","Found Object","Needs Help","Confused","None"}, 0) - 1</f>
        <v/>
      </c>
      <c r="I690" s="31" t="inlineStr">
        <is>
          <t>Needs Help</t>
        </is>
      </c>
      <c r="J690" s="29">
        <f>MATCH(I690, {"Waiting for Input","Analyzing Object","Found Object","Needs Help","Confused","None"}, 0) - 1</f>
        <v/>
      </c>
      <c r="K690" s="29" t="n">
        <v>5</v>
      </c>
      <c r="L690" s="29">
        <f>IF(H690=J690, 1, 0)</f>
        <v/>
      </c>
    </row>
    <row r="691">
      <c r="D691" s="29" t="n">
        <v>666</v>
      </c>
      <c r="E691" s="29" t="inlineStr">
        <is>
          <t>2</t>
        </is>
      </c>
      <c r="F691" s="30" t="inlineStr">
        <is>
          <t>Random</t>
        </is>
      </c>
      <c r="G691" s="29" t="inlineStr">
        <is>
          <t>Needs Help</t>
        </is>
      </c>
      <c r="H691" s="29">
        <f>MATCH(G691, {"Waiting for Input","Analyzing Object","Found Object","Needs Help","Confused","None"}, 0) - 1</f>
        <v/>
      </c>
      <c r="I691" s="31" t="inlineStr">
        <is>
          <t>Analyzing Object</t>
        </is>
      </c>
      <c r="J691" s="29">
        <f>MATCH(I691, {"Waiting for Input","Analyzing Object","Found Object","Needs Help","Confused","None"}, 0) - 1</f>
        <v/>
      </c>
      <c r="K691" s="29" t="n">
        <v>3</v>
      </c>
      <c r="L691" s="29">
        <f>IF(H691=J691, 1, 0)</f>
        <v/>
      </c>
    </row>
    <row r="692">
      <c r="D692" s="29" t="n">
        <v>667</v>
      </c>
      <c r="E692" s="29" t="inlineStr">
        <is>
          <t>1</t>
        </is>
      </c>
      <c r="F692" s="30" t="inlineStr">
        <is>
          <t>Random</t>
        </is>
      </c>
      <c r="G692" s="29" t="inlineStr">
        <is>
          <t>Needs Help</t>
        </is>
      </c>
      <c r="H692" s="29">
        <f>MATCH(G692, {"Waiting for Input","Analyzing Object","Found Object","Needs Help","Confused","None"}, 0) - 1</f>
        <v/>
      </c>
      <c r="I692" s="31" t="inlineStr">
        <is>
          <t>None</t>
        </is>
      </c>
      <c r="J692" s="29">
        <f>MATCH(I692, {"Waiting for Input","Analyzing Object","Found Object","Needs Help","Confused","None"}, 0) - 1</f>
        <v/>
      </c>
      <c r="K692" s="29" t="n">
        <v>3</v>
      </c>
      <c r="L692" s="29">
        <f>IF(H692=J692, 1, 0)</f>
        <v/>
      </c>
    </row>
    <row r="693">
      <c r="D693" s="29" t="n">
        <v>668</v>
      </c>
      <c r="E693" s="29" t="inlineStr">
        <is>
          <t>1</t>
        </is>
      </c>
      <c r="F693" s="30" t="inlineStr">
        <is>
          <t>Random</t>
        </is>
      </c>
      <c r="G693" s="29" t="inlineStr">
        <is>
          <t>Needs Help</t>
        </is>
      </c>
      <c r="H693" s="29">
        <f>MATCH(G693, {"Waiting for Input","Analyzing Object","Found Object","Needs Help","Confused","None"}, 0) - 1</f>
        <v/>
      </c>
      <c r="I693" s="31" t="inlineStr">
        <is>
          <t>None</t>
        </is>
      </c>
      <c r="J693" s="29">
        <f>MATCH(I693, {"Waiting for Input","Analyzing Object","Found Object","Needs Help","Confused","None"}, 0) - 1</f>
        <v/>
      </c>
      <c r="K693" s="29" t="n">
        <v>2</v>
      </c>
      <c r="L693" s="29">
        <f>IF(H693=J693, 1, 0)</f>
        <v/>
      </c>
    </row>
    <row r="694">
      <c r="D694" s="29" t="n">
        <v>669</v>
      </c>
      <c r="E694" s="29" t="inlineStr">
        <is>
          <t>1</t>
        </is>
      </c>
      <c r="F694" s="30" t="inlineStr">
        <is>
          <t>Random</t>
        </is>
      </c>
      <c r="G694" s="29" t="inlineStr">
        <is>
          <t>Needs Help</t>
        </is>
      </c>
      <c r="H694" s="29">
        <f>MATCH(G694, {"Waiting for Input","Analyzing Object","Found Object","Needs Help","Confused","None"}, 0) - 1</f>
        <v/>
      </c>
      <c r="I694" s="31" t="inlineStr">
        <is>
          <t>Analyzing Object</t>
        </is>
      </c>
      <c r="J694" s="29">
        <f>MATCH(I694, {"Waiting for Input","Analyzing Object","Found Object","Needs Help","Confused","None"}, 0) - 1</f>
        <v/>
      </c>
      <c r="K694" s="29" t="n">
        <v>2</v>
      </c>
      <c r="L694" s="29">
        <f>IF(H694=J694, 1, 0)</f>
        <v/>
      </c>
    </row>
    <row r="695">
      <c r="D695" s="29" t="n">
        <v>670</v>
      </c>
      <c r="E695" s="29" t="inlineStr">
        <is>
          <t>2</t>
        </is>
      </c>
      <c r="F695" s="30" t="inlineStr">
        <is>
          <t>Random</t>
        </is>
      </c>
      <c r="G695" s="29" t="inlineStr">
        <is>
          <t>Needs Help</t>
        </is>
      </c>
      <c r="H695" s="29">
        <f>MATCH(G695, {"Waiting for Input","Analyzing Object","Found Object","Needs Help","Confused","None"}, 0) - 1</f>
        <v/>
      </c>
      <c r="I695" s="31" t="inlineStr">
        <is>
          <t>Found Object</t>
        </is>
      </c>
      <c r="J695" s="29">
        <f>MATCH(I695, {"Waiting for Input","Analyzing Object","Found Object","Needs Help","Confused","None"}, 0) - 1</f>
        <v/>
      </c>
      <c r="K695" s="29" t="n">
        <v>4</v>
      </c>
      <c r="L695" s="29">
        <f>IF(H695=J695, 1, 0)</f>
        <v/>
      </c>
    </row>
    <row r="696">
      <c r="D696" s="29" t="n">
        <v>671</v>
      </c>
      <c r="E696" s="29" t="inlineStr">
        <is>
          <t>2</t>
        </is>
      </c>
      <c r="F696" s="30" t="inlineStr">
        <is>
          <t>Random</t>
        </is>
      </c>
      <c r="G696" s="29" t="inlineStr">
        <is>
          <t>Needs Help</t>
        </is>
      </c>
      <c r="H696" s="29">
        <f>MATCH(G696, {"Waiting for Input","Analyzing Object","Found Object","Needs Help","Confused","None"}, 0) - 1</f>
        <v/>
      </c>
      <c r="I696" s="31" t="inlineStr">
        <is>
          <t>Analyzing Object</t>
        </is>
      </c>
      <c r="J696" s="29">
        <f>MATCH(I696, {"Waiting for Input","Analyzing Object","Found Object","Needs Help","Confused","None"}, 0) - 1</f>
        <v/>
      </c>
      <c r="K696" s="29" t="n">
        <v>2</v>
      </c>
      <c r="L696" s="29">
        <f>IF(H696=J696, 1, 0)</f>
        <v/>
      </c>
    </row>
    <row r="697">
      <c r="D697" s="29" t="n">
        <v>672</v>
      </c>
      <c r="E697" s="29" t="inlineStr">
        <is>
          <t>2</t>
        </is>
      </c>
      <c r="F697" s="30" t="inlineStr">
        <is>
          <t>Random</t>
        </is>
      </c>
      <c r="G697" s="29" t="inlineStr">
        <is>
          <t>Needs Help</t>
        </is>
      </c>
      <c r="H697" s="29">
        <f>MATCH(G697, {"Waiting for Input","Analyzing Object","Found Object","Needs Help","Confused","None"}, 0) - 1</f>
        <v/>
      </c>
      <c r="I697" s="31" t="inlineStr">
        <is>
          <t>Analyzing Object</t>
        </is>
      </c>
      <c r="J697" s="29">
        <f>MATCH(I697, {"Waiting for Input","Analyzing Object","Found Object","Needs Help","Confused","None"}, 0) - 1</f>
        <v/>
      </c>
      <c r="K697" s="29" t="n">
        <v>4</v>
      </c>
      <c r="L697" s="29">
        <f>IF(H697=J697, 1, 0)</f>
        <v/>
      </c>
    </row>
    <row r="698">
      <c r="D698" s="29" t="n">
        <v>673</v>
      </c>
      <c r="E698" s="29" t="inlineStr">
        <is>
          <t>2</t>
        </is>
      </c>
      <c r="F698" s="30" t="inlineStr">
        <is>
          <t>Random</t>
        </is>
      </c>
      <c r="G698" s="29" t="inlineStr">
        <is>
          <t>Needs Help</t>
        </is>
      </c>
      <c r="H698" s="29">
        <f>MATCH(G698, {"Waiting for Input","Analyzing Object","Found Object","Needs Help","Confused","None"}, 0) - 1</f>
        <v/>
      </c>
      <c r="I698" s="31" t="inlineStr">
        <is>
          <t>Found Object</t>
        </is>
      </c>
      <c r="J698" s="29">
        <f>MATCH(I698, {"Waiting for Input","Analyzing Object","Found Object","Needs Help","Confused","None"}, 0) - 1</f>
        <v/>
      </c>
      <c r="K698" s="29" t="n">
        <v>4</v>
      </c>
      <c r="L698" s="29">
        <f>IF(H698=J698, 1, 0)</f>
        <v/>
      </c>
    </row>
    <row r="699">
      <c r="D699" s="29" t="n">
        <v>674</v>
      </c>
      <c r="E699" s="29" t="inlineStr">
        <is>
          <t>1</t>
        </is>
      </c>
      <c r="F699" s="30" t="inlineStr">
        <is>
          <t>Random</t>
        </is>
      </c>
      <c r="G699" s="29" t="inlineStr">
        <is>
          <t>Needs Help</t>
        </is>
      </c>
      <c r="H699" s="29">
        <f>MATCH(G699, {"Waiting for Input","Analyzing Object","Found Object","Needs Help","Confused","None"}, 0) - 1</f>
        <v/>
      </c>
      <c r="I699" s="31" t="inlineStr">
        <is>
          <t>Found Object</t>
        </is>
      </c>
      <c r="J699" s="29">
        <f>MATCH(I699, {"Waiting for Input","Analyzing Object","Found Object","Needs Help","Confused","None"}, 0) - 1</f>
        <v/>
      </c>
      <c r="K699" s="29" t="n">
        <v>3</v>
      </c>
      <c r="L699" s="29">
        <f>IF(H699=J699, 1, 0)</f>
        <v/>
      </c>
    </row>
    <row r="700">
      <c r="D700" s="29" t="n">
        <v>675</v>
      </c>
      <c r="E700" s="29" t="inlineStr">
        <is>
          <t>1</t>
        </is>
      </c>
      <c r="F700" s="30" t="inlineStr">
        <is>
          <t>Random</t>
        </is>
      </c>
      <c r="G700" s="29" t="inlineStr">
        <is>
          <t>Needs Help</t>
        </is>
      </c>
      <c r="H700" s="29">
        <f>MATCH(G700, {"Waiting for Input","Analyzing Object","Found Object","Needs Help","Confused","None"}, 0) - 1</f>
        <v/>
      </c>
      <c r="I700" s="31" t="inlineStr">
        <is>
          <t>None</t>
        </is>
      </c>
      <c r="J700" s="29">
        <f>MATCH(I700, {"Waiting for Input","Analyzing Object","Found Object","Needs Help","Confused","None"}, 0) - 1</f>
        <v/>
      </c>
      <c r="K700" s="29" t="n">
        <v>2</v>
      </c>
      <c r="L700" s="29">
        <f>IF(H700=J700, 1, 0)</f>
        <v/>
      </c>
    </row>
    <row r="701">
      <c r="D701" s="29" t="n">
        <v>676</v>
      </c>
      <c r="E701" s="29" t="inlineStr">
        <is>
          <t>1</t>
        </is>
      </c>
      <c r="F701" s="30" t="inlineStr">
        <is>
          <t>Random</t>
        </is>
      </c>
      <c r="G701" s="29" t="inlineStr">
        <is>
          <t>Needs Help</t>
        </is>
      </c>
      <c r="H701" s="29">
        <f>MATCH(G701, {"Waiting for Input","Analyzing Object","Found Object","Needs Help","Confused","None"}, 0) - 1</f>
        <v/>
      </c>
      <c r="I701" s="31" t="inlineStr">
        <is>
          <t>Found Object</t>
        </is>
      </c>
      <c r="J701" s="29">
        <f>MATCH(I701, {"Waiting for Input","Analyzing Object","Found Object","Needs Help","Confused","None"}, 0) - 1</f>
        <v/>
      </c>
      <c r="K701" s="29" t="n">
        <v>1</v>
      </c>
      <c r="L701" s="29">
        <f>IF(H701=J701, 1, 0)</f>
        <v/>
      </c>
    </row>
    <row r="702">
      <c r="D702" s="29" t="n">
        <v>677</v>
      </c>
      <c r="E702" s="29" t="inlineStr">
        <is>
          <t>2</t>
        </is>
      </c>
      <c r="F702" s="30" t="inlineStr">
        <is>
          <t>Random</t>
        </is>
      </c>
      <c r="G702" s="29" t="inlineStr">
        <is>
          <t>Needs Help</t>
        </is>
      </c>
      <c r="H702" s="29">
        <f>MATCH(G702, {"Waiting for Input","Analyzing Object","Found Object","Needs Help","Confused","None"}, 0) - 1</f>
        <v/>
      </c>
      <c r="I702" s="31" t="inlineStr">
        <is>
          <t>Needs Help</t>
        </is>
      </c>
      <c r="J702" s="29">
        <f>MATCH(I702, {"Waiting for Input","Analyzing Object","Found Object","Needs Help","Confused","None"}, 0) - 1</f>
        <v/>
      </c>
      <c r="K702" s="29" t="n">
        <v>2</v>
      </c>
      <c r="L702" s="29">
        <f>IF(H702=J702, 1, 0)</f>
        <v/>
      </c>
    </row>
    <row r="703">
      <c r="D703" s="29" t="n">
        <v>678</v>
      </c>
      <c r="E703" s="29" t="inlineStr">
        <is>
          <t>2</t>
        </is>
      </c>
      <c r="F703" s="30" t="inlineStr">
        <is>
          <t>Random</t>
        </is>
      </c>
      <c r="G703" s="29" t="inlineStr">
        <is>
          <t>Needs Help</t>
        </is>
      </c>
      <c r="H703" s="29">
        <f>MATCH(G703, {"Waiting for Input","Analyzing Object","Found Object","Needs Help","Confused","None"}, 0) - 1</f>
        <v/>
      </c>
      <c r="I703" s="31" t="inlineStr">
        <is>
          <t>Analyzing Object</t>
        </is>
      </c>
      <c r="J703" s="29">
        <f>MATCH(I703, {"Waiting for Input","Analyzing Object","Found Object","Needs Help","Confused","None"}, 0) - 1</f>
        <v/>
      </c>
      <c r="K703" s="29" t="n">
        <v>3</v>
      </c>
      <c r="L703" s="29">
        <f>IF(H703=J703, 1, 0)</f>
        <v/>
      </c>
    </row>
    <row r="704">
      <c r="D704" s="29" t="n">
        <v>679</v>
      </c>
      <c r="E704" s="29" t="inlineStr">
        <is>
          <t>1</t>
        </is>
      </c>
      <c r="F704" s="30" t="inlineStr">
        <is>
          <t>Random</t>
        </is>
      </c>
      <c r="G704" s="29" t="inlineStr">
        <is>
          <t>Needs Help</t>
        </is>
      </c>
      <c r="H704" s="29">
        <f>MATCH(G704, {"Waiting for Input","Analyzing Object","Found Object","Needs Help","Confused","None"}, 0) - 1</f>
        <v/>
      </c>
      <c r="I704" s="31" t="inlineStr">
        <is>
          <t>Confused</t>
        </is>
      </c>
      <c r="J704" s="29">
        <f>MATCH(I704, {"Waiting for Input","Analyzing Object","Found Object","Needs Help","Confused","None"}, 0) - 1</f>
        <v/>
      </c>
      <c r="K704" s="29" t="n">
        <v>1</v>
      </c>
      <c r="L704" s="29">
        <f>IF(H704=J704, 1, 0)</f>
        <v/>
      </c>
    </row>
    <row r="705">
      <c r="D705" s="29" t="n">
        <v>680</v>
      </c>
      <c r="E705" s="29" t="inlineStr">
        <is>
          <t>1</t>
        </is>
      </c>
      <c r="F705" s="30" t="inlineStr">
        <is>
          <t>Random</t>
        </is>
      </c>
      <c r="G705" s="29" t="inlineStr">
        <is>
          <t>Needs Help</t>
        </is>
      </c>
      <c r="H705" s="29">
        <f>MATCH(G705, {"Waiting for Input","Analyzing Object","Found Object","Needs Help","Confused","None"}, 0) - 1</f>
        <v/>
      </c>
      <c r="I705" s="31" t="inlineStr">
        <is>
          <t>Confused</t>
        </is>
      </c>
      <c r="J705" s="29">
        <f>MATCH(I705, {"Waiting for Input","Analyzing Object","Found Object","Needs Help","Confused","None"}, 0) - 1</f>
        <v/>
      </c>
      <c r="K705" s="29" t="n">
        <v>2</v>
      </c>
      <c r="L705" s="29">
        <f>IF(H705=J705, 1, 0)</f>
        <v/>
      </c>
    </row>
    <row r="706">
      <c r="D706" s="29" t="n">
        <v>681</v>
      </c>
      <c r="E706" s="29" t="inlineStr">
        <is>
          <t>2</t>
        </is>
      </c>
      <c r="F706" s="30" t="inlineStr">
        <is>
          <t>Random</t>
        </is>
      </c>
      <c r="G706" s="29" t="inlineStr">
        <is>
          <t>Needs Help</t>
        </is>
      </c>
      <c r="H706" s="29">
        <f>MATCH(G706, {"Waiting for Input","Analyzing Object","Found Object","Needs Help","Confused","None"}, 0) - 1</f>
        <v/>
      </c>
      <c r="I706" s="31" t="inlineStr">
        <is>
          <t>None</t>
        </is>
      </c>
      <c r="J706" s="29">
        <f>MATCH(I706, {"Waiting for Input","Analyzing Object","Found Object","Needs Help","Confused","None"}, 0) - 1</f>
        <v/>
      </c>
      <c r="K706" s="29" t="n">
        <v>2</v>
      </c>
      <c r="L706" s="29">
        <f>IF(H706=J706, 1, 0)</f>
        <v/>
      </c>
    </row>
    <row r="707">
      <c r="D707" s="29" t="n">
        <v>682</v>
      </c>
      <c r="E707" s="29" t="inlineStr">
        <is>
          <t>2</t>
        </is>
      </c>
      <c r="F707" s="30" t="inlineStr">
        <is>
          <t>Random</t>
        </is>
      </c>
      <c r="G707" s="29" t="inlineStr">
        <is>
          <t>Needs Help</t>
        </is>
      </c>
      <c r="H707" s="29">
        <f>MATCH(G707, {"Waiting for Input","Analyzing Object","Found Object","Needs Help","Confused","None"}, 0) - 1</f>
        <v/>
      </c>
      <c r="I707" s="31" t="inlineStr">
        <is>
          <t>Confused</t>
        </is>
      </c>
      <c r="J707" s="29">
        <f>MATCH(I707, {"Waiting for Input","Analyzing Object","Found Object","Needs Help","Confused","None"}, 0) - 1</f>
        <v/>
      </c>
      <c r="K707" s="29" t="n">
        <v>4</v>
      </c>
      <c r="L707" s="29">
        <f>IF(H707=J707, 1, 0)</f>
        <v/>
      </c>
    </row>
    <row r="708">
      <c r="D708" s="29" t="n">
        <v>683</v>
      </c>
      <c r="E708" s="29" t="inlineStr">
        <is>
          <t>1</t>
        </is>
      </c>
      <c r="F708" s="30" t="inlineStr">
        <is>
          <t>Random</t>
        </is>
      </c>
      <c r="G708" s="29" t="inlineStr">
        <is>
          <t>Needs Help</t>
        </is>
      </c>
      <c r="H708" s="29">
        <f>MATCH(G708, {"Waiting for Input","Analyzing Object","Found Object","Needs Help","Confused","None"}, 0) - 1</f>
        <v/>
      </c>
      <c r="I708" s="31" t="inlineStr">
        <is>
          <t>Confused</t>
        </is>
      </c>
      <c r="J708" s="29">
        <f>MATCH(I708, {"Waiting for Input","Analyzing Object","Found Object","Needs Help","Confused","None"}, 0) - 1</f>
        <v/>
      </c>
      <c r="K708" s="29" t="n">
        <v>2</v>
      </c>
      <c r="L708" s="29">
        <f>IF(H708=J708, 1, 0)</f>
        <v/>
      </c>
    </row>
    <row r="709">
      <c r="D709" s="29" t="n">
        <v>684</v>
      </c>
      <c r="E709" s="29" t="inlineStr">
        <is>
          <t>1</t>
        </is>
      </c>
      <c r="F709" s="30" t="inlineStr">
        <is>
          <t>Random</t>
        </is>
      </c>
      <c r="G709" s="29" t="inlineStr">
        <is>
          <t>Needs Help</t>
        </is>
      </c>
      <c r="H709" s="29">
        <f>MATCH(G709, {"Waiting for Input","Analyzing Object","Found Object","Needs Help","Confused","None"}, 0) - 1</f>
        <v/>
      </c>
      <c r="I709" s="31" t="inlineStr">
        <is>
          <t>Found Object</t>
        </is>
      </c>
      <c r="J709" s="29">
        <f>MATCH(I709, {"Waiting for Input","Analyzing Object","Found Object","Needs Help","Confused","None"}, 0) - 1</f>
        <v/>
      </c>
      <c r="K709" s="29" t="n">
        <v>4</v>
      </c>
      <c r="L709" s="29">
        <f>IF(H709=J709, 1, 0)</f>
        <v/>
      </c>
    </row>
    <row r="710">
      <c r="D710" s="29" t="n">
        <v>685</v>
      </c>
      <c r="E710" s="29" t="inlineStr">
        <is>
          <t>2</t>
        </is>
      </c>
      <c r="F710" s="30" t="inlineStr">
        <is>
          <t>Random</t>
        </is>
      </c>
      <c r="G710" s="29" t="inlineStr">
        <is>
          <t>Needs Help</t>
        </is>
      </c>
      <c r="H710" s="29">
        <f>MATCH(G710, {"Waiting for Input","Analyzing Object","Found Object","Needs Help","Confused","None"}, 0) - 1</f>
        <v/>
      </c>
      <c r="I710" s="31" t="inlineStr">
        <is>
          <t>Confused</t>
        </is>
      </c>
      <c r="J710" s="29">
        <f>MATCH(I710, {"Waiting for Input","Analyzing Object","Found Object","Needs Help","Confused","None"}, 0) - 1</f>
        <v/>
      </c>
      <c r="K710" s="29" t="n">
        <v>2</v>
      </c>
      <c r="L710" s="29">
        <f>IF(H710=J710, 1, 0)</f>
        <v/>
      </c>
    </row>
    <row r="711">
      <c r="D711" s="29" t="n">
        <v>686</v>
      </c>
      <c r="E711" s="29" t="inlineStr">
        <is>
          <t>2</t>
        </is>
      </c>
      <c r="F711" s="30" t="inlineStr">
        <is>
          <t>Random</t>
        </is>
      </c>
      <c r="G711" s="29" t="inlineStr">
        <is>
          <t>Needs Help</t>
        </is>
      </c>
      <c r="H711" s="29">
        <f>MATCH(G711, {"Waiting for Input","Analyzing Object","Found Object","Needs Help","Confused","None"}, 0) - 1</f>
        <v/>
      </c>
      <c r="I711" s="31" t="inlineStr">
        <is>
          <t>Confused</t>
        </is>
      </c>
      <c r="J711" s="29">
        <f>MATCH(I711, {"Waiting for Input","Analyzing Object","Found Object","Needs Help","Confused","None"}, 0) - 1</f>
        <v/>
      </c>
      <c r="K711" s="29" t="n">
        <v>3</v>
      </c>
      <c r="L711" s="29">
        <f>IF(H711=J711, 1, 0)</f>
        <v/>
      </c>
    </row>
    <row r="712">
      <c r="D712" s="29" t="n">
        <v>687</v>
      </c>
      <c r="E712" s="29" t="inlineStr">
        <is>
          <t>2</t>
        </is>
      </c>
      <c r="F712" s="30" t="inlineStr">
        <is>
          <t>Random</t>
        </is>
      </c>
      <c r="G712" s="29" t="inlineStr">
        <is>
          <t>Needs Help</t>
        </is>
      </c>
      <c r="H712" s="29">
        <f>MATCH(G712, {"Waiting for Input","Analyzing Object","Found Object","Needs Help","Confused","None"}, 0) - 1</f>
        <v/>
      </c>
      <c r="I712" s="31" t="inlineStr">
        <is>
          <t>Confused</t>
        </is>
      </c>
      <c r="J712" s="29">
        <f>MATCH(I712, {"Waiting for Input","Analyzing Object","Found Object","Needs Help","Confused","None"}, 0) - 1</f>
        <v/>
      </c>
      <c r="K712" s="29" t="n">
        <v>4</v>
      </c>
      <c r="L712" s="29">
        <f>IF(H712=J712, 1, 0)</f>
        <v/>
      </c>
    </row>
    <row r="713">
      <c r="D713" s="29" t="n">
        <v>688</v>
      </c>
      <c r="E713" s="29" t="inlineStr">
        <is>
          <t>2</t>
        </is>
      </c>
      <c r="F713" s="30" t="inlineStr">
        <is>
          <t>Random</t>
        </is>
      </c>
      <c r="G713" s="29" t="inlineStr">
        <is>
          <t>Needs Help</t>
        </is>
      </c>
      <c r="H713" s="29">
        <f>MATCH(G713, {"Waiting for Input","Analyzing Object","Found Object","Needs Help","Confused","None"}, 0) - 1</f>
        <v/>
      </c>
      <c r="I713" s="31" t="inlineStr">
        <is>
          <t>Analyzing Object</t>
        </is>
      </c>
      <c r="J713" s="29">
        <f>MATCH(I713, {"Waiting for Input","Analyzing Object","Found Object","Needs Help","Confused","None"}, 0) - 1</f>
        <v/>
      </c>
      <c r="K713" s="29" t="n">
        <v>4</v>
      </c>
      <c r="L713" s="29">
        <f>IF(H713=J713, 1, 0)</f>
        <v/>
      </c>
    </row>
    <row r="714">
      <c r="D714" s="29" t="n">
        <v>689</v>
      </c>
      <c r="E714" s="29" t="inlineStr">
        <is>
          <t>2</t>
        </is>
      </c>
      <c r="F714" s="30" t="inlineStr">
        <is>
          <t>Random</t>
        </is>
      </c>
      <c r="G714" s="29" t="inlineStr">
        <is>
          <t>Needs Help</t>
        </is>
      </c>
      <c r="H714" s="29">
        <f>MATCH(G714, {"Waiting for Input","Analyzing Object","Found Object","Needs Help","Confused","None"}, 0) - 1</f>
        <v/>
      </c>
      <c r="I714" s="31" t="inlineStr">
        <is>
          <t>Analyzing Object</t>
        </is>
      </c>
      <c r="J714" s="29">
        <f>MATCH(I714, {"Waiting for Input","Analyzing Object","Found Object","Needs Help","Confused","None"}, 0) - 1</f>
        <v/>
      </c>
      <c r="K714" s="29" t="n">
        <v>3</v>
      </c>
      <c r="L714" s="29">
        <f>IF(H714=J714, 1, 0)</f>
        <v/>
      </c>
    </row>
    <row r="715">
      <c r="D715" s="29" t="n">
        <v>690</v>
      </c>
      <c r="E715" s="29" t="inlineStr">
        <is>
          <t>2</t>
        </is>
      </c>
      <c r="F715" s="30" t="inlineStr">
        <is>
          <t>Random</t>
        </is>
      </c>
      <c r="G715" s="29" t="inlineStr">
        <is>
          <t>Needs Help</t>
        </is>
      </c>
      <c r="H715" s="29">
        <f>MATCH(G715, {"Waiting for Input","Analyzing Object","Found Object","Needs Help","Confused","None"}, 0) - 1</f>
        <v/>
      </c>
      <c r="I715" s="31" t="inlineStr">
        <is>
          <t>Analyzing Object</t>
        </is>
      </c>
      <c r="J715" s="29">
        <f>MATCH(I715, {"Waiting for Input","Analyzing Object","Found Object","Needs Help","Confused","None"}, 0) - 1</f>
        <v/>
      </c>
      <c r="K715" s="29" t="n">
        <v>4</v>
      </c>
      <c r="L715" s="29">
        <f>IF(H715=J715, 1, 0)</f>
        <v/>
      </c>
    </row>
    <row r="716">
      <c r="D716" s="29" t="n">
        <v>691</v>
      </c>
      <c r="E716" s="29" t="inlineStr">
        <is>
          <t>1</t>
        </is>
      </c>
      <c r="F716" s="30" t="inlineStr">
        <is>
          <t>Random</t>
        </is>
      </c>
      <c r="G716" s="29" t="inlineStr">
        <is>
          <t>Needs Help</t>
        </is>
      </c>
      <c r="H716" s="29">
        <f>MATCH(G716, {"Waiting for Input","Analyzing Object","Found Object","Needs Help","Confused","None"}, 0) - 1</f>
        <v/>
      </c>
      <c r="I716" s="31" t="inlineStr">
        <is>
          <t>Confused</t>
        </is>
      </c>
      <c r="J716" s="29">
        <f>MATCH(I716, {"Waiting for Input","Analyzing Object","Found Object","Needs Help","Confused","None"}, 0) - 1</f>
        <v/>
      </c>
      <c r="K716" s="29" t="n">
        <v>3</v>
      </c>
      <c r="L716" s="29">
        <f>IF(H716=J716, 1, 0)</f>
        <v/>
      </c>
    </row>
    <row r="717">
      <c r="D717" s="29" t="n">
        <v>692</v>
      </c>
      <c r="E717" s="29" t="inlineStr">
        <is>
          <t>2</t>
        </is>
      </c>
      <c r="F717" s="30" t="inlineStr">
        <is>
          <t>Random</t>
        </is>
      </c>
      <c r="G717" s="29" t="inlineStr">
        <is>
          <t>Needs Help</t>
        </is>
      </c>
      <c r="H717" s="29">
        <f>MATCH(G717, {"Waiting for Input","Analyzing Object","Found Object","Needs Help","Confused","None"}, 0) - 1</f>
        <v/>
      </c>
      <c r="I717" s="31" t="inlineStr">
        <is>
          <t>Found Object</t>
        </is>
      </c>
      <c r="J717" s="29">
        <f>MATCH(I717, {"Waiting for Input","Analyzing Object","Found Object","Needs Help","Confused","None"}, 0) - 1</f>
        <v/>
      </c>
      <c r="K717" s="29" t="n">
        <v>4</v>
      </c>
      <c r="L717" s="29">
        <f>IF(H717=J717, 1, 0)</f>
        <v/>
      </c>
    </row>
    <row r="718">
      <c r="D718" s="29" t="n">
        <v>693</v>
      </c>
      <c r="E718" s="29" t="inlineStr">
        <is>
          <t>1</t>
        </is>
      </c>
      <c r="F718" s="30" t="inlineStr">
        <is>
          <t>Random</t>
        </is>
      </c>
      <c r="G718" s="29" t="inlineStr">
        <is>
          <t>Needs Help</t>
        </is>
      </c>
      <c r="H718" s="29">
        <f>MATCH(G718, {"Waiting for Input","Analyzing Object","Found Object","Needs Help","Confused","None"}, 0) - 1</f>
        <v/>
      </c>
      <c r="I718" s="31" t="inlineStr">
        <is>
          <t>Confused</t>
        </is>
      </c>
      <c r="J718" s="29">
        <f>MATCH(I718, {"Waiting for Input","Analyzing Object","Found Object","Needs Help","Confused","None"}, 0) - 1</f>
        <v/>
      </c>
      <c r="K718" s="29" t="n">
        <v>3</v>
      </c>
      <c r="L718" s="29">
        <f>IF(H718=J718, 1, 0)</f>
        <v/>
      </c>
    </row>
    <row r="719">
      <c r="D719" s="29" t="n">
        <v>694</v>
      </c>
      <c r="E719" s="29" t="inlineStr">
        <is>
          <t>1</t>
        </is>
      </c>
      <c r="F719" s="30" t="inlineStr">
        <is>
          <t>Random</t>
        </is>
      </c>
      <c r="G719" s="29" t="inlineStr">
        <is>
          <t>Needs Help</t>
        </is>
      </c>
      <c r="H719" s="29">
        <f>MATCH(G719, {"Waiting for Input","Analyzing Object","Found Object","Needs Help","Confused","None"}, 0) - 1</f>
        <v/>
      </c>
      <c r="I719" s="31" t="inlineStr">
        <is>
          <t>Confused</t>
        </is>
      </c>
      <c r="J719" s="29">
        <f>MATCH(I719, {"Waiting for Input","Analyzing Object","Found Object","Needs Help","Confused","None"}, 0) - 1</f>
        <v/>
      </c>
      <c r="K719" s="29" t="n">
        <v>3</v>
      </c>
      <c r="L719" s="29">
        <f>IF(H719=J719, 1, 0)</f>
        <v/>
      </c>
    </row>
    <row r="720">
      <c r="D720" s="29" t="n">
        <v>695</v>
      </c>
      <c r="E720" s="29" t="inlineStr">
        <is>
          <t>1</t>
        </is>
      </c>
      <c r="F720" s="30" t="inlineStr">
        <is>
          <t>Random</t>
        </is>
      </c>
      <c r="G720" s="29" t="inlineStr">
        <is>
          <t>Needs Help</t>
        </is>
      </c>
      <c r="H720" s="29">
        <f>MATCH(G720, {"Waiting for Input","Analyzing Object","Found Object","Needs Help","Confused","None"}, 0) - 1</f>
        <v/>
      </c>
      <c r="I720" s="31" t="inlineStr">
        <is>
          <t>Confused</t>
        </is>
      </c>
      <c r="J720" s="29">
        <f>MATCH(I720, {"Waiting for Input","Analyzing Object","Found Object","Needs Help","Confused","None"}, 0) - 1</f>
        <v/>
      </c>
      <c r="K720" s="29" t="n">
        <v>2</v>
      </c>
      <c r="L720" s="29">
        <f>IF(H720=J720, 1, 0)</f>
        <v/>
      </c>
    </row>
    <row r="721">
      <c r="D721" s="29" t="n">
        <v>696</v>
      </c>
      <c r="E721" s="29" t="inlineStr">
        <is>
          <t>2</t>
        </is>
      </c>
      <c r="F721" s="30" t="inlineStr">
        <is>
          <t>Random</t>
        </is>
      </c>
      <c r="G721" s="29" t="inlineStr">
        <is>
          <t>Needs Help</t>
        </is>
      </c>
      <c r="H721" s="29">
        <f>MATCH(G721, {"Waiting for Input","Analyzing Object","Found Object","Needs Help","Confused","None"}, 0) - 1</f>
        <v/>
      </c>
      <c r="I721" s="31" t="inlineStr">
        <is>
          <t>Confused</t>
        </is>
      </c>
      <c r="J721" s="29">
        <f>MATCH(I721, {"Waiting for Input","Analyzing Object","Found Object","Needs Help","Confused","None"}, 0) - 1</f>
        <v/>
      </c>
      <c r="K721" s="29" t="n">
        <v>1</v>
      </c>
      <c r="L721" s="29">
        <f>IF(H721=J721, 1, 0)</f>
        <v/>
      </c>
    </row>
    <row r="722">
      <c r="D722" s="29" t="n">
        <v>697</v>
      </c>
      <c r="E722" s="29" t="inlineStr">
        <is>
          <t>2</t>
        </is>
      </c>
      <c r="F722" s="30" t="inlineStr">
        <is>
          <t>Random</t>
        </is>
      </c>
      <c r="G722" s="29" t="inlineStr">
        <is>
          <t>Needs Help</t>
        </is>
      </c>
      <c r="H722" s="29">
        <f>MATCH(G722, {"Waiting for Input","Analyzing Object","Found Object","Needs Help","Confused","None"}, 0) - 1</f>
        <v/>
      </c>
      <c r="I722" s="31" t="inlineStr">
        <is>
          <t>Analyzing Object</t>
        </is>
      </c>
      <c r="J722" s="29">
        <f>MATCH(I722, {"Waiting for Input","Analyzing Object","Found Object","Needs Help","Confused","None"}, 0) - 1</f>
        <v/>
      </c>
      <c r="K722" s="29" t="n">
        <v>5</v>
      </c>
      <c r="L722" s="29">
        <f>IF(H722=J722, 1, 0)</f>
        <v/>
      </c>
    </row>
    <row r="723">
      <c r="D723" s="29" t="n">
        <v>698</v>
      </c>
      <c r="E723" s="29" t="inlineStr">
        <is>
          <t>1</t>
        </is>
      </c>
      <c r="F723" s="30" t="inlineStr">
        <is>
          <t>Random</t>
        </is>
      </c>
      <c r="G723" s="29" t="inlineStr">
        <is>
          <t>Needs Help</t>
        </is>
      </c>
      <c r="H723" s="29">
        <f>MATCH(G723, {"Waiting for Input","Analyzing Object","Found Object","Needs Help","Confused","None"}, 0) - 1</f>
        <v/>
      </c>
      <c r="I723" s="31" t="inlineStr">
        <is>
          <t>Found Object</t>
        </is>
      </c>
      <c r="J723" s="29">
        <f>MATCH(I723, {"Waiting for Input","Analyzing Object","Found Object","Needs Help","Confused","None"}, 0) - 1</f>
        <v/>
      </c>
      <c r="K723" s="29" t="n">
        <v>2</v>
      </c>
      <c r="L723" s="29">
        <f>IF(H723=J723, 1, 0)</f>
        <v/>
      </c>
    </row>
    <row r="724">
      <c r="D724" s="29" t="n">
        <v>699</v>
      </c>
      <c r="E724" s="29" t="inlineStr">
        <is>
          <t>1</t>
        </is>
      </c>
      <c r="F724" s="30" t="inlineStr">
        <is>
          <t>Random</t>
        </is>
      </c>
      <c r="G724" s="29" t="inlineStr">
        <is>
          <t>Needs Help</t>
        </is>
      </c>
      <c r="H724" s="29">
        <f>MATCH(G724, {"Waiting for Input","Analyzing Object","Found Object","Needs Help","Confused","None"}, 0) - 1</f>
        <v/>
      </c>
      <c r="I724" s="31" t="inlineStr">
        <is>
          <t>Confused</t>
        </is>
      </c>
      <c r="J724" s="29">
        <f>MATCH(I724, {"Waiting for Input","Analyzing Object","Found Object","Needs Help","Confused","None"}, 0) - 1</f>
        <v/>
      </c>
      <c r="K724" s="29" t="n">
        <v>3</v>
      </c>
      <c r="L724" s="29">
        <f>IF(H724=J724, 1, 0)</f>
        <v/>
      </c>
    </row>
    <row r="725">
      <c r="D725" s="29" t="n">
        <v>700</v>
      </c>
      <c r="E725" s="29" t="inlineStr">
        <is>
          <t>1</t>
        </is>
      </c>
      <c r="F725" s="30" t="inlineStr">
        <is>
          <t>Random</t>
        </is>
      </c>
      <c r="G725" s="29" t="inlineStr">
        <is>
          <t>Needs Help</t>
        </is>
      </c>
      <c r="H725" s="29">
        <f>MATCH(G725, {"Waiting for Input","Analyzing Object","Found Object","Needs Help","Confused","None"}, 0) - 1</f>
        <v/>
      </c>
      <c r="I725" s="31" t="inlineStr">
        <is>
          <t>Analyzing Object</t>
        </is>
      </c>
      <c r="J725" s="29">
        <f>MATCH(I725, {"Waiting for Input","Analyzing Object","Found Object","Needs Help","Confused","None"}, 0) - 1</f>
        <v/>
      </c>
      <c r="K725" s="29" t="n">
        <v>5</v>
      </c>
      <c r="L725" s="29">
        <f>IF(H725=J725, 1, 0)</f>
        <v/>
      </c>
    </row>
    <row r="726">
      <c r="D726" s="29" t="n">
        <v>701</v>
      </c>
      <c r="E726" s="29" t="inlineStr">
        <is>
          <t>2</t>
        </is>
      </c>
      <c r="F726" s="30" t="inlineStr">
        <is>
          <t>Random</t>
        </is>
      </c>
      <c r="G726" s="29" t="inlineStr">
        <is>
          <t>Needs Help</t>
        </is>
      </c>
      <c r="H726" s="29">
        <f>MATCH(G726, {"Waiting for Input","Analyzing Object","Found Object","Needs Help","Confused","None"}, 0) - 1</f>
        <v/>
      </c>
      <c r="I726" s="31" t="inlineStr">
        <is>
          <t>Analyzing Object</t>
        </is>
      </c>
      <c r="J726" s="29">
        <f>MATCH(I726, {"Waiting for Input","Analyzing Object","Found Object","Needs Help","Confused","None"}, 0) - 1</f>
        <v/>
      </c>
      <c r="K726" s="29" t="n">
        <v>3</v>
      </c>
      <c r="L726" s="29">
        <f>IF(H726=J726, 1, 0)</f>
        <v/>
      </c>
    </row>
    <row r="727">
      <c r="D727" s="29" t="n">
        <v>702</v>
      </c>
      <c r="E727" s="29" t="inlineStr">
        <is>
          <t>2</t>
        </is>
      </c>
      <c r="F727" s="30" t="inlineStr">
        <is>
          <t>Random</t>
        </is>
      </c>
      <c r="G727" s="29" t="inlineStr">
        <is>
          <t>Needs Help</t>
        </is>
      </c>
      <c r="H727" s="29">
        <f>MATCH(G727, {"Waiting for Input","Analyzing Object","Found Object","Needs Help","Confused","None"}, 0) - 1</f>
        <v/>
      </c>
      <c r="I727" s="31" t="inlineStr">
        <is>
          <t>Needs Help</t>
        </is>
      </c>
      <c r="J727" s="29">
        <f>MATCH(I727, {"Waiting for Input","Analyzing Object","Found Object","Needs Help","Confused","None"}, 0) - 1</f>
        <v/>
      </c>
      <c r="K727" s="29" t="n">
        <v>1</v>
      </c>
      <c r="L727" s="29">
        <f>IF(H727=J727, 1, 0)</f>
        <v/>
      </c>
    </row>
    <row r="728">
      <c r="D728" s="29" t="n">
        <v>703</v>
      </c>
      <c r="E728" s="29" t="inlineStr">
        <is>
          <t>2</t>
        </is>
      </c>
      <c r="F728" s="30" t="inlineStr">
        <is>
          <t>Random</t>
        </is>
      </c>
      <c r="G728" s="29" t="inlineStr">
        <is>
          <t>Needs Help</t>
        </is>
      </c>
      <c r="H728" s="29">
        <f>MATCH(G728, {"Waiting for Input","Analyzing Object","Found Object","Needs Help","Confused","None"}, 0) - 1</f>
        <v/>
      </c>
      <c r="I728" s="31" t="inlineStr">
        <is>
          <t>Analyzing Object</t>
        </is>
      </c>
      <c r="J728" s="29">
        <f>MATCH(I728, {"Waiting for Input","Analyzing Object","Found Object","Needs Help","Confused","None"}, 0) - 1</f>
        <v/>
      </c>
      <c r="K728" s="29" t="n">
        <v>2</v>
      </c>
      <c r="L728" s="29">
        <f>IF(H728=J728, 1, 0)</f>
        <v/>
      </c>
    </row>
    <row r="729">
      <c r="D729" s="29" t="n">
        <v>704</v>
      </c>
      <c r="E729" s="29" t="inlineStr">
        <is>
          <t>2</t>
        </is>
      </c>
      <c r="F729" s="30" t="inlineStr">
        <is>
          <t>Random</t>
        </is>
      </c>
      <c r="G729" s="29" t="inlineStr">
        <is>
          <t>Needs Help</t>
        </is>
      </c>
      <c r="H729" s="29">
        <f>MATCH(G729, {"Waiting for Input","Analyzing Object","Found Object","Needs Help","Confused","None"}, 0) - 1</f>
        <v/>
      </c>
      <c r="I729" s="31" t="inlineStr">
        <is>
          <t>Confused</t>
        </is>
      </c>
      <c r="J729" s="29">
        <f>MATCH(I729, {"Waiting for Input","Analyzing Object","Found Object","Needs Help","Confused","None"}, 0) - 1</f>
        <v/>
      </c>
      <c r="K729" s="29" t="n">
        <v>2</v>
      </c>
      <c r="L729" s="29">
        <f>IF(H729=J729, 1, 0)</f>
        <v/>
      </c>
    </row>
    <row r="730">
      <c r="D730" s="29" t="n">
        <v>705</v>
      </c>
      <c r="E730" s="29" t="inlineStr">
        <is>
          <t>2</t>
        </is>
      </c>
      <c r="F730" s="30" t="inlineStr">
        <is>
          <t>Random</t>
        </is>
      </c>
      <c r="G730" s="29" t="inlineStr">
        <is>
          <t>Needs Help</t>
        </is>
      </c>
      <c r="H730" s="29">
        <f>MATCH(G730, {"Waiting for Input","Analyzing Object","Found Object","Needs Help","Confused","None"}, 0) - 1</f>
        <v/>
      </c>
      <c r="I730" s="31" t="inlineStr">
        <is>
          <t>Found Object</t>
        </is>
      </c>
      <c r="J730" s="29">
        <f>MATCH(I730, {"Waiting for Input","Analyzing Object","Found Object","Needs Help","Confused","None"}, 0) - 1</f>
        <v/>
      </c>
      <c r="K730" s="29" t="n">
        <v>3</v>
      </c>
      <c r="L730" s="29">
        <f>IF(H730=J730, 1, 0)</f>
        <v/>
      </c>
    </row>
    <row r="731">
      <c r="D731" s="29" t="n">
        <v>706</v>
      </c>
      <c r="E731" s="29" t="inlineStr">
        <is>
          <t>2</t>
        </is>
      </c>
      <c r="F731" s="30" t="inlineStr">
        <is>
          <t>Random</t>
        </is>
      </c>
      <c r="G731" s="29" t="inlineStr">
        <is>
          <t>Needs Help</t>
        </is>
      </c>
      <c r="H731" s="29">
        <f>MATCH(G731, {"Waiting for Input","Analyzing Object","Found Object","Needs Help","Confused","None"}, 0) - 1</f>
        <v/>
      </c>
      <c r="I731" s="31" t="inlineStr">
        <is>
          <t>Analyzing Object</t>
        </is>
      </c>
      <c r="J731" s="29">
        <f>MATCH(I731, {"Waiting for Input","Analyzing Object","Found Object","Needs Help","Confused","None"}, 0) - 1</f>
        <v/>
      </c>
      <c r="K731" s="29" t="n">
        <v>3</v>
      </c>
      <c r="L731" s="29">
        <f>IF(H731=J731, 1, 0)</f>
        <v/>
      </c>
    </row>
    <row r="732">
      <c r="D732" s="29" t="n">
        <v>707</v>
      </c>
      <c r="E732" s="29" t="inlineStr">
        <is>
          <t>2</t>
        </is>
      </c>
      <c r="F732" s="30" t="inlineStr">
        <is>
          <t>Random</t>
        </is>
      </c>
      <c r="G732" s="29" t="inlineStr">
        <is>
          <t>Needs Help</t>
        </is>
      </c>
      <c r="H732" s="29">
        <f>MATCH(G732, {"Waiting for Input","Analyzing Object","Found Object","Needs Help","Confused","None"}, 0) - 1</f>
        <v/>
      </c>
      <c r="I732" s="31" t="inlineStr">
        <is>
          <t>Analyzing Object</t>
        </is>
      </c>
      <c r="J732" s="29">
        <f>MATCH(I732, {"Waiting for Input","Analyzing Object","Found Object","Needs Help","Confused","None"}, 0) - 1</f>
        <v/>
      </c>
      <c r="K732" s="29" t="n">
        <v>3</v>
      </c>
      <c r="L732" s="29">
        <f>IF(H732=J732, 1, 0)</f>
        <v/>
      </c>
    </row>
    <row r="733">
      <c r="D733" s="29" t="n">
        <v>708</v>
      </c>
      <c r="E733" s="29" t="inlineStr">
        <is>
          <t>2</t>
        </is>
      </c>
      <c r="F733" s="30" t="inlineStr">
        <is>
          <t>Random</t>
        </is>
      </c>
      <c r="G733" s="29" t="inlineStr">
        <is>
          <t>Needs Help</t>
        </is>
      </c>
      <c r="H733" s="29">
        <f>MATCH(G733, {"Waiting for Input","Analyzing Object","Found Object","Needs Help","Confused","None"}, 0) - 1</f>
        <v/>
      </c>
      <c r="I733" s="31" t="inlineStr">
        <is>
          <t>Analyzing Object</t>
        </is>
      </c>
      <c r="J733" s="29">
        <f>MATCH(I733, {"Waiting for Input","Analyzing Object","Found Object","Needs Help","Confused","None"}, 0) - 1</f>
        <v/>
      </c>
      <c r="K733" s="29" t="n">
        <v>3</v>
      </c>
      <c r="L733" s="29">
        <f>IF(H733=J733, 1, 0)</f>
        <v/>
      </c>
    </row>
    <row r="734">
      <c r="D734" s="29" t="n">
        <v>709</v>
      </c>
      <c r="E734" s="29" t="inlineStr">
        <is>
          <t>2</t>
        </is>
      </c>
      <c r="F734" s="30" t="inlineStr">
        <is>
          <t>Random</t>
        </is>
      </c>
      <c r="G734" s="29" t="inlineStr">
        <is>
          <t>Needs Help</t>
        </is>
      </c>
      <c r="H734" s="29">
        <f>MATCH(G734, {"Waiting for Input","Analyzing Object","Found Object","Needs Help","Confused","None"}, 0) - 1</f>
        <v/>
      </c>
      <c r="I734" s="31" t="inlineStr">
        <is>
          <t>Analyzing Object</t>
        </is>
      </c>
      <c r="J734" s="29">
        <f>MATCH(I734, {"Waiting for Input","Analyzing Object","Found Object","Needs Help","Confused","None"}, 0) - 1</f>
        <v/>
      </c>
      <c r="K734" s="29" t="n">
        <v>4</v>
      </c>
      <c r="L734" s="29">
        <f>IF(H734=J734, 1, 0)</f>
        <v/>
      </c>
    </row>
    <row r="735">
      <c r="D735" s="29" t="n">
        <v>710</v>
      </c>
      <c r="E735" s="29" t="inlineStr">
        <is>
          <t>2</t>
        </is>
      </c>
      <c r="F735" s="30" t="inlineStr">
        <is>
          <t>Random</t>
        </is>
      </c>
      <c r="G735" s="29" t="inlineStr">
        <is>
          <t>Needs Help</t>
        </is>
      </c>
      <c r="H735" s="29">
        <f>MATCH(G735, {"Waiting for Input","Analyzing Object","Found Object","Needs Help","Confused","None"}, 0) - 1</f>
        <v/>
      </c>
      <c r="I735" s="31" t="inlineStr">
        <is>
          <t>None</t>
        </is>
      </c>
      <c r="J735" s="29">
        <f>MATCH(I735, {"Waiting for Input","Analyzing Object","Found Object","Needs Help","Confused","None"}, 0) - 1</f>
        <v/>
      </c>
      <c r="K735" s="29" t="n">
        <v>2</v>
      </c>
      <c r="L735" s="29">
        <f>IF(H735=J735, 1, 0)</f>
        <v/>
      </c>
    </row>
    <row r="736">
      <c r="D736" s="29" t="n">
        <v>711</v>
      </c>
      <c r="E736" s="29" t="inlineStr">
        <is>
          <t>1</t>
        </is>
      </c>
      <c r="F736" s="30" t="inlineStr">
        <is>
          <t>Random</t>
        </is>
      </c>
      <c r="G736" s="29" t="inlineStr">
        <is>
          <t>Needs Help</t>
        </is>
      </c>
      <c r="H736" s="29">
        <f>MATCH(G736, {"Waiting for Input","Analyzing Object","Found Object","Needs Help","Confused","None"}, 0) - 1</f>
        <v/>
      </c>
      <c r="I736" s="31" t="inlineStr">
        <is>
          <t>Analyzing Object</t>
        </is>
      </c>
      <c r="J736" s="29">
        <f>MATCH(I736, {"Waiting for Input","Analyzing Object","Found Object","Needs Help","Confused","None"}, 0) - 1</f>
        <v/>
      </c>
      <c r="K736" s="29" t="n">
        <v>4</v>
      </c>
      <c r="L736" s="29">
        <f>IF(H736=J736, 1, 0)</f>
        <v/>
      </c>
    </row>
    <row r="737">
      <c r="D737" s="29" t="n">
        <v>712</v>
      </c>
      <c r="E737" s="29" t="inlineStr">
        <is>
          <t>2</t>
        </is>
      </c>
      <c r="F737" s="30" t="inlineStr">
        <is>
          <t>Random</t>
        </is>
      </c>
      <c r="G737" s="29" t="inlineStr">
        <is>
          <t>Needs Help</t>
        </is>
      </c>
      <c r="H737" s="29">
        <f>MATCH(G737, {"Waiting for Input","Analyzing Object","Found Object","Needs Help","Confused","None"}, 0) - 1</f>
        <v/>
      </c>
      <c r="I737" s="31" t="inlineStr">
        <is>
          <t>Analyzing Object</t>
        </is>
      </c>
      <c r="J737" s="29">
        <f>MATCH(I737, {"Waiting for Input","Analyzing Object","Found Object","Needs Help","Confused","None"}, 0) - 1</f>
        <v/>
      </c>
      <c r="K737" s="29" t="n">
        <v>4</v>
      </c>
      <c r="L737" s="29">
        <f>IF(H737=J737, 1, 0)</f>
        <v/>
      </c>
    </row>
    <row r="738">
      <c r="D738" s="29" t="n">
        <v>713</v>
      </c>
      <c r="E738" s="29" t="inlineStr">
        <is>
          <t>2</t>
        </is>
      </c>
      <c r="F738" s="30" t="inlineStr">
        <is>
          <t>Random</t>
        </is>
      </c>
      <c r="G738" s="29" t="inlineStr">
        <is>
          <t>Needs Help</t>
        </is>
      </c>
      <c r="H738" s="29">
        <f>MATCH(G738, {"Waiting for Input","Analyzing Object","Found Object","Needs Help","Confused","None"}, 0) - 1</f>
        <v/>
      </c>
      <c r="I738" s="31" t="inlineStr">
        <is>
          <t>None</t>
        </is>
      </c>
      <c r="J738" s="29">
        <f>MATCH(I738, {"Waiting for Input","Analyzing Object","Found Object","Needs Help","Confused","None"}, 0) - 1</f>
        <v/>
      </c>
      <c r="K738" s="29" t="n">
        <v>3</v>
      </c>
      <c r="L738" s="29">
        <f>IF(H738=J738, 1, 0)</f>
        <v/>
      </c>
    </row>
    <row r="739">
      <c r="D739" s="29" t="n">
        <v>714</v>
      </c>
      <c r="E739" s="29" t="inlineStr">
        <is>
          <t>1</t>
        </is>
      </c>
      <c r="F739" s="30" t="inlineStr">
        <is>
          <t>Random</t>
        </is>
      </c>
      <c r="G739" s="29" t="inlineStr">
        <is>
          <t>Needs Help</t>
        </is>
      </c>
      <c r="H739" s="29">
        <f>MATCH(G739, {"Waiting for Input","Analyzing Object","Found Object","Needs Help","Confused","None"}, 0) - 1</f>
        <v/>
      </c>
      <c r="I739" s="31" t="inlineStr">
        <is>
          <t>Analyzing Object</t>
        </is>
      </c>
      <c r="J739" s="29">
        <f>MATCH(I739, {"Waiting for Input","Analyzing Object","Found Object","Needs Help","Confused","None"}, 0) - 1</f>
        <v/>
      </c>
      <c r="K739" s="29" t="n">
        <v>5</v>
      </c>
      <c r="L739" s="29">
        <f>IF(H739=J739, 1, 0)</f>
        <v/>
      </c>
    </row>
    <row r="740">
      <c r="D740" s="29" t="n">
        <v>715</v>
      </c>
      <c r="E740" s="29" t="inlineStr">
        <is>
          <t>2</t>
        </is>
      </c>
      <c r="F740" s="30" t="inlineStr">
        <is>
          <t>Random</t>
        </is>
      </c>
      <c r="G740" s="29" t="inlineStr">
        <is>
          <t>Needs Help</t>
        </is>
      </c>
      <c r="H740" s="29">
        <f>MATCH(G740, {"Waiting for Input","Analyzing Object","Found Object","Needs Help","Confused","None"}, 0) - 1</f>
        <v/>
      </c>
      <c r="I740" s="31" t="inlineStr">
        <is>
          <t>Analyzing Object</t>
        </is>
      </c>
      <c r="J740" s="29">
        <f>MATCH(I740, {"Waiting for Input","Analyzing Object","Found Object","Needs Help","Confused","None"}, 0) - 1</f>
        <v/>
      </c>
      <c r="K740" s="29" t="n">
        <v>4</v>
      </c>
      <c r="L740" s="29">
        <f>IF(H740=J740, 1, 0)</f>
        <v/>
      </c>
    </row>
    <row r="741">
      <c r="D741" s="29" t="n">
        <v>716</v>
      </c>
      <c r="E741" s="29" t="inlineStr">
        <is>
          <t>2</t>
        </is>
      </c>
      <c r="F741" s="30" t="inlineStr">
        <is>
          <t>Random</t>
        </is>
      </c>
      <c r="G741" s="29" t="inlineStr">
        <is>
          <t>Needs Help</t>
        </is>
      </c>
      <c r="H741" s="29">
        <f>MATCH(G741, {"Waiting for Input","Analyzing Object","Found Object","Needs Help","Confused","None"}, 0) - 1</f>
        <v/>
      </c>
      <c r="I741" s="31" t="inlineStr">
        <is>
          <t>Analyzing Object</t>
        </is>
      </c>
      <c r="J741" s="29">
        <f>MATCH(I741, {"Waiting for Input","Analyzing Object","Found Object","Needs Help","Confused","None"}, 0) - 1</f>
        <v/>
      </c>
      <c r="K741" s="29" t="n">
        <v>4</v>
      </c>
      <c r="L741" s="29">
        <f>IF(H741=J741, 1, 0)</f>
        <v/>
      </c>
    </row>
    <row r="742">
      <c r="D742" s="29" t="n">
        <v>717</v>
      </c>
      <c r="E742" s="29" t="inlineStr">
        <is>
          <t>2</t>
        </is>
      </c>
      <c r="F742" s="30" t="inlineStr">
        <is>
          <t>Random</t>
        </is>
      </c>
      <c r="G742" s="29" t="inlineStr">
        <is>
          <t>Needs Help</t>
        </is>
      </c>
      <c r="H742" s="29">
        <f>MATCH(G742, {"Waiting for Input","Analyzing Object","Found Object","Needs Help","Confused","None"}, 0) - 1</f>
        <v/>
      </c>
      <c r="I742" s="31" t="inlineStr">
        <is>
          <t>Analyzing Object</t>
        </is>
      </c>
      <c r="J742" s="29">
        <f>MATCH(I742, {"Waiting for Input","Analyzing Object","Found Object","Needs Help","Confused","None"}, 0) - 1</f>
        <v/>
      </c>
      <c r="K742" s="29" t="n">
        <v>2</v>
      </c>
      <c r="L742" s="29">
        <f>IF(H742=J742, 1, 0)</f>
        <v/>
      </c>
    </row>
    <row r="743">
      <c r="D743" s="29" t="n">
        <v>718</v>
      </c>
      <c r="E743" s="29" t="inlineStr">
        <is>
          <t>1</t>
        </is>
      </c>
      <c r="F743" s="30" t="inlineStr">
        <is>
          <t>Random</t>
        </is>
      </c>
      <c r="G743" s="29" t="inlineStr">
        <is>
          <t>Needs Help</t>
        </is>
      </c>
      <c r="H743" s="29">
        <f>MATCH(G743, {"Waiting for Input","Analyzing Object","Found Object","Needs Help","Confused","None"}, 0) - 1</f>
        <v/>
      </c>
      <c r="I743" s="31" t="inlineStr">
        <is>
          <t>Analyzing Object</t>
        </is>
      </c>
      <c r="J743" s="29">
        <f>MATCH(I743, {"Waiting for Input","Analyzing Object","Found Object","Needs Help","Confused","None"}, 0) - 1</f>
        <v/>
      </c>
      <c r="K743" s="29" t="n">
        <v>5</v>
      </c>
      <c r="L743" s="29">
        <f>IF(H743=J743, 1, 0)</f>
        <v/>
      </c>
    </row>
    <row r="744">
      <c r="D744" s="29" t="n">
        <v>719</v>
      </c>
      <c r="E744" s="29" t="inlineStr">
        <is>
          <t>2</t>
        </is>
      </c>
      <c r="F744" s="30" t="inlineStr">
        <is>
          <t>Random</t>
        </is>
      </c>
      <c r="G744" s="29" t="inlineStr">
        <is>
          <t>Needs Help</t>
        </is>
      </c>
      <c r="H744" s="29">
        <f>MATCH(G744, {"Waiting for Input","Analyzing Object","Found Object","Needs Help","Confused","None"}, 0) - 1</f>
        <v/>
      </c>
      <c r="I744" s="31" t="inlineStr">
        <is>
          <t>Analyzing Object</t>
        </is>
      </c>
      <c r="J744" s="29">
        <f>MATCH(I744, {"Waiting for Input","Analyzing Object","Found Object","Needs Help","Confused","None"}, 0) - 1</f>
        <v/>
      </c>
      <c r="K744" s="29" t="n">
        <v>2</v>
      </c>
      <c r="L744" s="29">
        <f>IF(H744=J744, 1, 0)</f>
        <v/>
      </c>
    </row>
    <row r="745">
      <c r="D745" s="29" t="n">
        <v>720</v>
      </c>
      <c r="E745" s="29" t="inlineStr">
        <is>
          <t>1</t>
        </is>
      </c>
      <c r="F745" s="30" t="inlineStr">
        <is>
          <t>GPT4</t>
        </is>
      </c>
      <c r="G745" s="29" t="inlineStr">
        <is>
          <t>Confused</t>
        </is>
      </c>
      <c r="H745" s="29">
        <f>MATCH(G745, {"Waiting for Input","Analyzing Object","Found Object","Needs Help","Confused","None"}, 0) - 1</f>
        <v/>
      </c>
      <c r="I745" s="31" t="inlineStr">
        <is>
          <t>Needs Help</t>
        </is>
      </c>
      <c r="J745" s="29">
        <f>MATCH(I745, {"Waiting for Input","Analyzing Object","Found Object","Needs Help","Confused","None"}, 0) - 1</f>
        <v/>
      </c>
      <c r="K745" s="29" t="n">
        <v>3</v>
      </c>
      <c r="L745" s="29">
        <f>IF(H745=J745, 1, 0)</f>
        <v/>
      </c>
    </row>
    <row r="746">
      <c r="D746" s="29" t="n">
        <v>721</v>
      </c>
      <c r="E746" s="29" t="inlineStr">
        <is>
          <t>1</t>
        </is>
      </c>
      <c r="F746" s="30" t="inlineStr">
        <is>
          <t>GPT4</t>
        </is>
      </c>
      <c r="G746" s="29" t="inlineStr">
        <is>
          <t>Confused</t>
        </is>
      </c>
      <c r="H746" s="29">
        <f>MATCH(G746, {"Waiting for Input","Analyzing Object","Found Object","Needs Help","Confused","None"}, 0) - 1</f>
        <v/>
      </c>
      <c r="I746" s="31" t="inlineStr">
        <is>
          <t>Needs Help</t>
        </is>
      </c>
      <c r="J746" s="29">
        <f>MATCH(I746, {"Waiting for Input","Analyzing Object","Found Object","Needs Help","Confused","None"}, 0) - 1</f>
        <v/>
      </c>
      <c r="K746" s="29" t="n">
        <v>4</v>
      </c>
      <c r="L746" s="29">
        <f>IF(H746=J746, 1, 0)</f>
        <v/>
      </c>
    </row>
    <row r="747">
      <c r="D747" s="29" t="n">
        <v>722</v>
      </c>
      <c r="E747" s="29" t="inlineStr">
        <is>
          <t>1</t>
        </is>
      </c>
      <c r="F747" s="30" t="inlineStr">
        <is>
          <t>GPT4</t>
        </is>
      </c>
      <c r="G747" s="29" t="inlineStr">
        <is>
          <t>Confused</t>
        </is>
      </c>
      <c r="H747" s="29">
        <f>MATCH(G747, {"Waiting for Input","Analyzing Object","Found Object","Needs Help","Confused","None"}, 0) - 1</f>
        <v/>
      </c>
      <c r="I747" s="31" t="inlineStr">
        <is>
          <t>Needs Help</t>
        </is>
      </c>
      <c r="J747" s="29">
        <f>MATCH(I747, {"Waiting for Input","Analyzing Object","Found Object","Needs Help","Confused","None"}, 0) - 1</f>
        <v/>
      </c>
      <c r="K747" s="29" t="n">
        <v>1</v>
      </c>
      <c r="L747" s="29">
        <f>IF(H747=J747, 1, 0)</f>
        <v/>
      </c>
    </row>
    <row r="748">
      <c r="D748" s="29" t="n">
        <v>723</v>
      </c>
      <c r="E748" s="29" t="inlineStr">
        <is>
          <t>2</t>
        </is>
      </c>
      <c r="F748" s="30" t="inlineStr">
        <is>
          <t>GPT4</t>
        </is>
      </c>
      <c r="G748" s="29" t="inlineStr">
        <is>
          <t>Confused</t>
        </is>
      </c>
      <c r="H748" s="29">
        <f>MATCH(G748, {"Waiting for Input","Analyzing Object","Found Object","Needs Help","Confused","None"}, 0) - 1</f>
        <v/>
      </c>
      <c r="I748" s="31" t="inlineStr">
        <is>
          <t>Needs Help</t>
        </is>
      </c>
      <c r="J748" s="29">
        <f>MATCH(I748, {"Waiting for Input","Analyzing Object","Found Object","Needs Help","Confused","None"}, 0) - 1</f>
        <v/>
      </c>
      <c r="K748" s="29" t="n">
        <v>3</v>
      </c>
      <c r="L748" s="29">
        <f>IF(H748=J748, 1, 0)</f>
        <v/>
      </c>
    </row>
    <row r="749">
      <c r="D749" s="29" t="n">
        <v>724</v>
      </c>
      <c r="E749" s="29" t="inlineStr">
        <is>
          <t>2</t>
        </is>
      </c>
      <c r="F749" s="30" t="inlineStr">
        <is>
          <t>GPT4</t>
        </is>
      </c>
      <c r="G749" s="29" t="inlineStr">
        <is>
          <t>Confused</t>
        </is>
      </c>
      <c r="H749" s="29">
        <f>MATCH(G749, {"Waiting for Input","Analyzing Object","Found Object","Needs Help","Confused","None"}, 0) - 1</f>
        <v/>
      </c>
      <c r="I749" s="31" t="inlineStr">
        <is>
          <t>Confused</t>
        </is>
      </c>
      <c r="J749" s="29">
        <f>MATCH(I749, {"Waiting for Input","Analyzing Object","Found Object","Needs Help","Confused","None"}, 0) - 1</f>
        <v/>
      </c>
      <c r="K749" s="29" t="n">
        <v>4</v>
      </c>
      <c r="L749" s="29">
        <f>IF(H749=J749, 1, 0)</f>
        <v/>
      </c>
    </row>
    <row r="750">
      <c r="D750" s="29" t="n">
        <v>725</v>
      </c>
      <c r="E750" s="29" t="inlineStr">
        <is>
          <t>1</t>
        </is>
      </c>
      <c r="F750" s="30" t="inlineStr">
        <is>
          <t>GPT4</t>
        </is>
      </c>
      <c r="G750" s="29" t="inlineStr">
        <is>
          <t>Confused</t>
        </is>
      </c>
      <c r="H750" s="29">
        <f>MATCH(G750, {"Waiting for Input","Analyzing Object","Found Object","Needs Help","Confused","None"}, 0) - 1</f>
        <v/>
      </c>
      <c r="I750" s="31" t="inlineStr">
        <is>
          <t>Confused</t>
        </is>
      </c>
      <c r="J750" s="29">
        <f>MATCH(I750, {"Waiting for Input","Analyzing Object","Found Object","Needs Help","Confused","None"}, 0) - 1</f>
        <v/>
      </c>
      <c r="K750" s="29" t="n">
        <v>5</v>
      </c>
      <c r="L750" s="29">
        <f>IF(H750=J750, 1, 0)</f>
        <v/>
      </c>
    </row>
    <row r="751">
      <c r="D751" s="29" t="n">
        <v>726</v>
      </c>
      <c r="E751" s="29" t="inlineStr">
        <is>
          <t>2</t>
        </is>
      </c>
      <c r="F751" s="30" t="inlineStr">
        <is>
          <t>GPT4</t>
        </is>
      </c>
      <c r="G751" s="29" t="inlineStr">
        <is>
          <t>Confused</t>
        </is>
      </c>
      <c r="H751" s="29">
        <f>MATCH(G751, {"Waiting for Input","Analyzing Object","Found Object","Needs Help","Confused","None"}, 0) - 1</f>
        <v/>
      </c>
      <c r="I751" s="31" t="inlineStr">
        <is>
          <t>Analyzing Object</t>
        </is>
      </c>
      <c r="J751" s="29">
        <f>MATCH(I751, {"Waiting for Input","Analyzing Object","Found Object","Needs Help","Confused","None"}, 0) - 1</f>
        <v/>
      </c>
      <c r="K751" s="29" t="n">
        <v>2</v>
      </c>
      <c r="L751" s="29">
        <f>IF(H751=J751, 1, 0)</f>
        <v/>
      </c>
    </row>
    <row r="752">
      <c r="D752" s="29" t="n">
        <v>727</v>
      </c>
      <c r="E752" s="29" t="inlineStr">
        <is>
          <t>1</t>
        </is>
      </c>
      <c r="F752" s="30" t="inlineStr">
        <is>
          <t>GPT4</t>
        </is>
      </c>
      <c r="G752" s="29" t="inlineStr">
        <is>
          <t>Confused</t>
        </is>
      </c>
      <c r="H752" s="29">
        <f>MATCH(G752, {"Waiting for Input","Analyzing Object","Found Object","Needs Help","Confused","None"}, 0) - 1</f>
        <v/>
      </c>
      <c r="I752" s="31" t="inlineStr">
        <is>
          <t>Confused</t>
        </is>
      </c>
      <c r="J752" s="29">
        <f>MATCH(I752, {"Waiting for Input","Analyzing Object","Found Object","Needs Help","Confused","None"}, 0) - 1</f>
        <v/>
      </c>
      <c r="K752" s="29" t="n">
        <v>3</v>
      </c>
      <c r="L752" s="29">
        <f>IF(H752=J752, 1, 0)</f>
        <v/>
      </c>
    </row>
    <row r="753">
      <c r="D753" s="29" t="n">
        <v>728</v>
      </c>
      <c r="E753" s="29" t="inlineStr">
        <is>
          <t>1</t>
        </is>
      </c>
      <c r="F753" s="30" t="inlineStr">
        <is>
          <t>GPT4</t>
        </is>
      </c>
      <c r="G753" s="29" t="inlineStr">
        <is>
          <t>Confused</t>
        </is>
      </c>
      <c r="H753" s="29">
        <f>MATCH(G753, {"Waiting for Input","Analyzing Object","Found Object","Needs Help","Confused","None"}, 0) - 1</f>
        <v/>
      </c>
      <c r="I753" s="31" t="inlineStr">
        <is>
          <t>Analyzing Object</t>
        </is>
      </c>
      <c r="J753" s="29">
        <f>MATCH(I753, {"Waiting for Input","Analyzing Object","Found Object","Needs Help","Confused","None"}, 0) - 1</f>
        <v/>
      </c>
      <c r="K753" s="29" t="n">
        <v>2</v>
      </c>
      <c r="L753" s="29">
        <f>IF(H753=J753, 1, 0)</f>
        <v/>
      </c>
    </row>
    <row r="754">
      <c r="D754" s="29" t="n">
        <v>729</v>
      </c>
      <c r="E754" s="29" t="inlineStr">
        <is>
          <t>1</t>
        </is>
      </c>
      <c r="F754" s="30" t="inlineStr">
        <is>
          <t>GPT4</t>
        </is>
      </c>
      <c r="G754" s="29" t="inlineStr">
        <is>
          <t>Confused</t>
        </is>
      </c>
      <c r="H754" s="29">
        <f>MATCH(G754, {"Waiting for Input","Analyzing Object","Found Object","Needs Help","Confused","None"}, 0) - 1</f>
        <v/>
      </c>
      <c r="I754" s="31" t="inlineStr">
        <is>
          <t>Needs Help</t>
        </is>
      </c>
      <c r="J754" s="29">
        <f>MATCH(I754, {"Waiting for Input","Analyzing Object","Found Object","Needs Help","Confused","None"}, 0) - 1</f>
        <v/>
      </c>
      <c r="K754" s="29" t="n">
        <v>3</v>
      </c>
      <c r="L754" s="29">
        <f>IF(H754=J754, 1, 0)</f>
        <v/>
      </c>
    </row>
    <row r="755">
      <c r="D755" s="29" t="n">
        <v>730</v>
      </c>
      <c r="E755" s="29" t="inlineStr">
        <is>
          <t>2</t>
        </is>
      </c>
      <c r="F755" s="30" t="inlineStr">
        <is>
          <t>GPT4</t>
        </is>
      </c>
      <c r="G755" s="29" t="inlineStr">
        <is>
          <t>Confused</t>
        </is>
      </c>
      <c r="H755" s="29">
        <f>MATCH(G755, {"Waiting for Input","Analyzing Object","Found Object","Needs Help","Confused","None"}, 0) - 1</f>
        <v/>
      </c>
      <c r="I755" s="31" t="inlineStr">
        <is>
          <t>Needs Help</t>
        </is>
      </c>
      <c r="J755" s="29">
        <f>MATCH(I755, {"Waiting for Input","Analyzing Object","Found Object","Needs Help","Confused","None"}, 0) - 1</f>
        <v/>
      </c>
      <c r="K755" s="29" t="n">
        <v>2</v>
      </c>
      <c r="L755" s="29">
        <f>IF(H755=J755, 1, 0)</f>
        <v/>
      </c>
    </row>
    <row r="756">
      <c r="D756" s="29" t="n">
        <v>731</v>
      </c>
      <c r="E756" s="29" t="inlineStr">
        <is>
          <t>2</t>
        </is>
      </c>
      <c r="F756" s="30" t="inlineStr">
        <is>
          <t>GPT4</t>
        </is>
      </c>
      <c r="G756" s="29" t="inlineStr">
        <is>
          <t>Confused</t>
        </is>
      </c>
      <c r="H756" s="29">
        <f>MATCH(G756, {"Waiting for Input","Analyzing Object","Found Object","Needs Help","Confused","None"}, 0) - 1</f>
        <v/>
      </c>
      <c r="I756" s="31" t="inlineStr">
        <is>
          <t>Needs Help</t>
        </is>
      </c>
      <c r="J756" s="29">
        <f>MATCH(I756, {"Waiting for Input","Analyzing Object","Found Object","Needs Help","Confused","None"}, 0) - 1</f>
        <v/>
      </c>
      <c r="K756" s="29" t="n">
        <v>2</v>
      </c>
      <c r="L756" s="29">
        <f>IF(H756=J756, 1, 0)</f>
        <v/>
      </c>
    </row>
    <row r="757">
      <c r="D757" s="29" t="n">
        <v>732</v>
      </c>
      <c r="E757" s="29" t="inlineStr">
        <is>
          <t>2</t>
        </is>
      </c>
      <c r="F757" s="30" t="inlineStr">
        <is>
          <t>GPT4</t>
        </is>
      </c>
      <c r="G757" s="29" t="inlineStr">
        <is>
          <t>Confused</t>
        </is>
      </c>
      <c r="H757" s="29">
        <f>MATCH(G757, {"Waiting for Input","Analyzing Object","Found Object","Needs Help","Confused","None"}, 0) - 1</f>
        <v/>
      </c>
      <c r="I757" s="31" t="inlineStr">
        <is>
          <t>Needs Help</t>
        </is>
      </c>
      <c r="J757" s="29">
        <f>MATCH(I757, {"Waiting for Input","Analyzing Object","Found Object","Needs Help","Confused","None"}, 0) - 1</f>
        <v/>
      </c>
      <c r="K757" s="29" t="n">
        <v>2</v>
      </c>
      <c r="L757" s="29">
        <f>IF(H757=J757, 1, 0)</f>
        <v/>
      </c>
    </row>
    <row r="758">
      <c r="D758" s="29" t="n">
        <v>733</v>
      </c>
      <c r="E758" s="29" t="inlineStr">
        <is>
          <t>2</t>
        </is>
      </c>
      <c r="F758" s="30" t="inlineStr">
        <is>
          <t>GPT4</t>
        </is>
      </c>
      <c r="G758" s="29" t="inlineStr">
        <is>
          <t>Confused</t>
        </is>
      </c>
      <c r="H758" s="29">
        <f>MATCH(G758, {"Waiting for Input","Analyzing Object","Found Object","Needs Help","Confused","None"}, 0) - 1</f>
        <v/>
      </c>
      <c r="I758" s="31" t="inlineStr">
        <is>
          <t>Needs Help</t>
        </is>
      </c>
      <c r="J758" s="29">
        <f>MATCH(I758, {"Waiting for Input","Analyzing Object","Found Object","Needs Help","Confused","None"}, 0) - 1</f>
        <v/>
      </c>
      <c r="K758" s="29" t="n">
        <v>3</v>
      </c>
      <c r="L758" s="29">
        <f>IF(H758=J758, 1, 0)</f>
        <v/>
      </c>
    </row>
    <row r="759">
      <c r="D759" s="29" t="n">
        <v>734</v>
      </c>
      <c r="E759" s="29" t="inlineStr">
        <is>
          <t>1</t>
        </is>
      </c>
      <c r="F759" s="30" t="inlineStr">
        <is>
          <t>GPT4</t>
        </is>
      </c>
      <c r="G759" s="29" t="inlineStr">
        <is>
          <t>Confused</t>
        </is>
      </c>
      <c r="H759" s="29">
        <f>MATCH(G759, {"Waiting for Input","Analyzing Object","Found Object","Needs Help","Confused","None"}, 0) - 1</f>
        <v/>
      </c>
      <c r="I759" s="31" t="inlineStr">
        <is>
          <t>Confused</t>
        </is>
      </c>
      <c r="J759" s="29">
        <f>MATCH(I759, {"Waiting for Input","Analyzing Object","Found Object","Needs Help","Confused","None"}, 0) - 1</f>
        <v/>
      </c>
      <c r="K759" s="29" t="n">
        <v>4</v>
      </c>
      <c r="L759" s="29">
        <f>IF(H759=J759, 1, 0)</f>
        <v/>
      </c>
    </row>
    <row r="760">
      <c r="D760" s="29" t="n">
        <v>735</v>
      </c>
      <c r="E760" s="29" t="inlineStr">
        <is>
          <t>1</t>
        </is>
      </c>
      <c r="F760" s="30" t="inlineStr">
        <is>
          <t>GPT4</t>
        </is>
      </c>
      <c r="G760" s="29" t="inlineStr">
        <is>
          <t>Confused</t>
        </is>
      </c>
      <c r="H760" s="29">
        <f>MATCH(G760, {"Waiting for Input","Analyzing Object","Found Object","Needs Help","Confused","None"}, 0) - 1</f>
        <v/>
      </c>
      <c r="I760" s="31" t="inlineStr">
        <is>
          <t>Confused</t>
        </is>
      </c>
      <c r="J760" s="29">
        <f>MATCH(I760, {"Waiting for Input","Analyzing Object","Found Object","Needs Help","Confused","None"}, 0) - 1</f>
        <v/>
      </c>
      <c r="K760" s="29" t="n">
        <v>2</v>
      </c>
      <c r="L760" s="29">
        <f>IF(H760=J760, 1, 0)</f>
        <v/>
      </c>
    </row>
    <row r="761">
      <c r="D761" s="29" t="n">
        <v>736</v>
      </c>
      <c r="E761" s="29" t="inlineStr">
        <is>
          <t>1</t>
        </is>
      </c>
      <c r="F761" s="30" t="inlineStr">
        <is>
          <t>GPT4</t>
        </is>
      </c>
      <c r="G761" s="29" t="inlineStr">
        <is>
          <t>Confused</t>
        </is>
      </c>
      <c r="H761" s="29">
        <f>MATCH(G761, {"Waiting for Input","Analyzing Object","Found Object","Needs Help","Confused","None"}, 0) - 1</f>
        <v/>
      </c>
      <c r="I761" s="31" t="inlineStr">
        <is>
          <t>Needs Help</t>
        </is>
      </c>
      <c r="J761" s="29">
        <f>MATCH(I761, {"Waiting for Input","Analyzing Object","Found Object","Needs Help","Confused","None"}, 0) - 1</f>
        <v/>
      </c>
      <c r="K761" s="29" t="n">
        <v>1</v>
      </c>
      <c r="L761" s="29">
        <f>IF(H761=J761, 1, 0)</f>
        <v/>
      </c>
    </row>
    <row r="762">
      <c r="D762" s="29" t="n">
        <v>737</v>
      </c>
      <c r="E762" s="29" t="inlineStr">
        <is>
          <t>2</t>
        </is>
      </c>
      <c r="F762" s="30" t="inlineStr">
        <is>
          <t>GPT4</t>
        </is>
      </c>
      <c r="G762" s="29" t="inlineStr">
        <is>
          <t>Confused</t>
        </is>
      </c>
      <c r="H762" s="29">
        <f>MATCH(G762, {"Waiting for Input","Analyzing Object","Found Object","Needs Help","Confused","None"}, 0) - 1</f>
        <v/>
      </c>
      <c r="I762" s="31" t="inlineStr">
        <is>
          <t>None</t>
        </is>
      </c>
      <c r="J762" s="29">
        <f>MATCH(I762, {"Waiting for Input","Analyzing Object","Found Object","Needs Help","Confused","None"}, 0) - 1</f>
        <v/>
      </c>
      <c r="K762" s="29" t="n">
        <v>2</v>
      </c>
      <c r="L762" s="29">
        <f>IF(H762=J762, 1, 0)</f>
        <v/>
      </c>
    </row>
    <row r="763">
      <c r="D763" s="29" t="n">
        <v>738</v>
      </c>
      <c r="E763" s="29" t="inlineStr">
        <is>
          <t>2</t>
        </is>
      </c>
      <c r="F763" s="30" t="inlineStr">
        <is>
          <t>GPT4</t>
        </is>
      </c>
      <c r="G763" s="29" t="inlineStr">
        <is>
          <t>Confused</t>
        </is>
      </c>
      <c r="H763" s="29">
        <f>MATCH(G763, {"Waiting for Input","Analyzing Object","Found Object","Needs Help","Confused","None"}, 0) - 1</f>
        <v/>
      </c>
      <c r="I763" s="31" t="inlineStr">
        <is>
          <t>Needs Help</t>
        </is>
      </c>
      <c r="J763" s="29">
        <f>MATCH(I763, {"Waiting for Input","Analyzing Object","Found Object","Needs Help","Confused","None"}, 0) - 1</f>
        <v/>
      </c>
      <c r="K763" s="29" t="n">
        <v>2</v>
      </c>
      <c r="L763" s="29">
        <f>IF(H763=J763, 1, 0)</f>
        <v/>
      </c>
    </row>
    <row r="764">
      <c r="D764" s="29" t="n">
        <v>739</v>
      </c>
      <c r="E764" s="29" t="inlineStr">
        <is>
          <t>1</t>
        </is>
      </c>
      <c r="F764" s="30" t="inlineStr">
        <is>
          <t>GPT4</t>
        </is>
      </c>
      <c r="G764" s="29" t="inlineStr">
        <is>
          <t>Confused</t>
        </is>
      </c>
      <c r="H764" s="29">
        <f>MATCH(G764, {"Waiting for Input","Analyzing Object","Found Object","Needs Help","Confused","None"}, 0) - 1</f>
        <v/>
      </c>
      <c r="I764" s="31" t="inlineStr">
        <is>
          <t>Analyzing Object</t>
        </is>
      </c>
      <c r="J764" s="29">
        <f>MATCH(I764, {"Waiting for Input","Analyzing Object","Found Object","Needs Help","Confused","None"}, 0) - 1</f>
        <v/>
      </c>
      <c r="K764" s="29" t="n">
        <v>4</v>
      </c>
      <c r="L764" s="29">
        <f>IF(H764=J764, 1, 0)</f>
        <v/>
      </c>
    </row>
    <row r="765">
      <c r="D765" s="29" t="n">
        <v>740</v>
      </c>
      <c r="E765" s="29" t="inlineStr">
        <is>
          <t>1</t>
        </is>
      </c>
      <c r="F765" s="30" t="inlineStr">
        <is>
          <t>GPT4</t>
        </is>
      </c>
      <c r="G765" s="29" t="inlineStr">
        <is>
          <t>Confused</t>
        </is>
      </c>
      <c r="H765" s="29">
        <f>MATCH(G765, {"Waiting for Input","Analyzing Object","Found Object","Needs Help","Confused","None"}, 0) - 1</f>
        <v/>
      </c>
      <c r="I765" s="31" t="inlineStr">
        <is>
          <t>Confused</t>
        </is>
      </c>
      <c r="J765" s="29">
        <f>MATCH(I765, {"Waiting for Input","Analyzing Object","Found Object","Needs Help","Confused","None"}, 0) - 1</f>
        <v/>
      </c>
      <c r="K765" s="29" t="n">
        <v>2</v>
      </c>
      <c r="L765" s="29">
        <f>IF(H765=J765, 1, 0)</f>
        <v/>
      </c>
    </row>
    <row r="766">
      <c r="D766" s="29" t="n">
        <v>741</v>
      </c>
      <c r="E766" s="29" t="inlineStr">
        <is>
          <t>2</t>
        </is>
      </c>
      <c r="F766" s="30" t="inlineStr">
        <is>
          <t>GPT4</t>
        </is>
      </c>
      <c r="G766" s="29" t="inlineStr">
        <is>
          <t>Confused</t>
        </is>
      </c>
      <c r="H766" s="29">
        <f>MATCH(G766, {"Waiting for Input","Analyzing Object","Found Object","Needs Help","Confused","None"}, 0) - 1</f>
        <v/>
      </c>
      <c r="I766" s="31" t="inlineStr">
        <is>
          <t>Confused</t>
        </is>
      </c>
      <c r="J766" s="29">
        <f>MATCH(I766, {"Waiting for Input","Analyzing Object","Found Object","Needs Help","Confused","None"}, 0) - 1</f>
        <v/>
      </c>
      <c r="K766" s="29" t="n">
        <v>2</v>
      </c>
      <c r="L766" s="29">
        <f>IF(H766=J766, 1, 0)</f>
        <v/>
      </c>
    </row>
    <row r="767">
      <c r="D767" s="29" t="n">
        <v>742</v>
      </c>
      <c r="E767" s="29" t="inlineStr">
        <is>
          <t>2</t>
        </is>
      </c>
      <c r="F767" s="30" t="inlineStr">
        <is>
          <t>GPT4</t>
        </is>
      </c>
      <c r="G767" s="29" t="inlineStr">
        <is>
          <t>Confused</t>
        </is>
      </c>
      <c r="H767" s="29">
        <f>MATCH(G767, {"Waiting for Input","Analyzing Object","Found Object","Needs Help","Confused","None"}, 0) - 1</f>
        <v/>
      </c>
      <c r="I767" s="31" t="inlineStr">
        <is>
          <t>Confused</t>
        </is>
      </c>
      <c r="J767" s="29">
        <f>MATCH(I767, {"Waiting for Input","Analyzing Object","Found Object","Needs Help","Confused","None"}, 0) - 1</f>
        <v/>
      </c>
      <c r="K767" s="29" t="n">
        <v>2</v>
      </c>
      <c r="L767" s="29">
        <f>IF(H767=J767, 1, 0)</f>
        <v/>
      </c>
    </row>
    <row r="768">
      <c r="D768" s="29" t="n">
        <v>743</v>
      </c>
      <c r="E768" s="29" t="inlineStr">
        <is>
          <t>1</t>
        </is>
      </c>
      <c r="F768" s="30" t="inlineStr">
        <is>
          <t>GPT4</t>
        </is>
      </c>
      <c r="G768" s="29" t="inlineStr">
        <is>
          <t>Confused</t>
        </is>
      </c>
      <c r="H768" s="29">
        <f>MATCH(G768, {"Waiting for Input","Analyzing Object","Found Object","Needs Help","Confused","None"}, 0) - 1</f>
        <v/>
      </c>
      <c r="I768" s="31" t="inlineStr">
        <is>
          <t>Confused</t>
        </is>
      </c>
      <c r="J768" s="29">
        <f>MATCH(I768, {"Waiting for Input","Analyzing Object","Found Object","Needs Help","Confused","None"}, 0) - 1</f>
        <v/>
      </c>
      <c r="K768" s="29" t="n">
        <v>2</v>
      </c>
      <c r="L768" s="29">
        <f>IF(H768=J768, 1, 0)</f>
        <v/>
      </c>
    </row>
    <row r="769">
      <c r="D769" s="29" t="n">
        <v>744</v>
      </c>
      <c r="E769" s="29" t="inlineStr">
        <is>
          <t>1</t>
        </is>
      </c>
      <c r="F769" s="30" t="inlineStr">
        <is>
          <t>GPT4</t>
        </is>
      </c>
      <c r="G769" s="29" t="inlineStr">
        <is>
          <t>Confused</t>
        </is>
      </c>
      <c r="H769" s="29">
        <f>MATCH(G769, {"Waiting for Input","Analyzing Object","Found Object","Needs Help","Confused","None"}, 0) - 1</f>
        <v/>
      </c>
      <c r="I769" s="31" t="inlineStr">
        <is>
          <t>Needs Help</t>
        </is>
      </c>
      <c r="J769" s="29">
        <f>MATCH(I769, {"Waiting for Input","Analyzing Object","Found Object","Needs Help","Confused","None"}, 0) - 1</f>
        <v/>
      </c>
      <c r="K769" s="29" t="n">
        <v>3</v>
      </c>
      <c r="L769" s="29">
        <f>IF(H769=J769, 1, 0)</f>
        <v/>
      </c>
    </row>
    <row r="770">
      <c r="D770" s="29" t="n">
        <v>745</v>
      </c>
      <c r="E770" s="29" t="inlineStr">
        <is>
          <t>2</t>
        </is>
      </c>
      <c r="F770" s="30" t="inlineStr">
        <is>
          <t>GPT4</t>
        </is>
      </c>
      <c r="G770" s="29" t="inlineStr">
        <is>
          <t>Confused</t>
        </is>
      </c>
      <c r="H770" s="29">
        <f>MATCH(G770, {"Waiting for Input","Analyzing Object","Found Object","Needs Help","Confused","None"}, 0) - 1</f>
        <v/>
      </c>
      <c r="I770" s="31" t="inlineStr">
        <is>
          <t>Needs Help</t>
        </is>
      </c>
      <c r="J770" s="29">
        <f>MATCH(I770, {"Waiting for Input","Analyzing Object","Found Object","Needs Help","Confused","None"}, 0) - 1</f>
        <v/>
      </c>
      <c r="K770" s="29" t="n">
        <v>2</v>
      </c>
      <c r="L770" s="29">
        <f>IF(H770=J770, 1, 0)</f>
        <v/>
      </c>
    </row>
    <row r="771">
      <c r="D771" s="29" t="n">
        <v>746</v>
      </c>
      <c r="E771" s="29" t="inlineStr">
        <is>
          <t>2</t>
        </is>
      </c>
      <c r="F771" s="30" t="inlineStr">
        <is>
          <t>GPT4</t>
        </is>
      </c>
      <c r="G771" s="29" t="inlineStr">
        <is>
          <t>Confused</t>
        </is>
      </c>
      <c r="H771" s="29">
        <f>MATCH(G771, {"Waiting for Input","Analyzing Object","Found Object","Needs Help","Confused","None"}, 0) - 1</f>
        <v/>
      </c>
      <c r="I771" s="31" t="inlineStr">
        <is>
          <t>Needs Help</t>
        </is>
      </c>
      <c r="J771" s="29">
        <f>MATCH(I771, {"Waiting for Input","Analyzing Object","Found Object","Needs Help","Confused","None"}, 0) - 1</f>
        <v/>
      </c>
      <c r="K771" s="29" t="n">
        <v>3</v>
      </c>
      <c r="L771" s="29">
        <f>IF(H771=J771, 1, 0)</f>
        <v/>
      </c>
    </row>
    <row r="772">
      <c r="D772" s="29" t="n">
        <v>747</v>
      </c>
      <c r="E772" s="29" t="inlineStr">
        <is>
          <t>2</t>
        </is>
      </c>
      <c r="F772" s="30" t="inlineStr">
        <is>
          <t>GPT4</t>
        </is>
      </c>
      <c r="G772" s="29" t="inlineStr">
        <is>
          <t>Confused</t>
        </is>
      </c>
      <c r="H772" s="29">
        <f>MATCH(G772, {"Waiting for Input","Analyzing Object","Found Object","Needs Help","Confused","None"}, 0) - 1</f>
        <v/>
      </c>
      <c r="I772" s="31" t="inlineStr">
        <is>
          <t>Confused</t>
        </is>
      </c>
      <c r="J772" s="29">
        <f>MATCH(I772, {"Waiting for Input","Analyzing Object","Found Object","Needs Help","Confused","None"}, 0) - 1</f>
        <v/>
      </c>
      <c r="K772" s="29" t="n">
        <v>3</v>
      </c>
      <c r="L772" s="29">
        <f>IF(H772=J772, 1, 0)</f>
        <v/>
      </c>
    </row>
    <row r="773">
      <c r="D773" s="29" t="n">
        <v>748</v>
      </c>
      <c r="E773" s="29" t="inlineStr">
        <is>
          <t>2</t>
        </is>
      </c>
      <c r="F773" s="30" t="inlineStr">
        <is>
          <t>GPT4</t>
        </is>
      </c>
      <c r="G773" s="29" t="inlineStr">
        <is>
          <t>Confused</t>
        </is>
      </c>
      <c r="H773" s="29">
        <f>MATCH(G773, {"Waiting for Input","Analyzing Object","Found Object","Needs Help","Confused","None"}, 0) - 1</f>
        <v/>
      </c>
      <c r="I773" s="31" t="inlineStr">
        <is>
          <t>Needs Help</t>
        </is>
      </c>
      <c r="J773" s="29">
        <f>MATCH(I773, {"Waiting for Input","Analyzing Object","Found Object","Needs Help","Confused","None"}, 0) - 1</f>
        <v/>
      </c>
      <c r="K773" s="29" t="n">
        <v>3</v>
      </c>
      <c r="L773" s="29">
        <f>IF(H773=J773, 1, 0)</f>
        <v/>
      </c>
    </row>
    <row r="774">
      <c r="D774" s="29" t="n">
        <v>749</v>
      </c>
      <c r="E774" s="29" t="inlineStr">
        <is>
          <t>2</t>
        </is>
      </c>
      <c r="F774" s="30" t="inlineStr">
        <is>
          <t>GPT4</t>
        </is>
      </c>
      <c r="G774" s="29" t="inlineStr">
        <is>
          <t>Confused</t>
        </is>
      </c>
      <c r="H774" s="29">
        <f>MATCH(G774, {"Waiting for Input","Analyzing Object","Found Object","Needs Help","Confused","None"}, 0) - 1</f>
        <v/>
      </c>
      <c r="I774" s="31" t="inlineStr">
        <is>
          <t>Confused</t>
        </is>
      </c>
      <c r="J774" s="29">
        <f>MATCH(I774, {"Waiting for Input","Analyzing Object","Found Object","Needs Help","Confused","None"}, 0) - 1</f>
        <v/>
      </c>
      <c r="K774" s="29" t="n">
        <v>2</v>
      </c>
      <c r="L774" s="29">
        <f>IF(H774=J774, 1, 0)</f>
        <v/>
      </c>
    </row>
    <row r="775">
      <c r="D775" s="29" t="n">
        <v>750</v>
      </c>
      <c r="E775" s="29" t="inlineStr">
        <is>
          <t>2</t>
        </is>
      </c>
      <c r="F775" s="30" t="inlineStr">
        <is>
          <t>GPT4</t>
        </is>
      </c>
      <c r="G775" s="29" t="inlineStr">
        <is>
          <t>Confused</t>
        </is>
      </c>
      <c r="H775" s="29">
        <f>MATCH(G775, {"Waiting for Input","Analyzing Object","Found Object","Needs Help","Confused","None"}, 0) - 1</f>
        <v/>
      </c>
      <c r="I775" s="31" t="inlineStr">
        <is>
          <t>Needs Help</t>
        </is>
      </c>
      <c r="J775" s="29">
        <f>MATCH(I775, {"Waiting for Input","Analyzing Object","Found Object","Needs Help","Confused","None"}, 0) - 1</f>
        <v/>
      </c>
      <c r="K775" s="29" t="n">
        <v>5</v>
      </c>
      <c r="L775" s="29">
        <f>IF(H775=J775, 1, 0)</f>
        <v/>
      </c>
    </row>
    <row r="776">
      <c r="D776" s="29" t="n">
        <v>751</v>
      </c>
      <c r="E776" s="29" t="inlineStr">
        <is>
          <t>1</t>
        </is>
      </c>
      <c r="F776" s="30" t="inlineStr">
        <is>
          <t>GPT4</t>
        </is>
      </c>
      <c r="G776" s="29" t="inlineStr">
        <is>
          <t>Confused</t>
        </is>
      </c>
      <c r="H776" s="29">
        <f>MATCH(G776, {"Waiting for Input","Analyzing Object","Found Object","Needs Help","Confused","None"}, 0) - 1</f>
        <v/>
      </c>
      <c r="I776" s="31" t="inlineStr">
        <is>
          <t>Needs Help</t>
        </is>
      </c>
      <c r="J776" s="29">
        <f>MATCH(I776, {"Waiting for Input","Analyzing Object","Found Object","Needs Help","Confused","None"}, 0) - 1</f>
        <v/>
      </c>
      <c r="K776" s="29" t="n">
        <v>4</v>
      </c>
      <c r="L776" s="29">
        <f>IF(H776=J776, 1, 0)</f>
        <v/>
      </c>
    </row>
    <row r="777">
      <c r="D777" s="29" t="n">
        <v>752</v>
      </c>
      <c r="E777" s="29" t="inlineStr">
        <is>
          <t>2</t>
        </is>
      </c>
      <c r="F777" s="30" t="inlineStr">
        <is>
          <t>GPT4</t>
        </is>
      </c>
      <c r="G777" s="29" t="inlineStr">
        <is>
          <t>Confused</t>
        </is>
      </c>
      <c r="H777" s="29">
        <f>MATCH(G777, {"Waiting for Input","Analyzing Object","Found Object","Needs Help","Confused","None"}, 0) - 1</f>
        <v/>
      </c>
      <c r="I777" s="31" t="inlineStr">
        <is>
          <t>Waiting for Input</t>
        </is>
      </c>
      <c r="J777" s="29">
        <f>MATCH(I777, {"Waiting for Input","Analyzing Object","Found Object","Needs Help","Confused","None"}, 0) - 1</f>
        <v/>
      </c>
      <c r="K777" s="29" t="n">
        <v>2</v>
      </c>
      <c r="L777" s="29">
        <f>IF(H777=J777, 1, 0)</f>
        <v/>
      </c>
    </row>
    <row r="778">
      <c r="D778" s="29" t="n">
        <v>753</v>
      </c>
      <c r="E778" s="29" t="inlineStr">
        <is>
          <t>1</t>
        </is>
      </c>
      <c r="F778" s="30" t="inlineStr">
        <is>
          <t>GPT4</t>
        </is>
      </c>
      <c r="G778" s="29" t="inlineStr">
        <is>
          <t>Confused</t>
        </is>
      </c>
      <c r="H778" s="29">
        <f>MATCH(G778, {"Waiting for Input","Analyzing Object","Found Object","Needs Help","Confused","None"}, 0) - 1</f>
        <v/>
      </c>
      <c r="I778" s="31" t="inlineStr">
        <is>
          <t>Needs Help</t>
        </is>
      </c>
      <c r="J778" s="29">
        <f>MATCH(I778, {"Waiting for Input","Analyzing Object","Found Object","Needs Help","Confused","None"}, 0) - 1</f>
        <v/>
      </c>
      <c r="K778" s="29" t="n">
        <v>3</v>
      </c>
      <c r="L778" s="29">
        <f>IF(H778=J778, 1, 0)</f>
        <v/>
      </c>
    </row>
    <row r="779">
      <c r="D779" s="29" t="n">
        <v>754</v>
      </c>
      <c r="E779" s="29" t="inlineStr">
        <is>
          <t>1</t>
        </is>
      </c>
      <c r="F779" s="30" t="inlineStr">
        <is>
          <t>GPT4</t>
        </is>
      </c>
      <c r="G779" s="29" t="inlineStr">
        <is>
          <t>Confused</t>
        </is>
      </c>
      <c r="H779" s="29">
        <f>MATCH(G779, {"Waiting for Input","Analyzing Object","Found Object","Needs Help","Confused","None"}, 0) - 1</f>
        <v/>
      </c>
      <c r="I779" s="31" t="inlineStr">
        <is>
          <t>Confused</t>
        </is>
      </c>
      <c r="J779" s="29">
        <f>MATCH(I779, {"Waiting for Input","Analyzing Object","Found Object","Needs Help","Confused","None"}, 0) - 1</f>
        <v/>
      </c>
      <c r="K779" s="29" t="n">
        <v>2</v>
      </c>
      <c r="L779" s="29">
        <f>IF(H779=J779, 1, 0)</f>
        <v/>
      </c>
    </row>
    <row r="780">
      <c r="D780" s="29" t="n">
        <v>755</v>
      </c>
      <c r="E780" s="29" t="inlineStr">
        <is>
          <t>1</t>
        </is>
      </c>
      <c r="F780" s="30" t="inlineStr">
        <is>
          <t>GPT4</t>
        </is>
      </c>
      <c r="G780" s="29" t="inlineStr">
        <is>
          <t>Confused</t>
        </is>
      </c>
      <c r="H780" s="29">
        <f>MATCH(G780, {"Waiting for Input","Analyzing Object","Found Object","Needs Help","Confused","None"}, 0) - 1</f>
        <v/>
      </c>
      <c r="I780" s="31" t="inlineStr">
        <is>
          <t>Needs Help</t>
        </is>
      </c>
      <c r="J780" s="29">
        <f>MATCH(I780, {"Waiting for Input","Analyzing Object","Found Object","Needs Help","Confused","None"}, 0) - 1</f>
        <v/>
      </c>
      <c r="K780" s="29" t="n">
        <v>2</v>
      </c>
      <c r="L780" s="29">
        <f>IF(H780=J780, 1, 0)</f>
        <v/>
      </c>
    </row>
    <row r="781">
      <c r="D781" s="29" t="n">
        <v>756</v>
      </c>
      <c r="E781" s="29" t="inlineStr">
        <is>
          <t>2</t>
        </is>
      </c>
      <c r="F781" s="30" t="inlineStr">
        <is>
          <t>GPT4</t>
        </is>
      </c>
      <c r="G781" s="29" t="inlineStr">
        <is>
          <t>Confused</t>
        </is>
      </c>
      <c r="H781" s="29">
        <f>MATCH(G781, {"Waiting for Input","Analyzing Object","Found Object","Needs Help","Confused","None"}, 0) - 1</f>
        <v/>
      </c>
      <c r="I781" s="31" t="inlineStr">
        <is>
          <t>Needs Help</t>
        </is>
      </c>
      <c r="J781" s="29">
        <f>MATCH(I781, {"Waiting for Input","Analyzing Object","Found Object","Needs Help","Confused","None"}, 0) - 1</f>
        <v/>
      </c>
      <c r="K781" s="29" t="n">
        <v>2</v>
      </c>
      <c r="L781" s="29">
        <f>IF(H781=J781, 1, 0)</f>
        <v/>
      </c>
    </row>
    <row r="782">
      <c r="D782" s="29" t="n">
        <v>757</v>
      </c>
      <c r="E782" s="29" t="inlineStr">
        <is>
          <t>2</t>
        </is>
      </c>
      <c r="F782" s="30" t="inlineStr">
        <is>
          <t>GPT4</t>
        </is>
      </c>
      <c r="G782" s="29" t="inlineStr">
        <is>
          <t>Confused</t>
        </is>
      </c>
      <c r="H782" s="29">
        <f>MATCH(G782, {"Waiting for Input","Analyzing Object","Found Object","Needs Help","Confused","None"}, 0) - 1</f>
        <v/>
      </c>
      <c r="I782" s="31" t="inlineStr">
        <is>
          <t>Confused</t>
        </is>
      </c>
      <c r="J782" s="29">
        <f>MATCH(I782, {"Waiting for Input","Analyzing Object","Found Object","Needs Help","Confused","None"}, 0) - 1</f>
        <v/>
      </c>
      <c r="K782" s="29" t="n">
        <v>5</v>
      </c>
      <c r="L782" s="29">
        <f>IF(H782=J782, 1, 0)</f>
        <v/>
      </c>
    </row>
    <row r="783">
      <c r="D783" s="29" t="n">
        <v>758</v>
      </c>
      <c r="E783" s="29" t="inlineStr">
        <is>
          <t>1</t>
        </is>
      </c>
      <c r="F783" s="30" t="inlineStr">
        <is>
          <t>GPT4</t>
        </is>
      </c>
      <c r="G783" s="29" t="inlineStr">
        <is>
          <t>Confused</t>
        </is>
      </c>
      <c r="H783" s="29">
        <f>MATCH(G783, {"Waiting for Input","Analyzing Object","Found Object","Needs Help","Confused","None"}, 0) - 1</f>
        <v/>
      </c>
      <c r="I783" s="31" t="inlineStr">
        <is>
          <t>Confused</t>
        </is>
      </c>
      <c r="J783" s="29">
        <f>MATCH(I783, {"Waiting for Input","Analyzing Object","Found Object","Needs Help","Confused","None"}, 0) - 1</f>
        <v/>
      </c>
      <c r="K783" s="29" t="n">
        <v>3</v>
      </c>
      <c r="L783" s="29">
        <f>IF(H783=J783, 1, 0)</f>
        <v/>
      </c>
    </row>
    <row r="784">
      <c r="D784" s="29" t="n">
        <v>759</v>
      </c>
      <c r="E784" s="29" t="inlineStr">
        <is>
          <t>1</t>
        </is>
      </c>
      <c r="F784" s="30" t="inlineStr">
        <is>
          <t>GPT4</t>
        </is>
      </c>
      <c r="G784" s="29" t="inlineStr">
        <is>
          <t>Confused</t>
        </is>
      </c>
      <c r="H784" s="29">
        <f>MATCH(G784, {"Waiting for Input","Analyzing Object","Found Object","Needs Help","Confused","None"}, 0) - 1</f>
        <v/>
      </c>
      <c r="I784" s="31" t="inlineStr">
        <is>
          <t>Confused</t>
        </is>
      </c>
      <c r="J784" s="29">
        <f>MATCH(I784, {"Waiting for Input","Analyzing Object","Found Object","Needs Help","Confused","None"}, 0) - 1</f>
        <v/>
      </c>
      <c r="K784" s="29" t="n">
        <v>5</v>
      </c>
      <c r="L784" s="29">
        <f>IF(H784=J784, 1, 0)</f>
        <v/>
      </c>
    </row>
    <row r="785">
      <c r="D785" s="29" t="n">
        <v>760</v>
      </c>
      <c r="E785" s="29" t="inlineStr">
        <is>
          <t>1</t>
        </is>
      </c>
      <c r="F785" s="30" t="inlineStr">
        <is>
          <t>GPT4</t>
        </is>
      </c>
      <c r="G785" s="29" t="inlineStr">
        <is>
          <t>Confused</t>
        </is>
      </c>
      <c r="H785" s="29">
        <f>MATCH(G785, {"Waiting for Input","Analyzing Object","Found Object","Needs Help","Confused","None"}, 0) - 1</f>
        <v/>
      </c>
      <c r="I785" s="31" t="inlineStr">
        <is>
          <t>Needs Help</t>
        </is>
      </c>
      <c r="J785" s="29">
        <f>MATCH(I785, {"Waiting for Input","Analyzing Object","Found Object","Needs Help","Confused","None"}, 0) - 1</f>
        <v/>
      </c>
      <c r="K785" s="29" t="n">
        <v>4</v>
      </c>
      <c r="L785" s="29">
        <f>IF(H785=J785, 1, 0)</f>
        <v/>
      </c>
    </row>
    <row r="786">
      <c r="D786" s="29" t="n">
        <v>761</v>
      </c>
      <c r="E786" s="29" t="inlineStr">
        <is>
          <t>2</t>
        </is>
      </c>
      <c r="F786" s="30" t="inlineStr">
        <is>
          <t>GPT4</t>
        </is>
      </c>
      <c r="G786" s="29" t="inlineStr">
        <is>
          <t>Confused</t>
        </is>
      </c>
      <c r="H786" s="29">
        <f>MATCH(G786, {"Waiting for Input","Analyzing Object","Found Object","Needs Help","Confused","None"}, 0) - 1</f>
        <v/>
      </c>
      <c r="I786" s="31" t="inlineStr">
        <is>
          <t>Analyzing Object</t>
        </is>
      </c>
      <c r="J786" s="29">
        <f>MATCH(I786, {"Waiting for Input","Analyzing Object","Found Object","Needs Help","Confused","None"}, 0) - 1</f>
        <v/>
      </c>
      <c r="K786" s="29" t="n">
        <v>2</v>
      </c>
      <c r="L786" s="29">
        <f>IF(H786=J786, 1, 0)</f>
        <v/>
      </c>
    </row>
    <row r="787">
      <c r="D787" s="29" t="n">
        <v>762</v>
      </c>
      <c r="E787" s="29" t="inlineStr">
        <is>
          <t>2</t>
        </is>
      </c>
      <c r="F787" s="30" t="inlineStr">
        <is>
          <t>GPT4</t>
        </is>
      </c>
      <c r="G787" s="29" t="inlineStr">
        <is>
          <t>Confused</t>
        </is>
      </c>
      <c r="H787" s="29">
        <f>MATCH(G787, {"Waiting for Input","Analyzing Object","Found Object","Needs Help","Confused","None"}, 0) - 1</f>
        <v/>
      </c>
      <c r="I787" s="31" t="inlineStr">
        <is>
          <t>Needs Help</t>
        </is>
      </c>
      <c r="J787" s="29">
        <f>MATCH(I787, {"Waiting for Input","Analyzing Object","Found Object","Needs Help","Confused","None"}, 0) - 1</f>
        <v/>
      </c>
      <c r="K787" s="29" t="n">
        <v>3</v>
      </c>
      <c r="L787" s="29">
        <f>IF(H787=J787, 1, 0)</f>
        <v/>
      </c>
    </row>
    <row r="788">
      <c r="D788" s="29" t="n">
        <v>763</v>
      </c>
      <c r="E788" s="29" t="inlineStr">
        <is>
          <t>2</t>
        </is>
      </c>
      <c r="F788" s="30" t="inlineStr">
        <is>
          <t>GPT4</t>
        </is>
      </c>
      <c r="G788" s="29" t="inlineStr">
        <is>
          <t>Confused</t>
        </is>
      </c>
      <c r="H788" s="29">
        <f>MATCH(G788, {"Waiting for Input","Analyzing Object","Found Object","Needs Help","Confused","None"}, 0) - 1</f>
        <v/>
      </c>
      <c r="I788" s="31" t="inlineStr">
        <is>
          <t>Confused</t>
        </is>
      </c>
      <c r="J788" s="29">
        <f>MATCH(I788, {"Waiting for Input","Analyzing Object","Found Object","Needs Help","Confused","None"}, 0) - 1</f>
        <v/>
      </c>
      <c r="K788" s="29" t="n">
        <v>1</v>
      </c>
      <c r="L788" s="29">
        <f>IF(H788=J788, 1, 0)</f>
        <v/>
      </c>
    </row>
    <row r="789">
      <c r="D789" s="29" t="n">
        <v>764</v>
      </c>
      <c r="E789" s="29" t="inlineStr">
        <is>
          <t>2</t>
        </is>
      </c>
      <c r="F789" s="30" t="inlineStr">
        <is>
          <t>GPT4</t>
        </is>
      </c>
      <c r="G789" s="29" t="inlineStr">
        <is>
          <t>Confused</t>
        </is>
      </c>
      <c r="H789" s="29">
        <f>MATCH(G789, {"Waiting for Input","Analyzing Object","Found Object","Needs Help","Confused","None"}, 0) - 1</f>
        <v/>
      </c>
      <c r="I789" s="31" t="inlineStr">
        <is>
          <t>Needs Help</t>
        </is>
      </c>
      <c r="J789" s="29">
        <f>MATCH(I789, {"Waiting for Input","Analyzing Object","Found Object","Needs Help","Confused","None"}, 0) - 1</f>
        <v/>
      </c>
      <c r="K789" s="29" t="n">
        <v>3</v>
      </c>
      <c r="L789" s="29">
        <f>IF(H789=J789, 1, 0)</f>
        <v/>
      </c>
    </row>
    <row r="790">
      <c r="D790" s="29" t="n">
        <v>765</v>
      </c>
      <c r="E790" s="29" t="inlineStr">
        <is>
          <t>2</t>
        </is>
      </c>
      <c r="F790" s="30" t="inlineStr">
        <is>
          <t>GPT4</t>
        </is>
      </c>
      <c r="G790" s="29" t="inlineStr">
        <is>
          <t>Confused</t>
        </is>
      </c>
      <c r="H790" s="29">
        <f>MATCH(G790, {"Waiting for Input","Analyzing Object","Found Object","Needs Help","Confused","None"}, 0) - 1</f>
        <v/>
      </c>
      <c r="I790" s="31" t="inlineStr">
        <is>
          <t>Needs Help</t>
        </is>
      </c>
      <c r="J790" s="29">
        <f>MATCH(I790, {"Waiting for Input","Analyzing Object","Found Object","Needs Help","Confused","None"}, 0) - 1</f>
        <v/>
      </c>
      <c r="K790" s="29" t="n">
        <v>3</v>
      </c>
      <c r="L790" s="29">
        <f>IF(H790=J790, 1, 0)</f>
        <v/>
      </c>
    </row>
    <row r="791">
      <c r="D791" s="29" t="n">
        <v>766</v>
      </c>
      <c r="E791" s="29" t="inlineStr">
        <is>
          <t>2</t>
        </is>
      </c>
      <c r="F791" s="30" t="inlineStr">
        <is>
          <t>GPT4</t>
        </is>
      </c>
      <c r="G791" s="29" t="inlineStr">
        <is>
          <t>Confused</t>
        </is>
      </c>
      <c r="H791" s="29">
        <f>MATCH(G791, {"Waiting for Input","Analyzing Object","Found Object","Needs Help","Confused","None"}, 0) - 1</f>
        <v/>
      </c>
      <c r="I791" s="31" t="inlineStr">
        <is>
          <t>Needs Help</t>
        </is>
      </c>
      <c r="J791" s="29">
        <f>MATCH(I791, {"Waiting for Input","Analyzing Object","Found Object","Needs Help","Confused","None"}, 0) - 1</f>
        <v/>
      </c>
      <c r="K791" s="29" t="n">
        <v>3</v>
      </c>
      <c r="L791" s="29">
        <f>IF(H791=J791, 1, 0)</f>
        <v/>
      </c>
    </row>
    <row r="792">
      <c r="D792" s="29" t="n">
        <v>767</v>
      </c>
      <c r="E792" s="29" t="inlineStr">
        <is>
          <t>2</t>
        </is>
      </c>
      <c r="F792" s="30" t="inlineStr">
        <is>
          <t>GPT4</t>
        </is>
      </c>
      <c r="G792" s="29" t="inlineStr">
        <is>
          <t>Confused</t>
        </is>
      </c>
      <c r="H792" s="29">
        <f>MATCH(G792, {"Waiting for Input","Analyzing Object","Found Object","Needs Help","Confused","None"}, 0) - 1</f>
        <v/>
      </c>
      <c r="I792" s="31" t="inlineStr">
        <is>
          <t>None</t>
        </is>
      </c>
      <c r="J792" s="29">
        <f>MATCH(I792, {"Waiting for Input","Analyzing Object","Found Object","Needs Help","Confused","None"}, 0) - 1</f>
        <v/>
      </c>
      <c r="K792" s="29" t="n">
        <v>1</v>
      </c>
      <c r="L792" s="29">
        <f>IF(H792=J792, 1, 0)</f>
        <v/>
      </c>
    </row>
    <row r="793">
      <c r="D793" s="29" t="n">
        <v>768</v>
      </c>
      <c r="E793" s="29" t="inlineStr">
        <is>
          <t>2</t>
        </is>
      </c>
      <c r="F793" s="30" t="inlineStr">
        <is>
          <t>GPT4</t>
        </is>
      </c>
      <c r="G793" s="29" t="inlineStr">
        <is>
          <t>Confused</t>
        </is>
      </c>
      <c r="H793" s="29">
        <f>MATCH(G793, {"Waiting for Input","Analyzing Object","Found Object","Needs Help","Confused","None"}, 0) - 1</f>
        <v/>
      </c>
      <c r="I793" s="31" t="inlineStr">
        <is>
          <t>Waiting for Input</t>
        </is>
      </c>
      <c r="J793" s="29">
        <f>MATCH(I793, {"Waiting for Input","Analyzing Object","Found Object","Needs Help","Confused","None"}, 0) - 1</f>
        <v/>
      </c>
      <c r="K793" s="29" t="n">
        <v>2</v>
      </c>
      <c r="L793" s="29">
        <f>IF(H793=J793, 1, 0)</f>
        <v/>
      </c>
    </row>
    <row r="794">
      <c r="D794" s="29" t="n">
        <v>769</v>
      </c>
      <c r="E794" s="29" t="inlineStr">
        <is>
          <t>2</t>
        </is>
      </c>
      <c r="F794" s="30" t="inlineStr">
        <is>
          <t>GPT4</t>
        </is>
      </c>
      <c r="G794" s="29" t="inlineStr">
        <is>
          <t>Confused</t>
        </is>
      </c>
      <c r="H794" s="29">
        <f>MATCH(G794, {"Waiting for Input","Analyzing Object","Found Object","Needs Help","Confused","None"}, 0) - 1</f>
        <v/>
      </c>
      <c r="I794" s="31" t="inlineStr">
        <is>
          <t>Needs Help</t>
        </is>
      </c>
      <c r="J794" s="29">
        <f>MATCH(I794, {"Waiting for Input","Analyzing Object","Found Object","Needs Help","Confused","None"}, 0) - 1</f>
        <v/>
      </c>
      <c r="K794" s="29" t="n">
        <v>1</v>
      </c>
      <c r="L794" s="29">
        <f>IF(H794=J794, 1, 0)</f>
        <v/>
      </c>
    </row>
    <row r="795">
      <c r="D795" s="29" t="n">
        <v>770</v>
      </c>
      <c r="E795" s="29" t="inlineStr">
        <is>
          <t>2</t>
        </is>
      </c>
      <c r="F795" s="30" t="inlineStr">
        <is>
          <t>GPT4</t>
        </is>
      </c>
      <c r="G795" s="29" t="inlineStr">
        <is>
          <t>Confused</t>
        </is>
      </c>
      <c r="H795" s="29">
        <f>MATCH(G795, {"Waiting for Input","Analyzing Object","Found Object","Needs Help","Confused","None"}, 0) - 1</f>
        <v/>
      </c>
      <c r="I795" s="31" t="inlineStr">
        <is>
          <t>Needs Help</t>
        </is>
      </c>
      <c r="J795" s="29">
        <f>MATCH(I795, {"Waiting for Input","Analyzing Object","Found Object","Needs Help","Confused","None"}, 0) - 1</f>
        <v/>
      </c>
      <c r="K795" s="29" t="n">
        <v>2</v>
      </c>
      <c r="L795" s="29">
        <f>IF(H795=J795, 1, 0)</f>
        <v/>
      </c>
    </row>
    <row r="796">
      <c r="D796" s="29" t="n">
        <v>771</v>
      </c>
      <c r="E796" s="29" t="inlineStr">
        <is>
          <t>1</t>
        </is>
      </c>
      <c r="F796" s="30" t="inlineStr">
        <is>
          <t>GPT4</t>
        </is>
      </c>
      <c r="G796" s="29" t="inlineStr">
        <is>
          <t>Confused</t>
        </is>
      </c>
      <c r="H796" s="29">
        <f>MATCH(G796, {"Waiting for Input","Analyzing Object","Found Object","Needs Help","Confused","None"}, 0) - 1</f>
        <v/>
      </c>
      <c r="I796" s="31" t="inlineStr">
        <is>
          <t>Analyzing Object</t>
        </is>
      </c>
      <c r="J796" s="29">
        <f>MATCH(I796, {"Waiting for Input","Analyzing Object","Found Object","Needs Help","Confused","None"}, 0) - 1</f>
        <v/>
      </c>
      <c r="K796" s="29" t="n">
        <v>3</v>
      </c>
      <c r="L796" s="29">
        <f>IF(H796=J796, 1, 0)</f>
        <v/>
      </c>
    </row>
    <row r="797">
      <c r="D797" s="29" t="n">
        <v>772</v>
      </c>
      <c r="E797" s="29" t="inlineStr">
        <is>
          <t>2</t>
        </is>
      </c>
      <c r="F797" s="30" t="inlineStr">
        <is>
          <t>GPT4</t>
        </is>
      </c>
      <c r="G797" s="29" t="inlineStr">
        <is>
          <t>Confused</t>
        </is>
      </c>
      <c r="H797" s="29">
        <f>MATCH(G797, {"Waiting for Input","Analyzing Object","Found Object","Needs Help","Confused","None"}, 0) - 1</f>
        <v/>
      </c>
      <c r="I797" s="31" t="inlineStr">
        <is>
          <t>Needs Help</t>
        </is>
      </c>
      <c r="J797" s="29">
        <f>MATCH(I797, {"Waiting for Input","Analyzing Object","Found Object","Needs Help","Confused","None"}, 0) - 1</f>
        <v/>
      </c>
      <c r="K797" s="29" t="n">
        <v>2</v>
      </c>
      <c r="L797" s="29">
        <f>IF(H797=J797, 1, 0)</f>
        <v/>
      </c>
    </row>
    <row r="798">
      <c r="D798" s="29" t="n">
        <v>773</v>
      </c>
      <c r="E798" s="29" t="inlineStr">
        <is>
          <t>2</t>
        </is>
      </c>
      <c r="F798" s="30" t="inlineStr">
        <is>
          <t>GPT4</t>
        </is>
      </c>
      <c r="G798" s="29" t="inlineStr">
        <is>
          <t>Confused</t>
        </is>
      </c>
      <c r="H798" s="29">
        <f>MATCH(G798, {"Waiting for Input","Analyzing Object","Found Object","Needs Help","Confused","None"}, 0) - 1</f>
        <v/>
      </c>
      <c r="I798" s="31" t="inlineStr">
        <is>
          <t>Confused</t>
        </is>
      </c>
      <c r="J798" s="29">
        <f>MATCH(I798, {"Waiting for Input","Analyzing Object","Found Object","Needs Help","Confused","None"}, 0) - 1</f>
        <v/>
      </c>
      <c r="K798" s="29" t="n">
        <v>2</v>
      </c>
      <c r="L798" s="29">
        <f>IF(H798=J798, 1, 0)</f>
        <v/>
      </c>
    </row>
    <row r="799">
      <c r="D799" s="29" t="n">
        <v>774</v>
      </c>
      <c r="E799" s="29" t="inlineStr">
        <is>
          <t>1</t>
        </is>
      </c>
      <c r="F799" s="30" t="inlineStr">
        <is>
          <t>GPT4</t>
        </is>
      </c>
      <c r="G799" s="29" t="inlineStr">
        <is>
          <t>Confused</t>
        </is>
      </c>
      <c r="H799" s="29">
        <f>MATCH(G799, {"Waiting for Input","Analyzing Object","Found Object","Needs Help","Confused","None"}, 0) - 1</f>
        <v/>
      </c>
      <c r="I799" s="31" t="inlineStr">
        <is>
          <t>Needs Help</t>
        </is>
      </c>
      <c r="J799" s="29">
        <f>MATCH(I799, {"Waiting for Input","Analyzing Object","Found Object","Needs Help","Confused","None"}, 0) - 1</f>
        <v/>
      </c>
      <c r="K799" s="29" t="n">
        <v>2</v>
      </c>
      <c r="L799" s="29">
        <f>IF(H799=J799, 1, 0)</f>
        <v/>
      </c>
    </row>
    <row r="800">
      <c r="D800" s="29" t="n">
        <v>775</v>
      </c>
      <c r="E800" s="29" t="inlineStr">
        <is>
          <t>2</t>
        </is>
      </c>
      <c r="F800" s="30" t="inlineStr">
        <is>
          <t>GPT4</t>
        </is>
      </c>
      <c r="G800" s="29" t="inlineStr">
        <is>
          <t>Confused</t>
        </is>
      </c>
      <c r="H800" s="29">
        <f>MATCH(G800, {"Waiting for Input","Analyzing Object","Found Object","Needs Help","Confused","None"}, 0) - 1</f>
        <v/>
      </c>
      <c r="I800" s="31" t="inlineStr">
        <is>
          <t>Needs Help</t>
        </is>
      </c>
      <c r="J800" s="29">
        <f>MATCH(I800, {"Waiting for Input","Analyzing Object","Found Object","Needs Help","Confused","None"}, 0) - 1</f>
        <v/>
      </c>
      <c r="K800" s="29" t="n">
        <v>1</v>
      </c>
      <c r="L800" s="29">
        <f>IF(H800=J800, 1, 0)</f>
        <v/>
      </c>
    </row>
    <row r="801">
      <c r="D801" s="29" t="n">
        <v>776</v>
      </c>
      <c r="E801" s="29" t="inlineStr">
        <is>
          <t>2</t>
        </is>
      </c>
      <c r="F801" s="30" t="inlineStr">
        <is>
          <t>GPT4</t>
        </is>
      </c>
      <c r="G801" s="29" t="inlineStr">
        <is>
          <t>Confused</t>
        </is>
      </c>
      <c r="H801" s="29">
        <f>MATCH(G801, {"Waiting for Input","Analyzing Object","Found Object","Needs Help","Confused","None"}, 0) - 1</f>
        <v/>
      </c>
      <c r="I801" s="31" t="inlineStr">
        <is>
          <t>Confused</t>
        </is>
      </c>
      <c r="J801" s="29">
        <f>MATCH(I801, {"Waiting for Input","Analyzing Object","Found Object","Needs Help","Confused","None"}, 0) - 1</f>
        <v/>
      </c>
      <c r="K801" s="29" t="n">
        <v>2</v>
      </c>
      <c r="L801" s="29">
        <f>IF(H801=J801, 1, 0)</f>
        <v/>
      </c>
    </row>
    <row r="802">
      <c r="D802" s="29" t="n">
        <v>777</v>
      </c>
      <c r="E802" s="29" t="inlineStr">
        <is>
          <t>2</t>
        </is>
      </c>
      <c r="F802" s="30" t="inlineStr">
        <is>
          <t>GPT4</t>
        </is>
      </c>
      <c r="G802" s="29" t="inlineStr">
        <is>
          <t>Confused</t>
        </is>
      </c>
      <c r="H802" s="29">
        <f>MATCH(G802, {"Waiting for Input","Analyzing Object","Found Object","Needs Help","Confused","None"}, 0) - 1</f>
        <v/>
      </c>
      <c r="I802" s="31" t="inlineStr">
        <is>
          <t>Waiting for Input</t>
        </is>
      </c>
      <c r="J802" s="29">
        <f>MATCH(I802, {"Waiting for Input","Analyzing Object","Found Object","Needs Help","Confused","None"}, 0) - 1</f>
        <v/>
      </c>
      <c r="K802" s="29" t="n">
        <v>3</v>
      </c>
      <c r="L802" s="29">
        <f>IF(H802=J802, 1, 0)</f>
        <v/>
      </c>
    </row>
    <row r="803">
      <c r="D803" s="29" t="n">
        <v>778</v>
      </c>
      <c r="E803" s="29" t="inlineStr">
        <is>
          <t>1</t>
        </is>
      </c>
      <c r="F803" s="30" t="inlineStr">
        <is>
          <t>GPT4</t>
        </is>
      </c>
      <c r="G803" s="29" t="inlineStr">
        <is>
          <t>Confused</t>
        </is>
      </c>
      <c r="H803" s="29">
        <f>MATCH(G803, {"Waiting for Input","Analyzing Object","Found Object","Needs Help","Confused","None"}, 0) - 1</f>
        <v/>
      </c>
      <c r="I803" s="31" t="inlineStr">
        <is>
          <t>Confused</t>
        </is>
      </c>
      <c r="J803" s="29">
        <f>MATCH(I803, {"Waiting for Input","Analyzing Object","Found Object","Needs Help","Confused","None"}, 0) - 1</f>
        <v/>
      </c>
      <c r="K803" s="29" t="n">
        <v>3</v>
      </c>
      <c r="L803" s="29">
        <f>IF(H803=J803, 1, 0)</f>
        <v/>
      </c>
    </row>
    <row r="804">
      <c r="D804" s="29" t="n">
        <v>779</v>
      </c>
      <c r="E804" s="29" t="inlineStr">
        <is>
          <t>2</t>
        </is>
      </c>
      <c r="F804" s="30" t="inlineStr">
        <is>
          <t>GPT4</t>
        </is>
      </c>
      <c r="G804" s="29" t="inlineStr">
        <is>
          <t>Confused</t>
        </is>
      </c>
      <c r="H804" s="29">
        <f>MATCH(G804, {"Waiting for Input","Analyzing Object","Found Object","Needs Help","Confused","None"}, 0) - 1</f>
        <v/>
      </c>
      <c r="I804" s="31" t="inlineStr">
        <is>
          <t>Needs Help</t>
        </is>
      </c>
      <c r="J804" s="29">
        <f>MATCH(I804, {"Waiting for Input","Analyzing Object","Found Object","Needs Help","Confused","None"}, 0) - 1</f>
        <v/>
      </c>
      <c r="K804" s="29" t="n">
        <v>2</v>
      </c>
      <c r="L804" s="29">
        <f>IF(H804=J804, 1, 0)</f>
        <v/>
      </c>
    </row>
    <row r="805">
      <c r="D805" s="29" t="n">
        <v>780</v>
      </c>
      <c r="E805" s="29" t="inlineStr">
        <is>
          <t>1</t>
        </is>
      </c>
      <c r="F805" s="30" t="inlineStr">
        <is>
          <t>Human</t>
        </is>
      </c>
      <c r="G805" s="29" t="inlineStr">
        <is>
          <t>Confused</t>
        </is>
      </c>
      <c r="H805" s="29">
        <f>MATCH(G805, {"Waiting for Input","Analyzing Object","Found Object","Needs Help","Confused","None"}, 0) - 1</f>
        <v/>
      </c>
      <c r="I805" s="31" t="inlineStr">
        <is>
          <t>Needs Help</t>
        </is>
      </c>
      <c r="J805" s="29">
        <f>MATCH(I805, {"Waiting for Input","Analyzing Object","Found Object","Needs Help","Confused","None"}, 0) - 1</f>
        <v/>
      </c>
      <c r="K805" s="29" t="n">
        <v>2</v>
      </c>
      <c r="L805" s="29">
        <f>IF(H805=J805, 1, 0)</f>
        <v/>
      </c>
    </row>
    <row r="806">
      <c r="D806" s="29" t="n">
        <v>781</v>
      </c>
      <c r="E806" s="29" t="inlineStr">
        <is>
          <t>1</t>
        </is>
      </c>
      <c r="F806" s="30" t="inlineStr">
        <is>
          <t>Human</t>
        </is>
      </c>
      <c r="G806" s="29" t="inlineStr">
        <is>
          <t>Confused</t>
        </is>
      </c>
      <c r="H806" s="29">
        <f>MATCH(G806, {"Waiting for Input","Analyzing Object","Found Object","Needs Help","Confused","None"}, 0) - 1</f>
        <v/>
      </c>
      <c r="I806" s="31" t="inlineStr">
        <is>
          <t>Found Object</t>
        </is>
      </c>
      <c r="J806" s="29">
        <f>MATCH(I806, {"Waiting for Input","Analyzing Object","Found Object","Needs Help","Confused","None"}, 0) - 1</f>
        <v/>
      </c>
      <c r="K806" s="29" t="n">
        <v>4</v>
      </c>
      <c r="L806" s="29">
        <f>IF(H806=J806, 1, 0)</f>
        <v/>
      </c>
    </row>
    <row r="807">
      <c r="D807" s="29" t="n">
        <v>782</v>
      </c>
      <c r="E807" s="29" t="inlineStr">
        <is>
          <t>1</t>
        </is>
      </c>
      <c r="F807" s="30" t="inlineStr">
        <is>
          <t>Human</t>
        </is>
      </c>
      <c r="G807" s="29" t="inlineStr">
        <is>
          <t>Confused</t>
        </is>
      </c>
      <c r="H807" s="29">
        <f>MATCH(G807, {"Waiting for Input","Analyzing Object","Found Object","Needs Help","Confused","None"}, 0) - 1</f>
        <v/>
      </c>
      <c r="I807" s="31" t="inlineStr">
        <is>
          <t>Waiting for Input</t>
        </is>
      </c>
      <c r="J807" s="29">
        <f>MATCH(I807, {"Waiting for Input","Analyzing Object","Found Object","Needs Help","Confused","None"}, 0) - 1</f>
        <v/>
      </c>
      <c r="K807" s="29" t="n">
        <v>4</v>
      </c>
      <c r="L807" s="29">
        <f>IF(H807=J807, 1, 0)</f>
        <v/>
      </c>
    </row>
    <row r="808">
      <c r="D808" s="29" t="n">
        <v>783</v>
      </c>
      <c r="E808" s="29" t="inlineStr">
        <is>
          <t>2</t>
        </is>
      </c>
      <c r="F808" s="30" t="inlineStr">
        <is>
          <t>Human</t>
        </is>
      </c>
      <c r="G808" s="29" t="inlineStr">
        <is>
          <t>Confused</t>
        </is>
      </c>
      <c r="H808" s="29">
        <f>MATCH(G808, {"Waiting for Input","Analyzing Object","Found Object","Needs Help","Confused","None"}, 0) - 1</f>
        <v/>
      </c>
      <c r="I808" s="31" t="inlineStr">
        <is>
          <t>Analyzing Object</t>
        </is>
      </c>
      <c r="J808" s="29">
        <f>MATCH(I808, {"Waiting for Input","Analyzing Object","Found Object","Needs Help","Confused","None"}, 0) - 1</f>
        <v/>
      </c>
      <c r="K808" s="29" t="n">
        <v>3</v>
      </c>
      <c r="L808" s="29">
        <f>IF(H808=J808, 1, 0)</f>
        <v/>
      </c>
    </row>
    <row r="809">
      <c r="D809" s="29" t="n">
        <v>784</v>
      </c>
      <c r="E809" s="29" t="inlineStr">
        <is>
          <t>2</t>
        </is>
      </c>
      <c r="F809" s="30" t="inlineStr">
        <is>
          <t>Human</t>
        </is>
      </c>
      <c r="G809" s="29" t="inlineStr">
        <is>
          <t>Confused</t>
        </is>
      </c>
      <c r="H809" s="29">
        <f>MATCH(G809, {"Waiting for Input","Analyzing Object","Found Object","Needs Help","Confused","None"}, 0) - 1</f>
        <v/>
      </c>
      <c r="I809" s="31" t="inlineStr">
        <is>
          <t>Waiting for Input</t>
        </is>
      </c>
      <c r="J809" s="29">
        <f>MATCH(I809, {"Waiting for Input","Analyzing Object","Found Object","Needs Help","Confused","None"}, 0) - 1</f>
        <v/>
      </c>
      <c r="K809" s="29" t="n">
        <v>4</v>
      </c>
      <c r="L809" s="29">
        <f>IF(H809=J809, 1, 0)</f>
        <v/>
      </c>
    </row>
    <row r="810">
      <c r="D810" s="29" t="n">
        <v>785</v>
      </c>
      <c r="E810" s="29" t="inlineStr">
        <is>
          <t>1</t>
        </is>
      </c>
      <c r="F810" s="30" t="inlineStr">
        <is>
          <t>Human</t>
        </is>
      </c>
      <c r="G810" s="29" t="inlineStr">
        <is>
          <t>Confused</t>
        </is>
      </c>
      <c r="H810" s="29">
        <f>MATCH(G810, {"Waiting for Input","Analyzing Object","Found Object","Needs Help","Confused","None"}, 0) - 1</f>
        <v/>
      </c>
      <c r="I810" s="31" t="inlineStr">
        <is>
          <t>Waiting for Input</t>
        </is>
      </c>
      <c r="J810" s="29">
        <f>MATCH(I810, {"Waiting for Input","Analyzing Object","Found Object","Needs Help","Confused","None"}, 0) - 1</f>
        <v/>
      </c>
      <c r="K810" s="29" t="n">
        <v>5</v>
      </c>
      <c r="L810" s="29">
        <f>IF(H810=J810, 1, 0)</f>
        <v/>
      </c>
    </row>
    <row r="811">
      <c r="D811" s="29" t="n">
        <v>786</v>
      </c>
      <c r="E811" s="29" t="inlineStr">
        <is>
          <t>2</t>
        </is>
      </c>
      <c r="F811" s="30" t="inlineStr">
        <is>
          <t>Human</t>
        </is>
      </c>
      <c r="G811" s="29" t="inlineStr">
        <is>
          <t>Confused</t>
        </is>
      </c>
      <c r="H811" s="29">
        <f>MATCH(G811, {"Waiting for Input","Analyzing Object","Found Object","Needs Help","Confused","None"}, 0) - 1</f>
        <v/>
      </c>
      <c r="I811" s="31" t="inlineStr">
        <is>
          <t>Waiting for Input</t>
        </is>
      </c>
      <c r="J811" s="29">
        <f>MATCH(I811, {"Waiting for Input","Analyzing Object","Found Object","Needs Help","Confused","None"}, 0) - 1</f>
        <v/>
      </c>
      <c r="K811" s="29" t="n">
        <v>3</v>
      </c>
      <c r="L811" s="29">
        <f>IF(H811=J811, 1, 0)</f>
        <v/>
      </c>
    </row>
    <row r="812">
      <c r="D812" s="29" t="n">
        <v>787</v>
      </c>
      <c r="E812" s="29" t="inlineStr">
        <is>
          <t>1</t>
        </is>
      </c>
      <c r="F812" s="30" t="inlineStr">
        <is>
          <t>Human</t>
        </is>
      </c>
      <c r="G812" s="29" t="inlineStr">
        <is>
          <t>Confused</t>
        </is>
      </c>
      <c r="H812" s="29">
        <f>MATCH(G812, {"Waiting for Input","Analyzing Object","Found Object","Needs Help","Confused","None"}, 0) - 1</f>
        <v/>
      </c>
      <c r="I812" s="31" t="inlineStr">
        <is>
          <t>Confused</t>
        </is>
      </c>
      <c r="J812" s="29">
        <f>MATCH(I812, {"Waiting for Input","Analyzing Object","Found Object","Needs Help","Confused","None"}, 0) - 1</f>
        <v/>
      </c>
      <c r="K812" s="29" t="n">
        <v>5</v>
      </c>
      <c r="L812" s="29">
        <f>IF(H812=J812, 1, 0)</f>
        <v/>
      </c>
    </row>
    <row r="813">
      <c r="D813" s="29" t="n">
        <v>788</v>
      </c>
      <c r="E813" s="29" t="inlineStr">
        <is>
          <t>1</t>
        </is>
      </c>
      <c r="F813" s="30" t="inlineStr">
        <is>
          <t>Human</t>
        </is>
      </c>
      <c r="G813" s="29" t="inlineStr">
        <is>
          <t>Confused</t>
        </is>
      </c>
      <c r="H813" s="29">
        <f>MATCH(G813, {"Waiting for Input","Analyzing Object","Found Object","Needs Help","Confused","None"}, 0) - 1</f>
        <v/>
      </c>
      <c r="I813" s="31" t="inlineStr">
        <is>
          <t>Waiting for Input</t>
        </is>
      </c>
      <c r="J813" s="29">
        <f>MATCH(I813, {"Waiting for Input","Analyzing Object","Found Object","Needs Help","Confused","None"}, 0) - 1</f>
        <v/>
      </c>
      <c r="K813" s="29" t="n">
        <v>3</v>
      </c>
      <c r="L813" s="29">
        <f>IF(H813=J813, 1, 0)</f>
        <v/>
      </c>
    </row>
    <row r="814">
      <c r="D814" s="29" t="n">
        <v>789</v>
      </c>
      <c r="E814" s="29" t="inlineStr">
        <is>
          <t>1</t>
        </is>
      </c>
      <c r="F814" s="30" t="inlineStr">
        <is>
          <t>Human</t>
        </is>
      </c>
      <c r="G814" s="29" t="inlineStr">
        <is>
          <t>Confused</t>
        </is>
      </c>
      <c r="H814" s="29">
        <f>MATCH(G814, {"Waiting for Input","Analyzing Object","Found Object","Needs Help","Confused","None"}, 0) - 1</f>
        <v/>
      </c>
      <c r="I814" s="31" t="inlineStr">
        <is>
          <t>Waiting for Input</t>
        </is>
      </c>
      <c r="J814" s="29">
        <f>MATCH(I814, {"Waiting for Input","Analyzing Object","Found Object","Needs Help","Confused","None"}, 0) - 1</f>
        <v/>
      </c>
      <c r="K814" s="29" t="n">
        <v>5</v>
      </c>
      <c r="L814" s="29">
        <f>IF(H814=J814, 1, 0)</f>
        <v/>
      </c>
    </row>
    <row r="815">
      <c r="D815" s="29" t="n">
        <v>790</v>
      </c>
      <c r="E815" s="29" t="inlineStr">
        <is>
          <t>2</t>
        </is>
      </c>
      <c r="F815" s="30" t="inlineStr">
        <is>
          <t>Human</t>
        </is>
      </c>
      <c r="G815" s="29" t="inlineStr">
        <is>
          <t>Confused</t>
        </is>
      </c>
      <c r="H815" s="29">
        <f>MATCH(G815, {"Waiting for Input","Analyzing Object","Found Object","Needs Help","Confused","None"}, 0) - 1</f>
        <v/>
      </c>
      <c r="I815" s="31" t="inlineStr">
        <is>
          <t>Waiting for Input</t>
        </is>
      </c>
      <c r="J815" s="29">
        <f>MATCH(I815, {"Waiting for Input","Analyzing Object","Found Object","Needs Help","Confused","None"}, 0) - 1</f>
        <v/>
      </c>
      <c r="K815" s="29" t="n">
        <v>4</v>
      </c>
      <c r="L815" s="29">
        <f>IF(H815=J815, 1, 0)</f>
        <v/>
      </c>
    </row>
    <row r="816">
      <c r="D816" s="29" t="n">
        <v>791</v>
      </c>
      <c r="E816" s="29" t="inlineStr">
        <is>
          <t>2</t>
        </is>
      </c>
      <c r="F816" s="30" t="inlineStr">
        <is>
          <t>Human</t>
        </is>
      </c>
      <c r="G816" s="29" t="inlineStr">
        <is>
          <t>Confused</t>
        </is>
      </c>
      <c r="H816" s="29">
        <f>MATCH(G816, {"Waiting for Input","Analyzing Object","Found Object","Needs Help","Confused","None"}, 0) - 1</f>
        <v/>
      </c>
      <c r="I816" s="31" t="inlineStr">
        <is>
          <t>Confused</t>
        </is>
      </c>
      <c r="J816" s="29">
        <f>MATCH(I816, {"Waiting for Input","Analyzing Object","Found Object","Needs Help","Confused","None"}, 0) - 1</f>
        <v/>
      </c>
      <c r="K816" s="29" t="n">
        <v>4</v>
      </c>
      <c r="L816" s="29">
        <f>IF(H816=J816, 1, 0)</f>
        <v/>
      </c>
    </row>
    <row r="817">
      <c r="D817" s="29" t="n">
        <v>792</v>
      </c>
      <c r="E817" s="29" t="inlineStr">
        <is>
          <t>2</t>
        </is>
      </c>
      <c r="F817" s="30" t="inlineStr">
        <is>
          <t>Human</t>
        </is>
      </c>
      <c r="G817" s="29" t="inlineStr">
        <is>
          <t>Confused</t>
        </is>
      </c>
      <c r="H817" s="29">
        <f>MATCH(G817, {"Waiting for Input","Analyzing Object","Found Object","Needs Help","Confused","None"}, 0) - 1</f>
        <v/>
      </c>
      <c r="I817" s="31" t="inlineStr">
        <is>
          <t>Waiting for Input</t>
        </is>
      </c>
      <c r="J817" s="29">
        <f>MATCH(I817, {"Waiting for Input","Analyzing Object","Found Object","Needs Help","Confused","None"}, 0) - 1</f>
        <v/>
      </c>
      <c r="K817" s="29" t="n">
        <v>2</v>
      </c>
      <c r="L817" s="29">
        <f>IF(H817=J817, 1, 0)</f>
        <v/>
      </c>
    </row>
    <row r="818">
      <c r="D818" s="29" t="n">
        <v>793</v>
      </c>
      <c r="E818" s="29" t="inlineStr">
        <is>
          <t>2</t>
        </is>
      </c>
      <c r="F818" s="30" t="inlineStr">
        <is>
          <t>Human</t>
        </is>
      </c>
      <c r="G818" s="29" t="inlineStr">
        <is>
          <t>Confused</t>
        </is>
      </c>
      <c r="H818" s="29">
        <f>MATCH(G818, {"Waiting for Input","Analyzing Object","Found Object","Needs Help","Confused","None"}, 0) - 1</f>
        <v/>
      </c>
      <c r="I818" s="31" t="inlineStr">
        <is>
          <t>Waiting for Input</t>
        </is>
      </c>
      <c r="J818" s="29">
        <f>MATCH(I818, {"Waiting for Input","Analyzing Object","Found Object","Needs Help","Confused","None"}, 0) - 1</f>
        <v/>
      </c>
      <c r="K818" s="29" t="n">
        <v>4</v>
      </c>
      <c r="L818" s="29">
        <f>IF(H818=J818, 1, 0)</f>
        <v/>
      </c>
    </row>
    <row r="819">
      <c r="D819" s="29" t="n">
        <v>794</v>
      </c>
      <c r="E819" s="29" t="inlineStr">
        <is>
          <t>1</t>
        </is>
      </c>
      <c r="F819" s="30" t="inlineStr">
        <is>
          <t>Human</t>
        </is>
      </c>
      <c r="G819" s="29" t="inlineStr">
        <is>
          <t>Confused</t>
        </is>
      </c>
      <c r="H819" s="29">
        <f>MATCH(G819, {"Waiting for Input","Analyzing Object","Found Object","Needs Help","Confused","None"}, 0) - 1</f>
        <v/>
      </c>
      <c r="I819" s="31" t="inlineStr">
        <is>
          <t>Waiting for Input</t>
        </is>
      </c>
      <c r="J819" s="29">
        <f>MATCH(I819, {"Waiting for Input","Analyzing Object","Found Object","Needs Help","Confused","None"}, 0) - 1</f>
        <v/>
      </c>
      <c r="K819" s="29" t="n">
        <v>4</v>
      </c>
      <c r="L819" s="29">
        <f>IF(H819=J819, 1, 0)</f>
        <v/>
      </c>
    </row>
    <row r="820">
      <c r="D820" s="29" t="n">
        <v>795</v>
      </c>
      <c r="E820" s="29" t="inlineStr">
        <is>
          <t>1</t>
        </is>
      </c>
      <c r="F820" s="30" t="inlineStr">
        <is>
          <t>Human</t>
        </is>
      </c>
      <c r="G820" s="29" t="inlineStr">
        <is>
          <t>Confused</t>
        </is>
      </c>
      <c r="H820" s="29">
        <f>MATCH(G820, {"Waiting for Input","Analyzing Object","Found Object","Needs Help","Confused","None"}, 0) - 1</f>
        <v/>
      </c>
      <c r="I820" s="31" t="inlineStr">
        <is>
          <t>Waiting for Input</t>
        </is>
      </c>
      <c r="J820" s="29">
        <f>MATCH(I820, {"Waiting for Input","Analyzing Object","Found Object","Needs Help","Confused","None"}, 0) - 1</f>
        <v/>
      </c>
      <c r="K820" s="29" t="n">
        <v>4</v>
      </c>
      <c r="L820" s="29">
        <f>IF(H820=J820, 1, 0)</f>
        <v/>
      </c>
    </row>
    <row r="821">
      <c r="D821" s="29" t="n">
        <v>796</v>
      </c>
      <c r="E821" s="29" t="inlineStr">
        <is>
          <t>1</t>
        </is>
      </c>
      <c r="F821" s="30" t="inlineStr">
        <is>
          <t>Human</t>
        </is>
      </c>
      <c r="G821" s="29" t="inlineStr">
        <is>
          <t>Confused</t>
        </is>
      </c>
      <c r="H821" s="29">
        <f>MATCH(G821, {"Waiting for Input","Analyzing Object","Found Object","Needs Help","Confused","None"}, 0) - 1</f>
        <v/>
      </c>
      <c r="I821" s="31" t="inlineStr">
        <is>
          <t>Confused</t>
        </is>
      </c>
      <c r="J821" s="29">
        <f>MATCH(I821, {"Waiting for Input","Analyzing Object","Found Object","Needs Help","Confused","None"}, 0) - 1</f>
        <v/>
      </c>
      <c r="K821" s="29" t="n">
        <v>4</v>
      </c>
      <c r="L821" s="29">
        <f>IF(H821=J821, 1, 0)</f>
        <v/>
      </c>
    </row>
    <row r="822">
      <c r="D822" s="29" t="n">
        <v>797</v>
      </c>
      <c r="E822" s="29" t="inlineStr">
        <is>
          <t>2</t>
        </is>
      </c>
      <c r="F822" s="30" t="inlineStr">
        <is>
          <t>Human</t>
        </is>
      </c>
      <c r="G822" s="29" t="inlineStr">
        <is>
          <t>Confused</t>
        </is>
      </c>
      <c r="H822" s="29">
        <f>MATCH(G822, {"Waiting for Input","Analyzing Object","Found Object","Needs Help","Confused","None"}, 0) - 1</f>
        <v/>
      </c>
      <c r="I822" s="31" t="inlineStr">
        <is>
          <t>Waiting for Input</t>
        </is>
      </c>
      <c r="J822" s="29">
        <f>MATCH(I822, {"Waiting for Input","Analyzing Object","Found Object","Needs Help","Confused","None"}, 0) - 1</f>
        <v/>
      </c>
      <c r="K822" s="29" t="n">
        <v>5</v>
      </c>
      <c r="L822" s="29">
        <f>IF(H822=J822, 1, 0)</f>
        <v/>
      </c>
    </row>
    <row r="823">
      <c r="D823" s="29" t="n">
        <v>798</v>
      </c>
      <c r="E823" s="29" t="inlineStr">
        <is>
          <t>2</t>
        </is>
      </c>
      <c r="F823" s="30" t="inlineStr">
        <is>
          <t>Human</t>
        </is>
      </c>
      <c r="G823" s="29" t="inlineStr">
        <is>
          <t>Confused</t>
        </is>
      </c>
      <c r="H823" s="29">
        <f>MATCH(G823, {"Waiting for Input","Analyzing Object","Found Object","Needs Help","Confused","None"}, 0) - 1</f>
        <v/>
      </c>
      <c r="I823" s="31" t="inlineStr">
        <is>
          <t>Confused</t>
        </is>
      </c>
      <c r="J823" s="29">
        <f>MATCH(I823, {"Waiting for Input","Analyzing Object","Found Object","Needs Help","Confused","None"}, 0) - 1</f>
        <v/>
      </c>
      <c r="K823" s="29" t="n">
        <v>4</v>
      </c>
      <c r="L823" s="29">
        <f>IF(H823=J823, 1, 0)</f>
        <v/>
      </c>
    </row>
    <row r="824">
      <c r="D824" s="29" t="n">
        <v>799</v>
      </c>
      <c r="E824" s="29" t="inlineStr">
        <is>
          <t>1</t>
        </is>
      </c>
      <c r="F824" s="30" t="inlineStr">
        <is>
          <t>Human</t>
        </is>
      </c>
      <c r="G824" s="29" t="inlineStr">
        <is>
          <t>Confused</t>
        </is>
      </c>
      <c r="H824" s="29">
        <f>MATCH(G824, {"Waiting for Input","Analyzing Object","Found Object","Needs Help","Confused","None"}, 0) - 1</f>
        <v/>
      </c>
      <c r="I824" s="31" t="inlineStr">
        <is>
          <t>Confused</t>
        </is>
      </c>
      <c r="J824" s="29">
        <f>MATCH(I824, {"Waiting for Input","Analyzing Object","Found Object","Needs Help","Confused","None"}, 0) - 1</f>
        <v/>
      </c>
      <c r="K824" s="29" t="n">
        <v>3</v>
      </c>
      <c r="L824" s="29">
        <f>IF(H824=J824, 1, 0)</f>
        <v/>
      </c>
    </row>
    <row r="825">
      <c r="D825" s="29" t="n">
        <v>800</v>
      </c>
      <c r="E825" s="29" t="inlineStr">
        <is>
          <t>1</t>
        </is>
      </c>
      <c r="F825" s="30" t="inlineStr">
        <is>
          <t>Human</t>
        </is>
      </c>
      <c r="G825" s="29" t="inlineStr">
        <is>
          <t>Confused</t>
        </is>
      </c>
      <c r="H825" s="29">
        <f>MATCH(G825, {"Waiting for Input","Analyzing Object","Found Object","Needs Help","Confused","None"}, 0) - 1</f>
        <v/>
      </c>
      <c r="I825" s="31" t="inlineStr">
        <is>
          <t>Waiting for Input</t>
        </is>
      </c>
      <c r="J825" s="29">
        <f>MATCH(I825, {"Waiting for Input","Analyzing Object","Found Object","Needs Help","Confused","None"}, 0) - 1</f>
        <v/>
      </c>
      <c r="K825" s="29" t="n">
        <v>2</v>
      </c>
      <c r="L825" s="29">
        <f>IF(H825=J825, 1, 0)</f>
        <v/>
      </c>
    </row>
    <row r="826">
      <c r="D826" s="29" t="n">
        <v>801</v>
      </c>
      <c r="E826" s="29" t="inlineStr">
        <is>
          <t>2</t>
        </is>
      </c>
      <c r="F826" s="30" t="inlineStr">
        <is>
          <t>Human</t>
        </is>
      </c>
      <c r="G826" s="29" t="inlineStr">
        <is>
          <t>Confused</t>
        </is>
      </c>
      <c r="H826" s="29">
        <f>MATCH(G826, {"Waiting for Input","Analyzing Object","Found Object","Needs Help","Confused","None"}, 0) - 1</f>
        <v/>
      </c>
      <c r="I826" s="31" t="inlineStr">
        <is>
          <t>Needs Help</t>
        </is>
      </c>
      <c r="J826" s="29">
        <f>MATCH(I826, {"Waiting for Input","Analyzing Object","Found Object","Needs Help","Confused","None"}, 0) - 1</f>
        <v/>
      </c>
      <c r="K826" s="29" t="n">
        <v>3</v>
      </c>
      <c r="L826" s="29">
        <f>IF(H826=J826, 1, 0)</f>
        <v/>
      </c>
    </row>
    <row r="827">
      <c r="D827" s="29" t="n">
        <v>802</v>
      </c>
      <c r="E827" s="29" t="inlineStr">
        <is>
          <t>2</t>
        </is>
      </c>
      <c r="F827" s="30" t="inlineStr">
        <is>
          <t>Human</t>
        </is>
      </c>
      <c r="G827" s="29" t="inlineStr">
        <is>
          <t>Confused</t>
        </is>
      </c>
      <c r="H827" s="29">
        <f>MATCH(G827, {"Waiting for Input","Analyzing Object","Found Object","Needs Help","Confused","None"}, 0) - 1</f>
        <v/>
      </c>
      <c r="I827" s="31" t="inlineStr">
        <is>
          <t>Confused</t>
        </is>
      </c>
      <c r="J827" s="29">
        <f>MATCH(I827, {"Waiting for Input","Analyzing Object","Found Object","Needs Help","Confused","None"}, 0) - 1</f>
        <v/>
      </c>
      <c r="K827" s="29" t="n">
        <v>5</v>
      </c>
      <c r="L827" s="29">
        <f>IF(H827=J827, 1, 0)</f>
        <v/>
      </c>
    </row>
    <row r="828">
      <c r="D828" s="29" t="n">
        <v>803</v>
      </c>
      <c r="E828" s="29" t="inlineStr">
        <is>
          <t>1</t>
        </is>
      </c>
      <c r="F828" s="30" t="inlineStr">
        <is>
          <t>Human</t>
        </is>
      </c>
      <c r="G828" s="29" t="inlineStr">
        <is>
          <t>Confused</t>
        </is>
      </c>
      <c r="H828" s="29">
        <f>MATCH(G828, {"Waiting for Input","Analyzing Object","Found Object","Needs Help","Confused","None"}, 0) - 1</f>
        <v/>
      </c>
      <c r="I828" s="31" t="inlineStr">
        <is>
          <t>Confused</t>
        </is>
      </c>
      <c r="J828" s="29">
        <f>MATCH(I828, {"Waiting for Input","Analyzing Object","Found Object","Needs Help","Confused","None"}, 0) - 1</f>
        <v/>
      </c>
      <c r="K828" s="29" t="n">
        <v>2</v>
      </c>
      <c r="L828" s="29">
        <f>IF(H828=J828, 1, 0)</f>
        <v/>
      </c>
    </row>
    <row r="829">
      <c r="D829" s="29" t="n">
        <v>804</v>
      </c>
      <c r="E829" s="29" t="inlineStr">
        <is>
          <t>1</t>
        </is>
      </c>
      <c r="F829" s="30" t="inlineStr">
        <is>
          <t>Human</t>
        </is>
      </c>
      <c r="G829" s="29" t="inlineStr">
        <is>
          <t>Confused</t>
        </is>
      </c>
      <c r="H829" s="29">
        <f>MATCH(G829, {"Waiting for Input","Analyzing Object","Found Object","Needs Help","Confused","None"}, 0) - 1</f>
        <v/>
      </c>
      <c r="I829" s="31" t="inlineStr">
        <is>
          <t>Confused</t>
        </is>
      </c>
      <c r="J829" s="29">
        <f>MATCH(I829, {"Waiting for Input","Analyzing Object","Found Object","Needs Help","Confused","None"}, 0) - 1</f>
        <v/>
      </c>
      <c r="K829" s="29" t="n">
        <v>4</v>
      </c>
      <c r="L829" s="29">
        <f>IF(H829=J829, 1, 0)</f>
        <v/>
      </c>
    </row>
    <row r="830">
      <c r="D830" s="29" t="n">
        <v>805</v>
      </c>
      <c r="E830" s="29" t="inlineStr">
        <is>
          <t>2</t>
        </is>
      </c>
      <c r="F830" s="30" t="inlineStr">
        <is>
          <t>Human</t>
        </is>
      </c>
      <c r="G830" s="29" t="inlineStr">
        <is>
          <t>Confused</t>
        </is>
      </c>
      <c r="H830" s="29">
        <f>MATCH(G830, {"Waiting for Input","Analyzing Object","Found Object","Needs Help","Confused","None"}, 0) - 1</f>
        <v/>
      </c>
      <c r="I830" s="31" t="inlineStr">
        <is>
          <t>Waiting for Input</t>
        </is>
      </c>
      <c r="J830" s="29">
        <f>MATCH(I830, {"Waiting for Input","Analyzing Object","Found Object","Needs Help","Confused","None"}, 0) - 1</f>
        <v/>
      </c>
      <c r="K830" s="29" t="n">
        <v>2</v>
      </c>
      <c r="L830" s="29">
        <f>IF(H830=J830, 1, 0)</f>
        <v/>
      </c>
    </row>
    <row r="831">
      <c r="D831" s="29" t="n">
        <v>806</v>
      </c>
      <c r="E831" s="29" t="inlineStr">
        <is>
          <t>2</t>
        </is>
      </c>
      <c r="F831" s="30" t="inlineStr">
        <is>
          <t>Human</t>
        </is>
      </c>
      <c r="G831" s="29" t="inlineStr">
        <is>
          <t>Confused</t>
        </is>
      </c>
      <c r="H831" s="29">
        <f>MATCH(G831, {"Waiting for Input","Analyzing Object","Found Object","Needs Help","Confused","None"}, 0) - 1</f>
        <v/>
      </c>
      <c r="I831" s="31" t="inlineStr">
        <is>
          <t>None</t>
        </is>
      </c>
      <c r="J831" s="29">
        <f>MATCH(I831, {"Waiting for Input","Analyzing Object","Found Object","Needs Help","Confused","None"}, 0) - 1</f>
        <v/>
      </c>
      <c r="K831" s="29" t="n">
        <v>3</v>
      </c>
      <c r="L831" s="29">
        <f>IF(H831=J831, 1, 0)</f>
        <v/>
      </c>
    </row>
    <row r="832">
      <c r="D832" s="29" t="n">
        <v>807</v>
      </c>
      <c r="E832" s="29" t="inlineStr">
        <is>
          <t>2</t>
        </is>
      </c>
      <c r="F832" s="30" t="inlineStr">
        <is>
          <t>Human</t>
        </is>
      </c>
      <c r="G832" s="29" t="inlineStr">
        <is>
          <t>Confused</t>
        </is>
      </c>
      <c r="H832" s="29">
        <f>MATCH(G832, {"Waiting for Input","Analyzing Object","Found Object","Needs Help","Confused","None"}, 0) - 1</f>
        <v/>
      </c>
      <c r="I832" s="31" t="inlineStr">
        <is>
          <t>Waiting for Input</t>
        </is>
      </c>
      <c r="J832" s="29">
        <f>MATCH(I832, {"Waiting for Input","Analyzing Object","Found Object","Needs Help","Confused","None"}, 0) - 1</f>
        <v/>
      </c>
      <c r="K832" s="29" t="n">
        <v>3</v>
      </c>
      <c r="L832" s="29">
        <f>IF(H832=J832, 1, 0)</f>
        <v/>
      </c>
    </row>
    <row r="833">
      <c r="D833" s="29" t="n">
        <v>808</v>
      </c>
      <c r="E833" s="29" t="inlineStr">
        <is>
          <t>2</t>
        </is>
      </c>
      <c r="F833" s="30" t="inlineStr">
        <is>
          <t>Human</t>
        </is>
      </c>
      <c r="G833" s="29" t="inlineStr">
        <is>
          <t>Confused</t>
        </is>
      </c>
      <c r="H833" s="29">
        <f>MATCH(G833, {"Waiting for Input","Analyzing Object","Found Object","Needs Help","Confused","None"}, 0) - 1</f>
        <v/>
      </c>
      <c r="I833" s="31" t="inlineStr">
        <is>
          <t>Confused</t>
        </is>
      </c>
      <c r="J833" s="29">
        <f>MATCH(I833, {"Waiting for Input","Analyzing Object","Found Object","Needs Help","Confused","None"}, 0) - 1</f>
        <v/>
      </c>
      <c r="K833" s="29" t="n">
        <v>4</v>
      </c>
      <c r="L833" s="29">
        <f>IF(H833=J833, 1, 0)</f>
        <v/>
      </c>
    </row>
    <row r="834">
      <c r="D834" s="29" t="n">
        <v>809</v>
      </c>
      <c r="E834" s="29" t="inlineStr">
        <is>
          <t>2</t>
        </is>
      </c>
      <c r="F834" s="30" t="inlineStr">
        <is>
          <t>Human</t>
        </is>
      </c>
      <c r="G834" s="29" t="inlineStr">
        <is>
          <t>Confused</t>
        </is>
      </c>
      <c r="H834" s="29">
        <f>MATCH(G834, {"Waiting for Input","Analyzing Object","Found Object","Needs Help","Confused","None"}, 0) - 1</f>
        <v/>
      </c>
      <c r="I834" s="31" t="inlineStr">
        <is>
          <t>Waiting for Input</t>
        </is>
      </c>
      <c r="J834" s="29">
        <f>MATCH(I834, {"Waiting for Input","Analyzing Object","Found Object","Needs Help","Confused","None"}, 0) - 1</f>
        <v/>
      </c>
      <c r="K834" s="29" t="n">
        <v>5</v>
      </c>
      <c r="L834" s="29">
        <f>IF(H834=J834, 1, 0)</f>
        <v/>
      </c>
    </row>
    <row r="835">
      <c r="D835" s="29" t="n">
        <v>810</v>
      </c>
      <c r="E835" s="29" t="inlineStr">
        <is>
          <t>2</t>
        </is>
      </c>
      <c r="F835" s="30" t="inlineStr">
        <is>
          <t>Human</t>
        </is>
      </c>
      <c r="G835" s="29" t="inlineStr">
        <is>
          <t>Confused</t>
        </is>
      </c>
      <c r="H835" s="29">
        <f>MATCH(G835, {"Waiting for Input","Analyzing Object","Found Object","Needs Help","Confused","None"}, 0) - 1</f>
        <v/>
      </c>
      <c r="I835" s="31" t="inlineStr">
        <is>
          <t>Confused</t>
        </is>
      </c>
      <c r="J835" s="29">
        <f>MATCH(I835, {"Waiting for Input","Analyzing Object","Found Object","Needs Help","Confused","None"}, 0) - 1</f>
        <v/>
      </c>
      <c r="K835" s="29" t="n">
        <v>3</v>
      </c>
      <c r="L835" s="29">
        <f>IF(H835=J835, 1, 0)</f>
        <v/>
      </c>
    </row>
    <row r="836">
      <c r="D836" s="29" t="n">
        <v>811</v>
      </c>
      <c r="E836" s="29" t="inlineStr">
        <is>
          <t>1</t>
        </is>
      </c>
      <c r="F836" s="30" t="inlineStr">
        <is>
          <t>Human</t>
        </is>
      </c>
      <c r="G836" s="29" t="inlineStr">
        <is>
          <t>Confused</t>
        </is>
      </c>
      <c r="H836" s="29">
        <f>MATCH(G836, {"Waiting for Input","Analyzing Object","Found Object","Needs Help","Confused","None"}, 0) - 1</f>
        <v/>
      </c>
      <c r="I836" s="31" t="inlineStr">
        <is>
          <t>Waiting for Input</t>
        </is>
      </c>
      <c r="J836" s="29">
        <f>MATCH(I836, {"Waiting for Input","Analyzing Object","Found Object","Needs Help","Confused","None"}, 0) - 1</f>
        <v/>
      </c>
      <c r="K836" s="29" t="n">
        <v>5</v>
      </c>
      <c r="L836" s="29">
        <f>IF(H836=J836, 1, 0)</f>
        <v/>
      </c>
    </row>
    <row r="837">
      <c r="D837" s="29" t="n">
        <v>812</v>
      </c>
      <c r="E837" s="29" t="inlineStr">
        <is>
          <t>2</t>
        </is>
      </c>
      <c r="F837" s="30" t="inlineStr">
        <is>
          <t>Human</t>
        </is>
      </c>
      <c r="G837" s="29" t="inlineStr">
        <is>
          <t>Confused</t>
        </is>
      </c>
      <c r="H837" s="29">
        <f>MATCH(G837, {"Waiting for Input","Analyzing Object","Found Object","Needs Help","Confused","None"}, 0) - 1</f>
        <v/>
      </c>
      <c r="I837" s="31" t="inlineStr">
        <is>
          <t>Waiting for Input</t>
        </is>
      </c>
      <c r="J837" s="29">
        <f>MATCH(I837, {"Waiting for Input","Analyzing Object","Found Object","Needs Help","Confused","None"}, 0) - 1</f>
        <v/>
      </c>
      <c r="K837" s="29" t="n">
        <v>5</v>
      </c>
      <c r="L837" s="29">
        <f>IF(H837=J837, 1, 0)</f>
        <v/>
      </c>
    </row>
    <row r="838">
      <c r="D838" s="29" t="n">
        <v>813</v>
      </c>
      <c r="E838" s="29" t="inlineStr">
        <is>
          <t>1</t>
        </is>
      </c>
      <c r="F838" s="30" t="inlineStr">
        <is>
          <t>Human</t>
        </is>
      </c>
      <c r="G838" s="29" t="inlineStr">
        <is>
          <t>Confused</t>
        </is>
      </c>
      <c r="H838" s="29">
        <f>MATCH(G838, {"Waiting for Input","Analyzing Object","Found Object","Needs Help","Confused","None"}, 0) - 1</f>
        <v/>
      </c>
      <c r="I838" s="31" t="inlineStr">
        <is>
          <t>Confused</t>
        </is>
      </c>
      <c r="J838" s="29">
        <f>MATCH(I838, {"Waiting for Input","Analyzing Object","Found Object","Needs Help","Confused","None"}, 0) - 1</f>
        <v/>
      </c>
      <c r="K838" s="29" t="n">
        <v>3</v>
      </c>
      <c r="L838" s="29">
        <f>IF(H838=J838, 1, 0)</f>
        <v/>
      </c>
    </row>
    <row r="839">
      <c r="D839" s="29" t="n">
        <v>814</v>
      </c>
      <c r="E839" s="29" t="inlineStr">
        <is>
          <t>1</t>
        </is>
      </c>
      <c r="F839" s="30" t="inlineStr">
        <is>
          <t>Human</t>
        </is>
      </c>
      <c r="G839" s="29" t="inlineStr">
        <is>
          <t>Confused</t>
        </is>
      </c>
      <c r="H839" s="29">
        <f>MATCH(G839, {"Waiting for Input","Analyzing Object","Found Object","Needs Help","Confused","None"}, 0) - 1</f>
        <v/>
      </c>
      <c r="I839" s="31" t="inlineStr">
        <is>
          <t>Waiting for Input</t>
        </is>
      </c>
      <c r="J839" s="29">
        <f>MATCH(I839, {"Waiting for Input","Analyzing Object","Found Object","Needs Help","Confused","None"}, 0) - 1</f>
        <v/>
      </c>
      <c r="K839" s="29" t="n">
        <v>5</v>
      </c>
      <c r="L839" s="29">
        <f>IF(H839=J839, 1, 0)</f>
        <v/>
      </c>
    </row>
    <row r="840">
      <c r="D840" s="29" t="n">
        <v>815</v>
      </c>
      <c r="E840" s="29" t="inlineStr">
        <is>
          <t>1</t>
        </is>
      </c>
      <c r="F840" s="30" t="inlineStr">
        <is>
          <t>Human</t>
        </is>
      </c>
      <c r="G840" s="29" t="inlineStr">
        <is>
          <t>Confused</t>
        </is>
      </c>
      <c r="H840" s="29">
        <f>MATCH(G840, {"Waiting for Input","Analyzing Object","Found Object","Needs Help","Confused","None"}, 0) - 1</f>
        <v/>
      </c>
      <c r="I840" s="31" t="inlineStr">
        <is>
          <t>Waiting for Input</t>
        </is>
      </c>
      <c r="J840" s="29">
        <f>MATCH(I840, {"Waiting for Input","Analyzing Object","Found Object","Needs Help","Confused","None"}, 0) - 1</f>
        <v/>
      </c>
      <c r="K840" s="29" t="n">
        <v>5</v>
      </c>
      <c r="L840" s="29">
        <f>IF(H840=J840, 1, 0)</f>
        <v/>
      </c>
    </row>
    <row r="841">
      <c r="D841" s="29" t="n">
        <v>816</v>
      </c>
      <c r="E841" s="29" t="inlineStr">
        <is>
          <t>2</t>
        </is>
      </c>
      <c r="F841" s="30" t="inlineStr">
        <is>
          <t>Human</t>
        </is>
      </c>
      <c r="G841" s="29" t="inlineStr">
        <is>
          <t>Confused</t>
        </is>
      </c>
      <c r="H841" s="29">
        <f>MATCH(G841, {"Waiting for Input","Analyzing Object","Found Object","Needs Help","Confused","None"}, 0) - 1</f>
        <v/>
      </c>
      <c r="I841" s="31" t="inlineStr">
        <is>
          <t>Waiting for Input</t>
        </is>
      </c>
      <c r="J841" s="29">
        <f>MATCH(I841, {"Waiting for Input","Analyzing Object","Found Object","Needs Help","Confused","None"}, 0) - 1</f>
        <v/>
      </c>
      <c r="K841" s="29" t="n">
        <v>4</v>
      </c>
      <c r="L841" s="29">
        <f>IF(H841=J841, 1, 0)</f>
        <v/>
      </c>
    </row>
    <row r="842">
      <c r="D842" s="29" t="n">
        <v>817</v>
      </c>
      <c r="E842" s="29" t="inlineStr">
        <is>
          <t>2</t>
        </is>
      </c>
      <c r="F842" s="30" t="inlineStr">
        <is>
          <t>Human</t>
        </is>
      </c>
      <c r="G842" s="29" t="inlineStr">
        <is>
          <t>Confused</t>
        </is>
      </c>
      <c r="H842" s="29">
        <f>MATCH(G842, {"Waiting for Input","Analyzing Object","Found Object","Needs Help","Confused","None"}, 0) - 1</f>
        <v/>
      </c>
      <c r="I842" s="31" t="inlineStr">
        <is>
          <t>Needs Help</t>
        </is>
      </c>
      <c r="J842" s="29">
        <f>MATCH(I842, {"Waiting for Input","Analyzing Object","Found Object","Needs Help","Confused","None"}, 0) - 1</f>
        <v/>
      </c>
      <c r="K842" s="29" t="n">
        <v>5</v>
      </c>
      <c r="L842" s="29">
        <f>IF(H842=J842, 1, 0)</f>
        <v/>
      </c>
    </row>
    <row r="843">
      <c r="D843" s="29" t="n">
        <v>818</v>
      </c>
      <c r="E843" s="29" t="inlineStr">
        <is>
          <t>1</t>
        </is>
      </c>
      <c r="F843" s="30" t="inlineStr">
        <is>
          <t>Human</t>
        </is>
      </c>
      <c r="G843" s="29" t="inlineStr">
        <is>
          <t>Confused</t>
        </is>
      </c>
      <c r="H843" s="29">
        <f>MATCH(G843, {"Waiting for Input","Analyzing Object","Found Object","Needs Help","Confused","None"}, 0) - 1</f>
        <v/>
      </c>
      <c r="I843" s="31" t="inlineStr">
        <is>
          <t>Waiting for Input</t>
        </is>
      </c>
      <c r="J843" s="29">
        <f>MATCH(I843, {"Waiting for Input","Analyzing Object","Found Object","Needs Help","Confused","None"}, 0) - 1</f>
        <v/>
      </c>
      <c r="K843" s="29" t="n">
        <v>2</v>
      </c>
      <c r="L843" s="29">
        <f>IF(H843=J843, 1, 0)</f>
        <v/>
      </c>
    </row>
    <row r="844">
      <c r="D844" s="29" t="n">
        <v>819</v>
      </c>
      <c r="E844" s="29" t="inlineStr">
        <is>
          <t>1</t>
        </is>
      </c>
      <c r="F844" s="30" t="inlineStr">
        <is>
          <t>Human</t>
        </is>
      </c>
      <c r="G844" s="29" t="inlineStr">
        <is>
          <t>Confused</t>
        </is>
      </c>
      <c r="H844" s="29">
        <f>MATCH(G844, {"Waiting for Input","Analyzing Object","Found Object","Needs Help","Confused","None"}, 0) - 1</f>
        <v/>
      </c>
      <c r="I844" s="31" t="inlineStr">
        <is>
          <t>Waiting for Input</t>
        </is>
      </c>
      <c r="J844" s="29">
        <f>MATCH(I844, {"Waiting for Input","Analyzing Object","Found Object","Needs Help","Confused","None"}, 0) - 1</f>
        <v/>
      </c>
      <c r="K844" s="29" t="n">
        <v>5</v>
      </c>
      <c r="L844" s="29">
        <f>IF(H844=J844, 1, 0)</f>
        <v/>
      </c>
    </row>
    <row r="845">
      <c r="D845" s="29" t="n">
        <v>820</v>
      </c>
      <c r="E845" s="29" t="inlineStr">
        <is>
          <t>1</t>
        </is>
      </c>
      <c r="F845" s="30" t="inlineStr">
        <is>
          <t>Human</t>
        </is>
      </c>
      <c r="G845" s="29" t="inlineStr">
        <is>
          <t>Confused</t>
        </is>
      </c>
      <c r="H845" s="29">
        <f>MATCH(G845, {"Waiting for Input","Analyzing Object","Found Object","Needs Help","Confused","None"}, 0) - 1</f>
        <v/>
      </c>
      <c r="I845" s="31" t="inlineStr">
        <is>
          <t>Waiting for Input</t>
        </is>
      </c>
      <c r="J845" s="29">
        <f>MATCH(I845, {"Waiting for Input","Analyzing Object","Found Object","Needs Help","Confused","None"}, 0) - 1</f>
        <v/>
      </c>
      <c r="K845" s="29" t="n">
        <v>3</v>
      </c>
      <c r="L845" s="29">
        <f>IF(H845=J845, 1, 0)</f>
        <v/>
      </c>
    </row>
    <row r="846">
      <c r="D846" s="29" t="n">
        <v>821</v>
      </c>
      <c r="E846" s="29" t="inlineStr">
        <is>
          <t>2</t>
        </is>
      </c>
      <c r="F846" s="30" t="inlineStr">
        <is>
          <t>Human</t>
        </is>
      </c>
      <c r="G846" s="29" t="inlineStr">
        <is>
          <t>Confused</t>
        </is>
      </c>
      <c r="H846" s="29">
        <f>MATCH(G846, {"Waiting for Input","Analyzing Object","Found Object","Needs Help","Confused","None"}, 0) - 1</f>
        <v/>
      </c>
      <c r="I846" s="31" t="inlineStr">
        <is>
          <t>Waiting for Input</t>
        </is>
      </c>
      <c r="J846" s="29">
        <f>MATCH(I846, {"Waiting for Input","Analyzing Object","Found Object","Needs Help","Confused","None"}, 0) - 1</f>
        <v/>
      </c>
      <c r="K846" s="29" t="n">
        <v>3</v>
      </c>
      <c r="L846" s="29">
        <f>IF(H846=J846, 1, 0)</f>
        <v/>
      </c>
    </row>
    <row r="847">
      <c r="D847" s="29" t="n">
        <v>822</v>
      </c>
      <c r="E847" s="29" t="inlineStr">
        <is>
          <t>2</t>
        </is>
      </c>
      <c r="F847" s="30" t="inlineStr">
        <is>
          <t>Human</t>
        </is>
      </c>
      <c r="G847" s="29" t="inlineStr">
        <is>
          <t>Confused</t>
        </is>
      </c>
      <c r="H847" s="29">
        <f>MATCH(G847, {"Waiting for Input","Analyzing Object","Found Object","Needs Help","Confused","None"}, 0) - 1</f>
        <v/>
      </c>
      <c r="I847" s="31" t="inlineStr">
        <is>
          <t>Waiting for Input</t>
        </is>
      </c>
      <c r="J847" s="29">
        <f>MATCH(I847, {"Waiting for Input","Analyzing Object","Found Object","Needs Help","Confused","None"}, 0) - 1</f>
        <v/>
      </c>
      <c r="K847" s="29" t="n">
        <v>5</v>
      </c>
      <c r="L847" s="29">
        <f>IF(H847=J847, 1, 0)</f>
        <v/>
      </c>
    </row>
    <row r="848">
      <c r="D848" s="29" t="n">
        <v>823</v>
      </c>
      <c r="E848" s="29" t="inlineStr">
        <is>
          <t>2</t>
        </is>
      </c>
      <c r="F848" s="30" t="inlineStr">
        <is>
          <t>Human</t>
        </is>
      </c>
      <c r="G848" s="29" t="inlineStr">
        <is>
          <t>Confused</t>
        </is>
      </c>
      <c r="H848" s="29">
        <f>MATCH(G848, {"Waiting for Input","Analyzing Object","Found Object","Needs Help","Confused","None"}, 0) - 1</f>
        <v/>
      </c>
      <c r="I848" s="31" t="inlineStr">
        <is>
          <t>Needs Help</t>
        </is>
      </c>
      <c r="J848" s="29">
        <f>MATCH(I848, {"Waiting for Input","Analyzing Object","Found Object","Needs Help","Confused","None"}, 0) - 1</f>
        <v/>
      </c>
      <c r="K848" s="29" t="n">
        <v>1</v>
      </c>
      <c r="L848" s="29">
        <f>IF(H848=J848, 1, 0)</f>
        <v/>
      </c>
    </row>
    <row r="849">
      <c r="D849" s="29" t="n">
        <v>824</v>
      </c>
      <c r="E849" s="29" t="inlineStr">
        <is>
          <t>2</t>
        </is>
      </c>
      <c r="F849" s="30" t="inlineStr">
        <is>
          <t>Human</t>
        </is>
      </c>
      <c r="G849" s="29" t="inlineStr">
        <is>
          <t>Confused</t>
        </is>
      </c>
      <c r="H849" s="29">
        <f>MATCH(G849, {"Waiting for Input","Analyzing Object","Found Object","Needs Help","Confused","None"}, 0) - 1</f>
        <v/>
      </c>
      <c r="I849" s="31" t="inlineStr">
        <is>
          <t>Confused</t>
        </is>
      </c>
      <c r="J849" s="29">
        <f>MATCH(I849, {"Waiting for Input","Analyzing Object","Found Object","Needs Help","Confused","None"}, 0) - 1</f>
        <v/>
      </c>
      <c r="K849" s="29" t="n">
        <v>3</v>
      </c>
      <c r="L849" s="29">
        <f>IF(H849=J849, 1, 0)</f>
        <v/>
      </c>
    </row>
    <row r="850">
      <c r="D850" s="29" t="n">
        <v>825</v>
      </c>
      <c r="E850" s="29" t="inlineStr">
        <is>
          <t>2</t>
        </is>
      </c>
      <c r="F850" s="30" t="inlineStr">
        <is>
          <t>Human</t>
        </is>
      </c>
      <c r="G850" s="29" t="inlineStr">
        <is>
          <t>Confused</t>
        </is>
      </c>
      <c r="H850" s="29">
        <f>MATCH(G850, {"Waiting for Input","Analyzing Object","Found Object","Needs Help","Confused","None"}, 0) - 1</f>
        <v/>
      </c>
      <c r="I850" s="31" t="inlineStr">
        <is>
          <t>Confused</t>
        </is>
      </c>
      <c r="J850" s="29">
        <f>MATCH(I850, {"Waiting for Input","Analyzing Object","Found Object","Needs Help","Confused","None"}, 0) - 1</f>
        <v/>
      </c>
      <c r="K850" s="29" t="n">
        <v>3</v>
      </c>
      <c r="L850" s="29">
        <f>IF(H850=J850, 1, 0)</f>
        <v/>
      </c>
    </row>
    <row r="851">
      <c r="D851" s="29" t="n">
        <v>826</v>
      </c>
      <c r="E851" s="29" t="inlineStr">
        <is>
          <t>2</t>
        </is>
      </c>
      <c r="F851" s="30" t="inlineStr">
        <is>
          <t>Human</t>
        </is>
      </c>
      <c r="G851" s="29" t="inlineStr">
        <is>
          <t>Confused</t>
        </is>
      </c>
      <c r="H851" s="29">
        <f>MATCH(G851, {"Waiting for Input","Analyzing Object","Found Object","Needs Help","Confused","None"}, 0) - 1</f>
        <v/>
      </c>
      <c r="I851" s="31" t="inlineStr">
        <is>
          <t>Waiting for Input</t>
        </is>
      </c>
      <c r="J851" s="29">
        <f>MATCH(I851, {"Waiting for Input","Analyzing Object","Found Object","Needs Help","Confused","None"}, 0) - 1</f>
        <v/>
      </c>
      <c r="K851" s="29" t="n">
        <v>3</v>
      </c>
      <c r="L851" s="29">
        <f>IF(H851=J851, 1, 0)</f>
        <v/>
      </c>
    </row>
    <row r="852">
      <c r="D852" s="29" t="n">
        <v>827</v>
      </c>
      <c r="E852" s="29" t="inlineStr">
        <is>
          <t>2</t>
        </is>
      </c>
      <c r="F852" s="30" t="inlineStr">
        <is>
          <t>Human</t>
        </is>
      </c>
      <c r="G852" s="29" t="inlineStr">
        <is>
          <t>Confused</t>
        </is>
      </c>
      <c r="H852" s="29">
        <f>MATCH(G852, {"Waiting for Input","Analyzing Object","Found Object","Needs Help","Confused","None"}, 0) - 1</f>
        <v/>
      </c>
      <c r="I852" s="31" t="inlineStr">
        <is>
          <t>Waiting for Input</t>
        </is>
      </c>
      <c r="J852" s="29">
        <f>MATCH(I852, {"Waiting for Input","Analyzing Object","Found Object","Needs Help","Confused","None"}, 0) - 1</f>
        <v/>
      </c>
      <c r="K852" s="29" t="n">
        <v>2</v>
      </c>
      <c r="L852" s="29">
        <f>IF(H852=J852, 1, 0)</f>
        <v/>
      </c>
    </row>
    <row r="853">
      <c r="D853" s="29" t="n">
        <v>828</v>
      </c>
      <c r="E853" s="29" t="inlineStr">
        <is>
          <t>2</t>
        </is>
      </c>
      <c r="F853" s="30" t="inlineStr">
        <is>
          <t>Human</t>
        </is>
      </c>
      <c r="G853" s="29" t="inlineStr">
        <is>
          <t>Confused</t>
        </is>
      </c>
      <c r="H853" s="29">
        <f>MATCH(G853, {"Waiting for Input","Analyzing Object","Found Object","Needs Help","Confused","None"}, 0) - 1</f>
        <v/>
      </c>
      <c r="I853" s="31" t="inlineStr">
        <is>
          <t>Waiting for Input</t>
        </is>
      </c>
      <c r="J853" s="29">
        <f>MATCH(I853, {"Waiting for Input","Analyzing Object","Found Object","Needs Help","Confused","None"}, 0) - 1</f>
        <v/>
      </c>
      <c r="K853" s="29" t="n">
        <v>2</v>
      </c>
      <c r="L853" s="29">
        <f>IF(H853=J853, 1, 0)</f>
        <v/>
      </c>
    </row>
    <row r="854">
      <c r="D854" s="29" t="n">
        <v>829</v>
      </c>
      <c r="E854" s="29" t="inlineStr">
        <is>
          <t>2</t>
        </is>
      </c>
      <c r="F854" s="30" t="inlineStr">
        <is>
          <t>Human</t>
        </is>
      </c>
      <c r="G854" s="29" t="inlineStr">
        <is>
          <t>Confused</t>
        </is>
      </c>
      <c r="H854" s="29">
        <f>MATCH(G854, {"Waiting for Input","Analyzing Object","Found Object","Needs Help","Confused","None"}, 0) - 1</f>
        <v/>
      </c>
      <c r="I854" s="31" t="inlineStr">
        <is>
          <t>Waiting for Input</t>
        </is>
      </c>
      <c r="J854" s="29">
        <f>MATCH(I854, {"Waiting for Input","Analyzing Object","Found Object","Needs Help","Confused","None"}, 0) - 1</f>
        <v/>
      </c>
      <c r="K854" s="29" t="n">
        <v>4</v>
      </c>
      <c r="L854" s="29">
        <f>IF(H854=J854, 1, 0)</f>
        <v/>
      </c>
    </row>
    <row r="855">
      <c r="D855" s="29" t="n">
        <v>830</v>
      </c>
      <c r="E855" s="29" t="inlineStr">
        <is>
          <t>2</t>
        </is>
      </c>
      <c r="F855" s="30" t="inlineStr">
        <is>
          <t>Human</t>
        </is>
      </c>
      <c r="G855" s="29" t="inlineStr">
        <is>
          <t>Confused</t>
        </is>
      </c>
      <c r="H855" s="29">
        <f>MATCH(G855, {"Waiting for Input","Analyzing Object","Found Object","Needs Help","Confused","None"}, 0) - 1</f>
        <v/>
      </c>
      <c r="I855" s="31" t="inlineStr">
        <is>
          <t>Waiting for Input</t>
        </is>
      </c>
      <c r="J855" s="29">
        <f>MATCH(I855, {"Waiting for Input","Analyzing Object","Found Object","Needs Help","Confused","None"}, 0) - 1</f>
        <v/>
      </c>
      <c r="K855" s="29" t="n">
        <v>3</v>
      </c>
      <c r="L855" s="29">
        <f>IF(H855=J855, 1, 0)</f>
        <v/>
      </c>
    </row>
    <row r="856">
      <c r="D856" s="29" t="n">
        <v>831</v>
      </c>
      <c r="E856" s="29" t="inlineStr">
        <is>
          <t>1</t>
        </is>
      </c>
      <c r="F856" s="30" t="inlineStr">
        <is>
          <t>Human</t>
        </is>
      </c>
      <c r="G856" s="29" t="inlineStr">
        <is>
          <t>Confused</t>
        </is>
      </c>
      <c r="H856" s="29">
        <f>MATCH(G856, {"Waiting for Input","Analyzing Object","Found Object","Needs Help","Confused","None"}, 0) - 1</f>
        <v/>
      </c>
      <c r="I856" s="31" t="inlineStr">
        <is>
          <t>Confused</t>
        </is>
      </c>
      <c r="J856" s="29">
        <f>MATCH(I856, {"Waiting for Input","Analyzing Object","Found Object","Needs Help","Confused","None"}, 0) - 1</f>
        <v/>
      </c>
      <c r="K856" s="29" t="n">
        <v>4</v>
      </c>
      <c r="L856" s="29">
        <f>IF(H856=J856, 1, 0)</f>
        <v/>
      </c>
    </row>
    <row r="857">
      <c r="D857" s="29" t="n">
        <v>832</v>
      </c>
      <c r="E857" s="29" t="inlineStr">
        <is>
          <t>2</t>
        </is>
      </c>
      <c r="F857" s="30" t="inlineStr">
        <is>
          <t>Human</t>
        </is>
      </c>
      <c r="G857" s="29" t="inlineStr">
        <is>
          <t>Confused</t>
        </is>
      </c>
      <c r="H857" s="29">
        <f>MATCH(G857, {"Waiting for Input","Analyzing Object","Found Object","Needs Help","Confused","None"}, 0) - 1</f>
        <v/>
      </c>
      <c r="I857" s="31" t="inlineStr">
        <is>
          <t>Waiting for Input</t>
        </is>
      </c>
      <c r="J857" s="29">
        <f>MATCH(I857, {"Waiting for Input","Analyzing Object","Found Object","Needs Help","Confused","None"}, 0) - 1</f>
        <v/>
      </c>
      <c r="K857" s="29" t="n">
        <v>5</v>
      </c>
      <c r="L857" s="29">
        <f>IF(H857=J857, 1, 0)</f>
        <v/>
      </c>
    </row>
    <row r="858">
      <c r="D858" s="29" t="n">
        <v>833</v>
      </c>
      <c r="E858" s="29" t="inlineStr">
        <is>
          <t>2</t>
        </is>
      </c>
      <c r="F858" s="30" t="inlineStr">
        <is>
          <t>Human</t>
        </is>
      </c>
      <c r="G858" s="29" t="inlineStr">
        <is>
          <t>Confused</t>
        </is>
      </c>
      <c r="H858" s="29">
        <f>MATCH(G858, {"Waiting for Input","Analyzing Object","Found Object","Needs Help","Confused","None"}, 0) - 1</f>
        <v/>
      </c>
      <c r="I858" s="31" t="inlineStr">
        <is>
          <t>Waiting for Input</t>
        </is>
      </c>
      <c r="J858" s="29">
        <f>MATCH(I858, {"Waiting for Input","Analyzing Object","Found Object","Needs Help","Confused","None"}, 0) - 1</f>
        <v/>
      </c>
      <c r="K858" s="29" t="n">
        <v>5</v>
      </c>
      <c r="L858" s="29">
        <f>IF(H858=J858, 1, 0)</f>
        <v/>
      </c>
    </row>
    <row r="859">
      <c r="D859" s="29" t="n">
        <v>834</v>
      </c>
      <c r="E859" s="29" t="inlineStr">
        <is>
          <t>1</t>
        </is>
      </c>
      <c r="F859" s="30" t="inlineStr">
        <is>
          <t>Human</t>
        </is>
      </c>
      <c r="G859" s="29" t="inlineStr">
        <is>
          <t>Confused</t>
        </is>
      </c>
      <c r="H859" s="29">
        <f>MATCH(G859, {"Waiting for Input","Analyzing Object","Found Object","Needs Help","Confused","None"}, 0) - 1</f>
        <v/>
      </c>
      <c r="I859" s="31" t="inlineStr">
        <is>
          <t>Confused</t>
        </is>
      </c>
      <c r="J859" s="29">
        <f>MATCH(I859, {"Waiting for Input","Analyzing Object","Found Object","Needs Help","Confused","None"}, 0) - 1</f>
        <v/>
      </c>
      <c r="K859" s="29" t="n">
        <v>3</v>
      </c>
      <c r="L859" s="29">
        <f>IF(H859=J859, 1, 0)</f>
        <v/>
      </c>
    </row>
    <row r="860">
      <c r="D860" s="29" t="n">
        <v>835</v>
      </c>
      <c r="E860" s="29" t="inlineStr">
        <is>
          <t>2</t>
        </is>
      </c>
      <c r="F860" s="30" t="inlineStr">
        <is>
          <t>Human</t>
        </is>
      </c>
      <c r="G860" s="29" t="inlineStr">
        <is>
          <t>Confused</t>
        </is>
      </c>
      <c r="H860" s="29">
        <f>MATCH(G860, {"Waiting for Input","Analyzing Object","Found Object","Needs Help","Confused","None"}, 0) - 1</f>
        <v/>
      </c>
      <c r="I860" s="31" t="inlineStr">
        <is>
          <t>Waiting for Input</t>
        </is>
      </c>
      <c r="J860" s="29">
        <f>MATCH(I860, {"Waiting for Input","Analyzing Object","Found Object","Needs Help","Confused","None"}, 0) - 1</f>
        <v/>
      </c>
      <c r="K860" s="29" t="n">
        <v>1</v>
      </c>
      <c r="L860" s="29">
        <f>IF(H860=J860, 1, 0)</f>
        <v/>
      </c>
    </row>
    <row r="861">
      <c r="D861" s="29" t="n">
        <v>836</v>
      </c>
      <c r="E861" s="29" t="inlineStr">
        <is>
          <t>2</t>
        </is>
      </c>
      <c r="F861" s="30" t="inlineStr">
        <is>
          <t>Human</t>
        </is>
      </c>
      <c r="G861" s="29" t="inlineStr">
        <is>
          <t>Confused</t>
        </is>
      </c>
      <c r="H861" s="29">
        <f>MATCH(G861, {"Waiting for Input","Analyzing Object","Found Object","Needs Help","Confused","None"}, 0) - 1</f>
        <v/>
      </c>
      <c r="I861" s="31" t="inlineStr">
        <is>
          <t>Waiting for Input</t>
        </is>
      </c>
      <c r="J861" s="29">
        <f>MATCH(I861, {"Waiting for Input","Analyzing Object","Found Object","Needs Help","Confused","None"}, 0) - 1</f>
        <v/>
      </c>
      <c r="K861" s="29" t="n">
        <v>3</v>
      </c>
      <c r="L861" s="29">
        <f>IF(H861=J861, 1, 0)</f>
        <v/>
      </c>
    </row>
    <row r="862">
      <c r="D862" s="29" t="n">
        <v>837</v>
      </c>
      <c r="E862" s="29" t="inlineStr">
        <is>
          <t>2</t>
        </is>
      </c>
      <c r="F862" s="30" t="inlineStr">
        <is>
          <t>Human</t>
        </is>
      </c>
      <c r="G862" s="29" t="inlineStr">
        <is>
          <t>Confused</t>
        </is>
      </c>
      <c r="H862" s="29">
        <f>MATCH(G862, {"Waiting for Input","Analyzing Object","Found Object","Needs Help","Confused","None"}, 0) - 1</f>
        <v/>
      </c>
      <c r="I862" s="31" t="inlineStr">
        <is>
          <t>Found Object</t>
        </is>
      </c>
      <c r="J862" s="29">
        <f>MATCH(I862, {"Waiting for Input","Analyzing Object","Found Object","Needs Help","Confused","None"}, 0) - 1</f>
        <v/>
      </c>
      <c r="K862" s="29" t="n">
        <v>2</v>
      </c>
      <c r="L862" s="29">
        <f>IF(H862=J862, 1, 0)</f>
        <v/>
      </c>
    </row>
    <row r="863">
      <c r="D863" s="29" t="n">
        <v>838</v>
      </c>
      <c r="E863" s="29" t="inlineStr">
        <is>
          <t>1</t>
        </is>
      </c>
      <c r="F863" s="30" t="inlineStr">
        <is>
          <t>Human</t>
        </is>
      </c>
      <c r="G863" s="29" t="inlineStr">
        <is>
          <t>Confused</t>
        </is>
      </c>
      <c r="H863" s="29">
        <f>MATCH(G863, {"Waiting for Input","Analyzing Object","Found Object","Needs Help","Confused","None"}, 0) - 1</f>
        <v/>
      </c>
      <c r="I863" s="31" t="inlineStr">
        <is>
          <t>Confused</t>
        </is>
      </c>
      <c r="J863" s="29">
        <f>MATCH(I863, {"Waiting for Input","Analyzing Object","Found Object","Needs Help","Confused","None"}, 0) - 1</f>
        <v/>
      </c>
      <c r="K863" s="29" t="n">
        <v>5</v>
      </c>
      <c r="L863" s="29">
        <f>IF(H863=J863, 1, 0)</f>
        <v/>
      </c>
    </row>
    <row r="864">
      <c r="D864" s="29" t="n">
        <v>839</v>
      </c>
      <c r="E864" s="29" t="inlineStr">
        <is>
          <t>2</t>
        </is>
      </c>
      <c r="F864" s="30" t="inlineStr">
        <is>
          <t>Human</t>
        </is>
      </c>
      <c r="G864" s="29" t="inlineStr">
        <is>
          <t>Confused</t>
        </is>
      </c>
      <c r="H864" s="29">
        <f>MATCH(G864, {"Waiting for Input","Analyzing Object","Found Object","Needs Help","Confused","None"}, 0) - 1</f>
        <v/>
      </c>
      <c r="I864" s="31" t="inlineStr">
        <is>
          <t>Waiting for Input</t>
        </is>
      </c>
      <c r="J864" s="29">
        <f>MATCH(I864, {"Waiting for Input","Analyzing Object","Found Object","Needs Help","Confused","None"}, 0) - 1</f>
        <v/>
      </c>
      <c r="K864" s="29" t="n">
        <v>3</v>
      </c>
      <c r="L864" s="29">
        <f>IF(H864=J864, 1, 0)</f>
        <v/>
      </c>
    </row>
    <row r="865">
      <c r="D865" s="29" t="n">
        <v>840</v>
      </c>
      <c r="E865" s="29" t="inlineStr">
        <is>
          <t>1</t>
        </is>
      </c>
      <c r="F865" s="30" t="inlineStr">
        <is>
          <t>Random</t>
        </is>
      </c>
      <c r="G865" s="29" t="inlineStr">
        <is>
          <t>Confused</t>
        </is>
      </c>
      <c r="H865" s="29">
        <f>MATCH(G865, {"Waiting for Input","Analyzing Object","Found Object","Needs Help","Confused","None"}, 0) - 1</f>
        <v/>
      </c>
      <c r="I865" s="31" t="inlineStr">
        <is>
          <t>Needs Help</t>
        </is>
      </c>
      <c r="J865" s="29">
        <f>MATCH(I865, {"Waiting for Input","Analyzing Object","Found Object","Needs Help","Confused","None"}, 0) - 1</f>
        <v/>
      </c>
      <c r="K865" s="29" t="n">
        <v>3</v>
      </c>
      <c r="L865" s="29">
        <f>IF(H865=J865, 1, 0)</f>
        <v/>
      </c>
    </row>
    <row r="866">
      <c r="D866" s="29" t="n">
        <v>841</v>
      </c>
      <c r="E866" s="29" t="inlineStr">
        <is>
          <t>1</t>
        </is>
      </c>
      <c r="F866" s="30" t="inlineStr">
        <is>
          <t>Random</t>
        </is>
      </c>
      <c r="G866" s="29" t="inlineStr">
        <is>
          <t>Confused</t>
        </is>
      </c>
      <c r="H866" s="29">
        <f>MATCH(G866, {"Waiting for Input","Analyzing Object","Found Object","Needs Help","Confused","None"}, 0) - 1</f>
        <v/>
      </c>
      <c r="I866" s="31" t="inlineStr">
        <is>
          <t>Needs Help</t>
        </is>
      </c>
      <c r="J866" s="29">
        <f>MATCH(I866, {"Waiting for Input","Analyzing Object","Found Object","Needs Help","Confused","None"}, 0) - 1</f>
        <v/>
      </c>
      <c r="K866" s="29" t="n">
        <v>2</v>
      </c>
      <c r="L866" s="29">
        <f>IF(H866=J866, 1, 0)</f>
        <v/>
      </c>
    </row>
    <row r="867">
      <c r="D867" s="29" t="n">
        <v>842</v>
      </c>
      <c r="E867" s="29" t="inlineStr">
        <is>
          <t>1</t>
        </is>
      </c>
      <c r="F867" s="30" t="inlineStr">
        <is>
          <t>Random</t>
        </is>
      </c>
      <c r="G867" s="29" t="inlineStr">
        <is>
          <t>Confused</t>
        </is>
      </c>
      <c r="H867" s="29">
        <f>MATCH(G867, {"Waiting for Input","Analyzing Object","Found Object","Needs Help","Confused","None"}, 0) - 1</f>
        <v/>
      </c>
      <c r="I867" s="31" t="inlineStr">
        <is>
          <t>Needs Help</t>
        </is>
      </c>
      <c r="J867" s="29">
        <f>MATCH(I867, {"Waiting for Input","Analyzing Object","Found Object","Needs Help","Confused","None"}, 0) - 1</f>
        <v/>
      </c>
      <c r="K867" s="29" t="n">
        <v>1</v>
      </c>
      <c r="L867" s="29">
        <f>IF(H867=J867, 1, 0)</f>
        <v/>
      </c>
    </row>
    <row r="868">
      <c r="D868" s="29" t="n">
        <v>843</v>
      </c>
      <c r="E868" s="29" t="inlineStr">
        <is>
          <t>2</t>
        </is>
      </c>
      <c r="F868" s="30" t="inlineStr">
        <is>
          <t>Random</t>
        </is>
      </c>
      <c r="G868" s="29" t="inlineStr">
        <is>
          <t>Confused</t>
        </is>
      </c>
      <c r="H868" s="29">
        <f>MATCH(G868, {"Waiting for Input","Analyzing Object","Found Object","Needs Help","Confused","None"}, 0) - 1</f>
        <v/>
      </c>
      <c r="I868" s="31" t="inlineStr">
        <is>
          <t>Needs Help</t>
        </is>
      </c>
      <c r="J868" s="29">
        <f>MATCH(I868, {"Waiting for Input","Analyzing Object","Found Object","Needs Help","Confused","None"}, 0) - 1</f>
        <v/>
      </c>
      <c r="K868" s="29" t="n">
        <v>3</v>
      </c>
      <c r="L868" s="29">
        <f>IF(H868=J868, 1, 0)</f>
        <v/>
      </c>
    </row>
    <row r="869">
      <c r="D869" s="29" t="n">
        <v>844</v>
      </c>
      <c r="E869" s="29" t="inlineStr">
        <is>
          <t>2</t>
        </is>
      </c>
      <c r="F869" s="30" t="inlineStr">
        <is>
          <t>Random</t>
        </is>
      </c>
      <c r="G869" s="29" t="inlineStr">
        <is>
          <t>Confused</t>
        </is>
      </c>
      <c r="H869" s="29">
        <f>MATCH(G869, {"Waiting for Input","Analyzing Object","Found Object","Needs Help","Confused","None"}, 0) - 1</f>
        <v/>
      </c>
      <c r="I869" s="31" t="inlineStr">
        <is>
          <t>Waiting for Input</t>
        </is>
      </c>
      <c r="J869" s="29">
        <f>MATCH(I869, {"Waiting for Input","Analyzing Object","Found Object","Needs Help","Confused","None"}, 0) - 1</f>
        <v/>
      </c>
      <c r="K869" s="29" t="n">
        <v>3</v>
      </c>
      <c r="L869" s="29">
        <f>IF(H869=J869, 1, 0)</f>
        <v/>
      </c>
    </row>
    <row r="870">
      <c r="D870" s="29" t="n">
        <v>845</v>
      </c>
      <c r="E870" s="29" t="inlineStr">
        <is>
          <t>1</t>
        </is>
      </c>
      <c r="F870" s="30" t="inlineStr">
        <is>
          <t>Random</t>
        </is>
      </c>
      <c r="G870" s="29" t="inlineStr">
        <is>
          <t>Confused</t>
        </is>
      </c>
      <c r="H870" s="29">
        <f>MATCH(G870, {"Waiting for Input","Analyzing Object","Found Object","Needs Help","Confused","None"}, 0) - 1</f>
        <v/>
      </c>
      <c r="I870" s="31" t="inlineStr">
        <is>
          <t>Waiting for Input</t>
        </is>
      </c>
      <c r="J870" s="29">
        <f>MATCH(I870, {"Waiting for Input","Analyzing Object","Found Object","Needs Help","Confused","None"}, 0) - 1</f>
        <v/>
      </c>
      <c r="K870" s="29" t="n">
        <v>5</v>
      </c>
      <c r="L870" s="29">
        <f>IF(H870=J870, 1, 0)</f>
        <v/>
      </c>
    </row>
    <row r="871">
      <c r="D871" s="29" t="n">
        <v>846</v>
      </c>
      <c r="E871" s="29" t="inlineStr">
        <is>
          <t>2</t>
        </is>
      </c>
      <c r="F871" s="30" t="inlineStr">
        <is>
          <t>Random</t>
        </is>
      </c>
      <c r="G871" s="29" t="inlineStr">
        <is>
          <t>Confused</t>
        </is>
      </c>
      <c r="H871" s="29">
        <f>MATCH(G871, {"Waiting for Input","Analyzing Object","Found Object","Needs Help","Confused","None"}, 0) - 1</f>
        <v/>
      </c>
      <c r="I871" s="31" t="inlineStr">
        <is>
          <t>Needs Help</t>
        </is>
      </c>
      <c r="J871" s="29">
        <f>MATCH(I871, {"Waiting for Input","Analyzing Object","Found Object","Needs Help","Confused","None"}, 0) - 1</f>
        <v/>
      </c>
      <c r="K871" s="29" t="n">
        <v>3</v>
      </c>
      <c r="L871" s="29">
        <f>IF(H871=J871, 1, 0)</f>
        <v/>
      </c>
    </row>
    <row r="872">
      <c r="D872" s="29" t="n">
        <v>847</v>
      </c>
      <c r="E872" s="29" t="inlineStr">
        <is>
          <t>1</t>
        </is>
      </c>
      <c r="F872" s="30" t="inlineStr">
        <is>
          <t>Random</t>
        </is>
      </c>
      <c r="G872" s="29" t="inlineStr">
        <is>
          <t>Confused</t>
        </is>
      </c>
      <c r="H872" s="29">
        <f>MATCH(G872, {"Waiting for Input","Analyzing Object","Found Object","Needs Help","Confused","None"}, 0) - 1</f>
        <v/>
      </c>
      <c r="I872" s="31" t="inlineStr">
        <is>
          <t>Needs Help</t>
        </is>
      </c>
      <c r="J872" s="29">
        <f>MATCH(I872, {"Waiting for Input","Analyzing Object","Found Object","Needs Help","Confused","None"}, 0) - 1</f>
        <v/>
      </c>
      <c r="K872" s="29" t="n">
        <v>3</v>
      </c>
      <c r="L872" s="29">
        <f>IF(H872=J872, 1, 0)</f>
        <v/>
      </c>
    </row>
    <row r="873">
      <c r="D873" s="29" t="n">
        <v>848</v>
      </c>
      <c r="E873" s="29" t="inlineStr">
        <is>
          <t>1</t>
        </is>
      </c>
      <c r="F873" s="30" t="inlineStr">
        <is>
          <t>Random</t>
        </is>
      </c>
      <c r="G873" s="29" t="inlineStr">
        <is>
          <t>Confused</t>
        </is>
      </c>
      <c r="H873" s="29">
        <f>MATCH(G873, {"Waiting for Input","Analyzing Object","Found Object","Needs Help","Confused","None"}, 0) - 1</f>
        <v/>
      </c>
      <c r="I873" s="31" t="inlineStr">
        <is>
          <t>Found Object</t>
        </is>
      </c>
      <c r="J873" s="29">
        <f>MATCH(I873, {"Waiting for Input","Analyzing Object","Found Object","Needs Help","Confused","None"}, 0) - 1</f>
        <v/>
      </c>
      <c r="K873" s="29" t="n">
        <v>1</v>
      </c>
      <c r="L873" s="29">
        <f>IF(H873=J873, 1, 0)</f>
        <v/>
      </c>
    </row>
    <row r="874">
      <c r="D874" s="29" t="n">
        <v>849</v>
      </c>
      <c r="E874" s="29" t="inlineStr">
        <is>
          <t>1</t>
        </is>
      </c>
      <c r="F874" s="30" t="inlineStr">
        <is>
          <t>Random</t>
        </is>
      </c>
      <c r="G874" s="29" t="inlineStr">
        <is>
          <t>Confused</t>
        </is>
      </c>
      <c r="H874" s="29">
        <f>MATCH(G874, {"Waiting for Input","Analyzing Object","Found Object","Needs Help","Confused","None"}, 0) - 1</f>
        <v/>
      </c>
      <c r="I874" s="31" t="inlineStr">
        <is>
          <t>Needs Help</t>
        </is>
      </c>
      <c r="J874" s="29">
        <f>MATCH(I874, {"Waiting for Input","Analyzing Object","Found Object","Needs Help","Confused","None"}, 0) - 1</f>
        <v/>
      </c>
      <c r="K874" s="29" t="n">
        <v>2</v>
      </c>
      <c r="L874" s="29">
        <f>IF(H874=J874, 1, 0)</f>
        <v/>
      </c>
    </row>
    <row r="875">
      <c r="D875" s="29" t="n">
        <v>850</v>
      </c>
      <c r="E875" s="29" t="inlineStr">
        <is>
          <t>2</t>
        </is>
      </c>
      <c r="F875" s="30" t="inlineStr">
        <is>
          <t>Random</t>
        </is>
      </c>
      <c r="G875" s="29" t="inlineStr">
        <is>
          <t>Confused</t>
        </is>
      </c>
      <c r="H875" s="29">
        <f>MATCH(G875, {"Waiting for Input","Analyzing Object","Found Object","Needs Help","Confused","None"}, 0) - 1</f>
        <v/>
      </c>
      <c r="I875" s="31" t="inlineStr">
        <is>
          <t>Needs Help</t>
        </is>
      </c>
      <c r="J875" s="29">
        <f>MATCH(I875, {"Waiting for Input","Analyzing Object","Found Object","Needs Help","Confused","None"}, 0) - 1</f>
        <v/>
      </c>
      <c r="K875" s="29" t="n">
        <v>3</v>
      </c>
      <c r="L875" s="29">
        <f>IF(H875=J875, 1, 0)</f>
        <v/>
      </c>
    </row>
    <row r="876">
      <c r="D876" s="29" t="n">
        <v>851</v>
      </c>
      <c r="E876" s="29" t="inlineStr">
        <is>
          <t>2</t>
        </is>
      </c>
      <c r="F876" s="30" t="inlineStr">
        <is>
          <t>Random</t>
        </is>
      </c>
      <c r="G876" s="29" t="inlineStr">
        <is>
          <t>Confused</t>
        </is>
      </c>
      <c r="H876" s="29">
        <f>MATCH(G876, {"Waiting for Input","Analyzing Object","Found Object","Needs Help","Confused","None"}, 0) - 1</f>
        <v/>
      </c>
      <c r="I876" s="31" t="inlineStr">
        <is>
          <t>Confused</t>
        </is>
      </c>
      <c r="J876" s="29">
        <f>MATCH(I876, {"Waiting for Input","Analyzing Object","Found Object","Needs Help","Confused","None"}, 0) - 1</f>
        <v/>
      </c>
      <c r="K876" s="29" t="n">
        <v>3</v>
      </c>
      <c r="L876" s="29">
        <f>IF(H876=J876, 1, 0)</f>
        <v/>
      </c>
    </row>
    <row r="877">
      <c r="D877" s="29" t="n">
        <v>852</v>
      </c>
      <c r="E877" s="29" t="inlineStr">
        <is>
          <t>2</t>
        </is>
      </c>
      <c r="F877" s="30" t="inlineStr">
        <is>
          <t>Random</t>
        </is>
      </c>
      <c r="G877" s="29" t="inlineStr">
        <is>
          <t>Confused</t>
        </is>
      </c>
      <c r="H877" s="29">
        <f>MATCH(G877, {"Waiting for Input","Analyzing Object","Found Object","Needs Help","Confused","None"}, 0) - 1</f>
        <v/>
      </c>
      <c r="I877" s="31" t="inlineStr">
        <is>
          <t>Needs Help</t>
        </is>
      </c>
      <c r="J877" s="29">
        <f>MATCH(I877, {"Waiting for Input","Analyzing Object","Found Object","Needs Help","Confused","None"}, 0) - 1</f>
        <v/>
      </c>
      <c r="K877" s="29" t="n">
        <v>3</v>
      </c>
      <c r="L877" s="29">
        <f>IF(H877=J877, 1, 0)</f>
        <v/>
      </c>
    </row>
    <row r="878">
      <c r="D878" s="29" t="n">
        <v>853</v>
      </c>
      <c r="E878" s="29" t="inlineStr">
        <is>
          <t>2</t>
        </is>
      </c>
      <c r="F878" s="30" t="inlineStr">
        <is>
          <t>Random</t>
        </is>
      </c>
      <c r="G878" s="29" t="inlineStr">
        <is>
          <t>Confused</t>
        </is>
      </c>
      <c r="H878" s="29">
        <f>MATCH(G878, {"Waiting for Input","Analyzing Object","Found Object","Needs Help","Confused","None"}, 0) - 1</f>
        <v/>
      </c>
      <c r="I878" s="31" t="inlineStr">
        <is>
          <t>Needs Help</t>
        </is>
      </c>
      <c r="J878" s="29">
        <f>MATCH(I878, {"Waiting for Input","Analyzing Object","Found Object","Needs Help","Confused","None"}, 0) - 1</f>
        <v/>
      </c>
      <c r="K878" s="29" t="n">
        <v>3</v>
      </c>
      <c r="L878" s="29">
        <f>IF(H878=J878, 1, 0)</f>
        <v/>
      </c>
    </row>
    <row r="879">
      <c r="D879" s="29" t="n">
        <v>854</v>
      </c>
      <c r="E879" s="29" t="inlineStr">
        <is>
          <t>1</t>
        </is>
      </c>
      <c r="F879" s="30" t="inlineStr">
        <is>
          <t>Random</t>
        </is>
      </c>
      <c r="G879" s="29" t="inlineStr">
        <is>
          <t>Confused</t>
        </is>
      </c>
      <c r="H879" s="29">
        <f>MATCH(G879, {"Waiting for Input","Analyzing Object","Found Object","Needs Help","Confused","None"}, 0) - 1</f>
        <v/>
      </c>
      <c r="I879" s="31" t="inlineStr">
        <is>
          <t>Needs Help</t>
        </is>
      </c>
      <c r="J879" s="29">
        <f>MATCH(I879, {"Waiting for Input","Analyzing Object","Found Object","Needs Help","Confused","None"}, 0) - 1</f>
        <v/>
      </c>
      <c r="K879" s="29" t="n">
        <v>3</v>
      </c>
      <c r="L879" s="29">
        <f>IF(H879=J879, 1, 0)</f>
        <v/>
      </c>
    </row>
    <row r="880">
      <c r="D880" s="29" t="n">
        <v>855</v>
      </c>
      <c r="E880" s="29" t="inlineStr">
        <is>
          <t>1</t>
        </is>
      </c>
      <c r="F880" s="30" t="inlineStr">
        <is>
          <t>Random</t>
        </is>
      </c>
      <c r="G880" s="29" t="inlineStr">
        <is>
          <t>Confused</t>
        </is>
      </c>
      <c r="H880" s="29">
        <f>MATCH(G880, {"Waiting for Input","Analyzing Object","Found Object","Needs Help","Confused","None"}, 0) - 1</f>
        <v/>
      </c>
      <c r="I880" s="31" t="inlineStr">
        <is>
          <t>Needs Help</t>
        </is>
      </c>
      <c r="J880" s="29">
        <f>MATCH(I880, {"Waiting for Input","Analyzing Object","Found Object","Needs Help","Confused","None"}, 0) - 1</f>
        <v/>
      </c>
      <c r="K880" s="29" t="n">
        <v>2</v>
      </c>
      <c r="L880" s="29">
        <f>IF(H880=J880, 1, 0)</f>
        <v/>
      </c>
    </row>
    <row r="881">
      <c r="D881" s="29" t="n">
        <v>856</v>
      </c>
      <c r="E881" s="29" t="inlineStr">
        <is>
          <t>1</t>
        </is>
      </c>
      <c r="F881" s="30" t="inlineStr">
        <is>
          <t>Random</t>
        </is>
      </c>
      <c r="G881" s="29" t="inlineStr">
        <is>
          <t>Confused</t>
        </is>
      </c>
      <c r="H881" s="29">
        <f>MATCH(G881, {"Waiting for Input","Analyzing Object","Found Object","Needs Help","Confused","None"}, 0) - 1</f>
        <v/>
      </c>
      <c r="I881" s="31" t="inlineStr">
        <is>
          <t>Needs Help</t>
        </is>
      </c>
      <c r="J881" s="29">
        <f>MATCH(I881, {"Waiting for Input","Analyzing Object","Found Object","Needs Help","Confused","None"}, 0) - 1</f>
        <v/>
      </c>
      <c r="K881" s="29" t="n">
        <v>1</v>
      </c>
      <c r="L881" s="29">
        <f>IF(H881=J881, 1, 0)</f>
        <v/>
      </c>
    </row>
    <row r="882">
      <c r="D882" s="29" t="n">
        <v>857</v>
      </c>
      <c r="E882" s="29" t="inlineStr">
        <is>
          <t>2</t>
        </is>
      </c>
      <c r="F882" s="30" t="inlineStr">
        <is>
          <t>Random</t>
        </is>
      </c>
      <c r="G882" s="29" t="inlineStr">
        <is>
          <t>Confused</t>
        </is>
      </c>
      <c r="H882" s="29">
        <f>MATCH(G882, {"Waiting for Input","Analyzing Object","Found Object","Needs Help","Confused","None"}, 0) - 1</f>
        <v/>
      </c>
      <c r="I882" s="31" t="inlineStr">
        <is>
          <t>Needs Help</t>
        </is>
      </c>
      <c r="J882" s="29">
        <f>MATCH(I882, {"Waiting for Input","Analyzing Object","Found Object","Needs Help","Confused","None"}, 0) - 1</f>
        <v/>
      </c>
      <c r="K882" s="29" t="n">
        <v>2</v>
      </c>
      <c r="L882" s="29">
        <f>IF(H882=J882, 1, 0)</f>
        <v/>
      </c>
    </row>
    <row r="883">
      <c r="D883" s="29" t="n">
        <v>858</v>
      </c>
      <c r="E883" s="29" t="inlineStr">
        <is>
          <t>2</t>
        </is>
      </c>
      <c r="F883" s="30" t="inlineStr">
        <is>
          <t>Random</t>
        </is>
      </c>
      <c r="G883" s="29" t="inlineStr">
        <is>
          <t>Confused</t>
        </is>
      </c>
      <c r="H883" s="29">
        <f>MATCH(G883, {"Waiting for Input","Analyzing Object","Found Object","Needs Help","Confused","None"}, 0) - 1</f>
        <v/>
      </c>
      <c r="I883" s="31" t="inlineStr">
        <is>
          <t>Needs Help</t>
        </is>
      </c>
      <c r="J883" s="29">
        <f>MATCH(I883, {"Waiting for Input","Analyzing Object","Found Object","Needs Help","Confused","None"}, 0) - 1</f>
        <v/>
      </c>
      <c r="K883" s="29" t="n">
        <v>2</v>
      </c>
      <c r="L883" s="29">
        <f>IF(H883=J883, 1, 0)</f>
        <v/>
      </c>
    </row>
    <row r="884">
      <c r="D884" s="29" t="n">
        <v>859</v>
      </c>
      <c r="E884" s="29" t="inlineStr">
        <is>
          <t>1</t>
        </is>
      </c>
      <c r="F884" s="30" t="inlineStr">
        <is>
          <t>Random</t>
        </is>
      </c>
      <c r="G884" s="29" t="inlineStr">
        <is>
          <t>Confused</t>
        </is>
      </c>
      <c r="H884" s="29">
        <f>MATCH(G884, {"Waiting for Input","Analyzing Object","Found Object","Needs Help","Confused","None"}, 0) - 1</f>
        <v/>
      </c>
      <c r="I884" s="31" t="inlineStr">
        <is>
          <t>Needs Help</t>
        </is>
      </c>
      <c r="J884" s="29">
        <f>MATCH(I884, {"Waiting for Input","Analyzing Object","Found Object","Needs Help","Confused","None"}, 0) - 1</f>
        <v/>
      </c>
      <c r="K884" s="29" t="n">
        <v>3</v>
      </c>
      <c r="L884" s="29">
        <f>IF(H884=J884, 1, 0)</f>
        <v/>
      </c>
    </row>
    <row r="885">
      <c r="D885" s="29" t="n">
        <v>860</v>
      </c>
      <c r="E885" s="29" t="inlineStr">
        <is>
          <t>1</t>
        </is>
      </c>
      <c r="F885" s="30" t="inlineStr">
        <is>
          <t>Random</t>
        </is>
      </c>
      <c r="G885" s="29" t="inlineStr">
        <is>
          <t>Confused</t>
        </is>
      </c>
      <c r="H885" s="29">
        <f>MATCH(G885, {"Waiting for Input","Analyzing Object","Found Object","Needs Help","Confused","None"}, 0) - 1</f>
        <v/>
      </c>
      <c r="I885" s="31" t="inlineStr">
        <is>
          <t>Waiting for Input</t>
        </is>
      </c>
      <c r="J885" s="29">
        <f>MATCH(I885, {"Waiting for Input","Analyzing Object","Found Object","Needs Help","Confused","None"}, 0) - 1</f>
        <v/>
      </c>
      <c r="K885" s="29" t="n">
        <v>2</v>
      </c>
      <c r="L885" s="29">
        <f>IF(H885=J885, 1, 0)</f>
        <v/>
      </c>
    </row>
    <row r="886">
      <c r="D886" s="29" t="n">
        <v>861</v>
      </c>
      <c r="E886" s="29" t="inlineStr">
        <is>
          <t>2</t>
        </is>
      </c>
      <c r="F886" s="30" t="inlineStr">
        <is>
          <t>Random</t>
        </is>
      </c>
      <c r="G886" s="29" t="inlineStr">
        <is>
          <t>Confused</t>
        </is>
      </c>
      <c r="H886" s="29">
        <f>MATCH(G886, {"Waiting for Input","Analyzing Object","Found Object","Needs Help","Confused","None"}, 0) - 1</f>
        <v/>
      </c>
      <c r="I886" s="31" t="inlineStr">
        <is>
          <t>Waiting for Input</t>
        </is>
      </c>
      <c r="J886" s="29">
        <f>MATCH(I886, {"Waiting for Input","Analyzing Object","Found Object","Needs Help","Confused","None"}, 0) - 1</f>
        <v/>
      </c>
      <c r="K886" s="29" t="n">
        <v>2</v>
      </c>
      <c r="L886" s="29">
        <f>IF(H886=J886, 1, 0)</f>
        <v/>
      </c>
    </row>
    <row r="887">
      <c r="D887" s="29" t="n">
        <v>862</v>
      </c>
      <c r="E887" s="29" t="inlineStr">
        <is>
          <t>2</t>
        </is>
      </c>
      <c r="F887" s="30" t="inlineStr">
        <is>
          <t>Random</t>
        </is>
      </c>
      <c r="G887" s="29" t="inlineStr">
        <is>
          <t>Confused</t>
        </is>
      </c>
      <c r="H887" s="29">
        <f>MATCH(G887, {"Waiting for Input","Analyzing Object","Found Object","Needs Help","Confused","None"}, 0) - 1</f>
        <v/>
      </c>
      <c r="I887" s="31" t="inlineStr">
        <is>
          <t>Needs Help</t>
        </is>
      </c>
      <c r="J887" s="29">
        <f>MATCH(I887, {"Waiting for Input","Analyzing Object","Found Object","Needs Help","Confused","None"}, 0) - 1</f>
        <v/>
      </c>
      <c r="K887" s="29" t="n">
        <v>4</v>
      </c>
      <c r="L887" s="29">
        <f>IF(H887=J887, 1, 0)</f>
        <v/>
      </c>
    </row>
    <row r="888">
      <c r="D888" s="29" t="n">
        <v>863</v>
      </c>
      <c r="E888" s="29" t="inlineStr">
        <is>
          <t>1</t>
        </is>
      </c>
      <c r="F888" s="30" t="inlineStr">
        <is>
          <t>Random</t>
        </is>
      </c>
      <c r="G888" s="29" t="inlineStr">
        <is>
          <t>Confused</t>
        </is>
      </c>
      <c r="H888" s="29">
        <f>MATCH(G888, {"Waiting for Input","Analyzing Object","Found Object","Needs Help","Confused","None"}, 0) - 1</f>
        <v/>
      </c>
      <c r="I888" s="31" t="inlineStr">
        <is>
          <t>Waiting for Input</t>
        </is>
      </c>
      <c r="J888" s="29">
        <f>MATCH(I888, {"Waiting for Input","Analyzing Object","Found Object","Needs Help","Confused","None"}, 0) - 1</f>
        <v/>
      </c>
      <c r="K888" s="29" t="n">
        <v>1</v>
      </c>
      <c r="L888" s="29">
        <f>IF(H888=J888, 1, 0)</f>
        <v/>
      </c>
    </row>
    <row r="889">
      <c r="D889" s="29" t="n">
        <v>864</v>
      </c>
      <c r="E889" s="29" t="inlineStr">
        <is>
          <t>1</t>
        </is>
      </c>
      <c r="F889" s="30" t="inlineStr">
        <is>
          <t>Random</t>
        </is>
      </c>
      <c r="G889" s="29" t="inlineStr">
        <is>
          <t>Confused</t>
        </is>
      </c>
      <c r="H889" s="29">
        <f>MATCH(G889, {"Waiting for Input","Analyzing Object","Found Object","Needs Help","Confused","None"}, 0) - 1</f>
        <v/>
      </c>
      <c r="I889" s="31" t="inlineStr">
        <is>
          <t>Found Object</t>
        </is>
      </c>
      <c r="J889" s="29">
        <f>MATCH(I889, {"Waiting for Input","Analyzing Object","Found Object","Needs Help","Confused","None"}, 0) - 1</f>
        <v/>
      </c>
      <c r="K889" s="29" t="n">
        <v>3</v>
      </c>
      <c r="L889" s="29">
        <f>IF(H889=J889, 1, 0)</f>
        <v/>
      </c>
    </row>
    <row r="890">
      <c r="D890" s="29" t="n">
        <v>865</v>
      </c>
      <c r="E890" s="29" t="inlineStr">
        <is>
          <t>2</t>
        </is>
      </c>
      <c r="F890" s="30" t="inlineStr">
        <is>
          <t>Random</t>
        </is>
      </c>
      <c r="G890" s="29" t="inlineStr">
        <is>
          <t>Confused</t>
        </is>
      </c>
      <c r="H890" s="29">
        <f>MATCH(G890, {"Waiting for Input","Analyzing Object","Found Object","Needs Help","Confused","None"}, 0) - 1</f>
        <v/>
      </c>
      <c r="I890" s="31" t="inlineStr">
        <is>
          <t>Confused</t>
        </is>
      </c>
      <c r="J890" s="29">
        <f>MATCH(I890, {"Waiting for Input","Analyzing Object","Found Object","Needs Help","Confused","None"}, 0) - 1</f>
        <v/>
      </c>
      <c r="K890" s="29" t="n">
        <v>2</v>
      </c>
      <c r="L890" s="29">
        <f>IF(H890=J890, 1, 0)</f>
        <v/>
      </c>
    </row>
    <row r="891">
      <c r="D891" s="29" t="n">
        <v>866</v>
      </c>
      <c r="E891" s="29" t="inlineStr">
        <is>
          <t>2</t>
        </is>
      </c>
      <c r="F891" s="30" t="inlineStr">
        <is>
          <t>Random</t>
        </is>
      </c>
      <c r="G891" s="29" t="inlineStr">
        <is>
          <t>Confused</t>
        </is>
      </c>
      <c r="H891" s="29">
        <f>MATCH(G891, {"Waiting for Input","Analyzing Object","Found Object","Needs Help","Confused","None"}, 0) - 1</f>
        <v/>
      </c>
      <c r="I891" s="31" t="inlineStr">
        <is>
          <t>Needs Help</t>
        </is>
      </c>
      <c r="J891" s="29">
        <f>MATCH(I891, {"Waiting for Input","Analyzing Object","Found Object","Needs Help","Confused","None"}, 0) - 1</f>
        <v/>
      </c>
      <c r="K891" s="29" t="n">
        <v>3</v>
      </c>
      <c r="L891" s="29">
        <f>IF(H891=J891, 1, 0)</f>
        <v/>
      </c>
    </row>
    <row r="892">
      <c r="D892" s="29" t="n">
        <v>867</v>
      </c>
      <c r="E892" s="29" t="inlineStr">
        <is>
          <t>2</t>
        </is>
      </c>
      <c r="F892" s="30" t="inlineStr">
        <is>
          <t>Random</t>
        </is>
      </c>
      <c r="G892" s="29" t="inlineStr">
        <is>
          <t>Confused</t>
        </is>
      </c>
      <c r="H892" s="29">
        <f>MATCH(G892, {"Waiting for Input","Analyzing Object","Found Object","Needs Help","Confused","None"}, 0) - 1</f>
        <v/>
      </c>
      <c r="I892" s="31" t="inlineStr">
        <is>
          <t>Waiting for Input</t>
        </is>
      </c>
      <c r="J892" s="29">
        <f>MATCH(I892, {"Waiting for Input","Analyzing Object","Found Object","Needs Help","Confused","None"}, 0) - 1</f>
        <v/>
      </c>
      <c r="K892" s="29" t="n">
        <v>3</v>
      </c>
      <c r="L892" s="29">
        <f>IF(H892=J892, 1, 0)</f>
        <v/>
      </c>
    </row>
    <row r="893">
      <c r="D893" s="29" t="n">
        <v>868</v>
      </c>
      <c r="E893" s="29" t="inlineStr">
        <is>
          <t>2</t>
        </is>
      </c>
      <c r="F893" s="30" t="inlineStr">
        <is>
          <t>Random</t>
        </is>
      </c>
      <c r="G893" s="29" t="inlineStr">
        <is>
          <t>Confused</t>
        </is>
      </c>
      <c r="H893" s="29">
        <f>MATCH(G893, {"Waiting for Input","Analyzing Object","Found Object","Needs Help","Confused","None"}, 0) - 1</f>
        <v/>
      </c>
      <c r="I893" s="31" t="inlineStr">
        <is>
          <t>Confused</t>
        </is>
      </c>
      <c r="J893" s="29">
        <f>MATCH(I893, {"Waiting for Input","Analyzing Object","Found Object","Needs Help","Confused","None"}, 0) - 1</f>
        <v/>
      </c>
      <c r="K893" s="29" t="n">
        <v>3</v>
      </c>
      <c r="L893" s="29">
        <f>IF(H893=J893, 1, 0)</f>
        <v/>
      </c>
    </row>
    <row r="894">
      <c r="D894" s="29" t="n">
        <v>869</v>
      </c>
      <c r="E894" s="29" t="inlineStr">
        <is>
          <t>2</t>
        </is>
      </c>
      <c r="F894" s="30" t="inlineStr">
        <is>
          <t>Random</t>
        </is>
      </c>
      <c r="G894" s="29" t="inlineStr">
        <is>
          <t>Confused</t>
        </is>
      </c>
      <c r="H894" s="29">
        <f>MATCH(G894, {"Waiting for Input","Analyzing Object","Found Object","Needs Help","Confused","None"}, 0) - 1</f>
        <v/>
      </c>
      <c r="I894" s="31" t="inlineStr">
        <is>
          <t>Needs Help</t>
        </is>
      </c>
      <c r="J894" s="29">
        <f>MATCH(I894, {"Waiting for Input","Analyzing Object","Found Object","Needs Help","Confused","None"}, 0) - 1</f>
        <v/>
      </c>
      <c r="K894" s="29" t="n">
        <v>1</v>
      </c>
      <c r="L894" s="29">
        <f>IF(H894=J894, 1, 0)</f>
        <v/>
      </c>
    </row>
    <row r="895">
      <c r="D895" s="29" t="n">
        <v>870</v>
      </c>
      <c r="E895" s="29" t="inlineStr">
        <is>
          <t>2</t>
        </is>
      </c>
      <c r="F895" s="30" t="inlineStr">
        <is>
          <t>Random</t>
        </is>
      </c>
      <c r="G895" s="29" t="inlineStr">
        <is>
          <t>Confused</t>
        </is>
      </c>
      <c r="H895" s="29">
        <f>MATCH(G895, {"Waiting for Input","Analyzing Object","Found Object","Needs Help","Confused","None"}, 0) - 1</f>
        <v/>
      </c>
      <c r="I895" s="31" t="inlineStr">
        <is>
          <t>Confused</t>
        </is>
      </c>
      <c r="J895" s="29">
        <f>MATCH(I895, {"Waiting for Input","Analyzing Object","Found Object","Needs Help","Confused","None"}, 0) - 1</f>
        <v/>
      </c>
      <c r="K895" s="29" t="n">
        <v>5</v>
      </c>
      <c r="L895" s="29">
        <f>IF(H895=J895, 1, 0)</f>
        <v/>
      </c>
    </row>
    <row r="896">
      <c r="D896" s="29" t="n">
        <v>871</v>
      </c>
      <c r="E896" s="29" t="inlineStr">
        <is>
          <t>1</t>
        </is>
      </c>
      <c r="F896" s="30" t="inlineStr">
        <is>
          <t>Random</t>
        </is>
      </c>
      <c r="G896" s="29" t="inlineStr">
        <is>
          <t>Confused</t>
        </is>
      </c>
      <c r="H896" s="29">
        <f>MATCH(G896, {"Waiting for Input","Analyzing Object","Found Object","Needs Help","Confused","None"}, 0) - 1</f>
        <v/>
      </c>
      <c r="I896" s="31" t="inlineStr">
        <is>
          <t>Needs Help</t>
        </is>
      </c>
      <c r="J896" s="29">
        <f>MATCH(I896, {"Waiting for Input","Analyzing Object","Found Object","Needs Help","Confused","None"}, 0) - 1</f>
        <v/>
      </c>
      <c r="K896" s="29" t="n">
        <v>3</v>
      </c>
      <c r="L896" s="29">
        <f>IF(H896=J896, 1, 0)</f>
        <v/>
      </c>
    </row>
    <row r="897">
      <c r="D897" s="29" t="n">
        <v>872</v>
      </c>
      <c r="E897" s="29" t="inlineStr">
        <is>
          <t>2</t>
        </is>
      </c>
      <c r="F897" s="30" t="inlineStr">
        <is>
          <t>Random</t>
        </is>
      </c>
      <c r="G897" s="29" t="inlineStr">
        <is>
          <t>Confused</t>
        </is>
      </c>
      <c r="H897" s="29">
        <f>MATCH(G897, {"Waiting for Input","Analyzing Object","Found Object","Needs Help","Confused","None"}, 0) - 1</f>
        <v/>
      </c>
      <c r="I897" s="31" t="inlineStr">
        <is>
          <t>Needs Help</t>
        </is>
      </c>
      <c r="J897" s="29">
        <f>MATCH(I897, {"Waiting for Input","Analyzing Object","Found Object","Needs Help","Confused","None"}, 0) - 1</f>
        <v/>
      </c>
      <c r="K897" s="29" t="n">
        <v>4</v>
      </c>
      <c r="L897" s="29">
        <f>IF(H897=J897, 1, 0)</f>
        <v/>
      </c>
    </row>
    <row r="898">
      <c r="D898" s="29" t="n">
        <v>873</v>
      </c>
      <c r="E898" s="29" t="inlineStr">
        <is>
          <t>1</t>
        </is>
      </c>
      <c r="F898" s="30" t="inlineStr">
        <is>
          <t>Random</t>
        </is>
      </c>
      <c r="G898" s="29" t="inlineStr">
        <is>
          <t>Confused</t>
        </is>
      </c>
      <c r="H898" s="29">
        <f>MATCH(G898, {"Waiting for Input","Analyzing Object","Found Object","Needs Help","Confused","None"}, 0) - 1</f>
        <v/>
      </c>
      <c r="I898" s="31" t="inlineStr">
        <is>
          <t>Needs Help</t>
        </is>
      </c>
      <c r="J898" s="29">
        <f>MATCH(I898, {"Waiting for Input","Analyzing Object","Found Object","Needs Help","Confused","None"}, 0) - 1</f>
        <v/>
      </c>
      <c r="K898" s="29" t="n">
        <v>2</v>
      </c>
      <c r="L898" s="29">
        <f>IF(H898=J898, 1, 0)</f>
        <v/>
      </c>
    </row>
    <row r="899">
      <c r="D899" s="29" t="n">
        <v>874</v>
      </c>
      <c r="E899" s="29" t="inlineStr">
        <is>
          <t>1</t>
        </is>
      </c>
      <c r="F899" s="30" t="inlineStr">
        <is>
          <t>Random</t>
        </is>
      </c>
      <c r="G899" s="29" t="inlineStr">
        <is>
          <t>Confused</t>
        </is>
      </c>
      <c r="H899" s="29">
        <f>MATCH(G899, {"Waiting for Input","Analyzing Object","Found Object","Needs Help","Confused","None"}, 0) - 1</f>
        <v/>
      </c>
      <c r="I899" s="31" t="inlineStr">
        <is>
          <t>Needs Help</t>
        </is>
      </c>
      <c r="J899" s="29">
        <f>MATCH(I899, {"Waiting for Input","Analyzing Object","Found Object","Needs Help","Confused","None"}, 0) - 1</f>
        <v/>
      </c>
      <c r="K899" s="29" t="n">
        <v>3</v>
      </c>
      <c r="L899" s="29">
        <f>IF(H899=J899, 1, 0)</f>
        <v/>
      </c>
    </row>
    <row r="900">
      <c r="D900" s="29" t="n">
        <v>875</v>
      </c>
      <c r="E900" s="29" t="inlineStr">
        <is>
          <t>1</t>
        </is>
      </c>
      <c r="F900" s="30" t="inlineStr">
        <is>
          <t>Random</t>
        </is>
      </c>
      <c r="G900" s="29" t="inlineStr">
        <is>
          <t>Confused</t>
        </is>
      </c>
      <c r="H900" s="29">
        <f>MATCH(G900, {"Waiting for Input","Analyzing Object","Found Object","Needs Help","Confused","None"}, 0) - 1</f>
        <v/>
      </c>
      <c r="I900" s="31" t="inlineStr">
        <is>
          <t>Confused</t>
        </is>
      </c>
      <c r="J900" s="29">
        <f>MATCH(I900, {"Waiting for Input","Analyzing Object","Found Object","Needs Help","Confused","None"}, 0) - 1</f>
        <v/>
      </c>
      <c r="K900" s="29" t="n">
        <v>2</v>
      </c>
      <c r="L900" s="29">
        <f>IF(H900=J900, 1, 0)</f>
        <v/>
      </c>
    </row>
    <row r="901">
      <c r="D901" s="29" t="n">
        <v>876</v>
      </c>
      <c r="E901" s="29" t="inlineStr">
        <is>
          <t>2</t>
        </is>
      </c>
      <c r="F901" s="30" t="inlineStr">
        <is>
          <t>Random</t>
        </is>
      </c>
      <c r="G901" s="29" t="inlineStr">
        <is>
          <t>Confused</t>
        </is>
      </c>
      <c r="H901" s="29">
        <f>MATCH(G901, {"Waiting for Input","Analyzing Object","Found Object","Needs Help","Confused","None"}, 0) - 1</f>
        <v/>
      </c>
      <c r="I901" s="31" t="inlineStr">
        <is>
          <t>Needs Help</t>
        </is>
      </c>
      <c r="J901" s="29">
        <f>MATCH(I901, {"Waiting for Input","Analyzing Object","Found Object","Needs Help","Confused","None"}, 0) - 1</f>
        <v/>
      </c>
      <c r="K901" s="29" t="n">
        <v>3</v>
      </c>
      <c r="L901" s="29">
        <f>IF(H901=J901, 1, 0)</f>
        <v/>
      </c>
    </row>
    <row r="902">
      <c r="D902" s="29" t="n">
        <v>877</v>
      </c>
      <c r="E902" s="29" t="inlineStr">
        <is>
          <t>2</t>
        </is>
      </c>
      <c r="F902" s="30" t="inlineStr">
        <is>
          <t>Random</t>
        </is>
      </c>
      <c r="G902" s="29" t="inlineStr">
        <is>
          <t>Confused</t>
        </is>
      </c>
      <c r="H902" s="29">
        <f>MATCH(G902, {"Waiting for Input","Analyzing Object","Found Object","Needs Help","Confused","None"}, 0) - 1</f>
        <v/>
      </c>
      <c r="I902" s="31" t="inlineStr">
        <is>
          <t>Found Object</t>
        </is>
      </c>
      <c r="J902" s="29">
        <f>MATCH(I902, {"Waiting for Input","Analyzing Object","Found Object","Needs Help","Confused","None"}, 0) - 1</f>
        <v/>
      </c>
      <c r="K902" s="29" t="n">
        <v>3</v>
      </c>
      <c r="L902" s="29">
        <f>IF(H902=J902, 1, 0)</f>
        <v/>
      </c>
    </row>
    <row r="903">
      <c r="D903" s="29" t="n">
        <v>878</v>
      </c>
      <c r="E903" s="29" t="inlineStr">
        <is>
          <t>1</t>
        </is>
      </c>
      <c r="F903" s="30" t="inlineStr">
        <is>
          <t>Random</t>
        </is>
      </c>
      <c r="G903" s="29" t="inlineStr">
        <is>
          <t>Confused</t>
        </is>
      </c>
      <c r="H903" s="29">
        <f>MATCH(G903, {"Waiting for Input","Analyzing Object","Found Object","Needs Help","Confused","None"}, 0) - 1</f>
        <v/>
      </c>
      <c r="I903" s="31" t="inlineStr">
        <is>
          <t>Confused</t>
        </is>
      </c>
      <c r="J903" s="29">
        <f>MATCH(I903, {"Waiting for Input","Analyzing Object","Found Object","Needs Help","Confused","None"}, 0) - 1</f>
        <v/>
      </c>
      <c r="K903" s="29" t="n">
        <v>1</v>
      </c>
      <c r="L903" s="29">
        <f>IF(H903=J903, 1, 0)</f>
        <v/>
      </c>
    </row>
    <row r="904">
      <c r="D904" s="29" t="n">
        <v>879</v>
      </c>
      <c r="E904" s="29" t="inlineStr">
        <is>
          <t>1</t>
        </is>
      </c>
      <c r="F904" s="30" t="inlineStr">
        <is>
          <t>Random</t>
        </is>
      </c>
      <c r="G904" s="29" t="inlineStr">
        <is>
          <t>Confused</t>
        </is>
      </c>
      <c r="H904" s="29">
        <f>MATCH(G904, {"Waiting for Input","Analyzing Object","Found Object","Needs Help","Confused","None"}, 0) - 1</f>
        <v/>
      </c>
      <c r="I904" s="31" t="inlineStr">
        <is>
          <t>Needs Help</t>
        </is>
      </c>
      <c r="J904" s="29">
        <f>MATCH(I904, {"Waiting for Input","Analyzing Object","Found Object","Needs Help","Confused","None"}, 0) - 1</f>
        <v/>
      </c>
      <c r="K904" s="29" t="n">
        <v>3</v>
      </c>
      <c r="L904" s="29">
        <f>IF(H904=J904, 1, 0)</f>
        <v/>
      </c>
    </row>
    <row r="905">
      <c r="D905" s="29" t="n">
        <v>880</v>
      </c>
      <c r="E905" s="29" t="inlineStr">
        <is>
          <t>1</t>
        </is>
      </c>
      <c r="F905" s="30" t="inlineStr">
        <is>
          <t>Random</t>
        </is>
      </c>
      <c r="G905" s="29" t="inlineStr">
        <is>
          <t>Confused</t>
        </is>
      </c>
      <c r="H905" s="29">
        <f>MATCH(G905, {"Waiting for Input","Analyzing Object","Found Object","Needs Help","Confused","None"}, 0) - 1</f>
        <v/>
      </c>
      <c r="I905" s="31" t="inlineStr">
        <is>
          <t>Confused</t>
        </is>
      </c>
      <c r="J905" s="29">
        <f>MATCH(I905, {"Waiting for Input","Analyzing Object","Found Object","Needs Help","Confused","None"}, 0) - 1</f>
        <v/>
      </c>
      <c r="K905" s="29" t="n">
        <v>5</v>
      </c>
      <c r="L905" s="29">
        <f>IF(H905=J905, 1, 0)</f>
        <v/>
      </c>
    </row>
    <row r="906">
      <c r="D906" s="29" t="n">
        <v>881</v>
      </c>
      <c r="E906" s="29" t="inlineStr">
        <is>
          <t>2</t>
        </is>
      </c>
      <c r="F906" s="30" t="inlineStr">
        <is>
          <t>Random</t>
        </is>
      </c>
      <c r="G906" s="29" t="inlineStr">
        <is>
          <t>Confused</t>
        </is>
      </c>
      <c r="H906" s="29">
        <f>MATCH(G906, {"Waiting for Input","Analyzing Object","Found Object","Needs Help","Confused","None"}, 0) - 1</f>
        <v/>
      </c>
      <c r="I906" s="31" t="inlineStr">
        <is>
          <t>Confused</t>
        </is>
      </c>
      <c r="J906" s="29">
        <f>MATCH(I906, {"Waiting for Input","Analyzing Object","Found Object","Needs Help","Confused","None"}, 0) - 1</f>
        <v/>
      </c>
      <c r="K906" s="29" t="n">
        <v>2</v>
      </c>
      <c r="L906" s="29">
        <f>IF(H906=J906, 1, 0)</f>
        <v/>
      </c>
    </row>
    <row r="907">
      <c r="D907" s="29" t="n">
        <v>882</v>
      </c>
      <c r="E907" s="29" t="inlineStr">
        <is>
          <t>2</t>
        </is>
      </c>
      <c r="F907" s="30" t="inlineStr">
        <is>
          <t>Random</t>
        </is>
      </c>
      <c r="G907" s="29" t="inlineStr">
        <is>
          <t>Confused</t>
        </is>
      </c>
      <c r="H907" s="29">
        <f>MATCH(G907, {"Waiting for Input","Analyzing Object","Found Object","Needs Help","Confused","None"}, 0) - 1</f>
        <v/>
      </c>
      <c r="I907" s="31" t="inlineStr">
        <is>
          <t>None</t>
        </is>
      </c>
      <c r="J907" s="29">
        <f>MATCH(I907, {"Waiting for Input","Analyzing Object","Found Object","Needs Help","Confused","None"}, 0) - 1</f>
        <v/>
      </c>
      <c r="K907" s="29" t="n">
        <v>1</v>
      </c>
      <c r="L907" s="29">
        <f>IF(H907=J907, 1, 0)</f>
        <v/>
      </c>
    </row>
    <row r="908">
      <c r="D908" s="29" t="n">
        <v>883</v>
      </c>
      <c r="E908" s="29" t="inlineStr">
        <is>
          <t>2</t>
        </is>
      </c>
      <c r="F908" s="30" t="inlineStr">
        <is>
          <t>Random</t>
        </is>
      </c>
      <c r="G908" s="29" t="inlineStr">
        <is>
          <t>Confused</t>
        </is>
      </c>
      <c r="H908" s="29">
        <f>MATCH(G908, {"Waiting for Input","Analyzing Object","Found Object","Needs Help","Confused","None"}, 0) - 1</f>
        <v/>
      </c>
      <c r="I908" s="31" t="inlineStr">
        <is>
          <t>Needs Help</t>
        </is>
      </c>
      <c r="J908" s="29">
        <f>MATCH(I908, {"Waiting for Input","Analyzing Object","Found Object","Needs Help","Confused","None"}, 0) - 1</f>
        <v/>
      </c>
      <c r="K908" s="29" t="n">
        <v>1</v>
      </c>
      <c r="L908" s="29">
        <f>IF(H908=J908, 1, 0)</f>
        <v/>
      </c>
    </row>
    <row r="909">
      <c r="D909" s="29" t="n">
        <v>884</v>
      </c>
      <c r="E909" s="29" t="inlineStr">
        <is>
          <t>2</t>
        </is>
      </c>
      <c r="F909" s="30" t="inlineStr">
        <is>
          <t>Random</t>
        </is>
      </c>
      <c r="G909" s="29" t="inlineStr">
        <is>
          <t>Confused</t>
        </is>
      </c>
      <c r="H909" s="29">
        <f>MATCH(G909, {"Waiting for Input","Analyzing Object","Found Object","Needs Help","Confused","None"}, 0) - 1</f>
        <v/>
      </c>
      <c r="I909" s="31" t="inlineStr">
        <is>
          <t>Needs Help</t>
        </is>
      </c>
      <c r="J909" s="29">
        <f>MATCH(I909, {"Waiting for Input","Analyzing Object","Found Object","Needs Help","Confused","None"}, 0) - 1</f>
        <v/>
      </c>
      <c r="K909" s="29" t="n">
        <v>4</v>
      </c>
      <c r="L909" s="29">
        <f>IF(H909=J909, 1, 0)</f>
        <v/>
      </c>
    </row>
    <row r="910">
      <c r="D910" s="29" t="n">
        <v>885</v>
      </c>
      <c r="E910" s="29" t="inlineStr">
        <is>
          <t>2</t>
        </is>
      </c>
      <c r="F910" s="30" t="inlineStr">
        <is>
          <t>Random</t>
        </is>
      </c>
      <c r="G910" s="29" t="inlineStr">
        <is>
          <t>Confused</t>
        </is>
      </c>
      <c r="H910" s="29">
        <f>MATCH(G910, {"Waiting for Input","Analyzing Object","Found Object","Needs Help","Confused","None"}, 0) - 1</f>
        <v/>
      </c>
      <c r="I910" s="31" t="inlineStr">
        <is>
          <t>Needs Help</t>
        </is>
      </c>
      <c r="J910" s="29">
        <f>MATCH(I910, {"Waiting for Input","Analyzing Object","Found Object","Needs Help","Confused","None"}, 0) - 1</f>
        <v/>
      </c>
      <c r="K910" s="29" t="n">
        <v>3</v>
      </c>
      <c r="L910" s="29">
        <f>IF(H910=J910, 1, 0)</f>
        <v/>
      </c>
    </row>
    <row r="911">
      <c r="D911" s="29" t="n">
        <v>886</v>
      </c>
      <c r="E911" s="29" t="inlineStr">
        <is>
          <t>2</t>
        </is>
      </c>
      <c r="F911" s="30" t="inlineStr">
        <is>
          <t>Random</t>
        </is>
      </c>
      <c r="G911" s="29" t="inlineStr">
        <is>
          <t>Confused</t>
        </is>
      </c>
      <c r="H911" s="29">
        <f>MATCH(G911, {"Waiting for Input","Analyzing Object","Found Object","Needs Help","Confused","None"}, 0) - 1</f>
        <v/>
      </c>
      <c r="I911" s="31" t="inlineStr">
        <is>
          <t>Needs Help</t>
        </is>
      </c>
      <c r="J911" s="29">
        <f>MATCH(I911, {"Waiting for Input","Analyzing Object","Found Object","Needs Help","Confused","None"}, 0) - 1</f>
        <v/>
      </c>
      <c r="K911" s="29" t="n">
        <v>3</v>
      </c>
      <c r="L911" s="29">
        <f>IF(H911=J911, 1, 0)</f>
        <v/>
      </c>
    </row>
    <row r="912">
      <c r="D912" s="29" t="n">
        <v>887</v>
      </c>
      <c r="E912" s="29" t="inlineStr">
        <is>
          <t>2</t>
        </is>
      </c>
      <c r="F912" s="30" t="inlineStr">
        <is>
          <t>Random</t>
        </is>
      </c>
      <c r="G912" s="29" t="inlineStr">
        <is>
          <t>Confused</t>
        </is>
      </c>
      <c r="H912" s="29">
        <f>MATCH(G912, {"Waiting for Input","Analyzing Object","Found Object","Needs Help","Confused","None"}, 0) - 1</f>
        <v/>
      </c>
      <c r="I912" s="31" t="inlineStr">
        <is>
          <t>Waiting for Input</t>
        </is>
      </c>
      <c r="J912" s="29">
        <f>MATCH(I912, {"Waiting for Input","Analyzing Object","Found Object","Needs Help","Confused","None"}, 0) - 1</f>
        <v/>
      </c>
      <c r="K912" s="29" t="n">
        <v>2</v>
      </c>
      <c r="L912" s="29">
        <f>IF(H912=J912, 1, 0)</f>
        <v/>
      </c>
    </row>
    <row r="913">
      <c r="D913" s="29" t="n">
        <v>888</v>
      </c>
      <c r="E913" s="29" t="inlineStr">
        <is>
          <t>2</t>
        </is>
      </c>
      <c r="F913" s="30" t="inlineStr">
        <is>
          <t>Random</t>
        </is>
      </c>
      <c r="G913" s="29" t="inlineStr">
        <is>
          <t>Confused</t>
        </is>
      </c>
      <c r="H913" s="29">
        <f>MATCH(G913, {"Waiting for Input","Analyzing Object","Found Object","Needs Help","Confused","None"}, 0) - 1</f>
        <v/>
      </c>
      <c r="I913" s="31" t="inlineStr">
        <is>
          <t>Confused</t>
        </is>
      </c>
      <c r="J913" s="29">
        <f>MATCH(I913, {"Waiting for Input","Analyzing Object","Found Object","Needs Help","Confused","None"}, 0) - 1</f>
        <v/>
      </c>
      <c r="K913" s="29" t="n">
        <v>3</v>
      </c>
      <c r="L913" s="29">
        <f>IF(H913=J913, 1, 0)</f>
        <v/>
      </c>
    </row>
    <row r="914">
      <c r="D914" s="29" t="n">
        <v>889</v>
      </c>
      <c r="E914" s="29" t="inlineStr">
        <is>
          <t>2</t>
        </is>
      </c>
      <c r="F914" s="30" t="inlineStr">
        <is>
          <t>Random</t>
        </is>
      </c>
      <c r="G914" s="29" t="inlineStr">
        <is>
          <t>Confused</t>
        </is>
      </c>
      <c r="H914" s="29">
        <f>MATCH(G914, {"Waiting for Input","Analyzing Object","Found Object","Needs Help","Confused","None"}, 0) - 1</f>
        <v/>
      </c>
      <c r="I914" s="31" t="inlineStr">
        <is>
          <t>Needs Help</t>
        </is>
      </c>
      <c r="J914" s="29">
        <f>MATCH(I914, {"Waiting for Input","Analyzing Object","Found Object","Needs Help","Confused","None"}, 0) - 1</f>
        <v/>
      </c>
      <c r="K914" s="29" t="n">
        <v>3</v>
      </c>
      <c r="L914" s="29">
        <f>IF(H914=J914, 1, 0)</f>
        <v/>
      </c>
    </row>
    <row r="915">
      <c r="D915" s="29" t="n">
        <v>890</v>
      </c>
      <c r="E915" s="29" t="inlineStr">
        <is>
          <t>2</t>
        </is>
      </c>
      <c r="F915" s="30" t="inlineStr">
        <is>
          <t>Random</t>
        </is>
      </c>
      <c r="G915" s="29" t="inlineStr">
        <is>
          <t>Confused</t>
        </is>
      </c>
      <c r="H915" s="29">
        <f>MATCH(G915, {"Waiting for Input","Analyzing Object","Found Object","Needs Help","Confused","None"}, 0) - 1</f>
        <v/>
      </c>
      <c r="I915" s="31" t="inlineStr">
        <is>
          <t>Needs Help</t>
        </is>
      </c>
      <c r="J915" s="29">
        <f>MATCH(I915, {"Waiting for Input","Analyzing Object","Found Object","Needs Help","Confused","None"}, 0) - 1</f>
        <v/>
      </c>
      <c r="K915" s="29" t="n">
        <v>4</v>
      </c>
      <c r="L915" s="29">
        <f>IF(H915=J915, 1, 0)</f>
        <v/>
      </c>
    </row>
    <row r="916">
      <c r="D916" s="29" t="n">
        <v>891</v>
      </c>
      <c r="E916" s="29" t="inlineStr">
        <is>
          <t>1</t>
        </is>
      </c>
      <c r="F916" s="30" t="inlineStr">
        <is>
          <t>Random</t>
        </is>
      </c>
      <c r="G916" s="29" t="inlineStr">
        <is>
          <t>Confused</t>
        </is>
      </c>
      <c r="H916" s="29">
        <f>MATCH(G916, {"Waiting for Input","Analyzing Object","Found Object","Needs Help","Confused","None"}, 0) - 1</f>
        <v/>
      </c>
      <c r="I916" s="31" t="inlineStr">
        <is>
          <t>None</t>
        </is>
      </c>
      <c r="J916" s="29">
        <f>MATCH(I916, {"Waiting for Input","Analyzing Object","Found Object","Needs Help","Confused","None"}, 0) - 1</f>
        <v/>
      </c>
      <c r="K916" s="29" t="n">
        <v>4</v>
      </c>
      <c r="L916" s="29">
        <f>IF(H916=J916, 1, 0)</f>
        <v/>
      </c>
    </row>
    <row r="917">
      <c r="D917" s="29" t="n">
        <v>892</v>
      </c>
      <c r="E917" s="29" t="inlineStr">
        <is>
          <t>2</t>
        </is>
      </c>
      <c r="F917" s="30" t="inlineStr">
        <is>
          <t>Random</t>
        </is>
      </c>
      <c r="G917" s="29" t="inlineStr">
        <is>
          <t>Confused</t>
        </is>
      </c>
      <c r="H917" s="29">
        <f>MATCH(G917, {"Waiting for Input","Analyzing Object","Found Object","Needs Help","Confused","None"}, 0) - 1</f>
        <v/>
      </c>
      <c r="I917" s="31" t="inlineStr">
        <is>
          <t>Confused</t>
        </is>
      </c>
      <c r="J917" s="29">
        <f>MATCH(I917, {"Waiting for Input","Analyzing Object","Found Object","Needs Help","Confused","None"}, 0) - 1</f>
        <v/>
      </c>
      <c r="K917" s="29" t="n">
        <v>2</v>
      </c>
      <c r="L917" s="29">
        <f>IF(H917=J917, 1, 0)</f>
        <v/>
      </c>
    </row>
    <row r="918">
      <c r="D918" s="29" t="n">
        <v>893</v>
      </c>
      <c r="E918" s="29" t="inlineStr">
        <is>
          <t>2</t>
        </is>
      </c>
      <c r="F918" s="30" t="inlineStr">
        <is>
          <t>Random</t>
        </is>
      </c>
      <c r="G918" s="29" t="inlineStr">
        <is>
          <t>Confused</t>
        </is>
      </c>
      <c r="H918" s="29">
        <f>MATCH(G918, {"Waiting for Input","Analyzing Object","Found Object","Needs Help","Confused","None"}, 0) - 1</f>
        <v/>
      </c>
      <c r="I918" s="31" t="inlineStr">
        <is>
          <t>Waiting for Input</t>
        </is>
      </c>
      <c r="J918" s="29">
        <f>MATCH(I918, {"Waiting for Input","Analyzing Object","Found Object","Needs Help","Confused","None"}, 0) - 1</f>
        <v/>
      </c>
      <c r="K918" s="29" t="n">
        <v>1</v>
      </c>
      <c r="L918" s="29">
        <f>IF(H918=J918, 1, 0)</f>
        <v/>
      </c>
    </row>
    <row r="919">
      <c r="D919" s="29" t="n">
        <v>894</v>
      </c>
      <c r="E919" s="29" t="inlineStr">
        <is>
          <t>1</t>
        </is>
      </c>
      <c r="F919" s="30" t="inlineStr">
        <is>
          <t>Random</t>
        </is>
      </c>
      <c r="G919" s="29" t="inlineStr">
        <is>
          <t>Confused</t>
        </is>
      </c>
      <c r="H919" s="29">
        <f>MATCH(G919, {"Waiting for Input","Analyzing Object","Found Object","Needs Help","Confused","None"}, 0) - 1</f>
        <v/>
      </c>
      <c r="I919" s="31" t="inlineStr">
        <is>
          <t>Confused</t>
        </is>
      </c>
      <c r="J919" s="29">
        <f>MATCH(I919, {"Waiting for Input","Analyzing Object","Found Object","Needs Help","Confused","None"}, 0) - 1</f>
        <v/>
      </c>
      <c r="K919" s="29" t="n">
        <v>4</v>
      </c>
      <c r="L919" s="29">
        <f>IF(H919=J919, 1, 0)</f>
        <v/>
      </c>
    </row>
    <row r="920">
      <c r="D920" s="29" t="n">
        <v>895</v>
      </c>
      <c r="E920" s="29" t="inlineStr">
        <is>
          <t>2</t>
        </is>
      </c>
      <c r="F920" s="30" t="inlineStr">
        <is>
          <t>Random</t>
        </is>
      </c>
      <c r="G920" s="29" t="inlineStr">
        <is>
          <t>Confused</t>
        </is>
      </c>
      <c r="H920" s="29">
        <f>MATCH(G920, {"Waiting for Input","Analyzing Object","Found Object","Needs Help","Confused","None"}, 0) - 1</f>
        <v/>
      </c>
      <c r="I920" s="31" t="inlineStr">
        <is>
          <t>Needs Help</t>
        </is>
      </c>
      <c r="J920" s="29">
        <f>MATCH(I920, {"Waiting for Input","Analyzing Object","Found Object","Needs Help","Confused","None"}, 0) - 1</f>
        <v/>
      </c>
      <c r="K920" s="29" t="n">
        <v>4</v>
      </c>
      <c r="L920" s="29">
        <f>IF(H920=J920, 1, 0)</f>
        <v/>
      </c>
    </row>
    <row r="921">
      <c r="D921" s="29" t="n">
        <v>896</v>
      </c>
      <c r="E921" s="29" t="inlineStr">
        <is>
          <t>2</t>
        </is>
      </c>
      <c r="F921" s="30" t="inlineStr">
        <is>
          <t>Random</t>
        </is>
      </c>
      <c r="G921" s="29" t="inlineStr">
        <is>
          <t>Confused</t>
        </is>
      </c>
      <c r="H921" s="29">
        <f>MATCH(G921, {"Waiting for Input","Analyzing Object","Found Object","Needs Help","Confused","None"}, 0) - 1</f>
        <v/>
      </c>
      <c r="I921" s="31" t="inlineStr">
        <is>
          <t>Waiting for Input</t>
        </is>
      </c>
      <c r="J921" s="29">
        <f>MATCH(I921, {"Waiting for Input","Analyzing Object","Found Object","Needs Help","Confused","None"}, 0) - 1</f>
        <v/>
      </c>
      <c r="K921" s="29" t="n">
        <v>2</v>
      </c>
      <c r="L921" s="29">
        <f>IF(H921=J921, 1, 0)</f>
        <v/>
      </c>
    </row>
    <row r="922">
      <c r="D922" s="29" t="n">
        <v>897</v>
      </c>
      <c r="E922" s="29" t="inlineStr">
        <is>
          <t>2</t>
        </is>
      </c>
      <c r="F922" s="30" t="inlineStr">
        <is>
          <t>Random</t>
        </is>
      </c>
      <c r="G922" s="29" t="inlineStr">
        <is>
          <t>Confused</t>
        </is>
      </c>
      <c r="H922" s="29">
        <f>MATCH(G922, {"Waiting for Input","Analyzing Object","Found Object","Needs Help","Confused","None"}, 0) - 1</f>
        <v/>
      </c>
      <c r="I922" s="31" t="inlineStr">
        <is>
          <t>Needs Help</t>
        </is>
      </c>
      <c r="J922" s="29">
        <f>MATCH(I922, {"Waiting for Input","Analyzing Object","Found Object","Needs Help","Confused","None"}, 0) - 1</f>
        <v/>
      </c>
      <c r="K922" s="29" t="n">
        <v>3</v>
      </c>
      <c r="L922" s="29">
        <f>IF(H922=J922, 1, 0)</f>
        <v/>
      </c>
    </row>
    <row r="923">
      <c r="D923" s="29" t="n">
        <v>898</v>
      </c>
      <c r="E923" s="29" t="inlineStr">
        <is>
          <t>1</t>
        </is>
      </c>
      <c r="F923" s="30" t="inlineStr">
        <is>
          <t>Random</t>
        </is>
      </c>
      <c r="G923" s="29" t="inlineStr">
        <is>
          <t>Confused</t>
        </is>
      </c>
      <c r="H923" s="29">
        <f>MATCH(G923, {"Waiting for Input","Analyzing Object","Found Object","Needs Help","Confused","None"}, 0) - 1</f>
        <v/>
      </c>
      <c r="I923" s="31" t="inlineStr">
        <is>
          <t>None</t>
        </is>
      </c>
      <c r="J923" s="29">
        <f>MATCH(I923, {"Waiting for Input","Analyzing Object","Found Object","Needs Help","Confused","None"}, 0) - 1</f>
        <v/>
      </c>
      <c r="K923" s="31" t="n"/>
      <c r="L923" s="29">
        <f>IF(H923=J923, 1, 0)</f>
        <v/>
      </c>
    </row>
    <row r="924">
      <c r="D924" s="29" t="n">
        <v>899</v>
      </c>
      <c r="E924" s="29" t="inlineStr">
        <is>
          <t>2</t>
        </is>
      </c>
      <c r="F924" s="30" t="inlineStr">
        <is>
          <t>Random</t>
        </is>
      </c>
      <c r="G924" s="29" t="inlineStr">
        <is>
          <t>Confused</t>
        </is>
      </c>
      <c r="H924" s="29">
        <f>MATCH(G924, {"Waiting for Input","Analyzing Object","Found Object","Needs Help","Confused","None"}, 0) - 1</f>
        <v/>
      </c>
      <c r="I924" s="31" t="inlineStr">
        <is>
          <t>Needs Help</t>
        </is>
      </c>
      <c r="J924" s="29">
        <f>MATCH(I924, {"Waiting for Input","Analyzing Object","Found Object","Needs Help","Confused","None"}, 0) - 1</f>
        <v/>
      </c>
      <c r="K924" s="29" t="n">
        <v>2</v>
      </c>
      <c r="L924" s="29">
        <f>IF(H924=J924, 1, 0)</f>
        <v/>
      </c>
    </row>
  </sheetData>
  <mergeCells count="4">
    <mergeCell ref="G7:G11"/>
    <mergeCell ref="E20:F20"/>
    <mergeCell ref="G2:G6"/>
    <mergeCell ref="G12:G16"/>
  </mergeCells>
  <conditionalFormatting sqref="A2:A16">
    <cfRule type="containsText" priority="1" operator="containsText" dxfId="2" text="Close">
      <formula>NOT(ISERROR(SEARCH("Close",A2)))</formula>
    </cfRule>
    <cfRule type="containsText" priority="2" operator="containsText" dxfId="1" text="No">
      <formula>NOT(ISERROR(SEARCH("No",A2)))</formula>
    </cfRule>
    <cfRule type="containsText" priority="3" operator="containsText" dxfId="0" text="Yes">
      <formula>NOT(ISERROR(SEARCH("Yes",A2)))</formula>
    </cfRule>
  </conditionalFormatting>
  <dataValidations count="1">
    <dataValidation sqref="A2:A16" showDropDown="0" showInputMessage="1" showErrorMessage="1" allowBlank="0" type="list">
      <formula1>"Yes, No, Close, -"</formula1>
    </dataValidation>
  </dataValidations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S06</t>
        </is>
      </c>
      <c r="F14" t="inlineStr">
        <is>
          <t>Unsure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mergeCells count="1">
    <mergeCell ref="U1:U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mergeCells count="1">
    <mergeCell ref="U1:U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mergeCells count="1">
    <mergeCell ref="U1:U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S06</t>
        </is>
      </c>
      <c r="F19" t="inlineStr">
        <is>
          <t>Unsure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mergeCells count="1">
    <mergeCell ref="U1:U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mergeCells count="1">
    <mergeCell ref="U1:U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mergeCells count="1">
    <mergeCell ref="U1:U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S06</t>
        </is>
      </c>
      <c r="F9" t="inlineStr">
        <is>
          <t>Unsure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mergeCells count="1">
    <mergeCell ref="U1:U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S03</t>
        </is>
      </c>
      <c r="F14" t="inlineStr">
        <is>
          <t>Found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mergeCells count="1">
    <mergeCell ref="U1:U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mergeCells count="1">
    <mergeCell ref="U1:U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mergeCells count="1">
    <mergeCell ref="U1:U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mergeCells count="1">
    <mergeCell ref="U1:U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mergeCells count="1">
    <mergeCell ref="U1:U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S06</t>
        </is>
      </c>
      <c r="F12" t="inlineStr">
        <is>
          <t>Unsure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S06</t>
        </is>
      </c>
      <c r="F16" t="inlineStr">
        <is>
          <t>Unsure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mergeCells count="1">
    <mergeCell ref="U1:U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S06</t>
        </is>
      </c>
      <c r="F9" t="inlineStr">
        <is>
          <t>Unsure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S03</t>
        </is>
      </c>
      <c r="F14" t="inlineStr">
        <is>
          <t>Found Object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mergeCells count="1">
    <mergeCell ref="U1:U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  <c r="U1" s="269" t="inlineStr">
        <is>
          <t>Changed to new method of only describing what the robot is doing, rather than providing all the parameters and values including neutrals.</t>
        </is>
      </c>
    </row>
    <row r="2">
      <c r="A2" t="inlineStr">
        <is>
          <t>gpt-4o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Needs Help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mergeCells count="1">
    <mergeCell ref="U1:U8"/>
  </mergeCell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S06</t>
        </is>
      </c>
      <c r="F4" t="inlineStr">
        <is>
          <t>Unsure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S06</t>
        </is>
      </c>
      <c r="F3" t="inlineStr">
        <is>
          <t>Unsure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S06</t>
        </is>
      </c>
      <c r="F11" t="inlineStr">
        <is>
          <t>Unsure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S06</t>
        </is>
      </c>
      <c r="F14" t="inlineStr">
        <is>
          <t>Unsure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S03</t>
        </is>
      </c>
      <c r="F14" t="inlineStr">
        <is>
          <t>Found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3" sqref="S3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3" sqref="S3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3" sqref="S3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3" sqref="S3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S06</t>
        </is>
      </c>
      <c r="F18" t="inlineStr">
        <is>
          <t>Unsure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3" sqref="S3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S06</t>
        </is>
      </c>
      <c r="F8" t="inlineStr">
        <is>
          <t>Unsure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S03</t>
        </is>
      </c>
      <c r="F5" t="inlineStr">
        <is>
          <t>Found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S06</t>
        </is>
      </c>
      <c r="F4" t="inlineStr">
        <is>
          <t>Unsure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S06</t>
        </is>
      </c>
      <c r="F11" t="inlineStr">
        <is>
          <t>Unsure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S06</t>
        </is>
      </c>
      <c r="F13" t="inlineStr">
        <is>
          <t>Unsure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S06</t>
        </is>
      </c>
      <c r="F20" t="inlineStr">
        <is>
          <t>Unsure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S06</t>
        </is>
      </c>
      <c r="F11" t="inlineStr">
        <is>
          <t>Unsure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S06</t>
        </is>
      </c>
      <c r="F14" t="inlineStr">
        <is>
          <t>Unsure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S06</t>
        </is>
      </c>
      <c r="F20" t="inlineStr">
        <is>
          <t>Unsure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S06</t>
        </is>
      </c>
      <c r="F20" t="inlineStr">
        <is>
          <t>Unsure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S03</t>
        </is>
      </c>
      <c r="F2" t="inlineStr">
        <is>
          <t>Found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S06</t>
        </is>
      </c>
      <c r="F14" t="inlineStr">
        <is>
          <t>Unsure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S03</t>
        </is>
      </c>
      <c r="F16" t="inlineStr">
        <is>
          <t>Found Object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S03</t>
        </is>
      </c>
      <c r="F2" t="inlineStr">
        <is>
          <t>Found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S06</t>
        </is>
      </c>
      <c r="F5" t="inlineStr">
        <is>
          <t>Unsure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S03</t>
        </is>
      </c>
      <c r="F16" t="inlineStr">
        <is>
          <t>Found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S06</t>
        </is>
      </c>
      <c r="F5" t="inlineStr">
        <is>
          <t>Unsure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S06</t>
        </is>
      </c>
      <c r="F8" t="inlineStr">
        <is>
          <t>Unsure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S03</t>
        </is>
      </c>
      <c r="F11" t="inlineStr">
        <is>
          <t>Found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S03</t>
        </is>
      </c>
      <c r="F5" t="inlineStr">
        <is>
          <t>Found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S03</t>
        </is>
      </c>
      <c r="F14" t="inlineStr">
        <is>
          <t>Found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S06</t>
        </is>
      </c>
      <c r="F20" t="inlineStr">
        <is>
          <t>Unsure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S06</t>
        </is>
      </c>
      <c r="F14" t="inlineStr">
        <is>
          <t>Unsure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S03</t>
        </is>
      </c>
      <c r="F14" t="inlineStr">
        <is>
          <t>Found Object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3" sqref="S3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S06</t>
        </is>
      </c>
      <c r="F14" t="inlineStr">
        <is>
          <t>Unsure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3" sqref="S3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S03</t>
        </is>
      </c>
      <c r="F5" t="inlineStr">
        <is>
          <t>Found Object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S03</t>
        </is>
      </c>
      <c r="F14" t="inlineStr">
        <is>
          <t>Found Object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S03</t>
        </is>
      </c>
      <c r="F16" t="inlineStr">
        <is>
          <t>Found Object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S03</t>
        </is>
      </c>
      <c r="F5" t="inlineStr">
        <is>
          <t>Found Object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S06</t>
        </is>
      </c>
      <c r="F3" t="inlineStr">
        <is>
          <t>Unsure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S06</t>
        </is>
      </c>
      <c r="F20" t="inlineStr">
        <is>
          <t>Unsure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S03</t>
        </is>
      </c>
      <c r="F2" t="inlineStr">
        <is>
          <t>Found Object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Unsure</t>
        </is>
      </c>
      <c r="F20" t="inlineStr">
        <is>
          <t>It is unclear as the robot does not appear to be in any of the described states.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State_Number</t>
        </is>
      </c>
      <c r="F14" t="inlineStr">
        <is>
          <t>State_Name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S06</t>
        </is>
      </c>
      <c r="F12" t="inlineStr">
        <is>
          <t>Unsure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S03</t>
        </is>
      </c>
      <c r="F2" t="inlineStr">
        <is>
          <t>Found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S03</t>
        </is>
      </c>
      <c r="F5" t="inlineStr">
        <is>
          <t>Found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S03</t>
        </is>
      </c>
      <c r="F16" t="inlineStr">
        <is>
          <t>Found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S06</t>
        </is>
      </c>
      <c r="F9" t="inlineStr">
        <is>
          <t>Unsure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S06</t>
        </is>
      </c>
      <c r="F16" t="inlineStr">
        <is>
          <t>Unsure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S03</t>
        </is>
      </c>
      <c r="F14" t="inlineStr">
        <is>
          <t>Found Object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S06</t>
        </is>
      </c>
      <c r="F12" t="inlineStr">
        <is>
          <t>Unsure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S06</t>
        </is>
      </c>
      <c r="F11" t="inlineStr">
        <is>
          <t>Unsure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S06</t>
        </is>
      </c>
      <c r="F9" t="inlineStr">
        <is>
          <t>Unsure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S03</t>
        </is>
      </c>
      <c r="F16" t="inlineStr">
        <is>
          <t>Found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S06</t>
        </is>
      </c>
      <c r="F18" t="inlineStr">
        <is>
          <t>Unsure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S03</t>
        </is>
      </c>
      <c r="F2" t="inlineStr">
        <is>
          <t>Found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S03</t>
        </is>
      </c>
      <c r="F2" t="inlineStr">
        <is>
          <t>Found Object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S03</t>
        </is>
      </c>
      <c r="F14" t="inlineStr">
        <is>
          <t>Found Object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S03</t>
        </is>
      </c>
      <c r="F16" t="inlineStr">
        <is>
          <t>Found Object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S03</t>
        </is>
      </c>
      <c r="F5" t="inlineStr">
        <is>
          <t>Found Object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96" t="n"/>
      <c r="R1" s="97" t="inlineStr">
        <is>
          <t>COUNTER TOOL</t>
        </is>
      </c>
      <c r="S1" s="98" t="n"/>
    </row>
    <row r="2">
      <c r="A2" t="inlineStr">
        <is>
          <t>gpt-4o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84" t="inlineStr">
        <is>
          <t>S01</t>
        </is>
      </c>
      <c r="R2" s="87" t="inlineStr">
        <is>
          <t>Waiting for Input</t>
        </is>
      </c>
      <c r="S2" s="88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85" t="inlineStr">
        <is>
          <t>S02</t>
        </is>
      </c>
      <c r="R3" s="89" t="inlineStr">
        <is>
          <t>Analyzing Object</t>
        </is>
      </c>
      <c r="S3" s="90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85" t="inlineStr">
        <is>
          <t>S03</t>
        </is>
      </c>
      <c r="R4" s="89" t="inlineStr">
        <is>
          <t>Found Object</t>
        </is>
      </c>
      <c r="S4" s="90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85" t="inlineStr">
        <is>
          <t>S04</t>
        </is>
      </c>
      <c r="R5" s="89" t="inlineStr">
        <is>
          <t>Needs Help</t>
        </is>
      </c>
      <c r="S5" s="90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85" t="inlineStr">
        <is>
          <t>S05</t>
        </is>
      </c>
      <c r="R6" s="89" t="inlineStr">
        <is>
          <t>Confused</t>
        </is>
      </c>
      <c r="S6" s="90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86" t="inlineStr">
        <is>
          <t>S06</t>
        </is>
      </c>
      <c r="R7" s="91" t="inlineStr">
        <is>
          <t>None of the Above</t>
        </is>
      </c>
      <c r="S7" s="92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95" t="n"/>
      <c r="R8" s="93" t="inlineStr">
        <is>
          <t>Total</t>
        </is>
      </c>
      <c r="S8" s="94">
        <f>SUM(S2:S7)</f>
        <v/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S06</t>
        </is>
      </c>
      <c r="F21" t="inlineStr">
        <is>
          <t>Unsure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S03</t>
        </is>
      </c>
      <c r="F14" t="inlineStr">
        <is>
          <t>Found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S03</t>
        </is>
      </c>
      <c r="F2" t="inlineStr">
        <is>
          <t>Found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S03</t>
        </is>
      </c>
      <c r="F5" t="inlineStr">
        <is>
          <t>Found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S06</t>
        </is>
      </c>
      <c r="F16" t="inlineStr">
        <is>
          <t>Unsure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S06</t>
        </is>
      </c>
      <c r="F3" t="inlineStr">
        <is>
          <t>Unsure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S06</t>
        </is>
      </c>
      <c r="F19" t="inlineStr">
        <is>
          <t>Unsure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gpt-4o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gpt-4o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S03</t>
        </is>
      </c>
      <c r="F11" t="inlineStr">
        <is>
          <t>Found Object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gpt-4o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gpt-4o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gpt-4o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gpt-4o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gpt-4o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gpt-4o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gpt-4o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gpt-4o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gpt-4o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gpt-4o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  <pageSetup orientation="portrait" horizontalDpi="0" verticalDpi="0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S4" sqref="S4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S03</t>
        </is>
      </c>
      <c r="F11" t="inlineStr">
        <is>
          <t>Found Object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E28" sqref="E28"/>
    </sheetView>
  </sheetViews>
  <sheetFormatPr baseColWidth="10" defaultColWidth="8.83203125" defaultRowHeight="16"/>
  <sheetData>
    <row r="1" ht="17" customHeight="1" s="270" thickBot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Q1" s="164" t="n"/>
      <c r="R1" s="165" t="inlineStr">
        <is>
          <t>COUNTER TOOL</t>
        </is>
      </c>
      <c r="S1" s="166" t="n"/>
    </row>
    <row r="2">
      <c r="A2" t="inlineStr">
        <is>
          <t>gpt-4o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Q2" s="167" t="inlineStr">
        <is>
          <t>S01</t>
        </is>
      </c>
      <c r="R2" s="168" t="inlineStr">
        <is>
          <t>Waiting for Input</t>
        </is>
      </c>
      <c r="S2" s="169">
        <f>COUNTIF(E$2:E$21, "S01") / COUNTA(E$2:E$21)</f>
        <v/>
      </c>
    </row>
    <row r="3">
      <c r="A3" t="inlineStr">
        <is>
          <t>gpt-4o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  <c r="Q3" s="170" t="inlineStr">
        <is>
          <t>S02</t>
        </is>
      </c>
      <c r="R3" s="171" t="inlineStr">
        <is>
          <t>Analyzing Object</t>
        </is>
      </c>
      <c r="S3" s="172">
        <f>COUNTIF(E$2:E$21, "S02") / COUNTA(E$2:E$21)</f>
        <v/>
      </c>
    </row>
    <row r="4">
      <c r="A4" t="inlineStr">
        <is>
          <t>gpt-4o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  <c r="Q4" s="170" t="inlineStr">
        <is>
          <t>S03</t>
        </is>
      </c>
      <c r="R4" s="171" t="inlineStr">
        <is>
          <t>Found Object</t>
        </is>
      </c>
      <c r="S4" s="172">
        <f>COUNTIF(E$2:E$21, "S03") / COUNTA(E$2:E$21)</f>
        <v/>
      </c>
    </row>
    <row r="5">
      <c r="A5" t="inlineStr">
        <is>
          <t>gpt-4o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  <c r="Q5" s="170" t="inlineStr">
        <is>
          <t>S04</t>
        </is>
      </c>
      <c r="R5" s="171" t="inlineStr">
        <is>
          <t>Needs Help</t>
        </is>
      </c>
      <c r="S5" s="172">
        <f>COUNTIF(E$2:E$21, "S04") / COUNTA(E$2:E$21)</f>
        <v/>
      </c>
    </row>
    <row r="6">
      <c r="A6" t="inlineStr">
        <is>
          <t>gpt-4o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  <c r="Q6" s="170" t="inlineStr">
        <is>
          <t>S05</t>
        </is>
      </c>
      <c r="R6" s="171" t="inlineStr">
        <is>
          <t>Confused</t>
        </is>
      </c>
      <c r="S6" s="172">
        <f>COUNTIF(E$2:E$21, "S05") / COUNTA(E$2:E$21)</f>
        <v/>
      </c>
    </row>
    <row r="7" ht="17" customHeight="1" s="270" thickBot="1">
      <c r="A7" t="inlineStr">
        <is>
          <t>gpt-4o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  <c r="Q7" s="173" t="inlineStr">
        <is>
          <t>S06</t>
        </is>
      </c>
      <c r="R7" s="174" t="inlineStr">
        <is>
          <t>None of the Above</t>
        </is>
      </c>
      <c r="S7" s="175">
        <f>COUNTIF(E$2:E$21, "S06") / COUNTA(E$2:E$21)</f>
        <v/>
      </c>
    </row>
    <row r="8" ht="17" customHeight="1" s="270" thickBot="1">
      <c r="A8" t="inlineStr">
        <is>
          <t>gpt-4o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  <c r="Q8" s="176" t="n"/>
      <c r="R8" s="177" t="inlineStr">
        <is>
          <t>Total</t>
        </is>
      </c>
      <c r="S8" s="178" t="n">
        <v>1</v>
      </c>
    </row>
    <row r="9">
      <c r="A9" t="inlineStr">
        <is>
          <t>gpt-4o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gpt-4o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gpt-4o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gpt-4o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gpt-4o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gpt-4o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gpt-4o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gpt-4o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gpt-4o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gpt-4o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gpt-4o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gpt-4o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gpt-4o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  <pageSetup orientation="portrait" horizontalDpi="0" verticalDpi="0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S06</t>
        </is>
      </c>
      <c r="F4" t="inlineStr">
        <is>
          <t>Unsure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S06</t>
        </is>
      </c>
      <c r="F4" t="inlineStr">
        <is>
          <t>Unsure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S06</t>
        </is>
      </c>
      <c r="F18" t="inlineStr">
        <is>
          <t>Unsure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S06</t>
        </is>
      </c>
      <c r="F3" t="inlineStr">
        <is>
          <t>Unsure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S06</t>
        </is>
      </c>
      <c r="F5" t="inlineStr">
        <is>
          <t>Unsure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S06</t>
        </is>
      </c>
      <c r="F14" t="inlineStr">
        <is>
          <t>Unsure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S06</t>
        </is>
      </c>
      <c r="F5" t="inlineStr">
        <is>
          <t>Unsure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S06</t>
        </is>
      </c>
      <c r="F11" t="inlineStr">
        <is>
          <t>Unsure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S06</t>
        </is>
      </c>
      <c r="F14" t="inlineStr">
        <is>
          <t>Unsure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S06</t>
        </is>
      </c>
      <c r="F8" t="inlineStr">
        <is>
          <t>Unsure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S06</t>
        </is>
      </c>
      <c r="F16" t="inlineStr">
        <is>
          <t>Unsure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S06</t>
        </is>
      </c>
      <c r="F19" t="inlineStr">
        <is>
          <t>Unsure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S06</t>
        </is>
      </c>
      <c r="F20" t="inlineStr">
        <is>
          <t>Unsure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S06</t>
        </is>
      </c>
      <c r="F3" t="inlineStr">
        <is>
          <t>Unsure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S06</t>
        </is>
      </c>
      <c r="F21" t="inlineStr">
        <is>
          <t>Unsure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X21"/>
  <sheetViews>
    <sheetView tabSelected="1"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S06</t>
        </is>
      </c>
      <c r="F11" t="inlineStr">
        <is>
          <t>Unsure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S06</t>
        </is>
      </c>
      <c r="F12" t="inlineStr">
        <is>
          <t>Unsure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S06</t>
        </is>
      </c>
      <c r="F19" t="inlineStr">
        <is>
          <t>Unsure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S03</t>
        </is>
      </c>
      <c r="F14" t="inlineStr">
        <is>
          <t>Found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S06</t>
        </is>
      </c>
      <c r="F16" t="inlineStr">
        <is>
          <t>Unsure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S06</t>
        </is>
      </c>
      <c r="F8" t="inlineStr">
        <is>
          <t>Unsure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S06</t>
        </is>
      </c>
      <c r="F3" t="inlineStr">
        <is>
          <t>Unsure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S06</t>
        </is>
      </c>
      <c r="F8" t="inlineStr">
        <is>
          <t>Unsure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S06</t>
        </is>
      </c>
      <c r="F11" t="inlineStr">
        <is>
          <t>Unsure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S03</t>
        </is>
      </c>
      <c r="F16" t="inlineStr">
        <is>
          <t>Found Object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S03</t>
        </is>
      </c>
      <c r="F11" t="inlineStr">
        <is>
          <t>Found Object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S06</t>
        </is>
      </c>
      <c r="F3" t="inlineStr">
        <is>
          <t>Unsure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S06</t>
        </is>
      </c>
      <c r="F5" t="inlineStr">
        <is>
          <t>Unsure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NaN</t>
        </is>
      </c>
      <c r="F12" t="inlineStr">
        <is>
          <t>NaN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S06</t>
        </is>
      </c>
      <c r="F15" t="inlineStr">
        <is>
          <t>Unsure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S06</t>
        </is>
      </c>
      <c r="F18" t="inlineStr">
        <is>
          <t>Unsure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S03</t>
        </is>
      </c>
      <c r="F2" t="inlineStr">
        <is>
          <t>Found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NaN</t>
        </is>
      </c>
      <c r="F12" t="inlineStr">
        <is>
          <t>NaN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S06</t>
        </is>
      </c>
      <c r="F13" t="inlineStr">
        <is>
          <t>Unsure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S03</t>
        </is>
      </c>
      <c r="F5" t="inlineStr">
        <is>
          <t>Found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S06</t>
        </is>
      </c>
      <c r="F13" t="inlineStr">
        <is>
          <t>Unsure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S06</t>
        </is>
      </c>
      <c r="F14" t="inlineStr">
        <is>
          <t>Unsure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S06</t>
        </is>
      </c>
      <c r="F3" t="inlineStr">
        <is>
          <t>Unsure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S06</t>
        </is>
      </c>
      <c r="F5" t="inlineStr">
        <is>
          <t>Unsure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S06</t>
        </is>
      </c>
      <c r="F13" t="inlineStr">
        <is>
          <t>Unsure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NaN</t>
        </is>
      </c>
      <c r="F17" t="inlineStr">
        <is>
          <t>NaN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S06</t>
        </is>
      </c>
      <c r="F21" t="inlineStr">
        <is>
          <t>Unsure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S06</t>
        </is>
      </c>
      <c r="F4" t="inlineStr">
        <is>
          <t>Unsure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S06</t>
        </is>
      </c>
      <c r="F16" t="inlineStr">
        <is>
          <t>Unsure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S06</t>
        </is>
      </c>
      <c r="F11" t="inlineStr">
        <is>
          <t>Unsure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NaN</t>
        </is>
      </c>
      <c r="F12" t="inlineStr">
        <is>
          <t>NaN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S06</t>
        </is>
      </c>
      <c r="F19" t="inlineStr">
        <is>
          <t>Unsure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NaN</t>
        </is>
      </c>
      <c r="F20" t="inlineStr">
        <is>
          <t>NaN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S06</t>
        </is>
      </c>
      <c r="F21" t="inlineStr">
        <is>
          <t>Unsure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S06</t>
        </is>
      </c>
      <c r="F12" t="inlineStr">
        <is>
          <t>Unsure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NaN</t>
        </is>
      </c>
      <c r="F16" t="inlineStr">
        <is>
          <t>NaN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NaN</t>
        </is>
      </c>
      <c r="F19" t="inlineStr">
        <is>
          <t>NaN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S03</t>
        </is>
      </c>
      <c r="F2" t="inlineStr">
        <is>
          <t>Found Object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S06</t>
        </is>
      </c>
      <c r="F5" t="inlineStr">
        <is>
          <t>Unsure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S06</t>
        </is>
      </c>
      <c r="F11" t="inlineStr">
        <is>
          <t>Unsure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S03</t>
        </is>
      </c>
      <c r="F11" t="inlineStr">
        <is>
          <t>Found Object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S06</t>
        </is>
      </c>
      <c r="F12" t="inlineStr">
        <is>
          <t>Unsure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S06</t>
        </is>
      </c>
      <c r="F4" t="inlineStr">
        <is>
          <t>Unsure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NaN</t>
        </is>
      </c>
      <c r="F12" t="inlineStr">
        <is>
          <t>NaN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NaN</t>
        </is>
      </c>
      <c r="F18" t="inlineStr">
        <is>
          <t>NaN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S06</t>
        </is>
      </c>
      <c r="F9" t="inlineStr">
        <is>
          <t>Unsure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S06</t>
        </is>
      </c>
      <c r="F4" t="inlineStr">
        <is>
          <t>Unsure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S06</t>
        </is>
      </c>
      <c r="F14" t="inlineStr">
        <is>
          <t>Unsure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S03</t>
        </is>
      </c>
      <c r="F2" t="inlineStr">
        <is>
          <t>Found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S06</t>
        </is>
      </c>
      <c r="F4" t="inlineStr">
        <is>
          <t>Unsure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S03</t>
        </is>
      </c>
      <c r="F11" t="inlineStr">
        <is>
          <t>Found Object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S03</t>
        </is>
      </c>
      <c r="F2" t="inlineStr">
        <is>
          <t>Found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S03</t>
        </is>
      </c>
      <c r="F11" t="inlineStr">
        <is>
          <t>Found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S06</t>
        </is>
      </c>
      <c r="F8" t="inlineStr">
        <is>
          <t>Unsure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S03</t>
        </is>
      </c>
      <c r="F11" t="inlineStr">
        <is>
          <t>Found Object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none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S06</t>
        </is>
      </c>
      <c r="F12" t="inlineStr">
        <is>
          <t>Unsure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S06</t>
        </is>
      </c>
      <c r="F13" t="inlineStr">
        <is>
          <t>Unsure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S03</t>
        </is>
      </c>
      <c r="F17" t="inlineStr">
        <is>
          <t>Found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S06</t>
        </is>
      </c>
      <c r="F16" t="inlineStr">
        <is>
          <t>Unsure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S06</t>
        </is>
      </c>
      <c r="F18" t="inlineStr">
        <is>
          <t>Unsure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S06</t>
        </is>
      </c>
      <c r="F4" t="inlineStr">
        <is>
          <t>Unsure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S06</t>
        </is>
      </c>
      <c r="F18" t="inlineStr">
        <is>
          <t>Unsure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S03</t>
        </is>
      </c>
      <c r="F2" t="inlineStr">
        <is>
          <t>Found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S06</t>
        </is>
      </c>
      <c r="F18" t="inlineStr">
        <is>
          <t>Unsure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S06</t>
        </is>
      </c>
      <c r="F3" t="inlineStr">
        <is>
          <t>Unsure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S06</t>
        </is>
      </c>
      <c r="F4" t="inlineStr">
        <is>
          <t>Unsure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S06</t>
        </is>
      </c>
      <c r="F5" t="inlineStr">
        <is>
          <t>Unsure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S03</t>
        </is>
      </c>
      <c r="F16" t="inlineStr">
        <is>
          <t>Found Object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S03</t>
        </is>
      </c>
      <c r="F16" t="inlineStr">
        <is>
          <t>Found Object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S06</t>
        </is>
      </c>
      <c r="F9" t="inlineStr">
        <is>
          <t>Unsure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low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S06</t>
        </is>
      </c>
      <c r="F5" t="inlineStr">
        <is>
          <t>Unsure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S06</t>
        </is>
      </c>
      <c r="F8" t="inlineStr">
        <is>
          <t>Unsure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S06</t>
        </is>
      </c>
      <c r="F16" t="inlineStr">
        <is>
          <t>Unsure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NaN</t>
        </is>
      </c>
      <c r="F8" t="inlineStr">
        <is>
          <t>NaN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S06</t>
        </is>
      </c>
      <c r="F13" t="inlineStr">
        <is>
          <t>Unsure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S06</t>
        </is>
      </c>
      <c r="F14" t="inlineStr">
        <is>
          <t>Unsure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S06</t>
        </is>
      </c>
      <c r="F9" t="inlineStr">
        <is>
          <t>Unsure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S06</t>
        </is>
      </c>
      <c r="F18" t="inlineStr">
        <is>
          <t>Unsure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S06</t>
        </is>
      </c>
      <c r="F8" t="inlineStr">
        <is>
          <t>Unsure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S06</t>
        </is>
      </c>
      <c r="F19" t="inlineStr">
        <is>
          <t>Unsure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S06</t>
        </is>
      </c>
      <c r="F3" t="inlineStr">
        <is>
          <t>Unsure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S06</t>
        </is>
      </c>
      <c r="F12" t="inlineStr">
        <is>
          <t>Unsure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S06</t>
        </is>
      </c>
      <c r="F15" t="inlineStr">
        <is>
          <t>Unsure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NaN</t>
        </is>
      </c>
      <c r="F6" t="inlineStr">
        <is>
          <t>NaN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S06</t>
        </is>
      </c>
      <c r="F8" t="inlineStr">
        <is>
          <t>Unsure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S06</t>
        </is>
      </c>
      <c r="F16" t="inlineStr">
        <is>
          <t>Unsure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S06</t>
        </is>
      </c>
      <c r="F19" t="inlineStr">
        <is>
          <t>Unsure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NaN</t>
        </is>
      </c>
      <c r="F13" t="inlineStr">
        <is>
          <t>NaN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S06</t>
        </is>
      </c>
      <c r="F17" t="inlineStr">
        <is>
          <t>Unsure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NaN</t>
        </is>
      </c>
      <c r="F19" t="inlineStr">
        <is>
          <t>NaN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S06</t>
        </is>
      </c>
      <c r="F4" t="inlineStr">
        <is>
          <t>Unsure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S06</t>
        </is>
      </c>
      <c r="F5" t="inlineStr">
        <is>
          <t>Unsure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NaN</t>
        </is>
      </c>
      <c r="F10" t="inlineStr">
        <is>
          <t>NaN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S06</t>
        </is>
      </c>
      <c r="F18" t="inlineStr">
        <is>
          <t>Unsure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S06</t>
        </is>
      </c>
      <c r="F3" t="inlineStr">
        <is>
          <t>Unsure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S06</t>
        </is>
      </c>
      <c r="F9" t="inlineStr">
        <is>
          <t>Unsure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S06</t>
        </is>
      </c>
      <c r="F2" t="inlineStr">
        <is>
          <t>Unsure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S03</t>
        </is>
      </c>
      <c r="F4" t="inlineStr">
        <is>
          <t>Found Object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S03</t>
        </is>
      </c>
      <c r="F8" t="inlineStr">
        <is>
          <t>Found Object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S06</t>
        </is>
      </c>
      <c r="F11" t="inlineStr">
        <is>
          <t>Unsure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S06</t>
        </is>
      </c>
      <c r="F16" t="inlineStr">
        <is>
          <t>Unsure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S06</t>
        </is>
      </c>
      <c r="F6" t="inlineStr">
        <is>
          <t>Unsure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S05</t>
        </is>
      </c>
      <c r="F10" t="inlineStr">
        <is>
          <t>Confused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S03</t>
        </is>
      </c>
      <c r="F11" t="inlineStr">
        <is>
          <t>Found Object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S03</t>
        </is>
      </c>
      <c r="F16" t="inlineStr">
        <is>
          <t>Found Object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NaN</t>
        </is>
      </c>
      <c r="F17" t="inlineStr">
        <is>
          <t>NaN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NaN</t>
        </is>
      </c>
      <c r="F2" t="inlineStr">
        <is>
          <t>NaN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OFF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S05</t>
        </is>
      </c>
      <c r="F7" t="inlineStr">
        <is>
          <t>Confused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S05</t>
        </is>
      </c>
      <c r="F13" t="inlineStr">
        <is>
          <t>Confused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NaN</t>
        </is>
      </c>
      <c r="F21" t="inlineStr">
        <is>
          <t>NaN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long</t>
        </is>
      </c>
      <c r="N2" t="inlineStr">
        <is>
          <t>slow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long</t>
        </is>
      </c>
      <c r="N3" t="inlineStr">
        <is>
          <t>slow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WFI</t>
        </is>
      </c>
      <c r="D4" t="n">
        <v>2</v>
      </c>
      <c r="E4" t="inlineStr">
        <is>
          <t>S01</t>
        </is>
      </c>
      <c r="F4" t="inlineStr">
        <is>
          <t>Waiting for Input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long</t>
        </is>
      </c>
      <c r="N4" t="inlineStr">
        <is>
          <t>slow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WFI</t>
        </is>
      </c>
      <c r="D5" t="n">
        <v>3</v>
      </c>
      <c r="E5" t="inlineStr">
        <is>
          <t>S01</t>
        </is>
      </c>
      <c r="F5" t="inlineStr">
        <is>
          <t>Waiting for Input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long</t>
        </is>
      </c>
      <c r="N5" t="inlineStr">
        <is>
          <t>slow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long</t>
        </is>
      </c>
      <c r="N6" t="inlineStr">
        <is>
          <t>slow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long</t>
        </is>
      </c>
      <c r="N7" t="inlineStr">
        <is>
          <t>slow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WFI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long</t>
        </is>
      </c>
      <c r="N8" t="inlineStr">
        <is>
          <t>slow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long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long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WFI</t>
        </is>
      </c>
      <c r="D11" t="n">
        <v>9</v>
      </c>
      <c r="E11" t="inlineStr">
        <is>
          <t>S01</t>
        </is>
      </c>
      <c r="F11" t="inlineStr">
        <is>
          <t>Waiting for Input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long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WFI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long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long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WFI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long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long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long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long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WFI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long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WFI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long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long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WFI</t>
        </is>
      </c>
      <c r="D21" t="n">
        <v>19</v>
      </c>
      <c r="E21" t="inlineStr">
        <is>
          <t>S01</t>
        </is>
      </c>
      <c r="F21" t="inlineStr">
        <is>
          <t>Waiting for Input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long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AO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AO</t>
        </is>
      </c>
      <c r="D8" t="n">
        <v>6</v>
      </c>
      <c r="E8" t="inlineStr">
        <is>
          <t>S06</t>
        </is>
      </c>
      <c r="F8" t="inlineStr">
        <is>
          <t>Unsure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AO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AO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AO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AO</t>
        </is>
      </c>
      <c r="D18" t="n">
        <v>16</v>
      </c>
      <c r="E18" t="inlineStr">
        <is>
          <t>S06</t>
        </is>
      </c>
      <c r="F18" t="inlineStr">
        <is>
          <t>Unsure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AO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AO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low</t>
        </is>
      </c>
      <c r="L2" t="inlineStr">
        <is>
          <t>object</t>
        </is>
      </c>
      <c r="M2" t="inlineStr">
        <is>
          <t>medium</t>
        </is>
      </c>
      <c r="N2" t="inlineStr">
        <is>
          <t>slow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low</t>
        </is>
      </c>
      <c r="L3" t="inlineStr">
        <is>
          <t>object</t>
        </is>
      </c>
      <c r="M3" t="inlineStr">
        <is>
          <t>medium</t>
        </is>
      </c>
      <c r="N3" t="inlineStr">
        <is>
          <t>slow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low</t>
        </is>
      </c>
      <c r="L4" t="inlineStr">
        <is>
          <t>object</t>
        </is>
      </c>
      <c r="M4" t="inlineStr">
        <is>
          <t>medium</t>
        </is>
      </c>
      <c r="N4" t="inlineStr">
        <is>
          <t>slow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low</t>
        </is>
      </c>
      <c r="L5" t="inlineStr">
        <is>
          <t>object</t>
        </is>
      </c>
      <c r="M5" t="inlineStr">
        <is>
          <t>medium</t>
        </is>
      </c>
      <c r="N5" t="inlineStr">
        <is>
          <t>slow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low</t>
        </is>
      </c>
      <c r="L6" t="inlineStr">
        <is>
          <t>object</t>
        </is>
      </c>
      <c r="M6" t="inlineStr">
        <is>
          <t>medium</t>
        </is>
      </c>
      <c r="N6" t="inlineStr">
        <is>
          <t>slow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low</t>
        </is>
      </c>
      <c r="L7" t="inlineStr">
        <is>
          <t>object</t>
        </is>
      </c>
      <c r="M7" t="inlineStr">
        <is>
          <t>medium</t>
        </is>
      </c>
      <c r="N7" t="inlineStr">
        <is>
          <t>slow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low</t>
        </is>
      </c>
      <c r="L8" t="inlineStr">
        <is>
          <t>object</t>
        </is>
      </c>
      <c r="M8" t="inlineStr">
        <is>
          <t>medium</t>
        </is>
      </c>
      <c r="N8" t="inlineStr">
        <is>
          <t>slow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FO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low</t>
        </is>
      </c>
      <c r="L9" t="inlineStr">
        <is>
          <t>object</t>
        </is>
      </c>
      <c r="M9" t="inlineStr">
        <is>
          <t>medium</t>
        </is>
      </c>
      <c r="N9" t="inlineStr">
        <is>
          <t>slow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FO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low</t>
        </is>
      </c>
      <c r="L10" t="inlineStr">
        <is>
          <t>object</t>
        </is>
      </c>
      <c r="M10" t="inlineStr">
        <is>
          <t>medium</t>
        </is>
      </c>
      <c r="N10" t="inlineStr">
        <is>
          <t>slow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low</t>
        </is>
      </c>
      <c r="L11" t="inlineStr">
        <is>
          <t>object</t>
        </is>
      </c>
      <c r="M11" t="inlineStr">
        <is>
          <t>medium</t>
        </is>
      </c>
      <c r="N11" t="inlineStr">
        <is>
          <t>slow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low</t>
        </is>
      </c>
      <c r="L12" t="inlineStr">
        <is>
          <t>object</t>
        </is>
      </c>
      <c r="M12" t="inlineStr">
        <is>
          <t>medium</t>
        </is>
      </c>
      <c r="N12" t="inlineStr">
        <is>
          <t>slow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low</t>
        </is>
      </c>
      <c r="L13" t="inlineStr">
        <is>
          <t>object</t>
        </is>
      </c>
      <c r="M13" t="inlineStr">
        <is>
          <t>medium</t>
        </is>
      </c>
      <c r="N13" t="inlineStr">
        <is>
          <t>slow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FO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low</t>
        </is>
      </c>
      <c r="L14" t="inlineStr">
        <is>
          <t>object</t>
        </is>
      </c>
      <c r="M14" t="inlineStr">
        <is>
          <t>medium</t>
        </is>
      </c>
      <c r="N14" t="inlineStr">
        <is>
          <t>slow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FO</t>
        </is>
      </c>
      <c r="D15" t="n">
        <v>13</v>
      </c>
      <c r="E15" t="inlineStr">
        <is>
          <t>S06</t>
        </is>
      </c>
      <c r="F15" t="inlineStr">
        <is>
          <t>Unsure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low</t>
        </is>
      </c>
      <c r="L15" t="inlineStr">
        <is>
          <t>object</t>
        </is>
      </c>
      <c r="M15" t="inlineStr">
        <is>
          <t>medium</t>
        </is>
      </c>
      <c r="N15" t="inlineStr">
        <is>
          <t>slow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FO</t>
        </is>
      </c>
      <c r="D16" t="n">
        <v>14</v>
      </c>
      <c r="E16" t="inlineStr">
        <is>
          <t>S06</t>
        </is>
      </c>
      <c r="F16" t="inlineStr">
        <is>
          <t>Unsure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low</t>
        </is>
      </c>
      <c r="L16" t="inlineStr">
        <is>
          <t>object</t>
        </is>
      </c>
      <c r="M16" t="inlineStr">
        <is>
          <t>medium</t>
        </is>
      </c>
      <c r="N16" t="inlineStr">
        <is>
          <t>slow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low</t>
        </is>
      </c>
      <c r="L17" t="inlineStr">
        <is>
          <t>object</t>
        </is>
      </c>
      <c r="M17" t="inlineStr">
        <is>
          <t>medium</t>
        </is>
      </c>
      <c r="N17" t="inlineStr">
        <is>
          <t>slow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FO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low</t>
        </is>
      </c>
      <c r="L18" t="inlineStr">
        <is>
          <t>object</t>
        </is>
      </c>
      <c r="M18" t="inlineStr">
        <is>
          <t>medium</t>
        </is>
      </c>
      <c r="N18" t="inlineStr">
        <is>
          <t>slow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FO</t>
        </is>
      </c>
      <c r="D19" t="n">
        <v>17</v>
      </c>
      <c r="E19" t="inlineStr">
        <is>
          <t>S06</t>
        </is>
      </c>
      <c r="F19" t="inlineStr">
        <is>
          <t>Unsure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low</t>
        </is>
      </c>
      <c r="L19" t="inlineStr">
        <is>
          <t>object</t>
        </is>
      </c>
      <c r="M19" t="inlineStr">
        <is>
          <t>medium</t>
        </is>
      </c>
      <c r="N19" t="inlineStr">
        <is>
          <t>slow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FO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low</t>
        </is>
      </c>
      <c r="L20" t="inlineStr">
        <is>
          <t>object</t>
        </is>
      </c>
      <c r="M20" t="inlineStr">
        <is>
          <t>medium</t>
        </is>
      </c>
      <c r="N20" t="inlineStr">
        <is>
          <t>slow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FO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low</t>
        </is>
      </c>
      <c r="L21" t="inlineStr">
        <is>
          <t>object</t>
        </is>
      </c>
      <c r="M21" t="inlineStr">
        <is>
          <t>medium</t>
        </is>
      </c>
      <c r="N21" t="inlineStr">
        <is>
          <t>slow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NH</t>
        </is>
      </c>
      <c r="D3" t="n">
        <v>1</v>
      </c>
      <c r="E3" t="inlineStr">
        <is>
          <t>S05</t>
        </is>
      </c>
      <c r="F3" t="inlineStr">
        <is>
          <t>Confused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NH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NH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NH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NH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NH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NH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NH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NH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NH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NH</t>
        </is>
      </c>
      <c r="D18" t="n">
        <v>16</v>
      </c>
      <c r="E18" t="inlineStr">
        <is>
          <t>NaN</t>
        </is>
      </c>
      <c r="F18" t="inlineStr">
        <is>
          <t>NaN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NH</t>
        </is>
      </c>
      <c r="D19" t="n">
        <v>17</v>
      </c>
      <c r="E19" t="inlineStr">
        <is>
          <t>S04</t>
        </is>
      </c>
      <c r="F19" t="inlineStr">
        <is>
          <t>Needs Help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NH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NH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LLM</t>
        </is>
      </c>
      <c r="C2" t="inlineStr">
        <is>
          <t>C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neutral</t>
        </is>
      </c>
      <c r="K2" t="inlineStr">
        <is>
          <t>neutral</t>
        </is>
      </c>
      <c r="L2" t="inlineStr">
        <is>
          <t>user</t>
        </is>
      </c>
      <c r="M2" t="inlineStr">
        <is>
          <t>medium</t>
        </is>
      </c>
      <c r="N2" t="inlineStr">
        <is>
          <t>slow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LLM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neutral</t>
        </is>
      </c>
      <c r="K3" t="inlineStr">
        <is>
          <t>neutral</t>
        </is>
      </c>
      <c r="L3" t="inlineStr">
        <is>
          <t>user</t>
        </is>
      </c>
      <c r="M3" t="inlineStr">
        <is>
          <t>medium</t>
        </is>
      </c>
      <c r="N3" t="inlineStr">
        <is>
          <t>slow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LLM</t>
        </is>
      </c>
      <c r="C4" t="inlineStr">
        <is>
          <t>C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neutral</t>
        </is>
      </c>
      <c r="K4" t="inlineStr">
        <is>
          <t>neutral</t>
        </is>
      </c>
      <c r="L4" t="inlineStr">
        <is>
          <t>user</t>
        </is>
      </c>
      <c r="M4" t="inlineStr">
        <is>
          <t>medium</t>
        </is>
      </c>
      <c r="N4" t="inlineStr">
        <is>
          <t>slow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LLM</t>
        </is>
      </c>
      <c r="C5" t="inlineStr">
        <is>
          <t>C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neutral</t>
        </is>
      </c>
      <c r="K5" t="inlineStr">
        <is>
          <t>neutral</t>
        </is>
      </c>
      <c r="L5" t="inlineStr">
        <is>
          <t>user</t>
        </is>
      </c>
      <c r="M5" t="inlineStr">
        <is>
          <t>medium</t>
        </is>
      </c>
      <c r="N5" t="inlineStr">
        <is>
          <t>slow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LLM</t>
        </is>
      </c>
      <c r="C6" t="inlineStr">
        <is>
          <t>C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neutral</t>
        </is>
      </c>
      <c r="K6" t="inlineStr">
        <is>
          <t>neutral</t>
        </is>
      </c>
      <c r="L6" t="inlineStr">
        <is>
          <t>user</t>
        </is>
      </c>
      <c r="M6" t="inlineStr">
        <is>
          <t>medium</t>
        </is>
      </c>
      <c r="N6" t="inlineStr">
        <is>
          <t>slow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LLM</t>
        </is>
      </c>
      <c r="C7" t="inlineStr">
        <is>
          <t>C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neutral</t>
        </is>
      </c>
      <c r="K7" t="inlineStr">
        <is>
          <t>neutral</t>
        </is>
      </c>
      <c r="L7" t="inlineStr">
        <is>
          <t>user</t>
        </is>
      </c>
      <c r="M7" t="inlineStr">
        <is>
          <t>medium</t>
        </is>
      </c>
      <c r="N7" t="inlineStr">
        <is>
          <t>slow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LLM</t>
        </is>
      </c>
      <c r="C8" t="inlineStr">
        <is>
          <t>C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neutral</t>
        </is>
      </c>
      <c r="K8" t="inlineStr">
        <is>
          <t>neutral</t>
        </is>
      </c>
      <c r="L8" t="inlineStr">
        <is>
          <t>user</t>
        </is>
      </c>
      <c r="M8" t="inlineStr">
        <is>
          <t>medium</t>
        </is>
      </c>
      <c r="N8" t="inlineStr">
        <is>
          <t>slow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LLM</t>
        </is>
      </c>
      <c r="C9" t="inlineStr">
        <is>
          <t>C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neutral</t>
        </is>
      </c>
      <c r="K9" t="inlineStr">
        <is>
          <t>neutral</t>
        </is>
      </c>
      <c r="L9" t="inlineStr">
        <is>
          <t>user</t>
        </is>
      </c>
      <c r="M9" t="inlineStr">
        <is>
          <t>medium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LLM</t>
        </is>
      </c>
      <c r="C10" t="inlineStr">
        <is>
          <t>C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neutral</t>
        </is>
      </c>
      <c r="K10" t="inlineStr">
        <is>
          <t>neutral</t>
        </is>
      </c>
      <c r="L10" t="inlineStr">
        <is>
          <t>user</t>
        </is>
      </c>
      <c r="M10" t="inlineStr">
        <is>
          <t>medium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LLM</t>
        </is>
      </c>
      <c r="C11" t="inlineStr">
        <is>
          <t>C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neutral</t>
        </is>
      </c>
      <c r="K11" t="inlineStr">
        <is>
          <t>neutral</t>
        </is>
      </c>
      <c r="L11" t="inlineStr">
        <is>
          <t>user</t>
        </is>
      </c>
      <c r="M11" t="inlineStr">
        <is>
          <t>medium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LLM</t>
        </is>
      </c>
      <c r="C12" t="inlineStr">
        <is>
          <t>C</t>
        </is>
      </c>
      <c r="D12" t="n">
        <v>10</v>
      </c>
      <c r="E12" t="inlineStr">
        <is>
          <t>S05</t>
        </is>
      </c>
      <c r="F12" t="inlineStr">
        <is>
          <t>Confused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neutral</t>
        </is>
      </c>
      <c r="K12" t="inlineStr">
        <is>
          <t>neutral</t>
        </is>
      </c>
      <c r="L12" t="inlineStr">
        <is>
          <t>user</t>
        </is>
      </c>
      <c r="M12" t="inlineStr">
        <is>
          <t>medium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LLM</t>
        </is>
      </c>
      <c r="C13" t="inlineStr">
        <is>
          <t>C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neutral</t>
        </is>
      </c>
      <c r="K13" t="inlineStr">
        <is>
          <t>neutral</t>
        </is>
      </c>
      <c r="L13" t="inlineStr">
        <is>
          <t>user</t>
        </is>
      </c>
      <c r="M13" t="inlineStr">
        <is>
          <t>medium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LLM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neutral</t>
        </is>
      </c>
      <c r="K14" t="inlineStr">
        <is>
          <t>neutral</t>
        </is>
      </c>
      <c r="L14" t="inlineStr">
        <is>
          <t>user</t>
        </is>
      </c>
      <c r="M14" t="inlineStr">
        <is>
          <t>medium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LLM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neutral</t>
        </is>
      </c>
      <c r="K15" t="inlineStr">
        <is>
          <t>neutral</t>
        </is>
      </c>
      <c r="L15" t="inlineStr">
        <is>
          <t>user</t>
        </is>
      </c>
      <c r="M15" t="inlineStr">
        <is>
          <t>medium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LLM</t>
        </is>
      </c>
      <c r="C16" t="inlineStr">
        <is>
          <t>C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neutral</t>
        </is>
      </c>
      <c r="K16" t="inlineStr">
        <is>
          <t>neutral</t>
        </is>
      </c>
      <c r="L16" t="inlineStr">
        <is>
          <t>user</t>
        </is>
      </c>
      <c r="M16" t="inlineStr">
        <is>
          <t>medium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LLM</t>
        </is>
      </c>
      <c r="C17" t="inlineStr">
        <is>
          <t>C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neutral</t>
        </is>
      </c>
      <c r="K17" t="inlineStr">
        <is>
          <t>neutral</t>
        </is>
      </c>
      <c r="L17" t="inlineStr">
        <is>
          <t>user</t>
        </is>
      </c>
      <c r="M17" t="inlineStr">
        <is>
          <t>medium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LLM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neutral</t>
        </is>
      </c>
      <c r="K18" t="inlineStr">
        <is>
          <t>neutral</t>
        </is>
      </c>
      <c r="L18" t="inlineStr">
        <is>
          <t>user</t>
        </is>
      </c>
      <c r="M18" t="inlineStr">
        <is>
          <t>medium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LLM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neutral</t>
        </is>
      </c>
      <c r="K19" t="inlineStr">
        <is>
          <t>neutral</t>
        </is>
      </c>
      <c r="L19" t="inlineStr">
        <is>
          <t>user</t>
        </is>
      </c>
      <c r="M19" t="inlineStr">
        <is>
          <t>medium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LLM</t>
        </is>
      </c>
      <c r="C20" t="inlineStr">
        <is>
          <t>C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neutral</t>
        </is>
      </c>
      <c r="K20" t="inlineStr">
        <is>
          <t>neutral</t>
        </is>
      </c>
      <c r="L20" t="inlineStr">
        <is>
          <t>user</t>
        </is>
      </c>
      <c r="M20" t="inlineStr">
        <is>
          <t>medium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LLM</t>
        </is>
      </c>
      <c r="C21" t="inlineStr">
        <is>
          <t>C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neutral</t>
        </is>
      </c>
      <c r="K21" t="inlineStr">
        <is>
          <t>neutral</t>
        </is>
      </c>
      <c r="L21" t="inlineStr">
        <is>
          <t>user</t>
        </is>
      </c>
      <c r="M21" t="inlineStr">
        <is>
          <t>medium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WFI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neutral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WFI</t>
        </is>
      </c>
      <c r="D3" t="n">
        <v>1</v>
      </c>
      <c r="E3" t="inlineStr">
        <is>
          <t>S01</t>
        </is>
      </c>
      <c r="F3" t="inlineStr">
        <is>
          <t>Waiting for Input</t>
        </is>
      </c>
      <c r="G3" t="inlineStr">
        <is>
          <t>NaN</t>
        </is>
      </c>
      <c r="H3" t="inlineStr">
        <is>
          <t>neutral</t>
        </is>
      </c>
      <c r="I3" t="inlineStr">
        <is>
          <t>neutral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WFI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neutral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WFI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neutral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WFI</t>
        </is>
      </c>
      <c r="D6" t="n">
        <v>4</v>
      </c>
      <c r="E6" t="inlineStr">
        <is>
          <t>S01</t>
        </is>
      </c>
      <c r="F6" t="inlineStr">
        <is>
          <t>Waiting for Input</t>
        </is>
      </c>
      <c r="G6" t="inlineStr">
        <is>
          <t>NaN</t>
        </is>
      </c>
      <c r="H6" t="inlineStr">
        <is>
          <t>neutral</t>
        </is>
      </c>
      <c r="I6" t="inlineStr">
        <is>
          <t>neutral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WFI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neutral</t>
        </is>
      </c>
      <c r="I7" t="inlineStr">
        <is>
          <t>neutral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neutral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WFI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neutral</t>
        </is>
      </c>
      <c r="I9" t="inlineStr">
        <is>
          <t>neutral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WFI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neutral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WFI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neutral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WFI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neutral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WFI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neutral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WFI</t>
        </is>
      </c>
      <c r="D14" t="n">
        <v>12</v>
      </c>
      <c r="E14" t="inlineStr">
        <is>
          <t>S06</t>
        </is>
      </c>
      <c r="F14" t="inlineStr">
        <is>
          <t>Unsure</t>
        </is>
      </c>
      <c r="G14" t="inlineStr">
        <is>
          <t>NaN</t>
        </is>
      </c>
      <c r="H14" t="inlineStr">
        <is>
          <t>neutral</t>
        </is>
      </c>
      <c r="I14" t="inlineStr">
        <is>
          <t>neutral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WFI</t>
        </is>
      </c>
      <c r="D15" t="n">
        <v>13</v>
      </c>
      <c r="E15" t="inlineStr">
        <is>
          <t>S01</t>
        </is>
      </c>
      <c r="F15" t="inlineStr">
        <is>
          <t>Waiting for Input</t>
        </is>
      </c>
      <c r="G15" t="inlineStr">
        <is>
          <t>NaN</t>
        </is>
      </c>
      <c r="H15" t="inlineStr">
        <is>
          <t>neutral</t>
        </is>
      </c>
      <c r="I15" t="inlineStr">
        <is>
          <t>neutral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WFI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neutral</t>
        </is>
      </c>
      <c r="I16" t="inlineStr">
        <is>
          <t>neutral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WFI</t>
        </is>
      </c>
      <c r="D17" t="n">
        <v>15</v>
      </c>
      <c r="E17" t="inlineStr">
        <is>
          <t>S01</t>
        </is>
      </c>
      <c r="F17" t="inlineStr">
        <is>
          <t>Waiting for Input</t>
        </is>
      </c>
      <c r="G17" t="inlineStr">
        <is>
          <t>NaN</t>
        </is>
      </c>
      <c r="H17" t="inlineStr">
        <is>
          <t>neutral</t>
        </is>
      </c>
      <c r="I17" t="inlineStr">
        <is>
          <t>neutral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WFI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neutral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WFI</t>
        </is>
      </c>
      <c r="D19" t="n">
        <v>17</v>
      </c>
      <c r="E19" t="inlineStr">
        <is>
          <t>S01</t>
        </is>
      </c>
      <c r="F19" t="inlineStr">
        <is>
          <t>Waiting for Input</t>
        </is>
      </c>
      <c r="G19" t="inlineStr">
        <is>
          <t>NaN</t>
        </is>
      </c>
      <c r="H19" t="inlineStr">
        <is>
          <t>neutral</t>
        </is>
      </c>
      <c r="I19" t="inlineStr">
        <is>
          <t>neutral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WFI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neutral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WFI</t>
        </is>
      </c>
      <c r="D21" t="n">
        <v>19</v>
      </c>
      <c r="E21" t="inlineStr">
        <is>
          <t>S04</t>
        </is>
      </c>
      <c r="F21" t="inlineStr">
        <is>
          <t>Needs Help</t>
        </is>
      </c>
      <c r="G21" t="inlineStr">
        <is>
          <t>NaN</t>
        </is>
      </c>
      <c r="H21" t="inlineStr">
        <is>
          <t>neutral</t>
        </is>
      </c>
      <c r="I21" t="inlineStr">
        <is>
          <t>neutral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left</t>
        </is>
      </c>
      <c r="I2" t="inlineStr">
        <is>
          <t>forward</t>
        </is>
      </c>
      <c r="J2" t="inlineStr">
        <is>
          <t>neutral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AO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forward</t>
        </is>
      </c>
      <c r="J3" t="inlineStr">
        <is>
          <t>neutral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forward</t>
        </is>
      </c>
      <c r="J4" t="inlineStr">
        <is>
          <t>neutral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AO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forward</t>
        </is>
      </c>
      <c r="J5" t="inlineStr">
        <is>
          <t>neutral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AO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forward</t>
        </is>
      </c>
      <c r="J6" t="inlineStr">
        <is>
          <t>neutral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AO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forward</t>
        </is>
      </c>
      <c r="J7" t="inlineStr">
        <is>
          <t>neutral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AO</t>
        </is>
      </c>
      <c r="D8" t="n">
        <v>6</v>
      </c>
      <c r="E8" t="inlineStr">
        <is>
          <t>S06</t>
        </is>
      </c>
      <c r="F8" t="inlineStr">
        <is>
          <t>Unsure</t>
        </is>
      </c>
      <c r="G8" t="inlineStr">
        <is>
          <t>NaN</t>
        </is>
      </c>
      <c r="H8" t="inlineStr">
        <is>
          <t>left</t>
        </is>
      </c>
      <c r="I8" t="inlineStr">
        <is>
          <t>forward</t>
        </is>
      </c>
      <c r="J8" t="inlineStr">
        <is>
          <t>neutral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AO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left</t>
        </is>
      </c>
      <c r="I9" t="inlineStr">
        <is>
          <t>forward</t>
        </is>
      </c>
      <c r="J9" t="inlineStr">
        <is>
          <t>neutral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AO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forward</t>
        </is>
      </c>
      <c r="J10" t="inlineStr">
        <is>
          <t>neutral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AO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forward</t>
        </is>
      </c>
      <c r="J11" t="inlineStr">
        <is>
          <t>neutral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AO</t>
        </is>
      </c>
      <c r="D12" t="n">
        <v>10</v>
      </c>
      <c r="E12" t="inlineStr">
        <is>
          <t>S03</t>
        </is>
      </c>
      <c r="F12" t="inlineStr">
        <is>
          <t>Found Object</t>
        </is>
      </c>
      <c r="G12" t="inlineStr">
        <is>
          <t>NaN</t>
        </is>
      </c>
      <c r="H12" t="inlineStr">
        <is>
          <t>left</t>
        </is>
      </c>
      <c r="I12" t="inlineStr">
        <is>
          <t>forward</t>
        </is>
      </c>
      <c r="J12" t="inlineStr">
        <is>
          <t>neutral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AO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forward</t>
        </is>
      </c>
      <c r="J13" t="inlineStr">
        <is>
          <t>neutral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AO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left</t>
        </is>
      </c>
      <c r="I14" t="inlineStr">
        <is>
          <t>forward</t>
        </is>
      </c>
      <c r="J14" t="inlineStr">
        <is>
          <t>neutral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forward</t>
        </is>
      </c>
      <c r="J15" t="inlineStr">
        <is>
          <t>neutral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AO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forward</t>
        </is>
      </c>
      <c r="J16" t="inlineStr">
        <is>
          <t>neutral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AO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forward</t>
        </is>
      </c>
      <c r="J17" t="inlineStr">
        <is>
          <t>neutral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AO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left</t>
        </is>
      </c>
      <c r="I18" t="inlineStr">
        <is>
          <t>forward</t>
        </is>
      </c>
      <c r="J18" t="inlineStr">
        <is>
          <t>neutral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AO</t>
        </is>
      </c>
      <c r="D19" t="n">
        <v>17</v>
      </c>
      <c r="E19" t="inlineStr">
        <is>
          <t>S06</t>
        </is>
      </c>
      <c r="F19" t="inlineStr">
        <is>
          <t>Unsure</t>
        </is>
      </c>
      <c r="G19" t="inlineStr">
        <is>
          <t>NaN</t>
        </is>
      </c>
      <c r="H19" t="inlineStr">
        <is>
          <t>left</t>
        </is>
      </c>
      <c r="I19" t="inlineStr">
        <is>
          <t>forward</t>
        </is>
      </c>
      <c r="J19" t="inlineStr">
        <is>
          <t>neutral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AO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left</t>
        </is>
      </c>
      <c r="I20" t="inlineStr">
        <is>
          <t>forward</t>
        </is>
      </c>
      <c r="J20" t="inlineStr">
        <is>
          <t>neutral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AO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forward</t>
        </is>
      </c>
      <c r="J21" t="inlineStr">
        <is>
          <t>neutral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FO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forward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FO</t>
        </is>
      </c>
      <c r="D3" t="n">
        <v>1</v>
      </c>
      <c r="E3" t="inlineStr">
        <is>
          <t>S03</t>
        </is>
      </c>
      <c r="F3" t="inlineStr">
        <is>
          <t>Found Object</t>
        </is>
      </c>
      <c r="G3" t="inlineStr">
        <is>
          <t>NaN</t>
        </is>
      </c>
      <c r="H3" t="inlineStr">
        <is>
          <t>neutral</t>
        </is>
      </c>
      <c r="I3" t="inlineStr">
        <is>
          <t>forward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forward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neutral</t>
        </is>
      </c>
      <c r="I5" t="inlineStr">
        <is>
          <t>forward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FO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neutral</t>
        </is>
      </c>
      <c r="I6" t="inlineStr">
        <is>
          <t>forward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neutral</t>
        </is>
      </c>
      <c r="I7" t="inlineStr">
        <is>
          <t>forward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neutral</t>
        </is>
      </c>
      <c r="I8" t="inlineStr">
        <is>
          <t>forward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FO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neutral</t>
        </is>
      </c>
      <c r="I9" t="inlineStr">
        <is>
          <t>forward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FO</t>
        </is>
      </c>
      <c r="D10" t="n">
        <v>8</v>
      </c>
      <c r="E10" t="inlineStr">
        <is>
          <t>S06</t>
        </is>
      </c>
      <c r="F10" t="inlineStr">
        <is>
          <t>Unsure</t>
        </is>
      </c>
      <c r="G10" t="inlineStr">
        <is>
          <t>NaN</t>
        </is>
      </c>
      <c r="H10" t="inlineStr">
        <is>
          <t>neutral</t>
        </is>
      </c>
      <c r="I10" t="inlineStr">
        <is>
          <t>forward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neutral</t>
        </is>
      </c>
      <c r="I11" t="inlineStr">
        <is>
          <t>forward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neutral</t>
        </is>
      </c>
      <c r="I12" t="inlineStr">
        <is>
          <t>forward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FO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neutral</t>
        </is>
      </c>
      <c r="I13" t="inlineStr">
        <is>
          <t>forward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FO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neutral</t>
        </is>
      </c>
      <c r="I14" t="inlineStr">
        <is>
          <t>forward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FO</t>
        </is>
      </c>
      <c r="D15" t="n">
        <v>13</v>
      </c>
      <c r="E15" t="inlineStr">
        <is>
          <t>S03</t>
        </is>
      </c>
      <c r="F15" t="inlineStr">
        <is>
          <t>Found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forward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neutral</t>
        </is>
      </c>
      <c r="I16" t="inlineStr">
        <is>
          <t>forward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neutral</t>
        </is>
      </c>
      <c r="I17" t="inlineStr">
        <is>
          <t>forward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FO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neutral</t>
        </is>
      </c>
      <c r="I18" t="inlineStr">
        <is>
          <t>forward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FO</t>
        </is>
      </c>
      <c r="D19" t="n">
        <v>17</v>
      </c>
      <c r="E19" t="inlineStr">
        <is>
          <t>S03</t>
        </is>
      </c>
      <c r="F19" t="inlineStr">
        <is>
          <t>Found Object</t>
        </is>
      </c>
      <c r="G19" t="inlineStr">
        <is>
          <t>NaN</t>
        </is>
      </c>
      <c r="H19" t="inlineStr">
        <is>
          <t>neutral</t>
        </is>
      </c>
      <c r="I19" t="inlineStr">
        <is>
          <t>forward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FO</t>
        </is>
      </c>
      <c r="D20" t="n">
        <v>18</v>
      </c>
      <c r="E20" t="inlineStr">
        <is>
          <t>S03</t>
        </is>
      </c>
      <c r="F20" t="inlineStr">
        <is>
          <t>Found Object</t>
        </is>
      </c>
      <c r="G20" t="inlineStr">
        <is>
          <t>NaN</t>
        </is>
      </c>
      <c r="H20" t="inlineStr">
        <is>
          <t>neutral</t>
        </is>
      </c>
      <c r="I20" t="inlineStr">
        <is>
          <t>forward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FO</t>
        </is>
      </c>
      <c r="D21" t="n">
        <v>19</v>
      </c>
      <c r="E21" t="inlineStr">
        <is>
          <t>S06</t>
        </is>
      </c>
      <c r="F21" t="inlineStr">
        <is>
          <t>Unsure</t>
        </is>
      </c>
      <c r="G21" t="inlineStr">
        <is>
          <t>NaN</t>
        </is>
      </c>
      <c r="H21" t="inlineStr">
        <is>
          <t>neutral</t>
        </is>
      </c>
      <c r="I21" t="inlineStr">
        <is>
          <t>forward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NH</t>
        </is>
      </c>
      <c r="D2" t="n">
        <v>0</v>
      </c>
      <c r="E2" t="inlineStr">
        <is>
          <t>S01</t>
        </is>
      </c>
      <c r="F2" t="inlineStr">
        <is>
          <t>Waiting for Input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neutral</t>
        </is>
      </c>
      <c r="K2" t="inlineStr">
        <is>
          <t>high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neutral</t>
        </is>
      </c>
      <c r="K3" t="inlineStr">
        <is>
          <t>high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NH</t>
        </is>
      </c>
      <c r="D4" t="n">
        <v>2</v>
      </c>
      <c r="E4" t="inlineStr">
        <is>
          <t>S04</t>
        </is>
      </c>
      <c r="F4" t="inlineStr">
        <is>
          <t>Needs Help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neutral</t>
        </is>
      </c>
      <c r="K4" t="inlineStr">
        <is>
          <t>high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NH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neutral</t>
        </is>
      </c>
      <c r="K5" t="inlineStr">
        <is>
          <t>high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NH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neutral</t>
        </is>
      </c>
      <c r="K6" t="inlineStr">
        <is>
          <t>high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NH</t>
        </is>
      </c>
      <c r="D7" t="n">
        <v>5</v>
      </c>
      <c r="E7" t="inlineStr">
        <is>
          <t>S06</t>
        </is>
      </c>
      <c r="F7" t="inlineStr">
        <is>
          <t>Unsure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neutral</t>
        </is>
      </c>
      <c r="K7" t="inlineStr">
        <is>
          <t>high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NH</t>
        </is>
      </c>
      <c r="D8" t="n">
        <v>6</v>
      </c>
      <c r="E8" t="inlineStr">
        <is>
          <t>S01</t>
        </is>
      </c>
      <c r="F8" t="inlineStr">
        <is>
          <t>Waiting for Input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neutral</t>
        </is>
      </c>
      <c r="K8" t="inlineStr">
        <is>
          <t>high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NH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neutral</t>
        </is>
      </c>
      <c r="K9" t="inlineStr">
        <is>
          <t>high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NH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neutral</t>
        </is>
      </c>
      <c r="K10" t="inlineStr">
        <is>
          <t>high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NH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neutral</t>
        </is>
      </c>
      <c r="K11" t="inlineStr">
        <is>
          <t>high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NH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neutral</t>
        </is>
      </c>
      <c r="K12" t="inlineStr">
        <is>
          <t>high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neutral</t>
        </is>
      </c>
      <c r="K13" t="inlineStr">
        <is>
          <t>high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NH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neutral</t>
        </is>
      </c>
      <c r="K14" t="inlineStr">
        <is>
          <t>high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NH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neutral</t>
        </is>
      </c>
      <c r="K15" t="inlineStr">
        <is>
          <t>high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NH</t>
        </is>
      </c>
      <c r="D16" t="n">
        <v>14</v>
      </c>
      <c r="E16" t="inlineStr">
        <is>
          <t>S06</t>
        </is>
      </c>
      <c r="F16" t="inlineStr">
        <is>
          <t>Unsure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neutral</t>
        </is>
      </c>
      <c r="K16" t="inlineStr">
        <is>
          <t>high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NH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neutral</t>
        </is>
      </c>
      <c r="K17" t="inlineStr">
        <is>
          <t>high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NH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neutral</t>
        </is>
      </c>
      <c r="K18" t="inlineStr">
        <is>
          <t>high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NH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neutral</t>
        </is>
      </c>
      <c r="K19" t="inlineStr">
        <is>
          <t>high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NH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neutral</t>
        </is>
      </c>
      <c r="K20" t="inlineStr">
        <is>
          <t>high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NH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neutral</t>
        </is>
      </c>
      <c r="K21" t="inlineStr">
        <is>
          <t>high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HUM</t>
        </is>
      </c>
      <c r="C2" t="inlineStr">
        <is>
          <t>C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neutral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smooth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HUM</t>
        </is>
      </c>
      <c r="C3" t="inlineStr">
        <is>
          <t>C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neutral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smooth</t>
        </is>
      </c>
    </row>
    <row r="4">
      <c r="A4" t="inlineStr">
        <is>
          <t>gpt-5.1</t>
        </is>
      </c>
      <c r="B4" t="inlineStr">
        <is>
          <t>HUM</t>
        </is>
      </c>
      <c r="C4" t="inlineStr">
        <is>
          <t>C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neutral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smooth</t>
        </is>
      </c>
    </row>
    <row r="5">
      <c r="A5" t="inlineStr">
        <is>
          <t>gpt-5.1</t>
        </is>
      </c>
      <c r="B5" t="inlineStr">
        <is>
          <t>HUM</t>
        </is>
      </c>
      <c r="C5" t="inlineStr">
        <is>
          <t>C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neutral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smooth</t>
        </is>
      </c>
    </row>
    <row r="6">
      <c r="A6" t="inlineStr">
        <is>
          <t>gpt-5.1</t>
        </is>
      </c>
      <c r="B6" t="inlineStr">
        <is>
          <t>HUM</t>
        </is>
      </c>
      <c r="C6" t="inlineStr">
        <is>
          <t>C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neutral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smooth</t>
        </is>
      </c>
    </row>
    <row r="7">
      <c r="A7" t="inlineStr">
        <is>
          <t>gpt-5.1</t>
        </is>
      </c>
      <c r="B7" t="inlineStr">
        <is>
          <t>HUM</t>
        </is>
      </c>
      <c r="C7" t="inlineStr">
        <is>
          <t>C</t>
        </is>
      </c>
      <c r="D7" t="n">
        <v>5</v>
      </c>
      <c r="E7" t="inlineStr">
        <is>
          <t>S01</t>
        </is>
      </c>
      <c r="F7" t="inlineStr">
        <is>
          <t>Waiting for Input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neutral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smooth</t>
        </is>
      </c>
    </row>
    <row r="8">
      <c r="A8" t="inlineStr">
        <is>
          <t>gpt-5.1</t>
        </is>
      </c>
      <c r="B8" t="inlineStr">
        <is>
          <t>HUM</t>
        </is>
      </c>
      <c r="C8" t="inlineStr">
        <is>
          <t>C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neutral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smooth</t>
        </is>
      </c>
    </row>
    <row r="9">
      <c r="A9" t="inlineStr">
        <is>
          <t>gpt-5.1</t>
        </is>
      </c>
      <c r="B9" t="inlineStr">
        <is>
          <t>HUM</t>
        </is>
      </c>
      <c r="C9" t="inlineStr">
        <is>
          <t>C</t>
        </is>
      </c>
      <c r="D9" t="n">
        <v>7</v>
      </c>
      <c r="E9" t="inlineStr">
        <is>
          <t>S01</t>
        </is>
      </c>
      <c r="F9" t="inlineStr">
        <is>
          <t>Waiting for Input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neutral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smooth</t>
        </is>
      </c>
    </row>
    <row r="10">
      <c r="A10" t="inlineStr">
        <is>
          <t>gpt-5.1</t>
        </is>
      </c>
      <c r="B10" t="inlineStr">
        <is>
          <t>HUM</t>
        </is>
      </c>
      <c r="C10" t="inlineStr">
        <is>
          <t>C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neutral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smooth</t>
        </is>
      </c>
    </row>
    <row r="11">
      <c r="A11" t="inlineStr">
        <is>
          <t>gpt-5.1</t>
        </is>
      </c>
      <c r="B11" t="inlineStr">
        <is>
          <t>HUM</t>
        </is>
      </c>
      <c r="C11" t="inlineStr">
        <is>
          <t>C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neutral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smooth</t>
        </is>
      </c>
    </row>
    <row r="12">
      <c r="A12" t="inlineStr">
        <is>
          <t>gpt-5.1</t>
        </is>
      </c>
      <c r="B12" t="inlineStr">
        <is>
          <t>HUM</t>
        </is>
      </c>
      <c r="C12" t="inlineStr">
        <is>
          <t>C</t>
        </is>
      </c>
      <c r="D12" t="n">
        <v>10</v>
      </c>
      <c r="E12" t="inlineStr">
        <is>
          <t>S06</t>
        </is>
      </c>
      <c r="F12" t="inlineStr">
        <is>
          <t>Unsure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neutral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smooth</t>
        </is>
      </c>
    </row>
    <row r="13">
      <c r="A13" t="inlineStr">
        <is>
          <t>gpt-5.1</t>
        </is>
      </c>
      <c r="B13" t="inlineStr">
        <is>
          <t>HUM</t>
        </is>
      </c>
      <c r="C13" t="inlineStr">
        <is>
          <t>C</t>
        </is>
      </c>
      <c r="D13" t="n">
        <v>11</v>
      </c>
      <c r="E13" t="inlineStr">
        <is>
          <t>S02</t>
        </is>
      </c>
      <c r="F13" t="inlineStr">
        <is>
          <t>Analyzing Object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neutral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smooth</t>
        </is>
      </c>
    </row>
    <row r="14">
      <c r="A14" t="inlineStr">
        <is>
          <t>gpt-5.1</t>
        </is>
      </c>
      <c r="B14" t="inlineStr">
        <is>
          <t>HUM</t>
        </is>
      </c>
      <c r="C14" t="inlineStr">
        <is>
          <t>C</t>
        </is>
      </c>
      <c r="D14" t="n">
        <v>12</v>
      </c>
      <c r="E14" t="inlineStr">
        <is>
          <t>S01</t>
        </is>
      </c>
      <c r="F14" t="inlineStr">
        <is>
          <t>Waiting for Input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neutral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smooth</t>
        </is>
      </c>
    </row>
    <row r="15">
      <c r="A15" t="inlineStr">
        <is>
          <t>gpt-5.1</t>
        </is>
      </c>
      <c r="B15" t="inlineStr">
        <is>
          <t>HUM</t>
        </is>
      </c>
      <c r="C15" t="inlineStr">
        <is>
          <t>C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neutral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smooth</t>
        </is>
      </c>
    </row>
    <row r="16">
      <c r="A16" t="inlineStr">
        <is>
          <t>gpt-5.1</t>
        </is>
      </c>
      <c r="B16" t="inlineStr">
        <is>
          <t>HUM</t>
        </is>
      </c>
      <c r="C16" t="inlineStr">
        <is>
          <t>C</t>
        </is>
      </c>
      <c r="D16" t="n">
        <v>14</v>
      </c>
      <c r="E16" t="inlineStr">
        <is>
          <t>S01</t>
        </is>
      </c>
      <c r="F16" t="inlineStr">
        <is>
          <t>Waiting for Input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neutral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smooth</t>
        </is>
      </c>
    </row>
    <row r="17">
      <c r="A17" t="inlineStr">
        <is>
          <t>gpt-5.1</t>
        </is>
      </c>
      <c r="B17" t="inlineStr">
        <is>
          <t>HUM</t>
        </is>
      </c>
      <c r="C17" t="inlineStr">
        <is>
          <t>C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neutral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smooth</t>
        </is>
      </c>
    </row>
    <row r="18">
      <c r="A18" t="inlineStr">
        <is>
          <t>gpt-5.1</t>
        </is>
      </c>
      <c r="B18" t="inlineStr">
        <is>
          <t>HUM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neutral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smooth</t>
        </is>
      </c>
    </row>
    <row r="19">
      <c r="A19" t="inlineStr">
        <is>
          <t>gpt-5.1</t>
        </is>
      </c>
      <c r="B19" t="inlineStr">
        <is>
          <t>HUM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neutral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smooth</t>
        </is>
      </c>
    </row>
    <row r="20">
      <c r="A20" t="inlineStr">
        <is>
          <t>gpt-5.1</t>
        </is>
      </c>
      <c r="B20" t="inlineStr">
        <is>
          <t>HUM</t>
        </is>
      </c>
      <c r="C20" t="inlineStr">
        <is>
          <t>C</t>
        </is>
      </c>
      <c r="D20" t="n">
        <v>18</v>
      </c>
      <c r="E20" t="inlineStr">
        <is>
          <t>S01</t>
        </is>
      </c>
      <c r="F20" t="inlineStr">
        <is>
          <t>Waiting for Input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neutral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smooth</t>
        </is>
      </c>
    </row>
    <row r="21">
      <c r="A21" t="inlineStr">
        <is>
          <t>gpt-5.1</t>
        </is>
      </c>
      <c r="B21" t="inlineStr">
        <is>
          <t>HUM</t>
        </is>
      </c>
      <c r="C21" t="inlineStr">
        <is>
          <t>C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neutral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smooth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WFI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right</t>
        </is>
      </c>
      <c r="I2" t="inlineStr">
        <is>
          <t>neutral</t>
        </is>
      </c>
      <c r="J2" t="inlineStr">
        <is>
          <t>neutral</t>
        </is>
      </c>
      <c r="K2" t="inlineStr">
        <is>
          <t>high</t>
        </is>
      </c>
      <c r="L2" t="inlineStr">
        <is>
          <t>object</t>
        </is>
      </c>
      <c r="M2" t="inlineStr">
        <is>
          <t>long</t>
        </is>
      </c>
      <c r="N2" t="inlineStr">
        <is>
          <t>slow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WFI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right</t>
        </is>
      </c>
      <c r="I3" t="inlineStr">
        <is>
          <t>neutral</t>
        </is>
      </c>
      <c r="J3" t="inlineStr">
        <is>
          <t>neutral</t>
        </is>
      </c>
      <c r="K3" t="inlineStr">
        <is>
          <t>high</t>
        </is>
      </c>
      <c r="L3" t="inlineStr">
        <is>
          <t>object</t>
        </is>
      </c>
      <c r="M3" t="inlineStr">
        <is>
          <t>long</t>
        </is>
      </c>
      <c r="N3" t="inlineStr">
        <is>
          <t>slow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WFI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right</t>
        </is>
      </c>
      <c r="I4" t="inlineStr">
        <is>
          <t>neutral</t>
        </is>
      </c>
      <c r="J4" t="inlineStr">
        <is>
          <t>neutral</t>
        </is>
      </c>
      <c r="K4" t="inlineStr">
        <is>
          <t>high</t>
        </is>
      </c>
      <c r="L4" t="inlineStr">
        <is>
          <t>object</t>
        </is>
      </c>
      <c r="M4" t="inlineStr">
        <is>
          <t>long</t>
        </is>
      </c>
      <c r="N4" t="inlineStr">
        <is>
          <t>slow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WFI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right</t>
        </is>
      </c>
      <c r="I5" t="inlineStr">
        <is>
          <t>neutral</t>
        </is>
      </c>
      <c r="J5" t="inlineStr">
        <is>
          <t>neutral</t>
        </is>
      </c>
      <c r="K5" t="inlineStr">
        <is>
          <t>high</t>
        </is>
      </c>
      <c r="L5" t="inlineStr">
        <is>
          <t>object</t>
        </is>
      </c>
      <c r="M5" t="inlineStr">
        <is>
          <t>long</t>
        </is>
      </c>
      <c r="N5" t="inlineStr">
        <is>
          <t>slow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WFI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right</t>
        </is>
      </c>
      <c r="I6" t="inlineStr">
        <is>
          <t>neutral</t>
        </is>
      </c>
      <c r="J6" t="inlineStr">
        <is>
          <t>neutral</t>
        </is>
      </c>
      <c r="K6" t="inlineStr">
        <is>
          <t>high</t>
        </is>
      </c>
      <c r="L6" t="inlineStr">
        <is>
          <t>object</t>
        </is>
      </c>
      <c r="M6" t="inlineStr">
        <is>
          <t>long</t>
        </is>
      </c>
      <c r="N6" t="inlineStr">
        <is>
          <t>slow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WFI</t>
        </is>
      </c>
      <c r="D7" t="n">
        <v>5</v>
      </c>
      <c r="E7" t="inlineStr">
        <is>
          <t>S03</t>
        </is>
      </c>
      <c r="F7" t="inlineStr">
        <is>
          <t>Found Object</t>
        </is>
      </c>
      <c r="G7" t="inlineStr">
        <is>
          <t>NaN</t>
        </is>
      </c>
      <c r="H7" t="inlineStr">
        <is>
          <t>right</t>
        </is>
      </c>
      <c r="I7" t="inlineStr">
        <is>
          <t>neutral</t>
        </is>
      </c>
      <c r="J7" t="inlineStr">
        <is>
          <t>neutral</t>
        </is>
      </c>
      <c r="K7" t="inlineStr">
        <is>
          <t>high</t>
        </is>
      </c>
      <c r="L7" t="inlineStr">
        <is>
          <t>object</t>
        </is>
      </c>
      <c r="M7" t="inlineStr">
        <is>
          <t>long</t>
        </is>
      </c>
      <c r="N7" t="inlineStr">
        <is>
          <t>slow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WFI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right</t>
        </is>
      </c>
      <c r="I8" t="inlineStr">
        <is>
          <t>neutral</t>
        </is>
      </c>
      <c r="J8" t="inlineStr">
        <is>
          <t>neutral</t>
        </is>
      </c>
      <c r="K8" t="inlineStr">
        <is>
          <t>high</t>
        </is>
      </c>
      <c r="L8" t="inlineStr">
        <is>
          <t>object</t>
        </is>
      </c>
      <c r="M8" t="inlineStr">
        <is>
          <t>long</t>
        </is>
      </c>
      <c r="N8" t="inlineStr">
        <is>
          <t>slow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WFI</t>
        </is>
      </c>
      <c r="D9" t="n">
        <v>7</v>
      </c>
      <c r="E9" t="inlineStr">
        <is>
          <t>S02</t>
        </is>
      </c>
      <c r="F9" t="inlineStr">
        <is>
          <t>Analyzing Object</t>
        </is>
      </c>
      <c r="G9" t="inlineStr">
        <is>
          <t>NaN</t>
        </is>
      </c>
      <c r="H9" t="inlineStr">
        <is>
          <t>right</t>
        </is>
      </c>
      <c r="I9" t="inlineStr">
        <is>
          <t>neutral</t>
        </is>
      </c>
      <c r="J9" t="inlineStr">
        <is>
          <t>neutral</t>
        </is>
      </c>
      <c r="K9" t="inlineStr">
        <is>
          <t>high</t>
        </is>
      </c>
      <c r="L9" t="inlineStr">
        <is>
          <t>object</t>
        </is>
      </c>
      <c r="M9" t="inlineStr">
        <is>
          <t>long</t>
        </is>
      </c>
      <c r="N9" t="inlineStr">
        <is>
          <t>slow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WFI</t>
        </is>
      </c>
      <c r="D10" t="n">
        <v>8</v>
      </c>
      <c r="E10" t="inlineStr">
        <is>
          <t>S04</t>
        </is>
      </c>
      <c r="F10" t="inlineStr">
        <is>
          <t>Needs Help</t>
        </is>
      </c>
      <c r="G10" t="inlineStr">
        <is>
          <t>NaN</t>
        </is>
      </c>
      <c r="H10" t="inlineStr">
        <is>
          <t>right</t>
        </is>
      </c>
      <c r="I10" t="inlineStr">
        <is>
          <t>neutral</t>
        </is>
      </c>
      <c r="J10" t="inlineStr">
        <is>
          <t>neutral</t>
        </is>
      </c>
      <c r="K10" t="inlineStr">
        <is>
          <t>high</t>
        </is>
      </c>
      <c r="L10" t="inlineStr">
        <is>
          <t>object</t>
        </is>
      </c>
      <c r="M10" t="inlineStr">
        <is>
          <t>long</t>
        </is>
      </c>
      <c r="N10" t="inlineStr">
        <is>
          <t>slow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WFI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right</t>
        </is>
      </c>
      <c r="I11" t="inlineStr">
        <is>
          <t>neutral</t>
        </is>
      </c>
      <c r="J11" t="inlineStr">
        <is>
          <t>neutral</t>
        </is>
      </c>
      <c r="K11" t="inlineStr">
        <is>
          <t>high</t>
        </is>
      </c>
      <c r="L11" t="inlineStr">
        <is>
          <t>object</t>
        </is>
      </c>
      <c r="M11" t="inlineStr">
        <is>
          <t>long</t>
        </is>
      </c>
      <c r="N11" t="inlineStr">
        <is>
          <t>slow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WFI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right</t>
        </is>
      </c>
      <c r="I12" t="inlineStr">
        <is>
          <t>neutral</t>
        </is>
      </c>
      <c r="J12" t="inlineStr">
        <is>
          <t>neutral</t>
        </is>
      </c>
      <c r="K12" t="inlineStr">
        <is>
          <t>high</t>
        </is>
      </c>
      <c r="L12" t="inlineStr">
        <is>
          <t>object</t>
        </is>
      </c>
      <c r="M12" t="inlineStr">
        <is>
          <t>long</t>
        </is>
      </c>
      <c r="N12" t="inlineStr">
        <is>
          <t>slow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WFI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right</t>
        </is>
      </c>
      <c r="I13" t="inlineStr">
        <is>
          <t>neutral</t>
        </is>
      </c>
      <c r="J13" t="inlineStr">
        <is>
          <t>neutral</t>
        </is>
      </c>
      <c r="K13" t="inlineStr">
        <is>
          <t>high</t>
        </is>
      </c>
      <c r="L13" t="inlineStr">
        <is>
          <t>object</t>
        </is>
      </c>
      <c r="M13" t="inlineStr">
        <is>
          <t>long</t>
        </is>
      </c>
      <c r="N13" t="inlineStr">
        <is>
          <t>slow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WFI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right</t>
        </is>
      </c>
      <c r="I14" t="inlineStr">
        <is>
          <t>neutral</t>
        </is>
      </c>
      <c r="J14" t="inlineStr">
        <is>
          <t>neutral</t>
        </is>
      </c>
      <c r="K14" t="inlineStr">
        <is>
          <t>high</t>
        </is>
      </c>
      <c r="L14" t="inlineStr">
        <is>
          <t>object</t>
        </is>
      </c>
      <c r="M14" t="inlineStr">
        <is>
          <t>long</t>
        </is>
      </c>
      <c r="N14" t="inlineStr">
        <is>
          <t>slow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WFI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right</t>
        </is>
      </c>
      <c r="I15" t="inlineStr">
        <is>
          <t>neutral</t>
        </is>
      </c>
      <c r="J15" t="inlineStr">
        <is>
          <t>neutral</t>
        </is>
      </c>
      <c r="K15" t="inlineStr">
        <is>
          <t>high</t>
        </is>
      </c>
      <c r="L15" t="inlineStr">
        <is>
          <t>object</t>
        </is>
      </c>
      <c r="M15" t="inlineStr">
        <is>
          <t>long</t>
        </is>
      </c>
      <c r="N15" t="inlineStr">
        <is>
          <t>slow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WFI</t>
        </is>
      </c>
      <c r="D16" t="n">
        <v>14</v>
      </c>
      <c r="E16" t="inlineStr">
        <is>
          <t>S05</t>
        </is>
      </c>
      <c r="F16" t="inlineStr">
        <is>
          <t>Confused</t>
        </is>
      </c>
      <c r="G16" t="inlineStr">
        <is>
          <t>NaN</t>
        </is>
      </c>
      <c r="H16" t="inlineStr">
        <is>
          <t>right</t>
        </is>
      </c>
      <c r="I16" t="inlineStr">
        <is>
          <t>neutral</t>
        </is>
      </c>
      <c r="J16" t="inlineStr">
        <is>
          <t>neutral</t>
        </is>
      </c>
      <c r="K16" t="inlineStr">
        <is>
          <t>high</t>
        </is>
      </c>
      <c r="L16" t="inlineStr">
        <is>
          <t>object</t>
        </is>
      </c>
      <c r="M16" t="inlineStr">
        <is>
          <t>long</t>
        </is>
      </c>
      <c r="N16" t="inlineStr">
        <is>
          <t>slow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WFI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right</t>
        </is>
      </c>
      <c r="I17" t="inlineStr">
        <is>
          <t>neutral</t>
        </is>
      </c>
      <c r="J17" t="inlineStr">
        <is>
          <t>neutral</t>
        </is>
      </c>
      <c r="K17" t="inlineStr">
        <is>
          <t>high</t>
        </is>
      </c>
      <c r="L17" t="inlineStr">
        <is>
          <t>object</t>
        </is>
      </c>
      <c r="M17" t="inlineStr">
        <is>
          <t>long</t>
        </is>
      </c>
      <c r="N17" t="inlineStr">
        <is>
          <t>slow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WFI</t>
        </is>
      </c>
      <c r="D18" t="n">
        <v>16</v>
      </c>
      <c r="E18" t="inlineStr">
        <is>
          <t>S04</t>
        </is>
      </c>
      <c r="F18" t="inlineStr">
        <is>
          <t>Needs Help</t>
        </is>
      </c>
      <c r="G18" t="inlineStr">
        <is>
          <t>NaN</t>
        </is>
      </c>
      <c r="H18" t="inlineStr">
        <is>
          <t>right</t>
        </is>
      </c>
      <c r="I18" t="inlineStr">
        <is>
          <t>neutral</t>
        </is>
      </c>
      <c r="J18" t="inlineStr">
        <is>
          <t>neutral</t>
        </is>
      </c>
      <c r="K18" t="inlineStr">
        <is>
          <t>high</t>
        </is>
      </c>
      <c r="L18" t="inlineStr">
        <is>
          <t>object</t>
        </is>
      </c>
      <c r="M18" t="inlineStr">
        <is>
          <t>long</t>
        </is>
      </c>
      <c r="N18" t="inlineStr">
        <is>
          <t>slow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WFI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right</t>
        </is>
      </c>
      <c r="I19" t="inlineStr">
        <is>
          <t>neutral</t>
        </is>
      </c>
      <c r="J19" t="inlineStr">
        <is>
          <t>neutral</t>
        </is>
      </c>
      <c r="K19" t="inlineStr">
        <is>
          <t>high</t>
        </is>
      </c>
      <c r="L19" t="inlineStr">
        <is>
          <t>object</t>
        </is>
      </c>
      <c r="M19" t="inlineStr">
        <is>
          <t>long</t>
        </is>
      </c>
      <c r="N19" t="inlineStr">
        <is>
          <t>slow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WFI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right</t>
        </is>
      </c>
      <c r="I20" t="inlineStr">
        <is>
          <t>neutral</t>
        </is>
      </c>
      <c r="J20" t="inlineStr">
        <is>
          <t>neutral</t>
        </is>
      </c>
      <c r="K20" t="inlineStr">
        <is>
          <t>high</t>
        </is>
      </c>
      <c r="L20" t="inlineStr">
        <is>
          <t>object</t>
        </is>
      </c>
      <c r="M20" t="inlineStr">
        <is>
          <t>long</t>
        </is>
      </c>
      <c r="N20" t="inlineStr">
        <is>
          <t>slow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WFI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right</t>
        </is>
      </c>
      <c r="I21" t="inlineStr">
        <is>
          <t>neutral</t>
        </is>
      </c>
      <c r="J21" t="inlineStr">
        <is>
          <t>neutral</t>
        </is>
      </c>
      <c r="K21" t="inlineStr">
        <is>
          <t>high</t>
        </is>
      </c>
      <c r="L21" t="inlineStr">
        <is>
          <t>object</t>
        </is>
      </c>
      <c r="M21" t="inlineStr">
        <is>
          <t>long</t>
        </is>
      </c>
      <c r="N21" t="inlineStr">
        <is>
          <t>slow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AO</t>
        </is>
      </c>
      <c r="D2" t="n">
        <v>0</v>
      </c>
      <c r="E2" t="inlineStr">
        <is>
          <t>S02</t>
        </is>
      </c>
      <c r="F2" t="inlineStr">
        <is>
          <t>Analyzing Object</t>
        </is>
      </c>
      <c r="G2" t="inlineStr">
        <is>
          <t>NaN</t>
        </is>
      </c>
      <c r="H2" t="inlineStr">
        <is>
          <t>neutral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long</t>
        </is>
      </c>
      <c r="N2" t="inlineStr">
        <is>
          <t>medium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AO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neutral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long</t>
        </is>
      </c>
      <c r="N3" t="inlineStr">
        <is>
          <t>medium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AO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neutral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long</t>
        </is>
      </c>
      <c r="N4" t="inlineStr">
        <is>
          <t>medium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AO</t>
        </is>
      </c>
      <c r="D5" t="n">
        <v>3</v>
      </c>
      <c r="E5" t="inlineStr">
        <is>
          <t>S06</t>
        </is>
      </c>
      <c r="F5" t="inlineStr">
        <is>
          <t>Unsure</t>
        </is>
      </c>
      <c r="G5" t="inlineStr">
        <is>
          <t>NaN</t>
        </is>
      </c>
      <c r="H5" t="inlineStr">
        <is>
          <t>neutral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long</t>
        </is>
      </c>
      <c r="N5" t="inlineStr">
        <is>
          <t>medium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AO</t>
        </is>
      </c>
      <c r="D6" t="n">
        <v>4</v>
      </c>
      <c r="E6" t="inlineStr">
        <is>
          <t>S04</t>
        </is>
      </c>
      <c r="F6" t="inlineStr">
        <is>
          <t>Needs Help</t>
        </is>
      </c>
      <c r="G6" t="inlineStr">
        <is>
          <t>NaN</t>
        </is>
      </c>
      <c r="H6" t="inlineStr">
        <is>
          <t>neutral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long</t>
        </is>
      </c>
      <c r="N6" t="inlineStr">
        <is>
          <t>medium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AO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neutral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long</t>
        </is>
      </c>
      <c r="N7" t="inlineStr">
        <is>
          <t>medium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AO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neutral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long</t>
        </is>
      </c>
      <c r="N8" t="inlineStr">
        <is>
          <t>medium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AO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neutral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long</t>
        </is>
      </c>
      <c r="N9" t="inlineStr">
        <is>
          <t>medium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AO</t>
        </is>
      </c>
      <c r="D10" t="n">
        <v>8</v>
      </c>
      <c r="E10" t="inlineStr">
        <is>
          <t>S01</t>
        </is>
      </c>
      <c r="F10" t="inlineStr">
        <is>
          <t>Waiting for Input</t>
        </is>
      </c>
      <c r="G10" t="inlineStr">
        <is>
          <t>NaN</t>
        </is>
      </c>
      <c r="H10" t="inlineStr">
        <is>
          <t>neutral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long</t>
        </is>
      </c>
      <c r="N10" t="inlineStr">
        <is>
          <t>medium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AO</t>
        </is>
      </c>
      <c r="D11" t="n">
        <v>9</v>
      </c>
      <c r="E11" t="inlineStr">
        <is>
          <t>S04</t>
        </is>
      </c>
      <c r="F11" t="inlineStr">
        <is>
          <t>Needs Help</t>
        </is>
      </c>
      <c r="G11" t="inlineStr">
        <is>
          <t>NaN</t>
        </is>
      </c>
      <c r="H11" t="inlineStr">
        <is>
          <t>neutral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long</t>
        </is>
      </c>
      <c r="N11" t="inlineStr">
        <is>
          <t>medium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AO</t>
        </is>
      </c>
      <c r="D12" t="n">
        <v>10</v>
      </c>
      <c r="E12" t="inlineStr">
        <is>
          <t>S01</t>
        </is>
      </c>
      <c r="F12" t="inlineStr">
        <is>
          <t>Waiting for Input</t>
        </is>
      </c>
      <c r="G12" t="inlineStr">
        <is>
          <t>NaN</t>
        </is>
      </c>
      <c r="H12" t="inlineStr">
        <is>
          <t>neutral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long</t>
        </is>
      </c>
      <c r="N12" t="inlineStr">
        <is>
          <t>medium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AO</t>
        </is>
      </c>
      <c r="D13" t="n">
        <v>11</v>
      </c>
      <c r="E13" t="inlineStr">
        <is>
          <t>S01</t>
        </is>
      </c>
      <c r="F13" t="inlineStr">
        <is>
          <t>Waiting for Input</t>
        </is>
      </c>
      <c r="G13" t="inlineStr">
        <is>
          <t>NaN</t>
        </is>
      </c>
      <c r="H13" t="inlineStr">
        <is>
          <t>neutral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long</t>
        </is>
      </c>
      <c r="N13" t="inlineStr">
        <is>
          <t>medium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AO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neutral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long</t>
        </is>
      </c>
      <c r="N14" t="inlineStr">
        <is>
          <t>medium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AO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neutral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long</t>
        </is>
      </c>
      <c r="N15" t="inlineStr">
        <is>
          <t>medium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AO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neutral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long</t>
        </is>
      </c>
      <c r="N16" t="inlineStr">
        <is>
          <t>medium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AO</t>
        </is>
      </c>
      <c r="D17" t="n">
        <v>15</v>
      </c>
      <c r="E17" t="inlineStr">
        <is>
          <t>S04</t>
        </is>
      </c>
      <c r="F17" t="inlineStr">
        <is>
          <t>Needs Help</t>
        </is>
      </c>
      <c r="G17" t="inlineStr">
        <is>
          <t>NaN</t>
        </is>
      </c>
      <c r="H17" t="inlineStr">
        <is>
          <t>neutral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long</t>
        </is>
      </c>
      <c r="N17" t="inlineStr">
        <is>
          <t>medium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AO</t>
        </is>
      </c>
      <c r="D18" t="n">
        <v>16</v>
      </c>
      <c r="E18" t="inlineStr">
        <is>
          <t>S01</t>
        </is>
      </c>
      <c r="F18" t="inlineStr">
        <is>
          <t>Waiting for Input</t>
        </is>
      </c>
      <c r="G18" t="inlineStr">
        <is>
          <t>NaN</t>
        </is>
      </c>
      <c r="H18" t="inlineStr">
        <is>
          <t>neutral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long</t>
        </is>
      </c>
      <c r="N18" t="inlineStr">
        <is>
          <t>medium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AO</t>
        </is>
      </c>
      <c r="D19" t="n">
        <v>17</v>
      </c>
      <c r="E19" t="inlineStr">
        <is>
          <t>NaN</t>
        </is>
      </c>
      <c r="F19" t="inlineStr">
        <is>
          <t>NaN</t>
        </is>
      </c>
      <c r="G19" t="inlineStr">
        <is>
          <t>NaN</t>
        </is>
      </c>
      <c r="H19" t="inlineStr">
        <is>
          <t>neutral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long</t>
        </is>
      </c>
      <c r="N19" t="inlineStr">
        <is>
          <t>medium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AO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neutral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long</t>
        </is>
      </c>
      <c r="N20" t="inlineStr">
        <is>
          <t>medium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AO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neutral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long</t>
        </is>
      </c>
      <c r="N21" t="inlineStr">
        <is>
          <t>medium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FO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left</t>
        </is>
      </c>
      <c r="I2" t="inlineStr">
        <is>
          <t>neutral</t>
        </is>
      </c>
      <c r="J2" t="inlineStr">
        <is>
          <t>left</t>
        </is>
      </c>
      <c r="K2" t="inlineStr">
        <is>
          <t>neutral</t>
        </is>
      </c>
      <c r="L2" t="inlineStr">
        <is>
          <t>object</t>
        </is>
      </c>
      <c r="M2" t="inlineStr">
        <is>
          <t>long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FO</t>
        </is>
      </c>
      <c r="D3" t="n">
        <v>1</v>
      </c>
      <c r="E3" t="inlineStr">
        <is>
          <t>S02</t>
        </is>
      </c>
      <c r="F3" t="inlineStr">
        <is>
          <t>Analyzing Object</t>
        </is>
      </c>
      <c r="G3" t="inlineStr">
        <is>
          <t>NaN</t>
        </is>
      </c>
      <c r="H3" t="inlineStr">
        <is>
          <t>left</t>
        </is>
      </c>
      <c r="I3" t="inlineStr">
        <is>
          <t>neutral</t>
        </is>
      </c>
      <c r="J3" t="inlineStr">
        <is>
          <t>left</t>
        </is>
      </c>
      <c r="K3" t="inlineStr">
        <is>
          <t>neutral</t>
        </is>
      </c>
      <c r="L3" t="inlineStr">
        <is>
          <t>object</t>
        </is>
      </c>
      <c r="M3" t="inlineStr">
        <is>
          <t>long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FO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left</t>
        </is>
      </c>
      <c r="I4" t="inlineStr">
        <is>
          <t>neutral</t>
        </is>
      </c>
      <c r="J4" t="inlineStr">
        <is>
          <t>left</t>
        </is>
      </c>
      <c r="K4" t="inlineStr">
        <is>
          <t>neutral</t>
        </is>
      </c>
      <c r="L4" t="inlineStr">
        <is>
          <t>object</t>
        </is>
      </c>
      <c r="M4" t="inlineStr">
        <is>
          <t>long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FO</t>
        </is>
      </c>
      <c r="D5" t="n">
        <v>3</v>
      </c>
      <c r="E5" t="inlineStr">
        <is>
          <t>S02</t>
        </is>
      </c>
      <c r="F5" t="inlineStr">
        <is>
          <t>Analyzing Object</t>
        </is>
      </c>
      <c r="G5" t="inlineStr">
        <is>
          <t>NaN</t>
        </is>
      </c>
      <c r="H5" t="inlineStr">
        <is>
          <t>left</t>
        </is>
      </c>
      <c r="I5" t="inlineStr">
        <is>
          <t>neutral</t>
        </is>
      </c>
      <c r="J5" t="inlineStr">
        <is>
          <t>left</t>
        </is>
      </c>
      <c r="K5" t="inlineStr">
        <is>
          <t>neutral</t>
        </is>
      </c>
      <c r="L5" t="inlineStr">
        <is>
          <t>object</t>
        </is>
      </c>
      <c r="M5" t="inlineStr">
        <is>
          <t>long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FO</t>
        </is>
      </c>
      <c r="D6" t="n">
        <v>4</v>
      </c>
      <c r="E6" t="inlineStr">
        <is>
          <t>S03</t>
        </is>
      </c>
      <c r="F6" t="inlineStr">
        <is>
          <t>Found Object</t>
        </is>
      </c>
      <c r="G6" t="inlineStr">
        <is>
          <t>NaN</t>
        </is>
      </c>
      <c r="H6" t="inlineStr">
        <is>
          <t>left</t>
        </is>
      </c>
      <c r="I6" t="inlineStr">
        <is>
          <t>neutral</t>
        </is>
      </c>
      <c r="J6" t="inlineStr">
        <is>
          <t>left</t>
        </is>
      </c>
      <c r="K6" t="inlineStr">
        <is>
          <t>neutral</t>
        </is>
      </c>
      <c r="L6" t="inlineStr">
        <is>
          <t>object</t>
        </is>
      </c>
      <c r="M6" t="inlineStr">
        <is>
          <t>long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FO</t>
        </is>
      </c>
      <c r="D7" t="n">
        <v>5</v>
      </c>
      <c r="E7" t="inlineStr">
        <is>
          <t>S02</t>
        </is>
      </c>
      <c r="F7" t="inlineStr">
        <is>
          <t>Analyzing Object</t>
        </is>
      </c>
      <c r="G7" t="inlineStr">
        <is>
          <t>NaN</t>
        </is>
      </c>
      <c r="H7" t="inlineStr">
        <is>
          <t>left</t>
        </is>
      </c>
      <c r="I7" t="inlineStr">
        <is>
          <t>neutral</t>
        </is>
      </c>
      <c r="J7" t="inlineStr">
        <is>
          <t>left</t>
        </is>
      </c>
      <c r="K7" t="inlineStr">
        <is>
          <t>neutral</t>
        </is>
      </c>
      <c r="L7" t="inlineStr">
        <is>
          <t>object</t>
        </is>
      </c>
      <c r="M7" t="inlineStr">
        <is>
          <t>long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FO</t>
        </is>
      </c>
      <c r="D8" t="n">
        <v>6</v>
      </c>
      <c r="E8" t="inlineStr">
        <is>
          <t>S02</t>
        </is>
      </c>
      <c r="F8" t="inlineStr">
        <is>
          <t>Analyzing Object</t>
        </is>
      </c>
      <c r="G8" t="inlineStr">
        <is>
          <t>NaN</t>
        </is>
      </c>
      <c r="H8" t="inlineStr">
        <is>
          <t>left</t>
        </is>
      </c>
      <c r="I8" t="inlineStr">
        <is>
          <t>neutral</t>
        </is>
      </c>
      <c r="J8" t="inlineStr">
        <is>
          <t>left</t>
        </is>
      </c>
      <c r="K8" t="inlineStr">
        <is>
          <t>neutral</t>
        </is>
      </c>
      <c r="L8" t="inlineStr">
        <is>
          <t>object</t>
        </is>
      </c>
      <c r="M8" t="inlineStr">
        <is>
          <t>long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FO</t>
        </is>
      </c>
      <c r="D9" t="n">
        <v>7</v>
      </c>
      <c r="E9" t="inlineStr">
        <is>
          <t>S05</t>
        </is>
      </c>
      <c r="F9" t="inlineStr">
        <is>
          <t>Confused</t>
        </is>
      </c>
      <c r="G9" t="inlineStr">
        <is>
          <t>NaN</t>
        </is>
      </c>
      <c r="H9" t="inlineStr">
        <is>
          <t>left</t>
        </is>
      </c>
      <c r="I9" t="inlineStr">
        <is>
          <t>neutral</t>
        </is>
      </c>
      <c r="J9" t="inlineStr">
        <is>
          <t>left</t>
        </is>
      </c>
      <c r="K9" t="inlineStr">
        <is>
          <t>neutral</t>
        </is>
      </c>
      <c r="L9" t="inlineStr">
        <is>
          <t>object</t>
        </is>
      </c>
      <c r="M9" t="inlineStr">
        <is>
          <t>long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FO</t>
        </is>
      </c>
      <c r="D10" t="n">
        <v>8</v>
      </c>
      <c r="E10" t="inlineStr">
        <is>
          <t>S03</t>
        </is>
      </c>
      <c r="F10" t="inlineStr">
        <is>
          <t>Found Object</t>
        </is>
      </c>
      <c r="G10" t="inlineStr">
        <is>
          <t>NaN</t>
        </is>
      </c>
      <c r="H10" t="inlineStr">
        <is>
          <t>left</t>
        </is>
      </c>
      <c r="I10" t="inlineStr">
        <is>
          <t>neutral</t>
        </is>
      </c>
      <c r="J10" t="inlineStr">
        <is>
          <t>left</t>
        </is>
      </c>
      <c r="K10" t="inlineStr">
        <is>
          <t>neutral</t>
        </is>
      </c>
      <c r="L10" t="inlineStr">
        <is>
          <t>object</t>
        </is>
      </c>
      <c r="M10" t="inlineStr">
        <is>
          <t>long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FO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left</t>
        </is>
      </c>
      <c r="I11" t="inlineStr">
        <is>
          <t>neutral</t>
        </is>
      </c>
      <c r="J11" t="inlineStr">
        <is>
          <t>left</t>
        </is>
      </c>
      <c r="K11" t="inlineStr">
        <is>
          <t>neutral</t>
        </is>
      </c>
      <c r="L11" t="inlineStr">
        <is>
          <t>object</t>
        </is>
      </c>
      <c r="M11" t="inlineStr">
        <is>
          <t>long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FO</t>
        </is>
      </c>
      <c r="D12" t="n">
        <v>10</v>
      </c>
      <c r="E12" t="inlineStr">
        <is>
          <t>S02</t>
        </is>
      </c>
      <c r="F12" t="inlineStr">
        <is>
          <t>Analyzing Object</t>
        </is>
      </c>
      <c r="G12" t="inlineStr">
        <is>
          <t>NaN</t>
        </is>
      </c>
      <c r="H12" t="inlineStr">
        <is>
          <t>left</t>
        </is>
      </c>
      <c r="I12" t="inlineStr">
        <is>
          <t>neutral</t>
        </is>
      </c>
      <c r="J12" t="inlineStr">
        <is>
          <t>left</t>
        </is>
      </c>
      <c r="K12" t="inlineStr">
        <is>
          <t>neutral</t>
        </is>
      </c>
      <c r="L12" t="inlineStr">
        <is>
          <t>object</t>
        </is>
      </c>
      <c r="M12" t="inlineStr">
        <is>
          <t>long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FO</t>
        </is>
      </c>
      <c r="D13" t="n">
        <v>11</v>
      </c>
      <c r="E13" t="inlineStr">
        <is>
          <t>S03</t>
        </is>
      </c>
      <c r="F13" t="inlineStr">
        <is>
          <t>Found Object</t>
        </is>
      </c>
      <c r="G13" t="inlineStr">
        <is>
          <t>NaN</t>
        </is>
      </c>
      <c r="H13" t="inlineStr">
        <is>
          <t>left</t>
        </is>
      </c>
      <c r="I13" t="inlineStr">
        <is>
          <t>neutral</t>
        </is>
      </c>
      <c r="J13" t="inlineStr">
        <is>
          <t>left</t>
        </is>
      </c>
      <c r="K13" t="inlineStr">
        <is>
          <t>neutral</t>
        </is>
      </c>
      <c r="L13" t="inlineStr">
        <is>
          <t>object</t>
        </is>
      </c>
      <c r="M13" t="inlineStr">
        <is>
          <t>long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FO</t>
        </is>
      </c>
      <c r="D14" t="n">
        <v>12</v>
      </c>
      <c r="E14" t="inlineStr">
        <is>
          <t>S04</t>
        </is>
      </c>
      <c r="F14" t="inlineStr">
        <is>
          <t>Needs Help</t>
        </is>
      </c>
      <c r="G14" t="inlineStr">
        <is>
          <t>NaN</t>
        </is>
      </c>
      <c r="H14" t="inlineStr">
        <is>
          <t>left</t>
        </is>
      </c>
      <c r="I14" t="inlineStr">
        <is>
          <t>neutral</t>
        </is>
      </c>
      <c r="J14" t="inlineStr">
        <is>
          <t>left</t>
        </is>
      </c>
      <c r="K14" t="inlineStr">
        <is>
          <t>neutral</t>
        </is>
      </c>
      <c r="L14" t="inlineStr">
        <is>
          <t>object</t>
        </is>
      </c>
      <c r="M14" t="inlineStr">
        <is>
          <t>long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FO</t>
        </is>
      </c>
      <c r="D15" t="n">
        <v>13</v>
      </c>
      <c r="E15" t="inlineStr">
        <is>
          <t>S02</t>
        </is>
      </c>
      <c r="F15" t="inlineStr">
        <is>
          <t>Analyzing Object</t>
        </is>
      </c>
      <c r="G15" t="inlineStr">
        <is>
          <t>NaN</t>
        </is>
      </c>
      <c r="H15" t="inlineStr">
        <is>
          <t>left</t>
        </is>
      </c>
      <c r="I15" t="inlineStr">
        <is>
          <t>neutral</t>
        </is>
      </c>
      <c r="J15" t="inlineStr">
        <is>
          <t>left</t>
        </is>
      </c>
      <c r="K15" t="inlineStr">
        <is>
          <t>neutral</t>
        </is>
      </c>
      <c r="L15" t="inlineStr">
        <is>
          <t>object</t>
        </is>
      </c>
      <c r="M15" t="inlineStr">
        <is>
          <t>long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FO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left</t>
        </is>
      </c>
      <c r="I16" t="inlineStr">
        <is>
          <t>neutral</t>
        </is>
      </c>
      <c r="J16" t="inlineStr">
        <is>
          <t>left</t>
        </is>
      </c>
      <c r="K16" t="inlineStr">
        <is>
          <t>neutral</t>
        </is>
      </c>
      <c r="L16" t="inlineStr">
        <is>
          <t>object</t>
        </is>
      </c>
      <c r="M16" t="inlineStr">
        <is>
          <t>long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FO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neutral</t>
        </is>
      </c>
      <c r="J17" t="inlineStr">
        <is>
          <t>left</t>
        </is>
      </c>
      <c r="K17" t="inlineStr">
        <is>
          <t>neutral</t>
        </is>
      </c>
      <c r="L17" t="inlineStr">
        <is>
          <t>object</t>
        </is>
      </c>
      <c r="M17" t="inlineStr">
        <is>
          <t>long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FO</t>
        </is>
      </c>
      <c r="D18" t="n">
        <v>16</v>
      </c>
      <c r="E18" t="inlineStr">
        <is>
          <t>S03</t>
        </is>
      </c>
      <c r="F18" t="inlineStr">
        <is>
          <t>Found Object</t>
        </is>
      </c>
      <c r="G18" t="inlineStr">
        <is>
          <t>NaN</t>
        </is>
      </c>
      <c r="H18" t="inlineStr">
        <is>
          <t>left</t>
        </is>
      </c>
      <c r="I18" t="inlineStr">
        <is>
          <t>neutral</t>
        </is>
      </c>
      <c r="J18" t="inlineStr">
        <is>
          <t>left</t>
        </is>
      </c>
      <c r="K18" t="inlineStr">
        <is>
          <t>neutral</t>
        </is>
      </c>
      <c r="L18" t="inlineStr">
        <is>
          <t>object</t>
        </is>
      </c>
      <c r="M18" t="inlineStr">
        <is>
          <t>long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FO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left</t>
        </is>
      </c>
      <c r="I19" t="inlineStr">
        <is>
          <t>neutral</t>
        </is>
      </c>
      <c r="J19" t="inlineStr">
        <is>
          <t>left</t>
        </is>
      </c>
      <c r="K19" t="inlineStr">
        <is>
          <t>neutral</t>
        </is>
      </c>
      <c r="L19" t="inlineStr">
        <is>
          <t>object</t>
        </is>
      </c>
      <c r="M19" t="inlineStr">
        <is>
          <t>long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FO</t>
        </is>
      </c>
      <c r="D20" t="n">
        <v>18</v>
      </c>
      <c r="E20" t="inlineStr">
        <is>
          <t>S04</t>
        </is>
      </c>
      <c r="F20" t="inlineStr">
        <is>
          <t>Needs Help</t>
        </is>
      </c>
      <c r="G20" t="inlineStr">
        <is>
          <t>NaN</t>
        </is>
      </c>
      <c r="H20" t="inlineStr">
        <is>
          <t>left</t>
        </is>
      </c>
      <c r="I20" t="inlineStr">
        <is>
          <t>neutral</t>
        </is>
      </c>
      <c r="J20" t="inlineStr">
        <is>
          <t>left</t>
        </is>
      </c>
      <c r="K20" t="inlineStr">
        <is>
          <t>neutral</t>
        </is>
      </c>
      <c r="L20" t="inlineStr">
        <is>
          <t>object</t>
        </is>
      </c>
      <c r="M20" t="inlineStr">
        <is>
          <t>long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FO</t>
        </is>
      </c>
      <c r="D21" t="n">
        <v>19</v>
      </c>
      <c r="E21" t="inlineStr">
        <is>
          <t>S03</t>
        </is>
      </c>
      <c r="F21" t="inlineStr">
        <is>
          <t>Found Object</t>
        </is>
      </c>
      <c r="G21" t="inlineStr">
        <is>
          <t>NaN</t>
        </is>
      </c>
      <c r="H21" t="inlineStr">
        <is>
          <t>left</t>
        </is>
      </c>
      <c r="I21" t="inlineStr">
        <is>
          <t>neutral</t>
        </is>
      </c>
      <c r="J21" t="inlineStr">
        <is>
          <t>left</t>
        </is>
      </c>
      <c r="K21" t="inlineStr">
        <is>
          <t>neutral</t>
        </is>
      </c>
      <c r="L21" t="inlineStr">
        <is>
          <t>object</t>
        </is>
      </c>
      <c r="M21" t="inlineStr">
        <is>
          <t>long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NH</t>
        </is>
      </c>
      <c r="D2" t="n">
        <v>0</v>
      </c>
      <c r="E2" t="inlineStr">
        <is>
          <t>S05</t>
        </is>
      </c>
      <c r="F2" t="inlineStr">
        <is>
          <t>Confused</t>
        </is>
      </c>
      <c r="G2" t="inlineStr">
        <is>
          <t>NaN</t>
        </is>
      </c>
      <c r="H2" t="inlineStr">
        <is>
          <t>right</t>
        </is>
      </c>
      <c r="I2" t="inlineStr">
        <is>
          <t>forward</t>
        </is>
      </c>
      <c r="J2" t="inlineStr">
        <is>
          <t>right</t>
        </is>
      </c>
      <c r="K2" t="inlineStr">
        <is>
          <t>high</t>
        </is>
      </c>
      <c r="L2" t="inlineStr">
        <is>
          <t>object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NH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right</t>
        </is>
      </c>
      <c r="I3" t="inlineStr">
        <is>
          <t>forward</t>
        </is>
      </c>
      <c r="J3" t="inlineStr">
        <is>
          <t>right</t>
        </is>
      </c>
      <c r="K3" t="inlineStr">
        <is>
          <t>high</t>
        </is>
      </c>
      <c r="L3" t="inlineStr">
        <is>
          <t>object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NH</t>
        </is>
      </c>
      <c r="D4" t="n">
        <v>2</v>
      </c>
      <c r="E4" t="inlineStr">
        <is>
          <t>S02</t>
        </is>
      </c>
      <c r="F4" t="inlineStr">
        <is>
          <t>Analyzing Object</t>
        </is>
      </c>
      <c r="G4" t="inlineStr">
        <is>
          <t>NaN</t>
        </is>
      </c>
      <c r="H4" t="inlineStr">
        <is>
          <t>right</t>
        </is>
      </c>
      <c r="I4" t="inlineStr">
        <is>
          <t>forward</t>
        </is>
      </c>
      <c r="J4" t="inlineStr">
        <is>
          <t>right</t>
        </is>
      </c>
      <c r="K4" t="inlineStr">
        <is>
          <t>high</t>
        </is>
      </c>
      <c r="L4" t="inlineStr">
        <is>
          <t>object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NH</t>
        </is>
      </c>
      <c r="D5" t="n">
        <v>3</v>
      </c>
      <c r="E5" t="inlineStr">
        <is>
          <t>S05</t>
        </is>
      </c>
      <c r="F5" t="inlineStr">
        <is>
          <t>Confused</t>
        </is>
      </c>
      <c r="G5" t="inlineStr">
        <is>
          <t>NaN</t>
        </is>
      </c>
      <c r="H5" t="inlineStr">
        <is>
          <t>right</t>
        </is>
      </c>
      <c r="I5" t="inlineStr">
        <is>
          <t>forward</t>
        </is>
      </c>
      <c r="J5" t="inlineStr">
        <is>
          <t>right</t>
        </is>
      </c>
      <c r="K5" t="inlineStr">
        <is>
          <t>high</t>
        </is>
      </c>
      <c r="L5" t="inlineStr">
        <is>
          <t>object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NH</t>
        </is>
      </c>
      <c r="D6" t="n">
        <v>4</v>
      </c>
      <c r="E6" t="inlineStr">
        <is>
          <t>S02</t>
        </is>
      </c>
      <c r="F6" t="inlineStr">
        <is>
          <t>Analyzing Object</t>
        </is>
      </c>
      <c r="G6" t="inlineStr">
        <is>
          <t>NaN</t>
        </is>
      </c>
      <c r="H6" t="inlineStr">
        <is>
          <t>right</t>
        </is>
      </c>
      <c r="I6" t="inlineStr">
        <is>
          <t>forward</t>
        </is>
      </c>
      <c r="J6" t="inlineStr">
        <is>
          <t>right</t>
        </is>
      </c>
      <c r="K6" t="inlineStr">
        <is>
          <t>high</t>
        </is>
      </c>
      <c r="L6" t="inlineStr">
        <is>
          <t>object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NH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right</t>
        </is>
      </c>
      <c r="I7" t="inlineStr">
        <is>
          <t>forward</t>
        </is>
      </c>
      <c r="J7" t="inlineStr">
        <is>
          <t>right</t>
        </is>
      </c>
      <c r="K7" t="inlineStr">
        <is>
          <t>high</t>
        </is>
      </c>
      <c r="L7" t="inlineStr">
        <is>
          <t>object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NH</t>
        </is>
      </c>
      <c r="D8" t="n">
        <v>6</v>
      </c>
      <c r="E8" t="inlineStr">
        <is>
          <t>S05</t>
        </is>
      </c>
      <c r="F8" t="inlineStr">
        <is>
          <t>Confused</t>
        </is>
      </c>
      <c r="G8" t="inlineStr">
        <is>
          <t>NaN</t>
        </is>
      </c>
      <c r="H8" t="inlineStr">
        <is>
          <t>right</t>
        </is>
      </c>
      <c r="I8" t="inlineStr">
        <is>
          <t>forward</t>
        </is>
      </c>
      <c r="J8" t="inlineStr">
        <is>
          <t>right</t>
        </is>
      </c>
      <c r="K8" t="inlineStr">
        <is>
          <t>high</t>
        </is>
      </c>
      <c r="L8" t="inlineStr">
        <is>
          <t>object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NH</t>
        </is>
      </c>
      <c r="D9" t="n">
        <v>7</v>
      </c>
      <c r="E9" t="inlineStr">
        <is>
          <t>S03</t>
        </is>
      </c>
      <c r="F9" t="inlineStr">
        <is>
          <t>Found Object</t>
        </is>
      </c>
      <c r="G9" t="inlineStr">
        <is>
          <t>NaN</t>
        </is>
      </c>
      <c r="H9" t="inlineStr">
        <is>
          <t>right</t>
        </is>
      </c>
      <c r="I9" t="inlineStr">
        <is>
          <t>forward</t>
        </is>
      </c>
      <c r="J9" t="inlineStr">
        <is>
          <t>right</t>
        </is>
      </c>
      <c r="K9" t="inlineStr">
        <is>
          <t>high</t>
        </is>
      </c>
      <c r="L9" t="inlineStr">
        <is>
          <t>object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NH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right</t>
        </is>
      </c>
      <c r="I10" t="inlineStr">
        <is>
          <t>forward</t>
        </is>
      </c>
      <c r="J10" t="inlineStr">
        <is>
          <t>right</t>
        </is>
      </c>
      <c r="K10" t="inlineStr">
        <is>
          <t>high</t>
        </is>
      </c>
      <c r="L10" t="inlineStr">
        <is>
          <t>object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NH</t>
        </is>
      </c>
      <c r="D11" t="n">
        <v>9</v>
      </c>
      <c r="E11" t="inlineStr">
        <is>
          <t>S02</t>
        </is>
      </c>
      <c r="F11" t="inlineStr">
        <is>
          <t>Analyzing Object</t>
        </is>
      </c>
      <c r="G11" t="inlineStr">
        <is>
          <t>NaN</t>
        </is>
      </c>
      <c r="H11" t="inlineStr">
        <is>
          <t>right</t>
        </is>
      </c>
      <c r="I11" t="inlineStr">
        <is>
          <t>forward</t>
        </is>
      </c>
      <c r="J11" t="inlineStr">
        <is>
          <t>right</t>
        </is>
      </c>
      <c r="K11" t="inlineStr">
        <is>
          <t>high</t>
        </is>
      </c>
      <c r="L11" t="inlineStr">
        <is>
          <t>object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NH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right</t>
        </is>
      </c>
      <c r="I12" t="inlineStr">
        <is>
          <t>forward</t>
        </is>
      </c>
      <c r="J12" t="inlineStr">
        <is>
          <t>right</t>
        </is>
      </c>
      <c r="K12" t="inlineStr">
        <is>
          <t>high</t>
        </is>
      </c>
      <c r="L12" t="inlineStr">
        <is>
          <t>object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NH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right</t>
        </is>
      </c>
      <c r="I13" t="inlineStr">
        <is>
          <t>forward</t>
        </is>
      </c>
      <c r="J13" t="inlineStr">
        <is>
          <t>right</t>
        </is>
      </c>
      <c r="K13" t="inlineStr">
        <is>
          <t>high</t>
        </is>
      </c>
      <c r="L13" t="inlineStr">
        <is>
          <t>object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NH</t>
        </is>
      </c>
      <c r="D14" t="n">
        <v>12</v>
      </c>
      <c r="E14" t="inlineStr">
        <is>
          <t>S02</t>
        </is>
      </c>
      <c r="F14" t="inlineStr">
        <is>
          <t>Analyzing Object</t>
        </is>
      </c>
      <c r="G14" t="inlineStr">
        <is>
          <t>NaN</t>
        </is>
      </c>
      <c r="H14" t="inlineStr">
        <is>
          <t>right</t>
        </is>
      </c>
      <c r="I14" t="inlineStr">
        <is>
          <t>forward</t>
        </is>
      </c>
      <c r="J14" t="inlineStr">
        <is>
          <t>right</t>
        </is>
      </c>
      <c r="K14" t="inlineStr">
        <is>
          <t>high</t>
        </is>
      </c>
      <c r="L14" t="inlineStr">
        <is>
          <t>object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NH</t>
        </is>
      </c>
      <c r="D15" t="n">
        <v>13</v>
      </c>
      <c r="E15" t="inlineStr">
        <is>
          <t>S04</t>
        </is>
      </c>
      <c r="F15" t="inlineStr">
        <is>
          <t>Needs Help</t>
        </is>
      </c>
      <c r="G15" t="inlineStr">
        <is>
          <t>NaN</t>
        </is>
      </c>
      <c r="H15" t="inlineStr">
        <is>
          <t>right</t>
        </is>
      </c>
      <c r="I15" t="inlineStr">
        <is>
          <t>forward</t>
        </is>
      </c>
      <c r="J15" t="inlineStr">
        <is>
          <t>right</t>
        </is>
      </c>
      <c r="K15" t="inlineStr">
        <is>
          <t>high</t>
        </is>
      </c>
      <c r="L15" t="inlineStr">
        <is>
          <t>object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NH</t>
        </is>
      </c>
      <c r="D16" t="n">
        <v>14</v>
      </c>
      <c r="E16" t="inlineStr">
        <is>
          <t>S02</t>
        </is>
      </c>
      <c r="F16" t="inlineStr">
        <is>
          <t>Analyzing Object</t>
        </is>
      </c>
      <c r="G16" t="inlineStr">
        <is>
          <t>NaN</t>
        </is>
      </c>
      <c r="H16" t="inlineStr">
        <is>
          <t>right</t>
        </is>
      </c>
      <c r="I16" t="inlineStr">
        <is>
          <t>forward</t>
        </is>
      </c>
      <c r="J16" t="inlineStr">
        <is>
          <t>right</t>
        </is>
      </c>
      <c r="K16" t="inlineStr">
        <is>
          <t>high</t>
        </is>
      </c>
      <c r="L16" t="inlineStr">
        <is>
          <t>object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NH</t>
        </is>
      </c>
      <c r="D17" t="n">
        <v>15</v>
      </c>
      <c r="E17" t="inlineStr">
        <is>
          <t>S05</t>
        </is>
      </c>
      <c r="F17" t="inlineStr">
        <is>
          <t>Confused</t>
        </is>
      </c>
      <c r="G17" t="inlineStr">
        <is>
          <t>NaN</t>
        </is>
      </c>
      <c r="H17" t="inlineStr">
        <is>
          <t>right</t>
        </is>
      </c>
      <c r="I17" t="inlineStr">
        <is>
          <t>forward</t>
        </is>
      </c>
      <c r="J17" t="inlineStr">
        <is>
          <t>right</t>
        </is>
      </c>
      <c r="K17" t="inlineStr">
        <is>
          <t>high</t>
        </is>
      </c>
      <c r="L17" t="inlineStr">
        <is>
          <t>object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NH</t>
        </is>
      </c>
      <c r="D18" t="n">
        <v>16</v>
      </c>
      <c r="E18" t="inlineStr">
        <is>
          <t>S02</t>
        </is>
      </c>
      <c r="F18" t="inlineStr">
        <is>
          <t>Analyzing Object</t>
        </is>
      </c>
      <c r="G18" t="inlineStr">
        <is>
          <t>NaN</t>
        </is>
      </c>
      <c r="H18" t="inlineStr">
        <is>
          <t>right</t>
        </is>
      </c>
      <c r="I18" t="inlineStr">
        <is>
          <t>forward</t>
        </is>
      </c>
      <c r="J18" t="inlineStr">
        <is>
          <t>right</t>
        </is>
      </c>
      <c r="K18" t="inlineStr">
        <is>
          <t>high</t>
        </is>
      </c>
      <c r="L18" t="inlineStr">
        <is>
          <t>object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NH</t>
        </is>
      </c>
      <c r="D19" t="n">
        <v>17</v>
      </c>
      <c r="E19" t="inlineStr">
        <is>
          <t>S02</t>
        </is>
      </c>
      <c r="F19" t="inlineStr">
        <is>
          <t>Analyzing Object</t>
        </is>
      </c>
      <c r="G19" t="inlineStr">
        <is>
          <t>NaN</t>
        </is>
      </c>
      <c r="H19" t="inlineStr">
        <is>
          <t>right</t>
        </is>
      </c>
      <c r="I19" t="inlineStr">
        <is>
          <t>forward</t>
        </is>
      </c>
      <c r="J19" t="inlineStr">
        <is>
          <t>right</t>
        </is>
      </c>
      <c r="K19" t="inlineStr">
        <is>
          <t>high</t>
        </is>
      </c>
      <c r="L19" t="inlineStr">
        <is>
          <t>object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NH</t>
        </is>
      </c>
      <c r="D20" t="n">
        <v>18</v>
      </c>
      <c r="E20" t="inlineStr">
        <is>
          <t>S02</t>
        </is>
      </c>
      <c r="F20" t="inlineStr">
        <is>
          <t>Analyzing Object</t>
        </is>
      </c>
      <c r="G20" t="inlineStr">
        <is>
          <t>NaN</t>
        </is>
      </c>
      <c r="H20" t="inlineStr">
        <is>
          <t>right</t>
        </is>
      </c>
      <c r="I20" t="inlineStr">
        <is>
          <t>forward</t>
        </is>
      </c>
      <c r="J20" t="inlineStr">
        <is>
          <t>right</t>
        </is>
      </c>
      <c r="K20" t="inlineStr">
        <is>
          <t>high</t>
        </is>
      </c>
      <c r="L20" t="inlineStr">
        <is>
          <t>object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NH</t>
        </is>
      </c>
      <c r="D21" t="n">
        <v>19</v>
      </c>
      <c r="E21" t="inlineStr">
        <is>
          <t>S02</t>
        </is>
      </c>
      <c r="F21" t="inlineStr">
        <is>
          <t>Analyzing Object</t>
        </is>
      </c>
      <c r="G21" t="inlineStr">
        <is>
          <t>NaN</t>
        </is>
      </c>
      <c r="H21" t="inlineStr">
        <is>
          <t>right</t>
        </is>
      </c>
      <c r="I21" t="inlineStr">
        <is>
          <t>forward</t>
        </is>
      </c>
      <c r="J21" t="inlineStr">
        <is>
          <t>right</t>
        </is>
      </c>
      <c r="K21" t="inlineStr">
        <is>
          <t>high</t>
        </is>
      </c>
      <c r="L21" t="inlineStr">
        <is>
          <t>object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study cond</t>
        </is>
      </c>
      <c r="C1" t="inlineStr">
        <is>
          <t>real state</t>
        </is>
      </c>
      <c r="D1" t="inlineStr">
        <is>
          <t>iteration</t>
        </is>
      </c>
      <c r="E1" t="inlineStr">
        <is>
          <t>state number</t>
        </is>
      </c>
      <c r="F1" t="inlineStr">
        <is>
          <t>state name</t>
        </is>
      </c>
      <c r="G1" t="inlineStr">
        <is>
          <t>justification</t>
        </is>
      </c>
      <c r="H1" t="inlineStr">
        <is>
          <t>P1 Tilt</t>
        </is>
      </c>
      <c r="I1" t="inlineStr">
        <is>
          <t>P2 Lean</t>
        </is>
      </c>
      <c r="J1" t="inlineStr">
        <is>
          <t>P3 Turn</t>
        </is>
      </c>
      <c r="K1" t="inlineStr">
        <is>
          <t>P4 Body Height</t>
        </is>
      </c>
      <c r="L1" t="inlineStr">
        <is>
          <t>P5 Direction</t>
        </is>
      </c>
      <c r="M1" t="inlineStr">
        <is>
          <t>P6 Duration</t>
        </is>
      </c>
      <c r="N1" t="inlineStr">
        <is>
          <t>P7 Velocity</t>
        </is>
      </c>
      <c r="O1" t="inlineStr">
        <is>
          <t>P8 Smoothness</t>
        </is>
      </c>
      <c r="U1" t="inlineStr">
        <is>
          <t>llm_model</t>
        </is>
      </c>
      <c r="V1" t="inlineStr">
        <is>
          <t>reasoning effort</t>
        </is>
      </c>
      <c r="W1" t="inlineStr">
        <is>
          <t>summarizer</t>
        </is>
      </c>
      <c r="X1" t="inlineStr">
        <is>
          <t>omission_prob</t>
        </is>
      </c>
    </row>
    <row r="2">
      <c r="A2" t="inlineStr">
        <is>
          <t>gpt-5.1</t>
        </is>
      </c>
      <c r="B2" t="inlineStr">
        <is>
          <t>RAN</t>
        </is>
      </c>
      <c r="C2" t="inlineStr">
        <is>
          <t>C</t>
        </is>
      </c>
      <c r="D2" t="n">
        <v>0</v>
      </c>
      <c r="E2" t="inlineStr">
        <is>
          <t>S04</t>
        </is>
      </c>
      <c r="F2" t="inlineStr">
        <is>
          <t>Needs Help</t>
        </is>
      </c>
      <c r="G2" t="inlineStr">
        <is>
          <t>NaN</t>
        </is>
      </c>
      <c r="H2" t="inlineStr">
        <is>
          <t>left</t>
        </is>
      </c>
      <c r="I2" t="inlineStr">
        <is>
          <t>backward</t>
        </is>
      </c>
      <c r="J2" t="inlineStr">
        <is>
          <t>left</t>
        </is>
      </c>
      <c r="K2" t="inlineStr">
        <is>
          <t>low</t>
        </is>
      </c>
      <c r="L2" t="inlineStr">
        <is>
          <t>user</t>
        </is>
      </c>
      <c r="M2" t="inlineStr">
        <is>
          <t>short</t>
        </is>
      </c>
      <c r="N2" t="inlineStr">
        <is>
          <t>fast</t>
        </is>
      </c>
      <c r="O2" t="inlineStr">
        <is>
          <t>shaky</t>
        </is>
      </c>
      <c r="U2" t="inlineStr">
        <is>
          <t>gpt-5.1</t>
        </is>
      </c>
      <c r="V2" t="inlineStr">
        <is>
          <t>medium</t>
        </is>
      </c>
      <c r="W2" t="inlineStr">
        <is>
          <t>ON</t>
        </is>
      </c>
      <c r="X2" t="n">
        <v>0.5</v>
      </c>
    </row>
    <row r="3">
      <c r="A3" t="inlineStr">
        <is>
          <t>gpt-5.1</t>
        </is>
      </c>
      <c r="B3" t="inlineStr">
        <is>
          <t>RAN</t>
        </is>
      </c>
      <c r="C3" t="inlineStr">
        <is>
          <t>C</t>
        </is>
      </c>
      <c r="D3" t="n">
        <v>1</v>
      </c>
      <c r="E3" t="inlineStr">
        <is>
          <t>S04</t>
        </is>
      </c>
      <c r="F3" t="inlineStr">
        <is>
          <t>Needs Help</t>
        </is>
      </c>
      <c r="G3" t="inlineStr">
        <is>
          <t>NaN</t>
        </is>
      </c>
      <c r="H3" t="inlineStr">
        <is>
          <t>left</t>
        </is>
      </c>
      <c r="I3" t="inlineStr">
        <is>
          <t>backward</t>
        </is>
      </c>
      <c r="J3" t="inlineStr">
        <is>
          <t>left</t>
        </is>
      </c>
      <c r="K3" t="inlineStr">
        <is>
          <t>low</t>
        </is>
      </c>
      <c r="L3" t="inlineStr">
        <is>
          <t>user</t>
        </is>
      </c>
      <c r="M3" t="inlineStr">
        <is>
          <t>short</t>
        </is>
      </c>
      <c r="N3" t="inlineStr">
        <is>
          <t>fast</t>
        </is>
      </c>
      <c r="O3" t="inlineStr">
        <is>
          <t>shaky</t>
        </is>
      </c>
    </row>
    <row r="4">
      <c r="A4" t="inlineStr">
        <is>
          <t>gpt-5.1</t>
        </is>
      </c>
      <c r="B4" t="inlineStr">
        <is>
          <t>RAN</t>
        </is>
      </c>
      <c r="C4" t="inlineStr">
        <is>
          <t>C</t>
        </is>
      </c>
      <c r="D4" t="n">
        <v>2</v>
      </c>
      <c r="E4" t="inlineStr">
        <is>
          <t>S05</t>
        </is>
      </c>
      <c r="F4" t="inlineStr">
        <is>
          <t>Confused</t>
        </is>
      </c>
      <c r="G4" t="inlineStr">
        <is>
          <t>NaN</t>
        </is>
      </c>
      <c r="H4" t="inlineStr">
        <is>
          <t>left</t>
        </is>
      </c>
      <c r="I4" t="inlineStr">
        <is>
          <t>backward</t>
        </is>
      </c>
      <c r="J4" t="inlineStr">
        <is>
          <t>left</t>
        </is>
      </c>
      <c r="K4" t="inlineStr">
        <is>
          <t>low</t>
        </is>
      </c>
      <c r="L4" t="inlineStr">
        <is>
          <t>user</t>
        </is>
      </c>
      <c r="M4" t="inlineStr">
        <is>
          <t>short</t>
        </is>
      </c>
      <c r="N4" t="inlineStr">
        <is>
          <t>fast</t>
        </is>
      </c>
      <c r="O4" t="inlineStr">
        <is>
          <t>shaky</t>
        </is>
      </c>
    </row>
    <row r="5">
      <c r="A5" t="inlineStr">
        <is>
          <t>gpt-5.1</t>
        </is>
      </c>
      <c r="B5" t="inlineStr">
        <is>
          <t>RAN</t>
        </is>
      </c>
      <c r="C5" t="inlineStr">
        <is>
          <t>C</t>
        </is>
      </c>
      <c r="D5" t="n">
        <v>3</v>
      </c>
      <c r="E5" t="inlineStr">
        <is>
          <t>S04</t>
        </is>
      </c>
      <c r="F5" t="inlineStr">
        <is>
          <t>Needs Help</t>
        </is>
      </c>
      <c r="G5" t="inlineStr">
        <is>
          <t>NaN</t>
        </is>
      </c>
      <c r="H5" t="inlineStr">
        <is>
          <t>left</t>
        </is>
      </c>
      <c r="I5" t="inlineStr">
        <is>
          <t>backward</t>
        </is>
      </c>
      <c r="J5" t="inlineStr">
        <is>
          <t>left</t>
        </is>
      </c>
      <c r="K5" t="inlineStr">
        <is>
          <t>low</t>
        </is>
      </c>
      <c r="L5" t="inlineStr">
        <is>
          <t>user</t>
        </is>
      </c>
      <c r="M5" t="inlineStr">
        <is>
          <t>short</t>
        </is>
      </c>
      <c r="N5" t="inlineStr">
        <is>
          <t>fast</t>
        </is>
      </c>
      <c r="O5" t="inlineStr">
        <is>
          <t>shaky</t>
        </is>
      </c>
    </row>
    <row r="6">
      <c r="A6" t="inlineStr">
        <is>
          <t>gpt-5.1</t>
        </is>
      </c>
      <c r="B6" t="inlineStr">
        <is>
          <t>RAN</t>
        </is>
      </c>
      <c r="C6" t="inlineStr">
        <is>
          <t>C</t>
        </is>
      </c>
      <c r="D6" t="n">
        <v>4</v>
      </c>
      <c r="E6" t="inlineStr">
        <is>
          <t>S05</t>
        </is>
      </c>
      <c r="F6" t="inlineStr">
        <is>
          <t>Confused</t>
        </is>
      </c>
      <c r="G6" t="inlineStr">
        <is>
          <t>NaN</t>
        </is>
      </c>
      <c r="H6" t="inlineStr">
        <is>
          <t>left</t>
        </is>
      </c>
      <c r="I6" t="inlineStr">
        <is>
          <t>backward</t>
        </is>
      </c>
      <c r="J6" t="inlineStr">
        <is>
          <t>left</t>
        </is>
      </c>
      <c r="K6" t="inlineStr">
        <is>
          <t>low</t>
        </is>
      </c>
      <c r="L6" t="inlineStr">
        <is>
          <t>user</t>
        </is>
      </c>
      <c r="M6" t="inlineStr">
        <is>
          <t>short</t>
        </is>
      </c>
      <c r="N6" t="inlineStr">
        <is>
          <t>fast</t>
        </is>
      </c>
      <c r="O6" t="inlineStr">
        <is>
          <t>shaky</t>
        </is>
      </c>
    </row>
    <row r="7">
      <c r="A7" t="inlineStr">
        <is>
          <t>gpt-5.1</t>
        </is>
      </c>
      <c r="B7" t="inlineStr">
        <is>
          <t>RAN</t>
        </is>
      </c>
      <c r="C7" t="inlineStr">
        <is>
          <t>C</t>
        </is>
      </c>
      <c r="D7" t="n">
        <v>5</v>
      </c>
      <c r="E7" t="inlineStr">
        <is>
          <t>S04</t>
        </is>
      </c>
      <c r="F7" t="inlineStr">
        <is>
          <t>Needs Help</t>
        </is>
      </c>
      <c r="G7" t="inlineStr">
        <is>
          <t>NaN</t>
        </is>
      </c>
      <c r="H7" t="inlineStr">
        <is>
          <t>left</t>
        </is>
      </c>
      <c r="I7" t="inlineStr">
        <is>
          <t>backward</t>
        </is>
      </c>
      <c r="J7" t="inlineStr">
        <is>
          <t>left</t>
        </is>
      </c>
      <c r="K7" t="inlineStr">
        <is>
          <t>low</t>
        </is>
      </c>
      <c r="L7" t="inlineStr">
        <is>
          <t>user</t>
        </is>
      </c>
      <c r="M7" t="inlineStr">
        <is>
          <t>short</t>
        </is>
      </c>
      <c r="N7" t="inlineStr">
        <is>
          <t>fast</t>
        </is>
      </c>
      <c r="O7" t="inlineStr">
        <is>
          <t>shaky</t>
        </is>
      </c>
    </row>
    <row r="8">
      <c r="A8" t="inlineStr">
        <is>
          <t>gpt-5.1</t>
        </is>
      </c>
      <c r="B8" t="inlineStr">
        <is>
          <t>RAN</t>
        </is>
      </c>
      <c r="C8" t="inlineStr">
        <is>
          <t>C</t>
        </is>
      </c>
      <c r="D8" t="n">
        <v>6</v>
      </c>
      <c r="E8" t="inlineStr">
        <is>
          <t>S04</t>
        </is>
      </c>
      <c r="F8" t="inlineStr">
        <is>
          <t>Needs Help</t>
        </is>
      </c>
      <c r="G8" t="inlineStr">
        <is>
          <t>NaN</t>
        </is>
      </c>
      <c r="H8" t="inlineStr">
        <is>
          <t>left</t>
        </is>
      </c>
      <c r="I8" t="inlineStr">
        <is>
          <t>backward</t>
        </is>
      </c>
      <c r="J8" t="inlineStr">
        <is>
          <t>left</t>
        </is>
      </c>
      <c r="K8" t="inlineStr">
        <is>
          <t>low</t>
        </is>
      </c>
      <c r="L8" t="inlineStr">
        <is>
          <t>user</t>
        </is>
      </c>
      <c r="M8" t="inlineStr">
        <is>
          <t>short</t>
        </is>
      </c>
      <c r="N8" t="inlineStr">
        <is>
          <t>fast</t>
        </is>
      </c>
      <c r="O8" t="inlineStr">
        <is>
          <t>shaky</t>
        </is>
      </c>
    </row>
    <row r="9">
      <c r="A9" t="inlineStr">
        <is>
          <t>gpt-5.1</t>
        </is>
      </c>
      <c r="B9" t="inlineStr">
        <is>
          <t>RAN</t>
        </is>
      </c>
      <c r="C9" t="inlineStr">
        <is>
          <t>C</t>
        </is>
      </c>
      <c r="D9" t="n">
        <v>7</v>
      </c>
      <c r="E9" t="inlineStr">
        <is>
          <t>S04</t>
        </is>
      </c>
      <c r="F9" t="inlineStr">
        <is>
          <t>Needs Help</t>
        </is>
      </c>
      <c r="G9" t="inlineStr">
        <is>
          <t>NaN</t>
        </is>
      </c>
      <c r="H9" t="inlineStr">
        <is>
          <t>left</t>
        </is>
      </c>
      <c r="I9" t="inlineStr">
        <is>
          <t>backward</t>
        </is>
      </c>
      <c r="J9" t="inlineStr">
        <is>
          <t>left</t>
        </is>
      </c>
      <c r="K9" t="inlineStr">
        <is>
          <t>low</t>
        </is>
      </c>
      <c r="L9" t="inlineStr">
        <is>
          <t>user</t>
        </is>
      </c>
      <c r="M9" t="inlineStr">
        <is>
          <t>short</t>
        </is>
      </c>
      <c r="N9" t="inlineStr">
        <is>
          <t>fast</t>
        </is>
      </c>
      <c r="O9" t="inlineStr">
        <is>
          <t>shaky</t>
        </is>
      </c>
    </row>
    <row r="10">
      <c r="A10" t="inlineStr">
        <is>
          <t>gpt-5.1</t>
        </is>
      </c>
      <c r="B10" t="inlineStr">
        <is>
          <t>RAN</t>
        </is>
      </c>
      <c r="C10" t="inlineStr">
        <is>
          <t>C</t>
        </is>
      </c>
      <c r="D10" t="n">
        <v>8</v>
      </c>
      <c r="E10" t="inlineStr">
        <is>
          <t>S02</t>
        </is>
      </c>
      <c r="F10" t="inlineStr">
        <is>
          <t>Analyzing Object</t>
        </is>
      </c>
      <c r="G10" t="inlineStr">
        <is>
          <t>NaN</t>
        </is>
      </c>
      <c r="H10" t="inlineStr">
        <is>
          <t>left</t>
        </is>
      </c>
      <c r="I10" t="inlineStr">
        <is>
          <t>backward</t>
        </is>
      </c>
      <c r="J10" t="inlineStr">
        <is>
          <t>left</t>
        </is>
      </c>
      <c r="K10" t="inlineStr">
        <is>
          <t>low</t>
        </is>
      </c>
      <c r="L10" t="inlineStr">
        <is>
          <t>user</t>
        </is>
      </c>
      <c r="M10" t="inlineStr">
        <is>
          <t>short</t>
        </is>
      </c>
      <c r="N10" t="inlineStr">
        <is>
          <t>fast</t>
        </is>
      </c>
      <c r="O10" t="inlineStr">
        <is>
          <t>shaky</t>
        </is>
      </c>
    </row>
    <row r="11">
      <c r="A11" t="inlineStr">
        <is>
          <t>gpt-5.1</t>
        </is>
      </c>
      <c r="B11" t="inlineStr">
        <is>
          <t>RAN</t>
        </is>
      </c>
      <c r="C11" t="inlineStr">
        <is>
          <t>C</t>
        </is>
      </c>
      <c r="D11" t="n">
        <v>9</v>
      </c>
      <c r="E11" t="inlineStr">
        <is>
          <t>S05</t>
        </is>
      </c>
      <c r="F11" t="inlineStr">
        <is>
          <t>Confused</t>
        </is>
      </c>
      <c r="G11" t="inlineStr">
        <is>
          <t>NaN</t>
        </is>
      </c>
      <c r="H11" t="inlineStr">
        <is>
          <t>left</t>
        </is>
      </c>
      <c r="I11" t="inlineStr">
        <is>
          <t>backward</t>
        </is>
      </c>
      <c r="J11" t="inlineStr">
        <is>
          <t>left</t>
        </is>
      </c>
      <c r="K11" t="inlineStr">
        <is>
          <t>low</t>
        </is>
      </c>
      <c r="L11" t="inlineStr">
        <is>
          <t>user</t>
        </is>
      </c>
      <c r="M11" t="inlineStr">
        <is>
          <t>short</t>
        </is>
      </c>
      <c r="N11" t="inlineStr">
        <is>
          <t>fast</t>
        </is>
      </c>
      <c r="O11" t="inlineStr">
        <is>
          <t>shaky</t>
        </is>
      </c>
    </row>
    <row r="12">
      <c r="A12" t="inlineStr">
        <is>
          <t>gpt-5.1</t>
        </is>
      </c>
      <c r="B12" t="inlineStr">
        <is>
          <t>RAN</t>
        </is>
      </c>
      <c r="C12" t="inlineStr">
        <is>
          <t>C</t>
        </is>
      </c>
      <c r="D12" t="n">
        <v>10</v>
      </c>
      <c r="E12" t="inlineStr">
        <is>
          <t>S04</t>
        </is>
      </c>
      <c r="F12" t="inlineStr">
        <is>
          <t>Needs Help</t>
        </is>
      </c>
      <c r="G12" t="inlineStr">
        <is>
          <t>NaN</t>
        </is>
      </c>
      <c r="H12" t="inlineStr">
        <is>
          <t>left</t>
        </is>
      </c>
      <c r="I12" t="inlineStr">
        <is>
          <t>backward</t>
        </is>
      </c>
      <c r="J12" t="inlineStr">
        <is>
          <t>left</t>
        </is>
      </c>
      <c r="K12" t="inlineStr">
        <is>
          <t>low</t>
        </is>
      </c>
      <c r="L12" t="inlineStr">
        <is>
          <t>user</t>
        </is>
      </c>
      <c r="M12" t="inlineStr">
        <is>
          <t>short</t>
        </is>
      </c>
      <c r="N12" t="inlineStr">
        <is>
          <t>fast</t>
        </is>
      </c>
      <c r="O12" t="inlineStr">
        <is>
          <t>shaky</t>
        </is>
      </c>
    </row>
    <row r="13">
      <c r="A13" t="inlineStr">
        <is>
          <t>gpt-5.1</t>
        </is>
      </c>
      <c r="B13" t="inlineStr">
        <is>
          <t>RAN</t>
        </is>
      </c>
      <c r="C13" t="inlineStr">
        <is>
          <t>C</t>
        </is>
      </c>
      <c r="D13" t="n">
        <v>11</v>
      </c>
      <c r="E13" t="inlineStr">
        <is>
          <t>S04</t>
        </is>
      </c>
      <c r="F13" t="inlineStr">
        <is>
          <t>Needs Help</t>
        </is>
      </c>
      <c r="G13" t="inlineStr">
        <is>
          <t>NaN</t>
        </is>
      </c>
      <c r="H13" t="inlineStr">
        <is>
          <t>left</t>
        </is>
      </c>
      <c r="I13" t="inlineStr">
        <is>
          <t>backward</t>
        </is>
      </c>
      <c r="J13" t="inlineStr">
        <is>
          <t>left</t>
        </is>
      </c>
      <c r="K13" t="inlineStr">
        <is>
          <t>low</t>
        </is>
      </c>
      <c r="L13" t="inlineStr">
        <is>
          <t>user</t>
        </is>
      </c>
      <c r="M13" t="inlineStr">
        <is>
          <t>short</t>
        </is>
      </c>
      <c r="N13" t="inlineStr">
        <is>
          <t>fast</t>
        </is>
      </c>
      <c r="O13" t="inlineStr">
        <is>
          <t>shaky</t>
        </is>
      </c>
    </row>
    <row r="14">
      <c r="A14" t="inlineStr">
        <is>
          <t>gpt-5.1</t>
        </is>
      </c>
      <c r="B14" t="inlineStr">
        <is>
          <t>RAN</t>
        </is>
      </c>
      <c r="C14" t="inlineStr">
        <is>
          <t>C</t>
        </is>
      </c>
      <c r="D14" t="n">
        <v>12</v>
      </c>
      <c r="E14" t="inlineStr">
        <is>
          <t>S05</t>
        </is>
      </c>
      <c r="F14" t="inlineStr">
        <is>
          <t>Confused</t>
        </is>
      </c>
      <c r="G14" t="inlineStr">
        <is>
          <t>NaN</t>
        </is>
      </c>
      <c r="H14" t="inlineStr">
        <is>
          <t>left</t>
        </is>
      </c>
      <c r="I14" t="inlineStr">
        <is>
          <t>backward</t>
        </is>
      </c>
      <c r="J14" t="inlineStr">
        <is>
          <t>left</t>
        </is>
      </c>
      <c r="K14" t="inlineStr">
        <is>
          <t>low</t>
        </is>
      </c>
      <c r="L14" t="inlineStr">
        <is>
          <t>user</t>
        </is>
      </c>
      <c r="M14" t="inlineStr">
        <is>
          <t>short</t>
        </is>
      </c>
      <c r="N14" t="inlineStr">
        <is>
          <t>fast</t>
        </is>
      </c>
      <c r="O14" t="inlineStr">
        <is>
          <t>shaky</t>
        </is>
      </c>
    </row>
    <row r="15">
      <c r="A15" t="inlineStr">
        <is>
          <t>gpt-5.1</t>
        </is>
      </c>
      <c r="B15" t="inlineStr">
        <is>
          <t>RAN</t>
        </is>
      </c>
      <c r="C15" t="inlineStr">
        <is>
          <t>C</t>
        </is>
      </c>
      <c r="D15" t="n">
        <v>13</v>
      </c>
      <c r="E15" t="inlineStr">
        <is>
          <t>S05</t>
        </is>
      </c>
      <c r="F15" t="inlineStr">
        <is>
          <t>Confused</t>
        </is>
      </c>
      <c r="G15" t="inlineStr">
        <is>
          <t>NaN</t>
        </is>
      </c>
      <c r="H15" t="inlineStr">
        <is>
          <t>left</t>
        </is>
      </c>
      <c r="I15" t="inlineStr">
        <is>
          <t>backward</t>
        </is>
      </c>
      <c r="J15" t="inlineStr">
        <is>
          <t>left</t>
        </is>
      </c>
      <c r="K15" t="inlineStr">
        <is>
          <t>low</t>
        </is>
      </c>
      <c r="L15" t="inlineStr">
        <is>
          <t>user</t>
        </is>
      </c>
      <c r="M15" t="inlineStr">
        <is>
          <t>short</t>
        </is>
      </c>
      <c r="N15" t="inlineStr">
        <is>
          <t>fast</t>
        </is>
      </c>
      <c r="O15" t="inlineStr">
        <is>
          <t>shaky</t>
        </is>
      </c>
    </row>
    <row r="16">
      <c r="A16" t="inlineStr">
        <is>
          <t>gpt-5.1</t>
        </is>
      </c>
      <c r="B16" t="inlineStr">
        <is>
          <t>RAN</t>
        </is>
      </c>
      <c r="C16" t="inlineStr">
        <is>
          <t>C</t>
        </is>
      </c>
      <c r="D16" t="n">
        <v>14</v>
      </c>
      <c r="E16" t="inlineStr">
        <is>
          <t>S04</t>
        </is>
      </c>
      <c r="F16" t="inlineStr">
        <is>
          <t>Needs Help</t>
        </is>
      </c>
      <c r="G16" t="inlineStr">
        <is>
          <t>NaN</t>
        </is>
      </c>
      <c r="H16" t="inlineStr">
        <is>
          <t>left</t>
        </is>
      </c>
      <c r="I16" t="inlineStr">
        <is>
          <t>backward</t>
        </is>
      </c>
      <c r="J16" t="inlineStr">
        <is>
          <t>left</t>
        </is>
      </c>
      <c r="K16" t="inlineStr">
        <is>
          <t>low</t>
        </is>
      </c>
      <c r="L16" t="inlineStr">
        <is>
          <t>user</t>
        </is>
      </c>
      <c r="M16" t="inlineStr">
        <is>
          <t>short</t>
        </is>
      </c>
      <c r="N16" t="inlineStr">
        <is>
          <t>fast</t>
        </is>
      </c>
      <c r="O16" t="inlineStr">
        <is>
          <t>shaky</t>
        </is>
      </c>
    </row>
    <row r="17">
      <c r="A17" t="inlineStr">
        <is>
          <t>gpt-5.1</t>
        </is>
      </c>
      <c r="B17" t="inlineStr">
        <is>
          <t>RAN</t>
        </is>
      </c>
      <c r="C17" t="inlineStr">
        <is>
          <t>C</t>
        </is>
      </c>
      <c r="D17" t="n">
        <v>15</v>
      </c>
      <c r="E17" t="inlineStr">
        <is>
          <t>S02</t>
        </is>
      </c>
      <c r="F17" t="inlineStr">
        <is>
          <t>Analyzing Object</t>
        </is>
      </c>
      <c r="G17" t="inlineStr">
        <is>
          <t>NaN</t>
        </is>
      </c>
      <c r="H17" t="inlineStr">
        <is>
          <t>left</t>
        </is>
      </c>
      <c r="I17" t="inlineStr">
        <is>
          <t>backward</t>
        </is>
      </c>
      <c r="J17" t="inlineStr">
        <is>
          <t>left</t>
        </is>
      </c>
      <c r="K17" t="inlineStr">
        <is>
          <t>low</t>
        </is>
      </c>
      <c r="L17" t="inlineStr">
        <is>
          <t>user</t>
        </is>
      </c>
      <c r="M17" t="inlineStr">
        <is>
          <t>short</t>
        </is>
      </c>
      <c r="N17" t="inlineStr">
        <is>
          <t>fast</t>
        </is>
      </c>
      <c r="O17" t="inlineStr">
        <is>
          <t>shaky</t>
        </is>
      </c>
    </row>
    <row r="18">
      <c r="A18" t="inlineStr">
        <is>
          <t>gpt-5.1</t>
        </is>
      </c>
      <c r="B18" t="inlineStr">
        <is>
          <t>RAN</t>
        </is>
      </c>
      <c r="C18" t="inlineStr">
        <is>
          <t>C</t>
        </is>
      </c>
      <c r="D18" t="n">
        <v>16</v>
      </c>
      <c r="E18" t="inlineStr">
        <is>
          <t>S05</t>
        </is>
      </c>
      <c r="F18" t="inlineStr">
        <is>
          <t>Confused</t>
        </is>
      </c>
      <c r="G18" t="inlineStr">
        <is>
          <t>NaN</t>
        </is>
      </c>
      <c r="H18" t="inlineStr">
        <is>
          <t>left</t>
        </is>
      </c>
      <c r="I18" t="inlineStr">
        <is>
          <t>backward</t>
        </is>
      </c>
      <c r="J18" t="inlineStr">
        <is>
          <t>left</t>
        </is>
      </c>
      <c r="K18" t="inlineStr">
        <is>
          <t>low</t>
        </is>
      </c>
      <c r="L18" t="inlineStr">
        <is>
          <t>user</t>
        </is>
      </c>
      <c r="M18" t="inlineStr">
        <is>
          <t>short</t>
        </is>
      </c>
      <c r="N18" t="inlineStr">
        <is>
          <t>fast</t>
        </is>
      </c>
      <c r="O18" t="inlineStr">
        <is>
          <t>shaky</t>
        </is>
      </c>
    </row>
    <row r="19">
      <c r="A19" t="inlineStr">
        <is>
          <t>gpt-5.1</t>
        </is>
      </c>
      <c r="B19" t="inlineStr">
        <is>
          <t>RAN</t>
        </is>
      </c>
      <c r="C19" t="inlineStr">
        <is>
          <t>C</t>
        </is>
      </c>
      <c r="D19" t="n">
        <v>17</v>
      </c>
      <c r="E19" t="inlineStr">
        <is>
          <t>S05</t>
        </is>
      </c>
      <c r="F19" t="inlineStr">
        <is>
          <t>Confused</t>
        </is>
      </c>
      <c r="G19" t="inlineStr">
        <is>
          <t>NaN</t>
        </is>
      </c>
      <c r="H19" t="inlineStr">
        <is>
          <t>left</t>
        </is>
      </c>
      <c r="I19" t="inlineStr">
        <is>
          <t>backward</t>
        </is>
      </c>
      <c r="J19" t="inlineStr">
        <is>
          <t>left</t>
        </is>
      </c>
      <c r="K19" t="inlineStr">
        <is>
          <t>low</t>
        </is>
      </c>
      <c r="L19" t="inlineStr">
        <is>
          <t>user</t>
        </is>
      </c>
      <c r="M19" t="inlineStr">
        <is>
          <t>short</t>
        </is>
      </c>
      <c r="N19" t="inlineStr">
        <is>
          <t>fast</t>
        </is>
      </c>
      <c r="O19" t="inlineStr">
        <is>
          <t>shaky</t>
        </is>
      </c>
    </row>
    <row r="20">
      <c r="A20" t="inlineStr">
        <is>
          <t>gpt-5.1</t>
        </is>
      </c>
      <c r="B20" t="inlineStr">
        <is>
          <t>RAN</t>
        </is>
      </c>
      <c r="C20" t="inlineStr">
        <is>
          <t>C</t>
        </is>
      </c>
      <c r="D20" t="n">
        <v>18</v>
      </c>
      <c r="E20" t="inlineStr">
        <is>
          <t>S05</t>
        </is>
      </c>
      <c r="F20" t="inlineStr">
        <is>
          <t>Confused</t>
        </is>
      </c>
      <c r="G20" t="inlineStr">
        <is>
          <t>NaN</t>
        </is>
      </c>
      <c r="H20" t="inlineStr">
        <is>
          <t>left</t>
        </is>
      </c>
      <c r="I20" t="inlineStr">
        <is>
          <t>backward</t>
        </is>
      </c>
      <c r="J20" t="inlineStr">
        <is>
          <t>left</t>
        </is>
      </c>
      <c r="K20" t="inlineStr">
        <is>
          <t>low</t>
        </is>
      </c>
      <c r="L20" t="inlineStr">
        <is>
          <t>user</t>
        </is>
      </c>
      <c r="M20" t="inlineStr">
        <is>
          <t>short</t>
        </is>
      </c>
      <c r="N20" t="inlineStr">
        <is>
          <t>fast</t>
        </is>
      </c>
      <c r="O20" t="inlineStr">
        <is>
          <t>shaky</t>
        </is>
      </c>
    </row>
    <row r="21">
      <c r="A21" t="inlineStr">
        <is>
          <t>gpt-5.1</t>
        </is>
      </c>
      <c r="B21" t="inlineStr">
        <is>
          <t>RAN</t>
        </is>
      </c>
      <c r="C21" t="inlineStr">
        <is>
          <t>C</t>
        </is>
      </c>
      <c r="D21" t="n">
        <v>19</v>
      </c>
      <c r="E21" t="inlineStr">
        <is>
          <t>S05</t>
        </is>
      </c>
      <c r="F21" t="inlineStr">
        <is>
          <t>Confused</t>
        </is>
      </c>
      <c r="G21" t="inlineStr">
        <is>
          <t>NaN</t>
        </is>
      </c>
      <c r="H21" t="inlineStr">
        <is>
          <t>left</t>
        </is>
      </c>
      <c r="I21" t="inlineStr">
        <is>
          <t>backward</t>
        </is>
      </c>
      <c r="J21" t="inlineStr">
        <is>
          <t>left</t>
        </is>
      </c>
      <c r="K21" t="inlineStr">
        <is>
          <t>low</t>
        </is>
      </c>
      <c r="L21" t="inlineStr">
        <is>
          <t>user</t>
        </is>
      </c>
      <c r="M21" t="inlineStr">
        <is>
          <t>short</t>
        </is>
      </c>
      <c r="N21" t="inlineStr">
        <is>
          <t>fast</t>
        </is>
      </c>
      <c r="O21" t="inlineStr">
        <is>
          <t>shaky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Liam Roy</dc:creator>
  <dcterms:created xmlns:dcterms="http://purl.org/dc/terms/" xmlns:xsi="http://www.w3.org/2001/XMLSchema-instance" xsi:type="dcterms:W3CDTF">2024-09-07T18:15:30Z</dcterms:created>
  <dcterms:modified xmlns:dcterms="http://purl.org/dc/terms/" xmlns:xsi="http://www.w3.org/2001/XMLSchema-instance" xsi:type="dcterms:W3CDTF">2025-11-24T17:43:46Z</dcterms:modified>
  <cp:lastModifiedBy>Liam Roy</cp:lastModifiedBy>
</cp:coreProperties>
</file>