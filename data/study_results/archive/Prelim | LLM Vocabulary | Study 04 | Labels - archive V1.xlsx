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liamroy/Documents/Studies/Monash_31194990/PHD/Studies/Study_04/LLM_vocab_optimization/data/study_results/"/>
    </mc:Choice>
  </mc:AlternateContent>
  <xr:revisionPtr revIDLastSave="0" documentId="13_ncr:1_{5B607CC3-6B97-414E-9173-B3EF2E0FCCC1}" xr6:coauthVersionLast="47" xr6:coauthVersionMax="47" xr10:uidLastSave="{00000000-0000-0000-0000-000000000000}"/>
  <bookViews>
    <workbookView xWindow="-27200" yWindow="3960" windowWidth="27200" windowHeight="14860" activeTab="1" xr2:uid="{00000000-000D-0000-FFFF-FFFF00000000}"/>
  </bookViews>
  <sheets>
    <sheet name="RAW_w_CALCS" sheetId="1" r:id="rId1"/>
    <sheet name="Sheet1" sheetId="2" r:id="rId2"/>
  </sheets>
  <definedNames>
    <definedName name="_xlnm._FilterDatabase" localSheetId="0" hidden="1">RAW_w_CALCS!$A$2:$IC$21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F14" i="2"/>
  <c r="F13" i="2"/>
  <c r="F12" i="2"/>
  <c r="E14" i="2"/>
  <c r="E13" i="2"/>
  <c r="E12" i="2"/>
  <c r="E15" i="2" s="1"/>
  <c r="D14" i="2"/>
  <c r="D13" i="2"/>
  <c r="D12" i="2"/>
  <c r="C14" i="2"/>
  <c r="C13" i="2"/>
  <c r="C12" i="2"/>
  <c r="C15" i="2" s="1"/>
  <c r="F7" i="2"/>
  <c r="F6" i="2"/>
  <c r="F5" i="2"/>
  <c r="F4" i="2"/>
  <c r="F3" i="2"/>
  <c r="E3" i="2"/>
  <c r="E4" i="2"/>
  <c r="E6" i="2"/>
  <c r="E7" i="2"/>
  <c r="D7" i="2"/>
  <c r="D6" i="2"/>
  <c r="D5" i="2"/>
  <c r="D4" i="2"/>
  <c r="D3" i="2"/>
  <c r="C7" i="2"/>
  <c r="C6" i="2"/>
  <c r="C5" i="2"/>
  <c r="C4" i="2"/>
  <c r="C3" i="2"/>
  <c r="BG24" i="1"/>
  <c r="AC24" i="1"/>
  <c r="AI24" i="1"/>
  <c r="AO24" i="1"/>
  <c r="AU24" i="1"/>
  <c r="BA24" i="1"/>
  <c r="BM24" i="1"/>
  <c r="BS24" i="1"/>
  <c r="BY24" i="1"/>
  <c r="CE24" i="1"/>
  <c r="CK24" i="1"/>
  <c r="CQ24" i="1"/>
  <c r="CW24" i="1"/>
  <c r="DC24" i="1"/>
  <c r="DI24" i="1"/>
  <c r="DO24" i="1"/>
  <c r="DU24" i="1"/>
  <c r="EA24" i="1"/>
  <c r="EG24" i="1"/>
  <c r="EM24" i="1"/>
  <c r="ES24" i="1"/>
  <c r="EY24" i="1"/>
  <c r="FE24" i="1"/>
  <c r="FK24" i="1"/>
  <c r="FQ24" i="1"/>
  <c r="FW24" i="1"/>
  <c r="GC24" i="1"/>
  <c r="GI24" i="1"/>
  <c r="GO24" i="1"/>
  <c r="GU24" i="1"/>
  <c r="HA24" i="1"/>
  <c r="HG24" i="1"/>
  <c r="F15" i="2" l="1"/>
  <c r="D8" i="2"/>
  <c r="D15" i="2"/>
  <c r="C16" i="2" s="1"/>
  <c r="C8" i="2"/>
  <c r="E8" i="2"/>
  <c r="F8" i="2"/>
  <c r="C9" i="2" l="1"/>
</calcChain>
</file>

<file path=xl/sharedStrings.xml><?xml version="1.0" encoding="utf-8"?>
<sst xmlns="http://schemas.openxmlformats.org/spreadsheetml/2006/main" count="2348" uniqueCount="552">
  <si>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</si>
  <si>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</si>
  <si>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</si>
  <si>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</si>
  <si>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</si>
  <si>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</si>
  <si>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</si>
  <si>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</si>
  <si>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</si>
  <si>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</si>
  <si>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</si>
  <si>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</si>
  <si>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</si>
  <si>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</si>
  <si>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</si>
  <si>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</si>
  <si>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</si>
  <si>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</si>
  <si>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00-01_1</t>
  </si>
  <si>
    <t>00-01_2</t>
  </si>
  <si>
    <t>00-01_3</t>
  </si>
  <si>
    <t>00-01_4</t>
  </si>
  <si>
    <t>02-01</t>
  </si>
  <si>
    <t>02-02</t>
  </si>
  <si>
    <t>02-03_1</t>
  </si>
  <si>
    <t>02-03_2</t>
  </si>
  <si>
    <t>02-03_3</t>
  </si>
  <si>
    <t>02-03_4</t>
  </si>
  <si>
    <t>SPR_ISO_WFI_MOT_VID</t>
  </si>
  <si>
    <t>SPR_ISO_WFI_MOT_CON</t>
  </si>
  <si>
    <t>SPR_ISO_WFI_MOT_TIM_First Click</t>
  </si>
  <si>
    <t>SPR_ISO_WFI_MOT_TIM_Last Click</t>
  </si>
  <si>
    <t>SPR_ISO_WFI_MOT_TIM_Page Submit</t>
  </si>
  <si>
    <t>SPR_ISO_WFI_MOT_TIM_Click Count</t>
  </si>
  <si>
    <t>SPR_ISO_AO_MOT_VID</t>
  </si>
  <si>
    <t>SPR_ISO_AO_MOT_CON</t>
  </si>
  <si>
    <t>SPR_ISO_AO_MOT_TIM_First Click</t>
  </si>
  <si>
    <t>SPR_ISO_AO_MOT_TIM_Last Click</t>
  </si>
  <si>
    <t>SPR_ISO_AO_MOT_TIM_Page Submit</t>
  </si>
  <si>
    <t>SPR_ISO_AO_MOT_TIM_Click Count</t>
  </si>
  <si>
    <t>SPR_ISO_FO_MOT_VID</t>
  </si>
  <si>
    <t>SPR_ISO_FO_MOT_CON</t>
  </si>
  <si>
    <t>SPR_ISO_FO_MOT_TIM_First Click</t>
  </si>
  <si>
    <t>SPR_ISO_FO_MOT_TIM_Last Click</t>
  </si>
  <si>
    <t>SPR_ISO_FO_MOT_TIM_Page Submit</t>
  </si>
  <si>
    <t>SPR_ISO_FO_MOT_TIM_Click Count</t>
  </si>
  <si>
    <t>SPR_ISO_ER_MOT_VID</t>
  </si>
  <si>
    <t>SPR_ISO_ER_MOT_CON</t>
  </si>
  <si>
    <t>SPR_ISO_ER_MOT_TIM_First Click</t>
  </si>
  <si>
    <t>SPR_ISO_ER_MOT_TIM_Last Click</t>
  </si>
  <si>
    <t>SPR_ISO_ER_MOT_TIM_Page Submit</t>
  </si>
  <si>
    <t>SPR_ISO_ER_MOT_TIM_Click Count</t>
  </si>
  <si>
    <t>SPR_ISO_CO_MOT_VID</t>
  </si>
  <si>
    <t>SPR_ISO_CO_MOT_CON</t>
  </si>
  <si>
    <t>SPR_ISO_CO_MOT_TIM_First Click</t>
  </si>
  <si>
    <t>SPR_ISO_CO_MOT_TIM_Last Click</t>
  </si>
  <si>
    <t>SPR_ISO_CO_MOT_TIM_Page Submit</t>
  </si>
  <si>
    <t>SPR_ISO_CO_MOT_TIM_Click Count</t>
  </si>
  <si>
    <t>SPR_NON_WFI_MOT_VID</t>
  </si>
  <si>
    <t>SPR_NON_WFI_MOT_CON</t>
  </si>
  <si>
    <t>SPR_NON_WFI_MOT_TIM_First Click</t>
  </si>
  <si>
    <t>SPR_NON_WFI_MOT_TIM_Last Click</t>
  </si>
  <si>
    <t>SPR_NON_WFI_MOT_TIM_Page Submit</t>
  </si>
  <si>
    <t>SPR_NON_WFI_MOT_TIM_Click Count</t>
  </si>
  <si>
    <t>SPR_NON_AO_MOT_VID</t>
  </si>
  <si>
    <t>SPR_NON_AO_MOT_CON</t>
  </si>
  <si>
    <t>SPR_NON_AO_MOT_TIM_First Click</t>
  </si>
  <si>
    <t>SPR_NON_AO_MOT_TIM_Last Click</t>
  </si>
  <si>
    <t>SPR_NON_AO_MOT_TIM_Page Submit</t>
  </si>
  <si>
    <t>SPR_NON_AO_MOT_TIM_Click Count</t>
  </si>
  <si>
    <t>SPR_NON_FO_MOT_VID</t>
  </si>
  <si>
    <t>SPR_NON_FO_MOT_CON</t>
  </si>
  <si>
    <t>SPR_NON_FO_MOT_TIM_First Click</t>
  </si>
  <si>
    <t>SPR_NON_FO_MOT_TIM_Last Click</t>
  </si>
  <si>
    <t>SPR_NON_FO_MOT_TIM_Page Submit</t>
  </si>
  <si>
    <t>SPR_NON_FO_MOT_TIM_Click Count</t>
  </si>
  <si>
    <t>SPR_NON_ER_MOT_VID</t>
  </si>
  <si>
    <t>SPR_NON_ER_MOT_CON</t>
  </si>
  <si>
    <t>SPR_NON_ER_MOT_TIM_First Click</t>
  </si>
  <si>
    <t>SPR_NON_ER_MOT_TIM_Last Click</t>
  </si>
  <si>
    <t>SPR_NON_ER_MOT_TIM_Page Submit</t>
  </si>
  <si>
    <t>SPR_NON_ER_MOT_TIM_Click Count</t>
  </si>
  <si>
    <t>SPR_NON_CO_MOT_VID</t>
  </si>
  <si>
    <t>SPR_NON_CO_MOT_CON</t>
  </si>
  <si>
    <t>SPR_NON_CO_MOT_TIM_First Click</t>
  </si>
  <si>
    <t>SPR_NON_CO_MOT_TIM_Last Click</t>
  </si>
  <si>
    <t>SPR_NON_CO_MOT_TIM_Page Submit</t>
  </si>
  <si>
    <t>SPR_NON_CO_MOT_TIM_Click Count</t>
  </si>
  <si>
    <t>SPR_EMD_WFI_MOT_VID</t>
  </si>
  <si>
    <t>SPR_EMD_WFI_MOT_CON</t>
  </si>
  <si>
    <t>SPR_EMD_WFI_MOT_TIM_First Click</t>
  </si>
  <si>
    <t>SPR_EMD_WFI_MOT_TIM_Last Click</t>
  </si>
  <si>
    <t>SPR_EMD_WFI_MOT_TIM_Page Submit</t>
  </si>
  <si>
    <t>SPR_EMD_WFI_MOT_TIM_Click Count</t>
  </si>
  <si>
    <t>SPR_EMD_AO_MOT_VID</t>
  </si>
  <si>
    <t>SPR_EMD_AO_MOT_CON</t>
  </si>
  <si>
    <t>SPR_EMD_AO_MOT_TIM_First Click</t>
  </si>
  <si>
    <t>SPR_EMD_AO_MOT_TIM_Last Click</t>
  </si>
  <si>
    <t>SPR_EMD_AO_MOT_TIM_Page Submit</t>
  </si>
  <si>
    <t>SPR_EMD_AO_MOT_TIM_Click Count</t>
  </si>
  <si>
    <t>SPR_EMD_FO_MOT_VID</t>
  </si>
  <si>
    <t>SPR_EMD_FO_MOT_CON</t>
  </si>
  <si>
    <t>SPR_EMD_FO_MOT_TIM_First Click</t>
  </si>
  <si>
    <t>SPR_EMD_FO_MOT_TIM_Last Click</t>
  </si>
  <si>
    <t>SPR_EMD_FO_MOT_TIM_Page Submit</t>
  </si>
  <si>
    <t>SPR_EMD_FO_MOT_TIM_Click Count</t>
  </si>
  <si>
    <t>SPR_EMD_ER_MOT_VID</t>
  </si>
  <si>
    <t>SPR_EMD_ER_MOT_CON</t>
  </si>
  <si>
    <t>SPR_EMD_ER_MOT_TIM_First Click</t>
  </si>
  <si>
    <t>SPR_EMD_ER_MOT_TIM_Last Click</t>
  </si>
  <si>
    <t>SPR_EMD_ER_MOT_TIM_Page Submit</t>
  </si>
  <si>
    <t>SPR_EMD_ER_MOT_TIM_Click Count</t>
  </si>
  <si>
    <t>SPR_EMD_CO_MOT_VID</t>
  </si>
  <si>
    <t>SPR_EMD_CO_MOT_CON</t>
  </si>
  <si>
    <t>SPR_EMD_CO_MOT_TIM_First Click</t>
  </si>
  <si>
    <t>SPR_EMD_CO_MOT_TIM_Last Click</t>
  </si>
  <si>
    <t>SPR_EMD_CO_MOT_TIM_Page Submit</t>
  </si>
  <si>
    <t>SPR_EMD_CO_MOT_TIM_Click Count</t>
  </si>
  <si>
    <t>SPR_DYN_WFI_MOT_VID</t>
  </si>
  <si>
    <t>SPR_DYN_WFI_MOT_CON</t>
  </si>
  <si>
    <t>SPR_DYN_WFI_MOT_TIM_First Click</t>
  </si>
  <si>
    <t>SPR_DYN_WFI_MOT_TIM_Last Click</t>
  </si>
  <si>
    <t>SPR_DYN_WFI_MOT_TIM_Page Submit</t>
  </si>
  <si>
    <t>SPR_DYN_WFI_MOT_TIM_Click Count</t>
  </si>
  <si>
    <t>SPR_DYN_AO_MOT_VID</t>
  </si>
  <si>
    <t>SPR_DYN_AO_MOT_CON</t>
  </si>
  <si>
    <t>SPR_DYN_AO_MOT_TIM_First Click</t>
  </si>
  <si>
    <t>SPR_DYN_AO_MOT_TIM_Last Click</t>
  </si>
  <si>
    <t>SPR_DYN_AO_MOT_TIM_Page Submit</t>
  </si>
  <si>
    <t>SPR_DYN_AO_MOT_TIM_Click Count</t>
  </si>
  <si>
    <t>SPR_DYN_FO_MOT_VID</t>
  </si>
  <si>
    <t>SPR_DYN_FO_MOT_CON</t>
  </si>
  <si>
    <t>SPR_DYN_FO_MOT_TIM_First Click</t>
  </si>
  <si>
    <t>SPR_DYN_FO_MOT_TIM_Last Click</t>
  </si>
  <si>
    <t>SPR_DYN_FO_MOT_TIM_Page Submit</t>
  </si>
  <si>
    <t>SPR_DYN_FO_MOT_TIM_Click Count</t>
  </si>
  <si>
    <t>SPR_DYN_ER_MOT_VID</t>
  </si>
  <si>
    <t>SPR_DYN_ER_MOT_CON</t>
  </si>
  <si>
    <t>SPR_DYN_ER_MOT_TIM_First Click</t>
  </si>
  <si>
    <t>SPR_DYN_ER_MOT_TIM_Last Click</t>
  </si>
  <si>
    <t>SPR_DYN_ER_MOT_TIM_Page Submit</t>
  </si>
  <si>
    <t>SPR_DYN_ER_MOT_TIM_Click Count</t>
  </si>
  <si>
    <t>SPR_DYN_CO_MOT_VID</t>
  </si>
  <si>
    <t>SPR_DYN_CO_MOT_CON</t>
  </si>
  <si>
    <t>SPR_DYN_CO_MOT_TIM_First Click</t>
  </si>
  <si>
    <t>SPR_DYN_CO_MOT_TIM_Last Click</t>
  </si>
  <si>
    <t>SPR_DYN_CO_MOT_TIM_Page Submit</t>
  </si>
  <si>
    <t>SPR_DYN_CO_MOT_TIM_Click Count</t>
  </si>
  <si>
    <t>MIN_ISO_WFI_MOT_VID</t>
  </si>
  <si>
    <t>MIN_ISO_WFI_MOT_CON</t>
  </si>
  <si>
    <t>MIN_ISO_WFI_MOT_TIM_First Click</t>
  </si>
  <si>
    <t>MIN_ISO_WFI_MOT_TIM_Last Click</t>
  </si>
  <si>
    <t>MIN_ISO_WFI_MOT_TIM_Page Submit</t>
  </si>
  <si>
    <t>MIN_ISO_WFI_MOT_TIM_Click Count</t>
  </si>
  <si>
    <t>MIN_ISO_IWO_VID</t>
  </si>
  <si>
    <t>MIN_ISO_IWO_CON</t>
  </si>
  <si>
    <t>MIN_ISO_IWO_TIM_First Click</t>
  </si>
  <si>
    <t>MIN_ISO_IWO_TIM_Last Click</t>
  </si>
  <si>
    <t>MIN_ISO_IWO_TIM_Page Submit</t>
  </si>
  <si>
    <t>MIN_ISO_IWO_TIM_Click Count</t>
  </si>
  <si>
    <t>MIN_ISO_NH_MOT_VID</t>
  </si>
  <si>
    <t>MIN_ISO_NH_MOT_CON</t>
  </si>
  <si>
    <t>Q748_First Click</t>
  </si>
  <si>
    <t>Q748_Last Click</t>
  </si>
  <si>
    <t>Q748_Page Submit</t>
  </si>
  <si>
    <t>Q748_Click Count</t>
  </si>
  <si>
    <t>MIN_NON_WFI_MOT_VID</t>
  </si>
  <si>
    <t>MIN_NON_WFI_MOT_CON</t>
  </si>
  <si>
    <t>MIN_NON_WFI_MOT_TIM_First Click</t>
  </si>
  <si>
    <t>MIN_NON_WFI_MOT_TIM_Last Click</t>
  </si>
  <si>
    <t>MIN_NON_WFI_MOT_TIM_Page Submit</t>
  </si>
  <si>
    <t>MIN_NON_WFI_MOT_TIM_Click Count</t>
  </si>
  <si>
    <t>MIN_NON_IWO_VID</t>
  </si>
  <si>
    <t>MIN_NON_IWO_CON</t>
  </si>
  <si>
    <t>MIN_NON_IWO_TIM_First Click</t>
  </si>
  <si>
    <t>MIN_NON_IWO_TIM_Last Click</t>
  </si>
  <si>
    <t>MIN_NON_IWO_TIM_Page Submit</t>
  </si>
  <si>
    <t>MIN_NON_IWO_TIM_Click Count</t>
  </si>
  <si>
    <t>MIN_NON_NH_MOT_VID</t>
  </si>
  <si>
    <t>MIN_NON_NH_MOT_CON</t>
  </si>
  <si>
    <t>MIN_NON_NH_MOT_TIM_First Click</t>
  </si>
  <si>
    <t>MIN_NON_NH_MOT_TIM_Last Click</t>
  </si>
  <si>
    <t>MIN_NON_NH_MOT_TIM_Page Submit</t>
  </si>
  <si>
    <t>MIN_NON_NH_MOT_TIM_Click Count</t>
  </si>
  <si>
    <t>MIN_EMD_WFI_MOT_VID</t>
  </si>
  <si>
    <t>MIN_EMD_WFI_MOT_CON</t>
  </si>
  <si>
    <t>MIN_EMD_WFI_MOT_TIM_First Click</t>
  </si>
  <si>
    <t>MIN_EMD_WFI_MOT_TIM_Last Click</t>
  </si>
  <si>
    <t>MIN_EMD_WFI_MOT_TIM_Page Submit</t>
  </si>
  <si>
    <t>MIN_EMD_WFI_MOT_TIM_Click Count</t>
  </si>
  <si>
    <t>MIN_EMD_IWO_MOT_VID</t>
  </si>
  <si>
    <t>MIN_EMD_IWO_MOT_CON</t>
  </si>
  <si>
    <t>MIN_EMD_IWO_MOT_TIM_First Click</t>
  </si>
  <si>
    <t>MIN_EMD_IWO_MOT_TIM_Last Click</t>
  </si>
  <si>
    <t>MIN_EMD_IWO_MOT_TIM_Page Submit</t>
  </si>
  <si>
    <t>MIN_EMD_IWO_MOT_TIM_Click Count</t>
  </si>
  <si>
    <t>MIN_EMD_NH_MOT_VID</t>
  </si>
  <si>
    <t>MIN_EMD_NH_MOT_CON</t>
  </si>
  <si>
    <t>MIN_EMD_NH_MOT_TIM_First Click</t>
  </si>
  <si>
    <t>MIN_EMD_NH_MOT_TIM_Last Click</t>
  </si>
  <si>
    <t>MIN_EMD_NH_MOT_TIM_Page Submit</t>
  </si>
  <si>
    <t>MIN_EMD_NH_MOT_TIM_Click Count</t>
  </si>
  <si>
    <t>MIN_DYN_WFI_MOT_VID</t>
  </si>
  <si>
    <t>MIN_DYN_WFI_MOT_CON</t>
  </si>
  <si>
    <t>MIN_DYN_WFI_MOT_TIM_First Click</t>
  </si>
  <si>
    <t>MIN_DYN_WFI_MOT_TIM_Last Click</t>
  </si>
  <si>
    <t>MIN_DYN_WFI_MOT_TIM_Page Submit</t>
  </si>
  <si>
    <t>MIN_DYN_WFI_MOT_TIM_Click Count</t>
  </si>
  <si>
    <t>MIN_DYN_IWO_MOT_VID</t>
  </si>
  <si>
    <t>MIN_DYN_IWO_MOT_CON</t>
  </si>
  <si>
    <t>MIN_DYN_IWO_MOT_TIM_First Click</t>
  </si>
  <si>
    <t>MIN_DYN_IWO_MOT_TIM_Last Click</t>
  </si>
  <si>
    <t>MIN_DYN_IWO_MOT_TIM_Page Submit</t>
  </si>
  <si>
    <t>MIN_DYN_IWO_MOT_TIM_Click Count</t>
  </si>
  <si>
    <t>MIN_DYN_NH_MOT_VID</t>
  </si>
  <si>
    <t>MIN_DYN_NH_MOT_CON</t>
  </si>
  <si>
    <t>MIN_DYN_NH_MOT_TIM_First Click</t>
  </si>
  <si>
    <t>MIN_DYN_NH_MOT_TIM_Last Click</t>
  </si>
  <si>
    <t>MIN_DYN_NH_MOT_TIM_Page Submit</t>
  </si>
  <si>
    <t>MIN_DYN_NH_MOT_TIM_Click Count</t>
  </si>
  <si>
    <t>aspects_waiting</t>
  </si>
  <si>
    <t>should_have_waitin</t>
  </si>
  <si>
    <t>aspects_anapin</t>
  </si>
  <si>
    <t>should_have_anapin</t>
  </si>
  <si>
    <t>aspects_foundpin</t>
  </si>
  <si>
    <t>should_have_foundpin</t>
  </si>
  <si>
    <t>aspects_error</t>
  </si>
  <si>
    <t>should_have_error</t>
  </si>
  <si>
    <t>aspects_confus</t>
  </si>
  <si>
    <t>should_have_confused</t>
  </si>
  <si>
    <t>final_feedback</t>
  </si>
  <si>
    <t>email_capture</t>
  </si>
  <si>
    <t>SectionCounter</t>
  </si>
  <si>
    <t>GroupOrder</t>
  </si>
  <si>
    <t>VideoCounter</t>
  </si>
  <si>
    <t>Create New Field or Choose From Dropdown...</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</si>
  <si>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</si>
  <si>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</si>
  <si>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</si>
  <si>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</si>
  <si>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</si>
  <si>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</si>
  <si>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</si>
  <si>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</si>
  <si>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</si>
  <si>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</si>
  <si>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</si>
  <si>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</si>
  <si>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</si>
  <si>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</si>
  <si>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</si>
  <si>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the following: - Provide non-identifying personal data (age, field of work, etc.)</t>
  </si>
  <si>
    <t>I consent to the following: - Watch and provide feedback on videos of expressive robots</t>
  </si>
  <si>
    <t>I consent to the following: - Answer a questionnaire regarding the videos of robots</t>
  </si>
  <si>
    <t>I consent to the following: - Have my non-identifying data published in academic publications and shared in online data repositories</t>
  </si>
  <si>
    <t>What is your current industry of occupation?</t>
  </si>
  <si>
    <t>Do you currently or have you previously owned any pets?</t>
  </si>
  <si>
    <t>How often do you... - Interact with everyday technology (e.g. use a smartphone, computer or tablet)</t>
  </si>
  <si>
    <t>How often do you... - Observe or interact with robots at home (e.g. supervise a vacuum robot)</t>
  </si>
  <si>
    <t>How often do you... - Observe or interact with robots at work (e.g. collaborativly pack a box with a robot arm)</t>
  </si>
  <si>
    <t>How often do you... - Observe or interact with robots in public (e.g. observe a grocery store cleaning robot)</t>
  </si>
  <si>
    <t>Video [Field-VideoCounter]: Watch the video below and indicate which robot state you think Calcifer is communicating.</t>
  </si>
  <si>
    <t>Indicate your confidence in your response:</t>
  </si>
  <si>
    <t>Timing - First Click</t>
  </si>
  <si>
    <t>Timing - Last Click</t>
  </si>
  <si>
    <t>Timing - Page Submit</t>
  </si>
  <si>
    <t>Timing - Click Count</t>
  </si>
  <si>
    <t>Based on what you saw in the videos, what aspects of the robot's body language did you associate with the state Waiting for Input?</t>
  </si>
  <si>
    <t>Describe what you think the robot should have done to express the state Waiting for Input?</t>
  </si>
  <si>
    <t>Based on what you saw in the videos, what aspects of the robot's body language did you associate with the state Analyzing Pinecone?</t>
  </si>
  <si>
    <t>Describe what you think the robot should have done to express the state Analyzing Pinecone?</t>
  </si>
  <si>
    <t>Based on what you saw in the videos, what aspects of the robot's body language did you associate with the state Found Pinecone?</t>
  </si>
  <si>
    <t>Describe what you think the robot should have done to express the state Found Pinecone?</t>
  </si>
  <si>
    <t>Based on what you saw in the videos, what aspects of the robot's body language did you associate with the state Error?</t>
  </si>
  <si>
    <t>Describe what you think the robot should have done to express the state Error?</t>
  </si>
  <si>
    <t>Based on what you saw in the videos, what aspects of the robot's body language did you associate with the state Confused?</t>
  </si>
  <si>
    <t>Describe what you think the robot should have done to express the state Confused?</t>
  </si>
  <si>
    <t>Optional | Is there any other feedback you’d like to provide related to the robot, this study, or this
research in general?</t>
  </si>
  <si>
    <t>Optional | If you are interested in participating in our future online studies, please provide your email below. This data will not be shared with anyone or used for any other purpose beyond contacting you regarding our future research studies.
Your response has not been submitted yet. Hit next to continue.</t>
  </si>
  <si>
    <t>185.153.179.23</t>
  </si>
  <si>
    <t>True</t>
  </si>
  <si>
    <t>R_7riMjeGOoUZ7EKu</t>
  </si>
  <si>
    <t/>
  </si>
  <si>
    <t>anonymous</t>
  </si>
  <si>
    <t>EN</t>
  </si>
  <si>
    <t>Yes</t>
  </si>
  <si>
    <t>Academic (e.g. student, teacher)</t>
  </si>
  <si>
    <t>Dog</t>
  </si>
  <si>
    <t>Nearly every day or more</t>
  </si>
  <si>
    <t>Never</t>
  </si>
  <si>
    <t>At least once per week</t>
  </si>
  <si>
    <t>Waiting for Input | Calcifer is in standby mode, waiting for a command from you.</t>
  </si>
  <si>
    <t>Somewhat Confident</t>
  </si>
  <si>
    <t>Analyzing Pinecone | Calcifer is analyzing a target pinecone to assess its size.</t>
  </si>
  <si>
    <t>Fully Confident</t>
  </si>
  <si>
    <t>Error | Calcifer is signalling to you that it is experiencing a critical error.</t>
  </si>
  <si>
    <t>Very Confident</t>
  </si>
  <si>
    <t>Not Very Confident</t>
  </si>
  <si>
    <t>Confused | Calcifer is signalling to you that it is confused and unsure what to do.</t>
  </si>
  <si>
    <t>Found Pinecone | Calcifer is signalling to you that it has found a suitable pinecone.</t>
  </si>
  <si>
    <t>Interacting with Pinecone | Calcifer is interacting with a target pinecone.</t>
  </si>
  <si>
    <t>Needs Help | Calcifer is signalling to you that it needs your help.</t>
  </si>
  <si>
    <t xml:space="preserve">Looking at me and not moving </t>
  </si>
  <si>
    <t xml:space="preserve">Looking at me and not moving  </t>
  </si>
  <si>
    <t xml:space="preserve">Was crouching down to look at the pinecone </t>
  </si>
  <si>
    <t xml:space="preserve">Crouching down and looking at a pinecone </t>
  </si>
  <si>
    <t xml:space="preserve">Looking at me while in front of a pinecone </t>
  </si>
  <si>
    <t>Maybe a distinctive movement to get my attention</t>
  </si>
  <si>
    <t xml:space="preserve">Shaking </t>
  </si>
  <si>
    <t xml:space="preserve">Shaking or lying down </t>
  </si>
  <si>
    <t xml:space="preserve">Tilting its head and shoulder  </t>
  </si>
  <si>
    <t>colleen.ogilvie@ucalgary.ca</t>
  </si>
  <si>
    <t>2</t>
  </si>
  <si>
    <t>20</t>
  </si>
  <si>
    <t>106.70.72.222</t>
  </si>
  <si>
    <t>R_4WAuQLonzRKrSfC</t>
  </si>
  <si>
    <t>Dog,Fish</t>
  </si>
  <si>
    <t>Less than once per month</t>
  </si>
  <si>
    <t>When the robot was still but not facing the pine cones</t>
  </si>
  <si>
    <t>Point it's head up at the user</t>
  </si>
  <si>
    <t>When the robot was looking down directly at the pine cone</t>
  </si>
  <si>
    <t xml:space="preserve">When the robot was looking up from the pinecones </t>
  </si>
  <si>
    <t>When the robot was shaking a lot and the body tilt was not level</t>
  </si>
  <si>
    <t>A lot of shaky movement, ideally pointing at the user</t>
  </si>
  <si>
    <t>When the robot was tilted away from the pinecones</t>
  </si>
  <si>
    <t>12</t>
  </si>
  <si>
    <t>1.145.210.32</t>
  </si>
  <si>
    <t>R_47j7XUtfSdILY1E</t>
  </si>
  <si>
    <t>Cat</t>
  </si>
  <si>
    <t>A few times per month</t>
  </si>
  <si>
    <t>Not Confident at All</t>
  </si>
  <si>
    <t xml:space="preserve">A neutral state with no motion. I usually associated this state with flat poses and a gaze either not directed at anything or directed at me, waiting for me to give a command. Generally, I was more confident assigning this state to poses that did not have any specific focus, i.e. the pine cones or camera.  </t>
  </si>
  <si>
    <t>I would expect a neutral pose, with no movement or extended limbs.</t>
  </si>
  <si>
    <t>I found this to be the most obvious pose, indicated by the robot looking directly at the pine cones. A tilt towards the pine cones also made this more obvious.</t>
  </si>
  <si>
    <t>Looking at the pine cones from close range with raised back legs and lowered front legs was an obvious indication that the robot was analyzing the pine cones.</t>
  </si>
  <si>
    <t>I didn't see many poses that I associated with this state. I think the only pose that I assigned to this group was looking upward while standing in front of the pine cones.</t>
  </si>
  <si>
    <t>I would have expected the robot to face me and move its front up and down, almost like an excited dog. Alternatively, moving its gaze between me and the cones repeatedly would have indicated that it was trying to bring them to my attention.</t>
  </si>
  <si>
    <t>I mostly associated this state with jittery motions, usually while looking at the camera.</t>
  </si>
  <si>
    <t>I think jittery motions are a good way to convey error, possibly in a lowered stance (like a cowering animal).</t>
  </si>
  <si>
    <t>I associated this state with a lopsided pose, like a shrugging shoulder.</t>
  </si>
  <si>
    <t>I think the shrugging motion was effective, especially while looking at the camera. It gave the impression that the robot was asking a question.</t>
  </si>
  <si>
    <t>I think that the poses are good static presentations of the states, but dynamic/repeated motions (such as the one I described for found pinecone) could have been more descriptive. Overall, I think I felt more confident with the first group of videos. It could also be helpful to view the same poses in slightly different contexts (locations, camera angles etc.) to better understand them. I'm not expecting you to make any of these changes, but just some thoughts. A few other notes: some of the videos said 'full screen unavailable', although this wasn't much of an issue. Also, a lot of the videos felt very similar and sometimes the same clip seemed to repeat a few times, not sure if that's intentional or if its randomized though. Finally, if the scenario is the same for the 2 video sets, any need to introduce it twice? It's all looking good though Liam, good luck with the final edits.</t>
  </si>
  <si>
    <t>120.159.76.92</t>
  </si>
  <si>
    <t>R_4pnywJ4fzDl5YOv</t>
  </si>
  <si>
    <t>Standing still and looking up at me</t>
  </si>
  <si>
    <t xml:space="preserve">Sitting on its back legs and looking up at me. </t>
  </si>
  <si>
    <t xml:space="preserve">Starting at the pinecone. </t>
  </si>
  <si>
    <t xml:space="preserve">That seemed fine. </t>
  </si>
  <si>
    <t>Bending down to stare at the pinecone</t>
  </si>
  <si>
    <t>The robot should have starred at the pinecone and shaked  its behind, to imitate tail wagging</t>
  </si>
  <si>
    <t>Uncontrollable shaking (although I didn't understand this at first)</t>
  </si>
  <si>
    <t xml:space="preserve">Lie down on its side or back </t>
  </si>
  <si>
    <t>Head twisting to the side and starting at me</t>
  </si>
  <si>
    <t xml:space="preserve">More prominent head twisting. Perhaps sitting down. </t>
  </si>
  <si>
    <t xml:space="preserve">I think that the behaviours should be more distinct from each other. The differences are too nuanced at the moment. Also, I'm assuming a person interacting with the robot will get a manual telling them about these behaviours - "the robot will wag its tale once it achieves a task". So all you really have to do is make all of the behaviours distinct enough for a human to identify.  </t>
  </si>
  <si>
    <t>mor.vered@monash.edu</t>
  </si>
  <si>
    <t>three_then_five</t>
  </si>
  <si>
    <t>142.160.47.236</t>
  </si>
  <si>
    <t>R_1YBwOSs3BJxnPKF</t>
  </si>
  <si>
    <t>Healthcare (e.g. doctor, nurse)</t>
  </si>
  <si>
    <t>Dog,Cat,Bird,Fish,Other</t>
  </si>
  <si>
    <t>Looking up</t>
  </si>
  <si>
    <t>Neutral stance, looking up</t>
  </si>
  <si>
    <t>Looking down, kneeling down,</t>
  </si>
  <si>
    <t>The slight head tilt while looking down was good but i think the front legs down and back legs up while looking down work</t>
  </si>
  <si>
    <t xml:space="preserve">This was much harder, looking up front legs up back legs down, a slight bum wiggle initially but later on i found that to be more looking like an error </t>
  </si>
  <si>
    <t>I dont know if you can make it sit like a dog but that would work</t>
  </si>
  <si>
    <t>Any shaky movement, twisting its head while neutral or looking up</t>
  </si>
  <si>
    <t>Can it do all 4 legs down and basically make its belly touch the floor? Almost like a shut down state</t>
  </si>
  <si>
    <t>All 4 legs up or perhaps just the front ones with its head looking up and rotated slightly is exactly how my dog does it. The little head tilt</t>
  </si>
  <si>
    <t>I cant think of a better one than a slight head tilt/rotation</t>
  </si>
  <si>
    <t xml:space="preserve">Several of the videos looked almost exactly the same, i had to check to make sure i was watching the right ones. I'm assuming thats part of the design of your questionnaire but may help to warn about it upfront </t>
  </si>
  <si>
    <t>five_then_three</t>
  </si>
  <si>
    <t>130.194.140.55</t>
  </si>
  <si>
    <t>R_4FiDGZYwJzUN2Ux</t>
  </si>
  <si>
    <t>No</t>
  </si>
  <si>
    <t>The robot is facing towards me and staring at me, sometimes with a tilted head(or body).</t>
  </si>
  <si>
    <t>Facing towards me and staring at me, like what a dog would do.</t>
  </si>
  <si>
    <t>Staring at the pinecone.</t>
  </si>
  <si>
    <t>Staring at the pinecone and also moving its head around to scan the pinecone.</t>
  </si>
  <si>
    <t>Staring at the pinecone, then stare at me, repeat for a few time to get my attention.</t>
  </si>
  <si>
    <t>Shaking? I'm not sure.</t>
  </si>
  <si>
    <t>I'm not sure, maybe lay on the ground, pretending it's sick.</t>
  </si>
  <si>
    <t>Tilted head/body.</t>
  </si>
  <si>
    <t>Haoyang.Jiang@monash.edu</t>
  </si>
  <si>
    <t>24.78.128.219</t>
  </si>
  <si>
    <t>R_7ZebeaRanGXlxv3</t>
  </si>
  <si>
    <t>Retired</t>
  </si>
  <si>
    <t>Standing away from pine cone and looking up</t>
  </si>
  <si>
    <t>Maybe put a paw out in front</t>
  </si>
  <si>
    <t>Looking intently at the cone</t>
  </si>
  <si>
    <t>Look intently and put rear legs down</t>
  </si>
  <si>
    <t>Standing over the pinecone looking down</t>
  </si>
  <si>
    <t>Look at the pinecone and then up at you</t>
  </si>
  <si>
    <t>Standing away from pinecone and body shakng</t>
  </si>
  <si>
    <t>Laydown on it's side</t>
  </si>
  <si>
    <t>Looking up and shaking</t>
  </si>
  <si>
    <t>Standing away from pinecone and looking up and shaking body</t>
  </si>
  <si>
    <t>Sometimes the robot's actions were similar and confusing which of the options were being considered</t>
  </si>
  <si>
    <t>jayeshmaniar@gmail,com</t>
  </si>
  <si>
    <t>130.194.140.112</t>
  </si>
  <si>
    <t>R_97ucJYqNpZNTKi5</t>
  </si>
  <si>
    <t>Dog,Cat</t>
  </si>
  <si>
    <t>lower body and holding position</t>
  </si>
  <si>
    <t>look at me and stay still</t>
  </si>
  <si>
    <t>look at pinecone and stay still</t>
  </si>
  <si>
    <t>Look at the pinecone and tail shaking</t>
  </si>
  <si>
    <t>shaking weridly</t>
  </si>
  <si>
    <t>unexpected movement like it is faulty</t>
  </si>
  <si>
    <t>maybe shaking horizontally?</t>
  </si>
  <si>
    <t>70.72.194.78</t>
  </si>
  <si>
    <t>R_3lI0e6W07dTDGmZ</t>
  </si>
  <si>
    <t>Engineering (e.g. design, consulting)</t>
  </si>
  <si>
    <t>Staying still and looking at me through its camera</t>
  </si>
  <si>
    <t>I think it expresses  pretty clearly that it is waiting for input.</t>
  </si>
  <si>
    <t>looking at pinecones with a nose-down motion</t>
  </si>
  <si>
    <t>The nose-down motion express well its intention.</t>
  </si>
  <si>
    <t>Staying still and looking at the sky.</t>
  </si>
  <si>
    <t>I think looking up while staying still is clear enough.</t>
  </si>
  <si>
    <t>Shaking its body.</t>
  </si>
  <si>
    <t>The shaking motion expresses well that the robot is experiencing some kind of problems. (I am not sure it is within your research scope, but a little concern is that this motion may consume unnecessary energy)</t>
  </si>
  <si>
    <t>Slightly tilting it body.</t>
  </si>
  <si>
    <t>I am concerned that tilting the robot's body may cause confusion if the tilt angle is not clearly noticeable, especially when the robot is on sloped terrain (e.g., a mountain). It would be better if the robot could rotate its head (though I'm not sure if it can), so that the user can clearly see the head tilted relative to the body.</t>
  </si>
  <si>
    <t>I am not sure if your research scope is just constrained to interaction with body motions. If it is not, adding other method may greatly increase the robot's communication skills (e.g., lights, sounds, texts...).</t>
  </si>
  <si>
    <t>chanhong.park1@ucalgary.ca</t>
  </si>
  <si>
    <t>130.194.132.91</t>
  </si>
  <si>
    <t>R_4Lok5ssaQvc3QwO</t>
  </si>
  <si>
    <t>Looking at me, with a titled head</t>
  </si>
  <si>
    <t>Look at me with, titled head</t>
  </si>
  <si>
    <t>Lean down and look at pine cone</t>
  </si>
  <si>
    <t>Did not see that state</t>
  </si>
  <si>
    <t>Stare and move, so it is not looking like analysis</t>
  </si>
  <si>
    <t>Robot legs looking shakey</t>
  </si>
  <si>
    <t>Staring at the ground, without a pinecone.</t>
  </si>
  <si>
    <t>Not sure</t>
  </si>
  <si>
    <t>103.131.13.253</t>
  </si>
  <si>
    <t>R_9O6ipay435q2PNT</t>
  </si>
  <si>
    <t>Sit and stay still</t>
  </si>
  <si>
    <t>getting closer to the ground</t>
  </si>
  <si>
    <t>Getting closer to the ground, with some movement for scanning</t>
  </si>
  <si>
    <t>Shaking happily</t>
  </si>
  <si>
    <t>Shaking happily, turning around</t>
  </si>
  <si>
    <t>irregular movements</t>
  </si>
  <si>
    <t>irregular and inconsistent movements</t>
  </si>
  <si>
    <t>Rotating the head</t>
  </si>
  <si>
    <t>rotating the head and looking for help</t>
  </si>
  <si>
    <t>49.127.56.42</t>
  </si>
  <si>
    <t>R_9xK75PTULFqYo7N</t>
  </si>
  <si>
    <t>sitting / looking up, looking at me, not moving</t>
  </si>
  <si>
    <t>(sitting / looking up OR looking at me) AND (not moving)</t>
  </si>
  <si>
    <t>Looking directly at the pinecone. Smooth movements or not moving, tilted body</t>
  </si>
  <si>
    <t>Looking directly at the pinecone. Smooth movements or not moving</t>
  </si>
  <si>
    <t>sitting / looking up, facing towards pinecone, not moving</t>
  </si>
  <si>
    <t>sitting / looking up AND facing towards pinecone AND not moving</t>
  </si>
  <si>
    <t>shaking motion</t>
  </si>
  <si>
    <t>The shaking motion is very clear, but also unnerving. Maybe sleeping would be better</t>
  </si>
  <si>
    <t>tilted body</t>
  </si>
  <si>
    <t>the motions are very cute! I really like your research topic</t>
  </si>
  <si>
    <t>Brandon.Johns@monash.edu</t>
  </si>
  <si>
    <t>24.77.26.184</t>
  </si>
  <si>
    <t>R_1BbowJglfXTJpOP</t>
  </si>
  <si>
    <t>Energy (e.g. renewables)</t>
  </si>
  <si>
    <t>Sit up and look at you</t>
  </si>
  <si>
    <t>Sit and lookup at you</t>
  </si>
  <si>
    <t>Looking at pinecone with scanning movement to analyze pinecone</t>
  </si>
  <si>
    <t>Scan pinecone in side to side and up and down movement</t>
  </si>
  <si>
    <t xml:space="preserve">Looking down and dropping front in direction of pinecone </t>
  </si>
  <si>
    <t xml:space="preserve">Touch or get very close to the pinecone with downward head movement </t>
  </si>
  <si>
    <t>Possible Tilting to the side</t>
  </si>
  <si>
    <t>Same state of tilt on whole body</t>
  </si>
  <si>
    <t xml:space="preserve">With the tilt of the head to one side while sitting </t>
  </si>
  <si>
    <t xml:space="preserve">Same. Tilting of head standing or sitting. </t>
  </si>
  <si>
    <t>104.28.124.11</t>
  </si>
  <si>
    <t>R_3sgLX1JHHcY8Mr7</t>
  </si>
  <si>
    <t>Stillness, looking directly at me</t>
  </si>
  <si>
    <t>What he expressed made sense to me</t>
  </si>
  <si>
    <t>Crouching down, looking at pinecone</t>
  </si>
  <si>
    <t xml:space="preserve">Maybe some more movement? I found it difficult to know when he was analysing vs signalling. </t>
  </si>
  <si>
    <t xml:space="preserve">I couldn’t tell the difference between analyzing and is indicating a found pine cone. </t>
  </si>
  <si>
    <t>I guess the crouching down but still?</t>
  </si>
  <si>
    <t>When he was shaking</t>
  </si>
  <si>
    <t>I think that made sense</t>
  </si>
  <si>
    <t>When he titled his head/body</t>
  </si>
  <si>
    <t>Also made sense to me</t>
  </si>
  <si>
    <t>116.255.54.37</t>
  </si>
  <si>
    <t>R_9QFzKQ2hsgJFdSx</t>
  </si>
  <si>
    <t>Fish</t>
  </si>
  <si>
    <t>Looking at the user</t>
  </si>
  <si>
    <t>Looking at the user, not shaking, flat not tilted</t>
  </si>
  <si>
    <t>Looking at the ground, tilting body</t>
  </si>
  <si>
    <t>Looking at the ground, flat</t>
  </si>
  <si>
    <t>Shaking motion looking at the user</t>
  </si>
  <si>
    <t>Looking at the user head tilted</t>
  </si>
  <si>
    <t xml:space="preserve">tsam0009@student.monash.edu
</t>
  </si>
  <si>
    <t>68.146.22.107</t>
  </si>
  <si>
    <t>R_56oyO4Os4M6bCJb</t>
  </si>
  <si>
    <t>Technology (e.g. app developer)</t>
  </si>
  <si>
    <t>Dog,Cat,Rabbit,Fish</t>
  </si>
  <si>
    <t>Looking at me.</t>
  </si>
  <si>
    <t>Look at me</t>
  </si>
  <si>
    <t>Looking at pinecones</t>
  </si>
  <si>
    <t>Look at pinecones</t>
  </si>
  <si>
    <t>Looking at pinecones and wagging</t>
  </si>
  <si>
    <t>Look at pinecones and wag</t>
  </si>
  <si>
    <t>Looking at ground and crouching with a tilt</t>
  </si>
  <si>
    <t>Lie down and roll over to play dead</t>
  </si>
  <si>
    <t>Look at ground and move front of body side to side</t>
  </si>
  <si>
    <t>Look at ground and move front of body side to side as if shaking ones head to say 'no'</t>
  </si>
  <si>
    <t>The greater the range of motion of the robot the easier it will be communicate their state.</t>
  </si>
  <si>
    <t>Rainer@Iraschko.net</t>
  </si>
  <si>
    <t>136.226.79.7</t>
  </si>
  <si>
    <t>R_5Y9rumy3PJyVL9I</t>
  </si>
  <si>
    <t>Looking at me and sat still</t>
  </si>
  <si>
    <t>Looking at pinecone not moving</t>
  </si>
  <si>
    <t>Looking at pinecone and moving</t>
  </si>
  <si>
    <t>Look at pinecone then look at me or sit next to the pinecone</t>
  </si>
  <si>
    <t>Shaking, not looking at anything</t>
  </si>
  <si>
    <t>Lay down and not move</t>
  </si>
  <si>
    <t>Tilted head</t>
  </si>
  <si>
    <t>Tilt head</t>
  </si>
  <si>
    <t>A lot of the videos look the same</t>
  </si>
  <si>
    <t>220.233.4.109</t>
  </si>
  <si>
    <t>R_9q1SqyY6LCOxUGk</t>
  </si>
  <si>
    <t>Bird</t>
  </si>
  <si>
    <t>sitting or standing still and facing me</t>
  </si>
  <si>
    <t>sitting still and facing me</t>
  </si>
  <si>
    <t>standing with lowered front while facing the pinecone</t>
  </si>
  <si>
    <t>small head movement that looks like "scanning" the pinecone, or circling around the pinecone</t>
  </si>
  <si>
    <t>sitting next to the pinecone with head tilted towards the pinecone while facing me</t>
  </si>
  <si>
    <t>look at pinecone, then look at me</t>
  </si>
  <si>
    <t>trembles</t>
  </si>
  <si>
    <t>head scratches? lying upside down? this one is kinda hard to communicate and probably depends on what error the robot is experiencing</t>
  </si>
  <si>
    <t>I consider confused as a type of error, so it's difficult to distinguish them</t>
  </si>
  <si>
    <t>some states are difficult to distinguish from gesture alone, such as sitting still may either be waiting for inputs or pinecone found</t>
  </si>
  <si>
    <t>Leimin.Tian@monash.edu</t>
  </si>
  <si>
    <t>KEY</t>
  </si>
  <si>
    <t>Isolation</t>
  </si>
  <si>
    <t>WFI</t>
  </si>
  <si>
    <t>No Dist</t>
  </si>
  <si>
    <t>EMD</t>
  </si>
  <si>
    <t>Dynamic</t>
  </si>
  <si>
    <t>Participants</t>
  </si>
  <si>
    <t>AO</t>
  </si>
  <si>
    <t>FO</t>
  </si>
  <si>
    <t>E</t>
  </si>
  <si>
    <t>C</t>
  </si>
  <si>
    <t>IWO</t>
  </si>
  <si>
    <t>NH</t>
  </si>
  <si>
    <t>Total Average</t>
  </si>
  <si>
    <t>All-State Average</t>
  </si>
  <si>
    <t>5-State Space</t>
  </si>
  <si>
    <t>3-State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</si>
</sst>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indexed="8"/>
      <name val="Aptos Narrow"/>
      <family val="2"/>
      <scheme val="minor"/>
    </font>
    <font>
      <sz val="11"/>
      <color indexed="8"/>
      <name val="Aptos Narrow"/>
      <family val="2"/>
      <scheme val="minor"/>
    </font>
    <font>
      <sz val="16"/>
      <color indexed="8"/>
      <name val="Aptos Narrow"/>
      <scheme val="minor"/>
    </font>
    <font>
      <b/>
      <sz val="16"/>
      <color indexed="8"/>
      <name val="Aptos Narrow"/>
      <scheme val="minor"/>
    </font>
    <font>
      <b/>
      <sz val="16"/>
      <color theme="2"/>
      <name val="Aptos Narrow"/>
      <scheme val="minor"/>
    </font>
  </fonts>
  <fills count="5">
    <fill>
      <patternFill patternType="none"/>
    </fill>
    <fill>
      <patternFill patternType="gray125"/>
    </fill>
    <fill>
      <patternFill patternType="solid">
        <fgColor indexed="22"/>
      </patternFill>
    </fill>
    <fill>
      <patternFill patternType="solid">
        <fgColor rgb="FFFFC000"/>
        <bgColor indexed="64"/>
      </patternFill>
    </fill>
    <fill>
      <patternFill patternType="solid">
        <fgColor theme="8"/>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2" borderId="0" xfId="0" applyFill="1" applyAlignment="1"/>
    <xf numFmtId="22" fontId="0" fillId="0" borderId="0" xfId="0" applyNumberFormat="1" applyAlignment="1"/>
    <xf numFmtId="49" fontId="0" fillId="0" borderId="0" xfId="0" applyNumberFormat="1" applyAlignment="1"/>
    <xf numFmtId="0" fontId="0" fillId="0" borderId="0" xfId="0" applyAlignment="1"/>
    <xf numFmtId="0" fontId="0" fillId="3" borderId="0" xfId="0" applyFill="1"/>
    <xf numFmtId="0" fontId="2" fillId="0" borderId="0" xfId="0" applyFont="1"/>
    <xf numFmtId="164" fontId="2" fillId="0" borderId="0" xfId="1" applyNumberFormat="1" applyFont="1" applyAlignment="1">
      <alignment horizontal="center"/>
    </xf>
    <xf numFmtId="164" fontId="3" fillId="0" borderId="1" xfId="1" applyNumberFormat="1" applyFont="1" applyBorder="1" applyAlignment="1">
      <alignment horizontal="center"/>
    </xf>
    <xf numFmtId="164" fontId="2" fillId="0" borderId="9" xfId="1" applyNumberFormat="1" applyFont="1" applyBorder="1" applyAlignment="1">
      <alignment horizontal="center"/>
    </xf>
    <xf numFmtId="164" fontId="2" fillId="0" borderId="10" xfId="1" applyNumberFormat="1" applyFont="1" applyBorder="1" applyAlignment="1">
      <alignment horizontal="center"/>
    </xf>
    <xf numFmtId="164" fontId="2" fillId="0" borderId="3" xfId="1" applyNumberFormat="1" applyFont="1" applyBorder="1" applyAlignment="1">
      <alignment horizontal="center"/>
    </xf>
    <xf numFmtId="164" fontId="2" fillId="0" borderId="11" xfId="1" applyNumberFormat="1" applyFont="1" applyBorder="1" applyAlignment="1">
      <alignment horizontal="center"/>
    </xf>
    <xf numFmtId="164" fontId="2" fillId="0" borderId="2" xfId="1" applyNumberFormat="1" applyFont="1" applyBorder="1" applyAlignment="1">
      <alignment horizontal="center"/>
    </xf>
    <xf numFmtId="164" fontId="3" fillId="0" borderId="9" xfId="1" applyNumberFormat="1" applyFont="1" applyBorder="1" applyAlignment="1">
      <alignment horizontal="center"/>
    </xf>
    <xf numFmtId="164" fontId="3" fillId="0" borderId="10" xfId="1" applyNumberFormat="1" applyFont="1" applyBorder="1" applyAlignment="1">
      <alignment horizontal="center"/>
    </xf>
    <xf numFmtId="164" fontId="3" fillId="0" borderId="3" xfId="1" applyNumberFormat="1" applyFont="1" applyBorder="1" applyAlignment="1">
      <alignment horizontal="center"/>
    </xf>
    <xf numFmtId="164" fontId="3" fillId="0" borderId="11" xfId="1" applyNumberFormat="1" applyFont="1" applyBorder="1" applyAlignment="1">
      <alignment horizontal="center"/>
    </xf>
    <xf numFmtId="164" fontId="3" fillId="0" borderId="0" xfId="1" applyNumberFormat="1" applyFont="1" applyAlignment="1">
      <alignment horizontal="center"/>
    </xf>
    <xf numFmtId="164" fontId="3" fillId="0" borderId="2" xfId="1" applyNumberFormat="1" applyFont="1" applyBorder="1" applyAlignment="1">
      <alignment horizontal="center" vertical="center" wrapText="1"/>
    </xf>
    <xf numFmtId="164" fontId="3" fillId="0" borderId="3" xfId="1" applyNumberFormat="1" applyFont="1" applyBorder="1" applyAlignment="1">
      <alignment horizontal="center" vertical="center" wrapText="1"/>
    </xf>
    <xf numFmtId="164" fontId="3" fillId="0" borderId="4" xfId="1" applyNumberFormat="1" applyFont="1" applyBorder="1" applyAlignment="1">
      <alignment horizontal="center" vertical="center" wrapText="1"/>
    </xf>
    <xf numFmtId="164" fontId="3" fillId="0" borderId="0" xfId="1" applyNumberFormat="1" applyFont="1" applyAlignment="1">
      <alignment horizontal="center" wrapText="1"/>
    </xf>
    <xf numFmtId="0" fontId="4" fillId="4" borderId="7" xfId="0" applyFont="1" applyFill="1" applyBorder="1"/>
    <xf numFmtId="0" fontId="4" fillId="4" borderId="8" xfId="0" applyFont="1" applyFill="1" applyBorder="1" applyAlignment="1">
      <alignment horizontal="center"/>
    </xf>
    <xf numFmtId="164" fontId="3" fillId="0" borderId="2" xfId="1" applyNumberFormat="1" applyFont="1" applyBorder="1" applyAlignment="1">
      <alignment horizontal="center"/>
    </xf>
    <xf numFmtId="164" fontId="3" fillId="0" borderId="7" xfId="1" applyNumberFormat="1" applyFont="1" applyBorder="1" applyAlignment="1">
      <alignment horizontal="center"/>
    </xf>
    <xf numFmtId="164" fontId="3" fillId="0" borderId="4" xfId="1" applyNumberFormat="1" applyFont="1" applyBorder="1" applyAlignment="1">
      <alignment horizontal="center"/>
    </xf>
    <xf numFmtId="164" fontId="3" fillId="0" borderId="5" xfId="1" applyNumberFormat="1" applyFont="1" applyBorder="1" applyAlignment="1">
      <alignment horizontal="center"/>
    </xf>
    <xf numFmtId="164" fontId="3" fillId="0" borderId="6" xfId="1" applyNumberFormat="1"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8993"/>
      <color rgb="FFFF85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24"/>
  <sheetViews>
    <sheetView topLeftCell="GY1" workbookViewId="0">
      <selection activeCell="DC24" sqref="DC24"/>
    </sheetView>
  </sheetViews>
  <sheetFormatPr baseColWidth="10" defaultColWidth="21.6640625" defaultRowHeight="15" x14ac:dyDescent="0.2"/>
  <sheetData>
    <row r="1" spans="1:2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row>
    <row r="2" spans="1:237" x14ac:dyDescent="0.2">
      <c r="A2" s="1" t="s">
        <v>237</v>
      </c>
      <c r="B2" s="1" t="s">
        <v>238</v>
      </c>
      <c r="C2" s="1" t="s">
        <v>239</v>
      </c>
      <c r="D2" s="1" t="s">
        <v>240</v>
      </c>
      <c r="E2" s="1" t="s">
        <v>4</v>
      </c>
      <c r="F2" s="1" t="s">
        <v>5</v>
      </c>
      <c r="G2" s="1" t="s">
        <v>6</v>
      </c>
      <c r="H2" s="1" t="s">
        <v>241</v>
      </c>
      <c r="I2" s="1" t="s">
        <v>242</v>
      </c>
      <c r="J2" s="1" t="s">
        <v>243</v>
      </c>
      <c r="K2" s="1" t="s">
        <v>244</v>
      </c>
      <c r="L2" s="1" t="s">
        <v>245</v>
      </c>
      <c r="M2" s="1" t="s">
        <v>246</v>
      </c>
      <c r="N2" s="1" t="s">
        <v>247</v>
      </c>
      <c r="O2" s="1" t="s">
        <v>248</v>
      </c>
      <c r="P2" s="1" t="s">
        <v>249</v>
      </c>
      <c r="Q2" s="1" t="s">
        <v>250</v>
      </c>
      <c r="R2" s="1" t="s">
        <v>17</v>
      </c>
      <c r="S2" s="1" t="s">
        <v>251</v>
      </c>
      <c r="T2" s="1" t="s">
        <v>252</v>
      </c>
      <c r="U2" s="1" t="s">
        <v>253</v>
      </c>
      <c r="V2" s="1" t="s">
        <v>254</v>
      </c>
      <c r="W2" s="1" t="s">
        <v>255</v>
      </c>
      <c r="X2" s="1" t="s">
        <v>256</v>
      </c>
      <c r="Y2" s="1" t="s">
        <v>257</v>
      </c>
      <c r="Z2" s="1" t="s">
        <v>258</v>
      </c>
      <c r="AA2" s="1" t="s">
        <v>259</v>
      </c>
      <c r="AB2" s="1" t="s">
        <v>260</v>
      </c>
      <c r="AC2" s="1" t="s">
        <v>261</v>
      </c>
      <c r="AD2" s="1" t="s">
        <v>262</v>
      </c>
      <c r="AE2" s="1" t="s">
        <v>263</v>
      </c>
      <c r="AF2" s="1" t="s">
        <v>264</v>
      </c>
      <c r="AG2" s="1" t="s">
        <v>265</v>
      </c>
      <c r="AH2" s="1" t="s">
        <v>266</v>
      </c>
      <c r="AI2" s="1" t="s">
        <v>261</v>
      </c>
      <c r="AJ2" s="1" t="s">
        <v>262</v>
      </c>
      <c r="AK2" s="1" t="s">
        <v>263</v>
      </c>
      <c r="AL2" s="1" t="s">
        <v>264</v>
      </c>
      <c r="AM2" s="1" t="s">
        <v>265</v>
      </c>
      <c r="AN2" s="1" t="s">
        <v>266</v>
      </c>
      <c r="AO2" s="1" t="s">
        <v>261</v>
      </c>
      <c r="AP2" s="1" t="s">
        <v>262</v>
      </c>
      <c r="AQ2" s="1" t="s">
        <v>263</v>
      </c>
      <c r="AR2" s="1" t="s">
        <v>264</v>
      </c>
      <c r="AS2" s="1" t="s">
        <v>265</v>
      </c>
      <c r="AT2" s="1" t="s">
        <v>266</v>
      </c>
      <c r="AU2" s="1" t="s">
        <v>261</v>
      </c>
      <c r="AV2" s="1" t="s">
        <v>262</v>
      </c>
      <c r="AW2" s="1" t="s">
        <v>263</v>
      </c>
      <c r="AX2" s="1" t="s">
        <v>264</v>
      </c>
      <c r="AY2" s="1" t="s">
        <v>265</v>
      </c>
      <c r="AZ2" s="1" t="s">
        <v>266</v>
      </c>
      <c r="BA2" s="1" t="s">
        <v>261</v>
      </c>
      <c r="BB2" s="1" t="s">
        <v>262</v>
      </c>
      <c r="BC2" s="1" t="s">
        <v>263</v>
      </c>
      <c r="BD2" s="1" t="s">
        <v>264</v>
      </c>
      <c r="BE2" s="1" t="s">
        <v>265</v>
      </c>
      <c r="BF2" s="1" t="s">
        <v>266</v>
      </c>
      <c r="BG2" s="1" t="s">
        <v>261</v>
      </c>
      <c r="BH2" s="1" t="s">
        <v>262</v>
      </c>
      <c r="BI2" s="1" t="s">
        <v>263</v>
      </c>
      <c r="BJ2" s="1" t="s">
        <v>264</v>
      </c>
      <c r="BK2" s="1" t="s">
        <v>265</v>
      </c>
      <c r="BL2" s="1" t="s">
        <v>266</v>
      </c>
      <c r="BM2" s="1" t="s">
        <v>261</v>
      </c>
      <c r="BN2" s="1" t="s">
        <v>262</v>
      </c>
      <c r="BO2" s="1" t="s">
        <v>263</v>
      </c>
      <c r="BP2" s="1" t="s">
        <v>264</v>
      </c>
      <c r="BQ2" s="1" t="s">
        <v>265</v>
      </c>
      <c r="BR2" s="1" t="s">
        <v>266</v>
      </c>
      <c r="BS2" s="1" t="s">
        <v>261</v>
      </c>
      <c r="BT2" s="1" t="s">
        <v>262</v>
      </c>
      <c r="BU2" s="1" t="s">
        <v>263</v>
      </c>
      <c r="BV2" s="1" t="s">
        <v>264</v>
      </c>
      <c r="BW2" s="1" t="s">
        <v>265</v>
      </c>
      <c r="BX2" s="1" t="s">
        <v>266</v>
      </c>
      <c r="BY2" s="1" t="s">
        <v>261</v>
      </c>
      <c r="BZ2" s="1" t="s">
        <v>262</v>
      </c>
      <c r="CA2" s="1" t="s">
        <v>263</v>
      </c>
      <c r="CB2" s="1" t="s">
        <v>264</v>
      </c>
      <c r="CC2" s="1" t="s">
        <v>265</v>
      </c>
      <c r="CD2" s="1" t="s">
        <v>266</v>
      </c>
      <c r="CE2" s="1" t="s">
        <v>261</v>
      </c>
      <c r="CF2" s="1" t="s">
        <v>262</v>
      </c>
      <c r="CG2" s="1" t="s">
        <v>263</v>
      </c>
      <c r="CH2" s="1" t="s">
        <v>264</v>
      </c>
      <c r="CI2" s="1" t="s">
        <v>265</v>
      </c>
      <c r="CJ2" s="1" t="s">
        <v>266</v>
      </c>
      <c r="CK2" s="1" t="s">
        <v>261</v>
      </c>
      <c r="CL2" s="1" t="s">
        <v>262</v>
      </c>
      <c r="CM2" s="1" t="s">
        <v>263</v>
      </c>
      <c r="CN2" s="1" t="s">
        <v>264</v>
      </c>
      <c r="CO2" s="1" t="s">
        <v>265</v>
      </c>
      <c r="CP2" s="1" t="s">
        <v>266</v>
      </c>
      <c r="CQ2" s="1" t="s">
        <v>261</v>
      </c>
      <c r="CR2" s="1" t="s">
        <v>262</v>
      </c>
      <c r="CS2" s="1" t="s">
        <v>263</v>
      </c>
      <c r="CT2" s="1" t="s">
        <v>264</v>
      </c>
      <c r="CU2" s="1" t="s">
        <v>265</v>
      </c>
      <c r="CV2" s="1" t="s">
        <v>266</v>
      </c>
      <c r="CW2" s="1" t="s">
        <v>261</v>
      </c>
      <c r="CX2" s="1" t="s">
        <v>262</v>
      </c>
      <c r="CY2" s="1" t="s">
        <v>263</v>
      </c>
      <c r="CZ2" s="1" t="s">
        <v>264</v>
      </c>
      <c r="DA2" s="1" t="s">
        <v>265</v>
      </c>
      <c r="DB2" s="1" t="s">
        <v>266</v>
      </c>
      <c r="DC2" s="1" t="s">
        <v>261</v>
      </c>
      <c r="DD2" s="1" t="s">
        <v>262</v>
      </c>
      <c r="DE2" s="1" t="s">
        <v>263</v>
      </c>
      <c r="DF2" s="1" t="s">
        <v>264</v>
      </c>
      <c r="DG2" s="1" t="s">
        <v>265</v>
      </c>
      <c r="DH2" s="1" t="s">
        <v>266</v>
      </c>
      <c r="DI2" s="1" t="s">
        <v>261</v>
      </c>
      <c r="DJ2" s="1" t="s">
        <v>262</v>
      </c>
      <c r="DK2" s="1" t="s">
        <v>263</v>
      </c>
      <c r="DL2" s="1" t="s">
        <v>264</v>
      </c>
      <c r="DM2" s="1" t="s">
        <v>265</v>
      </c>
      <c r="DN2" s="1" t="s">
        <v>266</v>
      </c>
      <c r="DO2" s="1" t="s">
        <v>261</v>
      </c>
      <c r="DP2" s="1" t="s">
        <v>262</v>
      </c>
      <c r="DQ2" s="1" t="s">
        <v>263</v>
      </c>
      <c r="DR2" s="1" t="s">
        <v>264</v>
      </c>
      <c r="DS2" s="1" t="s">
        <v>265</v>
      </c>
      <c r="DT2" s="1" t="s">
        <v>266</v>
      </c>
      <c r="DU2" s="1" t="s">
        <v>261</v>
      </c>
      <c r="DV2" s="1" t="s">
        <v>262</v>
      </c>
      <c r="DW2" s="1" t="s">
        <v>263</v>
      </c>
      <c r="DX2" s="1" t="s">
        <v>264</v>
      </c>
      <c r="DY2" s="1" t="s">
        <v>265</v>
      </c>
      <c r="DZ2" s="1" t="s">
        <v>266</v>
      </c>
      <c r="EA2" s="1" t="s">
        <v>261</v>
      </c>
      <c r="EB2" s="1" t="s">
        <v>262</v>
      </c>
      <c r="EC2" s="1" t="s">
        <v>263</v>
      </c>
      <c r="ED2" s="1" t="s">
        <v>264</v>
      </c>
      <c r="EE2" s="1" t="s">
        <v>265</v>
      </c>
      <c r="EF2" s="1" t="s">
        <v>266</v>
      </c>
      <c r="EG2" s="1" t="s">
        <v>261</v>
      </c>
      <c r="EH2" s="1" t="s">
        <v>262</v>
      </c>
      <c r="EI2" s="1" t="s">
        <v>263</v>
      </c>
      <c r="EJ2" s="1" t="s">
        <v>264</v>
      </c>
      <c r="EK2" s="1" t="s">
        <v>265</v>
      </c>
      <c r="EL2" s="1" t="s">
        <v>266</v>
      </c>
      <c r="EM2" s="1" t="s">
        <v>261</v>
      </c>
      <c r="EN2" s="1" t="s">
        <v>262</v>
      </c>
      <c r="EO2" s="1" t="s">
        <v>263</v>
      </c>
      <c r="EP2" s="1" t="s">
        <v>264</v>
      </c>
      <c r="EQ2" s="1" t="s">
        <v>265</v>
      </c>
      <c r="ER2" s="1" t="s">
        <v>266</v>
      </c>
      <c r="ES2" s="1" t="s">
        <v>261</v>
      </c>
      <c r="ET2" s="1" t="s">
        <v>262</v>
      </c>
      <c r="EU2" s="1" t="s">
        <v>263</v>
      </c>
      <c r="EV2" s="1" t="s">
        <v>264</v>
      </c>
      <c r="EW2" s="1" t="s">
        <v>265</v>
      </c>
      <c r="EX2" s="1" t="s">
        <v>266</v>
      </c>
      <c r="EY2" s="1" t="s">
        <v>261</v>
      </c>
      <c r="EZ2" s="1" t="s">
        <v>262</v>
      </c>
      <c r="FA2" s="1" t="s">
        <v>263</v>
      </c>
      <c r="FB2" s="1" t="s">
        <v>264</v>
      </c>
      <c r="FC2" s="1" t="s">
        <v>265</v>
      </c>
      <c r="FD2" s="1" t="s">
        <v>266</v>
      </c>
      <c r="FE2" s="1" t="s">
        <v>261</v>
      </c>
      <c r="FF2" s="1" t="s">
        <v>262</v>
      </c>
      <c r="FG2" s="1" t="s">
        <v>263</v>
      </c>
      <c r="FH2" s="1" t="s">
        <v>264</v>
      </c>
      <c r="FI2" s="1" t="s">
        <v>265</v>
      </c>
      <c r="FJ2" s="1" t="s">
        <v>266</v>
      </c>
      <c r="FK2" s="1" t="s">
        <v>261</v>
      </c>
      <c r="FL2" s="1" t="s">
        <v>262</v>
      </c>
      <c r="FM2" s="1" t="s">
        <v>263</v>
      </c>
      <c r="FN2" s="1" t="s">
        <v>264</v>
      </c>
      <c r="FO2" s="1" t="s">
        <v>265</v>
      </c>
      <c r="FP2" s="1" t="s">
        <v>266</v>
      </c>
      <c r="FQ2" s="1" t="s">
        <v>261</v>
      </c>
      <c r="FR2" s="1" t="s">
        <v>262</v>
      </c>
      <c r="FS2" s="1" t="s">
        <v>263</v>
      </c>
      <c r="FT2" s="1" t="s">
        <v>264</v>
      </c>
      <c r="FU2" s="1" t="s">
        <v>265</v>
      </c>
      <c r="FV2" s="1" t="s">
        <v>266</v>
      </c>
      <c r="FW2" s="1" t="s">
        <v>261</v>
      </c>
      <c r="FX2" s="1" t="s">
        <v>262</v>
      </c>
      <c r="FY2" s="1" t="s">
        <v>263</v>
      </c>
      <c r="FZ2" s="1" t="s">
        <v>264</v>
      </c>
      <c r="GA2" s="1" t="s">
        <v>265</v>
      </c>
      <c r="GB2" s="1" t="s">
        <v>266</v>
      </c>
      <c r="GC2" s="1" t="s">
        <v>261</v>
      </c>
      <c r="GD2" s="1" t="s">
        <v>262</v>
      </c>
      <c r="GE2" s="1" t="s">
        <v>263</v>
      </c>
      <c r="GF2" s="1" t="s">
        <v>264</v>
      </c>
      <c r="GG2" s="1" t="s">
        <v>265</v>
      </c>
      <c r="GH2" s="1" t="s">
        <v>266</v>
      </c>
      <c r="GI2" s="1" t="s">
        <v>261</v>
      </c>
      <c r="GJ2" s="1" t="s">
        <v>262</v>
      </c>
      <c r="GK2" s="1" t="s">
        <v>263</v>
      </c>
      <c r="GL2" s="1" t="s">
        <v>264</v>
      </c>
      <c r="GM2" s="1" t="s">
        <v>265</v>
      </c>
      <c r="GN2" s="1" t="s">
        <v>266</v>
      </c>
      <c r="GO2" s="1" t="s">
        <v>261</v>
      </c>
      <c r="GP2" s="1" t="s">
        <v>262</v>
      </c>
      <c r="GQ2" s="1" t="s">
        <v>263</v>
      </c>
      <c r="GR2" s="1" t="s">
        <v>264</v>
      </c>
      <c r="GS2" s="1" t="s">
        <v>265</v>
      </c>
      <c r="GT2" s="1" t="s">
        <v>266</v>
      </c>
      <c r="GU2" s="1" t="s">
        <v>261</v>
      </c>
      <c r="GV2" s="1" t="s">
        <v>262</v>
      </c>
      <c r="GW2" s="1" t="s">
        <v>263</v>
      </c>
      <c r="GX2" s="1" t="s">
        <v>264</v>
      </c>
      <c r="GY2" s="1" t="s">
        <v>265</v>
      </c>
      <c r="GZ2" s="1" t="s">
        <v>266</v>
      </c>
      <c r="HA2" s="1" t="s">
        <v>261</v>
      </c>
      <c r="HB2" s="1" t="s">
        <v>262</v>
      </c>
      <c r="HC2" s="1" t="s">
        <v>263</v>
      </c>
      <c r="HD2" s="1" t="s">
        <v>264</v>
      </c>
      <c r="HE2" s="1" t="s">
        <v>265</v>
      </c>
      <c r="HF2" s="1" t="s">
        <v>266</v>
      </c>
      <c r="HG2" s="1" t="s">
        <v>261</v>
      </c>
      <c r="HH2" s="1" t="s">
        <v>262</v>
      </c>
      <c r="HI2" s="1" t="s">
        <v>263</v>
      </c>
      <c r="HJ2" s="1" t="s">
        <v>264</v>
      </c>
      <c r="HK2" s="1" t="s">
        <v>265</v>
      </c>
      <c r="HL2" s="1" t="s">
        <v>266</v>
      </c>
      <c r="HM2" s="1" t="s">
        <v>267</v>
      </c>
      <c r="HN2" s="1" t="s">
        <v>268</v>
      </c>
      <c r="HO2" s="1" t="s">
        <v>269</v>
      </c>
      <c r="HP2" s="1" t="s">
        <v>270</v>
      </c>
      <c r="HQ2" s="1" t="s">
        <v>271</v>
      </c>
      <c r="HR2" s="1" t="s">
        <v>272</v>
      </c>
      <c r="HS2" s="1" t="s">
        <v>273</v>
      </c>
      <c r="HT2" s="1" t="s">
        <v>274</v>
      </c>
      <c r="HU2" s="1" t="s">
        <v>275</v>
      </c>
      <c r="HV2" s="1" t="s">
        <v>276</v>
      </c>
      <c r="HW2" s="1" t="s">
        <v>277</v>
      </c>
      <c r="HX2" s="1" t="s">
        <v>278</v>
      </c>
      <c r="HY2" s="1" t="s">
        <v>232</v>
      </c>
      <c r="HZ2" s="1" t="s">
        <v>233</v>
      </c>
      <c r="IA2" s="1" t="s">
        <v>234</v>
      </c>
      <c r="IB2" s="1" t="s">
        <v>235</v>
      </c>
      <c r="IC2" s="1" t="s">
        <v>236</v>
      </c>
    </row>
    <row r="3" spans="1:237" x14ac:dyDescent="0.2">
      <c r="A3" s="2">
        <v>45739.275185185186</v>
      </c>
      <c r="B3" s="2">
        <v>45739.2890625</v>
      </c>
      <c r="C3" s="3" t="s">
        <v>240</v>
      </c>
      <c r="D3" s="3" t="s">
        <v>279</v>
      </c>
      <c r="E3" s="4">
        <v>100</v>
      </c>
      <c r="F3" s="4">
        <v>1198</v>
      </c>
      <c r="G3" s="3" t="s">
        <v>280</v>
      </c>
      <c r="H3" s="2">
        <v>45739.289070891202</v>
      </c>
      <c r="I3" s="3" t="s">
        <v>281</v>
      </c>
      <c r="J3" s="3" t="s">
        <v>282</v>
      </c>
      <c r="K3" s="3" t="s">
        <v>282</v>
      </c>
      <c r="L3" s="3" t="s">
        <v>282</v>
      </c>
      <c r="M3" s="3" t="s">
        <v>282</v>
      </c>
      <c r="N3" s="4">
        <v>49.247599999999998</v>
      </c>
      <c r="O3" s="4">
        <v>-123.1234</v>
      </c>
      <c r="P3" s="3" t="s">
        <v>283</v>
      </c>
      <c r="Q3" s="3" t="s">
        <v>284</v>
      </c>
      <c r="R3" s="4">
        <v>1</v>
      </c>
      <c r="S3" s="3" t="s">
        <v>285</v>
      </c>
      <c r="T3" s="3" t="s">
        <v>285</v>
      </c>
      <c r="U3" s="3" t="s">
        <v>285</v>
      </c>
      <c r="V3" s="3" t="s">
        <v>285</v>
      </c>
      <c r="W3" s="3" t="s">
        <v>286</v>
      </c>
      <c r="X3" s="3" t="s">
        <v>287</v>
      </c>
      <c r="Y3" s="3" t="s">
        <v>288</v>
      </c>
      <c r="Z3" s="3" t="s">
        <v>289</v>
      </c>
      <c r="AA3" s="3" t="s">
        <v>290</v>
      </c>
      <c r="AB3" s="3" t="s">
        <v>289</v>
      </c>
      <c r="AC3" s="3" t="s">
        <v>291</v>
      </c>
      <c r="AD3" s="3" t="s">
        <v>292</v>
      </c>
      <c r="AE3" s="4">
        <v>10.134</v>
      </c>
      <c r="AF3" s="4">
        <v>12.068</v>
      </c>
      <c r="AG3" s="4">
        <v>12.728</v>
      </c>
      <c r="AH3" s="4">
        <v>2</v>
      </c>
      <c r="AI3" s="3" t="s">
        <v>293</v>
      </c>
      <c r="AJ3" s="3" t="s">
        <v>294</v>
      </c>
      <c r="AK3" s="4">
        <v>10.183</v>
      </c>
      <c r="AL3" s="4">
        <v>11.6</v>
      </c>
      <c r="AM3" s="4">
        <v>12.132</v>
      </c>
      <c r="AN3" s="4">
        <v>2</v>
      </c>
      <c r="AO3" s="3" t="s">
        <v>293</v>
      </c>
      <c r="AP3" s="3" t="s">
        <v>294</v>
      </c>
      <c r="AQ3" s="4">
        <v>6.5940000000000003</v>
      </c>
      <c r="AR3" s="4">
        <v>7.73</v>
      </c>
      <c r="AS3" s="4">
        <v>8.8580000000000005</v>
      </c>
      <c r="AT3" s="4">
        <v>2</v>
      </c>
      <c r="AU3" s="3" t="s">
        <v>295</v>
      </c>
      <c r="AV3" s="3" t="s">
        <v>296</v>
      </c>
      <c r="AW3" s="4">
        <v>6.3010000000000002</v>
      </c>
      <c r="AX3" s="4">
        <v>7.4619999999999997</v>
      </c>
      <c r="AY3" s="4">
        <v>8.6920000000000002</v>
      </c>
      <c r="AZ3" s="4">
        <v>2</v>
      </c>
      <c r="BA3" s="3" t="s">
        <v>295</v>
      </c>
      <c r="BB3" s="3" t="s">
        <v>296</v>
      </c>
      <c r="BC3" s="4">
        <v>6.77</v>
      </c>
      <c r="BD3" s="4">
        <v>8.9169999999999998</v>
      </c>
      <c r="BE3" s="4">
        <v>9.5679999999999996</v>
      </c>
      <c r="BF3" s="4">
        <v>2</v>
      </c>
      <c r="BG3" s="3" t="s">
        <v>291</v>
      </c>
      <c r="BH3" s="3" t="s">
        <v>292</v>
      </c>
      <c r="BI3" s="4">
        <v>12.278</v>
      </c>
      <c r="BJ3" s="4">
        <v>14.422000000000001</v>
      </c>
      <c r="BK3" s="4">
        <v>15.058</v>
      </c>
      <c r="BL3" s="4">
        <v>3</v>
      </c>
      <c r="BM3" s="3" t="s">
        <v>293</v>
      </c>
      <c r="BN3" s="3" t="s">
        <v>294</v>
      </c>
      <c r="BO3" s="4">
        <v>10.257999999999999</v>
      </c>
      <c r="BP3" s="4">
        <v>11.574</v>
      </c>
      <c r="BQ3" s="4">
        <v>12.039</v>
      </c>
      <c r="BR3" s="4">
        <v>2</v>
      </c>
      <c r="BS3" s="3" t="s">
        <v>291</v>
      </c>
      <c r="BT3" s="3" t="s">
        <v>297</v>
      </c>
      <c r="BU3" s="4">
        <v>16.927</v>
      </c>
      <c r="BV3" s="4">
        <v>18.071999999999999</v>
      </c>
      <c r="BW3" s="4">
        <v>19.263000000000002</v>
      </c>
      <c r="BX3" s="4">
        <v>2</v>
      </c>
      <c r="BY3" s="3" t="s">
        <v>295</v>
      </c>
      <c r="BZ3" s="3" t="s">
        <v>296</v>
      </c>
      <c r="CA3" s="4">
        <v>10.673999999999999</v>
      </c>
      <c r="CB3" s="4">
        <v>16.263000000000002</v>
      </c>
      <c r="CC3" s="4">
        <v>16.901</v>
      </c>
      <c r="CD3" s="4">
        <v>2</v>
      </c>
      <c r="CE3" s="3" t="s">
        <v>298</v>
      </c>
      <c r="CF3" s="3" t="s">
        <v>292</v>
      </c>
      <c r="CG3" s="4">
        <v>7.444</v>
      </c>
      <c r="CH3" s="4">
        <v>8.3339999999999996</v>
      </c>
      <c r="CI3" s="4">
        <v>9.125</v>
      </c>
      <c r="CJ3" s="4">
        <v>2</v>
      </c>
      <c r="CK3" s="3" t="s">
        <v>291</v>
      </c>
      <c r="CL3" s="3" t="s">
        <v>296</v>
      </c>
      <c r="CM3" s="4">
        <v>7.0060000000000002</v>
      </c>
      <c r="CN3" s="4">
        <v>8.3360000000000003</v>
      </c>
      <c r="CO3" s="4">
        <v>8.91</v>
      </c>
      <c r="CP3" s="4">
        <v>2</v>
      </c>
      <c r="CQ3" s="3" t="s">
        <v>293</v>
      </c>
      <c r="CR3" s="3" t="s">
        <v>294</v>
      </c>
      <c r="CS3" s="4">
        <v>51.029000000000003</v>
      </c>
      <c r="CT3" s="4">
        <v>52.383000000000003</v>
      </c>
      <c r="CU3" s="4">
        <v>52.933</v>
      </c>
      <c r="CV3" s="4">
        <v>2</v>
      </c>
      <c r="CW3" s="3" t="s">
        <v>291</v>
      </c>
      <c r="CX3" s="3" t="s">
        <v>292</v>
      </c>
      <c r="CY3" s="4">
        <v>21.353999999999999</v>
      </c>
      <c r="CZ3" s="4">
        <v>27.242000000000001</v>
      </c>
      <c r="DA3" s="4">
        <v>27.948</v>
      </c>
      <c r="DB3" s="4">
        <v>2</v>
      </c>
      <c r="DC3" s="3" t="s">
        <v>295</v>
      </c>
      <c r="DD3" s="3" t="s">
        <v>296</v>
      </c>
      <c r="DE3" s="4">
        <v>8.4629999999999992</v>
      </c>
      <c r="DF3" s="4">
        <v>14.500999999999999</v>
      </c>
      <c r="DG3" s="4">
        <v>20.196000000000002</v>
      </c>
      <c r="DH3" s="4">
        <v>2</v>
      </c>
      <c r="DI3" s="3" t="s">
        <v>298</v>
      </c>
      <c r="DJ3" s="3" t="s">
        <v>296</v>
      </c>
      <c r="DK3" s="4">
        <v>9</v>
      </c>
      <c r="DL3" s="4">
        <v>11.236000000000001</v>
      </c>
      <c r="DM3" s="4">
        <v>11.863</v>
      </c>
      <c r="DN3" s="4">
        <v>2</v>
      </c>
      <c r="DO3" s="3" t="s">
        <v>291</v>
      </c>
      <c r="DP3" s="3" t="s">
        <v>296</v>
      </c>
      <c r="DQ3" s="4">
        <v>7.1260000000000003</v>
      </c>
      <c r="DR3" s="4">
        <v>8.4090000000000007</v>
      </c>
      <c r="DS3" s="4">
        <v>9.2490000000000006</v>
      </c>
      <c r="DT3" s="4">
        <v>2</v>
      </c>
      <c r="DU3" s="3" t="s">
        <v>293</v>
      </c>
      <c r="DV3" s="3" t="s">
        <v>296</v>
      </c>
      <c r="DW3" s="4">
        <v>5.8840000000000003</v>
      </c>
      <c r="DX3" s="4">
        <v>7.0490000000000004</v>
      </c>
      <c r="DY3" s="4">
        <v>8.8140000000000001</v>
      </c>
      <c r="DZ3" s="4">
        <v>2</v>
      </c>
      <c r="EA3" s="3" t="s">
        <v>299</v>
      </c>
      <c r="EB3" s="3" t="s">
        <v>296</v>
      </c>
      <c r="EC3" s="4">
        <v>5.8179999999999996</v>
      </c>
      <c r="ED3" s="4">
        <v>17.806000000000001</v>
      </c>
      <c r="EE3" s="4">
        <v>21.103999999999999</v>
      </c>
      <c r="EF3" s="4">
        <v>4</v>
      </c>
      <c r="EG3" s="3" t="s">
        <v>295</v>
      </c>
      <c r="EH3" s="3" t="s">
        <v>292</v>
      </c>
      <c r="EI3" s="4">
        <v>9.8119999999999994</v>
      </c>
      <c r="EJ3" s="4">
        <v>24.411000000000001</v>
      </c>
      <c r="EK3" s="4">
        <v>24.908000000000001</v>
      </c>
      <c r="EL3" s="4">
        <v>7</v>
      </c>
      <c r="EM3" s="3" t="s">
        <v>298</v>
      </c>
      <c r="EN3" s="3" t="s">
        <v>296</v>
      </c>
      <c r="EO3" s="4">
        <v>6.649</v>
      </c>
      <c r="EP3" s="4">
        <v>7.6349999999999998</v>
      </c>
      <c r="EQ3" s="4">
        <v>8.6470000000000002</v>
      </c>
      <c r="ER3" s="4">
        <v>2</v>
      </c>
      <c r="ES3" s="3" t="s">
        <v>291</v>
      </c>
      <c r="ET3" s="3" t="s">
        <v>292</v>
      </c>
      <c r="EU3" s="4">
        <v>20.294</v>
      </c>
      <c r="EV3" s="4">
        <v>30.279</v>
      </c>
      <c r="EW3" s="4">
        <v>30.876999999999999</v>
      </c>
      <c r="EX3" s="4">
        <v>3</v>
      </c>
      <c r="EY3" s="3" t="s">
        <v>300</v>
      </c>
      <c r="EZ3" s="3" t="s">
        <v>294</v>
      </c>
      <c r="FA3" s="4">
        <v>7.306</v>
      </c>
      <c r="FB3" s="4">
        <v>9.8610000000000007</v>
      </c>
      <c r="FC3" s="4">
        <v>10.574</v>
      </c>
      <c r="FD3" s="4">
        <v>2</v>
      </c>
      <c r="FE3" s="3" t="s">
        <v>301</v>
      </c>
      <c r="FF3" s="3" t="s">
        <v>297</v>
      </c>
      <c r="FG3" s="4">
        <v>69.899000000000001</v>
      </c>
      <c r="FH3" s="4">
        <v>89.116</v>
      </c>
      <c r="FI3" s="4">
        <v>90.135999999999996</v>
      </c>
      <c r="FJ3" s="4">
        <v>2</v>
      </c>
      <c r="FK3" s="3" t="s">
        <v>291</v>
      </c>
      <c r="FL3" s="3" t="s">
        <v>296</v>
      </c>
      <c r="FM3" s="4">
        <v>8.5329999999999995</v>
      </c>
      <c r="FN3" s="4">
        <v>11.198</v>
      </c>
      <c r="FO3" s="4">
        <v>11.936999999999999</v>
      </c>
      <c r="FP3" s="4">
        <v>2</v>
      </c>
      <c r="FQ3" s="3" t="s">
        <v>300</v>
      </c>
      <c r="FR3" s="3" t="s">
        <v>294</v>
      </c>
      <c r="FS3" s="4">
        <v>22.187999999999999</v>
      </c>
      <c r="FT3" s="4">
        <v>23.456</v>
      </c>
      <c r="FU3" s="4">
        <v>24.547999999999998</v>
      </c>
      <c r="FV3" s="4">
        <v>2</v>
      </c>
      <c r="FW3" s="3" t="s">
        <v>301</v>
      </c>
      <c r="FX3" s="3" t="s">
        <v>297</v>
      </c>
      <c r="FY3" s="4">
        <v>8.5790000000000006</v>
      </c>
      <c r="FZ3" s="4">
        <v>14.045999999999999</v>
      </c>
      <c r="GA3" s="4">
        <v>14.776</v>
      </c>
      <c r="GB3" s="4">
        <v>4</v>
      </c>
      <c r="GC3" s="3" t="s">
        <v>291</v>
      </c>
      <c r="GD3" s="3" t="s">
        <v>296</v>
      </c>
      <c r="GE3" s="4">
        <v>8.7360000000000007</v>
      </c>
      <c r="GF3" s="4">
        <v>11.89</v>
      </c>
      <c r="GG3" s="4">
        <v>12.894</v>
      </c>
      <c r="GH3" s="4">
        <v>3</v>
      </c>
      <c r="GI3" s="3" t="s">
        <v>300</v>
      </c>
      <c r="GJ3" s="3" t="s">
        <v>294</v>
      </c>
      <c r="GK3" s="4">
        <v>6.149</v>
      </c>
      <c r="GL3" s="4">
        <v>7.02</v>
      </c>
      <c r="GM3" s="4">
        <v>8.8610000000000007</v>
      </c>
      <c r="GN3" s="4">
        <v>2</v>
      </c>
      <c r="GO3" s="3" t="s">
        <v>301</v>
      </c>
      <c r="GP3" s="3" t="s">
        <v>296</v>
      </c>
      <c r="GQ3" s="4">
        <v>44.91</v>
      </c>
      <c r="GR3" s="4">
        <v>49.554000000000002</v>
      </c>
      <c r="GS3" s="4">
        <v>50.612000000000002</v>
      </c>
      <c r="GT3" s="4">
        <v>5</v>
      </c>
      <c r="GU3" s="3" t="s">
        <v>301</v>
      </c>
      <c r="GV3" s="3" t="s">
        <v>296</v>
      </c>
      <c r="GW3" s="4">
        <v>9.74</v>
      </c>
      <c r="GX3" s="4">
        <v>12.872999999999999</v>
      </c>
      <c r="GY3" s="4">
        <v>13.939</v>
      </c>
      <c r="GZ3" s="4">
        <v>2</v>
      </c>
      <c r="HA3" s="3" t="s">
        <v>300</v>
      </c>
      <c r="HB3" s="3" t="s">
        <v>294</v>
      </c>
      <c r="HC3" s="4">
        <v>8.3019999999999996</v>
      </c>
      <c r="HD3" s="4">
        <v>10.009</v>
      </c>
      <c r="HE3" s="4">
        <v>12.643000000000001</v>
      </c>
      <c r="HF3" s="4">
        <v>2</v>
      </c>
      <c r="HG3" s="3" t="s">
        <v>291</v>
      </c>
      <c r="HH3" s="3" t="s">
        <v>297</v>
      </c>
      <c r="HI3" s="4">
        <v>10.275</v>
      </c>
      <c r="HJ3" s="4">
        <v>16.181000000000001</v>
      </c>
      <c r="HK3" s="4">
        <v>17.468</v>
      </c>
      <c r="HL3" s="4">
        <v>4</v>
      </c>
      <c r="HM3" s="3" t="s">
        <v>302</v>
      </c>
      <c r="HN3" s="3" t="s">
        <v>303</v>
      </c>
      <c r="HO3" s="3" t="s">
        <v>304</v>
      </c>
      <c r="HP3" s="3" t="s">
        <v>305</v>
      </c>
      <c r="HQ3" s="3" t="s">
        <v>306</v>
      </c>
      <c r="HR3" s="3" t="s">
        <v>307</v>
      </c>
      <c r="HS3" s="3" t="s">
        <v>308</v>
      </c>
      <c r="HT3" s="3" t="s">
        <v>309</v>
      </c>
      <c r="HU3" s="3" t="s">
        <v>310</v>
      </c>
      <c r="HV3" s="3" t="s">
        <v>310</v>
      </c>
      <c r="HW3" s="3" t="s">
        <v>282</v>
      </c>
      <c r="HX3" s="3" t="s">
        <v>311</v>
      </c>
      <c r="HY3" s="3" t="s">
        <v>312</v>
      </c>
      <c r="HZ3" s="3" t="s">
        <v>282</v>
      </c>
      <c r="IA3" s="3" t="s">
        <v>313</v>
      </c>
      <c r="IB3" s="3" t="s">
        <v>282</v>
      </c>
      <c r="IC3" s="3" t="s">
        <v>282</v>
      </c>
    </row>
    <row r="4" spans="1:237" x14ac:dyDescent="0.2">
      <c r="A4" s="2">
        <v>45740.720312500001</v>
      </c>
      <c r="B4" s="2">
        <v>45740.735474537039</v>
      </c>
      <c r="C4" s="3" t="s">
        <v>240</v>
      </c>
      <c r="D4" s="3" t="s">
        <v>314</v>
      </c>
      <c r="E4" s="4">
        <v>100</v>
      </c>
      <c r="F4" s="4">
        <v>1310</v>
      </c>
      <c r="G4" s="3" t="s">
        <v>280</v>
      </c>
      <c r="H4" s="2">
        <v>45740.735489386578</v>
      </c>
      <c r="I4" s="3" t="s">
        <v>315</v>
      </c>
      <c r="J4" s="3" t="s">
        <v>282</v>
      </c>
      <c r="K4" s="3" t="s">
        <v>282</v>
      </c>
      <c r="L4" s="3" t="s">
        <v>282</v>
      </c>
      <c r="M4" s="3" t="s">
        <v>282</v>
      </c>
      <c r="N4" s="4">
        <v>-37.833300000000001</v>
      </c>
      <c r="O4" s="4">
        <v>145.23750000000001</v>
      </c>
      <c r="P4" s="3" t="s">
        <v>283</v>
      </c>
      <c r="Q4" s="3" t="s">
        <v>284</v>
      </c>
      <c r="R4" s="4">
        <v>1</v>
      </c>
      <c r="S4" s="3" t="s">
        <v>285</v>
      </c>
      <c r="T4" s="3" t="s">
        <v>285</v>
      </c>
      <c r="U4" s="3" t="s">
        <v>285</v>
      </c>
      <c r="V4" s="3" t="s">
        <v>285</v>
      </c>
      <c r="W4" s="3" t="s">
        <v>286</v>
      </c>
      <c r="X4" s="3" t="s">
        <v>316</v>
      </c>
      <c r="Y4" s="3" t="s">
        <v>288</v>
      </c>
      <c r="Z4" s="3" t="s">
        <v>289</v>
      </c>
      <c r="AA4" s="3" t="s">
        <v>290</v>
      </c>
      <c r="AB4" s="3" t="s">
        <v>317</v>
      </c>
      <c r="AC4" s="3" t="s">
        <v>291</v>
      </c>
      <c r="AD4" s="3" t="s">
        <v>292</v>
      </c>
      <c r="AE4" s="4">
        <v>8.7010000000000005</v>
      </c>
      <c r="AF4" s="4">
        <v>11.013</v>
      </c>
      <c r="AG4" s="4">
        <v>11.898</v>
      </c>
      <c r="AH4" s="4">
        <v>2</v>
      </c>
      <c r="AI4" s="3" t="s">
        <v>293</v>
      </c>
      <c r="AJ4" s="3" t="s">
        <v>296</v>
      </c>
      <c r="AK4" s="4">
        <v>6.1639999999999997</v>
      </c>
      <c r="AL4" s="4">
        <v>16.861999999999998</v>
      </c>
      <c r="AM4" s="4">
        <v>17.936</v>
      </c>
      <c r="AN4" s="4">
        <v>3</v>
      </c>
      <c r="AO4" s="3" t="s">
        <v>299</v>
      </c>
      <c r="AP4" s="3" t="s">
        <v>292</v>
      </c>
      <c r="AQ4" s="4">
        <v>10.121</v>
      </c>
      <c r="AR4" s="4">
        <v>22.818999999999999</v>
      </c>
      <c r="AS4" s="4">
        <v>24.324999999999999</v>
      </c>
      <c r="AT4" s="4">
        <v>5</v>
      </c>
      <c r="AU4" s="3" t="s">
        <v>295</v>
      </c>
      <c r="AV4" s="3" t="s">
        <v>292</v>
      </c>
      <c r="AW4" s="4">
        <v>6.7969999999999997</v>
      </c>
      <c r="AX4" s="4">
        <v>8.3469999999999995</v>
      </c>
      <c r="AY4" s="4">
        <v>9.3680000000000003</v>
      </c>
      <c r="AZ4" s="4">
        <v>2</v>
      </c>
      <c r="BA4" s="3" t="s">
        <v>298</v>
      </c>
      <c r="BB4" s="3" t="s">
        <v>296</v>
      </c>
      <c r="BC4" s="4">
        <v>14.657999999999999</v>
      </c>
      <c r="BD4" s="4">
        <v>16.893999999999998</v>
      </c>
      <c r="BE4" s="4">
        <v>17.218</v>
      </c>
      <c r="BF4" s="4">
        <v>3</v>
      </c>
      <c r="BG4" s="3" t="s">
        <v>291</v>
      </c>
      <c r="BH4" s="3" t="s">
        <v>297</v>
      </c>
      <c r="BI4" s="4">
        <v>11.268000000000001</v>
      </c>
      <c r="BJ4" s="4">
        <v>13.087</v>
      </c>
      <c r="BK4" s="4">
        <v>13.824</v>
      </c>
      <c r="BL4" s="4">
        <v>4</v>
      </c>
      <c r="BM4" s="3" t="s">
        <v>293</v>
      </c>
      <c r="BN4" s="3" t="s">
        <v>296</v>
      </c>
      <c r="BO4" s="4">
        <v>17.611000000000001</v>
      </c>
      <c r="BP4" s="4">
        <v>18.806000000000001</v>
      </c>
      <c r="BQ4" s="4">
        <v>19.832999999999998</v>
      </c>
      <c r="BR4" s="4">
        <v>2</v>
      </c>
      <c r="BS4" s="3" t="s">
        <v>291</v>
      </c>
      <c r="BT4" s="3" t="s">
        <v>292</v>
      </c>
      <c r="BU4" s="4">
        <v>12.226000000000001</v>
      </c>
      <c r="BV4" s="4">
        <v>14.433</v>
      </c>
      <c r="BW4" s="4">
        <v>15.882999999999999</v>
      </c>
      <c r="BX4" s="4">
        <v>2</v>
      </c>
      <c r="BY4" s="3" t="s">
        <v>298</v>
      </c>
      <c r="BZ4" s="3" t="s">
        <v>292</v>
      </c>
      <c r="CA4" s="4">
        <v>22.498000000000001</v>
      </c>
      <c r="CB4" s="4">
        <v>30.413</v>
      </c>
      <c r="CC4" s="4">
        <v>31.655000000000001</v>
      </c>
      <c r="CD4" s="4">
        <v>4</v>
      </c>
      <c r="CE4" s="3" t="s">
        <v>295</v>
      </c>
      <c r="CF4" s="3" t="s">
        <v>292</v>
      </c>
      <c r="CG4" s="4">
        <v>9.4160000000000004</v>
      </c>
      <c r="CH4" s="4">
        <v>10.911</v>
      </c>
      <c r="CI4" s="4">
        <v>11.521000000000001</v>
      </c>
      <c r="CJ4" s="4">
        <v>2</v>
      </c>
      <c r="CK4" s="3" t="s">
        <v>291</v>
      </c>
      <c r="CL4" s="3" t="s">
        <v>297</v>
      </c>
      <c r="CM4" s="4">
        <v>45.295999999999999</v>
      </c>
      <c r="CN4" s="4">
        <v>59.213999999999999</v>
      </c>
      <c r="CO4" s="4">
        <v>59.963999999999999</v>
      </c>
      <c r="CP4" s="4">
        <v>3</v>
      </c>
      <c r="CQ4" s="3" t="s">
        <v>293</v>
      </c>
      <c r="CR4" s="3" t="s">
        <v>296</v>
      </c>
      <c r="CS4" s="4">
        <v>14.741</v>
      </c>
      <c r="CT4" s="4">
        <v>18.646999999999998</v>
      </c>
      <c r="CU4" s="4">
        <v>18.946999999999999</v>
      </c>
      <c r="CV4" s="4">
        <v>4</v>
      </c>
      <c r="CW4" s="3" t="s">
        <v>282</v>
      </c>
      <c r="CX4" s="3" t="s">
        <v>292</v>
      </c>
      <c r="CY4" s="4">
        <v>19.123999999999999</v>
      </c>
      <c r="CZ4" s="4">
        <v>28.620999999999999</v>
      </c>
      <c r="DA4" s="4">
        <v>30.481000000000002</v>
      </c>
      <c r="DB4" s="4">
        <v>6</v>
      </c>
      <c r="DC4" s="3" t="s">
        <v>299</v>
      </c>
      <c r="DD4" s="3" t="s">
        <v>292</v>
      </c>
      <c r="DE4" s="4">
        <v>47.688000000000002</v>
      </c>
      <c r="DF4" s="4">
        <v>49.097000000000001</v>
      </c>
      <c r="DG4" s="4">
        <v>50.265999999999998</v>
      </c>
      <c r="DH4" s="4">
        <v>2</v>
      </c>
      <c r="DI4" s="3" t="s">
        <v>298</v>
      </c>
      <c r="DJ4" s="3" t="s">
        <v>292</v>
      </c>
      <c r="DK4" s="4">
        <v>10.718</v>
      </c>
      <c r="DL4" s="4">
        <v>12.077</v>
      </c>
      <c r="DM4" s="4">
        <v>14.022</v>
      </c>
      <c r="DN4" s="4">
        <v>2</v>
      </c>
      <c r="DO4" s="3" t="s">
        <v>291</v>
      </c>
      <c r="DP4" s="3" t="s">
        <v>292</v>
      </c>
      <c r="DQ4" s="4">
        <v>58.468000000000004</v>
      </c>
      <c r="DR4" s="4">
        <v>60.372999999999998</v>
      </c>
      <c r="DS4" s="4">
        <v>61.119</v>
      </c>
      <c r="DT4" s="4">
        <v>3</v>
      </c>
      <c r="DU4" s="3" t="s">
        <v>293</v>
      </c>
      <c r="DV4" s="3" t="s">
        <v>296</v>
      </c>
      <c r="DW4" s="4">
        <v>39.923000000000002</v>
      </c>
      <c r="DX4" s="4">
        <v>47.718000000000004</v>
      </c>
      <c r="DY4" s="4">
        <v>48.691000000000003</v>
      </c>
      <c r="DZ4" s="4">
        <v>4</v>
      </c>
      <c r="EA4" s="3" t="s">
        <v>298</v>
      </c>
      <c r="EB4" s="3" t="s">
        <v>292</v>
      </c>
      <c r="EC4" s="4">
        <v>18.673999999999999</v>
      </c>
      <c r="ED4" s="4">
        <v>20.186</v>
      </c>
      <c r="EE4" s="4">
        <v>21.273</v>
      </c>
      <c r="EF4" s="4">
        <v>2</v>
      </c>
      <c r="EG4" s="3" t="s">
        <v>295</v>
      </c>
      <c r="EH4" s="3" t="s">
        <v>296</v>
      </c>
      <c r="EI4" s="4">
        <v>9.452</v>
      </c>
      <c r="EJ4" s="4">
        <v>14.917999999999999</v>
      </c>
      <c r="EK4" s="4">
        <v>15.62</v>
      </c>
      <c r="EL4" s="4">
        <v>3</v>
      </c>
      <c r="EM4" s="3" t="s">
        <v>295</v>
      </c>
      <c r="EN4" s="3" t="s">
        <v>297</v>
      </c>
      <c r="EO4" s="4">
        <v>47.973999999999997</v>
      </c>
      <c r="EP4" s="4">
        <v>50.720999999999997</v>
      </c>
      <c r="EQ4" s="4">
        <v>51.692999999999998</v>
      </c>
      <c r="ER4" s="4">
        <v>3</v>
      </c>
      <c r="ES4" s="3" t="s">
        <v>291</v>
      </c>
      <c r="ET4" s="3" t="s">
        <v>292</v>
      </c>
      <c r="EU4" s="4">
        <v>128.74700000000001</v>
      </c>
      <c r="EV4" s="4">
        <v>131.76300000000001</v>
      </c>
      <c r="EW4" s="4">
        <v>132.613</v>
      </c>
      <c r="EX4" s="4">
        <v>4</v>
      </c>
      <c r="EY4" s="3" t="s">
        <v>300</v>
      </c>
      <c r="EZ4" s="3" t="s">
        <v>294</v>
      </c>
      <c r="FA4" s="4">
        <v>8.6519999999999992</v>
      </c>
      <c r="FB4" s="4">
        <v>10.275</v>
      </c>
      <c r="FC4" s="4">
        <v>10.496</v>
      </c>
      <c r="FD4" s="4">
        <v>3</v>
      </c>
      <c r="FE4" s="3" t="s">
        <v>301</v>
      </c>
      <c r="FF4" s="3" t="s">
        <v>294</v>
      </c>
      <c r="FG4" s="4">
        <v>4.3899999999999997</v>
      </c>
      <c r="FH4" s="4">
        <v>8.7970000000000006</v>
      </c>
      <c r="FI4" s="4">
        <v>10.472</v>
      </c>
      <c r="FJ4" s="4">
        <v>3</v>
      </c>
      <c r="FK4" s="3" t="s">
        <v>291</v>
      </c>
      <c r="FL4" s="3" t="s">
        <v>294</v>
      </c>
      <c r="FM4" s="4">
        <v>8.1270000000000007</v>
      </c>
      <c r="FN4" s="4">
        <v>8.99</v>
      </c>
      <c r="FO4" s="4">
        <v>9.4499999999999993</v>
      </c>
      <c r="FP4" s="4">
        <v>2</v>
      </c>
      <c r="FQ4" s="3" t="s">
        <v>300</v>
      </c>
      <c r="FR4" s="3" t="s">
        <v>296</v>
      </c>
      <c r="FS4" s="4">
        <v>12.666</v>
      </c>
      <c r="FT4" s="4">
        <v>14.68</v>
      </c>
      <c r="FU4" s="4">
        <v>15.239000000000001</v>
      </c>
      <c r="FV4" s="4">
        <v>2</v>
      </c>
      <c r="FW4" s="3" t="s">
        <v>301</v>
      </c>
      <c r="FX4" s="3" t="s">
        <v>294</v>
      </c>
      <c r="FY4" s="4">
        <v>4.4279999999999999</v>
      </c>
      <c r="FZ4" s="4">
        <v>8.8930000000000007</v>
      </c>
      <c r="GA4" s="4">
        <v>9.1310000000000002</v>
      </c>
      <c r="GB4" s="4">
        <v>6</v>
      </c>
      <c r="GC4" s="3" t="s">
        <v>291</v>
      </c>
      <c r="GD4" s="3" t="s">
        <v>296</v>
      </c>
      <c r="GE4" s="4">
        <v>12.574999999999999</v>
      </c>
      <c r="GF4" s="4">
        <v>17.530999999999999</v>
      </c>
      <c r="GG4" s="4">
        <v>18.158000000000001</v>
      </c>
      <c r="GH4" s="4">
        <v>2</v>
      </c>
      <c r="GI4" s="3" t="s">
        <v>300</v>
      </c>
      <c r="GJ4" s="3" t="s">
        <v>296</v>
      </c>
      <c r="GK4" s="4">
        <v>7.3010000000000002</v>
      </c>
      <c r="GL4" s="4">
        <v>8.8629999999999995</v>
      </c>
      <c r="GM4" s="4">
        <v>9.3539999999999992</v>
      </c>
      <c r="GN4" s="4">
        <v>2</v>
      </c>
      <c r="GO4" s="3" t="s">
        <v>301</v>
      </c>
      <c r="GP4" s="3" t="s">
        <v>294</v>
      </c>
      <c r="GQ4" s="4">
        <v>4.3819999999999997</v>
      </c>
      <c r="GR4" s="4">
        <v>6.2270000000000003</v>
      </c>
      <c r="GS4" s="4">
        <v>8.6980000000000004</v>
      </c>
      <c r="GT4" s="4">
        <v>2</v>
      </c>
      <c r="GU4" s="3" t="s">
        <v>291</v>
      </c>
      <c r="GV4" s="3" t="s">
        <v>296</v>
      </c>
      <c r="GW4" s="4">
        <v>8.1920000000000002</v>
      </c>
      <c r="GX4" s="4">
        <v>10.185</v>
      </c>
      <c r="GY4" s="4">
        <v>10.417</v>
      </c>
      <c r="GZ4" s="4">
        <v>3</v>
      </c>
      <c r="HA4" s="3" t="s">
        <v>300</v>
      </c>
      <c r="HB4" s="3" t="s">
        <v>294</v>
      </c>
      <c r="HC4" s="4">
        <v>7.9710000000000001</v>
      </c>
      <c r="HD4" s="4">
        <v>11.324</v>
      </c>
      <c r="HE4" s="4">
        <v>11.784000000000001</v>
      </c>
      <c r="HF4" s="4">
        <v>3</v>
      </c>
      <c r="HG4" s="3" t="s">
        <v>291</v>
      </c>
      <c r="HH4" s="3" t="s">
        <v>296</v>
      </c>
      <c r="HI4" s="4">
        <v>5.234</v>
      </c>
      <c r="HJ4" s="4">
        <v>9.5389999999999997</v>
      </c>
      <c r="HK4" s="4">
        <v>10.054</v>
      </c>
      <c r="HL4" s="4">
        <v>2</v>
      </c>
      <c r="HM4" s="3" t="s">
        <v>318</v>
      </c>
      <c r="HN4" s="3" t="s">
        <v>319</v>
      </c>
      <c r="HO4" s="3" t="s">
        <v>320</v>
      </c>
      <c r="HP4" s="3" t="s">
        <v>320</v>
      </c>
      <c r="HQ4" s="3" t="s">
        <v>321</v>
      </c>
      <c r="HR4" s="3" t="s">
        <v>321</v>
      </c>
      <c r="HS4" s="3" t="s">
        <v>322</v>
      </c>
      <c r="HT4" s="3" t="s">
        <v>323</v>
      </c>
      <c r="HU4" s="3" t="s">
        <v>324</v>
      </c>
      <c r="HV4" s="3" t="s">
        <v>324</v>
      </c>
      <c r="HW4" s="3" t="s">
        <v>282</v>
      </c>
      <c r="HX4" s="3" t="s">
        <v>282</v>
      </c>
      <c r="HY4" s="3" t="s">
        <v>312</v>
      </c>
      <c r="HZ4" s="3" t="s">
        <v>282</v>
      </c>
      <c r="IA4" s="3" t="s">
        <v>325</v>
      </c>
      <c r="IB4" s="3" t="s">
        <v>282</v>
      </c>
      <c r="IC4" s="3" t="s">
        <v>282</v>
      </c>
    </row>
    <row r="5" spans="1:237" x14ac:dyDescent="0.2">
      <c r="A5" s="2">
        <v>45740.927418981482</v>
      </c>
      <c r="B5" s="2">
        <v>45740.955023148148</v>
      </c>
      <c r="C5" s="3" t="s">
        <v>240</v>
      </c>
      <c r="D5" s="3" t="s">
        <v>326</v>
      </c>
      <c r="E5" s="4">
        <v>100</v>
      </c>
      <c r="F5" s="4">
        <v>2384</v>
      </c>
      <c r="G5" s="3" t="s">
        <v>280</v>
      </c>
      <c r="H5" s="2">
        <v>45740.955036689818</v>
      </c>
      <c r="I5" s="3" t="s">
        <v>327</v>
      </c>
      <c r="J5" s="3" t="s">
        <v>282</v>
      </c>
      <c r="K5" s="3" t="s">
        <v>282</v>
      </c>
      <c r="L5" s="3" t="s">
        <v>282</v>
      </c>
      <c r="M5" s="3" t="s">
        <v>282</v>
      </c>
      <c r="N5" s="4">
        <v>-37.815899999999999</v>
      </c>
      <c r="O5" s="4">
        <v>144.96690000000001</v>
      </c>
      <c r="P5" s="3" t="s">
        <v>283</v>
      </c>
      <c r="Q5" s="3" t="s">
        <v>284</v>
      </c>
      <c r="R5" s="4">
        <v>0.80000001192092896</v>
      </c>
      <c r="S5" s="3" t="s">
        <v>285</v>
      </c>
      <c r="T5" s="3" t="s">
        <v>285</v>
      </c>
      <c r="U5" s="3" t="s">
        <v>285</v>
      </c>
      <c r="V5" s="3" t="s">
        <v>285</v>
      </c>
      <c r="W5" s="3" t="s">
        <v>286</v>
      </c>
      <c r="X5" s="3" t="s">
        <v>328</v>
      </c>
      <c r="Y5" s="3" t="s">
        <v>288</v>
      </c>
      <c r="Z5" s="3" t="s">
        <v>289</v>
      </c>
      <c r="AA5" s="3" t="s">
        <v>329</v>
      </c>
      <c r="AB5" s="3" t="s">
        <v>317</v>
      </c>
      <c r="AC5" s="3" t="s">
        <v>291</v>
      </c>
      <c r="AD5" s="3" t="s">
        <v>296</v>
      </c>
      <c r="AE5" s="4">
        <v>6.6360000000000001</v>
      </c>
      <c r="AF5" s="4">
        <v>9.3680000000000003</v>
      </c>
      <c r="AG5" s="4">
        <v>9.7110000000000003</v>
      </c>
      <c r="AH5" s="4">
        <v>3</v>
      </c>
      <c r="AI5" s="3" t="s">
        <v>293</v>
      </c>
      <c r="AJ5" s="3" t="s">
        <v>296</v>
      </c>
      <c r="AK5" s="4">
        <v>5.7290000000000001</v>
      </c>
      <c r="AL5" s="4">
        <v>6.657</v>
      </c>
      <c r="AM5" s="4">
        <v>8.859</v>
      </c>
      <c r="AN5" s="4">
        <v>2</v>
      </c>
      <c r="AO5" s="3" t="s">
        <v>293</v>
      </c>
      <c r="AP5" s="3" t="s">
        <v>296</v>
      </c>
      <c r="AQ5" s="4">
        <v>5.0309999999999997</v>
      </c>
      <c r="AR5" s="4">
        <v>8.9779999999999998</v>
      </c>
      <c r="AS5" s="4">
        <v>9.5950000000000006</v>
      </c>
      <c r="AT5" s="4">
        <v>2</v>
      </c>
      <c r="AU5" s="3" t="s">
        <v>295</v>
      </c>
      <c r="AV5" s="3" t="s">
        <v>292</v>
      </c>
      <c r="AW5" s="4">
        <v>24.637</v>
      </c>
      <c r="AX5" s="4">
        <v>48.817</v>
      </c>
      <c r="AY5" s="4">
        <v>51.74</v>
      </c>
      <c r="AZ5" s="4">
        <v>3</v>
      </c>
      <c r="BA5" s="3" t="s">
        <v>295</v>
      </c>
      <c r="BB5" s="3" t="s">
        <v>297</v>
      </c>
      <c r="BC5" s="4">
        <v>25.605</v>
      </c>
      <c r="BD5" s="4">
        <v>26.597000000000001</v>
      </c>
      <c r="BE5" s="4">
        <v>27.856000000000002</v>
      </c>
      <c r="BF5" s="4">
        <v>3</v>
      </c>
      <c r="BG5" s="3" t="s">
        <v>291</v>
      </c>
      <c r="BH5" s="3" t="s">
        <v>296</v>
      </c>
      <c r="BI5" s="4">
        <v>8.7110000000000003</v>
      </c>
      <c r="BJ5" s="4">
        <v>10.858000000000001</v>
      </c>
      <c r="BK5" s="4">
        <v>11.407999999999999</v>
      </c>
      <c r="BL5" s="4">
        <v>2</v>
      </c>
      <c r="BM5" s="3" t="s">
        <v>293</v>
      </c>
      <c r="BN5" s="3" t="s">
        <v>296</v>
      </c>
      <c r="BO5" s="4">
        <v>5.05</v>
      </c>
      <c r="BP5" s="4">
        <v>13.986000000000001</v>
      </c>
      <c r="BQ5" s="4">
        <v>14.981</v>
      </c>
      <c r="BR5" s="4">
        <v>2</v>
      </c>
      <c r="BS5" s="3" t="s">
        <v>293</v>
      </c>
      <c r="BT5" s="3" t="s">
        <v>297</v>
      </c>
      <c r="BU5" s="4">
        <v>12.53</v>
      </c>
      <c r="BV5" s="4">
        <v>17.978000000000002</v>
      </c>
      <c r="BW5" s="4">
        <v>23.62</v>
      </c>
      <c r="BX5" s="4">
        <v>2</v>
      </c>
      <c r="BY5" s="3" t="s">
        <v>295</v>
      </c>
      <c r="BZ5" s="3" t="s">
        <v>297</v>
      </c>
      <c r="CA5" s="4">
        <v>9.4390000000000001</v>
      </c>
      <c r="CB5" s="4">
        <v>10.403</v>
      </c>
      <c r="CC5" s="4">
        <v>11.641</v>
      </c>
      <c r="CD5" s="4">
        <v>2</v>
      </c>
      <c r="CE5" s="3" t="s">
        <v>298</v>
      </c>
      <c r="CF5" s="3" t="s">
        <v>292</v>
      </c>
      <c r="CG5" s="4">
        <v>6.9029999999999996</v>
      </c>
      <c r="CH5" s="4">
        <v>15.757999999999999</v>
      </c>
      <c r="CI5" s="4">
        <v>19.600000000000001</v>
      </c>
      <c r="CJ5" s="4">
        <v>8</v>
      </c>
      <c r="CK5" s="3" t="s">
        <v>291</v>
      </c>
      <c r="CL5" s="3" t="s">
        <v>296</v>
      </c>
      <c r="CM5" s="4">
        <v>31.07</v>
      </c>
      <c r="CN5" s="4">
        <v>32.753</v>
      </c>
      <c r="CO5" s="4">
        <v>33.097000000000001</v>
      </c>
      <c r="CP5" s="4">
        <v>3</v>
      </c>
      <c r="CQ5" s="3" t="s">
        <v>293</v>
      </c>
      <c r="CR5" s="3" t="s">
        <v>296</v>
      </c>
      <c r="CS5" s="4">
        <v>9.5259999999999998</v>
      </c>
      <c r="CT5" s="4">
        <v>11.737</v>
      </c>
      <c r="CU5" s="4">
        <v>13.456</v>
      </c>
      <c r="CV5" s="4">
        <v>2</v>
      </c>
      <c r="CW5" s="3" t="s">
        <v>293</v>
      </c>
      <c r="CX5" s="3" t="s">
        <v>292</v>
      </c>
      <c r="CY5" s="4">
        <v>10.98</v>
      </c>
      <c r="CZ5" s="4">
        <v>30.835000000000001</v>
      </c>
      <c r="DA5" s="4">
        <v>31.97</v>
      </c>
      <c r="DB5" s="4">
        <v>5</v>
      </c>
      <c r="DC5" s="3" t="s">
        <v>298</v>
      </c>
      <c r="DD5" s="3" t="s">
        <v>292</v>
      </c>
      <c r="DE5" s="4">
        <v>92.203000000000003</v>
      </c>
      <c r="DF5" s="4">
        <v>118.602</v>
      </c>
      <c r="DG5" s="4">
        <v>120.024</v>
      </c>
      <c r="DH5" s="4">
        <v>3</v>
      </c>
      <c r="DI5" s="3" t="s">
        <v>298</v>
      </c>
      <c r="DJ5" s="3" t="s">
        <v>292</v>
      </c>
      <c r="DK5" s="4">
        <v>13.856</v>
      </c>
      <c r="DL5" s="4">
        <v>17.888000000000002</v>
      </c>
      <c r="DM5" s="4">
        <v>21.558</v>
      </c>
      <c r="DN5" s="4">
        <v>3</v>
      </c>
      <c r="DO5" s="3" t="s">
        <v>291</v>
      </c>
      <c r="DP5" s="3" t="s">
        <v>296</v>
      </c>
      <c r="DQ5" s="4">
        <v>40.869999999999997</v>
      </c>
      <c r="DR5" s="4">
        <v>43.009</v>
      </c>
      <c r="DS5" s="4">
        <v>45.997999999999998</v>
      </c>
      <c r="DT5" s="4">
        <v>2</v>
      </c>
      <c r="DU5" s="3" t="s">
        <v>293</v>
      </c>
      <c r="DV5" s="3" t="s">
        <v>296</v>
      </c>
      <c r="DW5" s="4">
        <v>6.9969999999999999</v>
      </c>
      <c r="DX5" s="4">
        <v>8.8770000000000007</v>
      </c>
      <c r="DY5" s="4">
        <v>9.8149999999999995</v>
      </c>
      <c r="DZ5" s="4">
        <v>2</v>
      </c>
      <c r="EA5" s="3" t="s">
        <v>299</v>
      </c>
      <c r="EB5" s="3" t="s">
        <v>297</v>
      </c>
      <c r="EC5" s="4">
        <v>20.922999999999998</v>
      </c>
      <c r="ED5" s="4">
        <v>22.027000000000001</v>
      </c>
      <c r="EE5" s="4">
        <v>22.658000000000001</v>
      </c>
      <c r="EF5" s="4">
        <v>2</v>
      </c>
      <c r="EG5" s="3" t="s">
        <v>295</v>
      </c>
      <c r="EH5" s="3" t="s">
        <v>297</v>
      </c>
      <c r="EI5" s="4">
        <v>14.647</v>
      </c>
      <c r="EJ5" s="4">
        <v>16.154</v>
      </c>
      <c r="EK5" s="4">
        <v>16.992999999999999</v>
      </c>
      <c r="EL5" s="4">
        <v>2</v>
      </c>
      <c r="EM5" s="3" t="s">
        <v>298</v>
      </c>
      <c r="EN5" s="3" t="s">
        <v>292</v>
      </c>
      <c r="EO5" s="4">
        <v>93.908000000000001</v>
      </c>
      <c r="EP5" s="4">
        <v>98.891999999999996</v>
      </c>
      <c r="EQ5" s="4">
        <v>100.121</v>
      </c>
      <c r="ER5" s="4">
        <v>2</v>
      </c>
      <c r="ES5" s="3" t="s">
        <v>291</v>
      </c>
      <c r="ET5" s="3" t="s">
        <v>296</v>
      </c>
      <c r="EU5" s="4">
        <v>8.9090000000000007</v>
      </c>
      <c r="EV5" s="4">
        <v>10.237</v>
      </c>
      <c r="EW5" s="4">
        <v>13.347</v>
      </c>
      <c r="EX5" s="4">
        <v>2</v>
      </c>
      <c r="EY5" s="3" t="s">
        <v>300</v>
      </c>
      <c r="EZ5" s="3" t="s">
        <v>294</v>
      </c>
      <c r="FA5" s="4">
        <v>10.220000000000001</v>
      </c>
      <c r="FB5" s="4">
        <v>11.92</v>
      </c>
      <c r="FC5" s="4">
        <v>12.513999999999999</v>
      </c>
      <c r="FD5" s="4">
        <v>2</v>
      </c>
      <c r="FE5" s="3" t="s">
        <v>282</v>
      </c>
      <c r="FF5" s="3" t="s">
        <v>330</v>
      </c>
      <c r="FG5" s="4">
        <v>9.282</v>
      </c>
      <c r="FH5" s="4">
        <v>14.577999999999999</v>
      </c>
      <c r="FI5" s="4">
        <v>15.385</v>
      </c>
      <c r="FJ5" s="4">
        <v>2</v>
      </c>
      <c r="FK5" s="3" t="s">
        <v>291</v>
      </c>
      <c r="FL5" s="3" t="s">
        <v>292</v>
      </c>
      <c r="FM5" s="4">
        <v>8.5470000000000006</v>
      </c>
      <c r="FN5" s="4">
        <v>10.94</v>
      </c>
      <c r="FO5" s="4">
        <v>11.586</v>
      </c>
      <c r="FP5" s="4">
        <v>2</v>
      </c>
      <c r="FQ5" s="3" t="s">
        <v>300</v>
      </c>
      <c r="FR5" s="3" t="s">
        <v>294</v>
      </c>
      <c r="FS5" s="4">
        <v>5.1989999999999998</v>
      </c>
      <c r="FT5" s="4">
        <v>10.494999999999999</v>
      </c>
      <c r="FU5" s="4">
        <v>11.33</v>
      </c>
      <c r="FV5" s="4">
        <v>2</v>
      </c>
      <c r="FW5" s="3" t="s">
        <v>301</v>
      </c>
      <c r="FX5" s="3" t="s">
        <v>297</v>
      </c>
      <c r="FY5" s="4">
        <v>27.271999999999998</v>
      </c>
      <c r="FZ5" s="4">
        <v>28.283999999999999</v>
      </c>
      <c r="GA5" s="4">
        <v>29.07</v>
      </c>
      <c r="GB5" s="4">
        <v>2</v>
      </c>
      <c r="GC5" s="3" t="s">
        <v>291</v>
      </c>
      <c r="GD5" s="3" t="s">
        <v>297</v>
      </c>
      <c r="GE5" s="4">
        <v>28.673999999999999</v>
      </c>
      <c r="GF5" s="4">
        <v>30.481000000000002</v>
      </c>
      <c r="GG5" s="4">
        <v>32.256</v>
      </c>
      <c r="GH5" s="4">
        <v>2</v>
      </c>
      <c r="GI5" s="3" t="s">
        <v>300</v>
      </c>
      <c r="GJ5" s="3" t="s">
        <v>294</v>
      </c>
      <c r="GK5" s="4">
        <v>6.4420000000000002</v>
      </c>
      <c r="GL5" s="4">
        <v>7.6740000000000004</v>
      </c>
      <c r="GM5" s="4">
        <v>10</v>
      </c>
      <c r="GN5" s="4">
        <v>2</v>
      </c>
      <c r="GO5" s="3" t="s">
        <v>301</v>
      </c>
      <c r="GP5" s="3" t="s">
        <v>292</v>
      </c>
      <c r="GQ5" s="4">
        <v>6.9130000000000003</v>
      </c>
      <c r="GR5" s="4">
        <v>8.2379999999999995</v>
      </c>
      <c r="GS5" s="4">
        <v>9.407</v>
      </c>
      <c r="GT5" s="4">
        <v>2</v>
      </c>
      <c r="GU5" s="3" t="s">
        <v>301</v>
      </c>
      <c r="GV5" s="3" t="s">
        <v>297</v>
      </c>
      <c r="GW5" s="4">
        <v>32.82</v>
      </c>
      <c r="GX5" s="4">
        <v>38.731999999999999</v>
      </c>
      <c r="GY5" s="4">
        <v>39.634</v>
      </c>
      <c r="GZ5" s="4">
        <v>2</v>
      </c>
      <c r="HA5" s="3" t="s">
        <v>300</v>
      </c>
      <c r="HB5" s="3" t="s">
        <v>296</v>
      </c>
      <c r="HC5" s="4">
        <v>9.7680000000000007</v>
      </c>
      <c r="HD5" s="4">
        <v>11.081</v>
      </c>
      <c r="HE5" s="4">
        <v>12.238</v>
      </c>
      <c r="HF5" s="4">
        <v>2</v>
      </c>
      <c r="HG5" s="3" t="s">
        <v>291</v>
      </c>
      <c r="HH5" s="3" t="s">
        <v>297</v>
      </c>
      <c r="HI5" s="4">
        <v>36.735999999999997</v>
      </c>
      <c r="HJ5" s="4">
        <v>43.332000000000001</v>
      </c>
      <c r="HK5" s="4">
        <v>46.378</v>
      </c>
      <c r="HL5" s="4">
        <v>4</v>
      </c>
      <c r="HM5" s="3" t="s">
        <v>331</v>
      </c>
      <c r="HN5" s="3" t="s">
        <v>332</v>
      </c>
      <c r="HO5" s="3" t="s">
        <v>333</v>
      </c>
      <c r="HP5" s="3" t="s">
        <v>334</v>
      </c>
      <c r="HQ5" s="3" t="s">
        <v>335</v>
      </c>
      <c r="HR5" s="3" t="s">
        <v>336</v>
      </c>
      <c r="HS5" s="3" t="s">
        <v>337</v>
      </c>
      <c r="HT5" s="3" t="s">
        <v>338</v>
      </c>
      <c r="HU5" s="3" t="s">
        <v>339</v>
      </c>
      <c r="HV5" s="3" t="s">
        <v>340</v>
      </c>
      <c r="HW5" s="3" t="s">
        <v>341</v>
      </c>
      <c r="HX5" s="3" t="s">
        <v>282</v>
      </c>
      <c r="HY5" s="3" t="s">
        <v>312</v>
      </c>
      <c r="HZ5" s="3" t="s">
        <v>282</v>
      </c>
      <c r="IA5" s="3" t="s">
        <v>325</v>
      </c>
      <c r="IB5" s="3" t="s">
        <v>282</v>
      </c>
      <c r="IC5" s="3" t="s">
        <v>282</v>
      </c>
    </row>
    <row r="6" spans="1:237" x14ac:dyDescent="0.2">
      <c r="A6" s="2">
        <v>45744.426388888889</v>
      </c>
      <c r="B6" s="2">
        <v>45744.43577546296</v>
      </c>
      <c r="C6" s="3" t="s">
        <v>240</v>
      </c>
      <c r="D6" s="3" t="s">
        <v>342</v>
      </c>
      <c r="E6" s="4">
        <v>100</v>
      </c>
      <c r="F6" s="4">
        <v>810</v>
      </c>
      <c r="G6" s="3" t="s">
        <v>280</v>
      </c>
      <c r="H6" s="2">
        <v>45744.435789687501</v>
      </c>
      <c r="I6" s="3" t="s">
        <v>343</v>
      </c>
      <c r="J6" s="3" t="s">
        <v>282</v>
      </c>
      <c r="K6" s="3" t="s">
        <v>282</v>
      </c>
      <c r="L6" s="3" t="s">
        <v>282</v>
      </c>
      <c r="M6" s="3" t="s">
        <v>282</v>
      </c>
      <c r="N6" s="4">
        <v>-37.979300000000002</v>
      </c>
      <c r="O6" s="4">
        <v>145.12970000000001</v>
      </c>
      <c r="P6" s="3" t="s">
        <v>283</v>
      </c>
      <c r="Q6" s="3" t="s">
        <v>284</v>
      </c>
      <c r="R6" s="4">
        <v>0.5</v>
      </c>
      <c r="S6" s="3" t="s">
        <v>285</v>
      </c>
      <c r="T6" s="3" t="s">
        <v>285</v>
      </c>
      <c r="U6" s="3" t="s">
        <v>285</v>
      </c>
      <c r="V6" s="3" t="s">
        <v>285</v>
      </c>
      <c r="W6" s="3" t="s">
        <v>286</v>
      </c>
      <c r="X6" s="3" t="s">
        <v>287</v>
      </c>
      <c r="Y6" s="3" t="s">
        <v>288</v>
      </c>
      <c r="Z6" s="3" t="s">
        <v>289</v>
      </c>
      <c r="AA6" s="3" t="s">
        <v>317</v>
      </c>
      <c r="AB6" s="3" t="s">
        <v>317</v>
      </c>
      <c r="AC6" s="3" t="s">
        <v>291</v>
      </c>
      <c r="AD6" s="3" t="s">
        <v>292</v>
      </c>
      <c r="AE6" s="4">
        <v>7.968</v>
      </c>
      <c r="AF6" s="4">
        <v>9.6010000000000009</v>
      </c>
      <c r="AG6" s="4">
        <v>10.590999999999999</v>
      </c>
      <c r="AH6" s="4">
        <v>2</v>
      </c>
      <c r="AI6" s="3" t="s">
        <v>299</v>
      </c>
      <c r="AJ6" s="3" t="s">
        <v>292</v>
      </c>
      <c r="AK6" s="4">
        <v>6.694</v>
      </c>
      <c r="AL6" s="4">
        <v>8.3659999999999997</v>
      </c>
      <c r="AM6" s="4">
        <v>9.4489999999999998</v>
      </c>
      <c r="AN6" s="4">
        <v>2</v>
      </c>
      <c r="AO6" s="3" t="s">
        <v>293</v>
      </c>
      <c r="AP6" s="3" t="s">
        <v>296</v>
      </c>
      <c r="AQ6" s="4">
        <v>6.351</v>
      </c>
      <c r="AR6" s="4">
        <v>11.339</v>
      </c>
      <c r="AS6" s="4">
        <v>12.26</v>
      </c>
      <c r="AT6" s="4">
        <v>2</v>
      </c>
      <c r="AU6" s="3" t="s">
        <v>295</v>
      </c>
      <c r="AV6" s="3" t="s">
        <v>292</v>
      </c>
      <c r="AW6" s="4">
        <v>6.5090000000000003</v>
      </c>
      <c r="AX6" s="4">
        <v>10.23</v>
      </c>
      <c r="AY6" s="4">
        <v>11.144</v>
      </c>
      <c r="AZ6" s="4">
        <v>3</v>
      </c>
      <c r="BA6" s="3" t="s">
        <v>295</v>
      </c>
      <c r="BB6" s="3" t="s">
        <v>292</v>
      </c>
      <c r="BC6" s="4">
        <v>7.3840000000000003</v>
      </c>
      <c r="BD6" s="4">
        <v>9.3859999999999992</v>
      </c>
      <c r="BE6" s="4">
        <v>9.7870000000000008</v>
      </c>
      <c r="BF6" s="4">
        <v>3</v>
      </c>
      <c r="BG6" s="3" t="s">
        <v>291</v>
      </c>
      <c r="BH6" s="3" t="s">
        <v>296</v>
      </c>
      <c r="BI6" s="4">
        <v>9.26</v>
      </c>
      <c r="BJ6" s="4">
        <v>12.16</v>
      </c>
      <c r="BK6" s="4">
        <v>12.863</v>
      </c>
      <c r="BL6" s="4">
        <v>2</v>
      </c>
      <c r="BM6" s="3" t="s">
        <v>293</v>
      </c>
      <c r="BN6" s="3" t="s">
        <v>292</v>
      </c>
      <c r="BO6" s="4">
        <v>10.015000000000001</v>
      </c>
      <c r="BP6" s="4">
        <v>11.457000000000001</v>
      </c>
      <c r="BQ6" s="4">
        <v>13.064</v>
      </c>
      <c r="BR6" s="4">
        <v>2</v>
      </c>
      <c r="BS6" s="3" t="s">
        <v>291</v>
      </c>
      <c r="BT6" s="3" t="s">
        <v>297</v>
      </c>
      <c r="BU6" s="4">
        <v>7.4489999999999998</v>
      </c>
      <c r="BV6" s="4">
        <v>9.9719999999999995</v>
      </c>
      <c r="BW6" s="4">
        <v>10.747</v>
      </c>
      <c r="BX6" s="4">
        <v>2</v>
      </c>
      <c r="BY6" s="3" t="s">
        <v>298</v>
      </c>
      <c r="BZ6" s="3" t="s">
        <v>297</v>
      </c>
      <c r="CA6" s="4">
        <v>15.500999999999999</v>
      </c>
      <c r="CB6" s="4">
        <v>17.5</v>
      </c>
      <c r="CC6" s="4">
        <v>18.602</v>
      </c>
      <c r="CD6" s="4">
        <v>2</v>
      </c>
      <c r="CE6" s="3" t="s">
        <v>298</v>
      </c>
      <c r="CF6" s="3" t="s">
        <v>292</v>
      </c>
      <c r="CG6" s="4">
        <v>6.4829999999999997</v>
      </c>
      <c r="CH6" s="4">
        <v>7.8840000000000003</v>
      </c>
      <c r="CI6" s="4">
        <v>9.1310000000000002</v>
      </c>
      <c r="CJ6" s="4">
        <v>2</v>
      </c>
      <c r="CK6" s="3" t="s">
        <v>291</v>
      </c>
      <c r="CL6" s="3" t="s">
        <v>292</v>
      </c>
      <c r="CM6" s="4">
        <v>6.4580000000000002</v>
      </c>
      <c r="CN6" s="4">
        <v>8.5120000000000005</v>
      </c>
      <c r="CO6" s="4">
        <v>9.2729999999999997</v>
      </c>
      <c r="CP6" s="4">
        <v>2</v>
      </c>
      <c r="CQ6" s="3" t="s">
        <v>299</v>
      </c>
      <c r="CR6" s="3" t="s">
        <v>292</v>
      </c>
      <c r="CS6" s="4">
        <v>8.0030000000000001</v>
      </c>
      <c r="CT6" s="4">
        <v>10.977</v>
      </c>
      <c r="CU6" s="4">
        <v>11.714</v>
      </c>
      <c r="CV6" s="4">
        <v>2</v>
      </c>
      <c r="CW6" s="3" t="s">
        <v>291</v>
      </c>
      <c r="CX6" s="3" t="s">
        <v>292</v>
      </c>
      <c r="CY6" s="4">
        <v>6.1239999999999997</v>
      </c>
      <c r="CZ6" s="4">
        <v>7.2809999999999997</v>
      </c>
      <c r="DA6" s="4">
        <v>9.0879999999999992</v>
      </c>
      <c r="DB6" s="4">
        <v>2</v>
      </c>
      <c r="DC6" s="3" t="s">
        <v>295</v>
      </c>
      <c r="DD6" s="3" t="s">
        <v>292</v>
      </c>
      <c r="DE6" s="4">
        <v>7.181</v>
      </c>
      <c r="DF6" s="4">
        <v>8.4120000000000008</v>
      </c>
      <c r="DG6" s="4">
        <v>9.4309999999999992</v>
      </c>
      <c r="DH6" s="4">
        <v>2</v>
      </c>
      <c r="DI6" s="3" t="s">
        <v>291</v>
      </c>
      <c r="DJ6" s="3" t="s">
        <v>292</v>
      </c>
      <c r="DK6" s="4">
        <v>7.2450000000000001</v>
      </c>
      <c r="DL6" s="4">
        <v>8.7010000000000005</v>
      </c>
      <c r="DM6" s="4">
        <v>11.848000000000001</v>
      </c>
      <c r="DN6" s="4">
        <v>2</v>
      </c>
      <c r="DO6" s="3" t="s">
        <v>291</v>
      </c>
      <c r="DP6" s="3" t="s">
        <v>292</v>
      </c>
      <c r="DQ6" s="4">
        <v>6.81</v>
      </c>
      <c r="DR6" s="4">
        <v>8.3019999999999996</v>
      </c>
      <c r="DS6" s="4">
        <v>9.4890000000000008</v>
      </c>
      <c r="DT6" s="4">
        <v>2</v>
      </c>
      <c r="DU6" s="3" t="s">
        <v>299</v>
      </c>
      <c r="DV6" s="3" t="s">
        <v>292</v>
      </c>
      <c r="DW6" s="4">
        <v>7.0369999999999999</v>
      </c>
      <c r="DX6" s="4">
        <v>12.634</v>
      </c>
      <c r="DY6" s="4">
        <v>13.507999999999999</v>
      </c>
      <c r="DZ6" s="4">
        <v>2</v>
      </c>
      <c r="EA6" s="3" t="s">
        <v>291</v>
      </c>
      <c r="EB6" s="3" t="s">
        <v>292</v>
      </c>
      <c r="EC6" s="4">
        <v>8.7260000000000009</v>
      </c>
      <c r="ED6" s="4">
        <v>10.089</v>
      </c>
      <c r="EE6" s="4">
        <v>10.901999999999999</v>
      </c>
      <c r="EF6" s="4">
        <v>2</v>
      </c>
      <c r="EG6" s="3" t="s">
        <v>295</v>
      </c>
      <c r="EH6" s="3" t="s">
        <v>297</v>
      </c>
      <c r="EI6" s="4">
        <v>7.5579999999999998</v>
      </c>
      <c r="EJ6" s="4">
        <v>10.206</v>
      </c>
      <c r="EK6" s="4">
        <v>10.973000000000001</v>
      </c>
      <c r="EL6" s="4">
        <v>2</v>
      </c>
      <c r="EM6" s="3" t="s">
        <v>291</v>
      </c>
      <c r="EN6" s="3" t="s">
        <v>292</v>
      </c>
      <c r="EO6" s="4">
        <v>8.1199999999999992</v>
      </c>
      <c r="EP6" s="4">
        <v>9.4700000000000006</v>
      </c>
      <c r="EQ6" s="4">
        <v>10.367000000000001</v>
      </c>
      <c r="ER6" s="4">
        <v>2</v>
      </c>
      <c r="ES6" s="3" t="s">
        <v>291</v>
      </c>
      <c r="ET6" s="3" t="s">
        <v>292</v>
      </c>
      <c r="EU6" s="4">
        <v>8.3360000000000003</v>
      </c>
      <c r="EV6" s="4">
        <v>9.65</v>
      </c>
      <c r="EW6" s="4">
        <v>10.483000000000001</v>
      </c>
      <c r="EX6" s="4">
        <v>2</v>
      </c>
      <c r="EY6" s="3" t="s">
        <v>300</v>
      </c>
      <c r="EZ6" s="3" t="s">
        <v>296</v>
      </c>
      <c r="FA6" s="4">
        <v>8.9420000000000002</v>
      </c>
      <c r="FB6" s="4">
        <v>12.161</v>
      </c>
      <c r="FC6" s="4">
        <v>13.343999999999999</v>
      </c>
      <c r="FD6" s="4">
        <v>2</v>
      </c>
      <c r="FE6" s="3" t="s">
        <v>300</v>
      </c>
      <c r="FF6" s="3" t="s">
        <v>292</v>
      </c>
      <c r="FG6" s="4">
        <v>7.3840000000000003</v>
      </c>
      <c r="FH6" s="4">
        <v>10.337999999999999</v>
      </c>
      <c r="FI6" s="4">
        <v>11.536</v>
      </c>
      <c r="FJ6" s="4">
        <v>3</v>
      </c>
      <c r="FK6" s="3" t="s">
        <v>291</v>
      </c>
      <c r="FL6" s="3" t="s">
        <v>292</v>
      </c>
      <c r="FM6" s="4">
        <v>6.0129999999999999</v>
      </c>
      <c r="FN6" s="4">
        <v>7.0129999999999999</v>
      </c>
      <c r="FO6" s="4">
        <v>8.9700000000000006</v>
      </c>
      <c r="FP6" s="4">
        <v>2</v>
      </c>
      <c r="FQ6" s="3" t="s">
        <v>291</v>
      </c>
      <c r="FR6" s="3" t="s">
        <v>292</v>
      </c>
      <c r="FS6" s="4">
        <v>12.679</v>
      </c>
      <c r="FT6" s="4">
        <v>15.04</v>
      </c>
      <c r="FU6" s="4">
        <v>18.829999999999998</v>
      </c>
      <c r="FV6" s="4">
        <v>2</v>
      </c>
      <c r="FW6" s="3" t="s">
        <v>300</v>
      </c>
      <c r="FX6" s="3" t="s">
        <v>292</v>
      </c>
      <c r="FY6" s="4">
        <v>19.611999999999998</v>
      </c>
      <c r="FZ6" s="4">
        <v>22.427</v>
      </c>
      <c r="GA6" s="4">
        <v>23.643000000000001</v>
      </c>
      <c r="GB6" s="4">
        <v>2</v>
      </c>
      <c r="GC6" s="3" t="s">
        <v>291</v>
      </c>
      <c r="GD6" s="3" t="s">
        <v>292</v>
      </c>
      <c r="GE6" s="4">
        <v>7.8419999999999996</v>
      </c>
      <c r="GF6" s="4">
        <v>8.7010000000000005</v>
      </c>
      <c r="GG6" s="4">
        <v>10.311</v>
      </c>
      <c r="GH6" s="4">
        <v>2</v>
      </c>
      <c r="GI6" s="3" t="s">
        <v>300</v>
      </c>
      <c r="GJ6" s="3" t="s">
        <v>292</v>
      </c>
      <c r="GK6" s="4">
        <v>8.2590000000000003</v>
      </c>
      <c r="GL6" s="4">
        <v>10.122999999999999</v>
      </c>
      <c r="GM6" s="4">
        <v>11.65</v>
      </c>
      <c r="GN6" s="4">
        <v>2</v>
      </c>
      <c r="GO6" s="3" t="s">
        <v>291</v>
      </c>
      <c r="GP6" s="3" t="s">
        <v>292</v>
      </c>
      <c r="GQ6" s="4">
        <v>6.2320000000000002</v>
      </c>
      <c r="GR6" s="4">
        <v>9.0559999999999992</v>
      </c>
      <c r="GS6" s="4">
        <v>9.8439999999999994</v>
      </c>
      <c r="GT6" s="4">
        <v>2</v>
      </c>
      <c r="GU6" s="3" t="s">
        <v>291</v>
      </c>
      <c r="GV6" s="3" t="s">
        <v>292</v>
      </c>
      <c r="GW6" s="4">
        <v>10.388</v>
      </c>
      <c r="GX6" s="4">
        <v>11.244999999999999</v>
      </c>
      <c r="GY6" s="4">
        <v>12.593999999999999</v>
      </c>
      <c r="GZ6" s="4">
        <v>2</v>
      </c>
      <c r="HA6" s="3" t="s">
        <v>300</v>
      </c>
      <c r="HB6" s="3" t="s">
        <v>296</v>
      </c>
      <c r="HC6" s="4">
        <v>7.4359999999999999</v>
      </c>
      <c r="HD6" s="4">
        <v>8.7110000000000003</v>
      </c>
      <c r="HE6" s="4">
        <v>9.9990000000000006</v>
      </c>
      <c r="HF6" s="4">
        <v>2</v>
      </c>
      <c r="HG6" s="3" t="s">
        <v>291</v>
      </c>
      <c r="HH6" s="3" t="s">
        <v>292</v>
      </c>
      <c r="HI6" s="4">
        <v>7.8630000000000004</v>
      </c>
      <c r="HJ6" s="4">
        <v>10.707000000000001</v>
      </c>
      <c r="HK6" s="4">
        <v>11.646000000000001</v>
      </c>
      <c r="HL6" s="4">
        <v>2</v>
      </c>
      <c r="HM6" s="3" t="s">
        <v>344</v>
      </c>
      <c r="HN6" s="3" t="s">
        <v>345</v>
      </c>
      <c r="HO6" s="3" t="s">
        <v>346</v>
      </c>
      <c r="HP6" s="3" t="s">
        <v>347</v>
      </c>
      <c r="HQ6" s="3" t="s">
        <v>348</v>
      </c>
      <c r="HR6" s="3" t="s">
        <v>349</v>
      </c>
      <c r="HS6" s="3" t="s">
        <v>350</v>
      </c>
      <c r="HT6" s="3" t="s">
        <v>351</v>
      </c>
      <c r="HU6" s="3" t="s">
        <v>352</v>
      </c>
      <c r="HV6" s="3" t="s">
        <v>353</v>
      </c>
      <c r="HW6" s="3" t="s">
        <v>354</v>
      </c>
      <c r="HX6" s="3" t="s">
        <v>355</v>
      </c>
      <c r="HY6" s="3" t="s">
        <v>312</v>
      </c>
      <c r="HZ6" s="3" t="s">
        <v>356</v>
      </c>
      <c r="IA6" s="3" t="s">
        <v>313</v>
      </c>
      <c r="IB6" s="3" t="s">
        <v>282</v>
      </c>
      <c r="IC6" s="3" t="s">
        <v>282</v>
      </c>
    </row>
    <row r="7" spans="1:237" x14ac:dyDescent="0.2">
      <c r="A7" s="2">
        <v>45744.430937500001</v>
      </c>
      <c r="B7" s="2">
        <v>45744.445902777778</v>
      </c>
      <c r="C7" s="3" t="s">
        <v>240</v>
      </c>
      <c r="D7" s="3" t="s">
        <v>357</v>
      </c>
      <c r="E7" s="4">
        <v>100</v>
      </c>
      <c r="F7" s="4">
        <v>1293</v>
      </c>
      <c r="G7" s="3" t="s">
        <v>280</v>
      </c>
      <c r="H7" s="2">
        <v>45744.445915231481</v>
      </c>
      <c r="I7" s="3" t="s">
        <v>358</v>
      </c>
      <c r="J7" s="3" t="s">
        <v>282</v>
      </c>
      <c r="K7" s="3" t="s">
        <v>282</v>
      </c>
      <c r="L7" s="3" t="s">
        <v>282</v>
      </c>
      <c r="M7" s="3" t="s">
        <v>282</v>
      </c>
      <c r="N7" s="4">
        <v>49.822099999999999</v>
      </c>
      <c r="O7" s="4">
        <v>-97.031499999999994</v>
      </c>
      <c r="P7" s="3" t="s">
        <v>283</v>
      </c>
      <c r="Q7" s="3" t="s">
        <v>284</v>
      </c>
      <c r="R7" s="4">
        <v>1</v>
      </c>
      <c r="S7" s="3" t="s">
        <v>285</v>
      </c>
      <c r="T7" s="3" t="s">
        <v>285</v>
      </c>
      <c r="U7" s="3" t="s">
        <v>285</v>
      </c>
      <c r="V7" s="3" t="s">
        <v>285</v>
      </c>
      <c r="W7" s="3" t="s">
        <v>359</v>
      </c>
      <c r="X7" s="3" t="s">
        <v>360</v>
      </c>
      <c r="Y7" s="3" t="s">
        <v>288</v>
      </c>
      <c r="Z7" s="3" t="s">
        <v>289</v>
      </c>
      <c r="AA7" s="3" t="s">
        <v>289</v>
      </c>
      <c r="AB7" s="3" t="s">
        <v>317</v>
      </c>
      <c r="AC7" s="3" t="s">
        <v>291</v>
      </c>
      <c r="AD7" s="3" t="s">
        <v>292</v>
      </c>
      <c r="AE7" s="4">
        <v>1.1339999999999999</v>
      </c>
      <c r="AF7" s="4">
        <v>15.192</v>
      </c>
      <c r="AG7" s="4">
        <v>15.468999999999999</v>
      </c>
      <c r="AH7" s="4">
        <v>9</v>
      </c>
      <c r="AI7" s="3" t="s">
        <v>293</v>
      </c>
      <c r="AJ7" s="3" t="s">
        <v>296</v>
      </c>
      <c r="AK7" s="4">
        <v>13.164</v>
      </c>
      <c r="AL7" s="4">
        <v>16.184999999999999</v>
      </c>
      <c r="AM7" s="4">
        <v>16.7</v>
      </c>
      <c r="AN7" s="4">
        <v>5</v>
      </c>
      <c r="AO7" s="3" t="s">
        <v>293</v>
      </c>
      <c r="AP7" s="3" t="s">
        <v>296</v>
      </c>
      <c r="AQ7" s="4">
        <v>5.72</v>
      </c>
      <c r="AR7" s="4">
        <v>16.713000000000001</v>
      </c>
      <c r="AS7" s="4">
        <v>17.091999999999999</v>
      </c>
      <c r="AT7" s="4">
        <v>10</v>
      </c>
      <c r="AU7" s="3" t="s">
        <v>295</v>
      </c>
      <c r="AV7" s="3" t="s">
        <v>292</v>
      </c>
      <c r="AW7" s="4">
        <v>18.754999999999999</v>
      </c>
      <c r="AX7" s="4">
        <v>21.338000000000001</v>
      </c>
      <c r="AY7" s="4">
        <v>21.667000000000002</v>
      </c>
      <c r="AZ7" s="4">
        <v>6</v>
      </c>
      <c r="BA7" s="3" t="s">
        <v>299</v>
      </c>
      <c r="BB7" s="3" t="s">
        <v>297</v>
      </c>
      <c r="BC7" s="4">
        <v>17.878</v>
      </c>
      <c r="BD7" s="4">
        <v>29.783999999999999</v>
      </c>
      <c r="BE7" s="4">
        <v>32.036999999999999</v>
      </c>
      <c r="BF7" s="4">
        <v>8</v>
      </c>
      <c r="BG7" s="3" t="s">
        <v>291</v>
      </c>
      <c r="BH7" s="3" t="s">
        <v>292</v>
      </c>
      <c r="BI7" s="4">
        <v>5.69</v>
      </c>
      <c r="BJ7" s="4">
        <v>18.13</v>
      </c>
      <c r="BK7" s="4">
        <v>18.433</v>
      </c>
      <c r="BL7" s="4">
        <v>12</v>
      </c>
      <c r="BM7" s="3" t="s">
        <v>293</v>
      </c>
      <c r="BN7" s="3" t="s">
        <v>292</v>
      </c>
      <c r="BO7" s="4">
        <v>2.7320000000000002</v>
      </c>
      <c r="BP7" s="4">
        <v>14.731999999999999</v>
      </c>
      <c r="BQ7" s="4">
        <v>15.500999999999999</v>
      </c>
      <c r="BR7" s="4">
        <v>12</v>
      </c>
      <c r="BS7" s="3" t="s">
        <v>291</v>
      </c>
      <c r="BT7" s="3" t="s">
        <v>292</v>
      </c>
      <c r="BU7" s="4">
        <v>11.42</v>
      </c>
      <c r="BV7" s="4">
        <v>31.686</v>
      </c>
      <c r="BW7" s="4">
        <v>32.198</v>
      </c>
      <c r="BX7" s="4">
        <v>13</v>
      </c>
      <c r="BY7" s="3" t="s">
        <v>299</v>
      </c>
      <c r="BZ7" s="3" t="s">
        <v>294</v>
      </c>
      <c r="CA7" s="4">
        <v>1.536</v>
      </c>
      <c r="CB7" s="4">
        <v>15.907999999999999</v>
      </c>
      <c r="CC7" s="4">
        <v>16.603000000000002</v>
      </c>
      <c r="CD7" s="4">
        <v>10</v>
      </c>
      <c r="CE7" s="3" t="s">
        <v>298</v>
      </c>
      <c r="CF7" s="3" t="s">
        <v>292</v>
      </c>
      <c r="CG7" s="4">
        <v>1.244</v>
      </c>
      <c r="CH7" s="4">
        <v>14.515000000000001</v>
      </c>
      <c r="CI7" s="4">
        <v>15.177</v>
      </c>
      <c r="CJ7" s="4">
        <v>8</v>
      </c>
      <c r="CK7" s="3" t="s">
        <v>291</v>
      </c>
      <c r="CL7" s="3" t="s">
        <v>292</v>
      </c>
      <c r="CM7" s="4">
        <v>1.202</v>
      </c>
      <c r="CN7" s="4">
        <v>17.273</v>
      </c>
      <c r="CO7" s="4">
        <v>17.846</v>
      </c>
      <c r="CP7" s="4">
        <v>11</v>
      </c>
      <c r="CQ7" s="3" t="s">
        <v>293</v>
      </c>
      <c r="CR7" s="3" t="s">
        <v>292</v>
      </c>
      <c r="CS7" s="4">
        <v>0.98099999999999998</v>
      </c>
      <c r="CT7" s="4">
        <v>17.175000000000001</v>
      </c>
      <c r="CU7" s="4">
        <v>17.744</v>
      </c>
      <c r="CV7" s="4">
        <v>7</v>
      </c>
      <c r="CW7" s="3" t="s">
        <v>291</v>
      </c>
      <c r="CX7" s="3" t="s">
        <v>292</v>
      </c>
      <c r="CY7" s="4">
        <v>20.707999999999998</v>
      </c>
      <c r="CZ7" s="4">
        <v>31.902000000000001</v>
      </c>
      <c r="DA7" s="4">
        <v>32.603999999999999</v>
      </c>
      <c r="DB7" s="4">
        <v>14</v>
      </c>
      <c r="DC7" s="3" t="s">
        <v>295</v>
      </c>
      <c r="DD7" s="3" t="s">
        <v>296</v>
      </c>
      <c r="DE7" s="4">
        <v>2.3519999999999999</v>
      </c>
      <c r="DF7" s="4">
        <v>15.087999999999999</v>
      </c>
      <c r="DG7" s="4">
        <v>15.696</v>
      </c>
      <c r="DH7" s="4">
        <v>8</v>
      </c>
      <c r="DI7" s="3" t="s">
        <v>298</v>
      </c>
      <c r="DJ7" s="3" t="s">
        <v>292</v>
      </c>
      <c r="DK7" s="4">
        <v>2.5</v>
      </c>
      <c r="DL7" s="4">
        <v>13.34</v>
      </c>
      <c r="DM7" s="4">
        <v>13.506</v>
      </c>
      <c r="DN7" s="4">
        <v>9</v>
      </c>
      <c r="DO7" s="3" t="s">
        <v>291</v>
      </c>
      <c r="DP7" s="3" t="s">
        <v>292</v>
      </c>
      <c r="DQ7" s="4">
        <v>5.4820000000000002</v>
      </c>
      <c r="DR7" s="4">
        <v>19.231999999999999</v>
      </c>
      <c r="DS7" s="4">
        <v>19.856000000000002</v>
      </c>
      <c r="DT7" s="4">
        <v>8</v>
      </c>
      <c r="DU7" s="3" t="s">
        <v>293</v>
      </c>
      <c r="DV7" s="3" t="s">
        <v>296</v>
      </c>
      <c r="DW7" s="4">
        <v>4.6920000000000002</v>
      </c>
      <c r="DX7" s="4">
        <v>38.273000000000003</v>
      </c>
      <c r="DY7" s="4">
        <v>39.381</v>
      </c>
      <c r="DZ7" s="4">
        <v>11</v>
      </c>
      <c r="EA7" s="3" t="s">
        <v>299</v>
      </c>
      <c r="EB7" s="3" t="s">
        <v>292</v>
      </c>
      <c r="EC7" s="4">
        <v>6.2510000000000003</v>
      </c>
      <c r="ED7" s="4">
        <v>15.478999999999999</v>
      </c>
      <c r="EE7" s="4">
        <v>15.702999999999999</v>
      </c>
      <c r="EF7" s="4">
        <v>9</v>
      </c>
      <c r="EG7" s="3" t="s">
        <v>295</v>
      </c>
      <c r="EH7" s="3" t="s">
        <v>292</v>
      </c>
      <c r="EI7" s="4">
        <v>5.766</v>
      </c>
      <c r="EJ7" s="4">
        <v>16.577000000000002</v>
      </c>
      <c r="EK7" s="4">
        <v>16.911000000000001</v>
      </c>
      <c r="EL7" s="4">
        <v>10</v>
      </c>
      <c r="EM7" s="3" t="s">
        <v>298</v>
      </c>
      <c r="EN7" s="3" t="s">
        <v>292</v>
      </c>
      <c r="EO7" s="4">
        <v>1.0469999999999999</v>
      </c>
      <c r="EP7" s="4">
        <v>17.628</v>
      </c>
      <c r="EQ7" s="4">
        <v>18.050999999999998</v>
      </c>
      <c r="ER7" s="4">
        <v>8</v>
      </c>
      <c r="ES7" s="3" t="s">
        <v>291</v>
      </c>
      <c r="ET7" s="3" t="s">
        <v>292</v>
      </c>
      <c r="EU7" s="4">
        <v>3.0550000000000002</v>
      </c>
      <c r="EV7" s="4">
        <v>15.624000000000001</v>
      </c>
      <c r="EW7" s="4">
        <v>16.100000000000001</v>
      </c>
      <c r="EX7" s="4">
        <v>10</v>
      </c>
      <c r="EY7" s="3" t="s">
        <v>300</v>
      </c>
      <c r="EZ7" s="3" t="s">
        <v>296</v>
      </c>
      <c r="FA7" s="4">
        <v>13.369</v>
      </c>
      <c r="FB7" s="4">
        <v>23.177</v>
      </c>
      <c r="FC7" s="4">
        <v>23.433</v>
      </c>
      <c r="FD7" s="4">
        <v>9</v>
      </c>
      <c r="FE7" s="3" t="s">
        <v>301</v>
      </c>
      <c r="FF7" s="3" t="s">
        <v>292</v>
      </c>
      <c r="FG7" s="4">
        <v>7.6319999999999997</v>
      </c>
      <c r="FH7" s="4">
        <v>18.414000000000001</v>
      </c>
      <c r="FI7" s="4">
        <v>18.702999999999999</v>
      </c>
      <c r="FJ7" s="4">
        <v>8</v>
      </c>
      <c r="FK7" s="3" t="s">
        <v>291</v>
      </c>
      <c r="FL7" s="3" t="s">
        <v>296</v>
      </c>
      <c r="FM7" s="4">
        <v>5.2560000000000002</v>
      </c>
      <c r="FN7" s="4">
        <v>16.073</v>
      </c>
      <c r="FO7" s="4">
        <v>16.306000000000001</v>
      </c>
      <c r="FP7" s="4">
        <v>6</v>
      </c>
      <c r="FQ7" s="3" t="s">
        <v>300</v>
      </c>
      <c r="FR7" s="3" t="s">
        <v>292</v>
      </c>
      <c r="FS7" s="4">
        <v>1.0589999999999999</v>
      </c>
      <c r="FT7" s="4">
        <v>21.030999999999999</v>
      </c>
      <c r="FU7" s="4">
        <v>21.202000000000002</v>
      </c>
      <c r="FV7" s="4">
        <v>13</v>
      </c>
      <c r="FW7" s="3" t="s">
        <v>301</v>
      </c>
      <c r="FX7" s="3" t="s">
        <v>292</v>
      </c>
      <c r="FY7" s="4">
        <v>7.0350000000000001</v>
      </c>
      <c r="FZ7" s="4">
        <v>19.132000000000001</v>
      </c>
      <c r="GA7" s="4">
        <v>19.3</v>
      </c>
      <c r="GB7" s="4">
        <v>10</v>
      </c>
      <c r="GC7" s="3" t="s">
        <v>291</v>
      </c>
      <c r="GD7" s="3" t="s">
        <v>292</v>
      </c>
      <c r="GE7" s="4">
        <v>5.5430000000000001</v>
      </c>
      <c r="GF7" s="4">
        <v>15.484999999999999</v>
      </c>
      <c r="GG7" s="4">
        <v>15.797000000000001</v>
      </c>
      <c r="GH7" s="4">
        <v>8</v>
      </c>
      <c r="GI7" s="3" t="s">
        <v>300</v>
      </c>
      <c r="GJ7" s="3" t="s">
        <v>296</v>
      </c>
      <c r="GK7" s="4">
        <v>8.08</v>
      </c>
      <c r="GL7" s="4">
        <v>14.439</v>
      </c>
      <c r="GM7" s="4">
        <v>14.765000000000001</v>
      </c>
      <c r="GN7" s="4">
        <v>9</v>
      </c>
      <c r="GO7" s="3" t="s">
        <v>301</v>
      </c>
      <c r="GP7" s="3" t="s">
        <v>292</v>
      </c>
      <c r="GQ7" s="4">
        <v>3.8889999999999998</v>
      </c>
      <c r="GR7" s="4">
        <v>12.045999999999999</v>
      </c>
      <c r="GS7" s="4">
        <v>12.346</v>
      </c>
      <c r="GT7" s="4">
        <v>8</v>
      </c>
      <c r="GU7" s="3" t="s">
        <v>291</v>
      </c>
      <c r="GV7" s="3" t="s">
        <v>292</v>
      </c>
      <c r="GW7" s="4">
        <v>2.9340000000000002</v>
      </c>
      <c r="GX7" s="4">
        <v>19.864000000000001</v>
      </c>
      <c r="GY7" s="4">
        <v>20.178999999999998</v>
      </c>
      <c r="GZ7" s="4">
        <v>10</v>
      </c>
      <c r="HA7" s="3" t="s">
        <v>300</v>
      </c>
      <c r="HB7" s="3" t="s">
        <v>292</v>
      </c>
      <c r="HC7" s="4">
        <v>4.5359999999999996</v>
      </c>
      <c r="HD7" s="4">
        <v>13.382999999999999</v>
      </c>
      <c r="HE7" s="4">
        <v>13.6</v>
      </c>
      <c r="HF7" s="4">
        <v>8</v>
      </c>
      <c r="HG7" s="3" t="s">
        <v>291</v>
      </c>
      <c r="HH7" s="3" t="s">
        <v>292</v>
      </c>
      <c r="HI7" s="4">
        <v>5.0880000000000001</v>
      </c>
      <c r="HJ7" s="4">
        <v>26.161999999999999</v>
      </c>
      <c r="HK7" s="4">
        <v>26.457000000000001</v>
      </c>
      <c r="HL7" s="4">
        <v>12</v>
      </c>
      <c r="HM7" s="3" t="s">
        <v>361</v>
      </c>
      <c r="HN7" s="3" t="s">
        <v>362</v>
      </c>
      <c r="HO7" s="3" t="s">
        <v>363</v>
      </c>
      <c r="HP7" s="3" t="s">
        <v>364</v>
      </c>
      <c r="HQ7" s="3" t="s">
        <v>365</v>
      </c>
      <c r="HR7" s="3" t="s">
        <v>366</v>
      </c>
      <c r="HS7" s="3" t="s">
        <v>367</v>
      </c>
      <c r="HT7" s="3" t="s">
        <v>368</v>
      </c>
      <c r="HU7" s="3" t="s">
        <v>369</v>
      </c>
      <c r="HV7" s="3" t="s">
        <v>370</v>
      </c>
      <c r="HW7" s="3" t="s">
        <v>371</v>
      </c>
      <c r="HX7" s="3" t="s">
        <v>282</v>
      </c>
      <c r="HY7" s="3" t="s">
        <v>312</v>
      </c>
      <c r="HZ7" s="3" t="s">
        <v>372</v>
      </c>
      <c r="IA7" s="3" t="s">
        <v>325</v>
      </c>
      <c r="IB7" s="3" t="s">
        <v>282</v>
      </c>
      <c r="IC7" s="3" t="s">
        <v>282</v>
      </c>
    </row>
    <row r="8" spans="1:237" x14ac:dyDescent="0.2">
      <c r="A8" s="2">
        <v>45744.432719907411</v>
      </c>
      <c r="B8" s="2">
        <v>45744.447222222225</v>
      </c>
      <c r="C8" s="3" t="s">
        <v>240</v>
      </c>
      <c r="D8" s="3" t="s">
        <v>373</v>
      </c>
      <c r="E8" s="4">
        <v>100</v>
      </c>
      <c r="F8" s="4">
        <v>1253</v>
      </c>
      <c r="G8" s="3" t="s">
        <v>280</v>
      </c>
      <c r="H8" s="2">
        <v>45744.447238715278</v>
      </c>
      <c r="I8" s="3" t="s">
        <v>374</v>
      </c>
      <c r="J8" s="3" t="s">
        <v>282</v>
      </c>
      <c r="K8" s="3" t="s">
        <v>282</v>
      </c>
      <c r="L8" s="3" t="s">
        <v>282</v>
      </c>
      <c r="M8" s="3" t="s">
        <v>282</v>
      </c>
      <c r="N8" s="4">
        <v>-37.910800000000002</v>
      </c>
      <c r="O8" s="4">
        <v>145.13319999999999</v>
      </c>
      <c r="P8" s="3" t="s">
        <v>283</v>
      </c>
      <c r="Q8" s="3" t="s">
        <v>284</v>
      </c>
      <c r="R8" s="4">
        <v>1</v>
      </c>
      <c r="S8" s="3" t="s">
        <v>285</v>
      </c>
      <c r="T8" s="3" t="s">
        <v>285</v>
      </c>
      <c r="U8" s="3" t="s">
        <v>285</v>
      </c>
      <c r="V8" s="3" t="s">
        <v>285</v>
      </c>
      <c r="W8" s="3" t="s">
        <v>286</v>
      </c>
      <c r="X8" s="3" t="s">
        <v>375</v>
      </c>
      <c r="Y8" s="3" t="s">
        <v>288</v>
      </c>
      <c r="Z8" s="3" t="s">
        <v>289</v>
      </c>
      <c r="AA8" s="3" t="s">
        <v>290</v>
      </c>
      <c r="AB8" s="3" t="s">
        <v>329</v>
      </c>
      <c r="AC8" s="3" t="s">
        <v>291</v>
      </c>
      <c r="AD8" s="3" t="s">
        <v>297</v>
      </c>
      <c r="AE8" s="4">
        <v>9.1340000000000003</v>
      </c>
      <c r="AF8" s="4">
        <v>10.669</v>
      </c>
      <c r="AG8" s="4">
        <v>11.289</v>
      </c>
      <c r="AH8" s="4">
        <v>2</v>
      </c>
      <c r="AI8" s="3" t="s">
        <v>299</v>
      </c>
      <c r="AJ8" s="3" t="s">
        <v>297</v>
      </c>
      <c r="AK8" s="4">
        <v>7.8280000000000003</v>
      </c>
      <c r="AL8" s="4">
        <v>14.564</v>
      </c>
      <c r="AM8" s="4">
        <v>14.895</v>
      </c>
      <c r="AN8" s="4">
        <v>7</v>
      </c>
      <c r="AO8" s="3" t="s">
        <v>299</v>
      </c>
      <c r="AP8" s="3" t="s">
        <v>292</v>
      </c>
      <c r="AQ8" s="4">
        <v>9.7360000000000007</v>
      </c>
      <c r="AR8" s="4">
        <v>12.384</v>
      </c>
      <c r="AS8" s="4">
        <v>13.018000000000001</v>
      </c>
      <c r="AT8" s="4">
        <v>2</v>
      </c>
      <c r="AU8" s="3" t="s">
        <v>298</v>
      </c>
      <c r="AV8" s="3" t="s">
        <v>297</v>
      </c>
      <c r="AW8" s="4">
        <v>10.225</v>
      </c>
      <c r="AX8" s="4">
        <v>12.01</v>
      </c>
      <c r="AY8" s="4">
        <v>13.211</v>
      </c>
      <c r="AZ8" s="4">
        <v>2</v>
      </c>
      <c r="BA8" s="3" t="s">
        <v>295</v>
      </c>
      <c r="BB8" s="3" t="s">
        <v>297</v>
      </c>
      <c r="BC8" s="4">
        <v>12.263</v>
      </c>
      <c r="BD8" s="4">
        <v>16.856000000000002</v>
      </c>
      <c r="BE8" s="4">
        <v>17.571000000000002</v>
      </c>
      <c r="BF8" s="4">
        <v>3</v>
      </c>
      <c r="BG8" s="3" t="s">
        <v>291</v>
      </c>
      <c r="BH8" s="3" t="s">
        <v>297</v>
      </c>
      <c r="BI8" s="4">
        <v>9.6649999999999991</v>
      </c>
      <c r="BJ8" s="4">
        <v>11.176</v>
      </c>
      <c r="BK8" s="4">
        <v>11.9</v>
      </c>
      <c r="BL8" s="4">
        <v>2</v>
      </c>
      <c r="BM8" s="3" t="s">
        <v>299</v>
      </c>
      <c r="BN8" s="3" t="s">
        <v>292</v>
      </c>
      <c r="BO8" s="4">
        <v>8.6219999999999999</v>
      </c>
      <c r="BP8" s="4">
        <v>10.287000000000001</v>
      </c>
      <c r="BQ8" s="4">
        <v>12.25</v>
      </c>
      <c r="BR8" s="4">
        <v>2</v>
      </c>
      <c r="BS8" s="3" t="s">
        <v>298</v>
      </c>
      <c r="BT8" s="3" t="s">
        <v>330</v>
      </c>
      <c r="BU8" s="4">
        <v>24.637</v>
      </c>
      <c r="BV8" s="4">
        <v>27.477</v>
      </c>
      <c r="BW8" s="4">
        <v>29.117999999999999</v>
      </c>
      <c r="BX8" s="4">
        <v>2</v>
      </c>
      <c r="BY8" s="3" t="s">
        <v>295</v>
      </c>
      <c r="BZ8" s="3" t="s">
        <v>330</v>
      </c>
      <c r="CA8" s="4">
        <v>8.6419999999999995</v>
      </c>
      <c r="CB8" s="4">
        <v>12.106</v>
      </c>
      <c r="CC8" s="4">
        <v>13.173999999999999</v>
      </c>
      <c r="CD8" s="4">
        <v>2</v>
      </c>
      <c r="CE8" s="3" t="s">
        <v>298</v>
      </c>
      <c r="CF8" s="3" t="s">
        <v>330</v>
      </c>
      <c r="CG8" s="4">
        <v>13.819000000000001</v>
      </c>
      <c r="CH8" s="4">
        <v>15.715999999999999</v>
      </c>
      <c r="CI8" s="4">
        <v>16.542999999999999</v>
      </c>
      <c r="CJ8" s="4">
        <v>2</v>
      </c>
      <c r="CK8" s="3" t="s">
        <v>291</v>
      </c>
      <c r="CL8" s="3" t="s">
        <v>292</v>
      </c>
      <c r="CM8" s="4">
        <v>5.9039999999999999</v>
      </c>
      <c r="CN8" s="4">
        <v>10.321</v>
      </c>
      <c r="CO8" s="4">
        <v>10.925000000000001</v>
      </c>
      <c r="CP8" s="4">
        <v>4</v>
      </c>
      <c r="CQ8" s="3" t="s">
        <v>299</v>
      </c>
      <c r="CR8" s="3" t="s">
        <v>292</v>
      </c>
      <c r="CS8" s="4">
        <v>11.231</v>
      </c>
      <c r="CT8" s="4">
        <v>13.76</v>
      </c>
      <c r="CU8" s="4">
        <v>14.505000000000001</v>
      </c>
      <c r="CV8" s="4">
        <v>2</v>
      </c>
      <c r="CW8" s="3" t="s">
        <v>291</v>
      </c>
      <c r="CX8" s="3" t="s">
        <v>297</v>
      </c>
      <c r="CY8" s="4">
        <v>11.045999999999999</v>
      </c>
      <c r="CZ8" s="4">
        <v>12.478</v>
      </c>
      <c r="DA8" s="4">
        <v>13.177</v>
      </c>
      <c r="DB8" s="4">
        <v>2</v>
      </c>
      <c r="DC8" s="3" t="s">
        <v>291</v>
      </c>
      <c r="DD8" s="3" t="s">
        <v>297</v>
      </c>
      <c r="DE8" s="4">
        <v>6.6189999999999998</v>
      </c>
      <c r="DF8" s="4">
        <v>10.523999999999999</v>
      </c>
      <c r="DG8" s="4">
        <v>11.286</v>
      </c>
      <c r="DH8" s="4">
        <v>3</v>
      </c>
      <c r="DI8" s="3" t="s">
        <v>298</v>
      </c>
      <c r="DJ8" s="3" t="s">
        <v>292</v>
      </c>
      <c r="DK8" s="4">
        <v>7.7270000000000003</v>
      </c>
      <c r="DL8" s="4">
        <v>9.4700000000000006</v>
      </c>
      <c r="DM8" s="4">
        <v>10.17</v>
      </c>
      <c r="DN8" s="4">
        <v>2</v>
      </c>
      <c r="DO8" s="3" t="s">
        <v>291</v>
      </c>
      <c r="DP8" s="3" t="s">
        <v>292</v>
      </c>
      <c r="DQ8" s="4">
        <v>11.305</v>
      </c>
      <c r="DR8" s="4">
        <v>15.617000000000001</v>
      </c>
      <c r="DS8" s="4">
        <v>16.260000000000002</v>
      </c>
      <c r="DT8" s="4">
        <v>3</v>
      </c>
      <c r="DU8" s="3" t="s">
        <v>293</v>
      </c>
      <c r="DV8" s="3" t="s">
        <v>297</v>
      </c>
      <c r="DW8" s="4">
        <v>9.8539999999999992</v>
      </c>
      <c r="DX8" s="4">
        <v>16.190999999999999</v>
      </c>
      <c r="DY8" s="4">
        <v>17.907</v>
      </c>
      <c r="DZ8" s="4">
        <v>4</v>
      </c>
      <c r="EA8" s="3" t="s">
        <v>291</v>
      </c>
      <c r="EB8" s="3" t="s">
        <v>297</v>
      </c>
      <c r="EC8" s="4">
        <v>14.872</v>
      </c>
      <c r="ED8" s="4">
        <v>16.831</v>
      </c>
      <c r="EE8" s="4">
        <v>17.698</v>
      </c>
      <c r="EF8" s="4">
        <v>2</v>
      </c>
      <c r="EG8" s="3" t="s">
        <v>291</v>
      </c>
      <c r="EH8" s="3" t="s">
        <v>297</v>
      </c>
      <c r="EI8" s="4">
        <v>9.2439999999999998</v>
      </c>
      <c r="EJ8" s="4">
        <v>13.451000000000001</v>
      </c>
      <c r="EK8" s="4">
        <v>16.416</v>
      </c>
      <c r="EL8" s="4">
        <v>2</v>
      </c>
      <c r="EM8" s="3" t="s">
        <v>298</v>
      </c>
      <c r="EN8" s="3" t="s">
        <v>292</v>
      </c>
      <c r="EO8" s="4">
        <v>8.5399999999999991</v>
      </c>
      <c r="EP8" s="4">
        <v>11.978999999999999</v>
      </c>
      <c r="EQ8" s="4">
        <v>12.981999999999999</v>
      </c>
      <c r="ER8" s="4">
        <v>3</v>
      </c>
      <c r="ES8" s="3" t="s">
        <v>291</v>
      </c>
      <c r="ET8" s="3" t="s">
        <v>296</v>
      </c>
      <c r="EU8" s="4">
        <v>9.2840000000000007</v>
      </c>
      <c r="EV8" s="4">
        <v>10.483000000000001</v>
      </c>
      <c r="EW8" s="4">
        <v>11.125999999999999</v>
      </c>
      <c r="EX8" s="4">
        <v>2</v>
      </c>
      <c r="EY8" s="3" t="s">
        <v>300</v>
      </c>
      <c r="EZ8" s="3" t="s">
        <v>294</v>
      </c>
      <c r="FA8" s="4">
        <v>15.840999999999999</v>
      </c>
      <c r="FB8" s="4">
        <v>19.234000000000002</v>
      </c>
      <c r="FC8" s="4">
        <v>20.055</v>
      </c>
      <c r="FD8" s="4">
        <v>2</v>
      </c>
      <c r="FE8" s="3" t="s">
        <v>301</v>
      </c>
      <c r="FF8" s="3" t="s">
        <v>297</v>
      </c>
      <c r="FG8" s="4">
        <v>11.962</v>
      </c>
      <c r="FH8" s="4">
        <v>13.978</v>
      </c>
      <c r="FI8" s="4">
        <v>16.588999999999999</v>
      </c>
      <c r="FJ8" s="4">
        <v>2</v>
      </c>
      <c r="FK8" s="3" t="s">
        <v>291</v>
      </c>
      <c r="FL8" s="3" t="s">
        <v>292</v>
      </c>
      <c r="FM8" s="4">
        <v>8.4149999999999991</v>
      </c>
      <c r="FN8" s="4">
        <v>11.113</v>
      </c>
      <c r="FO8" s="4">
        <v>11.835000000000001</v>
      </c>
      <c r="FP8" s="4">
        <v>2</v>
      </c>
      <c r="FQ8" s="3" t="s">
        <v>300</v>
      </c>
      <c r="FR8" s="3" t="s">
        <v>294</v>
      </c>
      <c r="FS8" s="4">
        <v>12.327999999999999</v>
      </c>
      <c r="FT8" s="4">
        <v>15.71</v>
      </c>
      <c r="FU8" s="4">
        <v>16.690999999999999</v>
      </c>
      <c r="FV8" s="4">
        <v>2</v>
      </c>
      <c r="FW8" s="3" t="s">
        <v>291</v>
      </c>
      <c r="FX8" s="3" t="s">
        <v>297</v>
      </c>
      <c r="FY8" s="4">
        <v>19.489999999999998</v>
      </c>
      <c r="FZ8" s="4">
        <v>27.777000000000001</v>
      </c>
      <c r="GA8" s="4">
        <v>30.036000000000001</v>
      </c>
      <c r="GB8" s="4">
        <v>4</v>
      </c>
      <c r="GC8" s="3" t="s">
        <v>291</v>
      </c>
      <c r="GD8" s="3" t="s">
        <v>296</v>
      </c>
      <c r="GE8" s="4">
        <v>9.4350000000000005</v>
      </c>
      <c r="GF8" s="4">
        <v>11.172000000000001</v>
      </c>
      <c r="GG8" s="4">
        <v>11.718999999999999</v>
      </c>
      <c r="GH8" s="4">
        <v>2</v>
      </c>
      <c r="GI8" s="3" t="s">
        <v>300</v>
      </c>
      <c r="GJ8" s="3" t="s">
        <v>296</v>
      </c>
      <c r="GK8" s="4">
        <v>11.315</v>
      </c>
      <c r="GL8" s="4">
        <v>13.06</v>
      </c>
      <c r="GM8" s="4">
        <v>15.957000000000001</v>
      </c>
      <c r="GN8" s="4">
        <v>2</v>
      </c>
      <c r="GO8" s="3" t="s">
        <v>291</v>
      </c>
      <c r="GP8" s="3" t="s">
        <v>292</v>
      </c>
      <c r="GQ8" s="4">
        <v>12.071</v>
      </c>
      <c r="GR8" s="4">
        <v>14.975</v>
      </c>
      <c r="GS8" s="4">
        <v>16.259</v>
      </c>
      <c r="GT8" s="4">
        <v>2</v>
      </c>
      <c r="GU8" s="3" t="s">
        <v>291</v>
      </c>
      <c r="GV8" s="3" t="s">
        <v>292</v>
      </c>
      <c r="GW8" s="4">
        <v>10.43</v>
      </c>
      <c r="GX8" s="4">
        <v>12.82</v>
      </c>
      <c r="GY8" s="4">
        <v>13.43</v>
      </c>
      <c r="GZ8" s="4">
        <v>2</v>
      </c>
      <c r="HA8" s="3" t="s">
        <v>300</v>
      </c>
      <c r="HB8" s="3" t="s">
        <v>296</v>
      </c>
      <c r="HC8" s="4">
        <v>8.3469999999999995</v>
      </c>
      <c r="HD8" s="4">
        <v>9.5229999999999997</v>
      </c>
      <c r="HE8" s="4">
        <v>10.318</v>
      </c>
      <c r="HF8" s="4">
        <v>2</v>
      </c>
      <c r="HG8" s="3" t="s">
        <v>291</v>
      </c>
      <c r="HH8" s="3" t="s">
        <v>292</v>
      </c>
      <c r="HI8" s="4">
        <v>9.3190000000000008</v>
      </c>
      <c r="HJ8" s="4">
        <v>11.528</v>
      </c>
      <c r="HK8" s="4">
        <v>12.179</v>
      </c>
      <c r="HL8" s="4">
        <v>3</v>
      </c>
      <c r="HM8" s="3" t="s">
        <v>376</v>
      </c>
      <c r="HN8" s="3" t="s">
        <v>377</v>
      </c>
      <c r="HO8" s="3" t="s">
        <v>378</v>
      </c>
      <c r="HP8" s="3" t="s">
        <v>379</v>
      </c>
      <c r="HQ8" s="3" t="s">
        <v>378</v>
      </c>
      <c r="HR8" s="3" t="s">
        <v>380</v>
      </c>
      <c r="HS8" s="3" t="s">
        <v>381</v>
      </c>
      <c r="HT8" s="3" t="s">
        <v>382</v>
      </c>
      <c r="HU8" s="3" t="s">
        <v>383</v>
      </c>
      <c r="HV8" s="3" t="s">
        <v>383</v>
      </c>
      <c r="HW8" s="3" t="s">
        <v>282</v>
      </c>
      <c r="HX8" s="3" t="s">
        <v>384</v>
      </c>
      <c r="HY8" s="3" t="s">
        <v>312</v>
      </c>
      <c r="HZ8" s="3" t="s">
        <v>356</v>
      </c>
      <c r="IA8" s="3" t="s">
        <v>313</v>
      </c>
      <c r="IB8" s="3" t="s">
        <v>282</v>
      </c>
      <c r="IC8" s="3" t="s">
        <v>282</v>
      </c>
    </row>
    <row r="9" spans="1:237" x14ac:dyDescent="0.2">
      <c r="A9" s="2">
        <v>45744.445902777778</v>
      </c>
      <c r="B9" s="2">
        <v>45744.463645833333</v>
      </c>
      <c r="C9" s="3" t="s">
        <v>240</v>
      </c>
      <c r="D9" s="3" t="s">
        <v>385</v>
      </c>
      <c r="E9" s="4">
        <v>100</v>
      </c>
      <c r="F9" s="4">
        <v>1532</v>
      </c>
      <c r="G9" s="3" t="s">
        <v>280</v>
      </c>
      <c r="H9" s="2">
        <v>45744.463661203707</v>
      </c>
      <c r="I9" s="3" t="s">
        <v>386</v>
      </c>
      <c r="J9" s="3" t="s">
        <v>282</v>
      </c>
      <c r="K9" s="3" t="s">
        <v>282</v>
      </c>
      <c r="L9" s="3" t="s">
        <v>282</v>
      </c>
      <c r="M9" s="3" t="s">
        <v>282</v>
      </c>
      <c r="N9" s="4">
        <v>49.8538</v>
      </c>
      <c r="O9" s="4">
        <v>-97.290300000000002</v>
      </c>
      <c r="P9" s="3" t="s">
        <v>283</v>
      </c>
      <c r="Q9" s="3" t="s">
        <v>284</v>
      </c>
      <c r="R9" s="4">
        <v>0.89999997615814209</v>
      </c>
      <c r="S9" s="3" t="s">
        <v>285</v>
      </c>
      <c r="T9" s="3" t="s">
        <v>285</v>
      </c>
      <c r="U9" s="3" t="s">
        <v>285</v>
      </c>
      <c r="V9" s="3" t="s">
        <v>285</v>
      </c>
      <c r="W9" s="3" t="s">
        <v>387</v>
      </c>
      <c r="X9" s="3" t="s">
        <v>375</v>
      </c>
      <c r="Y9" s="3" t="s">
        <v>288</v>
      </c>
      <c r="Z9" s="3" t="s">
        <v>289</v>
      </c>
      <c r="AA9" s="3" t="s">
        <v>289</v>
      </c>
      <c r="AB9" s="3" t="s">
        <v>289</v>
      </c>
      <c r="AC9" s="3" t="s">
        <v>291</v>
      </c>
      <c r="AD9" s="3" t="s">
        <v>292</v>
      </c>
      <c r="AE9" s="4">
        <v>10.128</v>
      </c>
      <c r="AF9" s="4">
        <v>14.851000000000001</v>
      </c>
      <c r="AG9" s="4">
        <v>16.103000000000002</v>
      </c>
      <c r="AH9" s="4">
        <v>3</v>
      </c>
      <c r="AI9" s="3" t="s">
        <v>293</v>
      </c>
      <c r="AJ9" s="3" t="s">
        <v>296</v>
      </c>
      <c r="AK9" s="4">
        <v>14.696999999999999</v>
      </c>
      <c r="AL9" s="4">
        <v>16.66</v>
      </c>
      <c r="AM9" s="4">
        <v>18.23</v>
      </c>
      <c r="AN9" s="4">
        <v>2</v>
      </c>
      <c r="AO9" s="3" t="s">
        <v>293</v>
      </c>
      <c r="AP9" s="3" t="s">
        <v>296</v>
      </c>
      <c r="AQ9" s="4">
        <v>10.843</v>
      </c>
      <c r="AR9" s="4">
        <v>12.917999999999999</v>
      </c>
      <c r="AS9" s="4">
        <v>14.625999999999999</v>
      </c>
      <c r="AT9" s="4">
        <v>2</v>
      </c>
      <c r="AU9" s="3" t="s">
        <v>298</v>
      </c>
      <c r="AV9" s="3" t="s">
        <v>296</v>
      </c>
      <c r="AW9" s="4">
        <v>9.7850000000000001</v>
      </c>
      <c r="AX9" s="4">
        <v>13.388</v>
      </c>
      <c r="AY9" s="4">
        <v>14.275</v>
      </c>
      <c r="AZ9" s="4">
        <v>3</v>
      </c>
      <c r="BA9" s="3" t="s">
        <v>299</v>
      </c>
      <c r="BB9" s="3" t="s">
        <v>296</v>
      </c>
      <c r="BC9" s="4">
        <v>28.611000000000001</v>
      </c>
      <c r="BD9" s="4">
        <v>32.271999999999998</v>
      </c>
      <c r="BE9" s="4">
        <v>34.255000000000003</v>
      </c>
      <c r="BF9" s="4">
        <v>2</v>
      </c>
      <c r="BG9" s="3" t="s">
        <v>298</v>
      </c>
      <c r="BH9" s="3" t="s">
        <v>292</v>
      </c>
      <c r="BI9" s="4">
        <v>12.701000000000001</v>
      </c>
      <c r="BJ9" s="4">
        <v>14.587999999999999</v>
      </c>
      <c r="BK9" s="4">
        <v>15.680999999999999</v>
      </c>
      <c r="BL9" s="4">
        <v>2</v>
      </c>
      <c r="BM9" s="3" t="s">
        <v>293</v>
      </c>
      <c r="BN9" s="3" t="s">
        <v>296</v>
      </c>
      <c r="BO9" s="4">
        <v>11.015000000000001</v>
      </c>
      <c r="BP9" s="4">
        <v>13.381</v>
      </c>
      <c r="BQ9" s="4">
        <v>14.768000000000001</v>
      </c>
      <c r="BR9" s="4">
        <v>2</v>
      </c>
      <c r="BS9" s="3" t="s">
        <v>291</v>
      </c>
      <c r="BT9" s="3" t="s">
        <v>292</v>
      </c>
      <c r="BU9" s="4">
        <v>33.142000000000003</v>
      </c>
      <c r="BV9" s="4">
        <v>35.35</v>
      </c>
      <c r="BW9" s="4">
        <v>37.283000000000001</v>
      </c>
      <c r="BX9" s="4">
        <v>2</v>
      </c>
      <c r="BY9" s="3" t="s">
        <v>295</v>
      </c>
      <c r="BZ9" s="3" t="s">
        <v>297</v>
      </c>
      <c r="CA9" s="4">
        <v>18.178999999999998</v>
      </c>
      <c r="CB9" s="4">
        <v>20.693999999999999</v>
      </c>
      <c r="CC9" s="4">
        <v>22.192</v>
      </c>
      <c r="CD9" s="4">
        <v>2</v>
      </c>
      <c r="CE9" s="3" t="s">
        <v>298</v>
      </c>
      <c r="CF9" s="3" t="s">
        <v>292</v>
      </c>
      <c r="CG9" s="4">
        <v>15.736000000000001</v>
      </c>
      <c r="CH9" s="4">
        <v>17.623999999999999</v>
      </c>
      <c r="CI9" s="4">
        <v>18.779</v>
      </c>
      <c r="CJ9" s="4">
        <v>2</v>
      </c>
      <c r="CK9" s="3" t="s">
        <v>291</v>
      </c>
      <c r="CL9" s="3" t="s">
        <v>296</v>
      </c>
      <c r="CM9" s="4">
        <v>8.9510000000000005</v>
      </c>
      <c r="CN9" s="4">
        <v>11.086</v>
      </c>
      <c r="CO9" s="4">
        <v>11.815</v>
      </c>
      <c r="CP9" s="4">
        <v>2</v>
      </c>
      <c r="CQ9" s="3" t="s">
        <v>293</v>
      </c>
      <c r="CR9" s="3" t="s">
        <v>296</v>
      </c>
      <c r="CS9" s="4">
        <v>14.05</v>
      </c>
      <c r="CT9" s="4">
        <v>15.941000000000001</v>
      </c>
      <c r="CU9" s="4">
        <v>17.120999999999999</v>
      </c>
      <c r="CV9" s="4">
        <v>2</v>
      </c>
      <c r="CW9" s="3" t="s">
        <v>291</v>
      </c>
      <c r="CX9" s="3" t="s">
        <v>292</v>
      </c>
      <c r="CY9" s="4">
        <v>17.821000000000002</v>
      </c>
      <c r="CZ9" s="4">
        <v>21.202999999999999</v>
      </c>
      <c r="DA9" s="4">
        <v>22.565000000000001</v>
      </c>
      <c r="DB9" s="4">
        <v>2</v>
      </c>
      <c r="DC9" s="3" t="s">
        <v>298</v>
      </c>
      <c r="DD9" s="3" t="s">
        <v>296</v>
      </c>
      <c r="DE9" s="4">
        <v>11.016</v>
      </c>
      <c r="DF9" s="4">
        <v>13.212999999999999</v>
      </c>
      <c r="DG9" s="4">
        <v>14.26</v>
      </c>
      <c r="DH9" s="4">
        <v>2</v>
      </c>
      <c r="DI9" s="3" t="s">
        <v>291</v>
      </c>
      <c r="DJ9" s="3" t="s">
        <v>296</v>
      </c>
      <c r="DK9" s="4">
        <v>11.33</v>
      </c>
      <c r="DL9" s="4">
        <v>16.571000000000002</v>
      </c>
      <c r="DM9" s="4">
        <v>17.725999999999999</v>
      </c>
      <c r="DN9" s="4">
        <v>3</v>
      </c>
      <c r="DO9" s="3" t="s">
        <v>291</v>
      </c>
      <c r="DP9" s="3" t="s">
        <v>294</v>
      </c>
      <c r="DQ9" s="4">
        <v>13.278</v>
      </c>
      <c r="DR9" s="4">
        <v>20.427</v>
      </c>
      <c r="DS9" s="4">
        <v>23.266999999999999</v>
      </c>
      <c r="DT9" s="4">
        <v>2</v>
      </c>
      <c r="DU9" s="3" t="s">
        <v>293</v>
      </c>
      <c r="DV9" s="3" t="s">
        <v>296</v>
      </c>
      <c r="DW9" s="4">
        <v>26.922999999999998</v>
      </c>
      <c r="DX9" s="4">
        <v>31.033000000000001</v>
      </c>
      <c r="DY9" s="4">
        <v>31.934999999999999</v>
      </c>
      <c r="DZ9" s="4">
        <v>2</v>
      </c>
      <c r="EA9" s="3" t="s">
        <v>299</v>
      </c>
      <c r="EB9" s="3" t="s">
        <v>296</v>
      </c>
      <c r="EC9" s="4">
        <v>22.044</v>
      </c>
      <c r="ED9" s="4">
        <v>39.094000000000001</v>
      </c>
      <c r="EE9" s="4">
        <v>41.238</v>
      </c>
      <c r="EF9" s="4">
        <v>3</v>
      </c>
      <c r="EG9" s="3" t="s">
        <v>298</v>
      </c>
      <c r="EH9" s="3" t="s">
        <v>296</v>
      </c>
      <c r="EI9" s="4">
        <v>9.2680000000000007</v>
      </c>
      <c r="EJ9" s="4">
        <v>12.276999999999999</v>
      </c>
      <c r="EK9" s="4">
        <v>13.098000000000001</v>
      </c>
      <c r="EL9" s="4">
        <v>2</v>
      </c>
      <c r="EM9" s="3" t="s">
        <v>291</v>
      </c>
      <c r="EN9" s="3" t="s">
        <v>292</v>
      </c>
      <c r="EO9" s="4">
        <v>7.6</v>
      </c>
      <c r="EP9" s="4">
        <v>10.103999999999999</v>
      </c>
      <c r="EQ9" s="4">
        <v>11.66</v>
      </c>
      <c r="ER9" s="4">
        <v>2</v>
      </c>
      <c r="ES9" s="3" t="s">
        <v>301</v>
      </c>
      <c r="ET9" s="3" t="s">
        <v>292</v>
      </c>
      <c r="EU9" s="4">
        <v>9.0830000000000002</v>
      </c>
      <c r="EV9" s="4">
        <v>11.227</v>
      </c>
      <c r="EW9" s="4">
        <v>12.358000000000001</v>
      </c>
      <c r="EX9" s="4">
        <v>2</v>
      </c>
      <c r="EY9" s="3" t="s">
        <v>300</v>
      </c>
      <c r="EZ9" s="3" t="s">
        <v>292</v>
      </c>
      <c r="FA9" s="4">
        <v>11.603999999999999</v>
      </c>
      <c r="FB9" s="4">
        <v>13.98</v>
      </c>
      <c r="FC9" s="4">
        <v>15.29</v>
      </c>
      <c r="FD9" s="4">
        <v>2</v>
      </c>
      <c r="FE9" s="3" t="s">
        <v>301</v>
      </c>
      <c r="FF9" s="3" t="s">
        <v>296</v>
      </c>
      <c r="FG9" s="4">
        <v>8.4990000000000006</v>
      </c>
      <c r="FH9" s="4">
        <v>11.584</v>
      </c>
      <c r="FI9" s="4">
        <v>12.75</v>
      </c>
      <c r="FJ9" s="4">
        <v>2</v>
      </c>
      <c r="FK9" s="3" t="s">
        <v>291</v>
      </c>
      <c r="FL9" s="3" t="s">
        <v>296</v>
      </c>
      <c r="FM9" s="4">
        <v>19.271000000000001</v>
      </c>
      <c r="FN9" s="4">
        <v>22.7</v>
      </c>
      <c r="FO9" s="4">
        <v>24.135999999999999</v>
      </c>
      <c r="FP9" s="4">
        <v>2</v>
      </c>
      <c r="FQ9" s="3" t="s">
        <v>300</v>
      </c>
      <c r="FR9" s="3" t="s">
        <v>296</v>
      </c>
      <c r="FS9" s="4">
        <v>8.7279999999999998</v>
      </c>
      <c r="FT9" s="4">
        <v>10.676</v>
      </c>
      <c r="FU9" s="4">
        <v>11.858000000000001</v>
      </c>
      <c r="FV9" s="4">
        <v>2</v>
      </c>
      <c r="FW9" s="3" t="s">
        <v>301</v>
      </c>
      <c r="FX9" s="3" t="s">
        <v>292</v>
      </c>
      <c r="FY9" s="4">
        <v>9.0210000000000008</v>
      </c>
      <c r="FZ9" s="4">
        <v>13.268000000000001</v>
      </c>
      <c r="GA9" s="4">
        <v>14.321999999999999</v>
      </c>
      <c r="GB9" s="4">
        <v>2</v>
      </c>
      <c r="GC9" s="3" t="s">
        <v>301</v>
      </c>
      <c r="GD9" s="3" t="s">
        <v>292</v>
      </c>
      <c r="GE9" s="4">
        <v>6.5250000000000004</v>
      </c>
      <c r="GF9" s="4">
        <v>10.916</v>
      </c>
      <c r="GG9" s="4">
        <v>12.356</v>
      </c>
      <c r="GH9" s="4">
        <v>3</v>
      </c>
      <c r="GI9" s="3" t="s">
        <v>300</v>
      </c>
      <c r="GJ9" s="3" t="s">
        <v>296</v>
      </c>
      <c r="GK9" s="4">
        <v>7.7190000000000003</v>
      </c>
      <c r="GL9" s="4">
        <v>9.2520000000000007</v>
      </c>
      <c r="GM9" s="4">
        <v>10.622999999999999</v>
      </c>
      <c r="GN9" s="4">
        <v>2</v>
      </c>
      <c r="GO9" s="3" t="s">
        <v>291</v>
      </c>
      <c r="GP9" s="3" t="s">
        <v>296</v>
      </c>
      <c r="GQ9" s="4">
        <v>9.032</v>
      </c>
      <c r="GR9" s="4">
        <v>10.965</v>
      </c>
      <c r="GS9" s="4">
        <v>11.914999999999999</v>
      </c>
      <c r="GT9" s="4">
        <v>2</v>
      </c>
      <c r="GU9" s="3" t="s">
        <v>301</v>
      </c>
      <c r="GV9" s="3" t="s">
        <v>292</v>
      </c>
      <c r="GW9" s="4">
        <v>12.157</v>
      </c>
      <c r="GX9" s="4">
        <v>14.606</v>
      </c>
      <c r="GY9" s="4">
        <v>15.502000000000001</v>
      </c>
      <c r="GZ9" s="4">
        <v>2</v>
      </c>
      <c r="HA9" s="3" t="s">
        <v>300</v>
      </c>
      <c r="HB9" s="3" t="s">
        <v>296</v>
      </c>
      <c r="HC9" s="4">
        <v>11.695</v>
      </c>
      <c r="HD9" s="4">
        <v>14.243</v>
      </c>
      <c r="HE9" s="4">
        <v>15.375</v>
      </c>
      <c r="HF9" s="4">
        <v>2</v>
      </c>
      <c r="HG9" s="3" t="s">
        <v>291</v>
      </c>
      <c r="HH9" s="3" t="s">
        <v>296</v>
      </c>
      <c r="HI9" s="4">
        <v>8.14</v>
      </c>
      <c r="HJ9" s="4">
        <v>10.866</v>
      </c>
      <c r="HK9" s="4">
        <v>11.845000000000001</v>
      </c>
      <c r="HL9" s="4">
        <v>2</v>
      </c>
      <c r="HM9" s="3" t="s">
        <v>388</v>
      </c>
      <c r="HN9" s="3" t="s">
        <v>389</v>
      </c>
      <c r="HO9" s="3" t="s">
        <v>390</v>
      </c>
      <c r="HP9" s="3" t="s">
        <v>391</v>
      </c>
      <c r="HQ9" s="3" t="s">
        <v>392</v>
      </c>
      <c r="HR9" s="3" t="s">
        <v>393</v>
      </c>
      <c r="HS9" s="3" t="s">
        <v>394</v>
      </c>
      <c r="HT9" s="3" t="s">
        <v>395</v>
      </c>
      <c r="HU9" s="3" t="s">
        <v>396</v>
      </c>
      <c r="HV9" s="3" t="s">
        <v>397</v>
      </c>
      <c r="HW9" s="3" t="s">
        <v>398</v>
      </c>
      <c r="HX9" s="3" t="s">
        <v>399</v>
      </c>
      <c r="HY9" s="3" t="s">
        <v>312</v>
      </c>
      <c r="HZ9" s="3" t="s">
        <v>372</v>
      </c>
      <c r="IA9" s="3" t="s">
        <v>325</v>
      </c>
      <c r="IB9" s="3" t="s">
        <v>282</v>
      </c>
      <c r="IC9" s="3" t="s">
        <v>282</v>
      </c>
    </row>
    <row r="10" spans="1:237" x14ac:dyDescent="0.2">
      <c r="A10" s="2">
        <v>45744.497210648151</v>
      </c>
      <c r="B10" s="2">
        <v>45744.509791666664</v>
      </c>
      <c r="C10" s="3" t="s">
        <v>240</v>
      </c>
      <c r="D10" s="3" t="s">
        <v>400</v>
      </c>
      <c r="E10" s="4">
        <v>100</v>
      </c>
      <c r="F10" s="4">
        <v>1087</v>
      </c>
      <c r="G10" s="3" t="s">
        <v>280</v>
      </c>
      <c r="H10" s="2">
        <v>45744.509806643517</v>
      </c>
      <c r="I10" s="3" t="s">
        <v>401</v>
      </c>
      <c r="J10" s="3" t="s">
        <v>282</v>
      </c>
      <c r="K10" s="3" t="s">
        <v>282</v>
      </c>
      <c r="L10" s="3" t="s">
        <v>282</v>
      </c>
      <c r="M10" s="3" t="s">
        <v>282</v>
      </c>
      <c r="N10" s="4">
        <v>-37.910800000000002</v>
      </c>
      <c r="O10" s="4">
        <v>145.13319999999999</v>
      </c>
      <c r="P10" s="3" t="s">
        <v>283</v>
      </c>
      <c r="Q10" s="3" t="s">
        <v>284</v>
      </c>
      <c r="R10" s="4">
        <v>0.89999997615814209</v>
      </c>
      <c r="S10" s="3" t="s">
        <v>285</v>
      </c>
      <c r="T10" s="3" t="s">
        <v>285</v>
      </c>
      <c r="U10" s="3" t="s">
        <v>285</v>
      </c>
      <c r="V10" s="3" t="s">
        <v>285</v>
      </c>
      <c r="W10" s="3" t="s">
        <v>286</v>
      </c>
      <c r="X10" s="3" t="s">
        <v>402</v>
      </c>
      <c r="Y10" s="3" t="s">
        <v>288</v>
      </c>
      <c r="Z10" s="3" t="s">
        <v>317</v>
      </c>
      <c r="AA10" s="3" t="s">
        <v>317</v>
      </c>
      <c r="AB10" s="3" t="s">
        <v>289</v>
      </c>
      <c r="AC10" s="3" t="s">
        <v>291</v>
      </c>
      <c r="AD10" s="3" t="s">
        <v>296</v>
      </c>
      <c r="AE10" s="4">
        <v>7.2329999999999997</v>
      </c>
      <c r="AF10" s="4">
        <v>9.4320000000000004</v>
      </c>
      <c r="AG10" s="4">
        <v>10.089</v>
      </c>
      <c r="AH10" s="4">
        <v>2</v>
      </c>
      <c r="AI10" s="3" t="s">
        <v>293</v>
      </c>
      <c r="AJ10" s="3" t="s">
        <v>296</v>
      </c>
      <c r="AK10" s="4">
        <v>6.5519999999999996</v>
      </c>
      <c r="AL10" s="4">
        <v>8.6880000000000006</v>
      </c>
      <c r="AM10" s="4">
        <v>9.7189999999999994</v>
      </c>
      <c r="AN10" s="4">
        <v>2</v>
      </c>
      <c r="AO10" s="3" t="s">
        <v>293</v>
      </c>
      <c r="AP10" s="3" t="s">
        <v>296</v>
      </c>
      <c r="AQ10" s="4">
        <v>8.1620000000000008</v>
      </c>
      <c r="AR10" s="4">
        <v>11.227</v>
      </c>
      <c r="AS10" s="4">
        <v>11.89</v>
      </c>
      <c r="AT10" s="4">
        <v>2</v>
      </c>
      <c r="AU10" s="3" t="s">
        <v>295</v>
      </c>
      <c r="AV10" s="3" t="s">
        <v>296</v>
      </c>
      <c r="AW10" s="4">
        <v>5.694</v>
      </c>
      <c r="AX10" s="4">
        <v>8.8309999999999995</v>
      </c>
      <c r="AY10" s="4">
        <v>10.268000000000001</v>
      </c>
      <c r="AZ10" s="4">
        <v>2</v>
      </c>
      <c r="BA10" s="3" t="s">
        <v>299</v>
      </c>
      <c r="BB10" s="3" t="s">
        <v>296</v>
      </c>
      <c r="BC10" s="4">
        <v>13.343999999999999</v>
      </c>
      <c r="BD10" s="4">
        <v>21.927</v>
      </c>
      <c r="BE10" s="4">
        <v>22.655000000000001</v>
      </c>
      <c r="BF10" s="4">
        <v>4</v>
      </c>
      <c r="BG10" s="3" t="s">
        <v>291</v>
      </c>
      <c r="BH10" s="3" t="s">
        <v>296</v>
      </c>
      <c r="BI10" s="4">
        <v>5.7089999999999996</v>
      </c>
      <c r="BJ10" s="4">
        <v>7.093</v>
      </c>
      <c r="BK10" s="4">
        <v>8.7729999999999997</v>
      </c>
      <c r="BL10" s="4">
        <v>2</v>
      </c>
      <c r="BM10" s="3" t="s">
        <v>293</v>
      </c>
      <c r="BN10" s="3" t="s">
        <v>296</v>
      </c>
      <c r="BO10" s="4">
        <v>7.077</v>
      </c>
      <c r="BP10" s="4">
        <v>13.436999999999999</v>
      </c>
      <c r="BQ10" s="4">
        <v>14.366</v>
      </c>
      <c r="BR10" s="4">
        <v>2</v>
      </c>
      <c r="BS10" s="3" t="s">
        <v>298</v>
      </c>
      <c r="BT10" s="3" t="s">
        <v>292</v>
      </c>
      <c r="BU10" s="4">
        <v>35.619</v>
      </c>
      <c r="BV10" s="4">
        <v>37.579000000000001</v>
      </c>
      <c r="BW10" s="4">
        <v>38.218000000000004</v>
      </c>
      <c r="BX10" s="4">
        <v>2</v>
      </c>
      <c r="BY10" s="3" t="s">
        <v>299</v>
      </c>
      <c r="BZ10" s="3" t="s">
        <v>296</v>
      </c>
      <c r="CA10" s="4">
        <v>8.702</v>
      </c>
      <c r="CB10" s="4">
        <v>10.917999999999999</v>
      </c>
      <c r="CC10" s="4">
        <v>13.468999999999999</v>
      </c>
      <c r="CD10" s="4">
        <v>3</v>
      </c>
      <c r="CE10" s="3" t="s">
        <v>298</v>
      </c>
      <c r="CF10" s="3" t="s">
        <v>292</v>
      </c>
      <c r="CG10" s="4">
        <v>14.186999999999999</v>
      </c>
      <c r="CH10" s="4">
        <v>15.866</v>
      </c>
      <c r="CI10" s="4">
        <v>16.745000000000001</v>
      </c>
      <c r="CJ10" s="4">
        <v>2</v>
      </c>
      <c r="CK10" s="3" t="s">
        <v>291</v>
      </c>
      <c r="CL10" s="3" t="s">
        <v>296</v>
      </c>
      <c r="CM10" s="4">
        <v>6.3620000000000001</v>
      </c>
      <c r="CN10" s="4">
        <v>10.994</v>
      </c>
      <c r="CO10" s="4">
        <v>11.77</v>
      </c>
      <c r="CP10" s="4">
        <v>2</v>
      </c>
      <c r="CQ10" s="3" t="s">
        <v>299</v>
      </c>
      <c r="CR10" s="3" t="s">
        <v>296</v>
      </c>
      <c r="CS10" s="4">
        <v>8.1020000000000003</v>
      </c>
      <c r="CT10" s="4">
        <v>11.71</v>
      </c>
      <c r="CU10" s="4">
        <v>12.478</v>
      </c>
      <c r="CV10" s="4">
        <v>2</v>
      </c>
      <c r="CW10" s="3" t="s">
        <v>282</v>
      </c>
      <c r="CX10" s="3" t="s">
        <v>292</v>
      </c>
      <c r="CY10" s="4">
        <v>20.57</v>
      </c>
      <c r="CZ10" s="4">
        <v>22.562000000000001</v>
      </c>
      <c r="DA10" s="4">
        <v>24.355</v>
      </c>
      <c r="DB10" s="4">
        <v>2</v>
      </c>
      <c r="DC10" s="3" t="s">
        <v>291</v>
      </c>
      <c r="DD10" s="3" t="s">
        <v>292</v>
      </c>
      <c r="DE10" s="4">
        <v>37.871000000000002</v>
      </c>
      <c r="DF10" s="4">
        <v>51.151000000000003</v>
      </c>
      <c r="DG10" s="4">
        <v>51.765999999999998</v>
      </c>
      <c r="DH10" s="4">
        <v>4</v>
      </c>
      <c r="DI10" s="3" t="s">
        <v>299</v>
      </c>
      <c r="DJ10" s="3" t="s">
        <v>292</v>
      </c>
      <c r="DK10" s="4">
        <v>15.581</v>
      </c>
      <c r="DL10" s="4">
        <v>19.013000000000002</v>
      </c>
      <c r="DM10" s="4">
        <v>19.652999999999999</v>
      </c>
      <c r="DN10" s="4">
        <v>3</v>
      </c>
      <c r="DO10" s="3" t="s">
        <v>291</v>
      </c>
      <c r="DP10" s="3" t="s">
        <v>296</v>
      </c>
      <c r="DQ10" s="4">
        <v>5.6379999999999999</v>
      </c>
      <c r="DR10" s="4">
        <v>7.0460000000000003</v>
      </c>
      <c r="DS10" s="4">
        <v>8.7490000000000006</v>
      </c>
      <c r="DT10" s="4">
        <v>2</v>
      </c>
      <c r="DU10" s="3" t="s">
        <v>293</v>
      </c>
      <c r="DV10" s="3" t="s">
        <v>296</v>
      </c>
      <c r="DW10" s="4">
        <v>12.22</v>
      </c>
      <c r="DX10" s="4">
        <v>14.635999999999999</v>
      </c>
      <c r="DY10" s="4">
        <v>15.179</v>
      </c>
      <c r="DZ10" s="4">
        <v>2</v>
      </c>
      <c r="EA10" s="3" t="s">
        <v>299</v>
      </c>
      <c r="EB10" s="3" t="s">
        <v>296</v>
      </c>
      <c r="EC10" s="4">
        <v>15.935</v>
      </c>
      <c r="ED10" s="4">
        <v>23.670999999999999</v>
      </c>
      <c r="EE10" s="4">
        <v>24.27</v>
      </c>
      <c r="EF10" s="4">
        <v>2</v>
      </c>
      <c r="EG10" s="3" t="s">
        <v>291</v>
      </c>
      <c r="EH10" s="3" t="s">
        <v>296</v>
      </c>
      <c r="EI10" s="4">
        <v>7.351</v>
      </c>
      <c r="EJ10" s="4">
        <v>8.9350000000000005</v>
      </c>
      <c r="EK10" s="4">
        <v>9.5350000000000001</v>
      </c>
      <c r="EL10" s="4">
        <v>2</v>
      </c>
      <c r="EM10" s="3" t="s">
        <v>299</v>
      </c>
      <c r="EN10" s="3" t="s">
        <v>292</v>
      </c>
      <c r="EO10" s="4">
        <v>8.7370000000000001</v>
      </c>
      <c r="EP10" s="4">
        <v>15.593</v>
      </c>
      <c r="EQ10" s="4">
        <v>16.344999999999999</v>
      </c>
      <c r="ER10" s="4">
        <v>3</v>
      </c>
      <c r="ES10" s="3" t="s">
        <v>291</v>
      </c>
      <c r="ET10" s="3" t="s">
        <v>296</v>
      </c>
      <c r="EU10" s="4">
        <v>10.067</v>
      </c>
      <c r="EV10" s="4">
        <v>12.579000000000001</v>
      </c>
      <c r="EW10" s="4">
        <v>13.494</v>
      </c>
      <c r="EX10" s="4">
        <v>2</v>
      </c>
      <c r="EY10" s="3" t="s">
        <v>300</v>
      </c>
      <c r="EZ10" s="3" t="s">
        <v>296</v>
      </c>
      <c r="FA10" s="4">
        <v>11.037000000000001</v>
      </c>
      <c r="FB10" s="4">
        <v>13.532999999999999</v>
      </c>
      <c r="FC10" s="4">
        <v>14.141</v>
      </c>
      <c r="FD10" s="4">
        <v>2</v>
      </c>
      <c r="FE10" s="3" t="s">
        <v>301</v>
      </c>
      <c r="FF10" s="3" t="s">
        <v>296</v>
      </c>
      <c r="FG10" s="4">
        <v>18.413</v>
      </c>
      <c r="FH10" s="4">
        <v>50.204999999999998</v>
      </c>
      <c r="FI10" s="4">
        <v>50.923999999999999</v>
      </c>
      <c r="FJ10" s="4">
        <v>3</v>
      </c>
      <c r="FK10" s="3" t="s">
        <v>301</v>
      </c>
      <c r="FL10" s="3" t="s">
        <v>292</v>
      </c>
      <c r="FM10" s="4">
        <v>14.747</v>
      </c>
      <c r="FN10" s="4">
        <v>17.363</v>
      </c>
      <c r="FO10" s="4">
        <v>18.033999999999999</v>
      </c>
      <c r="FP10" s="4">
        <v>4</v>
      </c>
      <c r="FQ10" s="3" t="s">
        <v>300</v>
      </c>
      <c r="FR10" s="3" t="s">
        <v>292</v>
      </c>
      <c r="FS10" s="4">
        <v>24.128</v>
      </c>
      <c r="FT10" s="4">
        <v>35.44</v>
      </c>
      <c r="FU10" s="4">
        <v>36.064</v>
      </c>
      <c r="FV10" s="4">
        <v>5</v>
      </c>
      <c r="FW10" s="3" t="s">
        <v>301</v>
      </c>
      <c r="FX10" s="3" t="s">
        <v>296</v>
      </c>
      <c r="FY10" s="4">
        <v>10.114000000000001</v>
      </c>
      <c r="FZ10" s="4">
        <v>13.644</v>
      </c>
      <c r="GA10" s="4">
        <v>13.865</v>
      </c>
      <c r="GB10" s="4">
        <v>3</v>
      </c>
      <c r="GC10" s="3" t="s">
        <v>301</v>
      </c>
      <c r="GD10" s="3" t="s">
        <v>296</v>
      </c>
      <c r="GE10" s="4">
        <v>8.4369999999999994</v>
      </c>
      <c r="GF10" s="4">
        <v>14.093</v>
      </c>
      <c r="GG10" s="4">
        <v>15.228999999999999</v>
      </c>
      <c r="GH10" s="4">
        <v>2</v>
      </c>
      <c r="GI10" s="3" t="s">
        <v>300</v>
      </c>
      <c r="GJ10" s="3" t="s">
        <v>296</v>
      </c>
      <c r="GK10" s="4">
        <v>6.1390000000000002</v>
      </c>
      <c r="GL10" s="4">
        <v>8.8109999999999999</v>
      </c>
      <c r="GM10" s="4">
        <v>9.1470000000000002</v>
      </c>
      <c r="GN10" s="4">
        <v>3</v>
      </c>
      <c r="GO10" s="3" t="s">
        <v>301</v>
      </c>
      <c r="GP10" s="3" t="s">
        <v>296</v>
      </c>
      <c r="GQ10" s="4">
        <v>18.027999999999999</v>
      </c>
      <c r="GR10" s="4">
        <v>20.196000000000002</v>
      </c>
      <c r="GS10" s="4">
        <v>20.827000000000002</v>
      </c>
      <c r="GT10" s="4">
        <v>2</v>
      </c>
      <c r="GU10" s="3" t="s">
        <v>291</v>
      </c>
      <c r="GV10" s="3" t="s">
        <v>296</v>
      </c>
      <c r="GW10" s="4">
        <v>8.5950000000000006</v>
      </c>
      <c r="GX10" s="4">
        <v>10.851000000000001</v>
      </c>
      <c r="GY10" s="4">
        <v>11.673</v>
      </c>
      <c r="GZ10" s="4">
        <v>2</v>
      </c>
      <c r="HA10" s="3" t="s">
        <v>300</v>
      </c>
      <c r="HB10" s="3" t="s">
        <v>296</v>
      </c>
      <c r="HC10" s="4">
        <v>10.079000000000001</v>
      </c>
      <c r="HD10" s="4">
        <v>12.999000000000001</v>
      </c>
      <c r="HE10" s="4">
        <v>13.727</v>
      </c>
      <c r="HF10" s="4">
        <v>2</v>
      </c>
      <c r="HG10" s="3" t="s">
        <v>301</v>
      </c>
      <c r="HH10" s="3" t="s">
        <v>292</v>
      </c>
      <c r="HI10" s="4">
        <v>12.609</v>
      </c>
      <c r="HJ10" s="4">
        <v>22.024999999999999</v>
      </c>
      <c r="HK10" s="4">
        <v>22.68</v>
      </c>
      <c r="HL10" s="4">
        <v>3</v>
      </c>
      <c r="HM10" s="3" t="s">
        <v>403</v>
      </c>
      <c r="HN10" s="3" t="s">
        <v>404</v>
      </c>
      <c r="HO10" s="3" t="s">
        <v>405</v>
      </c>
      <c r="HP10" s="3" t="s">
        <v>405</v>
      </c>
      <c r="HQ10" s="3" t="s">
        <v>406</v>
      </c>
      <c r="HR10" s="3" t="s">
        <v>406</v>
      </c>
      <c r="HS10" s="3" t="s">
        <v>407</v>
      </c>
      <c r="HT10" s="3" t="s">
        <v>408</v>
      </c>
      <c r="HU10" s="3" t="s">
        <v>409</v>
      </c>
      <c r="HV10" s="3" t="s">
        <v>409</v>
      </c>
      <c r="HW10" s="3" t="s">
        <v>282</v>
      </c>
      <c r="HX10" s="3" t="s">
        <v>282</v>
      </c>
      <c r="HY10" s="3" t="s">
        <v>312</v>
      </c>
      <c r="HZ10" s="3" t="s">
        <v>356</v>
      </c>
      <c r="IA10" s="3" t="s">
        <v>313</v>
      </c>
      <c r="IB10" s="3" t="s">
        <v>282</v>
      </c>
      <c r="IC10" s="3" t="s">
        <v>282</v>
      </c>
    </row>
    <row r="11" spans="1:237" x14ac:dyDescent="0.2">
      <c r="A11" s="2">
        <v>45744.538472222222</v>
      </c>
      <c r="B11" s="2">
        <v>45744.563854166663</v>
      </c>
      <c r="C11" s="3" t="s">
        <v>240</v>
      </c>
      <c r="D11" s="3" t="s">
        <v>410</v>
      </c>
      <c r="E11" s="4">
        <v>100</v>
      </c>
      <c r="F11" s="4">
        <v>2192</v>
      </c>
      <c r="G11" s="3" t="s">
        <v>280</v>
      </c>
      <c r="H11" s="2">
        <v>45744.563861180555</v>
      </c>
      <c r="I11" s="3" t="s">
        <v>411</v>
      </c>
      <c r="J11" s="3" t="s">
        <v>282</v>
      </c>
      <c r="K11" s="3" t="s">
        <v>282</v>
      </c>
      <c r="L11" s="3" t="s">
        <v>282</v>
      </c>
      <c r="M11" s="3" t="s">
        <v>282</v>
      </c>
      <c r="N11" s="4">
        <v>51.092700000000001</v>
      </c>
      <c r="O11" s="4">
        <v>-114.2017</v>
      </c>
      <c r="P11" s="3" t="s">
        <v>283</v>
      </c>
      <c r="Q11" s="3" t="s">
        <v>284</v>
      </c>
      <c r="R11" s="4">
        <v>1</v>
      </c>
      <c r="S11" s="3" t="s">
        <v>285</v>
      </c>
      <c r="T11" s="3" t="s">
        <v>285</v>
      </c>
      <c r="U11" s="3" t="s">
        <v>285</v>
      </c>
      <c r="V11" s="3" t="s">
        <v>285</v>
      </c>
      <c r="W11" s="3" t="s">
        <v>412</v>
      </c>
      <c r="X11" s="3" t="s">
        <v>375</v>
      </c>
      <c r="Y11" s="3" t="s">
        <v>288</v>
      </c>
      <c r="Z11" s="3" t="s">
        <v>289</v>
      </c>
      <c r="AA11" s="3" t="s">
        <v>329</v>
      </c>
      <c r="AB11" s="3" t="s">
        <v>317</v>
      </c>
      <c r="AC11" s="3" t="s">
        <v>291</v>
      </c>
      <c r="AD11" s="3" t="s">
        <v>296</v>
      </c>
      <c r="AE11" s="4">
        <v>6.7690000000000001</v>
      </c>
      <c r="AF11" s="4">
        <v>9.0609999999999999</v>
      </c>
      <c r="AG11" s="4">
        <v>9.7469999999999999</v>
      </c>
      <c r="AH11" s="4">
        <v>2</v>
      </c>
      <c r="AI11" s="3" t="s">
        <v>293</v>
      </c>
      <c r="AJ11" s="3" t="s">
        <v>296</v>
      </c>
      <c r="AK11" s="4">
        <v>6.7</v>
      </c>
      <c r="AL11" s="4">
        <v>7.8760000000000003</v>
      </c>
      <c r="AM11" s="4">
        <v>8.8930000000000007</v>
      </c>
      <c r="AN11" s="4">
        <v>2</v>
      </c>
      <c r="AO11" s="3" t="s">
        <v>293</v>
      </c>
      <c r="AP11" s="3" t="s">
        <v>296</v>
      </c>
      <c r="AQ11" s="4">
        <v>17.899999999999999</v>
      </c>
      <c r="AR11" s="4">
        <v>37.317</v>
      </c>
      <c r="AS11" s="4">
        <v>38.101999999999997</v>
      </c>
      <c r="AT11" s="4">
        <v>2</v>
      </c>
      <c r="AU11" s="3" t="s">
        <v>295</v>
      </c>
      <c r="AV11" s="3" t="s">
        <v>296</v>
      </c>
      <c r="AW11" s="4">
        <v>4.8869999999999996</v>
      </c>
      <c r="AX11" s="4">
        <v>7.6689999999999996</v>
      </c>
      <c r="AY11" s="4">
        <v>9.2309999999999999</v>
      </c>
      <c r="AZ11" s="4">
        <v>2</v>
      </c>
      <c r="BA11" s="3" t="s">
        <v>295</v>
      </c>
      <c r="BB11" s="3" t="s">
        <v>296</v>
      </c>
      <c r="BC11" s="4">
        <v>9.0370000000000008</v>
      </c>
      <c r="BD11" s="4">
        <v>11.382999999999999</v>
      </c>
      <c r="BE11" s="4">
        <v>12.805</v>
      </c>
      <c r="BF11" s="4">
        <v>3</v>
      </c>
      <c r="BG11" s="3" t="s">
        <v>291</v>
      </c>
      <c r="BH11" s="3" t="s">
        <v>296</v>
      </c>
      <c r="BI11" s="4">
        <v>8.3010000000000002</v>
      </c>
      <c r="BJ11" s="4">
        <v>10.821</v>
      </c>
      <c r="BK11" s="4">
        <v>11.42</v>
      </c>
      <c r="BL11" s="4">
        <v>2</v>
      </c>
      <c r="BM11" s="3" t="s">
        <v>293</v>
      </c>
      <c r="BN11" s="3" t="s">
        <v>296</v>
      </c>
      <c r="BO11" s="4">
        <v>7.0949999999999998</v>
      </c>
      <c r="BP11" s="4">
        <v>11.548999999999999</v>
      </c>
      <c r="BQ11" s="4">
        <v>12.167999999999999</v>
      </c>
      <c r="BR11" s="4">
        <v>3</v>
      </c>
      <c r="BS11" s="3" t="s">
        <v>291</v>
      </c>
      <c r="BT11" s="3" t="s">
        <v>296</v>
      </c>
      <c r="BU11" s="4">
        <v>10.9</v>
      </c>
      <c r="BV11" s="4">
        <v>15.481999999999999</v>
      </c>
      <c r="BW11" s="4">
        <v>16.135000000000002</v>
      </c>
      <c r="BX11" s="4">
        <v>2</v>
      </c>
      <c r="BY11" s="3" t="s">
        <v>295</v>
      </c>
      <c r="BZ11" s="3" t="s">
        <v>296</v>
      </c>
      <c r="CA11" s="4">
        <v>9.202</v>
      </c>
      <c r="CB11" s="4">
        <v>11.654</v>
      </c>
      <c r="CC11" s="4">
        <v>12.372999999999999</v>
      </c>
      <c r="CD11" s="4">
        <v>2</v>
      </c>
      <c r="CE11" s="3" t="s">
        <v>298</v>
      </c>
      <c r="CF11" s="3" t="s">
        <v>296</v>
      </c>
      <c r="CG11" s="4">
        <v>5.577</v>
      </c>
      <c r="CH11" s="4">
        <v>6.5510000000000002</v>
      </c>
      <c r="CI11" s="4">
        <v>8.8409999999999993</v>
      </c>
      <c r="CJ11" s="4">
        <v>2</v>
      </c>
      <c r="CK11" s="3" t="s">
        <v>291</v>
      </c>
      <c r="CL11" s="3" t="s">
        <v>296</v>
      </c>
      <c r="CM11" s="4">
        <v>1.8169999999999999</v>
      </c>
      <c r="CN11" s="4">
        <v>38.979999999999997</v>
      </c>
      <c r="CO11" s="4">
        <v>39.603999999999999</v>
      </c>
      <c r="CP11" s="4">
        <v>4</v>
      </c>
      <c r="CQ11" s="3" t="s">
        <v>293</v>
      </c>
      <c r="CR11" s="3" t="s">
        <v>296</v>
      </c>
      <c r="CS11" s="4">
        <v>8.6809999999999992</v>
      </c>
      <c r="CT11" s="4">
        <v>12.849</v>
      </c>
      <c r="CU11" s="4">
        <v>13.754</v>
      </c>
      <c r="CV11" s="4">
        <v>2</v>
      </c>
      <c r="CW11" s="3" t="s">
        <v>291</v>
      </c>
      <c r="CX11" s="3" t="s">
        <v>296</v>
      </c>
      <c r="CY11" s="4">
        <v>6.016</v>
      </c>
      <c r="CZ11" s="4">
        <v>9.0150000000000006</v>
      </c>
      <c r="DA11" s="4">
        <v>9.67</v>
      </c>
      <c r="DB11" s="4">
        <v>2</v>
      </c>
      <c r="DC11" s="3" t="s">
        <v>295</v>
      </c>
      <c r="DD11" s="3" t="s">
        <v>297</v>
      </c>
      <c r="DE11" s="4">
        <v>16.622</v>
      </c>
      <c r="DF11" s="4">
        <v>25.016999999999999</v>
      </c>
      <c r="DG11" s="4">
        <v>25.66</v>
      </c>
      <c r="DH11" s="4">
        <v>3</v>
      </c>
      <c r="DI11" s="3" t="s">
        <v>298</v>
      </c>
      <c r="DJ11" s="3" t="s">
        <v>296</v>
      </c>
      <c r="DK11" s="4">
        <v>27.128</v>
      </c>
      <c r="DL11" s="4">
        <v>29.841999999999999</v>
      </c>
      <c r="DM11" s="4">
        <v>38.835000000000001</v>
      </c>
      <c r="DN11" s="4">
        <v>2</v>
      </c>
      <c r="DO11" s="3" t="s">
        <v>291</v>
      </c>
      <c r="DP11" s="3" t="s">
        <v>296</v>
      </c>
      <c r="DQ11" s="4">
        <v>6.8040000000000003</v>
      </c>
      <c r="DR11" s="4">
        <v>10.113</v>
      </c>
      <c r="DS11" s="4">
        <v>10.536</v>
      </c>
      <c r="DT11" s="4">
        <v>2</v>
      </c>
      <c r="DU11" s="3" t="s">
        <v>293</v>
      </c>
      <c r="DV11" s="3" t="s">
        <v>296</v>
      </c>
      <c r="DW11" s="4">
        <v>13.647</v>
      </c>
      <c r="DX11" s="4">
        <v>42.213000000000001</v>
      </c>
      <c r="DY11" s="4">
        <v>44.372999999999998</v>
      </c>
      <c r="DZ11" s="4">
        <v>2</v>
      </c>
      <c r="EA11" s="3" t="s">
        <v>299</v>
      </c>
      <c r="EB11" s="3" t="s">
        <v>296</v>
      </c>
      <c r="EC11" s="4">
        <v>9.9380000000000006</v>
      </c>
      <c r="ED11" s="4">
        <v>12.624000000000001</v>
      </c>
      <c r="EE11" s="4">
        <v>15.429</v>
      </c>
      <c r="EF11" s="4">
        <v>2</v>
      </c>
      <c r="EG11" s="3" t="s">
        <v>295</v>
      </c>
      <c r="EH11" s="3" t="s">
        <v>296</v>
      </c>
      <c r="EI11" s="4">
        <v>10.641</v>
      </c>
      <c r="EJ11" s="4">
        <v>39.533999999999999</v>
      </c>
      <c r="EK11" s="4">
        <v>40.393999999999998</v>
      </c>
      <c r="EL11" s="4">
        <v>3</v>
      </c>
      <c r="EM11" s="3" t="s">
        <v>298</v>
      </c>
      <c r="EN11" s="3" t="s">
        <v>296</v>
      </c>
      <c r="EO11" s="4">
        <v>8.5340000000000007</v>
      </c>
      <c r="EP11" s="4">
        <v>9.1929999999999996</v>
      </c>
      <c r="EQ11" s="4">
        <v>10.09</v>
      </c>
      <c r="ER11" s="4">
        <v>2</v>
      </c>
      <c r="ES11" s="3" t="s">
        <v>291</v>
      </c>
      <c r="ET11" s="3" t="s">
        <v>296</v>
      </c>
      <c r="EU11" s="4">
        <v>4.242</v>
      </c>
      <c r="EV11" s="4">
        <v>10.385999999999999</v>
      </c>
      <c r="EW11" s="4">
        <v>10.773</v>
      </c>
      <c r="EX11" s="4">
        <v>3</v>
      </c>
      <c r="EY11" s="3" t="s">
        <v>300</v>
      </c>
      <c r="EZ11" s="3" t="s">
        <v>296</v>
      </c>
      <c r="FA11" s="4">
        <v>4.9580000000000002</v>
      </c>
      <c r="FB11" s="4">
        <v>10.432</v>
      </c>
      <c r="FC11" s="4">
        <v>11.081</v>
      </c>
      <c r="FD11" s="4">
        <v>2</v>
      </c>
      <c r="FE11" s="3" t="s">
        <v>301</v>
      </c>
      <c r="FF11" s="3" t="s">
        <v>296</v>
      </c>
      <c r="FG11" s="4">
        <v>7.0679999999999996</v>
      </c>
      <c r="FH11" s="4">
        <v>13.494999999999999</v>
      </c>
      <c r="FI11" s="4">
        <v>16.448</v>
      </c>
      <c r="FJ11" s="4">
        <v>3</v>
      </c>
      <c r="FK11" s="3" t="s">
        <v>291</v>
      </c>
      <c r="FL11" s="3" t="s">
        <v>296</v>
      </c>
      <c r="FM11" s="4">
        <v>4.7779999999999996</v>
      </c>
      <c r="FN11" s="4">
        <v>7.758</v>
      </c>
      <c r="FO11" s="4">
        <v>8.7810000000000006</v>
      </c>
      <c r="FP11" s="4">
        <v>2</v>
      </c>
      <c r="FQ11" s="3" t="s">
        <v>301</v>
      </c>
      <c r="FR11" s="3" t="s">
        <v>292</v>
      </c>
      <c r="FS11" s="4">
        <v>19.030999999999999</v>
      </c>
      <c r="FT11" s="4">
        <v>21.965</v>
      </c>
      <c r="FU11" s="4">
        <v>23.949000000000002</v>
      </c>
      <c r="FV11" s="4">
        <v>2</v>
      </c>
      <c r="FW11" s="3" t="s">
        <v>301</v>
      </c>
      <c r="FX11" s="3" t="s">
        <v>296</v>
      </c>
      <c r="FY11" s="4">
        <v>5.4539999999999997</v>
      </c>
      <c r="FZ11" s="4">
        <v>11.368</v>
      </c>
      <c r="GA11" s="4">
        <v>12.233000000000001</v>
      </c>
      <c r="GB11" s="4">
        <v>2</v>
      </c>
      <c r="GC11" s="3" t="s">
        <v>291</v>
      </c>
      <c r="GD11" s="3" t="s">
        <v>296</v>
      </c>
      <c r="GE11" s="4">
        <v>5.1970000000000001</v>
      </c>
      <c r="GF11" s="4">
        <v>11.425000000000001</v>
      </c>
      <c r="GG11" s="4">
        <v>12.129</v>
      </c>
      <c r="GH11" s="4">
        <v>2</v>
      </c>
      <c r="GI11" s="3" t="s">
        <v>301</v>
      </c>
      <c r="GJ11" s="3" t="s">
        <v>296</v>
      </c>
      <c r="GK11" s="4">
        <v>15.567</v>
      </c>
      <c r="GL11" s="4">
        <v>18.562999999999999</v>
      </c>
      <c r="GM11" s="4">
        <v>19.736000000000001</v>
      </c>
      <c r="GN11" s="4">
        <v>3</v>
      </c>
      <c r="GO11" s="3" t="s">
        <v>301</v>
      </c>
      <c r="GP11" s="3" t="s">
        <v>296</v>
      </c>
      <c r="GQ11" s="4">
        <v>6.6959999999999997</v>
      </c>
      <c r="GR11" s="4">
        <v>9.5380000000000003</v>
      </c>
      <c r="GS11" s="4">
        <v>10.205</v>
      </c>
      <c r="GT11" s="4">
        <v>2</v>
      </c>
      <c r="GU11" s="3" t="s">
        <v>291</v>
      </c>
      <c r="GV11" s="3" t="s">
        <v>296</v>
      </c>
      <c r="GW11" s="4">
        <v>4.6340000000000003</v>
      </c>
      <c r="GX11" s="4">
        <v>11.631</v>
      </c>
      <c r="GY11" s="4">
        <v>20.167000000000002</v>
      </c>
      <c r="GZ11" s="4">
        <v>2</v>
      </c>
      <c r="HA11" s="3" t="s">
        <v>300</v>
      </c>
      <c r="HB11" s="3" t="s">
        <v>296</v>
      </c>
      <c r="HC11" s="4">
        <v>6.5750000000000002</v>
      </c>
      <c r="HD11" s="4">
        <v>8.7949999999999999</v>
      </c>
      <c r="HE11" s="4">
        <v>9.4420000000000002</v>
      </c>
      <c r="HF11" s="4">
        <v>2</v>
      </c>
      <c r="HG11" s="3" t="s">
        <v>282</v>
      </c>
      <c r="HH11" s="3" t="s">
        <v>296</v>
      </c>
      <c r="HI11" s="4">
        <v>15.053000000000001</v>
      </c>
      <c r="HJ11" s="4">
        <v>16.094000000000001</v>
      </c>
      <c r="HK11" s="4">
        <v>16.873999999999999</v>
      </c>
      <c r="HL11" s="4">
        <v>2</v>
      </c>
      <c r="HM11" s="3" t="s">
        <v>413</v>
      </c>
      <c r="HN11" s="3" t="s">
        <v>414</v>
      </c>
      <c r="HO11" s="3" t="s">
        <v>415</v>
      </c>
      <c r="HP11" s="3" t="s">
        <v>416</v>
      </c>
      <c r="HQ11" s="3" t="s">
        <v>417</v>
      </c>
      <c r="HR11" s="3" t="s">
        <v>418</v>
      </c>
      <c r="HS11" s="3" t="s">
        <v>419</v>
      </c>
      <c r="HT11" s="3" t="s">
        <v>420</v>
      </c>
      <c r="HU11" s="3" t="s">
        <v>421</v>
      </c>
      <c r="HV11" s="3" t="s">
        <v>422</v>
      </c>
      <c r="HW11" s="3" t="s">
        <v>423</v>
      </c>
      <c r="HX11" s="3" t="s">
        <v>424</v>
      </c>
      <c r="HY11" s="3" t="s">
        <v>312</v>
      </c>
      <c r="HZ11" s="3" t="s">
        <v>372</v>
      </c>
      <c r="IA11" s="3" t="s">
        <v>325</v>
      </c>
      <c r="IB11" s="3" t="s">
        <v>282</v>
      </c>
      <c r="IC11" s="3" t="s">
        <v>282</v>
      </c>
    </row>
    <row r="12" spans="1:237" x14ac:dyDescent="0.2">
      <c r="A12" s="2">
        <v>45744.651562500003</v>
      </c>
      <c r="B12" s="2">
        <v>45744.658229166664</v>
      </c>
      <c r="C12" s="3" t="s">
        <v>240</v>
      </c>
      <c r="D12" s="3" t="s">
        <v>425</v>
      </c>
      <c r="E12" s="4">
        <v>100</v>
      </c>
      <c r="F12" s="4">
        <v>576</v>
      </c>
      <c r="G12" s="3" t="s">
        <v>280</v>
      </c>
      <c r="H12" s="2">
        <v>45744.658238703705</v>
      </c>
      <c r="I12" s="3" t="s">
        <v>426</v>
      </c>
      <c r="J12" s="3" t="s">
        <v>282</v>
      </c>
      <c r="K12" s="3" t="s">
        <v>282</v>
      </c>
      <c r="L12" s="3" t="s">
        <v>282</v>
      </c>
      <c r="M12" s="3" t="s">
        <v>282</v>
      </c>
      <c r="N12" s="4">
        <v>-37.8964</v>
      </c>
      <c r="O12" s="4">
        <v>145.07990000000001</v>
      </c>
      <c r="P12" s="3" t="s">
        <v>283</v>
      </c>
      <c r="Q12" s="3" t="s">
        <v>284</v>
      </c>
      <c r="R12" s="4">
        <v>0.89999997615814209</v>
      </c>
      <c r="S12" s="3" t="s">
        <v>285</v>
      </c>
      <c r="T12" s="3" t="s">
        <v>285</v>
      </c>
      <c r="U12" s="3" t="s">
        <v>285</v>
      </c>
      <c r="V12" s="3" t="s">
        <v>285</v>
      </c>
      <c r="W12" s="3" t="s">
        <v>286</v>
      </c>
      <c r="X12" s="3" t="s">
        <v>328</v>
      </c>
      <c r="Y12" s="3" t="s">
        <v>288</v>
      </c>
      <c r="Z12" s="3" t="s">
        <v>317</v>
      </c>
      <c r="AA12" s="3" t="s">
        <v>329</v>
      </c>
      <c r="AB12" s="3" t="s">
        <v>329</v>
      </c>
      <c r="AC12" s="3" t="s">
        <v>291</v>
      </c>
      <c r="AD12" s="3" t="s">
        <v>292</v>
      </c>
      <c r="AE12" s="4">
        <v>9.4139999999999997</v>
      </c>
      <c r="AF12" s="4">
        <v>12.093999999999999</v>
      </c>
      <c r="AG12" s="4">
        <v>12.961</v>
      </c>
      <c r="AH12" s="4">
        <v>2</v>
      </c>
      <c r="AI12" s="3" t="s">
        <v>293</v>
      </c>
      <c r="AJ12" s="3" t="s">
        <v>292</v>
      </c>
      <c r="AK12" s="4">
        <v>4.8140000000000001</v>
      </c>
      <c r="AL12" s="4">
        <v>11.159000000000001</v>
      </c>
      <c r="AM12" s="4">
        <v>11.874000000000001</v>
      </c>
      <c r="AN12" s="4">
        <v>2</v>
      </c>
      <c r="AO12" s="3" t="s">
        <v>293</v>
      </c>
      <c r="AP12" s="3" t="s">
        <v>292</v>
      </c>
      <c r="AQ12" s="4">
        <v>4.798</v>
      </c>
      <c r="AR12" s="4">
        <v>9.7100000000000009</v>
      </c>
      <c r="AS12" s="4">
        <v>10.544</v>
      </c>
      <c r="AT12" s="4">
        <v>2</v>
      </c>
      <c r="AU12" s="3" t="s">
        <v>295</v>
      </c>
      <c r="AV12" s="3" t="s">
        <v>297</v>
      </c>
      <c r="AW12" s="4">
        <v>5.44</v>
      </c>
      <c r="AX12" s="4">
        <v>6.992</v>
      </c>
      <c r="AY12" s="4">
        <v>8.6509999999999998</v>
      </c>
      <c r="AZ12" s="4">
        <v>2</v>
      </c>
      <c r="BA12" s="3" t="s">
        <v>295</v>
      </c>
      <c r="BB12" s="3" t="s">
        <v>297</v>
      </c>
      <c r="BC12" s="4">
        <v>7.7789999999999999</v>
      </c>
      <c r="BD12" s="4">
        <v>9.86</v>
      </c>
      <c r="BE12" s="4">
        <v>10.782</v>
      </c>
      <c r="BF12" s="4">
        <v>2</v>
      </c>
      <c r="BG12" s="3" t="s">
        <v>291</v>
      </c>
      <c r="BH12" s="3" t="s">
        <v>292</v>
      </c>
      <c r="BI12" s="4">
        <v>4.4580000000000002</v>
      </c>
      <c r="BJ12" s="4">
        <v>11.146000000000001</v>
      </c>
      <c r="BK12" s="4">
        <v>12.052</v>
      </c>
      <c r="BL12" s="4">
        <v>2</v>
      </c>
      <c r="BM12" s="3" t="s">
        <v>293</v>
      </c>
      <c r="BN12" s="3" t="s">
        <v>292</v>
      </c>
      <c r="BO12" s="4">
        <v>6.1</v>
      </c>
      <c r="BP12" s="4">
        <v>9.9390000000000001</v>
      </c>
      <c r="BQ12" s="4">
        <v>11.865</v>
      </c>
      <c r="BR12" s="4">
        <v>4</v>
      </c>
      <c r="BS12" s="3" t="s">
        <v>291</v>
      </c>
      <c r="BT12" s="3" t="s">
        <v>297</v>
      </c>
      <c r="BU12" s="4">
        <v>5.5019999999999998</v>
      </c>
      <c r="BV12" s="4">
        <v>8.3740000000000006</v>
      </c>
      <c r="BW12" s="4">
        <v>10.313000000000001</v>
      </c>
      <c r="BX12" s="4">
        <v>2</v>
      </c>
      <c r="BY12" s="3" t="s">
        <v>298</v>
      </c>
      <c r="BZ12" s="3" t="s">
        <v>297</v>
      </c>
      <c r="CA12" s="4">
        <v>8.4740000000000002</v>
      </c>
      <c r="CB12" s="4">
        <v>9.3859999999999992</v>
      </c>
      <c r="CC12" s="4">
        <v>10.182</v>
      </c>
      <c r="CD12" s="4">
        <v>2</v>
      </c>
      <c r="CE12" s="3" t="s">
        <v>291</v>
      </c>
      <c r="CF12" s="3" t="s">
        <v>297</v>
      </c>
      <c r="CG12" s="4">
        <v>5.0990000000000002</v>
      </c>
      <c r="CH12" s="4">
        <v>7.2990000000000004</v>
      </c>
      <c r="CI12" s="4">
        <v>9</v>
      </c>
      <c r="CJ12" s="4">
        <v>2</v>
      </c>
      <c r="CK12" s="3" t="s">
        <v>291</v>
      </c>
      <c r="CL12" s="3" t="s">
        <v>297</v>
      </c>
      <c r="CM12" s="4">
        <v>4.1970000000000001</v>
      </c>
      <c r="CN12" s="4">
        <v>7.7409999999999997</v>
      </c>
      <c r="CO12" s="4">
        <v>8.7680000000000007</v>
      </c>
      <c r="CP12" s="4">
        <v>2</v>
      </c>
      <c r="CQ12" s="3" t="s">
        <v>293</v>
      </c>
      <c r="CR12" s="3" t="s">
        <v>292</v>
      </c>
      <c r="CS12" s="4">
        <v>2.7090000000000001</v>
      </c>
      <c r="CT12" s="4">
        <v>8.0690000000000008</v>
      </c>
      <c r="CU12" s="4">
        <v>8.7910000000000004</v>
      </c>
      <c r="CV12" s="4">
        <v>3</v>
      </c>
      <c r="CW12" s="3" t="s">
        <v>291</v>
      </c>
      <c r="CX12" s="3" t="s">
        <v>297</v>
      </c>
      <c r="CY12" s="4">
        <v>5.1239999999999997</v>
      </c>
      <c r="CZ12" s="4">
        <v>8.4770000000000003</v>
      </c>
      <c r="DA12" s="4">
        <v>8.8149999999999995</v>
      </c>
      <c r="DB12" s="4">
        <v>3</v>
      </c>
      <c r="DC12" s="3" t="s">
        <v>291</v>
      </c>
      <c r="DD12" s="3" t="s">
        <v>297</v>
      </c>
      <c r="DE12" s="4">
        <v>4.3120000000000003</v>
      </c>
      <c r="DF12" s="4">
        <v>10.8</v>
      </c>
      <c r="DG12" s="4">
        <v>11.58</v>
      </c>
      <c r="DH12" s="4">
        <v>2</v>
      </c>
      <c r="DI12" s="3" t="s">
        <v>291</v>
      </c>
      <c r="DJ12" s="3" t="s">
        <v>297</v>
      </c>
      <c r="DK12" s="4">
        <v>4.6890000000000001</v>
      </c>
      <c r="DL12" s="4">
        <v>11.984</v>
      </c>
      <c r="DM12" s="4">
        <v>12.731</v>
      </c>
      <c r="DN12" s="4">
        <v>2</v>
      </c>
      <c r="DO12" s="3" t="s">
        <v>291</v>
      </c>
      <c r="DP12" s="3" t="s">
        <v>297</v>
      </c>
      <c r="DQ12" s="4">
        <v>4.7370000000000001</v>
      </c>
      <c r="DR12" s="4">
        <v>12.929</v>
      </c>
      <c r="DS12" s="4">
        <v>13.54</v>
      </c>
      <c r="DT12" s="4">
        <v>2</v>
      </c>
      <c r="DU12" s="3" t="s">
        <v>293</v>
      </c>
      <c r="DV12" s="3" t="s">
        <v>297</v>
      </c>
      <c r="DW12" s="4">
        <v>4.9489999999999998</v>
      </c>
      <c r="DX12" s="4">
        <v>10.404999999999999</v>
      </c>
      <c r="DY12" s="4">
        <v>11.44</v>
      </c>
      <c r="DZ12" s="4">
        <v>2</v>
      </c>
      <c r="EA12" s="3" t="s">
        <v>291</v>
      </c>
      <c r="EB12" s="3" t="s">
        <v>297</v>
      </c>
      <c r="EC12" s="4">
        <v>6.4729999999999999</v>
      </c>
      <c r="ED12" s="4">
        <v>10.641</v>
      </c>
      <c r="EE12" s="4">
        <v>11.659000000000001</v>
      </c>
      <c r="EF12" s="4">
        <v>2</v>
      </c>
      <c r="EG12" s="3" t="s">
        <v>291</v>
      </c>
      <c r="EH12" s="3" t="s">
        <v>297</v>
      </c>
      <c r="EI12" s="4">
        <v>8.2490000000000006</v>
      </c>
      <c r="EJ12" s="4">
        <v>11.449</v>
      </c>
      <c r="EK12" s="4">
        <v>12.396000000000001</v>
      </c>
      <c r="EL12" s="4">
        <v>2</v>
      </c>
      <c r="EM12" s="3" t="s">
        <v>291</v>
      </c>
      <c r="EN12" s="3" t="s">
        <v>297</v>
      </c>
      <c r="EO12" s="4">
        <v>6.2110000000000003</v>
      </c>
      <c r="EP12" s="4">
        <v>11.946999999999999</v>
      </c>
      <c r="EQ12" s="4">
        <v>12.743</v>
      </c>
      <c r="ER12" s="4">
        <v>3</v>
      </c>
      <c r="ES12" s="3" t="s">
        <v>291</v>
      </c>
      <c r="ET12" s="3" t="s">
        <v>292</v>
      </c>
      <c r="EU12" s="4">
        <v>4.6020000000000003</v>
      </c>
      <c r="EV12" s="4">
        <v>8.4570000000000007</v>
      </c>
      <c r="EW12" s="4">
        <v>10.805</v>
      </c>
      <c r="EX12" s="4">
        <v>2</v>
      </c>
      <c r="EY12" s="3" t="s">
        <v>300</v>
      </c>
      <c r="EZ12" s="3" t="s">
        <v>297</v>
      </c>
      <c r="FA12" s="4">
        <v>4.5590000000000002</v>
      </c>
      <c r="FB12" s="4">
        <v>10.319000000000001</v>
      </c>
      <c r="FC12" s="4">
        <v>11.458</v>
      </c>
      <c r="FD12" s="4">
        <v>2</v>
      </c>
      <c r="FE12" s="3" t="s">
        <v>291</v>
      </c>
      <c r="FF12" s="3" t="s">
        <v>297</v>
      </c>
      <c r="FG12" s="4">
        <v>9.4749999999999996</v>
      </c>
      <c r="FH12" s="4">
        <v>10.675000000000001</v>
      </c>
      <c r="FI12" s="4">
        <v>11.8</v>
      </c>
      <c r="FJ12" s="4">
        <v>2</v>
      </c>
      <c r="FK12" s="3" t="s">
        <v>291</v>
      </c>
      <c r="FL12" s="3" t="s">
        <v>297</v>
      </c>
      <c r="FM12" s="4">
        <v>1.6659999999999999</v>
      </c>
      <c r="FN12" s="4">
        <v>18.058</v>
      </c>
      <c r="FO12" s="4">
        <v>18.741</v>
      </c>
      <c r="FP12" s="4">
        <v>3</v>
      </c>
      <c r="FQ12" s="3" t="s">
        <v>300</v>
      </c>
      <c r="FR12" s="3" t="s">
        <v>296</v>
      </c>
      <c r="FS12" s="4">
        <v>5.5949999999999998</v>
      </c>
      <c r="FT12" s="4">
        <v>6.7140000000000004</v>
      </c>
      <c r="FU12" s="4">
        <v>11.45</v>
      </c>
      <c r="FV12" s="4">
        <v>2</v>
      </c>
      <c r="FW12" s="3" t="s">
        <v>301</v>
      </c>
      <c r="FX12" s="3" t="s">
        <v>292</v>
      </c>
      <c r="FY12" s="4">
        <v>9.6010000000000009</v>
      </c>
      <c r="FZ12" s="4">
        <v>11.952999999999999</v>
      </c>
      <c r="GA12" s="4">
        <v>13.076000000000001</v>
      </c>
      <c r="GB12" s="4">
        <v>3</v>
      </c>
      <c r="GC12" s="3" t="s">
        <v>291</v>
      </c>
      <c r="GD12" s="3" t="s">
        <v>292</v>
      </c>
      <c r="GE12" s="4">
        <v>5.2590000000000003</v>
      </c>
      <c r="GF12" s="4">
        <v>9.1549999999999994</v>
      </c>
      <c r="GG12" s="4">
        <v>9.8059999999999992</v>
      </c>
      <c r="GH12" s="4">
        <v>4</v>
      </c>
      <c r="GI12" s="3" t="s">
        <v>300</v>
      </c>
      <c r="GJ12" s="3" t="s">
        <v>297</v>
      </c>
      <c r="GK12" s="4">
        <v>8.0690000000000008</v>
      </c>
      <c r="GL12" s="4">
        <v>12.813000000000001</v>
      </c>
      <c r="GM12" s="4">
        <v>13.752000000000001</v>
      </c>
      <c r="GN12" s="4">
        <v>2</v>
      </c>
      <c r="GO12" s="3" t="s">
        <v>301</v>
      </c>
      <c r="GP12" s="3" t="s">
        <v>292</v>
      </c>
      <c r="GQ12" s="4">
        <v>5.7249999999999996</v>
      </c>
      <c r="GR12" s="4">
        <v>8.35</v>
      </c>
      <c r="GS12" s="4">
        <v>10.721</v>
      </c>
      <c r="GT12" s="4">
        <v>2</v>
      </c>
      <c r="GU12" s="3" t="s">
        <v>291</v>
      </c>
      <c r="GV12" s="3" t="s">
        <v>292</v>
      </c>
      <c r="GW12" s="4">
        <v>4.9390000000000001</v>
      </c>
      <c r="GX12" s="4">
        <v>11.531000000000001</v>
      </c>
      <c r="GY12" s="4">
        <v>12.148999999999999</v>
      </c>
      <c r="GZ12" s="4">
        <v>3</v>
      </c>
      <c r="HA12" s="3" t="s">
        <v>300</v>
      </c>
      <c r="HB12" s="3" t="s">
        <v>292</v>
      </c>
      <c r="HC12" s="4">
        <v>6.327</v>
      </c>
      <c r="HD12" s="4">
        <v>14.574999999999999</v>
      </c>
      <c r="HE12" s="4">
        <v>15.273999999999999</v>
      </c>
      <c r="HF12" s="4">
        <v>2</v>
      </c>
      <c r="HG12" s="3" t="s">
        <v>301</v>
      </c>
      <c r="HH12" s="3" t="s">
        <v>292</v>
      </c>
      <c r="HI12" s="4">
        <v>6.6280000000000001</v>
      </c>
      <c r="HJ12" s="4">
        <v>7.508</v>
      </c>
      <c r="HK12" s="4">
        <v>9.1509999999999998</v>
      </c>
      <c r="HL12" s="4">
        <v>2</v>
      </c>
      <c r="HM12" s="3" t="s">
        <v>427</v>
      </c>
      <c r="HN12" s="3" t="s">
        <v>428</v>
      </c>
      <c r="HO12" s="3" t="s">
        <v>429</v>
      </c>
      <c r="HP12" s="3" t="s">
        <v>429</v>
      </c>
      <c r="HQ12" s="3" t="s">
        <v>430</v>
      </c>
      <c r="HR12" s="3" t="s">
        <v>431</v>
      </c>
      <c r="HS12" s="3" t="s">
        <v>432</v>
      </c>
      <c r="HT12" s="3" t="s">
        <v>432</v>
      </c>
      <c r="HU12" s="3" t="s">
        <v>433</v>
      </c>
      <c r="HV12" s="3" t="s">
        <v>434</v>
      </c>
      <c r="HW12" s="3" t="s">
        <v>282</v>
      </c>
      <c r="HX12" s="3" t="s">
        <v>282</v>
      </c>
      <c r="HY12" s="3" t="s">
        <v>312</v>
      </c>
      <c r="HZ12" s="3" t="s">
        <v>356</v>
      </c>
      <c r="IA12" s="3" t="s">
        <v>313</v>
      </c>
      <c r="IB12" s="3" t="s">
        <v>282</v>
      </c>
      <c r="IC12" s="3" t="s">
        <v>282</v>
      </c>
    </row>
    <row r="13" spans="1:237" x14ac:dyDescent="0.2">
      <c r="A13" s="2">
        <v>45744.660277777781</v>
      </c>
      <c r="B13" s="2">
        <v>45744.671226851853</v>
      </c>
      <c r="C13" s="3" t="s">
        <v>240</v>
      </c>
      <c r="D13" s="3" t="s">
        <v>435</v>
      </c>
      <c r="E13" s="4">
        <v>100</v>
      </c>
      <c r="F13" s="4">
        <v>945</v>
      </c>
      <c r="G13" s="3" t="s">
        <v>280</v>
      </c>
      <c r="H13" s="2">
        <v>45744.671236550923</v>
      </c>
      <c r="I13" s="3" t="s">
        <v>436</v>
      </c>
      <c r="J13" s="3" t="s">
        <v>282</v>
      </c>
      <c r="K13" s="3" t="s">
        <v>282</v>
      </c>
      <c r="L13" s="3" t="s">
        <v>282</v>
      </c>
      <c r="M13" s="3" t="s">
        <v>282</v>
      </c>
      <c r="N13" s="4">
        <v>-37.815899999999999</v>
      </c>
      <c r="O13" s="4">
        <v>144.96690000000001</v>
      </c>
      <c r="P13" s="3" t="s">
        <v>283</v>
      </c>
      <c r="Q13" s="3" t="s">
        <v>284</v>
      </c>
      <c r="R13" s="4">
        <v>0.89999997615814209</v>
      </c>
      <c r="S13" s="3" t="s">
        <v>285</v>
      </c>
      <c r="T13" s="3" t="s">
        <v>285</v>
      </c>
      <c r="U13" s="3" t="s">
        <v>285</v>
      </c>
      <c r="V13" s="3" t="s">
        <v>285</v>
      </c>
      <c r="W13" s="3" t="s">
        <v>412</v>
      </c>
      <c r="X13" s="3" t="s">
        <v>287</v>
      </c>
      <c r="Y13" s="3" t="s">
        <v>288</v>
      </c>
      <c r="Z13" s="3" t="s">
        <v>329</v>
      </c>
      <c r="AA13" s="3" t="s">
        <v>329</v>
      </c>
      <c r="AB13" s="3" t="s">
        <v>317</v>
      </c>
      <c r="AC13" s="3" t="s">
        <v>293</v>
      </c>
      <c r="AD13" s="3" t="s">
        <v>296</v>
      </c>
      <c r="AE13" s="4">
        <v>14.760999999999999</v>
      </c>
      <c r="AF13" s="4">
        <v>16.763999999999999</v>
      </c>
      <c r="AG13" s="4">
        <v>17.521000000000001</v>
      </c>
      <c r="AH13" s="4">
        <v>2</v>
      </c>
      <c r="AI13" s="3" t="s">
        <v>299</v>
      </c>
      <c r="AJ13" s="3" t="s">
        <v>296</v>
      </c>
      <c r="AK13" s="4">
        <v>8.891</v>
      </c>
      <c r="AL13" s="4">
        <v>10.106</v>
      </c>
      <c r="AM13" s="4">
        <v>11.349</v>
      </c>
      <c r="AN13" s="4">
        <v>2</v>
      </c>
      <c r="AO13" s="3" t="s">
        <v>293</v>
      </c>
      <c r="AP13" s="3" t="s">
        <v>296</v>
      </c>
      <c r="AQ13" s="4">
        <v>11.223000000000001</v>
      </c>
      <c r="AR13" s="4">
        <v>13.561999999999999</v>
      </c>
      <c r="AS13" s="4">
        <v>13.920999999999999</v>
      </c>
      <c r="AT13" s="4">
        <v>3</v>
      </c>
      <c r="AU13" s="3" t="s">
        <v>295</v>
      </c>
      <c r="AV13" s="3" t="s">
        <v>292</v>
      </c>
      <c r="AW13" s="4">
        <v>12.981</v>
      </c>
      <c r="AX13" s="4">
        <v>16.356999999999999</v>
      </c>
      <c r="AY13" s="4">
        <v>17.399000000000001</v>
      </c>
      <c r="AZ13" s="4">
        <v>3</v>
      </c>
      <c r="BA13" s="3" t="s">
        <v>295</v>
      </c>
      <c r="BB13" s="3" t="s">
        <v>296</v>
      </c>
      <c r="BC13" s="4">
        <v>8.8550000000000004</v>
      </c>
      <c r="BD13" s="4">
        <v>10.035</v>
      </c>
      <c r="BE13" s="4">
        <v>10.818</v>
      </c>
      <c r="BF13" s="4">
        <v>2</v>
      </c>
      <c r="BG13" s="3" t="s">
        <v>291</v>
      </c>
      <c r="BH13" s="3" t="s">
        <v>296</v>
      </c>
      <c r="BI13" s="4">
        <v>11.278</v>
      </c>
      <c r="BJ13" s="4">
        <v>14.281000000000001</v>
      </c>
      <c r="BK13" s="4">
        <v>15.545999999999999</v>
      </c>
      <c r="BL13" s="4">
        <v>3</v>
      </c>
      <c r="BM13" s="3" t="s">
        <v>299</v>
      </c>
      <c r="BN13" s="3" t="s">
        <v>296</v>
      </c>
      <c r="BO13" s="4">
        <v>9.0269999999999992</v>
      </c>
      <c r="BP13" s="4">
        <v>14.798999999999999</v>
      </c>
      <c r="BQ13" s="4">
        <v>16.088000000000001</v>
      </c>
      <c r="BR13" s="4">
        <v>2</v>
      </c>
      <c r="BS13" s="3" t="s">
        <v>291</v>
      </c>
      <c r="BT13" s="3" t="s">
        <v>296</v>
      </c>
      <c r="BU13" s="4">
        <v>4.3029999999999999</v>
      </c>
      <c r="BV13" s="4">
        <v>11.999000000000001</v>
      </c>
      <c r="BW13" s="4">
        <v>12.653</v>
      </c>
      <c r="BX13" s="4">
        <v>3</v>
      </c>
      <c r="BY13" s="3" t="s">
        <v>295</v>
      </c>
      <c r="BZ13" s="3" t="s">
        <v>292</v>
      </c>
      <c r="CA13" s="4">
        <v>9.65</v>
      </c>
      <c r="CB13" s="4">
        <v>10.606</v>
      </c>
      <c r="CC13" s="4">
        <v>11.535</v>
      </c>
      <c r="CD13" s="4">
        <v>2</v>
      </c>
      <c r="CE13" s="3" t="s">
        <v>293</v>
      </c>
      <c r="CF13" s="3" t="s">
        <v>294</v>
      </c>
      <c r="CG13" s="4">
        <v>10.866</v>
      </c>
      <c r="CH13" s="4">
        <v>16.094999999999999</v>
      </c>
      <c r="CI13" s="4">
        <v>17.183</v>
      </c>
      <c r="CJ13" s="4">
        <v>3</v>
      </c>
      <c r="CK13" s="3" t="s">
        <v>291</v>
      </c>
      <c r="CL13" s="3" t="s">
        <v>296</v>
      </c>
      <c r="CM13" s="4">
        <v>10.798999999999999</v>
      </c>
      <c r="CN13" s="4">
        <v>12.488</v>
      </c>
      <c r="CO13" s="4">
        <v>13.808999999999999</v>
      </c>
      <c r="CP13" s="4">
        <v>2</v>
      </c>
      <c r="CQ13" s="3" t="s">
        <v>293</v>
      </c>
      <c r="CR13" s="3" t="s">
        <v>296</v>
      </c>
      <c r="CS13" s="4">
        <v>8.9649999999999999</v>
      </c>
      <c r="CT13" s="4">
        <v>10.316000000000001</v>
      </c>
      <c r="CU13" s="4">
        <v>11.098000000000001</v>
      </c>
      <c r="CV13" s="4">
        <v>2</v>
      </c>
      <c r="CW13" s="3" t="s">
        <v>291</v>
      </c>
      <c r="CX13" s="3" t="s">
        <v>296</v>
      </c>
      <c r="CY13" s="4">
        <v>4.87</v>
      </c>
      <c r="CZ13" s="4">
        <v>13.882999999999999</v>
      </c>
      <c r="DA13" s="4">
        <v>15.239000000000001</v>
      </c>
      <c r="DB13" s="4">
        <v>4</v>
      </c>
      <c r="DC13" s="3" t="s">
        <v>299</v>
      </c>
      <c r="DD13" s="3" t="s">
        <v>296</v>
      </c>
      <c r="DE13" s="4">
        <v>29.506</v>
      </c>
      <c r="DF13" s="4">
        <v>30.686</v>
      </c>
      <c r="DG13" s="4">
        <v>31.751000000000001</v>
      </c>
      <c r="DH13" s="4">
        <v>2</v>
      </c>
      <c r="DI13" s="3" t="s">
        <v>298</v>
      </c>
      <c r="DJ13" s="3" t="s">
        <v>296</v>
      </c>
      <c r="DK13" s="4">
        <v>12.16</v>
      </c>
      <c r="DL13" s="4">
        <v>13.645</v>
      </c>
      <c r="DM13" s="4">
        <v>14.8</v>
      </c>
      <c r="DN13" s="4">
        <v>2</v>
      </c>
      <c r="DO13" s="3" t="s">
        <v>291</v>
      </c>
      <c r="DP13" s="3" t="s">
        <v>296</v>
      </c>
      <c r="DQ13" s="4">
        <v>6.9560000000000004</v>
      </c>
      <c r="DR13" s="4">
        <v>10.356999999999999</v>
      </c>
      <c r="DS13" s="4">
        <v>11.564</v>
      </c>
      <c r="DT13" s="4">
        <v>2</v>
      </c>
      <c r="DU13" s="3" t="s">
        <v>293</v>
      </c>
      <c r="DV13" s="3" t="s">
        <v>296</v>
      </c>
      <c r="DW13" s="4">
        <v>6.6360000000000001</v>
      </c>
      <c r="DX13" s="4">
        <v>8.9909999999999997</v>
      </c>
      <c r="DY13" s="4">
        <v>9.66</v>
      </c>
      <c r="DZ13" s="4">
        <v>3</v>
      </c>
      <c r="EA13" s="3" t="s">
        <v>299</v>
      </c>
      <c r="EB13" s="3" t="s">
        <v>296</v>
      </c>
      <c r="EC13" s="4">
        <v>11.433</v>
      </c>
      <c r="ED13" s="4">
        <v>14.448</v>
      </c>
      <c r="EE13" s="4">
        <v>15.6</v>
      </c>
      <c r="EF13" s="4">
        <v>4</v>
      </c>
      <c r="EG13" s="3" t="s">
        <v>298</v>
      </c>
      <c r="EH13" s="3" t="s">
        <v>294</v>
      </c>
      <c r="EI13" s="4">
        <v>13.38</v>
      </c>
      <c r="EJ13" s="4">
        <v>15.236000000000001</v>
      </c>
      <c r="EK13" s="4">
        <v>17.201000000000001</v>
      </c>
      <c r="EL13" s="4">
        <v>2</v>
      </c>
      <c r="EM13" s="3" t="s">
        <v>298</v>
      </c>
      <c r="EN13" s="3" t="s">
        <v>292</v>
      </c>
      <c r="EO13" s="4">
        <v>11.618</v>
      </c>
      <c r="EP13" s="4">
        <v>13.125</v>
      </c>
      <c r="EQ13" s="4">
        <v>14.202999999999999</v>
      </c>
      <c r="ER13" s="4">
        <v>2</v>
      </c>
      <c r="ES13" s="3" t="s">
        <v>282</v>
      </c>
      <c r="ET13" s="3" t="s">
        <v>296</v>
      </c>
      <c r="EU13" s="4">
        <v>18.204000000000001</v>
      </c>
      <c r="EV13" s="4">
        <v>20.713000000000001</v>
      </c>
      <c r="EW13" s="4">
        <v>21.09</v>
      </c>
      <c r="EX13" s="4">
        <v>4</v>
      </c>
      <c r="EY13" s="3" t="s">
        <v>300</v>
      </c>
      <c r="EZ13" s="3" t="s">
        <v>294</v>
      </c>
      <c r="FA13" s="4">
        <v>9.7409999999999997</v>
      </c>
      <c r="FB13" s="4">
        <v>10.74</v>
      </c>
      <c r="FC13" s="4">
        <v>11.364000000000001</v>
      </c>
      <c r="FD13" s="4">
        <v>2</v>
      </c>
      <c r="FE13" s="3" t="s">
        <v>301</v>
      </c>
      <c r="FF13" s="3" t="s">
        <v>292</v>
      </c>
      <c r="FG13" s="4">
        <v>11.750999999999999</v>
      </c>
      <c r="FH13" s="4">
        <v>13.641999999999999</v>
      </c>
      <c r="FI13" s="4">
        <v>14.571999999999999</v>
      </c>
      <c r="FJ13" s="4">
        <v>2</v>
      </c>
      <c r="FK13" s="3" t="s">
        <v>291</v>
      </c>
      <c r="FL13" s="3" t="s">
        <v>294</v>
      </c>
      <c r="FM13" s="4">
        <v>10.678000000000001</v>
      </c>
      <c r="FN13" s="4">
        <v>13.760999999999999</v>
      </c>
      <c r="FO13" s="4">
        <v>14.683</v>
      </c>
      <c r="FP13" s="4">
        <v>2</v>
      </c>
      <c r="FQ13" s="3" t="s">
        <v>300</v>
      </c>
      <c r="FR13" s="3" t="s">
        <v>294</v>
      </c>
      <c r="FS13" s="4">
        <v>11.246</v>
      </c>
      <c r="FT13" s="4">
        <v>13.429</v>
      </c>
      <c r="FU13" s="4">
        <v>14.347</v>
      </c>
      <c r="FV13" s="4">
        <v>2</v>
      </c>
      <c r="FW13" s="3" t="s">
        <v>301</v>
      </c>
      <c r="FX13" s="3" t="s">
        <v>294</v>
      </c>
      <c r="FY13" s="4">
        <v>10.009</v>
      </c>
      <c r="FZ13" s="4">
        <v>11.768000000000001</v>
      </c>
      <c r="GA13" s="4">
        <v>12.478999999999999</v>
      </c>
      <c r="GB13" s="4">
        <v>2</v>
      </c>
      <c r="GC13" s="3" t="s">
        <v>291</v>
      </c>
      <c r="GD13" s="3" t="s">
        <v>294</v>
      </c>
      <c r="GE13" s="4">
        <v>10.442</v>
      </c>
      <c r="GF13" s="4">
        <v>13.433999999999999</v>
      </c>
      <c r="GG13" s="4">
        <v>14.295999999999999</v>
      </c>
      <c r="GH13" s="4">
        <v>2</v>
      </c>
      <c r="GI13" s="3" t="s">
        <v>300</v>
      </c>
      <c r="GJ13" s="3" t="s">
        <v>294</v>
      </c>
      <c r="GK13" s="4">
        <v>9.1780000000000008</v>
      </c>
      <c r="GL13" s="4">
        <v>12.664</v>
      </c>
      <c r="GM13" s="4">
        <v>13.481</v>
      </c>
      <c r="GN13" s="4">
        <v>3</v>
      </c>
      <c r="GO13" s="3" t="s">
        <v>282</v>
      </c>
      <c r="GP13" s="3" t="s">
        <v>296</v>
      </c>
      <c r="GQ13" s="4">
        <v>41.387</v>
      </c>
      <c r="GR13" s="4">
        <v>43.738999999999997</v>
      </c>
      <c r="GS13" s="4">
        <v>44.835999999999999</v>
      </c>
      <c r="GT13" s="4">
        <v>2</v>
      </c>
      <c r="GU13" s="3" t="s">
        <v>291</v>
      </c>
      <c r="GV13" s="3" t="s">
        <v>294</v>
      </c>
      <c r="GW13" s="4">
        <v>11.849</v>
      </c>
      <c r="GX13" s="4">
        <v>13.525</v>
      </c>
      <c r="GY13" s="4">
        <v>14.779</v>
      </c>
      <c r="GZ13" s="4">
        <v>2</v>
      </c>
      <c r="HA13" s="3" t="s">
        <v>300</v>
      </c>
      <c r="HB13" s="3" t="s">
        <v>296</v>
      </c>
      <c r="HC13" s="4">
        <v>12.452999999999999</v>
      </c>
      <c r="HD13" s="4">
        <v>13.869</v>
      </c>
      <c r="HE13" s="4">
        <v>15.023</v>
      </c>
      <c r="HF13" s="4">
        <v>2</v>
      </c>
      <c r="HG13" s="3" t="s">
        <v>301</v>
      </c>
      <c r="HH13" s="3" t="s">
        <v>296</v>
      </c>
      <c r="HI13" s="4">
        <v>11.028</v>
      </c>
      <c r="HJ13" s="4">
        <v>12.388999999999999</v>
      </c>
      <c r="HK13" s="4">
        <v>13.127000000000001</v>
      </c>
      <c r="HL13" s="4">
        <v>2</v>
      </c>
      <c r="HM13" s="3" t="s">
        <v>437</v>
      </c>
      <c r="HN13" s="3" t="s">
        <v>437</v>
      </c>
      <c r="HO13" s="3" t="s">
        <v>438</v>
      </c>
      <c r="HP13" s="3" t="s">
        <v>439</v>
      </c>
      <c r="HQ13" s="3" t="s">
        <v>440</v>
      </c>
      <c r="HR13" s="3" t="s">
        <v>441</v>
      </c>
      <c r="HS13" s="3" t="s">
        <v>442</v>
      </c>
      <c r="HT13" s="3" t="s">
        <v>443</v>
      </c>
      <c r="HU13" s="3" t="s">
        <v>444</v>
      </c>
      <c r="HV13" s="3" t="s">
        <v>445</v>
      </c>
      <c r="HW13" s="3" t="s">
        <v>282</v>
      </c>
      <c r="HX13" s="3" t="s">
        <v>282</v>
      </c>
      <c r="HY13" s="3" t="s">
        <v>312</v>
      </c>
      <c r="HZ13" s="3" t="s">
        <v>356</v>
      </c>
      <c r="IA13" s="3" t="s">
        <v>313</v>
      </c>
      <c r="IB13" s="3" t="s">
        <v>282</v>
      </c>
      <c r="IC13" s="3" t="s">
        <v>282</v>
      </c>
    </row>
    <row r="14" spans="1:237" x14ac:dyDescent="0.2">
      <c r="A14" s="2">
        <v>45744.679768518516</v>
      </c>
      <c r="B14" s="2">
        <v>45744.70076388889</v>
      </c>
      <c r="C14" s="3" t="s">
        <v>240</v>
      </c>
      <c r="D14" s="3" t="s">
        <v>446</v>
      </c>
      <c r="E14" s="4">
        <v>100</v>
      </c>
      <c r="F14" s="4">
        <v>1813</v>
      </c>
      <c r="G14" s="3" t="s">
        <v>280</v>
      </c>
      <c r="H14" s="2">
        <v>45744.700778819446</v>
      </c>
      <c r="I14" s="3" t="s">
        <v>447</v>
      </c>
      <c r="J14" s="3" t="s">
        <v>282</v>
      </c>
      <c r="K14" s="3" t="s">
        <v>282</v>
      </c>
      <c r="L14" s="3" t="s">
        <v>282</v>
      </c>
      <c r="M14" s="3" t="s">
        <v>282</v>
      </c>
      <c r="N14" s="4">
        <v>-37.927900000000001</v>
      </c>
      <c r="O14" s="4">
        <v>145.17699999999999</v>
      </c>
      <c r="P14" s="3" t="s">
        <v>283</v>
      </c>
      <c r="Q14" s="3" t="s">
        <v>284</v>
      </c>
      <c r="R14" s="4">
        <v>1</v>
      </c>
      <c r="S14" s="3" t="s">
        <v>285</v>
      </c>
      <c r="T14" s="3" t="s">
        <v>285</v>
      </c>
      <c r="U14" s="3" t="s">
        <v>285</v>
      </c>
      <c r="V14" s="3" t="s">
        <v>285</v>
      </c>
      <c r="W14" s="3" t="s">
        <v>412</v>
      </c>
      <c r="X14" s="3" t="s">
        <v>316</v>
      </c>
      <c r="Y14" s="3" t="s">
        <v>288</v>
      </c>
      <c r="Z14" s="3" t="s">
        <v>289</v>
      </c>
      <c r="AA14" s="3" t="s">
        <v>329</v>
      </c>
      <c r="AB14" s="3" t="s">
        <v>317</v>
      </c>
      <c r="AC14" s="3" t="s">
        <v>291</v>
      </c>
      <c r="AD14" s="3" t="s">
        <v>292</v>
      </c>
      <c r="AE14" s="4">
        <v>9.0530000000000008</v>
      </c>
      <c r="AF14" s="4">
        <v>11.023999999999999</v>
      </c>
      <c r="AG14" s="4">
        <v>11.95</v>
      </c>
      <c r="AH14" s="4">
        <v>2</v>
      </c>
      <c r="AI14" s="3" t="s">
        <v>293</v>
      </c>
      <c r="AJ14" s="3" t="s">
        <v>296</v>
      </c>
      <c r="AK14" s="4">
        <v>10.221</v>
      </c>
      <c r="AL14" s="4">
        <v>12.375</v>
      </c>
      <c r="AM14" s="4">
        <v>13.263</v>
      </c>
      <c r="AN14" s="4">
        <v>2</v>
      </c>
      <c r="AO14" s="3" t="s">
        <v>293</v>
      </c>
      <c r="AP14" s="3" t="s">
        <v>296</v>
      </c>
      <c r="AQ14" s="4">
        <v>5.4320000000000004</v>
      </c>
      <c r="AR14" s="4">
        <v>8.3889999999999993</v>
      </c>
      <c r="AS14" s="4">
        <v>10.68</v>
      </c>
      <c r="AT14" s="4">
        <v>2</v>
      </c>
      <c r="AU14" s="3" t="s">
        <v>295</v>
      </c>
      <c r="AV14" s="3" t="s">
        <v>296</v>
      </c>
      <c r="AW14" s="4">
        <v>97.293000000000006</v>
      </c>
      <c r="AX14" s="4">
        <v>102.898</v>
      </c>
      <c r="AY14" s="4">
        <v>108.479</v>
      </c>
      <c r="AZ14" s="4">
        <v>2</v>
      </c>
      <c r="BA14" s="3" t="s">
        <v>295</v>
      </c>
      <c r="BB14" s="3" t="s">
        <v>296</v>
      </c>
      <c r="BC14" s="4">
        <v>8.0969999999999995</v>
      </c>
      <c r="BD14" s="4">
        <v>9.5079999999999991</v>
      </c>
      <c r="BE14" s="4">
        <v>11.804</v>
      </c>
      <c r="BF14" s="4">
        <v>2</v>
      </c>
      <c r="BG14" s="3" t="s">
        <v>291</v>
      </c>
      <c r="BH14" s="3" t="s">
        <v>292</v>
      </c>
      <c r="BI14" s="4">
        <v>7.1970000000000001</v>
      </c>
      <c r="BJ14" s="4">
        <v>10.205</v>
      </c>
      <c r="BK14" s="4">
        <v>11.4</v>
      </c>
      <c r="BL14" s="4">
        <v>2</v>
      </c>
      <c r="BM14" s="3" t="s">
        <v>293</v>
      </c>
      <c r="BN14" s="3" t="s">
        <v>296</v>
      </c>
      <c r="BO14" s="4">
        <v>14.845000000000001</v>
      </c>
      <c r="BP14" s="4">
        <v>17.172000000000001</v>
      </c>
      <c r="BQ14" s="4">
        <v>18.940000000000001</v>
      </c>
      <c r="BR14" s="4">
        <v>2</v>
      </c>
      <c r="BS14" s="3" t="s">
        <v>291</v>
      </c>
      <c r="BT14" s="3" t="s">
        <v>292</v>
      </c>
      <c r="BU14" s="4">
        <v>12.957000000000001</v>
      </c>
      <c r="BV14" s="4">
        <v>16.821000000000002</v>
      </c>
      <c r="BW14" s="4">
        <v>41.314999999999998</v>
      </c>
      <c r="BX14" s="4">
        <v>2</v>
      </c>
      <c r="BY14" s="3" t="s">
        <v>295</v>
      </c>
      <c r="BZ14" s="3" t="s">
        <v>296</v>
      </c>
      <c r="CA14" s="4">
        <v>6.9829999999999997</v>
      </c>
      <c r="CB14" s="4">
        <v>9.577</v>
      </c>
      <c r="CC14" s="4">
        <v>11.656000000000001</v>
      </c>
      <c r="CD14" s="4">
        <v>2</v>
      </c>
      <c r="CE14" s="3" t="s">
        <v>298</v>
      </c>
      <c r="CF14" s="3" t="s">
        <v>296</v>
      </c>
      <c r="CG14" s="4">
        <v>10.061999999999999</v>
      </c>
      <c r="CH14" s="4">
        <v>14.167999999999999</v>
      </c>
      <c r="CI14" s="4">
        <v>21.445</v>
      </c>
      <c r="CJ14" s="4">
        <v>3</v>
      </c>
      <c r="CK14" s="3" t="s">
        <v>291</v>
      </c>
      <c r="CL14" s="3" t="s">
        <v>294</v>
      </c>
      <c r="CM14" s="4">
        <v>36.238999999999997</v>
      </c>
      <c r="CN14" s="4">
        <v>55.262</v>
      </c>
      <c r="CO14" s="4">
        <v>56.975000000000001</v>
      </c>
      <c r="CP14" s="4">
        <v>2</v>
      </c>
      <c r="CQ14" s="3" t="s">
        <v>293</v>
      </c>
      <c r="CR14" s="3" t="s">
        <v>296</v>
      </c>
      <c r="CS14" s="4">
        <v>12.603</v>
      </c>
      <c r="CT14" s="4">
        <v>14.500999999999999</v>
      </c>
      <c r="CU14" s="4">
        <v>15.379</v>
      </c>
      <c r="CV14" s="4">
        <v>2</v>
      </c>
      <c r="CW14" s="3" t="s">
        <v>291</v>
      </c>
      <c r="CX14" s="3" t="s">
        <v>292</v>
      </c>
      <c r="CY14" s="4">
        <v>16.797999999999998</v>
      </c>
      <c r="CZ14" s="4">
        <v>19.602</v>
      </c>
      <c r="DA14" s="4">
        <v>26.062000000000001</v>
      </c>
      <c r="DB14" s="4">
        <v>2</v>
      </c>
      <c r="DC14" s="3" t="s">
        <v>295</v>
      </c>
      <c r="DD14" s="3" t="s">
        <v>292</v>
      </c>
      <c r="DE14" s="4">
        <v>11.826000000000001</v>
      </c>
      <c r="DF14" s="4">
        <v>30.001000000000001</v>
      </c>
      <c r="DG14" s="4">
        <v>34.399000000000001</v>
      </c>
      <c r="DH14" s="4">
        <v>2</v>
      </c>
      <c r="DI14" s="3" t="s">
        <v>298</v>
      </c>
      <c r="DJ14" s="3" t="s">
        <v>296</v>
      </c>
      <c r="DK14" s="4">
        <v>9.9529999999999994</v>
      </c>
      <c r="DL14" s="4">
        <v>13.311999999999999</v>
      </c>
      <c r="DM14" s="4">
        <v>20.137</v>
      </c>
      <c r="DN14" s="4">
        <v>2</v>
      </c>
      <c r="DO14" s="3" t="s">
        <v>291</v>
      </c>
      <c r="DP14" s="3" t="s">
        <v>292</v>
      </c>
      <c r="DQ14" s="4">
        <v>10.659000000000001</v>
      </c>
      <c r="DR14" s="4">
        <v>12.449</v>
      </c>
      <c r="DS14" s="4">
        <v>14.901</v>
      </c>
      <c r="DT14" s="4">
        <v>2</v>
      </c>
      <c r="DU14" s="3" t="s">
        <v>293</v>
      </c>
      <c r="DV14" s="3" t="s">
        <v>292</v>
      </c>
      <c r="DW14" s="4">
        <v>9.4849999999999994</v>
      </c>
      <c r="DX14" s="4">
        <v>12.127000000000001</v>
      </c>
      <c r="DY14" s="4">
        <v>13.606</v>
      </c>
      <c r="DZ14" s="4">
        <v>2</v>
      </c>
      <c r="EA14" s="3" t="s">
        <v>299</v>
      </c>
      <c r="EB14" s="3" t="s">
        <v>296</v>
      </c>
      <c r="EC14" s="4">
        <v>11.127000000000001</v>
      </c>
      <c r="ED14" s="4">
        <v>13.385999999999999</v>
      </c>
      <c r="EE14" s="4">
        <v>19.603000000000002</v>
      </c>
      <c r="EF14" s="4">
        <v>2</v>
      </c>
      <c r="EG14" s="3" t="s">
        <v>295</v>
      </c>
      <c r="EH14" s="3" t="s">
        <v>292</v>
      </c>
      <c r="EI14" s="4">
        <v>13.577</v>
      </c>
      <c r="EJ14" s="4">
        <v>14.537000000000001</v>
      </c>
      <c r="EK14" s="4">
        <v>17.062999999999999</v>
      </c>
      <c r="EL14" s="4">
        <v>2</v>
      </c>
      <c r="EM14" s="3" t="s">
        <v>298</v>
      </c>
      <c r="EN14" s="3" t="s">
        <v>296</v>
      </c>
      <c r="EO14" s="4">
        <v>11.082000000000001</v>
      </c>
      <c r="EP14" s="4">
        <v>17.754999999999999</v>
      </c>
      <c r="EQ14" s="4">
        <v>22.806999999999999</v>
      </c>
      <c r="ER14" s="4">
        <v>2</v>
      </c>
      <c r="ES14" s="3" t="s">
        <v>291</v>
      </c>
      <c r="ET14" s="3" t="s">
        <v>296</v>
      </c>
      <c r="EU14" s="4">
        <v>9.1980000000000004</v>
      </c>
      <c r="EV14" s="4">
        <v>11.273</v>
      </c>
      <c r="EW14" s="4">
        <v>15.378</v>
      </c>
      <c r="EX14" s="4">
        <v>2</v>
      </c>
      <c r="EY14" s="3" t="s">
        <v>300</v>
      </c>
      <c r="EZ14" s="3" t="s">
        <v>296</v>
      </c>
      <c r="FA14" s="4">
        <v>4.851</v>
      </c>
      <c r="FB14" s="4">
        <v>7.8419999999999996</v>
      </c>
      <c r="FC14" s="4">
        <v>9.1199999999999992</v>
      </c>
      <c r="FD14" s="4">
        <v>2</v>
      </c>
      <c r="FE14" s="3" t="s">
        <v>301</v>
      </c>
      <c r="FF14" s="3" t="s">
        <v>296</v>
      </c>
      <c r="FG14" s="4">
        <v>6.444</v>
      </c>
      <c r="FH14" s="4">
        <v>9.0640000000000001</v>
      </c>
      <c r="FI14" s="4">
        <v>11.202999999999999</v>
      </c>
      <c r="FJ14" s="4">
        <v>2</v>
      </c>
      <c r="FK14" s="3" t="s">
        <v>291</v>
      </c>
      <c r="FL14" s="3" t="s">
        <v>296</v>
      </c>
      <c r="FM14" s="4">
        <v>4.6399999999999997</v>
      </c>
      <c r="FN14" s="4">
        <v>7.4089999999999998</v>
      </c>
      <c r="FO14" s="4">
        <v>10.406000000000001</v>
      </c>
      <c r="FP14" s="4">
        <v>2</v>
      </c>
      <c r="FQ14" s="3" t="s">
        <v>300</v>
      </c>
      <c r="FR14" s="3" t="s">
        <v>296</v>
      </c>
      <c r="FS14" s="4">
        <v>5.8550000000000004</v>
      </c>
      <c r="FT14" s="4">
        <v>7.5830000000000002</v>
      </c>
      <c r="FU14" s="4">
        <v>10.02</v>
      </c>
      <c r="FV14" s="4">
        <v>2</v>
      </c>
      <c r="FW14" s="3" t="s">
        <v>301</v>
      </c>
      <c r="FX14" s="3" t="s">
        <v>296</v>
      </c>
      <c r="FY14" s="4">
        <v>6.952</v>
      </c>
      <c r="FZ14" s="4">
        <v>8.6159999999999997</v>
      </c>
      <c r="GA14" s="4">
        <v>9.8870000000000005</v>
      </c>
      <c r="GB14" s="4">
        <v>2</v>
      </c>
      <c r="GC14" s="3" t="s">
        <v>291</v>
      </c>
      <c r="GD14" s="3" t="s">
        <v>296</v>
      </c>
      <c r="GE14" s="4">
        <v>6.2770000000000001</v>
      </c>
      <c r="GF14" s="4">
        <v>8.5939999999999994</v>
      </c>
      <c r="GG14" s="4">
        <v>9.7149999999999999</v>
      </c>
      <c r="GH14" s="4">
        <v>2</v>
      </c>
      <c r="GI14" s="3" t="s">
        <v>300</v>
      </c>
      <c r="GJ14" s="3" t="s">
        <v>296</v>
      </c>
      <c r="GK14" s="4">
        <v>6.57</v>
      </c>
      <c r="GL14" s="4">
        <v>8.7759999999999998</v>
      </c>
      <c r="GM14" s="4">
        <v>10.385</v>
      </c>
      <c r="GN14" s="4">
        <v>2</v>
      </c>
      <c r="GO14" s="3" t="s">
        <v>301</v>
      </c>
      <c r="GP14" s="3" t="s">
        <v>296</v>
      </c>
      <c r="GQ14" s="4">
        <v>4.742</v>
      </c>
      <c r="GR14" s="4">
        <v>6.7939999999999996</v>
      </c>
      <c r="GS14" s="4">
        <v>9.0380000000000003</v>
      </c>
      <c r="GT14" s="4">
        <v>2</v>
      </c>
      <c r="GU14" s="3" t="s">
        <v>291</v>
      </c>
      <c r="GV14" s="3" t="s">
        <v>296</v>
      </c>
      <c r="GW14" s="4">
        <v>5.5819999999999999</v>
      </c>
      <c r="GX14" s="4">
        <v>7.1619999999999999</v>
      </c>
      <c r="GY14" s="4">
        <v>9.4160000000000004</v>
      </c>
      <c r="GZ14" s="4">
        <v>2</v>
      </c>
      <c r="HA14" s="3" t="s">
        <v>300</v>
      </c>
      <c r="HB14" s="3" t="s">
        <v>296</v>
      </c>
      <c r="HC14" s="4">
        <v>5.8380000000000001</v>
      </c>
      <c r="HD14" s="4">
        <v>7.3440000000000003</v>
      </c>
      <c r="HE14" s="4">
        <v>10.378</v>
      </c>
      <c r="HF14" s="4">
        <v>2</v>
      </c>
      <c r="HG14" s="3" t="s">
        <v>291</v>
      </c>
      <c r="HH14" s="3" t="s">
        <v>292</v>
      </c>
      <c r="HI14" s="4">
        <v>11.25</v>
      </c>
      <c r="HJ14" s="4">
        <v>32.75</v>
      </c>
      <c r="HK14" s="4">
        <v>34.064</v>
      </c>
      <c r="HL14" s="4">
        <v>3</v>
      </c>
      <c r="HM14" s="3" t="s">
        <v>448</v>
      </c>
      <c r="HN14" s="3" t="s">
        <v>449</v>
      </c>
      <c r="HO14" s="3" t="s">
        <v>450</v>
      </c>
      <c r="HP14" s="3" t="s">
        <v>451</v>
      </c>
      <c r="HQ14" s="3" t="s">
        <v>452</v>
      </c>
      <c r="HR14" s="3" t="s">
        <v>453</v>
      </c>
      <c r="HS14" s="3" t="s">
        <v>454</v>
      </c>
      <c r="HT14" s="3" t="s">
        <v>455</v>
      </c>
      <c r="HU14" s="3" t="s">
        <v>456</v>
      </c>
      <c r="HV14" s="3" t="s">
        <v>456</v>
      </c>
      <c r="HW14" s="3" t="s">
        <v>457</v>
      </c>
      <c r="HX14" s="3" t="s">
        <v>458</v>
      </c>
      <c r="HY14" s="3" t="s">
        <v>312</v>
      </c>
      <c r="HZ14" s="3" t="s">
        <v>372</v>
      </c>
      <c r="IA14" s="3" t="s">
        <v>325</v>
      </c>
      <c r="IB14" s="3" t="s">
        <v>282</v>
      </c>
      <c r="IC14" s="3" t="s">
        <v>282</v>
      </c>
    </row>
    <row r="15" spans="1:237" x14ac:dyDescent="0.2">
      <c r="A15" s="2">
        <v>45745.033321759256</v>
      </c>
      <c r="B15" s="2">
        <v>45745.071493055555</v>
      </c>
      <c r="C15" s="3" t="s">
        <v>240</v>
      </c>
      <c r="D15" s="3" t="s">
        <v>459</v>
      </c>
      <c r="E15" s="4">
        <v>100</v>
      </c>
      <c r="F15" s="4">
        <v>3297</v>
      </c>
      <c r="G15" s="3" t="s">
        <v>280</v>
      </c>
      <c r="H15" s="2">
        <v>45745.071503402774</v>
      </c>
      <c r="I15" s="3" t="s">
        <v>460</v>
      </c>
      <c r="J15" s="3" t="s">
        <v>282</v>
      </c>
      <c r="K15" s="3" t="s">
        <v>282</v>
      </c>
      <c r="L15" s="3" t="s">
        <v>282</v>
      </c>
      <c r="M15" s="3" t="s">
        <v>282</v>
      </c>
      <c r="N15" s="4">
        <v>49.7851</v>
      </c>
      <c r="O15" s="4">
        <v>-97.211699999999993</v>
      </c>
      <c r="P15" s="3" t="s">
        <v>283</v>
      </c>
      <c r="Q15" s="3" t="s">
        <v>284</v>
      </c>
      <c r="R15" s="4">
        <v>1</v>
      </c>
      <c r="S15" s="3" t="s">
        <v>285</v>
      </c>
      <c r="T15" s="3" t="s">
        <v>285</v>
      </c>
      <c r="U15" s="3" t="s">
        <v>285</v>
      </c>
      <c r="V15" s="3" t="s">
        <v>285</v>
      </c>
      <c r="W15" s="3" t="s">
        <v>461</v>
      </c>
      <c r="X15" s="3" t="s">
        <v>287</v>
      </c>
      <c r="Y15" s="3" t="s">
        <v>288</v>
      </c>
      <c r="Z15" s="3" t="s">
        <v>317</v>
      </c>
      <c r="AA15" s="3" t="s">
        <v>289</v>
      </c>
      <c r="AB15" s="3" t="s">
        <v>289</v>
      </c>
      <c r="AC15" s="3" t="s">
        <v>291</v>
      </c>
      <c r="AD15" s="3" t="s">
        <v>296</v>
      </c>
      <c r="AE15" s="4">
        <v>33.768000000000001</v>
      </c>
      <c r="AF15" s="4">
        <v>40.880000000000003</v>
      </c>
      <c r="AG15" s="4">
        <v>41.473999999999997</v>
      </c>
      <c r="AH15" s="4">
        <v>5</v>
      </c>
      <c r="AI15" s="3" t="s">
        <v>293</v>
      </c>
      <c r="AJ15" s="3" t="s">
        <v>296</v>
      </c>
      <c r="AK15" s="4">
        <v>24.068000000000001</v>
      </c>
      <c r="AL15" s="4">
        <v>79.795000000000002</v>
      </c>
      <c r="AM15" s="4">
        <v>81.673000000000002</v>
      </c>
      <c r="AN15" s="4">
        <v>6</v>
      </c>
      <c r="AO15" s="3" t="s">
        <v>299</v>
      </c>
      <c r="AP15" s="3" t="s">
        <v>296</v>
      </c>
      <c r="AQ15" s="4">
        <v>30.753</v>
      </c>
      <c r="AR15" s="4">
        <v>68.215000000000003</v>
      </c>
      <c r="AS15" s="4">
        <v>69.656999999999996</v>
      </c>
      <c r="AT15" s="4">
        <v>9</v>
      </c>
      <c r="AU15" s="3" t="s">
        <v>299</v>
      </c>
      <c r="AV15" s="3" t="s">
        <v>296</v>
      </c>
      <c r="AW15" s="4">
        <v>29.817</v>
      </c>
      <c r="AX15" s="4">
        <v>38.860999999999997</v>
      </c>
      <c r="AY15" s="4">
        <v>43.228999999999999</v>
      </c>
      <c r="AZ15" s="4">
        <v>6</v>
      </c>
      <c r="BA15" s="3" t="s">
        <v>295</v>
      </c>
      <c r="BB15" s="3" t="s">
        <v>292</v>
      </c>
      <c r="BC15" s="4">
        <v>26.364000000000001</v>
      </c>
      <c r="BD15" s="4">
        <v>39.040999999999997</v>
      </c>
      <c r="BE15" s="4">
        <v>39.582000000000001</v>
      </c>
      <c r="BF15" s="4">
        <v>6</v>
      </c>
      <c r="BG15" s="3" t="s">
        <v>291</v>
      </c>
      <c r="BH15" s="3" t="s">
        <v>292</v>
      </c>
      <c r="BI15" s="4">
        <v>20.608000000000001</v>
      </c>
      <c r="BJ15" s="4">
        <v>24.271000000000001</v>
      </c>
      <c r="BK15" s="4">
        <v>25.081</v>
      </c>
      <c r="BL15" s="4">
        <v>5</v>
      </c>
      <c r="BM15" s="3" t="s">
        <v>299</v>
      </c>
      <c r="BN15" s="3" t="s">
        <v>294</v>
      </c>
      <c r="BO15" s="4">
        <v>21.323</v>
      </c>
      <c r="BP15" s="4">
        <v>28.605</v>
      </c>
      <c r="BQ15" s="4">
        <v>29.109000000000002</v>
      </c>
      <c r="BR15" s="4">
        <v>6</v>
      </c>
      <c r="BS15" s="3" t="s">
        <v>298</v>
      </c>
      <c r="BT15" s="3" t="s">
        <v>292</v>
      </c>
      <c r="BU15" s="4">
        <v>40.433999999999997</v>
      </c>
      <c r="BV15" s="4">
        <v>69.251000000000005</v>
      </c>
      <c r="BW15" s="4">
        <v>69.677000000000007</v>
      </c>
      <c r="BX15" s="4">
        <v>6</v>
      </c>
      <c r="BY15" s="3" t="s">
        <v>299</v>
      </c>
      <c r="BZ15" s="3" t="s">
        <v>296</v>
      </c>
      <c r="CA15" s="4">
        <v>17.21</v>
      </c>
      <c r="CB15" s="4">
        <v>38.122</v>
      </c>
      <c r="CC15" s="4">
        <v>38.700000000000003</v>
      </c>
      <c r="CD15" s="4">
        <v>5</v>
      </c>
      <c r="CE15" s="3" t="s">
        <v>298</v>
      </c>
      <c r="CF15" s="3" t="s">
        <v>296</v>
      </c>
      <c r="CG15" s="4">
        <v>33.174999999999997</v>
      </c>
      <c r="CH15" s="4">
        <v>36.817</v>
      </c>
      <c r="CI15" s="4">
        <v>41.293999999999997</v>
      </c>
      <c r="CJ15" s="4">
        <v>5</v>
      </c>
      <c r="CK15" s="3" t="s">
        <v>291</v>
      </c>
      <c r="CL15" s="3" t="s">
        <v>297</v>
      </c>
      <c r="CM15" s="4">
        <v>28.071000000000002</v>
      </c>
      <c r="CN15" s="4">
        <v>126.399</v>
      </c>
      <c r="CO15" s="4">
        <v>126.88</v>
      </c>
      <c r="CP15" s="4">
        <v>18</v>
      </c>
      <c r="CQ15" s="3" t="s">
        <v>293</v>
      </c>
      <c r="CR15" s="3" t="s">
        <v>296</v>
      </c>
      <c r="CS15" s="4">
        <v>15.523</v>
      </c>
      <c r="CT15" s="4">
        <v>25.077999999999999</v>
      </c>
      <c r="CU15" s="4">
        <v>25.689</v>
      </c>
      <c r="CV15" s="4">
        <v>7</v>
      </c>
      <c r="CW15" s="3" t="s">
        <v>298</v>
      </c>
      <c r="CX15" s="3" t="s">
        <v>292</v>
      </c>
      <c r="CY15" s="4">
        <v>23.536999999999999</v>
      </c>
      <c r="CZ15" s="4">
        <v>50.985999999999997</v>
      </c>
      <c r="DA15" s="4">
        <v>52.701000000000001</v>
      </c>
      <c r="DB15" s="4">
        <v>15</v>
      </c>
      <c r="DC15" s="3" t="s">
        <v>298</v>
      </c>
      <c r="DD15" s="3" t="s">
        <v>292</v>
      </c>
      <c r="DE15" s="4">
        <v>34.159999999999997</v>
      </c>
      <c r="DF15" s="4">
        <v>42.265999999999998</v>
      </c>
      <c r="DG15" s="4">
        <v>42.689</v>
      </c>
      <c r="DH15" s="4">
        <v>6</v>
      </c>
      <c r="DI15" s="3" t="s">
        <v>291</v>
      </c>
      <c r="DJ15" s="3" t="s">
        <v>296</v>
      </c>
      <c r="DK15" s="4">
        <v>43.338999999999999</v>
      </c>
      <c r="DL15" s="4">
        <v>48.206000000000003</v>
      </c>
      <c r="DM15" s="4">
        <v>48.680999999999997</v>
      </c>
      <c r="DN15" s="4">
        <v>4</v>
      </c>
      <c r="DO15" s="3" t="s">
        <v>298</v>
      </c>
      <c r="DP15" s="3" t="s">
        <v>292</v>
      </c>
      <c r="DQ15" s="4">
        <v>29.338999999999999</v>
      </c>
      <c r="DR15" s="4">
        <v>36.851999999999997</v>
      </c>
      <c r="DS15" s="4">
        <v>37.701000000000001</v>
      </c>
      <c r="DT15" s="4">
        <v>5</v>
      </c>
      <c r="DU15" s="3" t="s">
        <v>299</v>
      </c>
      <c r="DV15" s="3" t="s">
        <v>294</v>
      </c>
      <c r="DW15" s="4">
        <v>14.624000000000001</v>
      </c>
      <c r="DX15" s="4">
        <v>23.102</v>
      </c>
      <c r="DY15" s="4">
        <v>23.600999999999999</v>
      </c>
      <c r="DZ15" s="4">
        <v>6</v>
      </c>
      <c r="EA15" s="3" t="s">
        <v>291</v>
      </c>
      <c r="EB15" s="3" t="s">
        <v>296</v>
      </c>
      <c r="EC15" s="4">
        <v>33.707000000000001</v>
      </c>
      <c r="ED15" s="4">
        <v>56.545999999999999</v>
      </c>
      <c r="EE15" s="4">
        <v>58.454999999999998</v>
      </c>
      <c r="EF15" s="4">
        <v>11</v>
      </c>
      <c r="EG15" s="3" t="s">
        <v>298</v>
      </c>
      <c r="EH15" s="3" t="s">
        <v>292</v>
      </c>
      <c r="EI15" s="4">
        <v>18.643999999999998</v>
      </c>
      <c r="EJ15" s="4">
        <v>88.596000000000004</v>
      </c>
      <c r="EK15" s="4">
        <v>89.100999999999999</v>
      </c>
      <c r="EL15" s="4">
        <v>12</v>
      </c>
      <c r="EM15" s="3" t="s">
        <v>298</v>
      </c>
      <c r="EN15" s="3" t="s">
        <v>296</v>
      </c>
      <c r="EO15" s="4">
        <v>18.574000000000002</v>
      </c>
      <c r="EP15" s="4">
        <v>56.820999999999998</v>
      </c>
      <c r="EQ15" s="4">
        <v>57.201000000000001</v>
      </c>
      <c r="ER15" s="4">
        <v>13</v>
      </c>
      <c r="ES15" s="3" t="s">
        <v>291</v>
      </c>
      <c r="ET15" s="3" t="s">
        <v>294</v>
      </c>
      <c r="EU15" s="4">
        <v>27.036999999999999</v>
      </c>
      <c r="EV15" s="4">
        <v>34.979999999999997</v>
      </c>
      <c r="EW15" s="4">
        <v>37.296999999999997</v>
      </c>
      <c r="EX15" s="4">
        <v>6</v>
      </c>
      <c r="EY15" s="3" t="s">
        <v>301</v>
      </c>
      <c r="EZ15" s="3" t="s">
        <v>294</v>
      </c>
      <c r="FA15" s="4">
        <v>19.440999999999999</v>
      </c>
      <c r="FB15" s="4">
        <v>34.043999999999997</v>
      </c>
      <c r="FC15" s="4">
        <v>35.496000000000002</v>
      </c>
      <c r="FD15" s="4">
        <v>9</v>
      </c>
      <c r="FE15" s="3" t="s">
        <v>300</v>
      </c>
      <c r="FF15" s="3" t="s">
        <v>296</v>
      </c>
      <c r="FG15" s="4">
        <v>19.486000000000001</v>
      </c>
      <c r="FH15" s="4">
        <v>26.170999999999999</v>
      </c>
      <c r="FI15" s="4">
        <v>27.067</v>
      </c>
      <c r="FJ15" s="4">
        <v>5</v>
      </c>
      <c r="FK15" s="3" t="s">
        <v>291</v>
      </c>
      <c r="FL15" s="3" t="s">
        <v>294</v>
      </c>
      <c r="FM15" s="4">
        <v>21.722000000000001</v>
      </c>
      <c r="FN15" s="4">
        <v>33.098999999999997</v>
      </c>
      <c r="FO15" s="4">
        <v>33.524000000000001</v>
      </c>
      <c r="FP15" s="4">
        <v>6</v>
      </c>
      <c r="FQ15" s="3" t="s">
        <v>301</v>
      </c>
      <c r="FR15" s="3" t="s">
        <v>294</v>
      </c>
      <c r="FS15" s="4">
        <v>13.347</v>
      </c>
      <c r="FT15" s="4">
        <v>19.864000000000001</v>
      </c>
      <c r="FU15" s="4">
        <v>21.6</v>
      </c>
      <c r="FV15" s="4">
        <v>5</v>
      </c>
      <c r="FW15" s="3" t="s">
        <v>300</v>
      </c>
      <c r="FX15" s="3" t="s">
        <v>296</v>
      </c>
      <c r="FY15" s="4">
        <v>38.503999999999998</v>
      </c>
      <c r="FZ15" s="4">
        <v>68.938000000000002</v>
      </c>
      <c r="GA15" s="4">
        <v>70.665000000000006</v>
      </c>
      <c r="GB15" s="4">
        <v>9</v>
      </c>
      <c r="GC15" s="3" t="s">
        <v>291</v>
      </c>
      <c r="GD15" s="3" t="s">
        <v>294</v>
      </c>
      <c r="GE15" s="4">
        <v>25.925999999999998</v>
      </c>
      <c r="GF15" s="4">
        <v>57.362000000000002</v>
      </c>
      <c r="GG15" s="4">
        <v>62.277000000000001</v>
      </c>
      <c r="GH15" s="4">
        <v>10</v>
      </c>
      <c r="GI15" s="3" t="s">
        <v>300</v>
      </c>
      <c r="GJ15" s="3" t="s">
        <v>296</v>
      </c>
      <c r="GK15" s="4">
        <v>13.763</v>
      </c>
      <c r="GL15" s="4">
        <v>27.19</v>
      </c>
      <c r="GM15" s="4">
        <v>28.48</v>
      </c>
      <c r="GN15" s="4">
        <v>6</v>
      </c>
      <c r="GO15" s="3" t="s">
        <v>291</v>
      </c>
      <c r="GP15" s="3" t="s">
        <v>296</v>
      </c>
      <c r="GQ15" s="4">
        <v>22.131</v>
      </c>
      <c r="GR15" s="4">
        <v>26.076000000000001</v>
      </c>
      <c r="GS15" s="4">
        <v>27.86</v>
      </c>
      <c r="GT15" s="4">
        <v>5</v>
      </c>
      <c r="GU15" s="3" t="s">
        <v>291</v>
      </c>
      <c r="GV15" s="3" t="s">
        <v>294</v>
      </c>
      <c r="GW15" s="4">
        <v>12.38</v>
      </c>
      <c r="GX15" s="4">
        <v>37.78</v>
      </c>
      <c r="GY15" s="4">
        <v>38.865000000000002</v>
      </c>
      <c r="GZ15" s="4">
        <v>7</v>
      </c>
      <c r="HA15" s="3" t="s">
        <v>301</v>
      </c>
      <c r="HB15" s="3" t="s">
        <v>294</v>
      </c>
      <c r="HC15" s="4">
        <v>34.524999999999999</v>
      </c>
      <c r="HD15" s="4">
        <v>104.16200000000001</v>
      </c>
      <c r="HE15" s="4">
        <v>105.063</v>
      </c>
      <c r="HF15" s="4">
        <v>20</v>
      </c>
      <c r="HG15" s="3" t="s">
        <v>301</v>
      </c>
      <c r="HH15" s="3" t="s">
        <v>294</v>
      </c>
      <c r="HI15" s="4">
        <v>3.2229999999999999</v>
      </c>
      <c r="HJ15" s="4">
        <v>117.27200000000001</v>
      </c>
      <c r="HK15" s="4">
        <v>118.70399999999999</v>
      </c>
      <c r="HL15" s="4">
        <v>11</v>
      </c>
      <c r="HM15" s="3" t="s">
        <v>462</v>
      </c>
      <c r="HN15" s="3" t="s">
        <v>463</v>
      </c>
      <c r="HO15" s="3" t="s">
        <v>464</v>
      </c>
      <c r="HP15" s="3" t="s">
        <v>465</v>
      </c>
      <c r="HQ15" s="3" t="s">
        <v>466</v>
      </c>
      <c r="HR15" s="3" t="s">
        <v>467</v>
      </c>
      <c r="HS15" s="3" t="s">
        <v>468</v>
      </c>
      <c r="HT15" s="3" t="s">
        <v>469</v>
      </c>
      <c r="HU15" s="3" t="s">
        <v>470</v>
      </c>
      <c r="HV15" s="3" t="s">
        <v>471</v>
      </c>
      <c r="HW15" s="3" t="s">
        <v>282</v>
      </c>
      <c r="HX15" s="3" t="s">
        <v>282</v>
      </c>
      <c r="HY15" s="3" t="s">
        <v>312</v>
      </c>
      <c r="HZ15" s="3" t="s">
        <v>356</v>
      </c>
      <c r="IA15" s="3" t="s">
        <v>313</v>
      </c>
      <c r="IB15" s="3" t="s">
        <v>282</v>
      </c>
      <c r="IC15" s="3" t="s">
        <v>282</v>
      </c>
    </row>
    <row r="16" spans="1:237" x14ac:dyDescent="0.2">
      <c r="A16" s="2">
        <v>45745.500243055554</v>
      </c>
      <c r="B16" s="2">
        <v>45745.513483796298</v>
      </c>
      <c r="C16" s="3" t="s">
        <v>240</v>
      </c>
      <c r="D16" s="3" t="s">
        <v>472</v>
      </c>
      <c r="E16" s="4">
        <v>100</v>
      </c>
      <c r="F16" s="4">
        <v>1143</v>
      </c>
      <c r="G16" s="3" t="s">
        <v>280</v>
      </c>
      <c r="H16" s="2">
        <v>45745.513492106482</v>
      </c>
      <c r="I16" s="3" t="s">
        <v>473</v>
      </c>
      <c r="J16" s="3" t="s">
        <v>282</v>
      </c>
      <c r="K16" s="3" t="s">
        <v>282</v>
      </c>
      <c r="L16" s="3" t="s">
        <v>282</v>
      </c>
      <c r="M16" s="3" t="s">
        <v>282</v>
      </c>
      <c r="N16" s="4">
        <v>51.040599999999998</v>
      </c>
      <c r="O16" s="4">
        <v>-114.07640000000001</v>
      </c>
      <c r="P16" s="3" t="s">
        <v>283</v>
      </c>
      <c r="Q16" s="3" t="s">
        <v>284</v>
      </c>
      <c r="R16" s="4">
        <v>0.89999997615814209</v>
      </c>
      <c r="S16" s="3" t="s">
        <v>285</v>
      </c>
      <c r="T16" s="3" t="s">
        <v>285</v>
      </c>
      <c r="U16" s="3" t="s">
        <v>285</v>
      </c>
      <c r="V16" s="3" t="s">
        <v>285</v>
      </c>
      <c r="W16" s="3" t="s">
        <v>412</v>
      </c>
      <c r="X16" s="3" t="s">
        <v>287</v>
      </c>
      <c r="Y16" s="3" t="s">
        <v>288</v>
      </c>
      <c r="Z16" s="3" t="s">
        <v>289</v>
      </c>
      <c r="AA16" s="3" t="s">
        <v>289</v>
      </c>
      <c r="AB16" s="3" t="s">
        <v>289</v>
      </c>
      <c r="AC16" s="3" t="s">
        <v>291</v>
      </c>
      <c r="AD16" s="3" t="s">
        <v>294</v>
      </c>
      <c r="AE16" s="4">
        <v>1.1459999999999999</v>
      </c>
      <c r="AF16" s="4">
        <v>10.4</v>
      </c>
      <c r="AG16" s="4">
        <v>11.141</v>
      </c>
      <c r="AH16" s="4">
        <v>5</v>
      </c>
      <c r="AI16" s="3" t="s">
        <v>293</v>
      </c>
      <c r="AJ16" s="3" t="s">
        <v>294</v>
      </c>
      <c r="AK16" s="4">
        <v>1.097</v>
      </c>
      <c r="AL16" s="4">
        <v>15.827999999999999</v>
      </c>
      <c r="AM16" s="4">
        <v>16.744</v>
      </c>
      <c r="AN16" s="4">
        <v>7</v>
      </c>
      <c r="AO16" s="3" t="s">
        <v>293</v>
      </c>
      <c r="AP16" s="3" t="s">
        <v>294</v>
      </c>
      <c r="AQ16" s="4">
        <v>0.95199999999999996</v>
      </c>
      <c r="AR16" s="4">
        <v>18.831</v>
      </c>
      <c r="AS16" s="4">
        <v>19.670999999999999</v>
      </c>
      <c r="AT16" s="4">
        <v>7</v>
      </c>
      <c r="AU16" s="3" t="s">
        <v>295</v>
      </c>
      <c r="AV16" s="3" t="s">
        <v>296</v>
      </c>
      <c r="AW16" s="4">
        <v>1.38</v>
      </c>
      <c r="AX16" s="4">
        <v>16.077999999999999</v>
      </c>
      <c r="AY16" s="4">
        <v>16.742999999999999</v>
      </c>
      <c r="AZ16" s="4">
        <v>7</v>
      </c>
      <c r="BA16" s="3" t="s">
        <v>295</v>
      </c>
      <c r="BB16" s="3" t="s">
        <v>292</v>
      </c>
      <c r="BC16" s="4">
        <v>0.997</v>
      </c>
      <c r="BD16" s="4">
        <v>22.856000000000002</v>
      </c>
      <c r="BE16" s="4">
        <v>23.600999999999999</v>
      </c>
      <c r="BF16" s="4">
        <v>8</v>
      </c>
      <c r="BG16" s="3" t="s">
        <v>291</v>
      </c>
      <c r="BH16" s="3" t="s">
        <v>294</v>
      </c>
      <c r="BI16" s="4">
        <v>1.08</v>
      </c>
      <c r="BJ16" s="4">
        <v>15.957000000000001</v>
      </c>
      <c r="BK16" s="4">
        <v>17.088999999999999</v>
      </c>
      <c r="BL16" s="4">
        <v>9</v>
      </c>
      <c r="BM16" s="3" t="s">
        <v>293</v>
      </c>
      <c r="BN16" s="3" t="s">
        <v>294</v>
      </c>
      <c r="BO16" s="4">
        <v>0.98899999999999999</v>
      </c>
      <c r="BP16" s="4">
        <v>14.599</v>
      </c>
      <c r="BQ16" s="4">
        <v>15.101000000000001</v>
      </c>
      <c r="BR16" s="4">
        <v>6</v>
      </c>
      <c r="BS16" s="3" t="s">
        <v>282</v>
      </c>
      <c r="BT16" s="3" t="s">
        <v>297</v>
      </c>
      <c r="BU16" s="4">
        <v>1.0249999999999999</v>
      </c>
      <c r="BV16" s="4">
        <v>23.288</v>
      </c>
      <c r="BW16" s="4">
        <v>24.004999999999999</v>
      </c>
      <c r="BX16" s="4">
        <v>8</v>
      </c>
      <c r="BY16" s="3" t="s">
        <v>282</v>
      </c>
      <c r="BZ16" s="3" t="s">
        <v>297</v>
      </c>
      <c r="CA16" s="4">
        <v>11.086</v>
      </c>
      <c r="CB16" s="4">
        <v>83.67</v>
      </c>
      <c r="CC16" s="4">
        <v>84.44</v>
      </c>
      <c r="CD16" s="4">
        <v>16</v>
      </c>
      <c r="CE16" s="3" t="s">
        <v>298</v>
      </c>
      <c r="CF16" s="3" t="s">
        <v>292</v>
      </c>
      <c r="CG16" s="4">
        <v>1.2310000000000001</v>
      </c>
      <c r="CH16" s="4">
        <v>17.530999999999999</v>
      </c>
      <c r="CI16" s="4">
        <v>18.225999999999999</v>
      </c>
      <c r="CJ16" s="4">
        <v>6</v>
      </c>
      <c r="CK16" s="3" t="s">
        <v>291</v>
      </c>
      <c r="CL16" s="3" t="s">
        <v>296</v>
      </c>
      <c r="CM16" s="4">
        <v>7.1239999999999997</v>
      </c>
      <c r="CN16" s="4">
        <v>18.937999999999999</v>
      </c>
      <c r="CO16" s="4">
        <v>19.992000000000001</v>
      </c>
      <c r="CP16" s="4">
        <v>8</v>
      </c>
      <c r="CQ16" s="3" t="s">
        <v>293</v>
      </c>
      <c r="CR16" s="3" t="s">
        <v>294</v>
      </c>
      <c r="CS16" s="4">
        <v>0.98199999999999998</v>
      </c>
      <c r="CT16" s="4">
        <v>15.977</v>
      </c>
      <c r="CU16" s="4">
        <v>16.605</v>
      </c>
      <c r="CV16" s="4">
        <v>8</v>
      </c>
      <c r="CW16" s="3" t="s">
        <v>282</v>
      </c>
      <c r="CX16" s="3" t="s">
        <v>297</v>
      </c>
      <c r="CY16" s="4">
        <v>1.1100000000000001</v>
      </c>
      <c r="CZ16" s="4">
        <v>19.053000000000001</v>
      </c>
      <c r="DA16" s="4">
        <v>19.809000000000001</v>
      </c>
      <c r="DB16" s="4">
        <v>9</v>
      </c>
      <c r="DC16" s="3" t="s">
        <v>298</v>
      </c>
      <c r="DD16" s="3" t="s">
        <v>292</v>
      </c>
      <c r="DE16" s="4">
        <v>0.89400000000000002</v>
      </c>
      <c r="DF16" s="4">
        <v>13.597</v>
      </c>
      <c r="DG16" s="4">
        <v>14.162000000000001</v>
      </c>
      <c r="DH16" s="4">
        <v>10</v>
      </c>
      <c r="DI16" s="3" t="s">
        <v>298</v>
      </c>
      <c r="DJ16" s="3" t="s">
        <v>296</v>
      </c>
      <c r="DK16" s="4">
        <v>1.0660000000000001</v>
      </c>
      <c r="DL16" s="4">
        <v>14.882999999999999</v>
      </c>
      <c r="DM16" s="4">
        <v>15.614000000000001</v>
      </c>
      <c r="DN16" s="4">
        <v>8</v>
      </c>
      <c r="DO16" s="3" t="s">
        <v>291</v>
      </c>
      <c r="DP16" s="3" t="s">
        <v>292</v>
      </c>
      <c r="DQ16" s="4">
        <v>1.1919999999999999</v>
      </c>
      <c r="DR16" s="4">
        <v>26.077999999999999</v>
      </c>
      <c r="DS16" s="4">
        <v>26.940999999999999</v>
      </c>
      <c r="DT16" s="4">
        <v>9</v>
      </c>
      <c r="DU16" s="3" t="s">
        <v>293</v>
      </c>
      <c r="DV16" s="3" t="s">
        <v>294</v>
      </c>
      <c r="DW16" s="4">
        <v>0.95699999999999996</v>
      </c>
      <c r="DX16" s="4">
        <v>16.628</v>
      </c>
      <c r="DY16" s="4">
        <v>17.300999999999998</v>
      </c>
      <c r="DZ16" s="4">
        <v>9</v>
      </c>
      <c r="EA16" s="3" t="s">
        <v>299</v>
      </c>
      <c r="EB16" s="3" t="s">
        <v>297</v>
      </c>
      <c r="EC16" s="4">
        <v>3.3439999999999999</v>
      </c>
      <c r="ED16" s="4">
        <v>53.341999999999999</v>
      </c>
      <c r="EE16" s="4">
        <v>54.027000000000001</v>
      </c>
      <c r="EF16" s="4">
        <v>11</v>
      </c>
      <c r="EG16" s="3" t="s">
        <v>295</v>
      </c>
      <c r="EH16" s="3" t="s">
        <v>292</v>
      </c>
      <c r="EI16" s="4">
        <v>1.19</v>
      </c>
      <c r="EJ16" s="4">
        <v>16.82</v>
      </c>
      <c r="EK16" s="4">
        <v>17.654</v>
      </c>
      <c r="EL16" s="4">
        <v>7</v>
      </c>
      <c r="EM16" s="3" t="s">
        <v>298</v>
      </c>
      <c r="EN16" s="3" t="s">
        <v>294</v>
      </c>
      <c r="EO16" s="4">
        <v>1.1339999999999999</v>
      </c>
      <c r="EP16" s="4">
        <v>12.429</v>
      </c>
      <c r="EQ16" s="4">
        <v>13.335000000000001</v>
      </c>
      <c r="ER16" s="4">
        <v>6</v>
      </c>
      <c r="ES16" s="3" t="s">
        <v>291</v>
      </c>
      <c r="ET16" s="3" t="s">
        <v>294</v>
      </c>
      <c r="EU16" s="4">
        <v>1.052</v>
      </c>
      <c r="EV16" s="4">
        <v>12.566000000000001</v>
      </c>
      <c r="EW16" s="4">
        <v>13.08</v>
      </c>
      <c r="EX16" s="4">
        <v>6</v>
      </c>
      <c r="EY16" s="3" t="s">
        <v>300</v>
      </c>
      <c r="EZ16" s="3" t="s">
        <v>294</v>
      </c>
      <c r="FA16" s="4">
        <v>0.97499999999999998</v>
      </c>
      <c r="FB16" s="4">
        <v>10.669</v>
      </c>
      <c r="FC16" s="4">
        <v>11.098000000000001</v>
      </c>
      <c r="FD16" s="4">
        <v>7</v>
      </c>
      <c r="FE16" s="3" t="s">
        <v>301</v>
      </c>
      <c r="FF16" s="3" t="s">
        <v>294</v>
      </c>
      <c r="FG16" s="4">
        <v>2.5230000000000001</v>
      </c>
      <c r="FH16" s="4">
        <v>10.391</v>
      </c>
      <c r="FI16" s="4">
        <v>11.169</v>
      </c>
      <c r="FJ16" s="4">
        <v>10</v>
      </c>
      <c r="FK16" s="3" t="s">
        <v>291</v>
      </c>
      <c r="FL16" s="3" t="s">
        <v>294</v>
      </c>
      <c r="FM16" s="4">
        <v>1.1240000000000001</v>
      </c>
      <c r="FN16" s="4">
        <v>11.393000000000001</v>
      </c>
      <c r="FO16" s="4">
        <v>12.101000000000001</v>
      </c>
      <c r="FP16" s="4">
        <v>8</v>
      </c>
      <c r="FQ16" s="3" t="s">
        <v>300</v>
      </c>
      <c r="FR16" s="3" t="s">
        <v>294</v>
      </c>
      <c r="FS16" s="4">
        <v>0.999</v>
      </c>
      <c r="FT16" s="4">
        <v>13.685</v>
      </c>
      <c r="FU16" s="4">
        <v>14.180999999999999</v>
      </c>
      <c r="FV16" s="4">
        <v>7</v>
      </c>
      <c r="FW16" s="3" t="s">
        <v>301</v>
      </c>
      <c r="FX16" s="3" t="s">
        <v>294</v>
      </c>
      <c r="FY16" s="4">
        <v>1.016</v>
      </c>
      <c r="FZ16" s="4">
        <v>13.159000000000001</v>
      </c>
      <c r="GA16" s="4">
        <v>13.701000000000001</v>
      </c>
      <c r="GB16" s="4">
        <v>7</v>
      </c>
      <c r="GC16" s="3" t="s">
        <v>291</v>
      </c>
      <c r="GD16" s="3" t="s">
        <v>294</v>
      </c>
      <c r="GE16" s="4">
        <v>0.96899999999999997</v>
      </c>
      <c r="GF16" s="4">
        <v>9.6470000000000002</v>
      </c>
      <c r="GG16" s="4">
        <v>10.243</v>
      </c>
      <c r="GH16" s="4">
        <v>8</v>
      </c>
      <c r="GI16" s="3" t="s">
        <v>300</v>
      </c>
      <c r="GJ16" s="3" t="s">
        <v>294</v>
      </c>
      <c r="GK16" s="4">
        <v>1.377</v>
      </c>
      <c r="GL16" s="4">
        <v>16.105</v>
      </c>
      <c r="GM16" s="4">
        <v>16.881</v>
      </c>
      <c r="GN16" s="4">
        <v>9</v>
      </c>
      <c r="GO16" s="3" t="s">
        <v>301</v>
      </c>
      <c r="GP16" s="3" t="s">
        <v>294</v>
      </c>
      <c r="GQ16" s="4">
        <v>5.0140000000000002</v>
      </c>
      <c r="GR16" s="4">
        <v>16.405000000000001</v>
      </c>
      <c r="GS16" s="4">
        <v>17.161000000000001</v>
      </c>
      <c r="GT16" s="4">
        <v>6</v>
      </c>
      <c r="GU16" s="3" t="s">
        <v>291</v>
      </c>
      <c r="GV16" s="3" t="s">
        <v>294</v>
      </c>
      <c r="GW16" s="4">
        <v>0.86599999999999999</v>
      </c>
      <c r="GX16" s="4">
        <v>11.212</v>
      </c>
      <c r="GY16" s="4">
        <v>11.678000000000001</v>
      </c>
      <c r="GZ16" s="4">
        <v>8</v>
      </c>
      <c r="HA16" s="3" t="s">
        <v>300</v>
      </c>
      <c r="HB16" s="3" t="s">
        <v>294</v>
      </c>
      <c r="HC16" s="4">
        <v>0.94199999999999995</v>
      </c>
      <c r="HD16" s="4">
        <v>10.266</v>
      </c>
      <c r="HE16" s="4">
        <v>10.601000000000001</v>
      </c>
      <c r="HF16" s="4">
        <v>9</v>
      </c>
      <c r="HG16" s="3" t="s">
        <v>300</v>
      </c>
      <c r="HH16" s="3" t="s">
        <v>296</v>
      </c>
      <c r="HI16" s="4">
        <v>0.90300000000000002</v>
      </c>
      <c r="HJ16" s="4">
        <v>14.731999999999999</v>
      </c>
      <c r="HK16" s="4">
        <v>15.260999999999999</v>
      </c>
      <c r="HL16" s="4">
        <v>9</v>
      </c>
      <c r="HM16" s="3" t="s">
        <v>474</v>
      </c>
      <c r="HN16" s="3" t="s">
        <v>475</v>
      </c>
      <c r="HO16" s="3" t="s">
        <v>476</v>
      </c>
      <c r="HP16" s="3" t="s">
        <v>477</v>
      </c>
      <c r="HQ16" s="3" t="s">
        <v>478</v>
      </c>
      <c r="HR16" s="3" t="s">
        <v>479</v>
      </c>
      <c r="HS16" s="3" t="s">
        <v>480</v>
      </c>
      <c r="HT16" s="3" t="s">
        <v>481</v>
      </c>
      <c r="HU16" s="3" t="s">
        <v>482</v>
      </c>
      <c r="HV16" s="3" t="s">
        <v>483</v>
      </c>
      <c r="HW16" s="3" t="s">
        <v>282</v>
      </c>
      <c r="HX16" s="3" t="s">
        <v>282</v>
      </c>
      <c r="HY16" s="3" t="s">
        <v>312</v>
      </c>
      <c r="HZ16" s="3" t="s">
        <v>372</v>
      </c>
      <c r="IA16" s="3" t="s">
        <v>325</v>
      </c>
      <c r="IB16" s="3" t="s">
        <v>282</v>
      </c>
      <c r="IC16" s="3" t="s">
        <v>282</v>
      </c>
    </row>
    <row r="17" spans="1:237" x14ac:dyDescent="0.2">
      <c r="A17" s="2">
        <v>45745.773414351854</v>
      </c>
      <c r="B17" s="2">
        <v>45745.788761574076</v>
      </c>
      <c r="C17" s="3" t="s">
        <v>240</v>
      </c>
      <c r="D17" s="3" t="s">
        <v>484</v>
      </c>
      <c r="E17" s="4">
        <v>100</v>
      </c>
      <c r="F17" s="4">
        <v>1325</v>
      </c>
      <c r="G17" s="3" t="s">
        <v>280</v>
      </c>
      <c r="H17" s="2">
        <v>45745.788773217595</v>
      </c>
      <c r="I17" s="3" t="s">
        <v>485</v>
      </c>
      <c r="J17" s="3" t="s">
        <v>282</v>
      </c>
      <c r="K17" s="3" t="s">
        <v>282</v>
      </c>
      <c r="L17" s="3" t="s">
        <v>282</v>
      </c>
      <c r="M17" s="3" t="s">
        <v>282</v>
      </c>
      <c r="N17" s="4">
        <v>-37.835099999999997</v>
      </c>
      <c r="O17" s="4">
        <v>145.1285</v>
      </c>
      <c r="P17" s="3" t="s">
        <v>283</v>
      </c>
      <c r="Q17" s="3" t="s">
        <v>284</v>
      </c>
      <c r="R17" s="4">
        <v>0.69999998807907104</v>
      </c>
      <c r="S17" s="3" t="s">
        <v>285</v>
      </c>
      <c r="T17" s="3" t="s">
        <v>285</v>
      </c>
      <c r="U17" s="3" t="s">
        <v>285</v>
      </c>
      <c r="V17" s="3" t="s">
        <v>285</v>
      </c>
      <c r="W17" s="3" t="s">
        <v>412</v>
      </c>
      <c r="X17" s="3" t="s">
        <v>486</v>
      </c>
      <c r="Y17" s="3" t="s">
        <v>288</v>
      </c>
      <c r="Z17" s="3" t="s">
        <v>289</v>
      </c>
      <c r="AA17" s="3" t="s">
        <v>329</v>
      </c>
      <c r="AB17" s="3" t="s">
        <v>317</v>
      </c>
      <c r="AC17" s="3" t="s">
        <v>291</v>
      </c>
      <c r="AD17" s="3" t="s">
        <v>296</v>
      </c>
      <c r="AE17" s="4">
        <v>8.7889999999999997</v>
      </c>
      <c r="AF17" s="4">
        <v>9.9559999999999995</v>
      </c>
      <c r="AG17" s="4">
        <v>10.504</v>
      </c>
      <c r="AH17" s="4">
        <v>2</v>
      </c>
      <c r="AI17" s="3" t="s">
        <v>293</v>
      </c>
      <c r="AJ17" s="3" t="s">
        <v>294</v>
      </c>
      <c r="AK17" s="4">
        <v>4.0149999999999997</v>
      </c>
      <c r="AL17" s="4">
        <v>5.0540000000000003</v>
      </c>
      <c r="AM17" s="4">
        <v>8.7119999999999997</v>
      </c>
      <c r="AN17" s="4">
        <v>2</v>
      </c>
      <c r="AO17" s="3" t="s">
        <v>293</v>
      </c>
      <c r="AP17" s="3" t="s">
        <v>296</v>
      </c>
      <c r="AQ17" s="4">
        <v>6.1369999999999996</v>
      </c>
      <c r="AR17" s="4">
        <v>9.0980000000000008</v>
      </c>
      <c r="AS17" s="4">
        <v>9.5540000000000003</v>
      </c>
      <c r="AT17" s="4">
        <v>4</v>
      </c>
      <c r="AU17" s="3" t="s">
        <v>295</v>
      </c>
      <c r="AV17" s="3" t="s">
        <v>296</v>
      </c>
      <c r="AW17" s="4">
        <v>4.8140000000000001</v>
      </c>
      <c r="AX17" s="4">
        <v>6.3019999999999996</v>
      </c>
      <c r="AY17" s="4">
        <v>8.7870000000000008</v>
      </c>
      <c r="AZ17" s="4">
        <v>3</v>
      </c>
      <c r="BA17" s="3" t="s">
        <v>295</v>
      </c>
      <c r="BB17" s="3" t="s">
        <v>294</v>
      </c>
      <c r="BC17" s="4">
        <v>11.305999999999999</v>
      </c>
      <c r="BD17" s="4">
        <v>12.901</v>
      </c>
      <c r="BE17" s="4">
        <v>13.483000000000001</v>
      </c>
      <c r="BF17" s="4">
        <v>3</v>
      </c>
      <c r="BG17" s="3" t="s">
        <v>291</v>
      </c>
      <c r="BH17" s="3" t="s">
        <v>294</v>
      </c>
      <c r="BI17" s="4">
        <v>6.6120000000000001</v>
      </c>
      <c r="BJ17" s="4">
        <v>9.6029999999999998</v>
      </c>
      <c r="BK17" s="4">
        <v>10.298</v>
      </c>
      <c r="BL17" s="4">
        <v>4</v>
      </c>
      <c r="BM17" s="3" t="s">
        <v>293</v>
      </c>
      <c r="BN17" s="3" t="s">
        <v>296</v>
      </c>
      <c r="BO17" s="4">
        <v>5.9180000000000001</v>
      </c>
      <c r="BP17" s="4">
        <v>7.3120000000000003</v>
      </c>
      <c r="BQ17" s="4">
        <v>8.6769999999999996</v>
      </c>
      <c r="BR17" s="4">
        <v>3</v>
      </c>
      <c r="BS17" s="3" t="s">
        <v>293</v>
      </c>
      <c r="BT17" s="3" t="s">
        <v>292</v>
      </c>
      <c r="BU17" s="4">
        <v>15.076000000000001</v>
      </c>
      <c r="BV17" s="4">
        <v>17.504000000000001</v>
      </c>
      <c r="BW17" s="4">
        <v>17.786000000000001</v>
      </c>
      <c r="BX17" s="4">
        <v>3</v>
      </c>
      <c r="BY17" s="3" t="s">
        <v>295</v>
      </c>
      <c r="BZ17" s="3" t="s">
        <v>296</v>
      </c>
      <c r="CA17" s="4">
        <v>5.5940000000000003</v>
      </c>
      <c r="CB17" s="4">
        <v>7.806</v>
      </c>
      <c r="CC17" s="4">
        <v>8.641</v>
      </c>
      <c r="CD17" s="4">
        <v>6</v>
      </c>
      <c r="CE17" s="3" t="s">
        <v>298</v>
      </c>
      <c r="CF17" s="3" t="s">
        <v>296</v>
      </c>
      <c r="CG17" s="4">
        <v>5.492</v>
      </c>
      <c r="CH17" s="4">
        <v>6.8920000000000003</v>
      </c>
      <c r="CI17" s="4">
        <v>8.7639999999999993</v>
      </c>
      <c r="CJ17" s="4">
        <v>3</v>
      </c>
      <c r="CK17" s="3" t="s">
        <v>291</v>
      </c>
      <c r="CL17" s="3" t="s">
        <v>294</v>
      </c>
      <c r="CM17" s="4">
        <v>10.3</v>
      </c>
      <c r="CN17" s="4">
        <v>12.831</v>
      </c>
      <c r="CO17" s="4">
        <v>13.385</v>
      </c>
      <c r="CP17" s="4">
        <v>3</v>
      </c>
      <c r="CQ17" s="3" t="s">
        <v>293</v>
      </c>
      <c r="CR17" s="3" t="s">
        <v>292</v>
      </c>
      <c r="CS17" s="4">
        <v>23.111999999999998</v>
      </c>
      <c r="CT17" s="4">
        <v>282.48899999999998</v>
      </c>
      <c r="CU17" s="4">
        <v>283.49700000000001</v>
      </c>
      <c r="CV17" s="4">
        <v>2</v>
      </c>
      <c r="CW17" s="3" t="s">
        <v>293</v>
      </c>
      <c r="CX17" s="3" t="s">
        <v>294</v>
      </c>
      <c r="CY17" s="4">
        <v>4.1369999999999996</v>
      </c>
      <c r="CZ17" s="4">
        <v>5.8970000000000002</v>
      </c>
      <c r="DA17" s="4">
        <v>8.65</v>
      </c>
      <c r="DB17" s="4">
        <v>2</v>
      </c>
      <c r="DC17" s="3" t="s">
        <v>295</v>
      </c>
      <c r="DD17" s="3" t="s">
        <v>296</v>
      </c>
      <c r="DE17" s="4">
        <v>6.2779999999999996</v>
      </c>
      <c r="DF17" s="4">
        <v>7.4690000000000003</v>
      </c>
      <c r="DG17" s="4">
        <v>8.5749999999999993</v>
      </c>
      <c r="DH17" s="4">
        <v>2</v>
      </c>
      <c r="DI17" s="3" t="s">
        <v>298</v>
      </c>
      <c r="DJ17" s="3" t="s">
        <v>294</v>
      </c>
      <c r="DK17" s="4">
        <v>100.30500000000001</v>
      </c>
      <c r="DL17" s="4">
        <v>102.44199999999999</v>
      </c>
      <c r="DM17" s="4">
        <v>103.28</v>
      </c>
      <c r="DN17" s="4">
        <v>3</v>
      </c>
      <c r="DO17" s="3" t="s">
        <v>291</v>
      </c>
      <c r="DP17" s="3" t="s">
        <v>294</v>
      </c>
      <c r="DQ17" s="4">
        <v>8.6609999999999996</v>
      </c>
      <c r="DR17" s="4">
        <v>10.090999999999999</v>
      </c>
      <c r="DS17" s="4">
        <v>10.445</v>
      </c>
      <c r="DT17" s="4">
        <v>3</v>
      </c>
      <c r="DU17" s="3" t="s">
        <v>293</v>
      </c>
      <c r="DV17" s="3" t="s">
        <v>294</v>
      </c>
      <c r="DW17" s="4">
        <v>8.702</v>
      </c>
      <c r="DX17" s="4">
        <v>10.135</v>
      </c>
      <c r="DY17" s="4">
        <v>10.666</v>
      </c>
      <c r="DZ17" s="4">
        <v>3</v>
      </c>
      <c r="EA17" s="3" t="s">
        <v>299</v>
      </c>
      <c r="EB17" s="3" t="s">
        <v>292</v>
      </c>
      <c r="EC17" s="4">
        <v>6.4749999999999996</v>
      </c>
      <c r="ED17" s="4">
        <v>8.5449999999999999</v>
      </c>
      <c r="EE17" s="4">
        <v>9.1050000000000004</v>
      </c>
      <c r="EF17" s="4">
        <v>3</v>
      </c>
      <c r="EG17" s="3" t="s">
        <v>295</v>
      </c>
      <c r="EH17" s="3" t="s">
        <v>294</v>
      </c>
      <c r="EI17" s="4">
        <v>6.6740000000000004</v>
      </c>
      <c r="EJ17" s="4">
        <v>7.89</v>
      </c>
      <c r="EK17" s="4">
        <v>8.6999999999999993</v>
      </c>
      <c r="EL17" s="4">
        <v>2</v>
      </c>
      <c r="EM17" s="3" t="s">
        <v>298</v>
      </c>
      <c r="EN17" s="3" t="s">
        <v>294</v>
      </c>
      <c r="EO17" s="4">
        <v>7.492</v>
      </c>
      <c r="EP17" s="4">
        <v>9.0969999999999995</v>
      </c>
      <c r="EQ17" s="4">
        <v>9.5630000000000006</v>
      </c>
      <c r="ER17" s="4">
        <v>2</v>
      </c>
      <c r="ES17" s="3" t="s">
        <v>291</v>
      </c>
      <c r="ET17" s="3" t="s">
        <v>292</v>
      </c>
      <c r="EU17" s="4">
        <v>8.0559999999999992</v>
      </c>
      <c r="EV17" s="4">
        <v>12.831</v>
      </c>
      <c r="EW17" s="4">
        <v>13.531000000000001</v>
      </c>
      <c r="EX17" s="4">
        <v>5</v>
      </c>
      <c r="EY17" s="3" t="s">
        <v>300</v>
      </c>
      <c r="EZ17" s="3" t="s">
        <v>294</v>
      </c>
      <c r="FA17" s="4">
        <v>4.7249999999999996</v>
      </c>
      <c r="FB17" s="4">
        <v>5.98</v>
      </c>
      <c r="FC17" s="4">
        <v>9.3819999999999997</v>
      </c>
      <c r="FD17" s="4">
        <v>2</v>
      </c>
      <c r="FE17" s="3" t="s">
        <v>301</v>
      </c>
      <c r="FF17" s="3" t="s">
        <v>294</v>
      </c>
      <c r="FG17" s="4">
        <v>10.599</v>
      </c>
      <c r="FH17" s="4">
        <v>15.473000000000001</v>
      </c>
      <c r="FI17" s="4">
        <v>16.378</v>
      </c>
      <c r="FJ17" s="4">
        <v>4</v>
      </c>
      <c r="FK17" s="3" t="s">
        <v>291</v>
      </c>
      <c r="FL17" s="3" t="s">
        <v>294</v>
      </c>
      <c r="FM17" s="4">
        <v>6.4729999999999999</v>
      </c>
      <c r="FN17" s="4">
        <v>7.7060000000000004</v>
      </c>
      <c r="FO17" s="4">
        <v>8.8840000000000003</v>
      </c>
      <c r="FP17" s="4">
        <v>2</v>
      </c>
      <c r="FQ17" s="3" t="s">
        <v>300</v>
      </c>
      <c r="FR17" s="3" t="s">
        <v>294</v>
      </c>
      <c r="FS17" s="4">
        <v>6.484</v>
      </c>
      <c r="FT17" s="4">
        <v>9.7390000000000008</v>
      </c>
      <c r="FU17" s="4">
        <v>10.472</v>
      </c>
      <c r="FV17" s="4">
        <v>2</v>
      </c>
      <c r="FW17" s="3" t="s">
        <v>301</v>
      </c>
      <c r="FX17" s="3" t="s">
        <v>296</v>
      </c>
      <c r="FY17" s="4">
        <v>5.7270000000000003</v>
      </c>
      <c r="FZ17" s="4">
        <v>7.8689999999999998</v>
      </c>
      <c r="GA17" s="4">
        <v>9.5519999999999996</v>
      </c>
      <c r="GB17" s="4">
        <v>2</v>
      </c>
      <c r="GC17" s="3" t="s">
        <v>291</v>
      </c>
      <c r="GD17" s="3" t="s">
        <v>294</v>
      </c>
      <c r="GE17" s="4">
        <v>6.07</v>
      </c>
      <c r="GF17" s="4">
        <v>7.516</v>
      </c>
      <c r="GG17" s="4">
        <v>8.6959999999999997</v>
      </c>
      <c r="GH17" s="4">
        <v>2</v>
      </c>
      <c r="GI17" s="3" t="s">
        <v>300</v>
      </c>
      <c r="GJ17" s="3" t="s">
        <v>294</v>
      </c>
      <c r="GK17" s="4">
        <v>5.58</v>
      </c>
      <c r="GL17" s="4">
        <v>7.0750000000000002</v>
      </c>
      <c r="GM17" s="4">
        <v>8.6820000000000004</v>
      </c>
      <c r="GN17" s="4">
        <v>2</v>
      </c>
      <c r="GO17" s="3" t="s">
        <v>301</v>
      </c>
      <c r="GP17" s="3" t="s">
        <v>292</v>
      </c>
      <c r="GQ17" s="4">
        <v>18.050999999999998</v>
      </c>
      <c r="GR17" s="4">
        <v>19.652000000000001</v>
      </c>
      <c r="GS17" s="4">
        <v>20.346</v>
      </c>
      <c r="GT17" s="4">
        <v>2</v>
      </c>
      <c r="GU17" s="3" t="s">
        <v>291</v>
      </c>
      <c r="GV17" s="3" t="s">
        <v>296</v>
      </c>
      <c r="GW17" s="4">
        <v>18.302</v>
      </c>
      <c r="GX17" s="4">
        <v>19.263999999999999</v>
      </c>
      <c r="GY17" s="4">
        <v>19.771999999999998</v>
      </c>
      <c r="GZ17" s="4">
        <v>2</v>
      </c>
      <c r="HA17" s="3" t="s">
        <v>300</v>
      </c>
      <c r="HB17" s="3" t="s">
        <v>294</v>
      </c>
      <c r="HC17" s="4">
        <v>5.2039999999999997</v>
      </c>
      <c r="HD17" s="4">
        <v>6.2839999999999998</v>
      </c>
      <c r="HE17" s="4">
        <v>8.6999999999999993</v>
      </c>
      <c r="HF17" s="4">
        <v>2</v>
      </c>
      <c r="HG17" s="3" t="s">
        <v>301</v>
      </c>
      <c r="HH17" s="3" t="s">
        <v>297</v>
      </c>
      <c r="HI17" s="4">
        <v>331.01499999999999</v>
      </c>
      <c r="HJ17" s="4">
        <v>333.05</v>
      </c>
      <c r="HK17" s="4">
        <v>334.22</v>
      </c>
      <c r="HL17" s="4">
        <v>3</v>
      </c>
      <c r="HM17" s="3" t="s">
        <v>487</v>
      </c>
      <c r="HN17" s="3" t="s">
        <v>488</v>
      </c>
      <c r="HO17" s="3" t="s">
        <v>489</v>
      </c>
      <c r="HP17" s="3" t="s">
        <v>489</v>
      </c>
      <c r="HQ17" s="3" t="s">
        <v>490</v>
      </c>
      <c r="HR17" s="3" t="s">
        <v>490</v>
      </c>
      <c r="HS17" s="3" t="s">
        <v>491</v>
      </c>
      <c r="HT17" s="3" t="s">
        <v>491</v>
      </c>
      <c r="HU17" s="3" t="s">
        <v>492</v>
      </c>
      <c r="HV17" s="3" t="s">
        <v>492</v>
      </c>
      <c r="HW17" s="3" t="s">
        <v>282</v>
      </c>
      <c r="HX17" s="3" t="s">
        <v>493</v>
      </c>
      <c r="HY17" s="3" t="s">
        <v>312</v>
      </c>
      <c r="HZ17" s="3" t="s">
        <v>356</v>
      </c>
      <c r="IA17" s="3" t="s">
        <v>313</v>
      </c>
      <c r="IB17" s="3" t="s">
        <v>282</v>
      </c>
      <c r="IC17" s="3" t="s">
        <v>282</v>
      </c>
    </row>
    <row r="18" spans="1:237" x14ac:dyDescent="0.2">
      <c r="A18" s="2">
        <v>45746.247604166667</v>
      </c>
      <c r="B18" s="2">
        <v>45746.268078703702</v>
      </c>
      <c r="C18" s="3" t="s">
        <v>240</v>
      </c>
      <c r="D18" s="3" t="s">
        <v>494</v>
      </c>
      <c r="E18" s="4">
        <v>100</v>
      </c>
      <c r="F18" s="4">
        <v>1768</v>
      </c>
      <c r="G18" s="3" t="s">
        <v>280</v>
      </c>
      <c r="H18" s="2">
        <v>45746.268085740739</v>
      </c>
      <c r="I18" s="3" t="s">
        <v>495</v>
      </c>
      <c r="J18" s="3" t="s">
        <v>282</v>
      </c>
      <c r="K18" s="3" t="s">
        <v>282</v>
      </c>
      <c r="L18" s="3" t="s">
        <v>282</v>
      </c>
      <c r="M18" s="3" t="s">
        <v>282</v>
      </c>
      <c r="N18" s="4">
        <v>51.045499999999997</v>
      </c>
      <c r="O18" s="4">
        <v>-114.19880000000001</v>
      </c>
      <c r="P18" s="3" t="s">
        <v>283</v>
      </c>
      <c r="Q18" s="3" t="s">
        <v>284</v>
      </c>
      <c r="R18" s="4">
        <v>0.40000000596046448</v>
      </c>
      <c r="S18" s="3" t="s">
        <v>285</v>
      </c>
      <c r="T18" s="3" t="s">
        <v>285</v>
      </c>
      <c r="U18" s="3" t="s">
        <v>285</v>
      </c>
      <c r="V18" s="3" t="s">
        <v>285</v>
      </c>
      <c r="W18" s="3" t="s">
        <v>496</v>
      </c>
      <c r="X18" s="3" t="s">
        <v>497</v>
      </c>
      <c r="Y18" s="3" t="s">
        <v>288</v>
      </c>
      <c r="Z18" s="3" t="s">
        <v>289</v>
      </c>
      <c r="AA18" s="3" t="s">
        <v>289</v>
      </c>
      <c r="AB18" s="3" t="s">
        <v>289</v>
      </c>
      <c r="AC18" s="3" t="s">
        <v>295</v>
      </c>
      <c r="AD18" s="3" t="s">
        <v>292</v>
      </c>
      <c r="AE18" s="4">
        <v>20.757000000000001</v>
      </c>
      <c r="AF18" s="4">
        <v>21.901</v>
      </c>
      <c r="AG18" s="4">
        <v>22.593</v>
      </c>
      <c r="AH18" s="4">
        <v>2</v>
      </c>
      <c r="AI18" s="3" t="s">
        <v>293</v>
      </c>
      <c r="AJ18" s="3" t="s">
        <v>296</v>
      </c>
      <c r="AK18" s="4">
        <v>9.3179999999999996</v>
      </c>
      <c r="AL18" s="4">
        <v>13.183</v>
      </c>
      <c r="AM18" s="4">
        <v>13.978999999999999</v>
      </c>
      <c r="AN18" s="4">
        <v>2</v>
      </c>
      <c r="AO18" s="3" t="s">
        <v>293</v>
      </c>
      <c r="AP18" s="3" t="s">
        <v>292</v>
      </c>
      <c r="AQ18" s="4">
        <v>12.727</v>
      </c>
      <c r="AR18" s="4">
        <v>16.757999999999999</v>
      </c>
      <c r="AS18" s="4">
        <v>17.451000000000001</v>
      </c>
      <c r="AT18" s="4">
        <v>2</v>
      </c>
      <c r="AU18" s="3" t="s">
        <v>295</v>
      </c>
      <c r="AV18" s="3" t="s">
        <v>296</v>
      </c>
      <c r="AW18" s="4">
        <v>17.059000000000001</v>
      </c>
      <c r="AX18" s="4">
        <v>20.427</v>
      </c>
      <c r="AY18" s="4">
        <v>21.5</v>
      </c>
      <c r="AZ18" s="4">
        <v>2</v>
      </c>
      <c r="BA18" s="3" t="s">
        <v>299</v>
      </c>
      <c r="BB18" s="3" t="s">
        <v>296</v>
      </c>
      <c r="BC18" s="4">
        <v>12.522</v>
      </c>
      <c r="BD18" s="4">
        <v>14.343</v>
      </c>
      <c r="BE18" s="4">
        <v>15.468</v>
      </c>
      <c r="BF18" s="4">
        <v>2</v>
      </c>
      <c r="BG18" s="3" t="s">
        <v>298</v>
      </c>
      <c r="BH18" s="3" t="s">
        <v>292</v>
      </c>
      <c r="BI18" s="4">
        <v>22.981999999999999</v>
      </c>
      <c r="BJ18" s="4">
        <v>24.420999999999999</v>
      </c>
      <c r="BK18" s="4">
        <v>25.338999999999999</v>
      </c>
      <c r="BL18" s="4">
        <v>2</v>
      </c>
      <c r="BM18" s="3" t="s">
        <v>299</v>
      </c>
      <c r="BN18" s="3" t="s">
        <v>292</v>
      </c>
      <c r="BO18" s="4">
        <v>11.861000000000001</v>
      </c>
      <c r="BP18" s="4">
        <v>13.941000000000001</v>
      </c>
      <c r="BQ18" s="4">
        <v>15.257</v>
      </c>
      <c r="BR18" s="4">
        <v>2</v>
      </c>
      <c r="BS18" s="3" t="s">
        <v>282</v>
      </c>
      <c r="BT18" s="3" t="s">
        <v>292</v>
      </c>
      <c r="BU18" s="4">
        <v>16.611000000000001</v>
      </c>
      <c r="BV18" s="4">
        <v>19.611000000000001</v>
      </c>
      <c r="BW18" s="4">
        <v>20.448</v>
      </c>
      <c r="BX18" s="4">
        <v>3</v>
      </c>
      <c r="BY18" s="3" t="s">
        <v>299</v>
      </c>
      <c r="BZ18" s="3" t="s">
        <v>296</v>
      </c>
      <c r="CA18" s="4">
        <v>18.074999999999999</v>
      </c>
      <c r="CB18" s="4">
        <v>20.187000000000001</v>
      </c>
      <c r="CC18" s="4">
        <v>21.591000000000001</v>
      </c>
      <c r="CD18" s="4">
        <v>2</v>
      </c>
      <c r="CE18" s="3" t="s">
        <v>295</v>
      </c>
      <c r="CF18" s="3" t="s">
        <v>292</v>
      </c>
      <c r="CG18" s="4">
        <v>18.018000000000001</v>
      </c>
      <c r="CH18" s="4">
        <v>19.587</v>
      </c>
      <c r="CI18" s="4">
        <v>20.375</v>
      </c>
      <c r="CJ18" s="4">
        <v>2</v>
      </c>
      <c r="CK18" s="3" t="s">
        <v>298</v>
      </c>
      <c r="CL18" s="3" t="s">
        <v>292</v>
      </c>
      <c r="CM18" s="4">
        <v>30.509</v>
      </c>
      <c r="CN18" s="4">
        <v>32.630000000000003</v>
      </c>
      <c r="CO18" s="4">
        <v>33.634999999999998</v>
      </c>
      <c r="CP18" s="4">
        <v>2</v>
      </c>
      <c r="CQ18" s="3" t="s">
        <v>293</v>
      </c>
      <c r="CR18" s="3" t="s">
        <v>296</v>
      </c>
      <c r="CS18" s="4">
        <v>14.122</v>
      </c>
      <c r="CT18" s="4">
        <v>15.45</v>
      </c>
      <c r="CU18" s="4">
        <v>16.239000000000001</v>
      </c>
      <c r="CV18" s="4">
        <v>2</v>
      </c>
      <c r="CW18" s="3" t="s">
        <v>282</v>
      </c>
      <c r="CX18" s="3" t="s">
        <v>292</v>
      </c>
      <c r="CY18" s="4">
        <v>4.9370000000000003</v>
      </c>
      <c r="CZ18" s="4">
        <v>25.939</v>
      </c>
      <c r="DA18" s="4">
        <v>27.039000000000001</v>
      </c>
      <c r="DB18" s="4">
        <v>3</v>
      </c>
      <c r="DC18" s="3" t="s">
        <v>291</v>
      </c>
      <c r="DD18" s="3" t="s">
        <v>296</v>
      </c>
      <c r="DE18" s="4">
        <v>30.074999999999999</v>
      </c>
      <c r="DF18" s="4">
        <v>41.546999999999997</v>
      </c>
      <c r="DG18" s="4">
        <v>42.847999999999999</v>
      </c>
      <c r="DH18" s="4">
        <v>2</v>
      </c>
      <c r="DI18" s="3" t="s">
        <v>298</v>
      </c>
      <c r="DJ18" s="3" t="s">
        <v>296</v>
      </c>
      <c r="DK18" s="4">
        <v>15.923</v>
      </c>
      <c r="DL18" s="4">
        <v>17.146999999999998</v>
      </c>
      <c r="DM18" s="4">
        <v>17.792000000000002</v>
      </c>
      <c r="DN18" s="4">
        <v>2</v>
      </c>
      <c r="DO18" s="3" t="s">
        <v>298</v>
      </c>
      <c r="DP18" s="3" t="s">
        <v>292</v>
      </c>
      <c r="DQ18" s="4">
        <v>14.597</v>
      </c>
      <c r="DR18" s="4">
        <v>15.733000000000001</v>
      </c>
      <c r="DS18" s="4">
        <v>16.713000000000001</v>
      </c>
      <c r="DT18" s="4">
        <v>2</v>
      </c>
      <c r="DU18" s="3" t="s">
        <v>299</v>
      </c>
      <c r="DV18" s="3" t="s">
        <v>292</v>
      </c>
      <c r="DW18" s="4">
        <v>12.611000000000001</v>
      </c>
      <c r="DX18" s="4">
        <v>15.698</v>
      </c>
      <c r="DY18" s="4">
        <v>16.446999999999999</v>
      </c>
      <c r="DZ18" s="4">
        <v>2</v>
      </c>
      <c r="EA18" s="3" t="s">
        <v>299</v>
      </c>
      <c r="EB18" s="3" t="s">
        <v>292</v>
      </c>
      <c r="EC18" s="4">
        <v>21.379000000000001</v>
      </c>
      <c r="ED18" s="4">
        <v>23.027000000000001</v>
      </c>
      <c r="EE18" s="4">
        <v>24.376000000000001</v>
      </c>
      <c r="EF18" s="4">
        <v>2</v>
      </c>
      <c r="EG18" s="3" t="s">
        <v>291</v>
      </c>
      <c r="EH18" s="3" t="s">
        <v>296</v>
      </c>
      <c r="EI18" s="4">
        <v>9.4719999999999995</v>
      </c>
      <c r="EJ18" s="4">
        <v>11.592000000000001</v>
      </c>
      <c r="EK18" s="4">
        <v>12.374000000000001</v>
      </c>
      <c r="EL18" s="4">
        <v>2</v>
      </c>
      <c r="EM18" s="3" t="s">
        <v>298</v>
      </c>
      <c r="EN18" s="3" t="s">
        <v>296</v>
      </c>
      <c r="EO18" s="4">
        <v>11.346</v>
      </c>
      <c r="EP18" s="4">
        <v>12.769</v>
      </c>
      <c r="EQ18" s="4">
        <v>13.461</v>
      </c>
      <c r="ER18" s="4">
        <v>2</v>
      </c>
      <c r="ES18" s="3" t="s">
        <v>301</v>
      </c>
      <c r="ET18" s="3" t="s">
        <v>292</v>
      </c>
      <c r="EU18" s="4">
        <v>29.783999999999999</v>
      </c>
      <c r="EV18" s="4">
        <v>41.097000000000001</v>
      </c>
      <c r="EW18" s="4">
        <v>41.975000000000001</v>
      </c>
      <c r="EX18" s="4">
        <v>3</v>
      </c>
      <c r="EY18" s="3" t="s">
        <v>300</v>
      </c>
      <c r="EZ18" s="3" t="s">
        <v>296</v>
      </c>
      <c r="FA18" s="4">
        <v>8.6760000000000002</v>
      </c>
      <c r="FB18" s="4">
        <v>10.571999999999999</v>
      </c>
      <c r="FC18" s="4">
        <v>11.823</v>
      </c>
      <c r="FD18" s="4">
        <v>2</v>
      </c>
      <c r="FE18" s="3" t="s">
        <v>282</v>
      </c>
      <c r="FF18" s="3" t="s">
        <v>297</v>
      </c>
      <c r="FG18" s="4">
        <v>31.335000000000001</v>
      </c>
      <c r="FH18" s="4">
        <v>32.655000000000001</v>
      </c>
      <c r="FI18" s="4">
        <v>33.46</v>
      </c>
      <c r="FJ18" s="4">
        <v>2</v>
      </c>
      <c r="FK18" s="3" t="s">
        <v>291</v>
      </c>
      <c r="FL18" s="3" t="s">
        <v>296</v>
      </c>
      <c r="FM18" s="4">
        <v>7.6360000000000001</v>
      </c>
      <c r="FN18" s="4">
        <v>9.8119999999999994</v>
      </c>
      <c r="FO18" s="4">
        <v>10.513999999999999</v>
      </c>
      <c r="FP18" s="4">
        <v>2</v>
      </c>
      <c r="FQ18" s="3" t="s">
        <v>300</v>
      </c>
      <c r="FR18" s="3" t="s">
        <v>296</v>
      </c>
      <c r="FS18" s="4">
        <v>17.727</v>
      </c>
      <c r="FT18" s="4">
        <v>19.399000000000001</v>
      </c>
      <c r="FU18" s="4">
        <v>20.234999999999999</v>
      </c>
      <c r="FV18" s="4">
        <v>2</v>
      </c>
      <c r="FW18" s="3" t="s">
        <v>301</v>
      </c>
      <c r="FX18" s="3" t="s">
        <v>296</v>
      </c>
      <c r="FY18" s="4">
        <v>12.298</v>
      </c>
      <c r="FZ18" s="4">
        <v>15.904999999999999</v>
      </c>
      <c r="GA18" s="4">
        <v>17.989000000000001</v>
      </c>
      <c r="GB18" s="4">
        <v>2</v>
      </c>
      <c r="GC18" s="3" t="s">
        <v>291</v>
      </c>
      <c r="GD18" s="3" t="s">
        <v>296</v>
      </c>
      <c r="GE18" s="4">
        <v>9.6539999999999999</v>
      </c>
      <c r="GF18" s="4">
        <v>11.782999999999999</v>
      </c>
      <c r="GG18" s="4">
        <v>12.539</v>
      </c>
      <c r="GH18" s="4">
        <v>2</v>
      </c>
      <c r="GI18" s="3" t="s">
        <v>300</v>
      </c>
      <c r="GJ18" s="3" t="s">
        <v>296</v>
      </c>
      <c r="GK18" s="4">
        <v>10.335000000000001</v>
      </c>
      <c r="GL18" s="4">
        <v>12.119</v>
      </c>
      <c r="GM18" s="4">
        <v>13.4</v>
      </c>
      <c r="GN18" s="4">
        <v>3</v>
      </c>
      <c r="GO18" s="3" t="s">
        <v>291</v>
      </c>
      <c r="GP18" s="3" t="s">
        <v>296</v>
      </c>
      <c r="GQ18" s="4">
        <v>15.522</v>
      </c>
      <c r="GR18" s="4">
        <v>17.280999999999999</v>
      </c>
      <c r="GS18" s="4">
        <v>18.023</v>
      </c>
      <c r="GT18" s="4">
        <v>2</v>
      </c>
      <c r="GU18" s="3" t="s">
        <v>291</v>
      </c>
      <c r="GV18" s="3" t="s">
        <v>296</v>
      </c>
      <c r="GW18" s="4">
        <v>16.791</v>
      </c>
      <c r="GX18" s="4">
        <v>18.638000000000002</v>
      </c>
      <c r="GY18" s="4">
        <v>19.475000000000001</v>
      </c>
      <c r="GZ18" s="4">
        <v>2</v>
      </c>
      <c r="HA18" s="3" t="s">
        <v>300</v>
      </c>
      <c r="HB18" s="3" t="s">
        <v>296</v>
      </c>
      <c r="HC18" s="4">
        <v>7.26</v>
      </c>
      <c r="HD18" s="4">
        <v>8.9719999999999995</v>
      </c>
      <c r="HE18" s="4">
        <v>9.7050000000000001</v>
      </c>
      <c r="HF18" s="4">
        <v>2</v>
      </c>
      <c r="HG18" s="3" t="s">
        <v>291</v>
      </c>
      <c r="HH18" s="3" t="s">
        <v>292</v>
      </c>
      <c r="HI18" s="4">
        <v>22.628</v>
      </c>
      <c r="HJ18" s="4">
        <v>23.748000000000001</v>
      </c>
      <c r="HK18" s="4">
        <v>24.545000000000002</v>
      </c>
      <c r="HL18" s="4">
        <v>2</v>
      </c>
      <c r="HM18" s="3" t="s">
        <v>498</v>
      </c>
      <c r="HN18" s="3" t="s">
        <v>499</v>
      </c>
      <c r="HO18" s="3" t="s">
        <v>500</v>
      </c>
      <c r="HP18" s="3" t="s">
        <v>501</v>
      </c>
      <c r="HQ18" s="3" t="s">
        <v>502</v>
      </c>
      <c r="HR18" s="3" t="s">
        <v>503</v>
      </c>
      <c r="HS18" s="3" t="s">
        <v>504</v>
      </c>
      <c r="HT18" s="3" t="s">
        <v>505</v>
      </c>
      <c r="HU18" s="3" t="s">
        <v>506</v>
      </c>
      <c r="HV18" s="3" t="s">
        <v>507</v>
      </c>
      <c r="HW18" s="3" t="s">
        <v>508</v>
      </c>
      <c r="HX18" s="3" t="s">
        <v>509</v>
      </c>
      <c r="HY18" s="3" t="s">
        <v>312</v>
      </c>
      <c r="HZ18" s="3" t="s">
        <v>372</v>
      </c>
      <c r="IA18" s="3" t="s">
        <v>325</v>
      </c>
      <c r="IB18" s="3" t="s">
        <v>282</v>
      </c>
      <c r="IC18" s="3" t="s">
        <v>282</v>
      </c>
    </row>
    <row r="19" spans="1:237" x14ac:dyDescent="0.2">
      <c r="A19" s="2">
        <v>45747.529016203705</v>
      </c>
      <c r="B19" s="2">
        <v>45747.541574074072</v>
      </c>
      <c r="C19" s="3" t="s">
        <v>240</v>
      </c>
      <c r="D19" s="3" t="s">
        <v>510</v>
      </c>
      <c r="E19" s="4">
        <v>100</v>
      </c>
      <c r="F19" s="4">
        <v>1084</v>
      </c>
      <c r="G19" s="3" t="s">
        <v>280</v>
      </c>
      <c r="H19" s="2">
        <v>45747.541588437503</v>
      </c>
      <c r="I19" s="3" t="s">
        <v>511</v>
      </c>
      <c r="J19" s="3" t="s">
        <v>282</v>
      </c>
      <c r="K19" s="3" t="s">
        <v>282</v>
      </c>
      <c r="L19" s="3" t="s">
        <v>282</v>
      </c>
      <c r="M19" s="3" t="s">
        <v>282</v>
      </c>
      <c r="N19" s="4">
        <v>37.338799999999999</v>
      </c>
      <c r="O19" s="4">
        <v>-121.8916</v>
      </c>
      <c r="P19" s="3" t="s">
        <v>283</v>
      </c>
      <c r="Q19" s="3" t="s">
        <v>284</v>
      </c>
      <c r="R19" s="4">
        <v>0.89999997615814209</v>
      </c>
      <c r="S19" s="3" t="s">
        <v>285</v>
      </c>
      <c r="T19" s="3" t="s">
        <v>285</v>
      </c>
      <c r="U19" s="3" t="s">
        <v>285</v>
      </c>
      <c r="V19" s="3" t="s">
        <v>285</v>
      </c>
      <c r="W19" s="3" t="s">
        <v>412</v>
      </c>
      <c r="X19" s="3" t="s">
        <v>328</v>
      </c>
      <c r="Y19" s="3" t="s">
        <v>288</v>
      </c>
      <c r="Z19" s="3" t="s">
        <v>289</v>
      </c>
      <c r="AA19" s="3" t="s">
        <v>289</v>
      </c>
      <c r="AB19" s="3" t="s">
        <v>317</v>
      </c>
      <c r="AC19" s="3" t="s">
        <v>291</v>
      </c>
      <c r="AD19" s="3" t="s">
        <v>292</v>
      </c>
      <c r="AE19" s="4">
        <v>10.695</v>
      </c>
      <c r="AF19" s="4">
        <v>15.537000000000001</v>
      </c>
      <c r="AG19" s="4">
        <v>16.344000000000001</v>
      </c>
      <c r="AH19" s="4">
        <v>4</v>
      </c>
      <c r="AI19" s="3" t="s">
        <v>293</v>
      </c>
      <c r="AJ19" s="3" t="s">
        <v>294</v>
      </c>
      <c r="AK19" s="4">
        <v>6.2030000000000003</v>
      </c>
      <c r="AL19" s="4">
        <v>9.8559999999999999</v>
      </c>
      <c r="AM19" s="4">
        <v>10.648</v>
      </c>
      <c r="AN19" s="4">
        <v>2</v>
      </c>
      <c r="AO19" s="3" t="s">
        <v>293</v>
      </c>
      <c r="AP19" s="3" t="s">
        <v>294</v>
      </c>
      <c r="AQ19" s="4">
        <v>11.62</v>
      </c>
      <c r="AR19" s="4">
        <v>14.714</v>
      </c>
      <c r="AS19" s="4">
        <v>15.49</v>
      </c>
      <c r="AT19" s="4">
        <v>3</v>
      </c>
      <c r="AU19" s="3" t="s">
        <v>295</v>
      </c>
      <c r="AV19" s="3" t="s">
        <v>292</v>
      </c>
      <c r="AW19" s="4">
        <v>12.997</v>
      </c>
      <c r="AX19" s="4">
        <v>16.027000000000001</v>
      </c>
      <c r="AY19" s="4">
        <v>17.678999999999998</v>
      </c>
      <c r="AZ19" s="4">
        <v>3</v>
      </c>
      <c r="BA19" s="3" t="s">
        <v>295</v>
      </c>
      <c r="BB19" s="3" t="s">
        <v>297</v>
      </c>
      <c r="BC19" s="4">
        <v>13.738</v>
      </c>
      <c r="BD19" s="4">
        <v>15.932</v>
      </c>
      <c r="BE19" s="4">
        <v>17.597999999999999</v>
      </c>
      <c r="BF19" s="4">
        <v>2</v>
      </c>
      <c r="BG19" s="3" t="s">
        <v>291</v>
      </c>
      <c r="BH19" s="3" t="s">
        <v>297</v>
      </c>
      <c r="BI19" s="4">
        <v>18.298999999999999</v>
      </c>
      <c r="BJ19" s="4">
        <v>20.346</v>
      </c>
      <c r="BK19" s="4">
        <v>21.672999999999998</v>
      </c>
      <c r="BL19" s="4">
        <v>2</v>
      </c>
      <c r="BM19" s="3" t="s">
        <v>293</v>
      </c>
      <c r="BN19" s="3" t="s">
        <v>294</v>
      </c>
      <c r="BO19" s="4">
        <v>10.337999999999999</v>
      </c>
      <c r="BP19" s="4">
        <v>14.933999999999999</v>
      </c>
      <c r="BQ19" s="4">
        <v>18.907</v>
      </c>
      <c r="BR19" s="4">
        <v>3</v>
      </c>
      <c r="BS19" s="3" t="s">
        <v>298</v>
      </c>
      <c r="BT19" s="3" t="s">
        <v>297</v>
      </c>
      <c r="BU19" s="4">
        <v>14.327999999999999</v>
      </c>
      <c r="BV19" s="4">
        <v>16.920000000000002</v>
      </c>
      <c r="BW19" s="4">
        <v>18.222999999999999</v>
      </c>
      <c r="BX19" s="4">
        <v>2</v>
      </c>
      <c r="BY19" s="3" t="s">
        <v>295</v>
      </c>
      <c r="BZ19" s="3" t="s">
        <v>292</v>
      </c>
      <c r="CA19" s="4">
        <v>11.109</v>
      </c>
      <c r="CB19" s="4">
        <v>15.891999999999999</v>
      </c>
      <c r="CC19" s="4">
        <v>17.896000000000001</v>
      </c>
      <c r="CD19" s="4">
        <v>2</v>
      </c>
      <c r="CE19" s="3" t="s">
        <v>298</v>
      </c>
      <c r="CF19" s="3" t="s">
        <v>297</v>
      </c>
      <c r="CG19" s="4">
        <v>12.773</v>
      </c>
      <c r="CH19" s="4">
        <v>15.315</v>
      </c>
      <c r="CI19" s="4">
        <v>16.626999999999999</v>
      </c>
      <c r="CJ19" s="4">
        <v>2</v>
      </c>
      <c r="CK19" s="3" t="s">
        <v>291</v>
      </c>
      <c r="CL19" s="3" t="s">
        <v>292</v>
      </c>
      <c r="CM19" s="4">
        <v>9.0760000000000005</v>
      </c>
      <c r="CN19" s="4">
        <v>10.688000000000001</v>
      </c>
      <c r="CO19" s="4">
        <v>11.534000000000001</v>
      </c>
      <c r="CP19" s="4">
        <v>2</v>
      </c>
      <c r="CQ19" s="3" t="s">
        <v>293</v>
      </c>
      <c r="CR19" s="3" t="s">
        <v>294</v>
      </c>
      <c r="CS19" s="4">
        <v>10.259</v>
      </c>
      <c r="CT19" s="4">
        <v>13.371</v>
      </c>
      <c r="CU19" s="4">
        <v>14.141999999999999</v>
      </c>
      <c r="CV19" s="4">
        <v>2</v>
      </c>
      <c r="CW19" s="3" t="s">
        <v>298</v>
      </c>
      <c r="CX19" s="3" t="s">
        <v>297</v>
      </c>
      <c r="CY19" s="4">
        <v>9.0410000000000004</v>
      </c>
      <c r="CZ19" s="4">
        <v>10.022</v>
      </c>
      <c r="DA19" s="4">
        <v>11.669</v>
      </c>
      <c r="DB19" s="4">
        <v>2</v>
      </c>
      <c r="DC19" s="3" t="s">
        <v>298</v>
      </c>
      <c r="DD19" s="3" t="s">
        <v>297</v>
      </c>
      <c r="DE19" s="4">
        <v>9.5009999999999994</v>
      </c>
      <c r="DF19" s="4">
        <v>11.092000000000001</v>
      </c>
      <c r="DG19" s="4">
        <v>12.448</v>
      </c>
      <c r="DH19" s="4">
        <v>3</v>
      </c>
      <c r="DI19" s="3" t="s">
        <v>291</v>
      </c>
      <c r="DJ19" s="3" t="s">
        <v>294</v>
      </c>
      <c r="DK19" s="4">
        <v>5.8630000000000004</v>
      </c>
      <c r="DL19" s="4">
        <v>9.9689999999999994</v>
      </c>
      <c r="DM19" s="4">
        <v>11.903</v>
      </c>
      <c r="DN19" s="4">
        <v>3</v>
      </c>
      <c r="DO19" s="3" t="s">
        <v>295</v>
      </c>
      <c r="DP19" s="3" t="s">
        <v>297</v>
      </c>
      <c r="DQ19" s="4">
        <v>15.212999999999999</v>
      </c>
      <c r="DR19" s="4">
        <v>16.673999999999999</v>
      </c>
      <c r="DS19" s="4">
        <v>17.783999999999999</v>
      </c>
      <c r="DT19" s="4">
        <v>2</v>
      </c>
      <c r="DU19" s="3" t="s">
        <v>293</v>
      </c>
      <c r="DV19" s="3" t="s">
        <v>294</v>
      </c>
      <c r="DW19" s="4">
        <v>8.5190000000000001</v>
      </c>
      <c r="DX19" s="4">
        <v>17.347000000000001</v>
      </c>
      <c r="DY19" s="4">
        <v>18.327000000000002</v>
      </c>
      <c r="DZ19" s="4">
        <v>4</v>
      </c>
      <c r="EA19" s="3" t="s">
        <v>299</v>
      </c>
      <c r="EB19" s="3" t="s">
        <v>296</v>
      </c>
      <c r="EC19" s="4">
        <v>7.383</v>
      </c>
      <c r="ED19" s="4">
        <v>13.071</v>
      </c>
      <c r="EE19" s="4">
        <v>13.959</v>
      </c>
      <c r="EF19" s="4">
        <v>2</v>
      </c>
      <c r="EG19" s="3" t="s">
        <v>298</v>
      </c>
      <c r="EH19" s="3" t="s">
        <v>297</v>
      </c>
      <c r="EI19" s="4">
        <v>12.331</v>
      </c>
      <c r="EJ19" s="4">
        <v>28.202000000000002</v>
      </c>
      <c r="EK19" s="4">
        <v>29.013000000000002</v>
      </c>
      <c r="EL19" s="4">
        <v>3</v>
      </c>
      <c r="EM19" s="3" t="s">
        <v>291</v>
      </c>
      <c r="EN19" s="3" t="s">
        <v>296</v>
      </c>
      <c r="EO19" s="4">
        <v>10.569000000000001</v>
      </c>
      <c r="EP19" s="4">
        <v>13.082000000000001</v>
      </c>
      <c r="EQ19" s="4">
        <v>14.31</v>
      </c>
      <c r="ER19" s="4">
        <v>2</v>
      </c>
      <c r="ES19" s="3" t="s">
        <v>282</v>
      </c>
      <c r="ET19" s="3" t="s">
        <v>292</v>
      </c>
      <c r="EU19" s="4">
        <v>17.209</v>
      </c>
      <c r="EV19" s="4">
        <v>18.535</v>
      </c>
      <c r="EW19" s="4">
        <v>19.559999999999999</v>
      </c>
      <c r="EX19" s="4">
        <v>2</v>
      </c>
      <c r="EY19" s="3" t="s">
        <v>300</v>
      </c>
      <c r="EZ19" s="3" t="s">
        <v>296</v>
      </c>
      <c r="FA19" s="4">
        <v>26.094000000000001</v>
      </c>
      <c r="FB19" s="4">
        <v>34.558</v>
      </c>
      <c r="FC19" s="4">
        <v>35.256999999999998</v>
      </c>
      <c r="FD19" s="4">
        <v>2</v>
      </c>
      <c r="FE19" s="3" t="s">
        <v>282</v>
      </c>
      <c r="FF19" s="3" t="s">
        <v>292</v>
      </c>
      <c r="FG19" s="4">
        <v>8.2910000000000004</v>
      </c>
      <c r="FH19" s="4">
        <v>22.172999999999998</v>
      </c>
      <c r="FI19" s="4">
        <v>23.635000000000002</v>
      </c>
      <c r="FJ19" s="4">
        <v>3</v>
      </c>
      <c r="FK19" s="3" t="s">
        <v>291</v>
      </c>
      <c r="FL19" s="3" t="s">
        <v>296</v>
      </c>
      <c r="FM19" s="4">
        <v>6.3259999999999996</v>
      </c>
      <c r="FN19" s="4">
        <v>7.2869999999999999</v>
      </c>
      <c r="FO19" s="4">
        <v>8.8010000000000002</v>
      </c>
      <c r="FP19" s="4">
        <v>2</v>
      </c>
      <c r="FQ19" s="3" t="s">
        <v>300</v>
      </c>
      <c r="FR19" s="3" t="s">
        <v>296</v>
      </c>
      <c r="FS19" s="4">
        <v>5.41</v>
      </c>
      <c r="FT19" s="4">
        <v>6.694</v>
      </c>
      <c r="FU19" s="4">
        <v>8.6809999999999992</v>
      </c>
      <c r="FV19" s="4">
        <v>2</v>
      </c>
      <c r="FW19" s="3" t="s">
        <v>282</v>
      </c>
      <c r="FX19" s="3" t="s">
        <v>292</v>
      </c>
      <c r="FY19" s="4">
        <v>7.1689999999999996</v>
      </c>
      <c r="FZ19" s="4">
        <v>9.9269999999999996</v>
      </c>
      <c r="GA19" s="4">
        <v>10.742000000000001</v>
      </c>
      <c r="GB19" s="4">
        <v>2</v>
      </c>
      <c r="GC19" s="3" t="s">
        <v>291</v>
      </c>
      <c r="GD19" s="3" t="s">
        <v>292</v>
      </c>
      <c r="GE19" s="4">
        <v>6.2569999999999997</v>
      </c>
      <c r="GF19" s="4">
        <v>7.76</v>
      </c>
      <c r="GG19" s="4">
        <v>9.1509999999999998</v>
      </c>
      <c r="GH19" s="4">
        <v>2</v>
      </c>
      <c r="GI19" s="3" t="s">
        <v>300</v>
      </c>
      <c r="GJ19" s="3" t="s">
        <v>296</v>
      </c>
      <c r="GK19" s="4">
        <v>5.3010000000000002</v>
      </c>
      <c r="GL19" s="4">
        <v>10.326000000000001</v>
      </c>
      <c r="GM19" s="4">
        <v>11.138999999999999</v>
      </c>
      <c r="GN19" s="4">
        <v>2</v>
      </c>
      <c r="GO19" s="3" t="s">
        <v>301</v>
      </c>
      <c r="GP19" s="3" t="s">
        <v>297</v>
      </c>
      <c r="GQ19" s="4">
        <v>7.4669999999999996</v>
      </c>
      <c r="GR19" s="4">
        <v>8.4640000000000004</v>
      </c>
      <c r="GS19" s="4">
        <v>9.5489999999999995</v>
      </c>
      <c r="GT19" s="4">
        <v>2</v>
      </c>
      <c r="GU19" s="3" t="s">
        <v>291</v>
      </c>
      <c r="GV19" s="3" t="s">
        <v>296</v>
      </c>
      <c r="GW19" s="4">
        <v>4.7720000000000002</v>
      </c>
      <c r="GX19" s="4">
        <v>7.0540000000000003</v>
      </c>
      <c r="GY19" s="4">
        <v>8.7680000000000007</v>
      </c>
      <c r="GZ19" s="4">
        <v>2</v>
      </c>
      <c r="HA19" s="3" t="s">
        <v>300</v>
      </c>
      <c r="HB19" s="3" t="s">
        <v>296</v>
      </c>
      <c r="HC19" s="4">
        <v>9.3230000000000004</v>
      </c>
      <c r="HD19" s="4">
        <v>10.590999999999999</v>
      </c>
      <c r="HE19" s="4">
        <v>11.28</v>
      </c>
      <c r="HF19" s="4">
        <v>2</v>
      </c>
      <c r="HG19" s="3" t="s">
        <v>301</v>
      </c>
      <c r="HH19" s="3" t="s">
        <v>292</v>
      </c>
      <c r="HI19" s="4">
        <v>10.619</v>
      </c>
      <c r="HJ19" s="4">
        <v>12.17</v>
      </c>
      <c r="HK19" s="4">
        <v>12.879</v>
      </c>
      <c r="HL19" s="4">
        <v>2</v>
      </c>
      <c r="HM19" s="3" t="s">
        <v>512</v>
      </c>
      <c r="HN19" s="3" t="s">
        <v>512</v>
      </c>
      <c r="HO19" s="3" t="s">
        <v>513</v>
      </c>
      <c r="HP19" s="3" t="s">
        <v>513</v>
      </c>
      <c r="HQ19" s="3" t="s">
        <v>514</v>
      </c>
      <c r="HR19" s="3" t="s">
        <v>515</v>
      </c>
      <c r="HS19" s="3" t="s">
        <v>516</v>
      </c>
      <c r="HT19" s="3" t="s">
        <v>517</v>
      </c>
      <c r="HU19" s="3" t="s">
        <v>518</v>
      </c>
      <c r="HV19" s="3" t="s">
        <v>519</v>
      </c>
      <c r="HW19" s="3" t="s">
        <v>520</v>
      </c>
      <c r="HX19" s="3" t="s">
        <v>282</v>
      </c>
      <c r="HY19" s="3" t="s">
        <v>312</v>
      </c>
      <c r="HZ19" s="3" t="s">
        <v>372</v>
      </c>
      <c r="IA19" s="3" t="s">
        <v>325</v>
      </c>
      <c r="IB19" s="3" t="s">
        <v>282</v>
      </c>
      <c r="IC19" s="3" t="s">
        <v>282</v>
      </c>
    </row>
    <row r="20" spans="1:237" x14ac:dyDescent="0.2">
      <c r="A20" s="2">
        <v>45747.673657407409</v>
      </c>
      <c r="B20" s="2">
        <v>45747.691342592596</v>
      </c>
      <c r="C20" s="3" t="s">
        <v>240</v>
      </c>
      <c r="D20" s="3" t="s">
        <v>521</v>
      </c>
      <c r="E20" s="4">
        <v>100</v>
      </c>
      <c r="F20" s="4">
        <v>1527</v>
      </c>
      <c r="G20" s="3" t="s">
        <v>280</v>
      </c>
      <c r="H20" s="2">
        <v>45747.691361134261</v>
      </c>
      <c r="I20" s="3" t="s">
        <v>522</v>
      </c>
      <c r="J20" s="3" t="s">
        <v>282</v>
      </c>
      <c r="K20" s="3" t="s">
        <v>282</v>
      </c>
      <c r="L20" s="3" t="s">
        <v>282</v>
      </c>
      <c r="M20" s="3" t="s">
        <v>282</v>
      </c>
      <c r="N20" s="4">
        <v>-37.815899999999999</v>
      </c>
      <c r="O20" s="4">
        <v>144.96690000000001</v>
      </c>
      <c r="P20" s="3" t="s">
        <v>283</v>
      </c>
      <c r="Q20" s="3" t="s">
        <v>284</v>
      </c>
      <c r="R20" s="4">
        <v>0.89999997615814209</v>
      </c>
      <c r="S20" s="3" t="s">
        <v>285</v>
      </c>
      <c r="T20" s="3" t="s">
        <v>285</v>
      </c>
      <c r="U20" s="3" t="s">
        <v>285</v>
      </c>
      <c r="V20" s="3" t="s">
        <v>285</v>
      </c>
      <c r="W20" s="3" t="s">
        <v>286</v>
      </c>
      <c r="X20" s="3" t="s">
        <v>523</v>
      </c>
      <c r="Y20" s="3" t="s">
        <v>288</v>
      </c>
      <c r="Z20" s="3" t="s">
        <v>317</v>
      </c>
      <c r="AA20" s="3" t="s">
        <v>290</v>
      </c>
      <c r="AB20" s="3" t="s">
        <v>317</v>
      </c>
      <c r="AC20" s="3" t="s">
        <v>291</v>
      </c>
      <c r="AD20" s="3" t="s">
        <v>292</v>
      </c>
      <c r="AE20" s="4">
        <v>19.213000000000001</v>
      </c>
      <c r="AF20" s="4">
        <v>27.257000000000001</v>
      </c>
      <c r="AG20" s="4">
        <v>28.189</v>
      </c>
      <c r="AH20" s="4">
        <v>2</v>
      </c>
      <c r="AI20" s="3" t="s">
        <v>299</v>
      </c>
      <c r="AJ20" s="3" t="s">
        <v>296</v>
      </c>
      <c r="AK20" s="4">
        <v>10.441000000000001</v>
      </c>
      <c r="AL20" s="4">
        <v>11.797000000000001</v>
      </c>
      <c r="AM20" s="4">
        <v>12.898</v>
      </c>
      <c r="AN20" s="4">
        <v>2</v>
      </c>
      <c r="AO20" s="3" t="s">
        <v>293</v>
      </c>
      <c r="AP20" s="3" t="s">
        <v>292</v>
      </c>
      <c r="AQ20" s="4">
        <v>9.8550000000000004</v>
      </c>
      <c r="AR20" s="4">
        <v>12.239000000000001</v>
      </c>
      <c r="AS20" s="4">
        <v>13.298</v>
      </c>
      <c r="AT20" s="4">
        <v>2</v>
      </c>
      <c r="AU20" s="3" t="s">
        <v>295</v>
      </c>
      <c r="AV20" s="3" t="s">
        <v>292</v>
      </c>
      <c r="AW20" s="4">
        <v>11.991</v>
      </c>
      <c r="AX20" s="4">
        <v>13.601000000000001</v>
      </c>
      <c r="AY20" s="4">
        <v>15.16</v>
      </c>
      <c r="AZ20" s="4">
        <v>2</v>
      </c>
      <c r="BA20" s="3" t="s">
        <v>298</v>
      </c>
      <c r="BB20" s="3" t="s">
        <v>292</v>
      </c>
      <c r="BC20" s="4">
        <v>14.85</v>
      </c>
      <c r="BD20" s="4">
        <v>16.582999999999998</v>
      </c>
      <c r="BE20" s="4">
        <v>17.623000000000001</v>
      </c>
      <c r="BF20" s="4">
        <v>2</v>
      </c>
      <c r="BG20" s="3" t="s">
        <v>291</v>
      </c>
      <c r="BH20" s="3" t="s">
        <v>292</v>
      </c>
      <c r="BI20" s="4">
        <v>11.661</v>
      </c>
      <c r="BJ20" s="4">
        <v>14.179</v>
      </c>
      <c r="BK20" s="4">
        <v>15.476000000000001</v>
      </c>
      <c r="BL20" s="4">
        <v>2</v>
      </c>
      <c r="BM20" s="3" t="s">
        <v>293</v>
      </c>
      <c r="BN20" s="3" t="s">
        <v>296</v>
      </c>
      <c r="BO20" s="4">
        <v>9.843</v>
      </c>
      <c r="BP20" s="4">
        <v>11.374000000000001</v>
      </c>
      <c r="BQ20" s="4">
        <v>12.272</v>
      </c>
      <c r="BR20" s="4">
        <v>2</v>
      </c>
      <c r="BS20" s="3" t="s">
        <v>291</v>
      </c>
      <c r="BT20" s="3" t="s">
        <v>292</v>
      </c>
      <c r="BU20" s="4">
        <v>10.202</v>
      </c>
      <c r="BV20" s="4">
        <v>12.007</v>
      </c>
      <c r="BW20" s="4">
        <v>12.851000000000001</v>
      </c>
      <c r="BX20" s="4">
        <v>2</v>
      </c>
      <c r="BY20" s="3" t="s">
        <v>298</v>
      </c>
      <c r="BZ20" s="3" t="s">
        <v>292</v>
      </c>
      <c r="CA20" s="4">
        <v>8.5030000000000001</v>
      </c>
      <c r="CB20" s="4">
        <v>11.731999999999999</v>
      </c>
      <c r="CC20" s="4">
        <v>12.976000000000001</v>
      </c>
      <c r="CD20" s="4">
        <v>2</v>
      </c>
      <c r="CE20" s="3" t="s">
        <v>299</v>
      </c>
      <c r="CF20" s="3" t="s">
        <v>292</v>
      </c>
      <c r="CG20" s="4">
        <v>14.597</v>
      </c>
      <c r="CH20" s="4">
        <v>16.047999999999998</v>
      </c>
      <c r="CI20" s="4">
        <v>17.594000000000001</v>
      </c>
      <c r="CJ20" s="4">
        <v>2</v>
      </c>
      <c r="CK20" s="3" t="s">
        <v>291</v>
      </c>
      <c r="CL20" s="3" t="s">
        <v>292</v>
      </c>
      <c r="CM20" s="4">
        <v>11.44</v>
      </c>
      <c r="CN20" s="4">
        <v>13.315</v>
      </c>
      <c r="CO20" s="4">
        <v>14.744</v>
      </c>
      <c r="CP20" s="4">
        <v>2</v>
      </c>
      <c r="CQ20" s="3" t="s">
        <v>293</v>
      </c>
      <c r="CR20" s="3" t="s">
        <v>296</v>
      </c>
      <c r="CS20" s="4">
        <v>8.2609999999999992</v>
      </c>
      <c r="CT20" s="4">
        <v>11.648</v>
      </c>
      <c r="CU20" s="4">
        <v>14.523999999999999</v>
      </c>
      <c r="CV20" s="4">
        <v>2</v>
      </c>
      <c r="CW20" s="3" t="s">
        <v>291</v>
      </c>
      <c r="CX20" s="3" t="s">
        <v>292</v>
      </c>
      <c r="CY20" s="4">
        <v>11.795</v>
      </c>
      <c r="CZ20" s="4">
        <v>13.224</v>
      </c>
      <c r="DA20" s="4">
        <v>14.381</v>
      </c>
      <c r="DB20" s="4">
        <v>2</v>
      </c>
      <c r="DC20" s="3" t="s">
        <v>299</v>
      </c>
      <c r="DD20" s="3" t="s">
        <v>296</v>
      </c>
      <c r="DE20" s="4">
        <v>8.6419999999999995</v>
      </c>
      <c r="DF20" s="4">
        <v>12.464</v>
      </c>
      <c r="DG20" s="4">
        <v>13.973000000000001</v>
      </c>
      <c r="DH20" s="4">
        <v>2</v>
      </c>
      <c r="DI20" s="3" t="s">
        <v>291</v>
      </c>
      <c r="DJ20" s="3" t="s">
        <v>296</v>
      </c>
      <c r="DK20" s="4">
        <v>8.1460000000000008</v>
      </c>
      <c r="DL20" s="4">
        <v>10.087999999999999</v>
      </c>
      <c r="DM20" s="4">
        <v>11.247</v>
      </c>
      <c r="DN20" s="4">
        <v>2</v>
      </c>
      <c r="DO20" s="3" t="s">
        <v>291</v>
      </c>
      <c r="DP20" s="3" t="s">
        <v>292</v>
      </c>
      <c r="DQ20" s="4">
        <v>8.8569999999999993</v>
      </c>
      <c r="DR20" s="4">
        <v>11.086</v>
      </c>
      <c r="DS20" s="4">
        <v>12.35</v>
      </c>
      <c r="DT20" s="4">
        <v>2</v>
      </c>
      <c r="DU20" s="3" t="s">
        <v>293</v>
      </c>
      <c r="DV20" s="3" t="s">
        <v>296</v>
      </c>
      <c r="DW20" s="4">
        <v>6.1479999999999997</v>
      </c>
      <c r="DX20" s="4">
        <v>9.33</v>
      </c>
      <c r="DY20" s="4">
        <v>10.608000000000001</v>
      </c>
      <c r="DZ20" s="4">
        <v>2</v>
      </c>
      <c r="EA20" s="3" t="s">
        <v>299</v>
      </c>
      <c r="EB20" s="3" t="s">
        <v>296</v>
      </c>
      <c r="EC20" s="4">
        <v>16.466999999999999</v>
      </c>
      <c r="ED20" s="4">
        <v>19.64</v>
      </c>
      <c r="EE20" s="4">
        <v>20.907</v>
      </c>
      <c r="EF20" s="4">
        <v>2</v>
      </c>
      <c r="EG20" s="3" t="s">
        <v>298</v>
      </c>
      <c r="EH20" s="3" t="s">
        <v>292</v>
      </c>
      <c r="EI20" s="4">
        <v>11.962</v>
      </c>
      <c r="EJ20" s="4">
        <v>13.561999999999999</v>
      </c>
      <c r="EK20" s="4">
        <v>14.775</v>
      </c>
      <c r="EL20" s="4">
        <v>2</v>
      </c>
      <c r="EM20" s="3" t="s">
        <v>299</v>
      </c>
      <c r="EN20" s="3" t="s">
        <v>296</v>
      </c>
      <c r="EO20" s="4">
        <v>12.23</v>
      </c>
      <c r="EP20" s="4">
        <v>14.042999999999999</v>
      </c>
      <c r="EQ20" s="4">
        <v>15.465</v>
      </c>
      <c r="ER20" s="4">
        <v>2</v>
      </c>
      <c r="ES20" s="3" t="s">
        <v>291</v>
      </c>
      <c r="ET20" s="3" t="s">
        <v>292</v>
      </c>
      <c r="EU20" s="4">
        <v>14.468999999999999</v>
      </c>
      <c r="EV20" s="4">
        <v>16.009</v>
      </c>
      <c r="EW20" s="4">
        <v>17.068999999999999</v>
      </c>
      <c r="EX20" s="4">
        <v>2</v>
      </c>
      <c r="EY20" s="3" t="s">
        <v>300</v>
      </c>
      <c r="EZ20" s="3" t="s">
        <v>292</v>
      </c>
      <c r="FA20" s="4">
        <v>12.651999999999999</v>
      </c>
      <c r="FB20" s="4">
        <v>14.994999999999999</v>
      </c>
      <c r="FC20" s="4">
        <v>16.594000000000001</v>
      </c>
      <c r="FD20" s="4">
        <v>2</v>
      </c>
      <c r="FE20" s="3" t="s">
        <v>301</v>
      </c>
      <c r="FF20" s="3" t="s">
        <v>292</v>
      </c>
      <c r="FG20" s="4">
        <v>11.867000000000001</v>
      </c>
      <c r="FH20" s="4">
        <v>13.869</v>
      </c>
      <c r="FI20" s="4">
        <v>15.302</v>
      </c>
      <c r="FJ20" s="4">
        <v>2</v>
      </c>
      <c r="FK20" s="3" t="s">
        <v>291</v>
      </c>
      <c r="FL20" s="3" t="s">
        <v>292</v>
      </c>
      <c r="FM20" s="4">
        <v>11.487</v>
      </c>
      <c r="FN20" s="4">
        <v>13.898999999999999</v>
      </c>
      <c r="FO20" s="4">
        <v>15.276</v>
      </c>
      <c r="FP20" s="4">
        <v>2</v>
      </c>
      <c r="FQ20" s="3" t="s">
        <v>300</v>
      </c>
      <c r="FR20" s="3" t="s">
        <v>296</v>
      </c>
      <c r="FS20" s="4">
        <v>5.867</v>
      </c>
      <c r="FT20" s="4">
        <v>7.98</v>
      </c>
      <c r="FU20" s="4">
        <v>9.2379999999999995</v>
      </c>
      <c r="FV20" s="4">
        <v>2</v>
      </c>
      <c r="FW20" s="3" t="s">
        <v>301</v>
      </c>
      <c r="FX20" s="3" t="s">
        <v>296</v>
      </c>
      <c r="FY20" s="4">
        <v>13.14</v>
      </c>
      <c r="FZ20" s="4">
        <v>16.038</v>
      </c>
      <c r="GA20" s="4">
        <v>23.286000000000001</v>
      </c>
      <c r="GB20" s="4">
        <v>2</v>
      </c>
      <c r="GC20" s="3" t="s">
        <v>301</v>
      </c>
      <c r="GD20" s="3" t="s">
        <v>292</v>
      </c>
      <c r="GE20" s="4">
        <v>11.339</v>
      </c>
      <c r="GF20" s="4">
        <v>12.294</v>
      </c>
      <c r="GG20" s="4">
        <v>13.737</v>
      </c>
      <c r="GH20" s="4">
        <v>2</v>
      </c>
      <c r="GI20" s="3" t="s">
        <v>300</v>
      </c>
      <c r="GJ20" s="3" t="s">
        <v>296</v>
      </c>
      <c r="GK20" s="4">
        <v>25.094999999999999</v>
      </c>
      <c r="GL20" s="4">
        <v>35.588000000000001</v>
      </c>
      <c r="GM20" s="4">
        <v>36.83</v>
      </c>
      <c r="GN20" s="4">
        <v>2</v>
      </c>
      <c r="GO20" s="3" t="s">
        <v>301</v>
      </c>
      <c r="GP20" s="3" t="s">
        <v>292</v>
      </c>
      <c r="GQ20" s="4">
        <v>14.747999999999999</v>
      </c>
      <c r="GR20" s="4">
        <v>22.3</v>
      </c>
      <c r="GS20" s="4">
        <v>23.434000000000001</v>
      </c>
      <c r="GT20" s="4">
        <v>2</v>
      </c>
      <c r="GU20" s="3" t="s">
        <v>291</v>
      </c>
      <c r="GV20" s="3" t="s">
        <v>292</v>
      </c>
      <c r="GW20" s="4">
        <v>24.311</v>
      </c>
      <c r="GX20" s="4">
        <v>25.995000000000001</v>
      </c>
      <c r="GY20" s="4">
        <v>27.085000000000001</v>
      </c>
      <c r="GZ20" s="4">
        <v>2</v>
      </c>
      <c r="HA20" s="3" t="s">
        <v>300</v>
      </c>
      <c r="HB20" s="3" t="s">
        <v>292</v>
      </c>
      <c r="HC20" s="4">
        <v>23.114999999999998</v>
      </c>
      <c r="HD20" s="4">
        <v>26.497</v>
      </c>
      <c r="HE20" s="4">
        <v>27.655999999999999</v>
      </c>
      <c r="HF20" s="4">
        <v>2</v>
      </c>
      <c r="HG20" s="3" t="s">
        <v>291</v>
      </c>
      <c r="HH20" s="3" t="s">
        <v>292</v>
      </c>
      <c r="HI20" s="4">
        <v>14.212999999999999</v>
      </c>
      <c r="HJ20" s="4">
        <v>15.82</v>
      </c>
      <c r="HK20" s="4">
        <v>16.684999999999999</v>
      </c>
      <c r="HL20" s="4">
        <v>2</v>
      </c>
      <c r="HM20" s="3" t="s">
        <v>524</v>
      </c>
      <c r="HN20" s="3" t="s">
        <v>525</v>
      </c>
      <c r="HO20" s="3" t="s">
        <v>526</v>
      </c>
      <c r="HP20" s="3" t="s">
        <v>527</v>
      </c>
      <c r="HQ20" s="3" t="s">
        <v>528</v>
      </c>
      <c r="HR20" s="3" t="s">
        <v>529</v>
      </c>
      <c r="HS20" s="3" t="s">
        <v>530</v>
      </c>
      <c r="HT20" s="3" t="s">
        <v>531</v>
      </c>
      <c r="HU20" s="3" t="s">
        <v>530</v>
      </c>
      <c r="HV20" s="3" t="s">
        <v>532</v>
      </c>
      <c r="HW20" s="3" t="s">
        <v>533</v>
      </c>
      <c r="HX20" s="3" t="s">
        <v>534</v>
      </c>
      <c r="HY20" s="3" t="s">
        <v>312</v>
      </c>
      <c r="HZ20" s="3" t="s">
        <v>356</v>
      </c>
      <c r="IA20" s="3" t="s">
        <v>313</v>
      </c>
      <c r="IB20" s="3" t="s">
        <v>282</v>
      </c>
      <c r="IC20" s="3" t="s">
        <v>282</v>
      </c>
    </row>
    <row r="23" spans="1:237" s="5" customFormat="1" x14ac:dyDescent="0.2">
      <c r="A23" s="5" t="s">
        <v>535</v>
      </c>
      <c r="AC23" s="3" t="s">
        <v>291</v>
      </c>
      <c r="AI23" s="3" t="s">
        <v>293</v>
      </c>
      <c r="AO23" s="3" t="s">
        <v>299</v>
      </c>
      <c r="AU23" s="3" t="s">
        <v>295</v>
      </c>
      <c r="BA23" s="3" t="s">
        <v>298</v>
      </c>
      <c r="BG23" s="3" t="s">
        <v>291</v>
      </c>
      <c r="BM23" s="3" t="s">
        <v>293</v>
      </c>
      <c r="BS23" s="3" t="s">
        <v>299</v>
      </c>
      <c r="BY23" s="3" t="s">
        <v>295</v>
      </c>
      <c r="CE23" s="3" t="s">
        <v>298</v>
      </c>
      <c r="CK23" s="3" t="s">
        <v>291</v>
      </c>
      <c r="CQ23" s="3" t="s">
        <v>293</v>
      </c>
      <c r="CW23" s="3" t="s">
        <v>299</v>
      </c>
      <c r="DC23" s="3" t="s">
        <v>295</v>
      </c>
      <c r="DI23" s="3" t="s">
        <v>298</v>
      </c>
      <c r="DO23" s="3" t="s">
        <v>291</v>
      </c>
      <c r="DU23" s="3" t="s">
        <v>293</v>
      </c>
      <c r="EA23" s="3" t="s">
        <v>299</v>
      </c>
      <c r="EG23" s="3" t="s">
        <v>295</v>
      </c>
      <c r="EM23" s="3" t="s">
        <v>298</v>
      </c>
      <c r="ES23" s="3" t="s">
        <v>291</v>
      </c>
      <c r="EY23" s="3" t="s">
        <v>300</v>
      </c>
      <c r="FE23" s="3" t="s">
        <v>301</v>
      </c>
      <c r="FK23" s="3" t="s">
        <v>291</v>
      </c>
      <c r="FQ23" s="3" t="s">
        <v>300</v>
      </c>
      <c r="FW23" s="3" t="s">
        <v>301</v>
      </c>
      <c r="GC23" s="3" t="s">
        <v>291</v>
      </c>
      <c r="GI23" s="3" t="s">
        <v>300</v>
      </c>
      <c r="GO23" s="3" t="s">
        <v>301</v>
      </c>
      <c r="GU23" s="3" t="s">
        <v>291</v>
      </c>
      <c r="HA23" s="3" t="s">
        <v>300</v>
      </c>
      <c r="HG23" s="3" t="s">
        <v>301</v>
      </c>
    </row>
    <row r="24" spans="1:237" x14ac:dyDescent="0.2">
      <c r="AC24">
        <f t="shared" ref="AC24:CN24" si="0">COUNTIF(AC$3:AC$20,AC$23)</f>
        <v>16</v>
      </c>
      <c r="AI24">
        <f t="shared" si="0"/>
        <v>14</v>
      </c>
      <c r="AO24">
        <f t="shared" si="0"/>
        <v>3</v>
      </c>
      <c r="AU24">
        <f t="shared" si="0"/>
        <v>15</v>
      </c>
      <c r="BA24">
        <f t="shared" si="0"/>
        <v>2</v>
      </c>
      <c r="BG24">
        <f t="shared" si="0"/>
        <v>16</v>
      </c>
      <c r="BM24">
        <f t="shared" si="0"/>
        <v>14</v>
      </c>
      <c r="BS24">
        <f t="shared" si="0"/>
        <v>0</v>
      </c>
      <c r="BY24">
        <f t="shared" si="0"/>
        <v>9</v>
      </c>
      <c r="CE24">
        <f t="shared" si="0"/>
        <v>13</v>
      </c>
      <c r="CK24">
        <f t="shared" si="0"/>
        <v>17</v>
      </c>
      <c r="CQ24">
        <f t="shared" ref="CO24:EZ24" si="1">COUNTIF(CQ$3:CQ$20,CQ$23)</f>
        <v>15</v>
      </c>
      <c r="CW24">
        <f t="shared" si="1"/>
        <v>0</v>
      </c>
      <c r="DC24">
        <f t="shared" si="1"/>
        <v>6</v>
      </c>
      <c r="DI24">
        <f t="shared" si="1"/>
        <v>11</v>
      </c>
      <c r="DO24">
        <f t="shared" si="1"/>
        <v>15</v>
      </c>
      <c r="DU24">
        <f t="shared" si="1"/>
        <v>15</v>
      </c>
      <c r="EA24">
        <f t="shared" si="1"/>
        <v>13</v>
      </c>
      <c r="EG24">
        <f t="shared" si="1"/>
        <v>9</v>
      </c>
      <c r="EM24">
        <f t="shared" si="1"/>
        <v>11</v>
      </c>
      <c r="ES24">
        <f t="shared" si="1"/>
        <v>14</v>
      </c>
      <c r="EY24">
        <f t="shared" si="1"/>
        <v>17</v>
      </c>
      <c r="FE24">
        <f t="shared" ref="FA24:HF24" si="2">COUNTIF(FE$3:FE$20,FE$23)</f>
        <v>12</v>
      </c>
      <c r="FK24">
        <f t="shared" si="2"/>
        <v>17</v>
      </c>
      <c r="FQ24">
        <f t="shared" si="2"/>
        <v>15</v>
      </c>
      <c r="FW24">
        <f t="shared" si="2"/>
        <v>14</v>
      </c>
      <c r="GC24">
        <f t="shared" si="2"/>
        <v>15</v>
      </c>
      <c r="GI24">
        <f t="shared" si="2"/>
        <v>17</v>
      </c>
      <c r="GO24">
        <f t="shared" si="2"/>
        <v>12</v>
      </c>
      <c r="GU24">
        <f t="shared" si="2"/>
        <v>15</v>
      </c>
      <c r="HA24">
        <f t="shared" si="2"/>
        <v>17</v>
      </c>
      <c r="HG24">
        <f>COUNTIF(HG$3:HG$20,HG$23)</f>
        <v>6</v>
      </c>
    </row>
  </sheetData>
  <autoFilter ref="A2:IC21" xr:uid="{00000000-0009-0000-0000-000000000000}"/>
  <pageMargins left="0.7" right="0.7" top="0.75" bottom="0.75" header="0.3" footer="0.3"/>
  <pageSetup orientation="portrait" horizontalDpi="0" verticalDpi="0"/>
  <ignoredErrors>
    <ignoredError sqref="C1:C17 D1:D17 G1:G17 I1:I17 J1:J17 K1:K17 L1:L17 M1:M17 P1:P17 Q1:Q17 S1:S17 T1:T17 U1:U17 V1:V17 W1:W17 X1:X17 Y1:Y17 Z1:Z17 AA1:AA17 AB1:AB17 AC1:AC17 AD1:AD17 AI1:AI17 AJ1:AJ17 AO1:AO17 AP1:AP17 AU1:AU17 AV1:AV17 BA1:BA17 BB1:BB17 BG1:BG17 BH1:BH17 BM1:BM17 BN1:BN17 BS1:BS17 BT1:BT17 BY1:BY17 BZ1:BZ17 CE1:CE17 CF1:CF17 CK1:CK17 CL1:CL17 CQ1:CQ17 CR1:CR17 CW1:CW17 CX1:CX17 DC1:DC17 DD1:DD17 DI1:DI17 DJ1:DJ17 DO1:DO17 DP1:DP17 DU1:DU17 DV1:DV17 EA1:EA17 EB1:EB17 EG1:EG17 EH1:EH17 EM1:EM17 EN1:EN17 ES1:ES17 ET1:ET17 EY1:EY17 EZ1:EZ17 FE1:FE17 FF1:FF17 FK1:FK17 FL1:FL17 FQ1:FQ17 FR1:FR17 FW1:FW17 FX1:FX17 GC1:GC17 GD1:GD17 GI1:GI17 GJ1:GJ17 GO1:GO17 GP1:GP17 GU1:GU17 GV1:GV17 HA1:HA17 HB1:HB17 HG1:HG17 HH1:HH17 HM1:HM17 HN1:HN17 HO1:HO17 HP1:HP17 HQ1:HQ17 HR1:HR17 HS1:HS17 HT1:HT17 HU1:HU17 HV1:HV17 HW1:HW17 HX1:HX17 HY1:HY17 HZ1:HZ17 IA1:IA17 IB1:IB17 IC1:IC17 C19:C20 D19:D20 G19:G20 I19:I20 J19:J20 K19:K20 L19:L20 M19:M20 P19:P20 Q19:Q20 S19:S20 T19:T20 U19:U20 V19:V20 W19:W20 X19:X20 Y19:Y20 Z19:Z20 AA19:AA20 AB19:AB20 AC19:AC20 AD19:AD20 AI19:AI20 AJ19:AJ20 AO19:AO20 AP19:AP20 AU19:AU20 AV19:AV20 BA19:BA20 BB19:BB20 BG19:BG20 BH19:BH20 BM19:BM20 BN19:BN20 BS19:BS20 BT19:BT20 BY19:BY20 BZ19:BZ20 CE19:CE20 CF19:CF20 CK19:CK20 CL19:CL20 CQ19:CQ20 CR19:CR20 CW19:CW20 CX19:CX20 DC19:DC20 DD19:DD20 DI19:DI20 DJ19:DJ20 DO19:DO20 DP19:DP20 DU19:DU20 DV19:DV20 EA19:EA20 EB19:EB20 EG19:EG20 EH19:EH20 EM19:EM20 EN19:EN20 ES19:ES20 ET19:ET20 EY19:EY20 EZ19:EZ20 FE19:FE20 FF19:FF20 FK19:FK20 FL19:FL20 FQ19:FQ20 FR19:FR20 FW19:FW20 FX19:FX20 GC19:GC20 GD19:GD20 GI19:GI20 GJ19:GJ20 GO19:GO20 GP19:GP20 GU19:GU20 GV19:GV20 HA19:HA20 HB19:HB20 HG19:HG20 HH19:HH20 HM19:HM20 HN19:HN20 HO19:HO20 HP19:HP20 HQ19:HQ20 HR19:HR20 HS19:HS20 HT19:HT20 HU19:HU20 HV19:HV20 HW19:HW20 HX19:HX20 HY19:HY20 HZ19:HZ20 IA19:IA20 IB19:IB20 IC19:IC20 C18 D18 G18 I18 J18 K18 L18 M18 P18 Q18 S18 T18 U18 V18 W18 X18 Y18 Z18 AA18 AB18 AC18 AD18 AI18 AJ18 AO18 AP18 AU18 AV18 BA18 BB18 BG18 BH18 BM18 BN18 BS18 BT18 BY18 BZ18 CE18 CF18 CK18 CL18 CQ18 CR18 CW18 CX18 DC18 DD18 DI18 DJ18 DO18 DP18 DU18 DV18 EA18 EB18 EG18 EH18 EM18 EN18 ES18 ET18 EY18 EZ18 FE18 FF18 FK18 FL18 FQ18 FR18 FW18 FX18 GC18 GD18 GI18 GJ18 GO18 GP18 GU18 GV18 HA18 HB18 HG18 HH18 HM18 HN18 HO18 HP18 HQ18 HR18 HS18 HT18 HU18 HV18 HW18 HX18 HY18 HZ18 IA18 IB18 IC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7DDB-0C5B-1D43-992A-14010CFD8EA4}">
  <dimension ref="A1:F18"/>
  <sheetViews>
    <sheetView tabSelected="1" workbookViewId="0">
      <selection activeCell="H19" sqref="H19"/>
    </sheetView>
  </sheetViews>
  <sheetFormatPr baseColWidth="10" defaultColWidth="21.5" defaultRowHeight="22" x14ac:dyDescent="0.3"/>
  <cols>
    <col min="1" max="1" width="17.83203125" style="6" customWidth="1"/>
    <col min="2" max="2" width="21.6640625" style="6" customWidth="1"/>
    <col min="3" max="16384" width="21.5" style="6"/>
  </cols>
  <sheetData>
    <row r="1" spans="1:6" ht="23" thickBot="1" x14ac:dyDescent="0.35"/>
    <row r="2" spans="1:6" ht="23" thickBot="1" x14ac:dyDescent="0.35">
      <c r="A2" s="7"/>
      <c r="B2" s="7"/>
      <c r="C2" s="26" t="s">
        <v>536</v>
      </c>
      <c r="D2" s="8" t="s">
        <v>538</v>
      </c>
      <c r="E2" s="8" t="s">
        <v>539</v>
      </c>
      <c r="F2" s="8" t="s">
        <v>540</v>
      </c>
    </row>
    <row r="3" spans="1:6" x14ac:dyDescent="0.3">
      <c r="A3" s="19" t="s">
        <v>550</v>
      </c>
      <c r="B3" s="14" t="s">
        <v>537</v>
      </c>
      <c r="C3" s="13">
        <f>RAW_w_CALCS!AC24 /B18</f>
        <v>0.88888888888888884</v>
      </c>
      <c r="D3" s="9">
        <f>RAW_w_CALCS!BG24/B18</f>
        <v>0.88888888888888884</v>
      </c>
      <c r="E3" s="9">
        <f>RAW_w_CALCS!CK24/B18</f>
        <v>0.94444444444444442</v>
      </c>
      <c r="F3" s="9">
        <f>RAW_w_CALCS!DO24/B18</f>
        <v>0.83333333333333337</v>
      </c>
    </row>
    <row r="4" spans="1:6" x14ac:dyDescent="0.3">
      <c r="A4" s="20"/>
      <c r="B4" s="15" t="s">
        <v>542</v>
      </c>
      <c r="C4" s="11">
        <f>RAW_w_CALCS!AI24/B18</f>
        <v>0.77777777777777779</v>
      </c>
      <c r="D4" s="10">
        <f>RAW_w_CALCS!BM24/B18</f>
        <v>0.77777777777777779</v>
      </c>
      <c r="E4" s="10">
        <f>RAW_w_CALCS!CQ24/B18</f>
        <v>0.83333333333333337</v>
      </c>
      <c r="F4" s="10">
        <f>RAW_w_CALCS!DU24/B18</f>
        <v>0.83333333333333337</v>
      </c>
    </row>
    <row r="5" spans="1:6" x14ac:dyDescent="0.3">
      <c r="A5" s="20"/>
      <c r="B5" s="15" t="s">
        <v>543</v>
      </c>
      <c r="C5" s="11">
        <f>RAW_w_CALCS!AO24/B18</f>
        <v>0.16666666666666666</v>
      </c>
      <c r="D5" s="10">
        <f>RAW_w_CALCS!BS24/B18</f>
        <v>0</v>
      </c>
      <c r="E5" s="10">
        <f>RAW_w_CALCS!CW24/B18</f>
        <v>0</v>
      </c>
      <c r="F5" s="10">
        <f>RAW_w_CALCS!EA24/B18</f>
        <v>0.72222222222222221</v>
      </c>
    </row>
    <row r="6" spans="1:6" x14ac:dyDescent="0.3">
      <c r="A6" s="20"/>
      <c r="B6" s="15" t="s">
        <v>544</v>
      </c>
      <c r="C6" s="11">
        <f>RAW_w_CALCS!AU24/B18</f>
        <v>0.83333333333333337</v>
      </c>
      <c r="D6" s="10">
        <f>RAW_w_CALCS!BY24/B18</f>
        <v>0.5</v>
      </c>
      <c r="E6" s="10">
        <f>RAW_w_CALCS!DC24/B18</f>
        <v>0.33333333333333331</v>
      </c>
      <c r="F6" s="10">
        <f>RAW_w_CALCS!EG24/B18</f>
        <v>0.5</v>
      </c>
    </row>
    <row r="7" spans="1:6" ht="23" thickBot="1" x14ac:dyDescent="0.35">
      <c r="A7" s="20"/>
      <c r="B7" s="15" t="s">
        <v>545</v>
      </c>
      <c r="C7" s="11">
        <f>RAW_w_CALCS!BA24/B18</f>
        <v>0.1111111111111111</v>
      </c>
      <c r="D7" s="12">
        <f>RAW_w_CALCS!CE24/B18</f>
        <v>0.72222222222222221</v>
      </c>
      <c r="E7" s="12">
        <f>RAW_w_CALCS!DI24/B18</f>
        <v>0.61111111111111116</v>
      </c>
      <c r="F7" s="12">
        <f>RAW_w_CALCS!EM24/B18</f>
        <v>0.61111111111111116</v>
      </c>
    </row>
    <row r="8" spans="1:6" ht="23" thickBot="1" x14ac:dyDescent="0.35">
      <c r="A8" s="20"/>
      <c r="B8" s="16" t="s">
        <v>549</v>
      </c>
      <c r="C8" s="26">
        <f>AVERAGE(C3:C7)</f>
        <v>0.55555555555555558</v>
      </c>
      <c r="D8" s="8">
        <f t="shared" ref="D8:F8" si="0">AVERAGE(D3:D7)</f>
        <v>0.57777777777777772</v>
      </c>
      <c r="E8" s="8">
        <f t="shared" si="0"/>
        <v>0.54444444444444451</v>
      </c>
      <c r="F8" s="8">
        <f t="shared" si="0"/>
        <v>0.7</v>
      </c>
    </row>
    <row r="9" spans="1:6" ht="23" thickBot="1" x14ac:dyDescent="0.35">
      <c r="A9" s="21"/>
      <c r="B9" s="17" t="s">
        <v>548</v>
      </c>
      <c r="C9" s="27">
        <f>AVERAGE(C8:F8)</f>
        <v>0.59444444444444444</v>
      </c>
      <c r="D9" s="28"/>
      <c r="E9" s="28"/>
      <c r="F9" s="29"/>
    </row>
    <row r="10" spans="1:6" ht="23" thickBot="1" x14ac:dyDescent="0.35">
      <c r="A10" s="22"/>
      <c r="B10" s="18"/>
      <c r="C10" s="7"/>
      <c r="D10" s="7"/>
      <c r="E10" s="7"/>
      <c r="F10" s="7"/>
    </row>
    <row r="11" spans="1:6" ht="23" thickBot="1" x14ac:dyDescent="0.35">
      <c r="A11" s="22"/>
      <c r="B11" s="18"/>
      <c r="C11" s="8" t="s">
        <v>536</v>
      </c>
      <c r="D11" s="8" t="s">
        <v>538</v>
      </c>
      <c r="E11" s="8" t="s">
        <v>539</v>
      </c>
      <c r="F11" s="8" t="s">
        <v>540</v>
      </c>
    </row>
    <row r="12" spans="1:6" x14ac:dyDescent="0.3">
      <c r="A12" s="19" t="s">
        <v>551</v>
      </c>
      <c r="B12" s="25" t="s">
        <v>537</v>
      </c>
      <c r="C12" s="9">
        <f>RAW_w_CALCS!ES24/B18</f>
        <v>0.77777777777777779</v>
      </c>
      <c r="D12" s="9">
        <f>RAW_w_CALCS!FK24/B18</f>
        <v>0.94444444444444442</v>
      </c>
      <c r="E12" s="9">
        <f>RAW_w_CALCS!GC24/B18</f>
        <v>0.83333333333333337</v>
      </c>
      <c r="F12" s="9">
        <f>RAW_w_CALCS!GU24/B18</f>
        <v>0.83333333333333337</v>
      </c>
    </row>
    <row r="13" spans="1:6" x14ac:dyDescent="0.3">
      <c r="A13" s="20"/>
      <c r="B13" s="16" t="s">
        <v>546</v>
      </c>
      <c r="C13" s="10">
        <f>RAW_w_CALCS!EY24/B18</f>
        <v>0.94444444444444442</v>
      </c>
      <c r="D13" s="10">
        <f>RAW_w_CALCS!FQ24/B18</f>
        <v>0.83333333333333337</v>
      </c>
      <c r="E13" s="10">
        <f>RAW_w_CALCS!GI24/B18</f>
        <v>0.94444444444444442</v>
      </c>
      <c r="F13" s="10">
        <f>RAW_w_CALCS!HA24/B18</f>
        <v>0.94444444444444442</v>
      </c>
    </row>
    <row r="14" spans="1:6" ht="23" thickBot="1" x14ac:dyDescent="0.35">
      <c r="A14" s="20"/>
      <c r="B14" s="16" t="s">
        <v>547</v>
      </c>
      <c r="C14" s="12">
        <f>RAW_w_CALCS!FE24/B18</f>
        <v>0.66666666666666663</v>
      </c>
      <c r="D14" s="12">
        <f>RAW_w_CALCS!FW24/B18</f>
        <v>0.77777777777777779</v>
      </c>
      <c r="E14" s="12">
        <f>RAW_w_CALCS!GO24/B18</f>
        <v>0.66666666666666663</v>
      </c>
      <c r="F14" s="12">
        <f>RAW_w_CALCS!HG24/B18</f>
        <v>0.33333333333333331</v>
      </c>
    </row>
    <row r="15" spans="1:6" ht="23" thickBot="1" x14ac:dyDescent="0.35">
      <c r="A15" s="20"/>
      <c r="B15" s="16" t="s">
        <v>549</v>
      </c>
      <c r="C15" s="8">
        <f>AVERAGE(C12:C14)</f>
        <v>0.79629629629629628</v>
      </c>
      <c r="D15" s="8">
        <f t="shared" ref="D15:F15" si="1">AVERAGE(D12:D14)</f>
        <v>0.85185185185185175</v>
      </c>
      <c r="E15" s="8">
        <f t="shared" si="1"/>
        <v>0.81481481481481477</v>
      </c>
      <c r="F15" s="8">
        <f t="shared" si="1"/>
        <v>0.70370370370370372</v>
      </c>
    </row>
    <row r="16" spans="1:6" ht="23" thickBot="1" x14ac:dyDescent="0.35">
      <c r="A16" s="21"/>
      <c r="B16" s="17" t="s">
        <v>548</v>
      </c>
      <c r="C16" s="27">
        <f>AVERAGE(C15:F15)</f>
        <v>0.79166666666666663</v>
      </c>
      <c r="D16" s="28"/>
      <c r="E16" s="28"/>
      <c r="F16" s="29"/>
    </row>
    <row r="17" spans="1:2" ht="23" thickBot="1" x14ac:dyDescent="0.35"/>
    <row r="18" spans="1:2" ht="23" thickBot="1" x14ac:dyDescent="0.35">
      <c r="A18" s="23" t="s">
        <v>541</v>
      </c>
      <c r="B18" s="24">
        <v>18</v>
      </c>
    </row>
  </sheetData>
  <mergeCells count="4">
    <mergeCell ref="A12:A16"/>
    <mergeCell ref="A3:A9"/>
    <mergeCell ref="C9:F9"/>
    <mergeCell ref="C16:F16"/>
  </mergeCells>
  <conditionalFormatting sqref="C3:F10 C12:F16">
    <cfRule type="colorScale" priority="1">
      <colorScale>
        <cfvo type="min"/>
        <cfvo type="percentile" val="40"/>
        <cfvo type="max"/>
        <color rgb="FFFF0000"/>
        <color theme="2"/>
        <color theme="6" tint="0.39997558519241921"/>
      </colorScale>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RAW_w_CALCS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Liam Roy</cp:lastModifiedBy>
  <dcterms:created xsi:type="dcterms:W3CDTF">2025-03-31T17:48:10Z</dcterms:created>
  <dcterms:modified xsi:type="dcterms:W3CDTF">2025-03-31T22:03:34Z</dcterms:modified>
</cp:coreProperties>
</file>