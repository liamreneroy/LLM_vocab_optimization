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liamroy/Documents/Studies/Monash_31194990/PHD/Studies/Study_04/LLM_vocab_optimization/data/study_results/"/>
    </mc:Choice>
  </mc:AlternateContent>
  <xr:revisionPtr revIDLastSave="0" documentId="13_ncr:1_{721B6895-0EE8-464E-B705-F14A8400B3E1}" xr6:coauthVersionLast="47" xr6:coauthVersionMax="47" xr10:uidLastSave="{00000000-0000-0000-0000-000000000000}"/>
  <bookViews>
    <workbookView xWindow="20" yWindow="500" windowWidth="35840" windowHeight="21900" activeTab="5" xr2:uid="{00000000-000D-0000-FFFF-FFFF00000000}"/>
  </bookViews>
  <sheets>
    <sheet name="meta_data" sheetId="5" r:id="rId1"/>
    <sheet name="raw_labels" sheetId="1" r:id="rId2"/>
    <sheet name="raw_values" sheetId="2" r:id="rId3"/>
    <sheet name="cleaned_data" sheetId="3" r:id="rId4"/>
    <sheet name="formated_data" sheetId="4" r:id="rId5"/>
    <sheet name="accuracy" sheetId="6" r:id="rId6"/>
    <sheet name="accuracy_and_var" sheetId="8" r:id="rId7"/>
    <sheet name="blockOrder" sheetId="9" r:id="rId8"/>
  </sheets>
  <definedNames>
    <definedName name="_xlnm._FilterDatabase" localSheetId="4" hidden="1">formated_data!$C$1:$C$2529</definedName>
    <definedName name="_xlnm._FilterDatabase" localSheetId="1" hidden="1">raw_labels!$A$2:$IC$97</definedName>
    <definedName name="_xlnm._FilterDatabase" localSheetId="2" hidden="1">raw_values!$A$2:$IC$97</definedName>
    <definedName name="_xlchart.v1.0" hidden="1">accuracy_and_var!$D$2</definedName>
    <definedName name="_xlchart.v1.1" hidden="1">accuracy_and_var!$D$3:$D$7</definedName>
    <definedName name="_xlchart.v1.10" hidden="1">accuracy_and_var!$E$12</definedName>
    <definedName name="_xlchart.v1.11" hidden="1">accuracy_and_var!$E$13:$E$15</definedName>
    <definedName name="_xlchart.v1.12" hidden="1">accuracy_and_var!$F$12</definedName>
    <definedName name="_xlchart.v1.13" hidden="1">accuracy_and_var!$F$13:$F$15</definedName>
    <definedName name="_xlchart.v1.14" hidden="1">accuracy_and_var!$G$12</definedName>
    <definedName name="_xlchart.v1.15" hidden="1">accuracy_and_var!$G$13:$G$15</definedName>
    <definedName name="_xlchart.v1.2" hidden="1">accuracy_and_var!$E$2</definedName>
    <definedName name="_xlchart.v1.3" hidden="1">accuracy_and_var!$E$3:$E$7</definedName>
    <definedName name="_xlchart.v1.4" hidden="1">accuracy_and_var!$F$2</definedName>
    <definedName name="_xlchart.v1.5" hidden="1">accuracy_and_var!$F$3:$F$7</definedName>
    <definedName name="_xlchart.v1.6" hidden="1">accuracy_and_var!$G$2</definedName>
    <definedName name="_xlchart.v1.7" hidden="1">accuracy_and_var!$G$3:$G$7</definedName>
    <definedName name="_xlchart.v1.8" hidden="1">accuracy_and_var!$D$12</definedName>
    <definedName name="_xlchart.v1.9" hidden="1">accuracy_and_var!$D$13:$D$15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6" l="1"/>
  <c r="D11" i="9"/>
  <c r="C11" i="9"/>
  <c r="D8" i="9"/>
  <c r="C12" i="9" s="1"/>
  <c r="C8" i="9"/>
  <c r="C13" i="9" s="1"/>
  <c r="D4" i="9"/>
  <c r="D13" i="9" s="1"/>
  <c r="C4" i="9"/>
  <c r="D12" i="9" s="1"/>
  <c r="C2" i="8"/>
  <c r="F14" i="8" s="1"/>
  <c r="F7" i="8"/>
  <c r="E7" i="8"/>
  <c r="D7" i="8"/>
  <c r="G6" i="8"/>
  <c r="E6" i="8"/>
  <c r="D3" i="8"/>
  <c r="E24" i="6"/>
  <c r="D24" i="6"/>
  <c r="E20" i="6"/>
  <c r="D20" i="6"/>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337" i="4"/>
  <c r="L2338" i="4"/>
  <c r="L2339" i="4"/>
  <c r="L2340" i="4"/>
  <c r="L2341" i="4"/>
  <c r="L2342" i="4"/>
  <c r="L2343" i="4"/>
  <c r="L2344" i="4"/>
  <c r="L2345" i="4"/>
  <c r="L2346" i="4"/>
  <c r="L2347" i="4"/>
  <c r="L2348" i="4"/>
  <c r="L2349" i="4"/>
  <c r="L2350" i="4"/>
  <c r="L2351" i="4"/>
  <c r="L2352" i="4"/>
  <c r="L2353" i="4"/>
  <c r="L2354" i="4"/>
  <c r="L2355" i="4"/>
  <c r="L2356" i="4"/>
  <c r="L2357" i="4"/>
  <c r="L2358" i="4"/>
  <c r="L2359" i="4"/>
  <c r="L2360" i="4"/>
  <c r="L2361" i="4"/>
  <c r="L2362" i="4"/>
  <c r="L2363" i="4"/>
  <c r="L2364" i="4"/>
  <c r="L2365" i="4"/>
  <c r="L2366" i="4"/>
  <c r="L2367" i="4"/>
  <c r="L2368" i="4"/>
  <c r="L2369" i="4"/>
  <c r="L2370" i="4"/>
  <c r="L2371" i="4"/>
  <c r="L2372" i="4"/>
  <c r="L2373" i="4"/>
  <c r="L2374" i="4"/>
  <c r="L2375" i="4"/>
  <c r="L2376" i="4"/>
  <c r="L2377" i="4"/>
  <c r="L2378" i="4"/>
  <c r="L2379" i="4"/>
  <c r="L2380" i="4"/>
  <c r="L2381" i="4"/>
  <c r="L2382" i="4"/>
  <c r="L2383" i="4"/>
  <c r="L2384" i="4"/>
  <c r="L2385" i="4"/>
  <c r="L2386" i="4"/>
  <c r="L2387" i="4"/>
  <c r="L2388" i="4"/>
  <c r="L2389" i="4"/>
  <c r="L2390" i="4"/>
  <c r="L2391" i="4"/>
  <c r="L2392" i="4"/>
  <c r="L2393" i="4"/>
  <c r="L2394" i="4"/>
  <c r="L2395" i="4"/>
  <c r="L2396" i="4"/>
  <c r="L2397" i="4"/>
  <c r="L2398" i="4"/>
  <c r="L2399" i="4"/>
  <c r="L2400" i="4"/>
  <c r="L2401" i="4"/>
  <c r="L2402" i="4"/>
  <c r="L2403" i="4"/>
  <c r="L2404" i="4"/>
  <c r="L2405" i="4"/>
  <c r="L2406" i="4"/>
  <c r="L2407" i="4"/>
  <c r="L2408" i="4"/>
  <c r="L2409" i="4"/>
  <c r="L2410" i="4"/>
  <c r="L2411" i="4"/>
  <c r="L2412" i="4"/>
  <c r="L2413" i="4"/>
  <c r="L2414" i="4"/>
  <c r="L2415" i="4"/>
  <c r="L2416" i="4"/>
  <c r="L2417" i="4"/>
  <c r="L2418" i="4"/>
  <c r="L2419" i="4"/>
  <c r="L2420" i="4"/>
  <c r="L2421" i="4"/>
  <c r="L2422" i="4"/>
  <c r="L2423" i="4"/>
  <c r="L2424" i="4"/>
  <c r="L2425" i="4"/>
  <c r="L2426" i="4"/>
  <c r="L2427" i="4"/>
  <c r="L2428" i="4"/>
  <c r="L2429" i="4"/>
  <c r="L2430" i="4"/>
  <c r="L2431" i="4"/>
  <c r="L2432" i="4"/>
  <c r="L2433" i="4"/>
  <c r="L2434" i="4"/>
  <c r="L2435" i="4"/>
  <c r="L2436" i="4"/>
  <c r="L2437" i="4"/>
  <c r="L2438" i="4"/>
  <c r="L2439" i="4"/>
  <c r="L2440" i="4"/>
  <c r="L2441" i="4"/>
  <c r="L2442" i="4"/>
  <c r="L2443" i="4"/>
  <c r="L2444" i="4"/>
  <c r="L2445" i="4"/>
  <c r="L2446" i="4"/>
  <c r="L2447" i="4"/>
  <c r="L2448" i="4"/>
  <c r="L2449" i="4"/>
  <c r="L2450" i="4"/>
  <c r="L2451" i="4"/>
  <c r="L2452" i="4"/>
  <c r="L2453" i="4"/>
  <c r="L2454" i="4"/>
  <c r="L2455" i="4"/>
  <c r="L2456" i="4"/>
  <c r="L2457" i="4"/>
  <c r="L2458" i="4"/>
  <c r="L2459" i="4"/>
  <c r="L2460" i="4"/>
  <c r="L2461" i="4"/>
  <c r="L2462" i="4"/>
  <c r="L2463" i="4"/>
  <c r="L2464" i="4"/>
  <c r="L2465" i="4"/>
  <c r="L2466" i="4"/>
  <c r="L2467" i="4"/>
  <c r="L2468" i="4"/>
  <c r="L2469" i="4"/>
  <c r="L2470" i="4"/>
  <c r="L2471" i="4"/>
  <c r="L2472" i="4"/>
  <c r="L2473" i="4"/>
  <c r="L2474" i="4"/>
  <c r="L2475" i="4"/>
  <c r="L2476" i="4"/>
  <c r="L2477" i="4"/>
  <c r="L2478" i="4"/>
  <c r="L2479" i="4"/>
  <c r="L2480" i="4"/>
  <c r="L2481" i="4"/>
  <c r="L2482" i="4"/>
  <c r="L2483" i="4"/>
  <c r="L2484" i="4"/>
  <c r="L2485" i="4"/>
  <c r="L2486" i="4"/>
  <c r="L2487" i="4"/>
  <c r="L2488" i="4"/>
  <c r="L2489" i="4"/>
  <c r="L2490" i="4"/>
  <c r="L2491" i="4"/>
  <c r="L2492" i="4"/>
  <c r="L2493" i="4"/>
  <c r="L2494" i="4"/>
  <c r="L2495" i="4"/>
  <c r="L2496" i="4"/>
  <c r="L2497" i="4"/>
  <c r="L2498" i="4"/>
  <c r="L2499" i="4"/>
  <c r="L2500" i="4"/>
  <c r="L2501" i="4"/>
  <c r="L2502" i="4"/>
  <c r="L2503" i="4"/>
  <c r="L2504" i="4"/>
  <c r="L2505" i="4"/>
  <c r="L2506" i="4"/>
  <c r="L2507" i="4"/>
  <c r="L2508" i="4"/>
  <c r="L2509" i="4"/>
  <c r="L2510" i="4"/>
  <c r="L2511" i="4"/>
  <c r="L2512" i="4"/>
  <c r="L2513" i="4"/>
  <c r="L2514" i="4"/>
  <c r="L2515" i="4"/>
  <c r="L2516" i="4"/>
  <c r="L2517" i="4"/>
  <c r="L2518" i="4"/>
  <c r="L2519" i="4"/>
  <c r="L2520" i="4"/>
  <c r="L2521" i="4"/>
  <c r="L2522" i="4"/>
  <c r="L2523" i="4"/>
  <c r="L2524" i="4"/>
  <c r="L2525" i="4"/>
  <c r="L2526" i="4"/>
  <c r="L2527" i="4"/>
  <c r="L2528" i="4"/>
  <c r="L2529" i="4"/>
  <c r="L3" i="4"/>
  <c r="L4" i="4"/>
  <c r="L5" i="4"/>
  <c r="L6" i="4"/>
  <c r="L7" i="4"/>
  <c r="L8" i="4"/>
  <c r="L9" i="4"/>
  <c r="L10" i="4"/>
  <c r="L11" i="4"/>
  <c r="L12" i="4"/>
  <c r="L13" i="4"/>
  <c r="L14" i="4"/>
  <c r="L15" i="4"/>
  <c r="L16" i="4"/>
  <c r="L17" i="4"/>
  <c r="L18" i="4"/>
  <c r="L19" i="4"/>
  <c r="L20" i="4"/>
  <c r="L2" i="4"/>
  <c r="C16" i="6"/>
  <c r="E4" i="9" l="1"/>
  <c r="E8" i="9"/>
  <c r="G3" i="8"/>
  <c r="E13" i="8"/>
  <c r="E18" i="8" s="1"/>
  <c r="D4" i="8"/>
  <c r="D9" i="8" s="1"/>
  <c r="F13" i="8"/>
  <c r="F18" i="8" s="1"/>
  <c r="E4" i="8"/>
  <c r="D14" i="8"/>
  <c r="F4" i="8"/>
  <c r="E14" i="8"/>
  <c r="G4" i="8"/>
  <c r="G14" i="8"/>
  <c r="D5" i="8"/>
  <c r="D10" i="8" s="1"/>
  <c r="D15" i="8"/>
  <c r="E5" i="8"/>
  <c r="E15" i="8"/>
  <c r="F5" i="8"/>
  <c r="F15" i="8"/>
  <c r="F17" i="8" s="1"/>
  <c r="D6" i="8"/>
  <c r="G15" i="8"/>
  <c r="E3" i="8"/>
  <c r="E10" i="8" s="1"/>
  <c r="G7" i="8"/>
  <c r="F3" i="8"/>
  <c r="D13" i="8"/>
  <c r="G5" i="8"/>
  <c r="G9" i="8" s="1"/>
  <c r="G13" i="8"/>
  <c r="F6" i="8"/>
  <c r="F24" i="6"/>
  <c r="F20" i="6"/>
  <c r="G5" i="6"/>
  <c r="F7" i="6"/>
  <c r="G6" i="6"/>
  <c r="D11" i="6"/>
  <c r="G7" i="6"/>
  <c r="D12" i="6"/>
  <c r="E4" i="6"/>
  <c r="E7" i="6"/>
  <c r="E5" i="6"/>
  <c r="G12" i="6"/>
  <c r="D13" i="6"/>
  <c r="F5" i="6"/>
  <c r="G3" i="6"/>
  <c r="G4" i="6"/>
  <c r="D4" i="6"/>
  <c r="D6" i="6"/>
  <c r="F6" i="6"/>
  <c r="G11" i="6"/>
  <c r="E12" i="6"/>
  <c r="F11" i="6"/>
  <c r="E11" i="6"/>
  <c r="E6" i="6"/>
  <c r="E13" i="6"/>
  <c r="F3" i="6"/>
  <c r="F4" i="6"/>
  <c r="F13" i="6"/>
  <c r="F12" i="6"/>
  <c r="D3" i="6"/>
  <c r="D5" i="6"/>
  <c r="D7" i="6"/>
  <c r="E3" i="6"/>
  <c r="F9" i="8" l="1"/>
  <c r="D18" i="8"/>
  <c r="D17" i="8"/>
  <c r="E9" i="8"/>
  <c r="E17" i="8"/>
  <c r="G17" i="8"/>
  <c r="G18" i="8"/>
  <c r="G10" i="8"/>
  <c r="F10" i="8"/>
  <c r="G14" i="6"/>
  <c r="D14" i="6"/>
  <c r="E14" i="6"/>
  <c r="G8" i="6"/>
  <c r="D8" i="6"/>
  <c r="F14" i="6"/>
  <c r="E8" i="6"/>
  <c r="F8" i="6"/>
</calcChain>
</file>

<file path=xl/sharedStrings.xml><?xml version="1.0" encoding="utf-8"?>
<sst xmlns="http://schemas.openxmlformats.org/spreadsheetml/2006/main" count="40383" uniqueCount="1355">
  <si>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</si>
  <si>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</si>
  <si>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</si>
  <si>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</si>
  <si>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</si>
  <si>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</si>
  <si>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</si>
  <si>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</si>
  <si>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</si>
  <si>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</si>
  <si>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</si>
  <si>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</si>
  <si>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</si>
  <si>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</si>
  <si>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</si>
  <si>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</si>
  <si>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</si>
  <si>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</si>
  <si>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00-01_1</t>
  </si>
  <si>
    <t>00-01_2</t>
  </si>
  <si>
    <t>00-01_3</t>
  </si>
  <si>
    <t>00-01_4</t>
  </si>
  <si>
    <t>02-01</t>
  </si>
  <si>
    <t>02-02</t>
  </si>
  <si>
    <t>02-03_1</t>
  </si>
  <si>
    <t>02-03_2</t>
  </si>
  <si>
    <t>02-03_3</t>
  </si>
  <si>
    <t>02-03_4</t>
  </si>
  <si>
    <t>SPR_ISO_WFI_MOT_VID</t>
  </si>
  <si>
    <t>SPR_ISO_WFI_MOT_CON</t>
  </si>
  <si>
    <t>SPR_ISO_WFI_MOT_TIM_First Click</t>
  </si>
  <si>
    <t>SPR_ISO_WFI_MOT_TIM_Last Click</t>
  </si>
  <si>
    <t>SPR_ISO_WFI_MOT_TIM_Page Submit</t>
  </si>
  <si>
    <t>SPR_ISO_WFI_MOT_TIM_Click Count</t>
  </si>
  <si>
    <t>SPR_ISO_AO_MOT_VID</t>
  </si>
  <si>
    <t>SPR_ISO_AO_MOT_CON</t>
  </si>
  <si>
    <t>SPR_ISO_AO_MOT_TIM_First Click</t>
  </si>
  <si>
    <t>SPR_ISO_AO_MOT_TIM_Last Click</t>
  </si>
  <si>
    <t>SPR_ISO_AO_MOT_TIM_Page Submit</t>
  </si>
  <si>
    <t>SPR_ISO_AO_MOT_TIM_Click Count</t>
  </si>
  <si>
    <t>SPR_ISO_FO_MOT_VID</t>
  </si>
  <si>
    <t>SPR_ISO_FO_MOT_CON</t>
  </si>
  <si>
    <t>SPR_ISO_FO_MOT_TIM_First Click</t>
  </si>
  <si>
    <t>SPR_ISO_FO_MOT_TIM_Last Click</t>
  </si>
  <si>
    <t>SPR_ISO_FO_MOT_TIM_Page Submit</t>
  </si>
  <si>
    <t>SPR_ISO_FO_MOT_TIM_Click Count</t>
  </si>
  <si>
    <t>SPR_ISO_ER_MOT_VID</t>
  </si>
  <si>
    <t>SPR_ISO_ER_MOT_CON</t>
  </si>
  <si>
    <t>SPR_ISO_ER_MOT_TIM_First Click</t>
  </si>
  <si>
    <t>SPR_ISO_ER_MOT_TIM_Last Click</t>
  </si>
  <si>
    <t>SPR_ISO_ER_MOT_TIM_Page Submit</t>
  </si>
  <si>
    <t>SPR_ISO_ER_MOT_TIM_Click Count</t>
  </si>
  <si>
    <t>SPR_ISO_CO_MOT_VID</t>
  </si>
  <si>
    <t>SPR_ISO_CO_MOT_CON</t>
  </si>
  <si>
    <t>SPR_ISO_CO_MOT_TIM_First Click</t>
  </si>
  <si>
    <t>SPR_ISO_CO_MOT_TIM_Last Click</t>
  </si>
  <si>
    <t>SPR_ISO_CO_MOT_TIM_Page Submit</t>
  </si>
  <si>
    <t>SPR_ISO_CO_MOT_TIM_Click Count</t>
  </si>
  <si>
    <t>SPR_NON_WFI_MOT_VID</t>
  </si>
  <si>
    <t>SPR_NON_WFI_MOT_CON</t>
  </si>
  <si>
    <t>SPR_NON_WFI_MOT_TIM_First Click</t>
  </si>
  <si>
    <t>SPR_NON_WFI_MOT_TIM_Last Click</t>
  </si>
  <si>
    <t>SPR_NON_WFI_MOT_TIM_Page Submit</t>
  </si>
  <si>
    <t>SPR_NON_WFI_MOT_TIM_Click Count</t>
  </si>
  <si>
    <t>SPR_NON_AO_MOT_VID</t>
  </si>
  <si>
    <t>SPR_NON_AO_MOT_CON</t>
  </si>
  <si>
    <t>SPR_NON_AO_MOT_TIM_First Click</t>
  </si>
  <si>
    <t>SPR_NON_AO_MOT_TIM_Last Click</t>
  </si>
  <si>
    <t>SPR_NON_AO_MOT_TIM_Page Submit</t>
  </si>
  <si>
    <t>SPR_NON_AO_MOT_TIM_Click Count</t>
  </si>
  <si>
    <t>SPR_NON_FO_MOT_VID</t>
  </si>
  <si>
    <t>SPR_NON_FO_MOT_CON</t>
  </si>
  <si>
    <t>SPR_NON_FO_MOT_TIM_First Click</t>
  </si>
  <si>
    <t>SPR_NON_FO_MOT_TIM_Last Click</t>
  </si>
  <si>
    <t>SPR_NON_FO_MOT_TIM_Page Submit</t>
  </si>
  <si>
    <t>SPR_NON_FO_MOT_TIM_Click Count</t>
  </si>
  <si>
    <t>SPR_NON_ER_MOT_VID</t>
  </si>
  <si>
    <t>SPR_NON_ER_MOT_CON</t>
  </si>
  <si>
    <t>SPR_NON_ER_MOT_TIM_First Click</t>
  </si>
  <si>
    <t>SPR_NON_ER_MOT_TIM_Last Click</t>
  </si>
  <si>
    <t>SPR_NON_ER_MOT_TIM_Page Submit</t>
  </si>
  <si>
    <t>SPR_NON_ER_MOT_TIM_Click Count</t>
  </si>
  <si>
    <t>SPR_NON_CO_MOT_VID</t>
  </si>
  <si>
    <t>SPR_NON_CO_MOT_CON</t>
  </si>
  <si>
    <t>SPR_NON_CO_MOT_TIM_First Click</t>
  </si>
  <si>
    <t>SPR_NON_CO_MOT_TIM_Last Click</t>
  </si>
  <si>
    <t>SPR_NON_CO_MOT_TIM_Page Submit</t>
  </si>
  <si>
    <t>SPR_NON_CO_MOT_TIM_Click Count</t>
  </si>
  <si>
    <t>SPR_EMD_WFI_MOT_VID</t>
  </si>
  <si>
    <t>SPR_EMD_WFI_MOT_CON</t>
  </si>
  <si>
    <t>SPR_EMD_WFI_MOT_TIM_First Click</t>
  </si>
  <si>
    <t>SPR_EMD_WFI_MOT_TIM_Last Click</t>
  </si>
  <si>
    <t>SPR_EMD_WFI_MOT_TIM_Page Submit</t>
  </si>
  <si>
    <t>SPR_EMD_WFI_MOT_TIM_Click Count</t>
  </si>
  <si>
    <t>SPR_EMD_AO_MOT_VID</t>
  </si>
  <si>
    <t>SPR_EMD_AO_MOT_CON</t>
  </si>
  <si>
    <t>SPR_EMD_AO_MOT_TIM_First Click</t>
  </si>
  <si>
    <t>SPR_EMD_AO_MOT_TIM_Last Click</t>
  </si>
  <si>
    <t>SPR_EMD_AO_MOT_TIM_Page Submit</t>
  </si>
  <si>
    <t>SPR_EMD_AO_MOT_TIM_Click Count</t>
  </si>
  <si>
    <t>SPR_EMD_FO_MOT_VID</t>
  </si>
  <si>
    <t>SPR_EMD_FO_MOT_CON</t>
  </si>
  <si>
    <t>SPR_EMD_FO_MOT_TIM_First Click</t>
  </si>
  <si>
    <t>SPR_EMD_FO_MOT_TIM_Last Click</t>
  </si>
  <si>
    <t>SPR_EMD_FO_MOT_TIM_Page Submit</t>
  </si>
  <si>
    <t>SPR_EMD_FO_MOT_TIM_Click Count</t>
  </si>
  <si>
    <t>SPR_EMD_ER_MOT_VID</t>
  </si>
  <si>
    <t>SPR_EMD_ER_MOT_CON</t>
  </si>
  <si>
    <t>SPR_EMD_ER_MOT_TIM_First Click</t>
  </si>
  <si>
    <t>SPR_EMD_ER_MOT_TIM_Last Click</t>
  </si>
  <si>
    <t>SPR_EMD_ER_MOT_TIM_Page Submit</t>
  </si>
  <si>
    <t>SPR_EMD_ER_MOT_TIM_Click Count</t>
  </si>
  <si>
    <t>SPR_EMD_CO_MOT_VID</t>
  </si>
  <si>
    <t>SPR_EMD_CO_MOT_CON</t>
  </si>
  <si>
    <t>SPR_EMD_CO_MOT_TIM_First Click</t>
  </si>
  <si>
    <t>SPR_EMD_CO_MOT_TIM_Last Click</t>
  </si>
  <si>
    <t>SPR_EMD_CO_MOT_TIM_Page Submit</t>
  </si>
  <si>
    <t>SPR_EMD_CO_MOT_TIM_Click Count</t>
  </si>
  <si>
    <t>SPR_DYN_WFI_MOT_VID</t>
  </si>
  <si>
    <t>SPR_DYN_WFI_MOT_CON</t>
  </si>
  <si>
    <t>SPR_DYN_WFI_MOT_TIM_First Click</t>
  </si>
  <si>
    <t>SPR_DYN_WFI_MOT_TIM_Last Click</t>
  </si>
  <si>
    <t>SPR_DYN_WFI_MOT_TIM_Page Submit</t>
  </si>
  <si>
    <t>SPR_DYN_WFI_MOT_TIM_Click Count</t>
  </si>
  <si>
    <t>SPR_DYN_AO_MOT_VID</t>
  </si>
  <si>
    <t>SPR_DYN_AO_MOT_CON</t>
  </si>
  <si>
    <t>SPR_DYN_AO_MOT_TIM_First Click</t>
  </si>
  <si>
    <t>SPR_DYN_AO_MOT_TIM_Last Click</t>
  </si>
  <si>
    <t>SPR_DYN_AO_MOT_TIM_Page Submit</t>
  </si>
  <si>
    <t>SPR_DYN_AO_MOT_TIM_Click Count</t>
  </si>
  <si>
    <t>SPR_DYN_FO_MOT_VID</t>
  </si>
  <si>
    <t>SPR_DYN_FO_MOT_CON</t>
  </si>
  <si>
    <t>SPR_DYN_FO_MOT_TIM_First Click</t>
  </si>
  <si>
    <t>SPR_DYN_FO_MOT_TIM_Last Click</t>
  </si>
  <si>
    <t>SPR_DYN_FO_MOT_TIM_Page Submit</t>
  </si>
  <si>
    <t>SPR_DYN_FO_MOT_TIM_Click Count</t>
  </si>
  <si>
    <t>SPR_DYN_ER_MOT_VID</t>
  </si>
  <si>
    <t>SPR_DYN_ER_MOT_CON</t>
  </si>
  <si>
    <t>SPR_DYN_ER_MOT_TIM_First Click</t>
  </si>
  <si>
    <t>SPR_DYN_ER_MOT_TIM_Last Click</t>
  </si>
  <si>
    <t>SPR_DYN_ER_MOT_TIM_Page Submit</t>
  </si>
  <si>
    <t>SPR_DYN_ER_MOT_TIM_Click Count</t>
  </si>
  <si>
    <t>SPR_DYN_CO_MOT_VID</t>
  </si>
  <si>
    <t>SPR_DYN_CO_MOT_CON</t>
  </si>
  <si>
    <t>SPR_DYN_CO_MOT_TIM_First Click</t>
  </si>
  <si>
    <t>SPR_DYN_CO_MOT_TIM_Last Click</t>
  </si>
  <si>
    <t>SPR_DYN_CO_MOT_TIM_Page Submit</t>
  </si>
  <si>
    <t>SPR_DYN_CO_MOT_TIM_Click Count</t>
  </si>
  <si>
    <t>MIN_ISO_WFI_MOT_VID</t>
  </si>
  <si>
    <t>MIN_ISO_WFI_MOT_CON</t>
  </si>
  <si>
    <t>MIN_ISO_WFI_MOT_TIM_First Click</t>
  </si>
  <si>
    <t>MIN_ISO_WFI_MOT_TIM_Last Click</t>
  </si>
  <si>
    <t>MIN_ISO_WFI_MOT_TIM_Page Submit</t>
  </si>
  <si>
    <t>MIN_ISO_WFI_MOT_TIM_Click Count</t>
  </si>
  <si>
    <t>MIN_ISO_IWO_VID</t>
  </si>
  <si>
    <t>MIN_ISO_IWO_CON</t>
  </si>
  <si>
    <t>MIN_ISO_IWO_TIM_First Click</t>
  </si>
  <si>
    <t>MIN_ISO_IWO_TIM_Last Click</t>
  </si>
  <si>
    <t>MIN_ISO_IWO_TIM_Page Submit</t>
  </si>
  <si>
    <t>MIN_ISO_IWO_TIM_Click Count</t>
  </si>
  <si>
    <t>MIN_ISO_NH_MOT_VID</t>
  </si>
  <si>
    <t>MIN_ISO_NH_MOT_CON</t>
  </si>
  <si>
    <t>Q748_First Click</t>
  </si>
  <si>
    <t>Q748_Last Click</t>
  </si>
  <si>
    <t>Q748_Page Submit</t>
  </si>
  <si>
    <t>Q748_Click Count</t>
  </si>
  <si>
    <t>MIN_NON_WFI_MOT_VID</t>
  </si>
  <si>
    <t>MIN_NON_WFI_MOT_CON</t>
  </si>
  <si>
    <t>MIN_NON_WFI_MOT_TIM_First Click</t>
  </si>
  <si>
    <t>MIN_NON_WFI_MOT_TIM_Last Click</t>
  </si>
  <si>
    <t>MIN_NON_WFI_MOT_TIM_Page Submit</t>
  </si>
  <si>
    <t>MIN_NON_WFI_MOT_TIM_Click Count</t>
  </si>
  <si>
    <t>MIN_NON_IWO_VID</t>
  </si>
  <si>
    <t>MIN_NON_IWO_CON</t>
  </si>
  <si>
    <t>MIN_NON_IWO_TIM_First Click</t>
  </si>
  <si>
    <t>MIN_NON_IWO_TIM_Last Click</t>
  </si>
  <si>
    <t>MIN_NON_IWO_TIM_Page Submit</t>
  </si>
  <si>
    <t>MIN_NON_IWO_TIM_Click Count</t>
  </si>
  <si>
    <t>MIN_NON_NH_MOT_VID</t>
  </si>
  <si>
    <t>MIN_NON_NH_MOT_CON</t>
  </si>
  <si>
    <t>MIN_NON_NH_MOT_TIM_First Click</t>
  </si>
  <si>
    <t>MIN_NON_NH_MOT_TIM_Last Click</t>
  </si>
  <si>
    <t>MIN_NON_NH_MOT_TIM_Page Submit</t>
  </si>
  <si>
    <t>MIN_NON_NH_MOT_TIM_Click Count</t>
  </si>
  <si>
    <t>MIN_EMD_WFI_MOT_VID</t>
  </si>
  <si>
    <t>MIN_EMD_WFI_MOT_CON</t>
  </si>
  <si>
    <t>MIN_EMD_WFI_MOT_TIM_First Click</t>
  </si>
  <si>
    <t>MIN_EMD_WFI_MOT_TIM_Last Click</t>
  </si>
  <si>
    <t>MIN_EMD_WFI_MOT_TIM_Page Submit</t>
  </si>
  <si>
    <t>MIN_EMD_WFI_MOT_TIM_Click Count</t>
  </si>
  <si>
    <t>MIN_EMD_IWO_MOT_VID</t>
  </si>
  <si>
    <t>MIN_EMD_IWO_MOT_CON</t>
  </si>
  <si>
    <t>MIN_EMD_IWO_MOT_TIM_First Click</t>
  </si>
  <si>
    <t>MIN_EMD_IWO_MOT_TIM_Last Click</t>
  </si>
  <si>
    <t>MIN_EMD_IWO_MOT_TIM_Page Submit</t>
  </si>
  <si>
    <t>MIN_EMD_IWO_MOT_TIM_Click Count</t>
  </si>
  <si>
    <t>MIN_EMD_NH_MOT_VID</t>
  </si>
  <si>
    <t>MIN_EMD_NH_MOT_CON</t>
  </si>
  <si>
    <t>MIN_EMD_NH_MOT_TIM_First Click</t>
  </si>
  <si>
    <t>MIN_EMD_NH_MOT_TIM_Last Click</t>
  </si>
  <si>
    <t>MIN_EMD_NH_MOT_TIM_Page Submit</t>
  </si>
  <si>
    <t>MIN_EMD_NH_MOT_TIM_Click Count</t>
  </si>
  <si>
    <t>MIN_DYN_WFI_MOT_VID</t>
  </si>
  <si>
    <t>MIN_DYN_WFI_MOT_CON</t>
  </si>
  <si>
    <t>MIN_DYN_WFI_MOT_TIM_First Click</t>
  </si>
  <si>
    <t>MIN_DYN_WFI_MOT_TIM_Last Click</t>
  </si>
  <si>
    <t>MIN_DYN_WFI_MOT_TIM_Page Submit</t>
  </si>
  <si>
    <t>MIN_DYN_WFI_MOT_TIM_Click Count</t>
  </si>
  <si>
    <t>MIN_DYN_IWO_MOT_VID</t>
  </si>
  <si>
    <t>MIN_DYN_IWO_MOT_CON</t>
  </si>
  <si>
    <t>MIN_DYN_IWO_MOT_TIM_First Click</t>
  </si>
  <si>
    <t>MIN_DYN_IWO_MOT_TIM_Last Click</t>
  </si>
  <si>
    <t>MIN_DYN_IWO_MOT_TIM_Page Submit</t>
  </si>
  <si>
    <t>MIN_DYN_IWO_MOT_TIM_Click Count</t>
  </si>
  <si>
    <t>MIN_DYN_NH_MOT_VID</t>
  </si>
  <si>
    <t>MIN_DYN_NH_MOT_CON</t>
  </si>
  <si>
    <t>MIN_DYN_NH_MOT_TIM_First Click</t>
  </si>
  <si>
    <t>MIN_DYN_NH_MOT_TIM_Last Click</t>
  </si>
  <si>
    <t>MIN_DYN_NH_MOT_TIM_Page Submit</t>
  </si>
  <si>
    <t>MIN_DYN_NH_MOT_TIM_Click Count</t>
  </si>
  <si>
    <t>aspects_waiting</t>
  </si>
  <si>
    <t>should_have_waitin</t>
  </si>
  <si>
    <t>aspects_anapin</t>
  </si>
  <si>
    <t>should_have_anapin</t>
  </si>
  <si>
    <t>aspects_foundpin</t>
  </si>
  <si>
    <t>should_have_foundpin</t>
  </si>
  <si>
    <t>aspects_error</t>
  </si>
  <si>
    <t>should_have_error</t>
  </si>
  <si>
    <t>aspects_confus</t>
  </si>
  <si>
    <t>should_have_confused</t>
  </si>
  <si>
    <t>final_feedback</t>
  </si>
  <si>
    <t>email_capture</t>
  </si>
  <si>
    <t>SectionCounter</t>
  </si>
  <si>
    <t>GroupOrder</t>
  </si>
  <si>
    <t>VideoCounter</t>
  </si>
  <si>
    <t>Create New Field or Choose From Dropdown...</t>
  </si>
  <si>
    <t>Q_DataPolicyViolations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</si>
  <si>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</si>
  <si>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</si>
  <si>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</si>
  <si>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</si>
  <si>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</si>
  <si>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</si>
  <si>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</si>
  <si>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</si>
  <si>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</si>
  <si>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</si>
  <si>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</si>
  <si>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</si>
  <si>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</si>
  <si>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</si>
  <si>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 consent to the following: - Provide non-identifying personal data (age, field of work, etc.)</t>
  </si>
  <si>
    <t>I consent to the following: - Watch and provide feedback on videos of expressive robots</t>
  </si>
  <si>
    <t>I consent to the following: - Answer a questionnaire regarding the videos of robots</t>
  </si>
  <si>
    <t>I consent to the following: - Have my non-identifying data published in academic publications and shared in online data repositories</t>
  </si>
  <si>
    <t>What is your current industry of occupation?</t>
  </si>
  <si>
    <t>Do you currently or have you previously owned any pets?</t>
  </si>
  <si>
    <t>How often do you... - Interact with everyday technology (e.g. use a smartphone, computer or tablet)</t>
  </si>
  <si>
    <t>How often do you... - Observe or interact with robots at home (e.g. supervise a vacuum robot)</t>
  </si>
  <si>
    <t>How often do you... - Observe or interact with robots at work (e.g. collaborativly pack a box with a robot arm)</t>
  </si>
  <si>
    <t>How often do you... - Observe or interact with robots in public (e.g. observe a grocery store cleaning robot)</t>
  </si>
  <si>
    <t>Video [Field-VideoCounter]: Watch the video below and indicate which robot state you think Calcifer is communicating.</t>
  </si>
  <si>
    <t>Indicate your confidence in your response:</t>
  </si>
  <si>
    <t>Timing - First Click</t>
  </si>
  <si>
    <t>Timing - Last Click</t>
  </si>
  <si>
    <t>Timing - Page Submit</t>
  </si>
  <si>
    <t>Timing - Click Count</t>
  </si>
  <si>
    <t>Based on what you saw in the videos, what aspects of the robot's body language did you associate with the state Waiting for Input?</t>
  </si>
  <si>
    <t>Describe what you think the robot should have done to express the state Waiting for Input?</t>
  </si>
  <si>
    <t>Based on what you saw in the videos, what aspects of the robot's body language did you associate with the state Analyzing Pinecone?</t>
  </si>
  <si>
    <t>Describe what you think the robot should have done to express the state Analyzing Pinecone?</t>
  </si>
  <si>
    <t>Based on what you saw in the videos, what aspects of the robot's body language did you associate with the state Found Pinecone?</t>
  </si>
  <si>
    <t>Describe what you think the robot should have done to express the state Found Pinecone?</t>
  </si>
  <si>
    <t>Based on what you saw in the videos, what aspects of the robot's body language did you associate with the state Error?</t>
  </si>
  <si>
    <t>Describe what you think the robot should have done to express the state Error?</t>
  </si>
  <si>
    <t>Based on what you saw in the videos, what aspects of the robot's body language did you associate with the state Confused?</t>
  </si>
  <si>
    <t>Describe what you think the robot should have done to express the state Confused?</t>
  </si>
  <si>
    <t>Optional | Is there any other feedback you’d like to provide related to the robot, this study, or this
research in general?</t>
  </si>
  <si>
    <t>Optional | If you are interested in participating in our future online studies, please provide your email below. This data will not be shared with anyone or used for any other purpose beyond contacting you regarding our future research studies.
Your response has not been submitted yet. Hit next to continue.</t>
  </si>
  <si>
    <t>185.153.179.23</t>
  </si>
  <si>
    <t>True</t>
  </si>
  <si>
    <t>R_7riMjeGOoUZ7EKu</t>
  </si>
  <si>
    <t/>
  </si>
  <si>
    <t>anonymous</t>
  </si>
  <si>
    <t>EN</t>
  </si>
  <si>
    <t>Yes</t>
  </si>
  <si>
    <t>Academic (e.g. student, teacher)</t>
  </si>
  <si>
    <t>Dog</t>
  </si>
  <si>
    <t>Nearly every day or more</t>
  </si>
  <si>
    <t>Never</t>
  </si>
  <si>
    <t>At least once per week</t>
  </si>
  <si>
    <t>Waiting for Input | Calcifer is in standby mode, waiting for a command from you.</t>
  </si>
  <si>
    <t>Somewhat Confident</t>
  </si>
  <si>
    <t>Analyzing Pinecone | Calcifer is analyzing a target pinecone to assess its size.</t>
  </si>
  <si>
    <t>Fully Confident</t>
  </si>
  <si>
    <t>Error | Calcifer is signalling to you that it is experiencing a critical error.</t>
  </si>
  <si>
    <t>Very Confident</t>
  </si>
  <si>
    <t>Not Very Confident</t>
  </si>
  <si>
    <t>Confused | Calcifer is signalling to you that it is confused and unsure what to do.</t>
  </si>
  <si>
    <t>Found Pinecone | Calcifer is signalling to you that it has found a suitable pinecone.</t>
  </si>
  <si>
    <t>Interacting with Pinecone | Calcifer is interacting with a target pinecone.</t>
  </si>
  <si>
    <t>Needs Help | Calcifer is signalling to you that it needs your help.</t>
  </si>
  <si>
    <t xml:space="preserve">Looking at me and not moving </t>
  </si>
  <si>
    <t xml:space="preserve">Looking at me and not moving  </t>
  </si>
  <si>
    <t xml:space="preserve">Was crouching down to look at the pinecone </t>
  </si>
  <si>
    <t xml:space="preserve">Crouching down and looking at a pinecone </t>
  </si>
  <si>
    <t xml:space="preserve">Looking at me while in front of a pinecone </t>
  </si>
  <si>
    <t>Maybe a distinctive movement to get my attention</t>
  </si>
  <si>
    <t xml:space="preserve">Shaking </t>
  </si>
  <si>
    <t xml:space="preserve">Shaking or lying down </t>
  </si>
  <si>
    <t xml:space="preserve">Tilting its head and shoulder  </t>
  </si>
  <si>
    <t>colleen.ogilvie@ucalgary.ca</t>
  </si>
  <si>
    <t>2</t>
  </si>
  <si>
    <t>20</t>
  </si>
  <si>
    <t>106.70.72.222</t>
  </si>
  <si>
    <t>R_4WAuQLonzRKrSfC</t>
  </si>
  <si>
    <t>Dog,Fish</t>
  </si>
  <si>
    <t>Less than once per month</t>
  </si>
  <si>
    <t>When the robot was still but not facing the pine cones</t>
  </si>
  <si>
    <t>Point it's head up at the user</t>
  </si>
  <si>
    <t>When the robot was looking down directly at the pine cone</t>
  </si>
  <si>
    <t xml:space="preserve">When the robot was looking up from the pinecones </t>
  </si>
  <si>
    <t>When the robot was shaking a lot and the body tilt was not level</t>
  </si>
  <si>
    <t>A lot of shaky movement, ideally pointing at the user</t>
  </si>
  <si>
    <t>When the robot was tilted away from the pinecones</t>
  </si>
  <si>
    <t>12</t>
  </si>
  <si>
    <t>1.145.210.32</t>
  </si>
  <si>
    <t>R_47j7XUtfSdILY1E</t>
  </si>
  <si>
    <t>Cat</t>
  </si>
  <si>
    <t>A few times per month</t>
  </si>
  <si>
    <t>Not Confident at All</t>
  </si>
  <si>
    <t xml:space="preserve">A neutral state with no motion. I usually associated this state with flat poses and a gaze either not directed at anything or directed at me, waiting for me to give a command. Generally, I was more confident assigning this state to poses that did not have any specific focus, i.e. the pine cones or camera.  </t>
  </si>
  <si>
    <t>I would expect a neutral pose, with no movement or extended limbs.</t>
  </si>
  <si>
    <t>I found this to be the most obvious pose, indicated by the robot looking directly at the pine cones. A tilt towards the pine cones also made this more obvious.</t>
  </si>
  <si>
    <t>Looking at the pine cones from close range with raised back legs and lowered front legs was an obvious indication that the robot was analyzing the pine cones.</t>
  </si>
  <si>
    <t>I didn't see many poses that I associated with this state. I think the only pose that I assigned to this group was looking upward while standing in front of the pine cones.</t>
  </si>
  <si>
    <t>I would have expected the robot to face me and move its front up and down, almost like an excited dog. Alternatively, moving its gaze between me and the cones repeatedly would have indicated that it was trying to bring them to my attention.</t>
  </si>
  <si>
    <t>I mostly associated this state with jittery motions, usually while looking at the camera.</t>
  </si>
  <si>
    <t>I think jittery motions are a good way to convey error, possibly in a lowered stance (like a cowering animal).</t>
  </si>
  <si>
    <t>I associated this state with a lopsided pose, like a shrugging shoulder.</t>
  </si>
  <si>
    <t>I think the shrugging motion was effective, especially while looking at the camera. It gave the impression that the robot was asking a question.</t>
  </si>
  <si>
    <t>I think that the poses are good static presentations of the states, but dynamic/repeated motions (such as the one I described for found pinecone) could have been more descriptive. Overall, I think I felt more confident with the first group of videos. It could also be helpful to view the same poses in slightly different contexts (locations, camera angles etc.) to better understand them. I'm not expecting you to make any of these changes, but just some thoughts. A few other notes: some of the videos said 'full screen unavailable', although this wasn't much of an issue. Also, a lot of the videos felt very similar and sometimes the same clip seemed to repeat a few times, not sure if that's intentional or if its randomized though. Finally, if the scenario is the same for the 2 video sets, any need to introduce it twice? It's all looking good though Liam, good luck with the final edits.</t>
  </si>
  <si>
    <t>120.159.76.92</t>
  </si>
  <si>
    <t>R_4pnywJ4fzDl5YOv</t>
  </si>
  <si>
    <t>Standing still and looking up at me</t>
  </si>
  <si>
    <t xml:space="preserve">Sitting on its back legs and looking up at me. </t>
  </si>
  <si>
    <t xml:space="preserve">Starting at the pinecone. </t>
  </si>
  <si>
    <t xml:space="preserve">That seemed fine. </t>
  </si>
  <si>
    <t>Bending down to stare at the pinecone</t>
  </si>
  <si>
    <t>The robot should have starred at the pinecone and shaked  its behind, to imitate tail wagging</t>
  </si>
  <si>
    <t>Uncontrollable shaking (although I didn't understand this at first)</t>
  </si>
  <si>
    <t xml:space="preserve">Lie down on its side or back </t>
  </si>
  <si>
    <t>Head twisting to the side and starting at me</t>
  </si>
  <si>
    <t xml:space="preserve">More prominent head twisting. Perhaps sitting down. </t>
  </si>
  <si>
    <t xml:space="preserve">I think that the behaviours should be more distinct from each other. The differences are too nuanced at the moment. Also, I'm assuming a person interacting with the robot will get a manual telling them about these behaviours - "the robot will wag its tale once it achieves a task". So all you really have to do is make all of the behaviours distinct enough for a human to identify.  </t>
  </si>
  <si>
    <t>mor.vered@monash.edu</t>
  </si>
  <si>
    <t>three_then_five</t>
  </si>
  <si>
    <t>142.160.47.236</t>
  </si>
  <si>
    <t>R_1YBwOSs3BJxnPKF</t>
  </si>
  <si>
    <t>Healthcare (e.g. doctor, nurse)</t>
  </si>
  <si>
    <t>Dog,Cat,Bird,Fish,Other</t>
  </si>
  <si>
    <t>Looking up</t>
  </si>
  <si>
    <t>Neutral stance, looking up</t>
  </si>
  <si>
    <t>Looking down, kneeling down,</t>
  </si>
  <si>
    <t>The slight head tilt while looking down was good but i think the front legs down and back legs up while looking down work</t>
  </si>
  <si>
    <t xml:space="preserve">This was much harder, looking up front legs up back legs down, a slight bum wiggle initially but later on i found that to be more looking like an error </t>
  </si>
  <si>
    <t>I dont know if you can make it sit like a dog but that would work</t>
  </si>
  <si>
    <t>Any shaky movement, twisting its head while neutral or looking up</t>
  </si>
  <si>
    <t>Can it do all 4 legs down and basically make its belly touch the floor? Almost like a shut down state</t>
  </si>
  <si>
    <t>All 4 legs up or perhaps just the front ones with its head looking up and rotated slightly is exactly how my dog does it. The little head tilt</t>
  </si>
  <si>
    <t>I cant think of a better one than a slight head tilt/rotation</t>
  </si>
  <si>
    <t xml:space="preserve">Several of the videos looked almost exactly the same, i had to check to make sure i was watching the right ones. I'm assuming thats part of the design of your questionnaire but may help to warn about it upfront </t>
  </si>
  <si>
    <t>five_then_three</t>
  </si>
  <si>
    <t>130.194.140.55</t>
  </si>
  <si>
    <t>R_4FiDGZYwJzUN2Ux</t>
  </si>
  <si>
    <t>No</t>
  </si>
  <si>
    <t>The robot is facing towards me and staring at me, sometimes with a tilted head(or body).</t>
  </si>
  <si>
    <t>Facing towards me and staring at me, like what a dog would do.</t>
  </si>
  <si>
    <t>Staring at the pinecone.</t>
  </si>
  <si>
    <t>Staring at the pinecone and also moving its head around to scan the pinecone.</t>
  </si>
  <si>
    <t>Staring at the pinecone, then stare at me, repeat for a few time to get my attention.</t>
  </si>
  <si>
    <t>Shaking? I'm not sure.</t>
  </si>
  <si>
    <t>I'm not sure, maybe lay on the ground, pretending it's sick.</t>
  </si>
  <si>
    <t>Tilted head/body.</t>
  </si>
  <si>
    <t>Haoyang.Jiang@monash.edu</t>
  </si>
  <si>
    <t>24.78.128.219</t>
  </si>
  <si>
    <t>R_7ZebeaRanGXlxv3</t>
  </si>
  <si>
    <t>Retired</t>
  </si>
  <si>
    <t>Standing away from pine cone and looking up</t>
  </si>
  <si>
    <t>Maybe put a paw out in front</t>
  </si>
  <si>
    <t>Looking intently at the cone</t>
  </si>
  <si>
    <t>Look intently and put rear legs down</t>
  </si>
  <si>
    <t>Standing over the pinecone looking down</t>
  </si>
  <si>
    <t>Look at the pinecone and then up at you</t>
  </si>
  <si>
    <t>Standing away from pinecone and body shakng</t>
  </si>
  <si>
    <t>Laydown on it's side</t>
  </si>
  <si>
    <t>Looking up and shaking</t>
  </si>
  <si>
    <t>Standing away from pinecone and looking up and shaking body</t>
  </si>
  <si>
    <t>Sometimes the robot's actions were similar and confusing which of the options were being considered</t>
  </si>
  <si>
    <t>jayeshmaniar@gmail,com</t>
  </si>
  <si>
    <t>130.194.140.112</t>
  </si>
  <si>
    <t>R_97ucJYqNpZNTKi5</t>
  </si>
  <si>
    <t>Dog,Cat</t>
  </si>
  <si>
    <t>lower body and holding position</t>
  </si>
  <si>
    <t>look at me and stay still</t>
  </si>
  <si>
    <t>look at pinecone and stay still</t>
  </si>
  <si>
    <t>Look at the pinecone and tail shaking</t>
  </si>
  <si>
    <t>shaking weridly</t>
  </si>
  <si>
    <t>unexpected movement like it is faulty</t>
  </si>
  <si>
    <t>maybe shaking horizontally?</t>
  </si>
  <si>
    <t>70.72.194.78</t>
  </si>
  <si>
    <t>R_3lI0e6W07dTDGmZ</t>
  </si>
  <si>
    <t>Engineering (e.g. design, consulting)</t>
  </si>
  <si>
    <t>Staying still and looking at me through its camera</t>
  </si>
  <si>
    <t>I think it expresses  pretty clearly that it is waiting for input.</t>
  </si>
  <si>
    <t>looking at pinecones with a nose-down motion</t>
  </si>
  <si>
    <t>The nose-down motion express well its intention.</t>
  </si>
  <si>
    <t>Staying still and looking at the sky.</t>
  </si>
  <si>
    <t>I think looking up while staying still is clear enough.</t>
  </si>
  <si>
    <t>Shaking its body.</t>
  </si>
  <si>
    <t>The shaking motion expresses well that the robot is experiencing some kind of problems. (I am not sure it is within your research scope, but a little concern is that this motion may consume unnecessary energy)</t>
  </si>
  <si>
    <t>Slightly tilting it body.</t>
  </si>
  <si>
    <t>I am concerned that tilting the robot's body may cause confusion if the tilt angle is not clearly noticeable, especially when the robot is on sloped terrain (e.g., a mountain). It would be better if the robot could rotate its head (though I'm not sure if it can), so that the user can clearly see the head tilted relative to the body.</t>
  </si>
  <si>
    <t>I am not sure if your research scope is just constrained to interaction with body motions. If it is not, adding other method may greatly increase the robot's communication skills (e.g., lights, sounds, texts...).</t>
  </si>
  <si>
    <t>chanhong.park1@ucalgary.ca</t>
  </si>
  <si>
    <t>130.194.132.91</t>
  </si>
  <si>
    <t>R_4Lok5ssaQvc3QwO</t>
  </si>
  <si>
    <t>Looking at me, with a titled head</t>
  </si>
  <si>
    <t>Look at me with, titled head</t>
  </si>
  <si>
    <t>Lean down and look at pine cone</t>
  </si>
  <si>
    <t>Did not see that state</t>
  </si>
  <si>
    <t>Stare and move, so it is not looking like analysis</t>
  </si>
  <si>
    <t>Robot legs looking shakey</t>
  </si>
  <si>
    <t>Staring at the ground, without a pinecone.</t>
  </si>
  <si>
    <t>Not sure</t>
  </si>
  <si>
    <t>103.131.13.253</t>
  </si>
  <si>
    <t>R_9O6ipay435q2PNT</t>
  </si>
  <si>
    <t>Sit and stay still</t>
  </si>
  <si>
    <t>getting closer to the ground</t>
  </si>
  <si>
    <t>Getting closer to the ground, with some movement for scanning</t>
  </si>
  <si>
    <t>Shaking happily</t>
  </si>
  <si>
    <t>Shaking happily, turning around</t>
  </si>
  <si>
    <t>irregular movements</t>
  </si>
  <si>
    <t>irregular and inconsistent movements</t>
  </si>
  <si>
    <t>Rotating the head</t>
  </si>
  <si>
    <t>rotating the head and looking for help</t>
  </si>
  <si>
    <t>49.127.56.42</t>
  </si>
  <si>
    <t>R_9xK75PTULFqYo7N</t>
  </si>
  <si>
    <t>sitting / looking up, looking at me, not moving</t>
  </si>
  <si>
    <t>(sitting / looking up OR looking at me) AND (not moving)</t>
  </si>
  <si>
    <t>Looking directly at the pinecone. Smooth movements or not moving, tilted body</t>
  </si>
  <si>
    <t>Looking directly at the pinecone. Smooth movements or not moving</t>
  </si>
  <si>
    <t>sitting / looking up, facing towards pinecone, not moving</t>
  </si>
  <si>
    <t>sitting / looking up AND facing towards pinecone AND not moving</t>
  </si>
  <si>
    <t>shaking motion</t>
  </si>
  <si>
    <t>The shaking motion is very clear, but also unnerving. Maybe sleeping would be better</t>
  </si>
  <si>
    <t>tilted body</t>
  </si>
  <si>
    <t>the motions are very cute! I really like your research topic</t>
  </si>
  <si>
    <t>Brandon.Johns@monash.edu</t>
  </si>
  <si>
    <t>24.77.26.184</t>
  </si>
  <si>
    <t>R_1BbowJglfXTJpOP</t>
  </si>
  <si>
    <t>Energy (e.g. renewables)</t>
  </si>
  <si>
    <t>Sit up and look at you</t>
  </si>
  <si>
    <t>Sit and lookup at you</t>
  </si>
  <si>
    <t>Looking at pinecone with scanning movement to analyze pinecone</t>
  </si>
  <si>
    <t>Scan pinecone in side to side and up and down movement</t>
  </si>
  <si>
    <t xml:space="preserve">Looking down and dropping front in direction of pinecone </t>
  </si>
  <si>
    <t xml:space="preserve">Touch or get very close to the pinecone with downward head movement </t>
  </si>
  <si>
    <t>Possible Tilting to the side</t>
  </si>
  <si>
    <t>Same state of tilt on whole body</t>
  </si>
  <si>
    <t xml:space="preserve">With the tilt of the head to one side while sitting </t>
  </si>
  <si>
    <t xml:space="preserve">Same. Tilting of head standing or sitting. </t>
  </si>
  <si>
    <t>104.28.124.11</t>
  </si>
  <si>
    <t>R_3sgLX1JHHcY8Mr7</t>
  </si>
  <si>
    <t>Stillness, looking directly at me</t>
  </si>
  <si>
    <t>What he expressed made sense to me</t>
  </si>
  <si>
    <t>Crouching down, looking at pinecone</t>
  </si>
  <si>
    <t xml:space="preserve">Maybe some more movement? I found it difficult to know when he was analysing vs signalling. </t>
  </si>
  <si>
    <t xml:space="preserve">I couldn’t tell the difference between analyzing and is indicating a found pine cone. </t>
  </si>
  <si>
    <t>I guess the crouching down but still?</t>
  </si>
  <si>
    <t>When he was shaking</t>
  </si>
  <si>
    <t>I think that made sense</t>
  </si>
  <si>
    <t>When he titled his head/body</t>
  </si>
  <si>
    <t>Also made sense to me</t>
  </si>
  <si>
    <t>116.255.54.37</t>
  </si>
  <si>
    <t>R_9QFzKQ2hsgJFdSx</t>
  </si>
  <si>
    <t>Fish</t>
  </si>
  <si>
    <t>Looking at the user</t>
  </si>
  <si>
    <t>Looking at the user, not shaking, flat not tilted</t>
  </si>
  <si>
    <t>Looking at the ground, tilting body</t>
  </si>
  <si>
    <t>Looking at the ground, flat</t>
  </si>
  <si>
    <t>Shaking motion looking at the user</t>
  </si>
  <si>
    <t>Looking at the user head tilted</t>
  </si>
  <si>
    <t xml:space="preserve">tsam0009@student.monash.edu
</t>
  </si>
  <si>
    <t>24.66.134.148</t>
  </si>
  <si>
    <t>False</t>
  </si>
  <si>
    <t>R_7CsaZewVAJAl9J0</t>
  </si>
  <si>
    <t>1</t>
  </si>
  <si>
    <t>4</t>
  </si>
  <si>
    <t>68.146.22.107</t>
  </si>
  <si>
    <t>R_56oyO4Os4M6bCJb</t>
  </si>
  <si>
    <t>Technology (e.g. app developer)</t>
  </si>
  <si>
    <t>Dog,Cat,Rabbit,Fish</t>
  </si>
  <si>
    <t>Looking at me.</t>
  </si>
  <si>
    <t>Look at me</t>
  </si>
  <si>
    <t>Looking at pinecones</t>
  </si>
  <si>
    <t>Look at pinecones</t>
  </si>
  <si>
    <t>Looking at pinecones and wagging</t>
  </si>
  <si>
    <t>Look at pinecones and wag</t>
  </si>
  <si>
    <t>Looking at ground and crouching with a tilt</t>
  </si>
  <si>
    <t>Lie down and roll over to play dead</t>
  </si>
  <si>
    <t>Look at ground and move front of body side to side</t>
  </si>
  <si>
    <t>Look at ground and move front of body side to side as if shaking ones head to say 'no'</t>
  </si>
  <si>
    <t>The greater the range of motion of the robot the easier it will be communicate their state.</t>
  </si>
  <si>
    <t>Rainer@Iraschko.net</t>
  </si>
  <si>
    <t>66.183.102.57</t>
  </si>
  <si>
    <t>R_3tsc7fmIkaerHJn</t>
  </si>
  <si>
    <t>136.226.79.7</t>
  </si>
  <si>
    <t>R_5Y9rumy3PJyVL9I</t>
  </si>
  <si>
    <t>Looking at me and sat still</t>
  </si>
  <si>
    <t>Looking at pinecone not moving</t>
  </si>
  <si>
    <t>Looking at pinecone and moving</t>
  </si>
  <si>
    <t>Look at pinecone then look at me or sit next to the pinecone</t>
  </si>
  <si>
    <t>Shaking, not looking at anything</t>
  </si>
  <si>
    <t>Lay down and not move</t>
  </si>
  <si>
    <t>Tilted head</t>
  </si>
  <si>
    <t>Tilt head</t>
  </si>
  <si>
    <t>A lot of the videos look the same</t>
  </si>
  <si>
    <t>220.233.4.109</t>
  </si>
  <si>
    <t>R_9q1SqyY6LCOxUGk</t>
  </si>
  <si>
    <t>Bird</t>
  </si>
  <si>
    <t>sitting or standing still and facing me</t>
  </si>
  <si>
    <t>sitting still and facing me</t>
  </si>
  <si>
    <t>standing with lowered front while facing the pinecone</t>
  </si>
  <si>
    <t>small head movement that looks like "scanning" the pinecone, or circling around the pinecone</t>
  </si>
  <si>
    <t>sitting next to the pinecone with head tilted towards the pinecone while facing me</t>
  </si>
  <si>
    <t>look at pinecone, then look at me</t>
  </si>
  <si>
    <t>trembles</t>
  </si>
  <si>
    <t>head scratches? lying upside down? this one is kinda hard to communicate and probably depends on what error the robot is experiencing</t>
  </si>
  <si>
    <t>I consider confused as a type of error, so it's difficult to distinguish them</t>
  </si>
  <si>
    <t>some states are difficult to distinguish from gesture alone, such as sitting still may either be waiting for inputs or pinecone found</t>
  </si>
  <si>
    <t>Leimin.Tian@monash.edu</t>
  </si>
  <si>
    <t>50.98.17.157</t>
  </si>
  <si>
    <t>R_5GjLlCHb4av6RQT</t>
  </si>
  <si>
    <t>Other</t>
  </si>
  <si>
    <t>Dog,Cat,Rabbit,Other</t>
  </si>
  <si>
    <t>Standing still</t>
  </si>
  <si>
    <t>Neutral, still, maybe looking at you</t>
  </si>
  <si>
    <t xml:space="preserve">Staring at a pinecone </t>
  </si>
  <si>
    <t>I think this one was accurate, though it was hard to distinguish analyzing and finding pinecones</t>
  </si>
  <si>
    <t>Standing over pinecone neutral stance</t>
  </si>
  <si>
    <t>After analyzing, making contact with owner in some way</t>
  </si>
  <si>
    <t xml:space="preserve">Glitchy, trembling look </t>
  </si>
  <si>
    <t xml:space="preserve">Lie down </t>
  </si>
  <si>
    <t>Tilted body, cocked head</t>
  </si>
  <si>
    <t>This one was accurate</t>
  </si>
  <si>
    <t>198.48.144.85</t>
  </si>
  <si>
    <t>R_5h3bXLhIsIQHDIV</t>
  </si>
  <si>
    <t>Dog,Fish,Other</t>
  </si>
  <si>
    <t>static pose, gaze oriented towards viewer, "head tilt"</t>
  </si>
  <si>
    <t>same as previous</t>
  </si>
  <si>
    <t>gaze directed at pinecones</t>
  </si>
  <si>
    <t>unsure</t>
  </si>
  <si>
    <t>body oriented towards pinecone, but angled upwards (not looking at them)</t>
  </si>
  <si>
    <t>resting pose (flat, not moving)</t>
  </si>
  <si>
    <t>depends on the error - probably lie down</t>
  </si>
  <si>
    <t>shaking</t>
  </si>
  <si>
    <t>tilt back and forth</t>
  </si>
  <si>
    <t>68.147.96.134</t>
  </si>
  <si>
    <t>R_7784oRAC9TBfTVs</t>
  </si>
  <si>
    <t>Cat,Fish</t>
  </si>
  <si>
    <t>Still body</t>
  </si>
  <si>
    <t>It did a good job. Maybe sitting down and waiting?</t>
  </si>
  <si>
    <t>Facing the pinecone</t>
  </si>
  <si>
    <t>It did a good job - maybe touching it?</t>
  </si>
  <si>
    <t>Slight head movement looking at me</t>
  </si>
  <si>
    <t>Maybe a combination of looking at pine cone and looking back at me</t>
  </si>
  <si>
    <t>Shaking motions</t>
  </si>
  <si>
    <t xml:space="preserve">It was good but more erratic shaking. </t>
  </si>
  <si>
    <t xml:space="preserve">It was hard to differentiate between this and error. </t>
  </si>
  <si>
    <t>That was cool!</t>
  </si>
  <si>
    <t>72.143.236.37</t>
  </si>
  <si>
    <t>R_65JfEUbvx4I2EBb</t>
  </si>
  <si>
    <t xml:space="preserve">Body lowering, facing my direction </t>
  </si>
  <si>
    <t>Same as above (body lowering and facing my direction)</t>
  </si>
  <si>
    <t>Looking at pinecone with rear end in the air</t>
  </si>
  <si>
    <t>Same as above, but if head could swivel, would be more clear)</t>
  </si>
  <si>
    <t>Standing facing pinecone, rear in the air (same as analyzing)</t>
  </si>
  <si>
    <t>Standing facing pinecone, rear in the air (no head swivel)</t>
  </si>
  <si>
    <t>Body shaking erratically</t>
  </si>
  <si>
    <t xml:space="preserve">Body shaking erratically </t>
  </si>
  <si>
    <t>Looking at me, swivelling head to the side</t>
  </si>
  <si>
    <t>Same as above</t>
  </si>
  <si>
    <t xml:space="preserve">Please don't use this research for any robots that will be used in war </t>
  </si>
  <si>
    <t>24.76.74.105</t>
  </si>
  <si>
    <t>R_5q2DW39OQmlnFHf</t>
  </si>
  <si>
    <t>Dog,Cat,Rabbit,Bird,Fish</t>
  </si>
  <si>
    <t>Standing to side of cones</t>
  </si>
  <si>
    <t>Looked at it then looked away</t>
  </si>
  <si>
    <t>Bending down to sniff them</t>
  </si>
  <si>
    <t>Was good</t>
  </si>
  <si>
    <t>Bend down and wiggle</t>
  </si>
  <si>
    <t>Did nothing</t>
  </si>
  <si>
    <t xml:space="preserve">Do nothing tuen </t>
  </si>
  <si>
    <t>Turn head a few times and look away</t>
  </si>
  <si>
    <t>Good</t>
  </si>
  <si>
    <t>24.76.206.15</t>
  </si>
  <si>
    <t>R_5V449fXhZ4fyxs5</t>
  </si>
  <si>
    <t>Looking upward toward the user to see a command</t>
  </si>
  <si>
    <t xml:space="preserve">None. Action was clear. </t>
  </si>
  <si>
    <t>Looking downward and tilting body toward the pinecone on the ground</t>
  </si>
  <si>
    <t>Looking downward and tilting body toward pinecone on the ground</t>
  </si>
  <si>
    <t>It was hard to tell the difference between analyzing and found. Lowering entire body to the ground could have indicated a found pinecone</t>
  </si>
  <si>
    <t xml:space="preserve">Staring straight a head. Lowering entire body slightly </t>
  </si>
  <si>
    <t>Staring straight ahead and moving entire body up and down to attract attention</t>
  </si>
  <si>
    <t>Tilted head and body</t>
  </si>
  <si>
    <t>207.148.150.66</t>
  </si>
  <si>
    <t>R_5Etk2Vhd8p7qT3t</t>
  </si>
  <si>
    <t>Dog,Cat,Bird</t>
  </si>
  <si>
    <t>Waiting for Input  | Calcifer is in standby mode, waiting for a command from you.</t>
  </si>
  <si>
    <t>looking "into eyes"</t>
  </si>
  <si>
    <t>look into my eyes</t>
  </si>
  <si>
    <t>looking on the pinecone with its front part lower than its back part</t>
  </si>
  <si>
    <t>it was doing it clearly</t>
  </si>
  <si>
    <t>looking on pinecone</t>
  </si>
  <si>
    <t>first look on the pinecone then look into my eyes</t>
  </si>
  <si>
    <t>get into a bit weird pose</t>
  </si>
  <si>
    <t>It was clear in videos</t>
  </si>
  <si>
    <t>R_5CwHPdnJm0Q5exI</t>
  </si>
  <si>
    <t>The robot was still. Not moving too much. Looking at the camera</t>
  </si>
  <si>
    <t>The robot should not move, or maybe even laid down on the ground.</t>
  </si>
  <si>
    <t xml:space="preserve">When the robot was looking closely at the pinecone, having its head face the pinecone. </t>
  </si>
  <si>
    <t xml:space="preserve">It would be very clear iif the robot had some sort of status light on its back to show red if it was bad or green if it was good. </t>
  </si>
  <si>
    <t>When the robot stood proud facing the pinecone. This was a harder state to figure out because it seems like it should be the same things as analyzing the pinecone for the body position.</t>
  </si>
  <si>
    <t>Described above, if the robot had a status light on its back that was red, green, yellow, or something to show yes/no, this second indicator would help a lot.</t>
  </si>
  <si>
    <t xml:space="preserve">When the robot was shaking its body, it moved kinda unnaturally. </t>
  </si>
  <si>
    <t>The robot could have perhaps had some sort of error sound or alert sound.</t>
  </si>
  <si>
    <t>When the robot tilted its head to the side calmly, this reminded me of how a real dog does it</t>
  </si>
  <si>
    <t>I think when the robot tilted its head in the videos that was very good at showing it was confused. It made sense because this is what a real dog does when it is confused.</t>
  </si>
  <si>
    <t>this was fun! Much easier than the last study when we had to pick all the parts of the robots body language ourselves.</t>
  </si>
  <si>
    <t>49.183.116.48</t>
  </si>
  <si>
    <t>R_3hBOcgFbUtv0NFf</t>
  </si>
  <si>
    <t>Dog,Bird,Fish</t>
  </si>
  <si>
    <t>head tilted up, back down</t>
  </si>
  <si>
    <t>remain still instead of moving</t>
  </si>
  <si>
    <t>head down - slight sideways movements, back up</t>
  </si>
  <si>
    <t>the robot's actions seemed clear</t>
  </si>
  <si>
    <t>head down, back up, remained still</t>
  </si>
  <si>
    <t>wasn't sure</t>
  </si>
  <si>
    <t>jerky movements (jumping up/down) and sort of malfunctioning</t>
  </si>
  <si>
    <t>head up tilted sideways, back down</t>
  </si>
  <si>
    <t>i wasn't sure if the robot is excitedly waiting for input or informing of an error</t>
  </si>
  <si>
    <t>72.143.238.74</t>
  </si>
  <si>
    <t>R_5oG7bKZ1JC669He</t>
  </si>
  <si>
    <t xml:space="preserve">No response </t>
  </si>
  <si>
    <t>Focusing on it</t>
  </si>
  <si>
    <t xml:space="preserve">Focusing and approaching it </t>
  </si>
  <si>
    <t>N/A</t>
  </si>
  <si>
    <t xml:space="preserve">Moving its body while watching the pinecone </t>
  </si>
  <si>
    <t xml:space="preserve">Shaking its body </t>
  </si>
  <si>
    <t xml:space="preserve">Twisting its head </t>
  </si>
  <si>
    <t>103.51.113.20</t>
  </si>
  <si>
    <t>R_75Gnw5ip2pdhc53</t>
  </si>
  <si>
    <t>Looking at the camera</t>
  </si>
  <si>
    <t>Maybe some additional signal other than body language?</t>
  </si>
  <si>
    <t>Heading to the pinecone</t>
  </si>
  <si>
    <t>It is good enough</t>
  </si>
  <si>
    <t>Heading to the camera when there are some pinecones nearby</t>
  </si>
  <si>
    <t>Switch between pinecone and human</t>
  </si>
  <si>
    <t>Random movement</t>
  </si>
  <si>
    <t>Lie on the ground</t>
  </si>
  <si>
    <t>Tilt head and looking at human</t>
  </si>
  <si>
    <t>Maybe now it is good enough if other states (waiting input/error) can be more distinguishable</t>
  </si>
  <si>
    <t>118.139.79.205</t>
  </si>
  <si>
    <t>R_4DXOlE0NHmlGqct</t>
  </si>
  <si>
    <t>Dog in crouch position, head up and looking ahead.</t>
  </si>
  <si>
    <t>Dog in crouch position, head up (clearly not looking at pinecones) and looking straight ahead.</t>
  </si>
  <si>
    <t>Dog proned, staring at the ground near area where pinecones were.</t>
  </si>
  <si>
    <t>Dog proned and staring at the ground near area where pinecones were</t>
  </si>
  <si>
    <t>I associated the dog shaking as a means to gain person's attention.</t>
  </si>
  <si>
    <t>The dog standing on all four legs, somehow actively moving to gain the owner's attention. Not sure what it should have done but the shaking was a bit ambiguous and I thought it may have either meant the dog wanted to gain my attention because it found something, or because something was wrong with it.</t>
  </si>
  <si>
    <t>I also associated the dog shaking as a means to let person know something was wrong.</t>
  </si>
  <si>
    <t>The dog shaking was reasonable to represent error state. If the dog has capabilities of falling on its side and propping back up then I would say tat is a reasonable position to indicate something is wrong (usually you see a dog on its legs but if it fell over you would think something is wrong)</t>
  </si>
  <si>
    <t>Dog crouching, sometimes I associated head tilt of dog while it is crouched as a means of expressing confusion but it was ambiguous.</t>
  </si>
  <si>
    <t>I think the dog crouching with the head tilt is a good indication of dog being confused.</t>
  </si>
  <si>
    <t xml:space="preserve">Overall interesting study! I would like to know what the physical capabilities of the dog is (e.g. is it able to fall on its side and recover into a crouch position?) </t>
  </si>
  <si>
    <t>1.123.222.126</t>
  </si>
  <si>
    <t>R_9pfomRDvenegp8x</t>
  </si>
  <si>
    <t>Retail &amp; Sales (e.g. car sales)</t>
  </si>
  <si>
    <t>Pausing/stasis</t>
  </si>
  <si>
    <t>I think it was appropriate already</t>
  </si>
  <si>
    <t>Leaning down and focusing</t>
  </si>
  <si>
    <t>Sat down/made a more noticeable movement</t>
  </si>
  <si>
    <t>Shaking</t>
  </si>
  <si>
    <t xml:space="preserve">Tilting </t>
  </si>
  <si>
    <t>49.184.101.102</t>
  </si>
  <si>
    <t>R_1dM6PEHpFYodnoU</t>
  </si>
  <si>
    <t>Descend a little bit and stop.</t>
  </si>
  <si>
    <t>Idle and do nothing while face pointing straight to the front.</t>
  </si>
  <si>
    <t>Looking at the pinecones.</t>
  </si>
  <si>
    <t>Looking towards human at the location of pinecone.</t>
  </si>
  <si>
    <t>Repeatedly looking towards pinecone and human.</t>
  </si>
  <si>
    <t>Shaking.</t>
  </si>
  <si>
    <t>Abnormal movements like falling sideways.</t>
  </si>
  <si>
    <t>Tilting the head.</t>
  </si>
  <si>
    <t>122.150.118.125</t>
  </si>
  <si>
    <t>R_9xhg0x0zqWP7kmR</t>
  </si>
  <si>
    <t>standing idle, neutral flat posture, semi crouched</t>
  </si>
  <si>
    <t>look like it's idle, but not turned off</t>
  </si>
  <si>
    <t>torso pointed down, with head directly facing pinecone</t>
  </si>
  <si>
    <t>perhaps move around the pinecone slightly, like checking from different angles</t>
  </si>
  <si>
    <t>movements with body shifted upwards or moving slightly, with attention split between pinecone and user</t>
  </si>
  <si>
    <t>rocking body up and down (pitch angle change) whilst occasionally turning to face the user (yaw change), then looking back to the pinecone. There should be no roll angle as this suggests confusion. Alternatively to full body movement, lifting one paw to point at the pinecones would very clearly represent something was found</t>
  </si>
  <si>
    <t>unfortunately all the juggling glitching movements, but these tend to signal something is badly broken with the hardware, and a sense of instinctive danger, it's also unneccesary wear and tear on the motors to be doing that constantly</t>
  </si>
  <si>
    <t>I think the error state would be better conveyed with an alternate modality such as flashing lights or alerting (but only temporary) sound. This could be combined with a laying down state to conserve the hardware and appear more like a low battery state</t>
  </si>
  <si>
    <t>roll motions of the body, especially near the head. Most animals (human included) turn their head when something confuses them, and this is what people are familiar with processing already</t>
  </si>
  <si>
    <t>What it did, the roll of the head</t>
  </si>
  <si>
    <t>maybe cover the USB ports when taking the robot outside, you'll get stuff stuck in there. I really like the Go1 robot, and can see it doing more than this as a co-worker in a human-robot team, e.g. carry found pinecones, or (with an added gripper) even grasp the pine cones and bring them to the human for approval. I've seen some Go1 research where a small gripper is attached to the existing limbs so the robot can stand on 3 legs whilst grasping an object</t>
  </si>
  <si>
    <t>50.70.194.9</t>
  </si>
  <si>
    <t>R_1UYQudtgUdkovCY</t>
  </si>
  <si>
    <t>Head up, front feet extended, standing or sitting</t>
  </si>
  <si>
    <t>Stood still with head up, front feet extended, butt down, or "sitting"</t>
  </si>
  <si>
    <t>Head down front arms bent, looking towards the pinecones</t>
  </si>
  <si>
    <t>Head down facing the pine cones, butt up. I liked the head tilt, that made it look more like analyzing</t>
  </si>
  <si>
    <t>The robot was moving excitedly like a dog that was happy to see me</t>
  </si>
  <si>
    <t>The robot moving excitedly like a dog happy to see me. It could also have pointed one front leg like a dog that "points" their bent front leg when it sees something</t>
  </si>
  <si>
    <t xml:space="preserve">I can't remember! </t>
  </si>
  <si>
    <t xml:space="preserve">Crouched down on all fours not moving, not facing the pinecones. </t>
  </si>
  <si>
    <t>The head moving back and forth. Standing</t>
  </si>
  <si>
    <t>The head moving back and forth, standing</t>
  </si>
  <si>
    <t>Interesting! Good luck Liam!</t>
  </si>
  <si>
    <t>124.182.65.48</t>
  </si>
  <si>
    <t>R_4ovX906CXezQKGt</t>
  </si>
  <si>
    <t>No motion, not looking at the pine cone and in a neutral body and head position</t>
  </si>
  <si>
    <t>No motion, not looking at the pine cone and in a neutral body and head position (no eye contact)</t>
  </si>
  <si>
    <t>Looking directly at the pinecone (front legs down, back legs up)</t>
  </si>
  <si>
    <t>This state was the hardest to perceive and has mixed association with "Waiting for input". The robot was facing towards the human but with eye contact.</t>
  </si>
  <si>
    <t>The robot should have sat down and made eye contact (no head tilt).</t>
  </si>
  <si>
    <t>Sideways head tilt</t>
  </si>
  <si>
    <t>I found that the second phase with 3 options my confidence in my predictions was significantly higher. The reduction in choices led to less overlapping of shared robot behaviors amongst the conditions. (The survey's presentation is really good and neatly laid out. My only issue is that the text boxes are a single line, making longer comments a bit difficult to read back and review when typing, aside from that 10/10)</t>
  </si>
  <si>
    <t>103.17.235.127</t>
  </si>
  <si>
    <t>R_42tyVhlqfS2knZ9</t>
  </si>
  <si>
    <t>Sitting like a dog would and looking at the operator</t>
  </si>
  <si>
    <t xml:space="preserve">I think possibliy exagerate these movements </t>
  </si>
  <si>
    <t>Staring at it intently for an extended period of time</t>
  </si>
  <si>
    <t>I thought this one was very clear</t>
  </si>
  <si>
    <t>I couldn't tell the difference between this and the previous</t>
  </si>
  <si>
    <t>possibly some kind of celebration dance or something while still looking at pine cone. Some joyful movement</t>
  </si>
  <si>
    <t>I judged the tweaking movement as error</t>
  </si>
  <si>
    <t>I thought this was good possibly rolling over or laying down could also be signals for more critical errors</t>
  </si>
  <si>
    <t>the tilt and look to the operator</t>
  </si>
  <si>
    <t>This was very organic I liked this one good job</t>
  </si>
  <si>
    <t>I think the current error notification was quite unsettling</t>
  </si>
  <si>
    <t>137.186.198.214</t>
  </si>
  <si>
    <t>R_7EShUn2634f6cdr</t>
  </si>
  <si>
    <t>Looking up, still</t>
  </si>
  <si>
    <t xml:space="preserve">Minimal movements, looking toward person </t>
  </si>
  <si>
    <t xml:space="preserve">Tilted down to look at pine cone or ground </t>
  </si>
  <si>
    <t xml:space="preserve">Tilting head </t>
  </si>
  <si>
    <t>Wiggling</t>
  </si>
  <si>
    <t xml:space="preserve">Drawing attention with exaggerated movements </t>
  </si>
  <si>
    <t xml:space="preserve">Looking up and wiggling </t>
  </si>
  <si>
    <t xml:space="preserve">Unusual movements </t>
  </si>
  <si>
    <t>Tilted head, looking up</t>
  </si>
  <si>
    <t>154.5.126.59</t>
  </si>
  <si>
    <t>R_71MYa07Mrehl3rg</t>
  </si>
  <si>
    <t xml:space="preserve">Being neutral with a level body and staring at the operator. </t>
  </si>
  <si>
    <t xml:space="preserve">Cameras focused on the pinecone, body positioned downward towards the pinecone. </t>
  </si>
  <si>
    <t>Standing over a pinecone and looking up toward the sky. The biggest context queue was whether they were standing over a pinecone and not what the robot was trying to communicate.</t>
  </si>
  <si>
    <t>Making this a bigger gesture between analyzing and waiting for input. Raising one leg when they found a suitable match for example, pacing in place, and laying down.</t>
  </si>
  <si>
    <t xml:space="preserve">Gave the sense of glitching with the robot swaying back and forth and making moments that were more jerky. </t>
  </si>
  <si>
    <t xml:space="preserve">Tilting their head to one side and looking at the operator. Had difficulty differentiating between found the pinecone, standby, and confused. </t>
  </si>
  <si>
    <t xml:space="preserve">Tilting their head to one side and looking at the operator. </t>
  </si>
  <si>
    <t xml:space="preserve">This would not be accessible to those who are visually impaired. People who have more difficulty with imagination and understanding emotions (for example people with autism) may have a harder time imagining the scenario and knowing what command the robot is trying to signal. There are multiple variables we are assessing here, (context of scenario, availability of the pinecone, and what the robot is signaling). It might be hard to tell in this survey what variables are contributing to the different answers.  </t>
  </si>
  <si>
    <t>130.194.132.236</t>
  </si>
  <si>
    <t>R_9hRUlhGkSFSZazn</t>
  </si>
  <si>
    <t>Cat,Bird,Fish,Other</t>
  </si>
  <si>
    <t>Remain still</t>
  </si>
  <si>
    <t>Looking at the pine cone</t>
  </si>
  <si>
    <t>Stay still and lie down.</t>
  </si>
  <si>
    <t>Shake unpredictably</t>
  </si>
  <si>
    <t>Move erratically and wave (its) hand</t>
  </si>
  <si>
    <t>104.28.133.26</t>
  </si>
  <si>
    <t>R_51WNWC3WTvZQGqH</t>
  </si>
  <si>
    <t>Neutral position and lowering of body then stillness.</t>
  </si>
  <si>
    <t>What it was doing was good.</t>
  </si>
  <si>
    <t>Leaning into the pinecone and staring at it.</t>
  </si>
  <si>
    <t>This was good way to express that.</t>
  </si>
  <si>
    <t>Looking at the pinecone and leaning in.</t>
  </si>
  <si>
    <t>I found this very similar to analyzing the pinecone and couldn’t tell the difference. It should have rocked back and forth while pointing to the pinecone.</t>
  </si>
  <si>
    <t>Shaking of body “trembling”</t>
  </si>
  <si>
    <t>This was a good way to show that expression.</t>
  </si>
  <si>
    <t>Staring at you and leaning to one side.</t>
  </si>
  <si>
    <t>This was a good way to express that. Leaning to one side.</t>
  </si>
  <si>
    <t>Definitely need better differences between analyzing and finding the right pinecone.</t>
  </si>
  <si>
    <t>204.112.219.83</t>
  </si>
  <si>
    <t>R_1P0NTZ3evgwrw95</t>
  </si>
  <si>
    <t>Dog,Cat,Fish</t>
  </si>
  <si>
    <t>Staying still, face towards you</t>
  </si>
  <si>
    <t>That</t>
  </si>
  <si>
    <t>Crouching and looking at pinecones</t>
  </si>
  <si>
    <t xml:space="preserve">I’m not sure </t>
  </si>
  <si>
    <t>Kneeling before the pine cone or kind of a downward dog towards you</t>
  </si>
  <si>
    <t>Shaking, twitching</t>
  </si>
  <si>
    <t xml:space="preserve">Looking at you with head tilted </t>
  </si>
  <si>
    <t>50.72.118.142</t>
  </si>
  <si>
    <t>R_7zf7zKwg7R2RCXn</t>
  </si>
  <si>
    <t xml:space="preserve">Looking at the camera </t>
  </si>
  <si>
    <t>Look at the camera/person</t>
  </si>
  <si>
    <t xml:space="preserve">Looking at it and sort of moving </t>
  </si>
  <si>
    <t xml:space="preserve">Something similar to what I think it was doing </t>
  </si>
  <si>
    <t xml:space="preserve">This was a bit harder to figure out if it was analyzing or found. But I think something similar to analyzing, looking at the pinecone </t>
  </si>
  <si>
    <t xml:space="preserve">Look at the pine one and make a different motion so it is easier to tell the difference </t>
  </si>
  <si>
    <t xml:space="preserve">I liked the shaking for error </t>
  </si>
  <si>
    <t>Head turn</t>
  </si>
  <si>
    <t xml:space="preserve">Head turn was a good idea </t>
  </si>
  <si>
    <t>207.161.183.249</t>
  </si>
  <si>
    <t>R_7zoML5to2Pm3GSI</t>
  </si>
  <si>
    <t>Dog,Bird,Fish,Other</t>
  </si>
  <si>
    <t xml:space="preserve">Looking at me, not moving, tilted head </t>
  </si>
  <si>
    <t xml:space="preserve">Looking at me, not moving, tilted head, maybe sit </t>
  </si>
  <si>
    <t>Bend fore legs looking at pine cone</t>
  </si>
  <si>
    <t xml:space="preserve">Bend fore legs looking at pine cone </t>
  </si>
  <si>
    <t xml:space="preserve">Looking towards pine cone standing not bent </t>
  </si>
  <si>
    <t xml:space="preserve">Looking in direction of pine cone, maybe lift fore leg like a pointer dog, or sit in front of it and lift fore leg just up </t>
  </si>
  <si>
    <t xml:space="preserve">Nonsense movement </t>
  </si>
  <si>
    <t xml:space="preserve">Nonsense standing movement </t>
  </si>
  <si>
    <t xml:space="preserve">Repetitive movements bending down </t>
  </si>
  <si>
    <t>Repetitive movements bending down with head tilts</t>
  </si>
  <si>
    <t>24.78.188.190</t>
  </si>
  <si>
    <t>R_7YxPngk9Aw5xe2l</t>
  </si>
  <si>
    <t>Looking straight ahead parallel to ground no head tilt head</t>
  </si>
  <si>
    <t xml:space="preserve">Looking down at paw as if to look at wrist watch - paw elevated </t>
  </si>
  <si>
    <t xml:space="preserve">Nose lower to the ground no head tilt legs elevated </t>
  </si>
  <si>
    <t xml:space="preserve">Head moving up and down and side to side as if scanning the pine cones </t>
  </si>
  <si>
    <t xml:space="preserve">Nose down legs lowered </t>
  </si>
  <si>
    <t xml:space="preserve">Nose touching the pinecones </t>
  </si>
  <si>
    <t xml:space="preserve">Body tilt erratic movement </t>
  </si>
  <si>
    <t xml:space="preserve">Red flashing lites </t>
  </si>
  <si>
    <t xml:space="preserve">Head tilt </t>
  </si>
  <si>
    <t xml:space="preserve">2 paws elevated to sky with head tilt </t>
  </si>
  <si>
    <t xml:space="preserve">Can the robot have any lights to demonstrate clearer states </t>
  </si>
  <si>
    <t>pina.mandzik@gmail.com</t>
  </si>
  <si>
    <t>130.194.132.98</t>
  </si>
  <si>
    <t>R_4t9Gw8PhFVcWCQ4</t>
  </si>
  <si>
    <t>Unemployed</t>
  </si>
  <si>
    <t>Facing to me, especially with its head looking up, and it's body is steady (ie, not shaking etc)</t>
  </si>
  <si>
    <t>I think it's good now. To make it better, maybe it can gentally jump up and down? Eg. slightly jump once or twice then stand steady, and jump again after a short while.</t>
  </si>
  <si>
    <t>Facing the pinecone with its head down and back leg straight. Looks like it's staring very hard to the pinecone which may indicate analyzing them.</t>
  </si>
  <si>
    <t>Maybe on top of the 'staring', it can move the head up and down a bit, ie, like 'scanning' the pinecone. That would make the 'analyzing' more obvious.</t>
  </si>
  <si>
    <t>It's probably the one with Calcifer facing the pinecone, and standing with head high up. But I was not very confident about this state.</t>
  </si>
  <si>
    <t>Maybe some more interactive way. Eg, look back and forth between me and the pinecone, so it looks like more wanting me to go and collect them.</t>
  </si>
  <si>
    <t>The body is shaking and in general the posture does not look confortable and a bit awkward.</t>
  </si>
  <si>
    <t>I reckon it's quite obvious now.</t>
  </si>
  <si>
    <t>It stand facing me, with the head tilted to one side.</t>
  </si>
  <si>
    <t>To make it more obvious, can tilt the head gentally (and slowly) back and forth.</t>
  </si>
  <si>
    <t>The study is interesting. For the robot, I think in general, if the robot's movement are more dynamic (add small repetitive slow movements), it may convey the information more clearly.</t>
  </si>
  <si>
    <t>boxuan.zhang@monash.edu</t>
  </si>
  <si>
    <t>24.63.178.166</t>
  </si>
  <si>
    <t>R_1wR6aR2UzpK2RdD</t>
  </si>
  <si>
    <t>Cat,Other</t>
  </si>
  <si>
    <t>Standing still, not twisting body/ body is flat</t>
  </si>
  <si>
    <t>Standing still or looking upwards at the user</t>
  </si>
  <si>
    <t>Body points towards the pinecone, looks down</t>
  </si>
  <si>
    <t>Body points towards the pinecone, looks up</t>
  </si>
  <si>
    <t>robot shakes or moves erratically</t>
  </si>
  <si>
    <t xml:space="preserve">robot shakes or moves erratically, drops to the floor or lies down. </t>
  </si>
  <si>
    <t>head or body tilts</t>
  </si>
  <si>
    <t>head or body tilts. Looks at user while doing so to indicate it needs help</t>
  </si>
  <si>
    <t>katiereeshughes@gmail.com</t>
  </si>
  <si>
    <t>142.59.176.186</t>
  </si>
  <si>
    <t>R_6WAvwhouPevzsGT</t>
  </si>
  <si>
    <t>Staying still and looking up</t>
  </si>
  <si>
    <t>Lowering down on front paws and turning head</t>
  </si>
  <si>
    <t>I don't think I registered any as that option</t>
  </si>
  <si>
    <t>?? Jump? So you're not looking for subtle moves that might look like just analyzing</t>
  </si>
  <si>
    <t>Looking up at me and turning head</t>
  </si>
  <si>
    <t>24.76.195.78</t>
  </si>
  <si>
    <t>R_3Ikrbrh8U2m93Md</t>
  </si>
  <si>
    <t>Still,  facing me</t>
  </si>
  <si>
    <t xml:space="preserve">Be still, sitting or upright position.  </t>
  </si>
  <si>
    <t xml:space="preserve">Leaning towards the pinecone.  Staring at it.  </t>
  </si>
  <si>
    <t xml:space="preserve">Leaned towards the pinecone, focusing on it.  </t>
  </si>
  <si>
    <t xml:space="preserve">Standing still,  facing the pinecone.  </t>
  </si>
  <si>
    <t xml:space="preserve">Face the pinecone,  raise his head,  stand still.  </t>
  </si>
  <si>
    <t xml:space="preserve">Face downwards,  disengage.  </t>
  </si>
  <si>
    <t>Flash a light</t>
  </si>
  <si>
    <t xml:space="preserve">Moving with irregular movements,  not standing or sitting straight.  </t>
  </si>
  <si>
    <t xml:space="preserve">Raising an arm,  like it has a question.  </t>
  </si>
  <si>
    <t>karen.grace.pankratz@gmail.com</t>
  </si>
  <si>
    <t>72.143.225.250</t>
  </si>
  <si>
    <t>R_78rDclIqX3OAQdX</t>
  </si>
  <si>
    <t xml:space="preserve">The robot was still and looking straight ahead. </t>
  </si>
  <si>
    <t>Looking straight ahead and still and sitting</t>
  </si>
  <si>
    <t xml:space="preserve">Looking directly at the pine cone. </t>
  </si>
  <si>
    <t xml:space="preserve">Looking at the pine cone </t>
  </si>
  <si>
    <t>The robots face is lowered and looking at the pine cone. It’s body is “pointing” at the pine cone</t>
  </si>
  <si>
    <t xml:space="preserve">The robot was shaking and twitching. </t>
  </si>
  <si>
    <t xml:space="preserve">Same as above. </t>
  </si>
  <si>
    <t xml:space="preserve">Facing forward with a tilted head. </t>
  </si>
  <si>
    <t>It’s head is tilted and facing forward or at the pine cones</t>
  </si>
  <si>
    <t>None</t>
  </si>
  <si>
    <t>Patrica.meyler@gmail.com</t>
  </si>
  <si>
    <t>206.45.88.8</t>
  </si>
  <si>
    <t>R_67Pg0hhLd6sibdx</t>
  </si>
  <si>
    <t>Trades (e.g. construction)</t>
  </si>
  <si>
    <t>Dog,Cat,Fish,Snake,Other</t>
  </si>
  <si>
    <t>Looking away from ground, or at user</t>
  </si>
  <si>
    <t xml:space="preserve">Not moving. Straight legged. </t>
  </si>
  <si>
    <t xml:space="preserve">Looking at pinecone (front legs bend down) </t>
  </si>
  <si>
    <t xml:space="preserve">Same as above. Looking down at pinecone. </t>
  </si>
  <si>
    <t xml:space="preserve">Looking at pinecone, but shaking the rear legs (like a dog wagging its tail) </t>
  </si>
  <si>
    <t>Similar as above</t>
  </si>
  <si>
    <t xml:space="preserve">Possibly laying down not moving. Depending on the error, other movements may not be possible. </t>
  </si>
  <si>
    <t xml:space="preserve">Looking at user with head tilted. </t>
  </si>
  <si>
    <t>ekbarnson@gmail.com</t>
  </si>
  <si>
    <t>138.194.34.74</t>
  </si>
  <si>
    <t>R_9pmUqXWrC2CqlJ7</t>
  </si>
  <si>
    <t>no movement and look at me</t>
  </si>
  <si>
    <t>use light as indicator</t>
  </si>
  <si>
    <t>looking at the pinecone and move around the pincone</t>
  </si>
  <si>
    <t>looking at the pinecone in different perspectives</t>
  </si>
  <si>
    <t>point its head to the pincone and no movement</t>
  </si>
  <si>
    <t>looking at the pinecone and looking at me in turn</t>
  </si>
  <si>
    <t>unregular body movement</t>
  </si>
  <si>
    <t>maybe circling on the same spot</t>
  </si>
  <si>
    <t>rotate body</t>
  </si>
  <si>
    <t>rotate from oneside to another</t>
  </si>
  <si>
    <t>103.137.15.21</t>
  </si>
  <si>
    <t>R_91F13y2cR4cbNIE</t>
  </si>
  <si>
    <t>Head and chest up, not directly in front of cones</t>
  </si>
  <si>
    <t>Head and chest down, directing cameras towards pinecones</t>
  </si>
  <si>
    <t>Proximity to pinecone</t>
  </si>
  <si>
    <t>Some conspicuous gesture, like bobbing up and down</t>
  </si>
  <si>
    <t>Twitching</t>
  </si>
  <si>
    <t>A simple shake of the head side to side would do</t>
  </si>
  <si>
    <t>Couldn't differentiate between error and confused</t>
  </si>
  <si>
    <t>Unsure</t>
  </si>
  <si>
    <t>50.71.218.135</t>
  </si>
  <si>
    <t>R_6axISGm5OntiZ7x</t>
  </si>
  <si>
    <t>II associated the robot looking at the camera as the waiting state as well as when the robot wasn’t moving while looking elsewhere.</t>
  </si>
  <si>
    <t>I believe the robot should have looked at the camera and then stayed still.</t>
  </si>
  <si>
    <t>I associated the robot looking at the pinecones as analyzing the pinecones.</t>
  </si>
  <si>
    <t xml:space="preserve">I believe the robot should have faced the pinecones and stayed still. </t>
  </si>
  <si>
    <t>I associated the robot slightly shaking with its front higher than its rear with the found cone state.</t>
  </si>
  <si>
    <t>I think the robot should have faced the pinecones and shook slowly.</t>
  </si>
  <si>
    <t>I associated the robot shaking while looking down with the error state as well as the robot’s body being close to the ground.</t>
  </si>
  <si>
    <t>I thing the robot should have stayed close to the ground and have shook.</t>
  </si>
  <si>
    <t>I associate the robots head tilting with the confused state.</t>
  </si>
  <si>
    <t>I think the robots head sh  should have tilted and it should have looked at the camera.</t>
  </si>
  <si>
    <t>222.121.125.95</t>
  </si>
  <si>
    <t>R_12Dz7zo4eiggzsj</t>
  </si>
  <si>
    <t>The robot is steady and starring into the air.</t>
  </si>
  <si>
    <t>Sit like a dog and stare at a user.</t>
  </si>
  <si>
    <t>Lower the body and stare at a pinecone.</t>
  </si>
  <si>
    <t>While lowering the body and starring at a pinecone, slightly raise the hip.</t>
  </si>
  <si>
    <t>Starring at a user in front of the pinecone that it has found.</t>
  </si>
  <si>
    <t>jiggly motion</t>
  </si>
  <si>
    <t>Filp the body upside down</t>
  </si>
  <si>
    <t>Tilting the head like a dog.</t>
  </si>
  <si>
    <t>hojin.song1@monash.edu</t>
  </si>
  <si>
    <t>142.161.97.200</t>
  </si>
  <si>
    <t>R_6TvhjPeLJhbGA8h</t>
  </si>
  <si>
    <t>Minimal movement and not facing pinecone</t>
  </si>
  <si>
    <t>Less movement</t>
  </si>
  <si>
    <t>facing pinecone and closer to pinecone</t>
  </si>
  <si>
    <t>Scan it from various directions?</t>
  </si>
  <si>
    <t>Making some sort of indication that it had found one</t>
  </si>
  <si>
    <t>Facing to turn to the artist for making specific movements that is known to show that it had found the pinecone</t>
  </si>
  <si>
    <t>Erratic movement</t>
  </si>
  <si>
    <t>Nothing different than what it has done</t>
  </si>
  <si>
    <t>130.194.131.153</t>
  </si>
  <si>
    <t>R_9vXUtUZtHDQBy6t</t>
  </si>
  <si>
    <t>in place not moving, and not looking at camera</t>
  </si>
  <si>
    <t>aside from what's in the video, maybe also reclining ot a proned position</t>
  </si>
  <si>
    <t>facing the pinecone and not moving</t>
  </si>
  <si>
    <t>what was seen in the videos</t>
  </si>
  <si>
    <t xml:space="preserve">not moving and looking at camera </t>
  </si>
  <si>
    <t>not sure</t>
  </si>
  <si>
    <t>maybe also making a proned position</t>
  </si>
  <si>
    <t>shaking and looking at camera</t>
  </si>
  <si>
    <t>move but use a different pattern compared to the errored state</t>
  </si>
  <si>
    <t>172.218.35.8</t>
  </si>
  <si>
    <t>R_6eDmWyeoQjJrKtb</t>
  </si>
  <si>
    <t>Stillness</t>
  </si>
  <si>
    <t>Raise one leg if possible, that might be construed as requesting help though</t>
  </si>
  <si>
    <t>Staring</t>
  </si>
  <si>
    <t>Nothing sifferent</t>
  </si>
  <si>
    <t>Uncertain</t>
  </si>
  <si>
    <t>Make it look like it’s sitting next to it</t>
  </si>
  <si>
    <t xml:space="preserve">Nothing, it worked well. </t>
  </si>
  <si>
    <t>Head tilt</t>
  </si>
  <si>
    <t>Turn in a circle</t>
  </si>
  <si>
    <t>Good work!</t>
  </si>
  <si>
    <t>92.232.170.83</t>
  </si>
  <si>
    <t>R_8afcTKDaEjT1oBP</t>
  </si>
  <si>
    <t xml:space="preserve">Standing still not looking at pinecones directly </t>
  </si>
  <si>
    <t>Lay down?</t>
  </si>
  <si>
    <t xml:space="preserve">Looking at the pinecones directly </t>
  </si>
  <si>
    <t>Up and down head movement like a human would scan with their eyes?</t>
  </si>
  <si>
    <t xml:space="preserve">Still staring at pinecone </t>
  </si>
  <si>
    <t>Facing with its head down and back up?</t>
  </si>
  <si>
    <t xml:space="preserve">Jerky movements </t>
  </si>
  <si>
    <t xml:space="preserve">Jerky movement </t>
  </si>
  <si>
    <t>Head tilting</t>
  </si>
  <si>
    <t xml:space="preserve">Head tilting continued </t>
  </si>
  <si>
    <t>142.160.70.158</t>
  </si>
  <si>
    <t>R_1j6UxQYJg4fi4zI</t>
  </si>
  <si>
    <t>Standing beside and Not looking at the pine cones</t>
  </si>
  <si>
    <t>Staring at the pine cones</t>
  </si>
  <si>
    <t>Same as anove</t>
  </si>
  <si>
    <t>Standing over pine cones with head over top of pinecones</t>
  </si>
  <si>
    <t>Shaking and body close to ground</t>
  </si>
  <si>
    <t xml:space="preserve">Shaking as above </t>
  </si>
  <si>
    <t xml:space="preserve">Standing aside from the pine cones. </t>
  </si>
  <si>
    <t xml:space="preserve">Standing aside from the pine cones </t>
  </si>
  <si>
    <t xml:space="preserve">It took a few times looking at the videos to determine what the robot was doing. I become more confident reading the robots message as best as possible. </t>
  </si>
  <si>
    <t>174.90.223.176</t>
  </si>
  <si>
    <t>R_12LY2Hbnr6AUMG1</t>
  </si>
  <si>
    <t>Service Industry (e.g. restaurants)</t>
  </si>
  <si>
    <t>Dog,Cat,Fish,Snake</t>
  </si>
  <si>
    <t>Crouching down or extending the legs</t>
  </si>
  <si>
    <t xml:space="preserve">Crouching down slighty </t>
  </si>
  <si>
    <t>Bent the front legs and extending the back ones</t>
  </si>
  <si>
    <t>Bent the front legs and the back ones</t>
  </si>
  <si>
    <t>Bent front legs and extended back legs</t>
  </si>
  <si>
    <t>Bent front legs extended back legs</t>
  </si>
  <si>
    <t>The right side "colapsed" into the middle of the robot</t>
  </si>
  <si>
    <t xml:space="preserve">Any bending that isnt up or down, </t>
  </si>
  <si>
    <t>Pointinh the camrea away from the ground</t>
  </si>
  <si>
    <t>Pointinb the camrea away from the ground</t>
  </si>
  <si>
    <t>50.72.21.139</t>
  </si>
  <si>
    <t>R_7iO7VZFvpZITJSe</t>
  </si>
  <si>
    <t>When he would bend his hind legs and have his head more up</t>
  </si>
  <si>
    <t>Bend hind legs and have head up</t>
  </si>
  <si>
    <t>Bending head down and moving head back-and-forth</t>
  </si>
  <si>
    <t>Band head down and move head back-and-forth</t>
  </si>
  <si>
    <t>Stay still close to the pinecone and Ben head forward</t>
  </si>
  <si>
    <t>Approach point cone, then to head down and approach and stay still</t>
  </si>
  <si>
    <t>When the robot was shaking all over</t>
  </si>
  <si>
    <t>When the robot was just moving all over the place</t>
  </si>
  <si>
    <t>I’m not</t>
  </si>
  <si>
    <t>174.90.223.253</t>
  </si>
  <si>
    <t>R_3IZuywpGv37aO9k</t>
  </si>
  <si>
    <t>Dog,Cat,Bird,Fish</t>
  </si>
  <si>
    <t xml:space="preserve">No movement, looking up </t>
  </si>
  <si>
    <t xml:space="preserve">More of a sitting stance if that’s possible? </t>
  </si>
  <si>
    <t xml:space="preserve">Looking down, slight head movements </t>
  </si>
  <si>
    <t xml:space="preserve">This one is clear I think </t>
  </si>
  <si>
    <t xml:space="preserve">Lowering down to pine cone </t>
  </si>
  <si>
    <t xml:space="preserve">Fluid nod motion </t>
  </si>
  <si>
    <t xml:space="preserve">Rigid movements </t>
  </si>
  <si>
    <t xml:space="preserve">Exactly what it did! </t>
  </si>
  <si>
    <t xml:space="preserve">Head tilt, shrugging motion </t>
  </si>
  <si>
    <t xml:space="preserve">The motions for confused were the easiest to spot. This one is perfect </t>
  </si>
  <si>
    <t>183.177.122.38</t>
  </si>
  <si>
    <t>R_4jkd1wMVpFfBu3O</t>
  </si>
  <si>
    <t>It looks straight up, slightly kneels down and doesn't move</t>
  </si>
  <si>
    <t>No comment, that should have been clear enough</t>
  </si>
  <si>
    <t>Look at the pine cone closely</t>
  </si>
  <si>
    <t>Not really clear, it may have had stood straight up from the analyzing cone position</t>
  </si>
  <si>
    <t>I think it should switch between the analyzing and waiting states, i.e., alternatively look down at the cone and look up to the user</t>
  </si>
  <si>
    <t>continuous shaking its body</t>
  </si>
  <si>
    <t>Similar to the waiting state, but with its head tilted to the side</t>
  </si>
  <si>
    <t>It seems like you use the videos multiple times in the 2nd study, which really helps with the consistency of the options chosen by the user.</t>
  </si>
  <si>
    <t>Binh.Tran@monash.edu</t>
  </si>
  <si>
    <t>R_7JINoZg3aAZopPj</t>
  </si>
  <si>
    <t>Dog,Cat,Rabbit</t>
  </si>
  <si>
    <t>Sitting still, looking at you.  Sometimes standing but that was less obvious or intuitive.</t>
  </si>
  <si>
    <t>Sitting still, watching you.  That says 'waiting' to me</t>
  </si>
  <si>
    <t xml:space="preserve">Front down, looking directly at the pinecone. I found this one difficult as I couldn't tell the difference between "found" and "analyzing".  </t>
  </si>
  <si>
    <t>Almost the same - looking at the pinecone but sitting instead of standing - for me standing mimics a dog's "point" command when they find something.</t>
  </si>
  <si>
    <t>I liked this body language for "Found" but it the difference with "Analyzing" could be more apparent.</t>
  </si>
  <si>
    <t>Nothing different.  I think the shaking is a good indicator.</t>
  </si>
  <si>
    <t>At first I wasn't sure but I saw a few where it was sitting, staring at you but with head cocked to indicate confusion.</t>
  </si>
  <si>
    <t>The head cock to the side consistently could be good.</t>
  </si>
  <si>
    <t>Calcifer is a good boy.  I really enjoyed trying to figure out the body language. I didn't really think about how much a simple gesture can convey.</t>
  </si>
  <si>
    <t>mitheria@gmail.com</t>
  </si>
  <si>
    <t>70.77.240.218</t>
  </si>
  <si>
    <t>R_3qVuPOTuzctOpxs</t>
  </si>
  <si>
    <t>Standing still or little motion, looking ahead</t>
  </si>
  <si>
    <t>Standing still or sitting, looking ahead</t>
  </si>
  <si>
    <t>Bending it's front legs to look at the pinecone</t>
  </si>
  <si>
    <t>Bending it's front legs lower and hunkering down closer to the ground I think</t>
  </si>
  <si>
    <t>Laying on the ground or sitting next to the pinecone and looking at person</t>
  </si>
  <si>
    <t xml:space="preserve">Shaking or shivering low to the ground </t>
  </si>
  <si>
    <t>Any kind of shaking or shivering motion</t>
  </si>
  <si>
    <t>It tilting itself or it's head to the either side</t>
  </si>
  <si>
    <t>Tilting it's head or body to the side</t>
  </si>
  <si>
    <t>tressa.m.jones@gmail.com</t>
  </si>
  <si>
    <t>198.163.235.80</t>
  </si>
  <si>
    <t>R_1JBQwp23zFH7Tpf</t>
  </si>
  <si>
    <t>Facing you, looking up and standing still</t>
  </si>
  <si>
    <t>Exactly what it did: Facing you, looking up and standing still</t>
  </si>
  <si>
    <t>Bending down close to pine cone, looking at pine cone for a period of time</t>
  </si>
  <si>
    <t>Moving head side to side or up and down in scanning motion, while bent down to look at pine cone</t>
  </si>
  <si>
    <t xml:space="preserve">Lifting butt higher than head after analyzing pine cone </t>
  </si>
  <si>
    <t xml:space="preserve">“Happy dance” standing up and walking in place, or go into sitting position </t>
  </si>
  <si>
    <t>Lopsided, shaking jerky movements</t>
  </si>
  <si>
    <t>Exactly what it did: Lopsided, shaking jerky movements</t>
  </si>
  <si>
    <t>Standing more still than error body language but still lopsided</t>
  </si>
  <si>
    <t>Standing still, looking at you, head tilted to the side</t>
  </si>
  <si>
    <t>Much easier when trying to decide between fewer options</t>
  </si>
  <si>
    <t>150.136.238.117</t>
  </si>
  <si>
    <t>R_6hB7GNYxI6g4yXg</t>
  </si>
  <si>
    <t xml:space="preserve">The states which robot was stable and its body had no movement </t>
  </si>
  <si>
    <t>It should stays stable with no movement in initial state</t>
  </si>
  <si>
    <t>Looking down, a little slow while bringing its head down and keeps the head down for a while</t>
  </si>
  <si>
    <t xml:space="preserve">It should keep its head down and if it eabt to sit ot should be slow which is the sign of hesitation </t>
  </si>
  <si>
    <t>It moves fast and points to the target with its head. The difference between this state and analysis is the speed that it brings its head down</t>
  </si>
  <si>
    <t>It shoud points with its head and do this quickly like a real dog</t>
  </si>
  <si>
    <t xml:space="preserve">When robot was shaking without stopping </t>
  </si>
  <si>
    <t>It should do a movement which is not normal. Shaking or falling down</t>
  </si>
  <si>
    <t xml:space="preserve">When robot's head was kept a side not straight </t>
  </si>
  <si>
    <t xml:space="preserve">The head should not be stright like a human </t>
  </si>
  <si>
    <t>parisa.yahyapour.fatideh@gmail.com</t>
  </si>
  <si>
    <t>206.87.102.38</t>
  </si>
  <si>
    <t>R_3FnlxzXgWXSqp69</t>
  </si>
  <si>
    <t>Dog,Cat,Rabbit,Fish,Other</t>
  </si>
  <si>
    <t>not moving and not really doing anythink</t>
  </si>
  <si>
    <t>freeze like its comand has been complete</t>
  </si>
  <si>
    <t>looking down and feeling excited</t>
  </si>
  <si>
    <t>attention focused on the pine cone</t>
  </si>
  <si>
    <t>getting excited over a pinecone</t>
  </si>
  <si>
    <t>shaking more</t>
  </si>
  <si>
    <t>looking at the person</t>
  </si>
  <si>
    <t>it was hared to tell the difference between error and waiting for input</t>
  </si>
  <si>
    <t>leaning</t>
  </si>
  <si>
    <t>49.127.94.218</t>
  </si>
  <si>
    <t>R_9kNzzILVsNs4gNy</t>
  </si>
  <si>
    <t>Stationary pose, in rest state</t>
  </si>
  <si>
    <t>Sit on hind legs</t>
  </si>
  <si>
    <t>Head pointing at pinecone</t>
  </si>
  <si>
    <t>No action, looking at pinecone</t>
  </si>
  <si>
    <t>Excited action</t>
  </si>
  <si>
    <t>Move around the pinecone, or act in excited way</t>
  </si>
  <si>
    <t>erratic motion</t>
  </si>
  <si>
    <t>odd pose or erratic motion</t>
  </si>
  <si>
    <t>Tilt body posture</t>
  </si>
  <si>
    <t>Tilted shoulder</t>
  </si>
  <si>
    <t xml:space="preserve">I think at real do uses its motion to communicate. Especially the tail to express excitement. </t>
  </si>
  <si>
    <t>149.167.15.13</t>
  </si>
  <si>
    <t>R_4g1TMZby7OEVysQ</t>
  </si>
  <si>
    <t xml:space="preserve">Looking at user directly, sitting </t>
  </si>
  <si>
    <t>Look at user directly/eye contact</t>
  </si>
  <si>
    <t>Looking at pinecone, head down</t>
  </si>
  <si>
    <t>Go from looking at pinecone to head up, stable body</t>
  </si>
  <si>
    <t xml:space="preserve">Go from looking at pinecone to head up, sitting </t>
  </si>
  <si>
    <t xml:space="preserve">Weird movements, not stable </t>
  </si>
  <si>
    <t>Weird movements, lie down</t>
  </si>
  <si>
    <t>Looking at user direction, no eye contact</t>
  </si>
  <si>
    <t>Looking at user direction, no eye contact. No body movement like error state</t>
  </si>
  <si>
    <t>afthornley@gmail.com</t>
  </si>
  <si>
    <t>118.139.23.133</t>
  </si>
  <si>
    <t>R_42tYYnxSOKLsh69</t>
  </si>
  <si>
    <t>Moving the front up towards, keeping the hind down, alongside the shaking.</t>
  </si>
  <si>
    <t>Looking up at me or the camera, front raise with the back down.</t>
  </si>
  <si>
    <t>Having the front face down towards the pine cone, with the back raised.</t>
  </si>
  <si>
    <t>Possibly tilt one side of the face as well, when lowering the front and having the back raised.</t>
  </si>
  <si>
    <t>I was unsure of when the Pine cone was found, potentially the speed at which it looked towards the pinecone.</t>
  </si>
  <si>
    <t>Raising and lowering the front multiple times towards the pinecone when its found.</t>
  </si>
  <si>
    <t>The shaking and jerkiness. The lowering of the whole body.</t>
  </si>
  <si>
    <t>I believe the error state was communicated well, so the shaking and jerkiness and the lowering of the body.</t>
  </si>
  <si>
    <t>Looking at me, so front raised and back down, alongside the tilt of one of the side of the face.</t>
  </si>
  <si>
    <t>The tilt of the face was important, making sure it is facing the user when it raises its front forward and back down.</t>
  </si>
  <si>
    <t>advaykumar2004@gmail.com</t>
  </si>
  <si>
    <t>49.183.39.10</t>
  </si>
  <si>
    <t>R_9PeE27uujgweFrj</t>
  </si>
  <si>
    <t>inaction</t>
  </si>
  <si>
    <t>maybe blinking led on top of it</t>
  </si>
  <si>
    <t>closely looking at the pinecones</t>
  </si>
  <si>
    <t>maybe a led on top of the robot thats yellow</t>
  </si>
  <si>
    <t>noding as it is on top of the cones</t>
  </si>
  <si>
    <t>a led on top green maybe</t>
  </si>
  <si>
    <t>nodding away from pinecones</t>
  </si>
  <si>
    <t>an led on top - red</t>
  </si>
  <si>
    <t>nodding randomly</t>
  </si>
  <si>
    <t>Red led blinking</t>
  </si>
  <si>
    <t>snuk0002@student.monash.edu</t>
  </si>
  <si>
    <t>24.67.164.159</t>
  </si>
  <si>
    <t>R_7e3lT0z4mXk5usz</t>
  </si>
  <si>
    <t>Dog,Bird</t>
  </si>
  <si>
    <t>sitting down posture and no movement</t>
  </si>
  <si>
    <t>see above</t>
  </si>
  <si>
    <t>looking intently at pinecones</t>
  </si>
  <si>
    <t>looking at pinecone and wiggling</t>
  </si>
  <si>
    <t>shaking and odd movement</t>
  </si>
  <si>
    <t>looking up for help and tilting head</t>
  </si>
  <si>
    <t>85.1.122.140</t>
  </si>
  <si>
    <t>R_75SnlPEGMJv7nkd</t>
  </si>
  <si>
    <t xml:space="preserve">Like he's sitting and waiting for an order </t>
  </si>
  <si>
    <t xml:space="preserve">Same, sit like a god and wait for an order </t>
  </si>
  <si>
    <t>Head down next to the ground</t>
  </si>
  <si>
    <t>The same, like this</t>
  </si>
  <si>
    <t>This one hard, not really found, maybe head down and moving his body but not sure</t>
  </si>
  <si>
    <t>Head down and moving maybe only the head?</t>
  </si>
  <si>
    <t>Head tilted at 45°</t>
  </si>
  <si>
    <t>No really good idea, but yes head at 45° is good</t>
  </si>
  <si>
    <t>136.159.213.54</t>
  </si>
  <si>
    <t>R_5hAXoqqtcBVoAhP</t>
  </si>
  <si>
    <t xml:space="preserve">Looking at operator. </t>
  </si>
  <si>
    <t>Look at operator.</t>
  </si>
  <si>
    <t>Looking at pinecone.</t>
  </si>
  <si>
    <t>Unknown.</t>
  </si>
  <si>
    <t xml:space="preserve">Looking at pinecone, "wagging tail". </t>
  </si>
  <si>
    <t>Tilt to side.</t>
  </si>
  <si>
    <t>Tilt back and forth repeatedly.</t>
  </si>
  <si>
    <t>23.17.153.118</t>
  </si>
  <si>
    <t>R_7QrTc8E2Q8obFsv</t>
  </si>
  <si>
    <t xml:space="preserve">Looking at you </t>
  </si>
  <si>
    <t>Look at you and turn sideways</t>
  </si>
  <si>
    <t>Looking down at pinecone</t>
  </si>
  <si>
    <t>Look at pinecone</t>
  </si>
  <si>
    <t xml:space="preserve">Look from pinecone to you </t>
  </si>
  <si>
    <t>Turn and look at you</t>
  </si>
  <si>
    <t>Looking up at sky And turn</t>
  </si>
  <si>
    <t>Look up and turn</t>
  </si>
  <si>
    <t xml:space="preserve">Confidence in what they were showing was not super high would be nice if the movements were more distinct </t>
  </si>
  <si>
    <t>136.159.213.15</t>
  </si>
  <si>
    <t>R_38YvHC8abj5BnHj</t>
  </si>
  <si>
    <t>50.71.110.110</t>
  </si>
  <si>
    <t>R_3ewvKZUAPUgMRo9</t>
  </si>
  <si>
    <t>3</t>
  </si>
  <si>
    <t>R_3uQzVnWxmAuAc2X</t>
  </si>
  <si>
    <t>R_4QKREP63GV62CXK</t>
  </si>
  <si>
    <t>R_4JJagkRFBAUQ7sH</t>
  </si>
  <si>
    <t>104.28.116.13</t>
  </si>
  <si>
    <t>R_6uHsomcHdQ6nsCn</t>
  </si>
  <si>
    <t>103.139.104.6</t>
  </si>
  <si>
    <t>R_9lPPXTHCKg0Y70N</t>
  </si>
  <si>
    <t>R_515LdJgCKIApoDD</t>
  </si>
  <si>
    <t>1.125.111.134</t>
  </si>
  <si>
    <t>R_4UlKolnCAxmxBfz</t>
  </si>
  <si>
    <t>R_9qNzpijUDkReDsL</t>
  </si>
  <si>
    <t>64.62.27.42</t>
  </si>
  <si>
    <t>R_7wB5vxz0EVD1iHN</t>
  </si>
  <si>
    <t>Sitting and waiting for a command, or laying down</t>
  </si>
  <si>
    <t>Sitting like a dog would when waiting for a command</t>
  </si>
  <si>
    <t>When the head of the robot appears to be inspecting the pinecone</t>
  </si>
  <si>
    <t xml:space="preserve">Resembing a dog, I was expecting the robot to 'sniff' the cones in a similar manner that a dog would </t>
  </si>
  <si>
    <t>Sitting and waiting by a perfect pinecone</t>
  </si>
  <si>
    <t>Only communicating by body language, I would expect the robot to wait near the perfect cone until collected</t>
  </si>
  <si>
    <t xml:space="preserve">The robot appeaded to be seizing </t>
  </si>
  <si>
    <t>I would expect the robot to act abnormally during an error, as it only communicates through body language</t>
  </si>
  <si>
    <t>The robot appeared to become unsure about what it was supposed ot be doing</t>
  </si>
  <si>
    <t>I think the robot should have returned to me and rotate it's head back and forth in a clockwise, counter-clockwise motion</t>
  </si>
  <si>
    <t>I wasn't always entirly sure if it was scanning the cone or confused by it. I thought this was a fun survey and liked how it was interactive it was.</t>
  </si>
  <si>
    <t>jordzimm@gmail.com</t>
  </si>
  <si>
    <t>75.28.17.248</t>
  </si>
  <si>
    <t>R_1zMHRMAUU1xRmNW</t>
  </si>
  <si>
    <t>When it was still and looking directly at me, without angling its body in any particular way or jittering</t>
  </si>
  <si>
    <t>I thought this state was communicated clearly. Perhaps to differentiate from other states the robot could have sat down when it was waiting, as this brings to mind what a real dog might do when it is waiting for an instruction.</t>
  </si>
  <si>
    <t>When the robot was bent down and clearly looking closely at the object. This was the most different from the other states, so I found it easy to identiy</t>
  </si>
  <si>
    <t>I think the exact behaviour that the robot showed in the videos is what I would design for this scenario</t>
  </si>
  <si>
    <t xml:space="preserve">I found this the most difficult to identify in the videos, and I think I incorrectly identified as couple as this scenario. When the robot angled its body upwards after inspecting the pinecone this was the clearest signal. </t>
  </si>
  <si>
    <t>This is difficult to distinguish from "waiting for input" but if one of these involved the robot sitting that would make it very clearly different from all other states. If it is possible for the robot to fully lay down, this could help identify this state too. Perhaps circling the object could also indicate that there is something positive happening in that area</t>
  </si>
  <si>
    <t>Whenever the robot became jittery/jerky this communicated a problem very clearly</t>
  </si>
  <si>
    <t xml:space="preserve">I think this kind of communication was clear, and what I would expect. </t>
  </si>
  <si>
    <t>When the head tilted this clearly communicated confusion to me</t>
  </si>
  <si>
    <t>I think this was the correct behaviour, it is very realistic to humans/animals.</t>
  </si>
  <si>
    <t>Some of these behaviours may benefit from playing on a loop, to make sure the user does not miss the crucial movements (e.g. head tilt). In this scenario I imagine that the user and robot are not together all the time, so being able to identify the robot's state from any snippet of movement caught (within a few second window) would be beneficial</t>
  </si>
  <si>
    <t>72.143.222.1</t>
  </si>
  <si>
    <t>R_7mRtx0kBJbtu5hv</t>
  </si>
  <si>
    <t>142.179.24.119</t>
  </si>
  <si>
    <t>R_3v87osWEG33TD2R</t>
  </si>
  <si>
    <t>64.209.220.65</t>
  </si>
  <si>
    <t>R_6HS6lNQ0EO92mpT</t>
  </si>
  <si>
    <t>216.73.162.170</t>
  </si>
  <si>
    <t>R_6qe1dGsZon4XI4V</t>
  </si>
  <si>
    <t>The robot is still. Not shaking. If it is looking at you.</t>
  </si>
  <si>
    <t>When the robot did not move, that was a good sign for this.</t>
  </si>
  <si>
    <t>The robot should be looking at the pinecone, but I don't see a big difference between how it shows this one and found pinecone.</t>
  </si>
  <si>
    <t>Perhaps the robot should have an extra way of saying if the pinecone is good or not. It could maybe use a sound or light.</t>
  </si>
  <si>
    <t>When the robot is looking right at the pinecone. Especially when it was standing tall above it.</t>
  </si>
  <si>
    <t>Again, the robot should have an extra way of saying if the pinecone is good or not. It could maybe use a sound or light.</t>
  </si>
  <si>
    <t>When the robot was shaking, or moving around fast instead of the slow more natural motion.</t>
  </si>
  <si>
    <t>The robot could have maybe shaked its head, or just laid down completely as if it was turning off.</t>
  </si>
  <si>
    <t>This one was clear. When the robot tilted its head to the side. I understood this one easily as this is what real animals do.</t>
  </si>
  <si>
    <t>When the robot tilts its head like a real dog.</t>
  </si>
  <si>
    <t>I think if you can make the robot do poses that represent more of what real animals do in the real world, it will be easier to understand.</t>
  </si>
  <si>
    <t>2,6</t>
  </si>
  <si>
    <t>2,3,5,6,7</t>
  </si>
  <si>
    <t>2,3</t>
  </si>
  <si>
    <t>6</t>
  </si>
  <si>
    <t>2,3,4,6</t>
  </si>
  <si>
    <t>5</t>
  </si>
  <si>
    <t>2,3,4,7</t>
  </si>
  <si>
    <t>2,6,7</t>
  </si>
  <si>
    <t>3,6</t>
  </si>
  <si>
    <t>2,3,4,5,6</t>
  </si>
  <si>
    <t>2,3,5</t>
  </si>
  <si>
    <t>2,5,6</t>
  </si>
  <si>
    <t>3,5,6,7</t>
  </si>
  <si>
    <t>2,3,6</t>
  </si>
  <si>
    <t>2,5,6,7</t>
  </si>
  <si>
    <t>3,7</t>
  </si>
  <si>
    <t>2,3,6,8,7</t>
  </si>
  <si>
    <t>2,3,6,8</t>
  </si>
  <si>
    <t>2,3,5,6</t>
  </si>
  <si>
    <t>2,3,4</t>
  </si>
  <si>
    <t>2,3,4,6,7</t>
  </si>
  <si>
    <t>2,5</t>
  </si>
  <si>
    <t>Participant ID</t>
  </si>
  <si>
    <t>GenerationMethod</t>
  </si>
  <si>
    <t>Datapoint</t>
  </si>
  <si>
    <t>RealState</t>
  </si>
  <si>
    <t>RealStateIdx</t>
  </si>
  <si>
    <t>Response</t>
  </si>
  <si>
    <t>Confidence</t>
  </si>
  <si>
    <t>Correct</t>
  </si>
  <si>
    <t>LEGEND</t>
  </si>
  <si>
    <t>five</t>
  </si>
  <si>
    <t>iso</t>
  </si>
  <si>
    <t>non</t>
  </si>
  <si>
    <t>emd</t>
  </si>
  <si>
    <t>dyn</t>
  </si>
  <si>
    <t>three</t>
  </si>
  <si>
    <t>Isolation</t>
  </si>
  <si>
    <t>5-State Space</t>
  </si>
  <si>
    <t>WFI</t>
  </si>
  <si>
    <t>AO</t>
  </si>
  <si>
    <t>FO</t>
  </si>
  <si>
    <t>E</t>
  </si>
  <si>
    <t>C</t>
  </si>
  <si>
    <t>All-State Average</t>
  </si>
  <si>
    <t>3-State Space</t>
  </si>
  <si>
    <t>IWO</t>
  </si>
  <si>
    <t>NH</t>
  </si>
  <si>
    <t>Participants</t>
  </si>
  <si>
    <t>Optimization</t>
  </si>
  <si>
    <t>ResponseLabel</t>
  </si>
  <si>
    <t>ConfidenceLabel</t>
  </si>
  <si>
    <t>Proxy</t>
  </si>
  <si>
    <t>Proxy+EMD</t>
  </si>
  <si>
    <t>First Block</t>
  </si>
  <si>
    <t>Second Block</t>
  </si>
  <si>
    <t>Condition</t>
  </si>
  <si>
    <t>Average</t>
  </si>
  <si>
    <t>VocabularySize</t>
  </si>
  <si>
    <t>Proxy+Kinematic</t>
  </si>
  <si>
    <r>
      <t xml:space="preserve">5-State Space </t>
    </r>
    <r>
      <rPr>
        <i/>
        <sz val="10"/>
        <color rgb="FF000000"/>
        <rFont val="Aptos Narrow (Body)"/>
      </rPr>
      <t>VocabularySize=5</t>
    </r>
  </si>
  <si>
    <r>
      <rPr>
        <b/>
        <sz val="16"/>
        <color rgb="FF000000"/>
        <rFont val="Aptos Narrow (Body)"/>
      </rPr>
      <t xml:space="preserve">3-State Space </t>
    </r>
    <r>
      <rPr>
        <i/>
        <sz val="11"/>
        <color rgb="FF000000"/>
        <rFont val="Aptos Narrow (Body)"/>
      </rPr>
      <t>VocabularySize=3</t>
    </r>
  </si>
  <si>
    <t>Standard Dev</t>
  </si>
  <si>
    <t>VocabularySize=3</t>
  </si>
  <si>
    <t>VocabularySize=5</t>
  </si>
  <si>
    <t>BlockOrder</t>
  </si>
  <si>
    <t>Proxy + Kinematic</t>
  </si>
  <si>
    <t>Proxy + EMD</t>
  </si>
  <si>
    <t>Confused</t>
  </si>
  <si>
    <t>Error</t>
  </si>
  <si>
    <t>Found Object</t>
  </si>
  <si>
    <t>Analyzing Object</t>
  </si>
  <si>
    <t>Waiting For Input</t>
  </si>
  <si>
    <t>Interacting With Object</t>
  </si>
  <si>
    <t>Needs 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</si>
</sst>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indexed="8"/>
      <name val="Aptos Narrow"/>
      <family val="2"/>
      <scheme val="minor"/>
    </font>
    <font>
      <sz val="11"/>
      <color indexed="8"/>
      <name val="Aptos Narrow"/>
      <family val="2"/>
      <scheme val="minor"/>
    </font>
    <font>
      <b/>
      <sz val="11"/>
      <color indexed="8"/>
      <name val="Aptos Narrow"/>
      <scheme val="minor"/>
    </font>
    <font>
      <b/>
      <sz val="11"/>
      <color theme="0"/>
      <name val="Aptos Narrow"/>
      <scheme val="minor"/>
    </font>
    <font>
      <b/>
      <sz val="16"/>
      <color theme="0"/>
      <name val="Aptos Narrow"/>
      <family val="2"/>
      <scheme val="minor"/>
    </font>
    <font>
      <b/>
      <sz val="16"/>
      <color rgb="FFFFFFFF"/>
      <name val="Aptos Narrow"/>
      <family val="2"/>
      <scheme val="minor"/>
    </font>
    <font>
      <sz val="11"/>
      <color rgb="FF000000"/>
      <name val="Aptos Narrow"/>
      <family val="2"/>
      <scheme val="minor"/>
    </font>
    <font>
      <sz val="16"/>
      <color indexed="8"/>
      <name val="Aptos Narrow"/>
      <scheme val="minor"/>
    </font>
    <font>
      <b/>
      <sz val="16"/>
      <color indexed="8"/>
      <name val="Aptos Narrow"/>
      <scheme val="minor"/>
    </font>
    <font>
      <b/>
      <sz val="16"/>
      <color theme="2"/>
      <name val="Aptos Narrow"/>
      <scheme val="minor"/>
    </font>
    <font>
      <sz val="16"/>
      <color rgb="FF000000"/>
      <name val="Aptos Narrow"/>
      <scheme val="minor"/>
    </font>
    <font>
      <sz val="16"/>
      <color theme="0" tint="-0.249977111117893"/>
      <name val="Aptos Narrow"/>
      <scheme val="minor"/>
    </font>
    <font>
      <sz val="16"/>
      <color theme="0"/>
      <name val="Aptos Narrow"/>
      <scheme val="minor"/>
    </font>
    <font>
      <b/>
      <sz val="16"/>
      <color theme="0"/>
      <name val="Aptos Narrow"/>
      <scheme val="minor"/>
    </font>
    <font>
      <sz val="20"/>
      <color indexed="8"/>
      <name val="Aptos Narrow"/>
      <scheme val="minor"/>
    </font>
    <font>
      <i/>
      <sz val="11"/>
      <color rgb="FF000000"/>
      <name val="Aptos Narrow (Body)"/>
    </font>
    <font>
      <i/>
      <sz val="10"/>
      <color rgb="FF000000"/>
      <name val="Aptos Narrow (Body)"/>
    </font>
    <font>
      <b/>
      <sz val="16"/>
      <color rgb="FF000000"/>
      <name val="Aptos Narrow (Body)"/>
    </font>
    <font>
      <b/>
      <sz val="14"/>
      <color theme="0"/>
      <name val="Aptos Narrow"/>
      <scheme val="minor"/>
    </font>
    <font>
      <sz val="14"/>
      <color indexed="8"/>
      <name val="Aptos Narrow"/>
      <scheme val="minor"/>
    </font>
    <font>
      <sz val="14"/>
      <color theme="0"/>
      <name val="Aptos Narrow"/>
      <scheme val="minor"/>
    </font>
    <font>
      <b/>
      <sz val="14"/>
      <color indexed="8"/>
      <name val="Aptos Narrow"/>
      <scheme val="minor"/>
    </font>
    <font>
      <b/>
      <sz val="12"/>
      <color indexed="8"/>
      <name val="Aptos Narrow"/>
      <scheme val="minor"/>
    </font>
  </fonts>
  <fills count="21">
    <fill>
      <patternFill patternType="none"/>
    </fill>
    <fill>
      <patternFill patternType="gray125"/>
    </fill>
    <fill>
      <patternFill patternType="none">
        <fgColor indexed="22"/>
      </patternFill>
    </fill>
    <fill>
      <patternFill patternType="solid">
        <fgColor indexed="22"/>
      </patternFill>
    </fill>
    <fill>
      <patternFill patternType="solid">
        <fgColor theme="1" tint="0.34998626667073579"/>
        <bgColor indexed="64"/>
      </patternFill>
    </fill>
    <fill>
      <patternFill patternType="solid">
        <fgColor theme="6" tint="0.59999389629810485"/>
        <bgColor indexed="64"/>
      </patternFill>
    </fill>
    <fill>
      <patternFill patternType="solid">
        <fgColor theme="1" tint="0.34998626667073579"/>
        <bgColor indexed="65"/>
      </patternFill>
    </fill>
    <fill>
      <patternFill patternType="solid">
        <fgColor theme="1" tint="0.34998626667073579"/>
        <bgColor indexed="22"/>
      </patternFill>
    </fill>
    <fill>
      <patternFill patternType="solid">
        <fgColor rgb="FFE9C200"/>
        <bgColor indexed="64"/>
      </patternFill>
    </fill>
    <fill>
      <patternFill patternType="solid">
        <fgColor theme="9" tint="0.59999389629810485"/>
        <bgColor indexed="64"/>
      </patternFill>
    </fill>
    <fill>
      <patternFill patternType="solid">
        <fgColor theme="8"/>
        <bgColor indexed="64"/>
      </patternFill>
    </fill>
    <fill>
      <patternFill patternType="solid">
        <fgColor rgb="FF7030A0"/>
        <bgColor indexed="64"/>
      </patternFill>
    </fill>
    <fill>
      <patternFill patternType="solid">
        <fgColor theme="6"/>
        <bgColor theme="6"/>
      </patternFill>
    </fill>
    <fill>
      <patternFill patternType="solid">
        <fgColor rgb="FF196B24"/>
        <bgColor rgb="FF196B24"/>
      </patternFill>
    </fill>
    <fill>
      <patternFill patternType="solid">
        <fgColor theme="6" tint="-0.249977111117893"/>
        <bgColor indexed="64"/>
      </patternFill>
    </fill>
    <fill>
      <patternFill patternType="solid">
        <fgColor theme="6" tint="-0.249977111117893"/>
        <bgColor rgb="FF000000"/>
      </patternFill>
    </fill>
    <fill>
      <patternFill patternType="solid">
        <fgColor rgb="FF002060"/>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1" tint="0.249977111117893"/>
        <bgColor indexed="64"/>
      </patternFill>
    </fill>
    <fill>
      <patternFill patternType="solid">
        <fgColor rgb="FF58430A"/>
        <bgColor indexed="64"/>
      </patternFill>
    </fill>
  </fills>
  <borders count="35">
    <border>
      <left/>
      <right/>
      <top/>
      <bottom/>
      <diagonal/>
    </border>
    <border>
      <left style="thin">
        <color theme="5" tint="0.39997558519241921"/>
      </left>
      <right style="thin">
        <color theme="0"/>
      </right>
      <top style="thin">
        <color rgb="FFF1A983"/>
      </top>
      <bottom style="thin">
        <color theme="5" tint="0.39997558519241921"/>
      </bottom>
      <diagonal/>
    </border>
    <border>
      <left style="thin">
        <color theme="0"/>
      </left>
      <right style="thin">
        <color theme="0"/>
      </right>
      <top style="thin">
        <color rgb="FFF1A983"/>
      </top>
      <bottom style="thin">
        <color theme="5" tint="0.39997558519241921"/>
      </bottom>
      <diagonal/>
    </border>
    <border>
      <left style="medium">
        <color theme="1"/>
      </left>
      <right style="medium">
        <color rgb="FFFF0000"/>
      </right>
      <top style="medium">
        <color theme="1"/>
      </top>
      <bottom/>
      <diagonal/>
    </border>
    <border>
      <left style="medium">
        <color rgb="FFFF0000"/>
      </left>
      <right style="medium">
        <color theme="1"/>
      </right>
      <top style="medium">
        <color theme="1"/>
      </top>
      <bottom/>
      <diagonal/>
    </border>
    <border>
      <left style="medium">
        <color theme="1"/>
      </left>
      <right style="medium">
        <color rgb="FFFF0000"/>
      </right>
      <top/>
      <bottom/>
      <diagonal/>
    </border>
    <border>
      <left style="medium">
        <color rgb="FFFF0000"/>
      </left>
      <right style="medium">
        <color theme="1"/>
      </right>
      <top/>
      <bottom/>
      <diagonal/>
    </border>
    <border>
      <left style="medium">
        <color theme="1"/>
      </left>
      <right style="medium">
        <color rgb="FFFF0000"/>
      </right>
      <top/>
      <bottom style="medium">
        <color theme="1"/>
      </bottom>
      <diagonal/>
    </border>
    <border>
      <left style="medium">
        <color rgb="FFFF0000"/>
      </left>
      <right style="medium">
        <color theme="1"/>
      </right>
      <top/>
      <bottom style="medium">
        <color theme="1"/>
      </bottom>
      <diagonal/>
    </border>
    <border>
      <left/>
      <right/>
      <top style="medium">
        <color rgb="FFFF0000"/>
      </top>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thin">
        <color theme="0"/>
      </left>
      <right style="thin">
        <color theme="0"/>
      </right>
      <top style="thin">
        <color rgb="FFF1A983"/>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theme="1"/>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1" fillId="2" borderId="0"/>
    <xf numFmtId="9" fontId="1" fillId="0" borderId="0" applyFont="0" applyFill="0" applyBorder="0" applyAlignment="0" applyProtection="0"/>
  </cellStyleXfs>
  <cellXfs count="146">
    <xf numFmtId="0" fontId="0" fillId="0" borderId="0" xfId="0"/>
    <xf numFmtId="0" fontId="1" fillId="2" borderId="0" xfId="1"/>
    <xf numFmtId="0" fontId="1" fillId="3" borderId="0" xfId="1" applyFill="1"/>
    <xf numFmtId="22" fontId="1" fillId="2" borderId="0" xfId="1" applyNumberFormat="1"/>
    <xf numFmtId="49" fontId="1" fillId="2" borderId="0" xfId="1" applyNumberFormat="1"/>
    <xf numFmtId="0" fontId="0" fillId="3" borderId="0" xfId="0" applyFill="1"/>
    <xf numFmtId="22" fontId="0" fillId="0" borderId="0" xfId="0" applyNumberFormat="1"/>
    <xf numFmtId="49" fontId="0" fillId="0" borderId="0" xfId="0" applyNumberFormat="1"/>
    <xf numFmtId="0" fontId="0" fillId="4" borderId="0" xfId="0" applyFill="1"/>
    <xf numFmtId="0" fontId="0" fillId="5" borderId="0" xfId="0" applyFill="1"/>
    <xf numFmtId="49" fontId="0" fillId="4" borderId="0" xfId="0" applyNumberFormat="1" applyFill="1"/>
    <xf numFmtId="0" fontId="1" fillId="6" borderId="0" xfId="1" applyFill="1"/>
    <xf numFmtId="0" fontId="1" fillId="7" borderId="0" xfId="1" applyFill="1"/>
    <xf numFmtId="0" fontId="0" fillId="8" borderId="0" xfId="0" applyFill="1"/>
    <xf numFmtId="0" fontId="1" fillId="9" borderId="0" xfId="1" applyFill="1"/>
    <xf numFmtId="0" fontId="0" fillId="11" borderId="0" xfId="0" applyFill="1"/>
    <xf numFmtId="0" fontId="4" fillId="12" borderId="1" xfId="0" applyFont="1" applyFill="1" applyBorder="1" applyAlignment="1">
      <alignment horizontal="center"/>
    </xf>
    <xf numFmtId="49" fontId="0" fillId="0" borderId="3" xfId="0" applyNumberFormat="1" applyBorder="1"/>
    <xf numFmtId="0" fontId="1" fillId="2" borderId="4" xfId="1" applyBorder="1"/>
    <xf numFmtId="49" fontId="0" fillId="0" borderId="5" xfId="0" applyNumberFormat="1" applyBorder="1"/>
    <xf numFmtId="0" fontId="1" fillId="2" borderId="6" xfId="1" applyBorder="1"/>
    <xf numFmtId="49" fontId="0" fillId="0" borderId="7" xfId="0" applyNumberFormat="1" applyBorder="1"/>
    <xf numFmtId="0" fontId="1" fillId="2" borderId="8" xfId="1" applyBorder="1"/>
    <xf numFmtId="0" fontId="0" fillId="0" borderId="6" xfId="0" applyBorder="1"/>
    <xf numFmtId="0" fontId="0" fillId="0" borderId="8" xfId="0" applyBorder="1"/>
    <xf numFmtId="49" fontId="6" fillId="0" borderId="0" xfId="0" applyNumberFormat="1" applyFont="1"/>
    <xf numFmtId="0" fontId="6" fillId="0" borderId="0" xfId="0" applyFont="1"/>
    <xf numFmtId="49" fontId="6" fillId="0" borderId="10" xfId="0" applyNumberFormat="1" applyFont="1" applyBorder="1"/>
    <xf numFmtId="0" fontId="6" fillId="0" borderId="11" xfId="0" applyFont="1" applyBorder="1"/>
    <xf numFmtId="49" fontId="6" fillId="0" borderId="12" xfId="0" applyNumberFormat="1" applyFont="1" applyBorder="1"/>
    <xf numFmtId="0" fontId="6" fillId="0" borderId="13" xfId="0" applyFont="1" applyBorder="1"/>
    <xf numFmtId="49" fontId="6" fillId="0" borderId="14" xfId="0" applyNumberFormat="1" applyFont="1" applyBorder="1"/>
    <xf numFmtId="0" fontId="6" fillId="0" borderId="15" xfId="0" applyFont="1" applyBorder="1"/>
    <xf numFmtId="49" fontId="0" fillId="0" borderId="10" xfId="0" applyNumberFormat="1" applyBorder="1"/>
    <xf numFmtId="0" fontId="1" fillId="2" borderId="11" xfId="1" applyBorder="1"/>
    <xf numFmtId="49" fontId="0" fillId="0" borderId="12" xfId="0" applyNumberFormat="1" applyBorder="1"/>
    <xf numFmtId="0" fontId="1" fillId="2" borderId="13" xfId="1" applyBorder="1"/>
    <xf numFmtId="49" fontId="0" fillId="0" borderId="14" xfId="0" applyNumberFormat="1" applyBorder="1"/>
    <xf numFmtId="0" fontId="1" fillId="2" borderId="15" xfId="1" applyBorder="1"/>
    <xf numFmtId="0" fontId="4" fillId="12" borderId="18" xfId="0" applyFont="1" applyFill="1" applyBorder="1" applyAlignment="1">
      <alignment horizontal="center"/>
    </xf>
    <xf numFmtId="164" fontId="7" fillId="0" borderId="0" xfId="2" applyNumberFormat="1" applyFont="1" applyAlignment="1">
      <alignment horizontal="center"/>
    </xf>
    <xf numFmtId="164" fontId="8" fillId="0" borderId="20" xfId="2" applyNumberFormat="1" applyFont="1" applyBorder="1" applyAlignment="1">
      <alignment horizontal="center"/>
    </xf>
    <xf numFmtId="164" fontId="8" fillId="0" borderId="22" xfId="2" applyNumberFormat="1" applyFont="1" applyBorder="1" applyAlignment="1">
      <alignment horizontal="center"/>
    </xf>
    <xf numFmtId="164" fontId="8" fillId="0" borderId="24" xfId="2" applyNumberFormat="1" applyFont="1" applyBorder="1" applyAlignment="1">
      <alignment horizontal="center"/>
    </xf>
    <xf numFmtId="164" fontId="8" fillId="0" borderId="0" xfId="2" applyNumberFormat="1" applyFont="1" applyAlignment="1">
      <alignment horizontal="center" wrapText="1"/>
    </xf>
    <xf numFmtId="164" fontId="8" fillId="0" borderId="0" xfId="2" applyNumberFormat="1" applyFont="1" applyAlignment="1">
      <alignment horizontal="center"/>
    </xf>
    <xf numFmtId="0" fontId="7" fillId="0" borderId="0" xfId="0" applyFont="1"/>
    <xf numFmtId="0" fontId="9" fillId="10" borderId="28" xfId="0" applyFont="1" applyFill="1" applyBorder="1" applyAlignment="1">
      <alignment horizontal="center"/>
    </xf>
    <xf numFmtId="0" fontId="2" fillId="0" borderId="0" xfId="0" applyFont="1" applyAlignment="1">
      <alignment horizontal="center"/>
    </xf>
    <xf numFmtId="0" fontId="3" fillId="0" borderId="0" xfId="0" applyFont="1" applyAlignment="1">
      <alignment horizontal="center"/>
    </xf>
    <xf numFmtId="49" fontId="10" fillId="0" borderId="10" xfId="0" applyNumberFormat="1" applyFont="1" applyBorder="1"/>
    <xf numFmtId="0" fontId="10" fillId="0" borderId="11" xfId="0" applyFont="1" applyBorder="1"/>
    <xf numFmtId="49" fontId="10" fillId="0" borderId="12" xfId="0" applyNumberFormat="1" applyFont="1" applyBorder="1"/>
    <xf numFmtId="0" fontId="10" fillId="0" borderId="13" xfId="0" applyFont="1" applyBorder="1"/>
    <xf numFmtId="49" fontId="10" fillId="0" borderId="14" xfId="0" applyNumberFormat="1" applyFont="1" applyBorder="1"/>
    <xf numFmtId="0" fontId="10" fillId="0" borderId="15" xfId="0" applyFont="1" applyBorder="1"/>
    <xf numFmtId="0" fontId="10" fillId="0" borderId="0" xfId="0" applyFont="1"/>
    <xf numFmtId="49" fontId="7" fillId="0" borderId="10" xfId="0" applyNumberFormat="1" applyFont="1" applyBorder="1"/>
    <xf numFmtId="0" fontId="7" fillId="2" borderId="11" xfId="1" applyFont="1" applyBorder="1"/>
    <xf numFmtId="49" fontId="7" fillId="0" borderId="12" xfId="0" applyNumberFormat="1" applyFont="1" applyBorder="1"/>
    <xf numFmtId="0" fontId="7" fillId="2" borderId="13" xfId="1" applyFont="1" applyBorder="1"/>
    <xf numFmtId="49" fontId="7" fillId="0" borderId="14" xfId="0" applyNumberFormat="1" applyFont="1" applyBorder="1"/>
    <xf numFmtId="0" fontId="7" fillId="2" borderId="15" xfId="1" applyFont="1" applyBorder="1"/>
    <xf numFmtId="0" fontId="11" fillId="0" borderId="0" xfId="0" applyFont="1"/>
    <xf numFmtId="0" fontId="11" fillId="0" borderId="0" xfId="0" applyFont="1" applyAlignment="1">
      <alignment horizontal="center" vertical="center"/>
    </xf>
    <xf numFmtId="0" fontId="0" fillId="0" borderId="0" xfId="0" applyAlignment="1">
      <alignment horizontal="center"/>
    </xf>
    <xf numFmtId="1" fontId="4" fillId="12" borderId="2" xfId="0" applyNumberFormat="1" applyFont="1" applyFill="1" applyBorder="1" applyAlignment="1">
      <alignment horizontal="center"/>
    </xf>
    <xf numFmtId="1" fontId="0" fillId="0" borderId="0" xfId="0" applyNumberFormat="1"/>
    <xf numFmtId="0" fontId="9" fillId="10" borderId="19" xfId="0" applyFont="1" applyFill="1" applyBorder="1" applyAlignment="1">
      <alignment horizontal="center" vertical="center"/>
    </xf>
    <xf numFmtId="0" fontId="13" fillId="14" borderId="19" xfId="0" applyFont="1" applyFill="1" applyBorder="1" applyAlignment="1">
      <alignment horizontal="center" vertical="center"/>
    </xf>
    <xf numFmtId="0" fontId="12" fillId="0" borderId="0" xfId="0" applyFont="1" applyAlignment="1">
      <alignment horizontal="center" vertical="center"/>
    </xf>
    <xf numFmtId="0" fontId="13" fillId="14" borderId="20" xfId="0" applyFont="1" applyFill="1" applyBorder="1" applyAlignment="1">
      <alignment horizontal="center" vertical="center"/>
    </xf>
    <xf numFmtId="0" fontId="13" fillId="17" borderId="22" xfId="0" applyFont="1" applyFill="1" applyBorder="1" applyAlignment="1">
      <alignment horizontal="center" vertical="center"/>
    </xf>
    <xf numFmtId="164" fontId="12" fillId="17" borderId="24" xfId="2" applyNumberFormat="1" applyFont="1" applyFill="1" applyBorder="1" applyAlignment="1">
      <alignment horizontal="center" vertical="center"/>
    </xf>
    <xf numFmtId="0" fontId="13" fillId="16" borderId="22" xfId="0" applyFont="1" applyFill="1" applyBorder="1" applyAlignment="1">
      <alignment horizontal="center" vertical="center"/>
    </xf>
    <xf numFmtId="164" fontId="12" fillId="16" borderId="24" xfId="2" applyNumberFormat="1" applyFont="1" applyFill="1" applyBorder="1" applyAlignment="1">
      <alignment horizontal="center" vertical="center"/>
    </xf>
    <xf numFmtId="164" fontId="13" fillId="18" borderId="0" xfId="0" applyNumberFormat="1" applyFont="1" applyFill="1" applyAlignment="1">
      <alignment horizontal="center"/>
    </xf>
    <xf numFmtId="0" fontId="8" fillId="0" borderId="0" xfId="0" applyFont="1" applyAlignment="1">
      <alignment horizontal="center"/>
    </xf>
    <xf numFmtId="164" fontId="8" fillId="0" borderId="31" xfId="2" applyNumberFormat="1" applyFont="1" applyBorder="1" applyAlignment="1">
      <alignment horizontal="center"/>
    </xf>
    <xf numFmtId="49" fontId="10" fillId="0" borderId="0" xfId="0" applyNumberFormat="1" applyFont="1"/>
    <xf numFmtId="164" fontId="8" fillId="19" borderId="31" xfId="2" applyNumberFormat="1" applyFont="1" applyFill="1" applyBorder="1" applyAlignment="1">
      <alignment horizontal="center"/>
    </xf>
    <xf numFmtId="9" fontId="7" fillId="0" borderId="21" xfId="2" applyFont="1" applyBorder="1" applyAlignment="1">
      <alignment horizontal="center"/>
    </xf>
    <xf numFmtId="9" fontId="7" fillId="0" borderId="30" xfId="2" applyFont="1" applyBorder="1" applyAlignment="1">
      <alignment horizontal="center"/>
    </xf>
    <xf numFmtId="9" fontId="7" fillId="0" borderId="32" xfId="2" applyFont="1" applyBorder="1" applyAlignment="1">
      <alignment horizontal="center"/>
    </xf>
    <xf numFmtId="9" fontId="7" fillId="0" borderId="23" xfId="2" applyFont="1" applyBorder="1" applyAlignment="1">
      <alignment horizontal="center"/>
    </xf>
    <xf numFmtId="9" fontId="7" fillId="0" borderId="0" xfId="2" applyFont="1" applyBorder="1" applyAlignment="1">
      <alignment horizontal="center"/>
    </xf>
    <xf numFmtId="9" fontId="7" fillId="0" borderId="33" xfId="2" applyFont="1" applyBorder="1" applyAlignment="1">
      <alignment horizontal="center"/>
    </xf>
    <xf numFmtId="9" fontId="7" fillId="0" borderId="25" xfId="2" applyFont="1" applyBorder="1" applyAlignment="1">
      <alignment horizontal="center"/>
    </xf>
    <xf numFmtId="9" fontId="7" fillId="0" borderId="26" xfId="2" applyFont="1" applyBorder="1" applyAlignment="1">
      <alignment horizontal="center"/>
    </xf>
    <xf numFmtId="9" fontId="7" fillId="0" borderId="27" xfId="2" applyFont="1" applyBorder="1" applyAlignment="1">
      <alignment horizontal="center"/>
    </xf>
    <xf numFmtId="9" fontId="7" fillId="19" borderId="0" xfId="2" applyFont="1" applyFill="1" applyBorder="1" applyAlignment="1">
      <alignment horizontal="center"/>
    </xf>
    <xf numFmtId="9" fontId="7" fillId="19" borderId="33" xfId="2" applyFont="1" applyFill="1" applyBorder="1" applyAlignment="1">
      <alignment horizontal="center"/>
    </xf>
    <xf numFmtId="49" fontId="7" fillId="0" borderId="0" xfId="0" applyNumberFormat="1" applyFont="1"/>
    <xf numFmtId="0" fontId="7" fillId="2" borderId="0" xfId="1" applyFont="1"/>
    <xf numFmtId="164" fontId="8" fillId="0" borderId="22" xfId="2" applyNumberFormat="1" applyFont="1" applyBorder="1" applyAlignment="1">
      <alignment horizontal="center" vertical="center"/>
    </xf>
    <xf numFmtId="164" fontId="8" fillId="0" borderId="34" xfId="2" applyNumberFormat="1" applyFon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9" fontId="14" fillId="0" borderId="32" xfId="2" applyFont="1" applyBorder="1" applyAlignment="1">
      <alignment horizontal="center" vertical="center"/>
    </xf>
    <xf numFmtId="9" fontId="14" fillId="0" borderId="22" xfId="2" applyFont="1" applyBorder="1" applyAlignment="1">
      <alignment horizontal="center" vertical="center"/>
    </xf>
    <xf numFmtId="9" fontId="14" fillId="0" borderId="34" xfId="2" applyFont="1" applyBorder="1" applyAlignment="1">
      <alignment horizontal="center" vertical="center"/>
    </xf>
    <xf numFmtId="164" fontId="8" fillId="19" borderId="19" xfId="2" applyNumberFormat="1" applyFont="1" applyFill="1" applyBorder="1" applyAlignment="1">
      <alignment horizontal="center" wrapText="1"/>
    </xf>
    <xf numFmtId="164" fontId="8" fillId="19" borderId="28" xfId="2" applyNumberFormat="1" applyFont="1" applyFill="1" applyBorder="1" applyAlignment="1">
      <alignment horizontal="center"/>
    </xf>
    <xf numFmtId="164" fontId="7" fillId="0" borderId="0" xfId="0" applyNumberFormat="1" applyFont="1"/>
    <xf numFmtId="0" fontId="18" fillId="14" borderId="19" xfId="0" applyFont="1" applyFill="1" applyBorder="1" applyAlignment="1">
      <alignment horizontal="center" vertical="center"/>
    </xf>
    <xf numFmtId="0" fontId="18" fillId="14" borderId="20" xfId="0" applyFont="1" applyFill="1" applyBorder="1" applyAlignment="1">
      <alignment horizontal="center" vertical="center"/>
    </xf>
    <xf numFmtId="0" fontId="19" fillId="0" borderId="0" xfId="0" applyFont="1"/>
    <xf numFmtId="0" fontId="18" fillId="20" borderId="22" xfId="0" applyFont="1" applyFill="1" applyBorder="1" applyAlignment="1">
      <alignment horizontal="center" vertical="center"/>
    </xf>
    <xf numFmtId="0" fontId="18" fillId="16" borderId="22" xfId="0" applyFont="1" applyFill="1" applyBorder="1" applyAlignment="1">
      <alignment horizontal="center" vertical="center"/>
    </xf>
    <xf numFmtId="164" fontId="20" fillId="20" borderId="24" xfId="2" applyNumberFormat="1" applyFont="1" applyFill="1" applyBorder="1" applyAlignment="1">
      <alignment horizontal="center" vertical="center"/>
    </xf>
    <xf numFmtId="164" fontId="20" fillId="16" borderId="24" xfId="2" applyNumberFormat="1" applyFont="1" applyFill="1" applyBorder="1" applyAlignment="1">
      <alignment horizontal="center" vertical="center"/>
    </xf>
    <xf numFmtId="164" fontId="18" fillId="18" borderId="0" xfId="0" applyNumberFormat="1" applyFont="1" applyFill="1" applyAlignment="1">
      <alignment horizontal="center"/>
    </xf>
    <xf numFmtId="0" fontId="20" fillId="0" borderId="0" xfId="0" applyFont="1" applyAlignment="1">
      <alignment horizontal="center" vertical="center"/>
    </xf>
    <xf numFmtId="0" fontId="21" fillId="0" borderId="0" xfId="0" applyFont="1" applyAlignment="1">
      <alignment horizontal="center"/>
    </xf>
    <xf numFmtId="164" fontId="8" fillId="0" borderId="25" xfId="2" applyNumberFormat="1" applyFont="1" applyBorder="1" applyAlignment="1">
      <alignment horizontal="center" vertical="center" wrapText="1"/>
    </xf>
    <xf numFmtId="164" fontId="8" fillId="0" borderId="22" xfId="2" applyNumberFormat="1" applyFont="1" applyBorder="1" applyAlignment="1">
      <alignment horizontal="center" vertical="center" wrapText="1"/>
    </xf>
    <xf numFmtId="0" fontId="5" fillId="13" borderId="16" xfId="0" applyFont="1" applyFill="1" applyBorder="1" applyAlignment="1">
      <alignment horizontal="center"/>
    </xf>
    <xf numFmtId="0" fontId="5" fillId="13" borderId="17" xfId="0" applyFont="1" applyFill="1" applyBorder="1" applyAlignment="1">
      <alignment horizontal="center"/>
    </xf>
    <xf numFmtId="0" fontId="4" fillId="12" borderId="9" xfId="0" applyFont="1" applyFill="1" applyBorder="1" applyAlignment="1">
      <alignment horizontal="center"/>
    </xf>
    <xf numFmtId="0" fontId="13" fillId="15" borderId="21" xfId="0" applyFont="1" applyFill="1" applyBorder="1" applyAlignment="1">
      <alignment horizontal="center" vertical="center"/>
    </xf>
    <xf numFmtId="0" fontId="13" fillId="15" borderId="25" xfId="0" applyFont="1" applyFill="1" applyBorder="1" applyAlignment="1">
      <alignment horizontal="center" vertical="center"/>
    </xf>
    <xf numFmtId="164" fontId="8" fillId="0" borderId="21" xfId="2" applyNumberFormat="1" applyFont="1" applyBorder="1" applyAlignment="1">
      <alignment horizontal="center" vertical="center" wrapText="1"/>
    </xf>
    <xf numFmtId="164" fontId="8" fillId="0" borderId="23" xfId="2" applyNumberFormat="1" applyFont="1" applyBorder="1" applyAlignment="1">
      <alignment horizontal="center" vertical="center" wrapText="1"/>
    </xf>
    <xf numFmtId="164" fontId="8" fillId="0" borderId="25" xfId="2" applyNumberFormat="1" applyFont="1" applyBorder="1" applyAlignment="1">
      <alignment horizontal="center" vertical="center" wrapText="1"/>
    </xf>
    <xf numFmtId="0" fontId="13" fillId="15" borderId="22" xfId="0" applyFont="1" applyFill="1" applyBorder="1" applyAlignment="1">
      <alignment horizontal="center" vertical="center"/>
    </xf>
    <xf numFmtId="0" fontId="13" fillId="15" borderId="24" xfId="0" applyFont="1" applyFill="1" applyBorder="1" applyAlignment="1">
      <alignment horizontal="center" vertical="center"/>
    </xf>
    <xf numFmtId="0" fontId="13" fillId="18" borderId="21" xfId="0" applyFont="1" applyFill="1" applyBorder="1" applyAlignment="1">
      <alignment horizontal="center" vertical="center"/>
    </xf>
    <xf numFmtId="0" fontId="13" fillId="18" borderId="23" xfId="0" applyFont="1" applyFill="1" applyBorder="1" applyAlignment="1">
      <alignment horizontal="center" vertical="center"/>
    </xf>
    <xf numFmtId="164" fontId="8" fillId="0" borderId="22" xfId="2" applyNumberFormat="1" applyFont="1" applyBorder="1" applyAlignment="1">
      <alignment horizontal="center" vertical="center" wrapText="1"/>
    </xf>
    <xf numFmtId="164" fontId="8" fillId="0" borderId="31" xfId="2" applyNumberFormat="1" applyFont="1" applyBorder="1" applyAlignment="1">
      <alignment horizontal="center" vertical="center" wrapText="1"/>
    </xf>
    <xf numFmtId="164" fontId="17" fillId="0" borderId="22" xfId="2" applyNumberFormat="1" applyFont="1" applyBorder="1" applyAlignment="1">
      <alignment horizontal="center" vertical="center" wrapText="1"/>
    </xf>
    <xf numFmtId="0" fontId="18" fillId="18" borderId="21" xfId="0" applyFont="1" applyFill="1" applyBorder="1" applyAlignment="1">
      <alignment horizontal="center" vertical="center"/>
    </xf>
    <xf numFmtId="0" fontId="18" fillId="18" borderId="23" xfId="0" applyFont="1" applyFill="1" applyBorder="1" applyAlignment="1">
      <alignment horizontal="center" vertical="center"/>
    </xf>
    <xf numFmtId="0" fontId="18" fillId="15" borderId="22" xfId="0" applyFont="1" applyFill="1" applyBorder="1" applyAlignment="1">
      <alignment horizontal="center" vertical="center"/>
    </xf>
    <xf numFmtId="0" fontId="18" fillId="15" borderId="24" xfId="0" applyFont="1" applyFill="1" applyBorder="1" applyAlignment="1">
      <alignment horizontal="center" vertical="center"/>
    </xf>
    <xf numFmtId="0" fontId="18" fillId="15" borderId="21" xfId="0" applyFont="1" applyFill="1" applyBorder="1" applyAlignment="1">
      <alignment horizontal="center" vertical="center"/>
    </xf>
    <xf numFmtId="0" fontId="18" fillId="15" borderId="25" xfId="0" applyFont="1" applyFill="1" applyBorder="1" applyAlignment="1">
      <alignment horizontal="center" vertical="center"/>
    </xf>
    <xf numFmtId="164" fontId="8" fillId="0" borderId="0" xfId="2" applyNumberFormat="1" applyFont="1" applyAlignment="1">
      <alignment horizontal="center" vertical="center" wrapText="1"/>
    </xf>
    <xf numFmtId="164" fontId="8" fillId="0" borderId="0" xfId="2" applyNumberFormat="1" applyFont="1" applyAlignment="1">
      <alignment horizontal="center" vertical="center"/>
    </xf>
    <xf numFmtId="164" fontId="7" fillId="0" borderId="22" xfId="2" applyNumberFormat="1" applyFont="1" applyBorder="1" applyAlignment="1">
      <alignment horizontal="center" vertical="center"/>
    </xf>
    <xf numFmtId="164" fontId="8" fillId="0" borderId="20" xfId="2" applyNumberFormat="1" applyFont="1" applyBorder="1" applyAlignment="1">
      <alignment horizontal="center" vertical="center"/>
    </xf>
    <xf numFmtId="164" fontId="7" fillId="0" borderId="29" xfId="2" applyNumberFormat="1" applyFont="1" applyBorder="1" applyAlignment="1">
      <alignment horizontal="center" vertical="center"/>
    </xf>
    <xf numFmtId="164" fontId="7" fillId="0" borderId="21" xfId="2" applyNumberFormat="1" applyFont="1" applyBorder="1" applyAlignment="1">
      <alignment horizontal="center" vertical="center"/>
    </xf>
    <xf numFmtId="164" fontId="22" fillId="0" borderId="23" xfId="2" applyNumberFormat="1" applyFont="1" applyBorder="1" applyAlignment="1">
      <alignment horizontal="center" vertical="center" wrapText="1"/>
    </xf>
    <xf numFmtId="164" fontId="22" fillId="0" borderId="21" xfId="2" applyNumberFormat="1" applyFont="1" applyBorder="1" applyAlignment="1">
      <alignment horizontal="center" vertical="center" wrapText="1"/>
    </xf>
    <xf numFmtId="164" fontId="8" fillId="0" borderId="19" xfId="2" applyNumberFormat="1" applyFont="1" applyBorder="1" applyAlignment="1">
      <alignment horizontal="center" vertical="center"/>
    </xf>
  </cellXfs>
  <cellStyles count="3">
    <cellStyle name="Normal" xfId="0" builtinId="0"/>
    <cellStyle name="Normal 2" xfId="1" xr:uid="{FBE8FA04-44C0-0F48-95DC-AA65C66D2E90}"/>
    <cellStyle name="Percent" xfId="2" builtinId="5"/>
  </cellStyles>
  <dxfs count="0"/>
  <tableStyles count="0" defaultTableStyle="TableStyleMedium2" defaultPivotStyle="PivotStyleLight16"/>
  <colors>
    <mruColors>
      <color rgb="FFFF5A68"/>
      <color rgb="FFFF8D9B"/>
      <color rgb="FF58430A"/>
      <color rgb="FFB78A00"/>
      <color rgb="FFFE6800"/>
      <color rgb="FF00FF8B"/>
      <color rgb="FF00FF00"/>
      <color rgb="FFFF6800"/>
      <color rgb="FF00FFD9"/>
      <color rgb="FFFFE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0" i="0" u="none" strike="noStrike" kern="1200" spc="0" baseline="0">
                <a:solidFill>
                  <a:schemeClr val="tx1"/>
                </a:solidFill>
                <a:latin typeface="+mn-lt"/>
                <a:ea typeface="+mn-ea"/>
                <a:cs typeface="+mn-cs"/>
              </a:defRPr>
            </a:pPr>
            <a:r>
              <a:rPr lang="en-US" sz="2000">
                <a:solidFill>
                  <a:schemeClr val="tx1"/>
                </a:solidFill>
              </a:rPr>
              <a:t>Impact</a:t>
            </a:r>
            <a:r>
              <a:rPr lang="en-US" sz="2000" baseline="0">
                <a:solidFill>
                  <a:schemeClr val="tx1"/>
                </a:solidFill>
              </a:rPr>
              <a:t> of Study Block Order on Classification Accuracy</a:t>
            </a:r>
            <a:endParaRPr lang="en-US" sz="2000">
              <a:solidFill>
                <a:schemeClr val="tx1"/>
              </a:solidFill>
            </a:endParaRP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blockOrder!$D$11</c:f>
              <c:strCache>
                <c:ptCount val="1"/>
                <c:pt idx="0">
                  <c:v>three_then_five</c:v>
                </c:pt>
              </c:strCache>
            </c:strRef>
          </c:tx>
          <c:spPr>
            <a:solidFill>
              <a:srgbClr val="00FF8B"/>
            </a:solidFill>
            <a:ln w="19050">
              <a:solidFill>
                <a:schemeClr val="tx1"/>
              </a:solidFill>
            </a:ln>
            <a:effectLst/>
          </c:spPr>
          <c:invertIfNegative val="0"/>
          <c:cat>
            <c:strRef>
              <c:f>blockOrder!$B$12:$B$13</c:f>
              <c:strCache>
                <c:ptCount val="2"/>
                <c:pt idx="0">
                  <c:v>VocabularySize=3</c:v>
                </c:pt>
                <c:pt idx="1">
                  <c:v>VocabularySize=5</c:v>
                </c:pt>
              </c:strCache>
            </c:strRef>
          </c:cat>
          <c:val>
            <c:numRef>
              <c:f>blockOrder!$D$12:$D$13</c:f>
              <c:numCache>
                <c:formatCode>0.0%</c:formatCode>
                <c:ptCount val="2"/>
                <c:pt idx="0">
                  <c:v>0.82905982905982911</c:v>
                </c:pt>
                <c:pt idx="1">
                  <c:v>0.62948717948717947</c:v>
                </c:pt>
              </c:numCache>
            </c:numRef>
          </c:val>
          <c:extLst>
            <c:ext xmlns:c16="http://schemas.microsoft.com/office/drawing/2014/chart" uri="{C3380CC4-5D6E-409C-BE32-E72D297353CC}">
              <c16:uniqueId val="{00000000-7E6A-3745-9830-60A4B69D9652}"/>
            </c:ext>
          </c:extLst>
        </c:ser>
        <c:ser>
          <c:idx val="1"/>
          <c:order val="1"/>
          <c:tx>
            <c:strRef>
              <c:f>blockOrder!$C$11</c:f>
              <c:strCache>
                <c:ptCount val="1"/>
                <c:pt idx="0">
                  <c:v>five_then_three</c:v>
                </c:pt>
              </c:strCache>
            </c:strRef>
          </c:tx>
          <c:spPr>
            <a:solidFill>
              <a:srgbClr val="FF6800"/>
            </a:solidFill>
            <a:ln w="19050">
              <a:solidFill>
                <a:schemeClr val="tx1"/>
              </a:solidFill>
            </a:ln>
            <a:effectLst/>
          </c:spPr>
          <c:invertIfNegative val="0"/>
          <c:cat>
            <c:strRef>
              <c:f>blockOrder!$B$12:$B$13</c:f>
              <c:strCache>
                <c:ptCount val="2"/>
                <c:pt idx="0">
                  <c:v>VocabularySize=3</c:v>
                </c:pt>
                <c:pt idx="1">
                  <c:v>VocabularySize=5</c:v>
                </c:pt>
              </c:strCache>
            </c:strRef>
          </c:cat>
          <c:val>
            <c:numRef>
              <c:f>blockOrder!$C$12:$C$13</c:f>
              <c:numCache>
                <c:formatCode>0.0%</c:formatCode>
                <c:ptCount val="2"/>
                <c:pt idx="0">
                  <c:v>0.80833333333333335</c:v>
                </c:pt>
                <c:pt idx="1">
                  <c:v>0.56499999999999995</c:v>
                </c:pt>
              </c:numCache>
            </c:numRef>
          </c:val>
          <c:extLst>
            <c:ext xmlns:c16="http://schemas.microsoft.com/office/drawing/2014/chart" uri="{C3380CC4-5D6E-409C-BE32-E72D297353CC}">
              <c16:uniqueId val="{00000001-7E6A-3745-9830-60A4B69D9652}"/>
            </c:ext>
          </c:extLst>
        </c:ser>
        <c:dLbls>
          <c:showLegendKey val="0"/>
          <c:showVal val="0"/>
          <c:showCatName val="0"/>
          <c:showSerName val="0"/>
          <c:showPercent val="0"/>
          <c:showBubbleSize val="0"/>
        </c:dLbls>
        <c:gapWidth val="176"/>
        <c:overlap val="-15"/>
        <c:axId val="965639344"/>
        <c:axId val="531096624"/>
      </c:barChart>
      <c:catAx>
        <c:axId val="9656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crossAx val="531096624"/>
        <c:crosses val="autoZero"/>
        <c:auto val="1"/>
        <c:lblAlgn val="ctr"/>
        <c:lblOffset val="100"/>
        <c:noMultiLvlLbl val="0"/>
      </c:catAx>
      <c:valAx>
        <c:axId val="531096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solidFill>
                <a:latin typeface="+mn-lt"/>
                <a:ea typeface="+mn-ea"/>
                <a:cs typeface="+mn-cs"/>
              </a:defRPr>
            </a:pPr>
            <a:endParaRPr lang="en-US"/>
          </a:p>
        </c:txPr>
        <c:crossAx val="965639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chartData>
  <cx:chart>
    <cx:title pos="t" align="ctr" overlay="0">
      <cx:tx>
        <cx:txData>
          <cx:v>Classification Accuracy for VocabularySize=5</cx:v>
        </cx:txData>
      </cx:tx>
      <cx:txPr>
        <a:bodyPr spcFirstLastPara="1" vertOverflow="ellipsis" horzOverflow="overflow" wrap="square" lIns="0" tIns="0" rIns="0" bIns="0" anchor="ctr" anchorCtr="1"/>
        <a:lstStyle/>
        <a:p>
          <a:pPr algn="ctr" rtl="0">
            <a:defRPr/>
          </a:pPr>
          <a:r>
            <a:rPr lang="en-US" sz="2200" b="0" i="0" u="none" strike="noStrike" baseline="0">
              <a:solidFill>
                <a:schemeClr val="tx1"/>
              </a:solidFill>
              <a:latin typeface="Aptos Narrow" panose="02110004020202020204"/>
            </a:rPr>
            <a:t>Classification Accuracy for VocabularySize=5</a:t>
          </a:r>
        </a:p>
      </cx:txPr>
    </cx:title>
    <cx:plotArea>
      <cx:plotAreaRegion>
        <cx:plotSurface>
          <cx:spPr>
            <a:noFill/>
          </cx:spPr>
        </cx:plotSurface>
        <cx:series layoutId="boxWhisker" uniqueId="{A13EFB20-F073-D74B-AC7C-CB4E47E5B1DA}">
          <cx:tx>
            <cx:txData>
              <cx:f>_xlchart.v1.0</cx:f>
              <cx:v>Isolation</cx:v>
            </cx:txData>
          </cx:tx>
          <cx:spPr>
            <a:solidFill>
              <a:srgbClr val="00FFD8"/>
            </a:solidFill>
            <a:ln w="19050">
              <a:solidFill>
                <a:schemeClr val="tx1"/>
              </a:solidFill>
            </a:ln>
          </cx:spPr>
          <cx:dataId val="0"/>
          <cx:layoutPr>
            <cx:statistics quartileMethod="exclusive"/>
          </cx:layoutPr>
        </cx:series>
        <cx:series layoutId="boxWhisker" uniqueId="{292CAA2F-B72C-D04C-9106-CD641A5F79C1}">
          <cx:tx>
            <cx:txData>
              <cx:f>_xlchart.v1.2</cx:f>
              <cx:v>Proxy</cx:v>
            </cx:txData>
          </cx:tx>
          <cx:spPr>
            <a:solidFill>
              <a:srgbClr val="00FF00"/>
            </a:solidFill>
            <a:ln w="19050">
              <a:solidFill>
                <a:schemeClr val="tx1"/>
              </a:solidFill>
            </a:ln>
          </cx:spPr>
          <cx:dataId val="1"/>
          <cx:layoutPr>
            <cx:statistics quartileMethod="exclusive"/>
          </cx:layoutPr>
        </cx:series>
        <cx:series layoutId="boxWhisker" uniqueId="{69C2DC59-2561-F949-9FFF-0FFED262457D}">
          <cx:tx>
            <cx:txData>
              <cx:f>_xlchart.v1.4</cx:f>
              <cx:v>Proxy+EMD</cx:v>
            </cx:txData>
          </cx:tx>
          <cx:spPr>
            <a:solidFill>
              <a:srgbClr val="FFE200"/>
            </a:solidFill>
            <a:ln w="19050">
              <a:solidFill>
                <a:schemeClr val="tx1"/>
              </a:solidFill>
            </a:ln>
          </cx:spPr>
          <cx:dataId val="2"/>
          <cx:layoutPr>
            <cx:statistics quartileMethod="exclusive"/>
          </cx:layoutPr>
        </cx:series>
        <cx:series layoutId="boxWhisker" uniqueId="{1939CFE7-8740-FE4E-B479-675551254607}">
          <cx:tx>
            <cx:txData>
              <cx:f>_xlchart.v1.6</cx:f>
              <cx:v>Proxy+Kinematic</cx:v>
            </cx:txData>
          </cx:tx>
          <cx:spPr>
            <a:solidFill>
              <a:srgbClr val="FE6800"/>
            </a:solidFill>
            <a:ln w="19050">
              <a:solidFill>
                <a:schemeClr val="tx1"/>
              </a:solidFill>
              <a:round/>
            </a:ln>
          </cx:spPr>
          <cx:dataId val="3"/>
          <cx:layoutPr>
            <cx:visibility meanLine="0" outliers="1"/>
            <cx:statistics quartileMethod="exclusive"/>
          </cx:layoutPr>
        </cx:series>
      </cx:plotAreaRegion>
      <cx:axis id="0" hidden="1">
        <cx:catScaling gapWidth="1"/>
        <cx:tickLabels/>
      </cx:axis>
      <cx:axis id="1">
        <cx:valScaling/>
        <cx:majorGridlines/>
        <cx:tickLabels/>
        <cx:txPr>
          <a:bodyPr spcFirstLastPara="1" vertOverflow="ellipsis" horzOverflow="overflow" wrap="square" lIns="0" tIns="0" rIns="0" bIns="0" anchor="ctr" anchorCtr="1"/>
          <a:lstStyle/>
          <a:p>
            <a:pPr algn="ctr" rtl="0">
              <a:defRPr sz="1600">
                <a:solidFill>
                  <a:schemeClr val="tx1"/>
                </a:solidFill>
              </a:defRPr>
            </a:pPr>
            <a:endParaRPr lang="en-US" sz="1600" b="0" i="0" u="none" strike="noStrike" baseline="0">
              <a:solidFill>
                <a:schemeClr val="tx1"/>
              </a:solidFill>
              <a:latin typeface="Aptos Narrow" panose="02110004020202020204"/>
            </a:endParaRPr>
          </a:p>
        </cx:txPr>
      </cx:axis>
    </cx:plotArea>
    <cx:legend pos="b" align="ctr" overlay="0">
      <cx:txPr>
        <a:bodyPr spcFirstLastPara="1" vertOverflow="ellipsis" horzOverflow="overflow" wrap="square" lIns="0" tIns="0" rIns="0" bIns="0" anchor="ctr" anchorCtr="1"/>
        <a:lstStyle/>
        <a:p>
          <a:pPr algn="ctr" rtl="0">
            <a:defRPr sz="2000">
              <a:solidFill>
                <a:schemeClr val="tx1"/>
              </a:solidFill>
            </a:defRPr>
          </a:pPr>
          <a:endParaRPr lang="en-US" sz="2000" b="0" i="0" u="none" strike="noStrike" baseline="0">
            <a:solidFill>
              <a:schemeClr val="tx1"/>
            </a:solidFill>
            <a:latin typeface="Aptos Narrow" panose="02110004020202020204"/>
          </a:endParaRPr>
        </a:p>
      </cx:txPr>
    </cx:legend>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data id="1">
      <cx:numDim type="val">
        <cx:f>_xlchart.v1.11</cx:f>
      </cx:numDim>
    </cx:data>
    <cx:data id="2">
      <cx:numDim type="val">
        <cx:f>_xlchart.v1.13</cx:f>
      </cx:numDim>
    </cx:data>
    <cx:data id="3">
      <cx:numDim type="val">
        <cx:f>_xlchart.v1.15</cx:f>
      </cx:numDim>
    </cx:data>
  </cx:chartData>
  <cx:chart>
    <cx:title pos="t" align="ctr" overlay="0">
      <cx:tx>
        <cx:rich>
          <a:bodyPr spcFirstLastPara="1" vertOverflow="ellipsis" horzOverflow="overflow" wrap="square" lIns="0" tIns="0" rIns="0" bIns="0" anchor="ctr" anchorCtr="1"/>
          <a:lstStyle/>
          <a:p>
            <a:pPr rtl="0"/>
            <a:r>
              <a:rPr lang="en-US" sz="2200" b="0" i="0" baseline="0">
                <a:effectLst/>
                <a:latin typeface="+mn-lt"/>
              </a:rPr>
              <a:t>Classification Accuracy for VocabularySize=3</a:t>
            </a:r>
            <a:endParaRPr lang="en-CA" sz="2200">
              <a:effectLst/>
              <a:latin typeface="+mn-lt"/>
            </a:endParaRPr>
          </a:p>
        </cx:rich>
      </cx:tx>
    </cx:title>
    <cx:plotArea>
      <cx:plotAreaRegion>
        <cx:plotSurface>
          <cx:spPr>
            <a:noFill/>
          </cx:spPr>
        </cx:plotSurface>
        <cx:series layoutId="boxWhisker" uniqueId="{FA1B5A2C-FD74-1C47-B1C2-846F1CDECD0A}">
          <cx:tx>
            <cx:txData>
              <cx:f>_xlchart.v1.8</cx:f>
              <cx:v>Isolation</cx:v>
            </cx:txData>
          </cx:tx>
          <cx:spPr>
            <a:solidFill>
              <a:srgbClr val="00FFD9"/>
            </a:solidFill>
            <a:ln w="19050">
              <a:solidFill>
                <a:schemeClr val="tx1"/>
              </a:solidFill>
            </a:ln>
          </cx:spPr>
          <cx:dataId val="0"/>
          <cx:layoutPr>
            <cx:statistics quartileMethod="exclusive"/>
          </cx:layoutPr>
        </cx:series>
        <cx:series layoutId="boxWhisker" uniqueId="{39F21CE6-0C37-7A46-90D5-66EC64ADEF44}">
          <cx:tx>
            <cx:txData>
              <cx:f>_xlchart.v1.10</cx:f>
              <cx:v>Proxy</cx:v>
            </cx:txData>
          </cx:tx>
          <cx:spPr>
            <a:solidFill>
              <a:srgbClr val="00FF00"/>
            </a:solidFill>
            <a:ln w="19050">
              <a:solidFill>
                <a:schemeClr val="tx1"/>
              </a:solidFill>
            </a:ln>
          </cx:spPr>
          <cx:dataId val="1"/>
          <cx:layoutPr>
            <cx:statistics quartileMethod="exclusive"/>
          </cx:layoutPr>
        </cx:series>
        <cx:series layoutId="boxWhisker" uniqueId="{F97429D8-2282-FF45-8A1D-D2E8FDBC1E3C}">
          <cx:tx>
            <cx:txData>
              <cx:f>_xlchart.v1.12</cx:f>
              <cx:v>Proxy+EMD</cx:v>
            </cx:txData>
          </cx:tx>
          <cx:spPr>
            <a:solidFill>
              <a:srgbClr val="FFE200"/>
            </a:solidFill>
            <a:ln w="19050">
              <a:solidFill>
                <a:schemeClr val="tx1"/>
              </a:solidFill>
            </a:ln>
          </cx:spPr>
          <cx:dataId val="2"/>
          <cx:layoutPr>
            <cx:statistics quartileMethod="exclusive"/>
          </cx:layoutPr>
        </cx:series>
        <cx:series layoutId="boxWhisker" uniqueId="{88C71977-EB7D-6246-AD1C-CF2D297E8F35}">
          <cx:tx>
            <cx:txData>
              <cx:f>_xlchart.v1.14</cx:f>
              <cx:v>Proxy+Kinematic</cx:v>
            </cx:txData>
          </cx:tx>
          <cx:spPr>
            <a:solidFill>
              <a:srgbClr val="FF6800"/>
            </a:solidFill>
            <a:ln w="19050">
              <a:solidFill>
                <a:schemeClr val="tx1"/>
              </a:solidFill>
            </a:ln>
          </cx:spPr>
          <cx:dataId val="3"/>
          <cx:layoutPr>
            <cx:visibility meanLine="0"/>
            <cx:statistics quartileMethod="exclusive"/>
          </cx:layoutPr>
        </cx:series>
      </cx:plotAreaRegion>
      <cx:axis id="0" hidden="1">
        <cx:catScaling gapWidth="1"/>
        <cx:tickLabels/>
      </cx:axis>
      <cx:axis id="1">
        <cx:valScaling/>
        <cx:majorGridlines/>
        <cx:tickLabels/>
        <cx:txPr>
          <a:bodyPr spcFirstLastPara="1" vertOverflow="ellipsis" horzOverflow="overflow" wrap="square" lIns="0" tIns="0" rIns="0" bIns="0" anchor="ctr" anchorCtr="1"/>
          <a:lstStyle/>
          <a:p>
            <a:pPr algn="ctr" rtl="0">
              <a:defRPr sz="1600">
                <a:solidFill>
                  <a:schemeClr val="tx1"/>
                </a:solidFill>
              </a:defRPr>
            </a:pPr>
            <a:endParaRPr lang="en-US" sz="1600" b="0" i="0" u="none" strike="noStrike" baseline="0">
              <a:solidFill>
                <a:schemeClr val="tx1"/>
              </a:solidFill>
              <a:latin typeface="Aptos Narrow" panose="02110004020202020204"/>
            </a:endParaRPr>
          </a:p>
        </cx:txPr>
      </cx:axis>
    </cx:plotArea>
    <cx:legend pos="b" align="ctr" overlay="0">
      <cx:txPr>
        <a:bodyPr spcFirstLastPara="1" vertOverflow="ellipsis" horzOverflow="overflow" wrap="square" lIns="0" tIns="0" rIns="0" bIns="0" anchor="ctr" anchorCtr="1"/>
        <a:lstStyle/>
        <a:p>
          <a:pPr algn="ctr" rtl="0">
            <a:defRPr sz="2000">
              <a:solidFill>
                <a:schemeClr val="tx1"/>
              </a:solidFill>
            </a:defRPr>
          </a:pPr>
          <a:endParaRPr lang="en-US" sz="2000" b="0" i="0" u="none" strike="noStrike" baseline="0">
            <a:solidFill>
              <a:schemeClr val="tx1"/>
            </a:solidFill>
            <a:latin typeface="Aptos Narrow" panose="02110004020202020204"/>
          </a:endParaRPr>
        </a:p>
      </cx:txPr>
    </cx:legend>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1453443</xdr:colOff>
      <xdr:row>19</xdr:row>
      <xdr:rowOff>70554</xdr:rowOff>
    </xdr:from>
    <xdr:to>
      <xdr:col>12</xdr:col>
      <xdr:colOff>654754</xdr:colOff>
      <xdr:row>32</xdr:row>
      <xdr:rowOff>59265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99D8F15-AA8E-F949-26DF-97356D2A0F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953043" y="5506154"/>
              <a:ext cx="7316611" cy="36209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1477432</xdr:colOff>
      <xdr:row>32</xdr:row>
      <xdr:rowOff>207432</xdr:rowOff>
    </xdr:from>
    <xdr:to>
      <xdr:col>12</xdr:col>
      <xdr:colOff>678743</xdr:colOff>
      <xdr:row>45</xdr:row>
      <xdr:rowOff>196144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3DAD074-5D8B-1F45-A011-839D832F9D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77032" y="9275232"/>
              <a:ext cx="7316611" cy="3620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16</xdr:row>
      <xdr:rowOff>1</xdr:rowOff>
    </xdr:from>
    <xdr:to>
      <xdr:col>5</xdr:col>
      <xdr:colOff>12700</xdr:colOff>
      <xdr:row>35</xdr:row>
      <xdr:rowOff>88901</xdr:rowOff>
    </xdr:to>
    <xdr:graphicFrame macro="">
      <xdr:nvGraphicFramePr>
        <xdr:cNvPr id="2" name="Chart 1">
          <a:extLst>
            <a:ext uri="{FF2B5EF4-FFF2-40B4-BE49-F238E27FC236}">
              <a16:creationId xmlns:a16="http://schemas.microsoft.com/office/drawing/2014/main" id="{DCE4ED8F-EAD7-784F-8954-F8D356580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4C70-5ECB-B64D-9857-CAE090F712C7}">
  <dimension ref="B1:C17"/>
  <sheetViews>
    <sheetView zoomScale="160" zoomScaleNormal="160" workbookViewId="0">
      <selection activeCell="B25" sqref="B25"/>
    </sheetView>
  </sheetViews>
  <sheetFormatPr baseColWidth="10" defaultRowHeight="15" x14ac:dyDescent="0.2"/>
  <cols>
    <col min="2" max="2" width="65" customWidth="1"/>
    <col min="3" max="3" width="9.83203125" customWidth="1"/>
  </cols>
  <sheetData>
    <row r="1" spans="2:3" ht="16" thickBot="1" x14ac:dyDescent="0.25"/>
    <row r="2" spans="2:3" ht="23" thickBot="1" x14ac:dyDescent="0.35">
      <c r="B2" s="116" t="s">
        <v>1310</v>
      </c>
      <c r="C2" s="117"/>
    </row>
    <row r="3" spans="2:3" x14ac:dyDescent="0.2">
      <c r="B3" s="27" t="s">
        <v>291</v>
      </c>
      <c r="C3" s="28">
        <v>1</v>
      </c>
    </row>
    <row r="4" spans="2:3" x14ac:dyDescent="0.2">
      <c r="B4" s="29" t="s">
        <v>293</v>
      </c>
      <c r="C4" s="30">
        <v>2</v>
      </c>
    </row>
    <row r="5" spans="2:3" x14ac:dyDescent="0.2">
      <c r="B5" s="29" t="s">
        <v>299</v>
      </c>
      <c r="C5" s="30">
        <v>4</v>
      </c>
    </row>
    <row r="6" spans="2:3" x14ac:dyDescent="0.2">
      <c r="B6" s="29" t="s">
        <v>295</v>
      </c>
      <c r="C6" s="30">
        <v>5</v>
      </c>
    </row>
    <row r="7" spans="2:3" ht="16" thickBot="1" x14ac:dyDescent="0.25">
      <c r="B7" s="31" t="s">
        <v>298</v>
      </c>
      <c r="C7" s="32">
        <v>3</v>
      </c>
    </row>
    <row r="8" spans="2:3" ht="16" thickBot="1" x14ac:dyDescent="0.25">
      <c r="B8" s="26"/>
      <c r="C8" s="26"/>
    </row>
    <row r="9" spans="2:3" x14ac:dyDescent="0.2">
      <c r="B9" s="33" t="s">
        <v>291</v>
      </c>
      <c r="C9" s="34">
        <v>1</v>
      </c>
    </row>
    <row r="10" spans="2:3" x14ac:dyDescent="0.2">
      <c r="B10" s="35" t="s">
        <v>300</v>
      </c>
      <c r="C10" s="36">
        <v>2</v>
      </c>
    </row>
    <row r="11" spans="2:3" ht="16" thickBot="1" x14ac:dyDescent="0.25">
      <c r="B11" s="37" t="s">
        <v>301</v>
      </c>
      <c r="C11" s="38">
        <v>5</v>
      </c>
    </row>
    <row r="12" spans="2:3" ht="16" thickBot="1" x14ac:dyDescent="0.25">
      <c r="B12" s="26"/>
      <c r="C12" s="26"/>
    </row>
    <row r="13" spans="2:3" x14ac:dyDescent="0.2">
      <c r="B13" s="27" t="s">
        <v>330</v>
      </c>
      <c r="C13" s="28">
        <v>3</v>
      </c>
    </row>
    <row r="14" spans="2:3" x14ac:dyDescent="0.2">
      <c r="B14" s="29" t="s">
        <v>297</v>
      </c>
      <c r="C14" s="30">
        <v>4</v>
      </c>
    </row>
    <row r="15" spans="2:3" x14ac:dyDescent="0.2">
      <c r="B15" s="29" t="s">
        <v>292</v>
      </c>
      <c r="C15" s="30">
        <v>5</v>
      </c>
    </row>
    <row r="16" spans="2:3" x14ac:dyDescent="0.2">
      <c r="B16" s="29" t="s">
        <v>296</v>
      </c>
      <c r="C16" s="30">
        <v>6</v>
      </c>
    </row>
    <row r="17" spans="2:3" ht="16" thickBot="1" x14ac:dyDescent="0.25">
      <c r="B17" s="31" t="s">
        <v>294</v>
      </c>
      <c r="C17" s="32">
        <v>7</v>
      </c>
    </row>
  </sheetData>
  <mergeCells count="1">
    <mergeCell ref="B2:C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C96"/>
  <sheetViews>
    <sheetView topLeftCell="AG1" workbookViewId="0">
      <selection activeCell="AL47" sqref="A1:IC96"/>
    </sheetView>
  </sheetViews>
  <sheetFormatPr baseColWidth="10" defaultColWidth="8.83203125" defaultRowHeight="15" x14ac:dyDescent="0.2"/>
  <sheetData>
    <row r="1" spans="1:237"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120</v>
      </c>
      <c r="DR1" s="5" t="s">
        <v>121</v>
      </c>
      <c r="DS1" s="5" t="s">
        <v>122</v>
      </c>
      <c r="DT1" s="5" t="s">
        <v>123</v>
      </c>
      <c r="DU1" s="5" t="s">
        <v>124</v>
      </c>
      <c r="DV1" s="5" t="s">
        <v>125</v>
      </c>
      <c r="DW1" s="5" t="s">
        <v>126</v>
      </c>
      <c r="DX1" s="5" t="s">
        <v>127</v>
      </c>
      <c r="DY1" s="5" t="s">
        <v>128</v>
      </c>
      <c r="DZ1" s="5" t="s">
        <v>129</v>
      </c>
      <c r="EA1" s="5" t="s">
        <v>130</v>
      </c>
      <c r="EB1" s="5" t="s">
        <v>131</v>
      </c>
      <c r="EC1" s="5" t="s">
        <v>132</v>
      </c>
      <c r="ED1" s="5" t="s">
        <v>133</v>
      </c>
      <c r="EE1" s="5" t="s">
        <v>134</v>
      </c>
      <c r="EF1" s="5" t="s">
        <v>135</v>
      </c>
      <c r="EG1" s="5" t="s">
        <v>136</v>
      </c>
      <c r="EH1" s="5" t="s">
        <v>137</v>
      </c>
      <c r="EI1" s="5" t="s">
        <v>138</v>
      </c>
      <c r="EJ1" s="5" t="s">
        <v>139</v>
      </c>
      <c r="EK1" s="5" t="s">
        <v>140</v>
      </c>
      <c r="EL1" s="5" t="s">
        <v>141</v>
      </c>
      <c r="EM1" s="5" t="s">
        <v>142</v>
      </c>
      <c r="EN1" s="5" t="s">
        <v>143</v>
      </c>
      <c r="EO1" s="5" t="s">
        <v>144</v>
      </c>
      <c r="EP1" s="5" t="s">
        <v>145</v>
      </c>
      <c r="EQ1" s="5" t="s">
        <v>146</v>
      </c>
      <c r="ER1" s="5" t="s">
        <v>147</v>
      </c>
      <c r="ES1" s="5" t="s">
        <v>148</v>
      </c>
      <c r="ET1" s="5" t="s">
        <v>149</v>
      </c>
      <c r="EU1" s="5" t="s">
        <v>150</v>
      </c>
      <c r="EV1" s="5" t="s">
        <v>151</v>
      </c>
      <c r="EW1" s="5" t="s">
        <v>152</v>
      </c>
      <c r="EX1" s="5" t="s">
        <v>153</v>
      </c>
      <c r="EY1" s="5" t="s">
        <v>154</v>
      </c>
      <c r="EZ1" s="5" t="s">
        <v>155</v>
      </c>
      <c r="FA1" s="5" t="s">
        <v>156</v>
      </c>
      <c r="FB1" s="5" t="s">
        <v>157</v>
      </c>
      <c r="FC1" s="5" t="s">
        <v>158</v>
      </c>
      <c r="FD1" s="5" t="s">
        <v>159</v>
      </c>
      <c r="FE1" s="5" t="s">
        <v>160</v>
      </c>
      <c r="FF1" s="5" t="s">
        <v>161</v>
      </c>
      <c r="FG1" s="5" t="s">
        <v>162</v>
      </c>
      <c r="FH1" s="5" t="s">
        <v>163</v>
      </c>
      <c r="FI1" s="5" t="s">
        <v>164</v>
      </c>
      <c r="FJ1" s="5" t="s">
        <v>165</v>
      </c>
      <c r="FK1" s="5" t="s">
        <v>166</v>
      </c>
      <c r="FL1" s="5" t="s">
        <v>167</v>
      </c>
      <c r="FM1" s="5" t="s">
        <v>168</v>
      </c>
      <c r="FN1" s="5" t="s">
        <v>169</v>
      </c>
      <c r="FO1" s="5" t="s">
        <v>170</v>
      </c>
      <c r="FP1" s="5" t="s">
        <v>171</v>
      </c>
      <c r="FQ1" s="5" t="s">
        <v>172</v>
      </c>
      <c r="FR1" s="5" t="s">
        <v>173</v>
      </c>
      <c r="FS1" s="5" t="s">
        <v>174</v>
      </c>
      <c r="FT1" s="5" t="s">
        <v>175</v>
      </c>
      <c r="FU1" s="5" t="s">
        <v>176</v>
      </c>
      <c r="FV1" s="5" t="s">
        <v>177</v>
      </c>
      <c r="FW1" s="5" t="s">
        <v>178</v>
      </c>
      <c r="FX1" s="5" t="s">
        <v>179</v>
      </c>
      <c r="FY1" s="5" t="s">
        <v>180</v>
      </c>
      <c r="FZ1" s="5" t="s">
        <v>181</v>
      </c>
      <c r="GA1" s="5" t="s">
        <v>182</v>
      </c>
      <c r="GB1" s="5" t="s">
        <v>183</v>
      </c>
      <c r="GC1" s="5" t="s">
        <v>184</v>
      </c>
      <c r="GD1" s="5" t="s">
        <v>185</v>
      </c>
      <c r="GE1" s="5" t="s">
        <v>186</v>
      </c>
      <c r="GF1" s="5" t="s">
        <v>187</v>
      </c>
      <c r="GG1" s="5" t="s">
        <v>188</v>
      </c>
      <c r="GH1" s="5" t="s">
        <v>189</v>
      </c>
      <c r="GI1" s="5" t="s">
        <v>190</v>
      </c>
      <c r="GJ1" s="5" t="s">
        <v>191</v>
      </c>
      <c r="GK1" s="5" t="s">
        <v>192</v>
      </c>
      <c r="GL1" s="5" t="s">
        <v>193</v>
      </c>
      <c r="GM1" s="5" t="s">
        <v>194</v>
      </c>
      <c r="GN1" s="5" t="s">
        <v>195</v>
      </c>
      <c r="GO1" s="5" t="s">
        <v>196</v>
      </c>
      <c r="GP1" s="5" t="s">
        <v>197</v>
      </c>
      <c r="GQ1" s="5" t="s">
        <v>198</v>
      </c>
      <c r="GR1" s="5" t="s">
        <v>199</v>
      </c>
      <c r="GS1" s="5" t="s">
        <v>200</v>
      </c>
      <c r="GT1" s="5" t="s">
        <v>201</v>
      </c>
      <c r="GU1" s="5" t="s">
        <v>202</v>
      </c>
      <c r="GV1" s="5" t="s">
        <v>203</v>
      </c>
      <c r="GW1" s="5" t="s">
        <v>204</v>
      </c>
      <c r="GX1" s="5" t="s">
        <v>205</v>
      </c>
      <c r="GY1" s="5" t="s">
        <v>206</v>
      </c>
      <c r="GZ1" s="5" t="s">
        <v>207</v>
      </c>
      <c r="HA1" s="5" t="s">
        <v>208</v>
      </c>
      <c r="HB1" s="5" t="s">
        <v>209</v>
      </c>
      <c r="HC1" s="5" t="s">
        <v>210</v>
      </c>
      <c r="HD1" s="5" t="s">
        <v>211</v>
      </c>
      <c r="HE1" s="5" t="s">
        <v>212</v>
      </c>
      <c r="HF1" s="5" t="s">
        <v>213</v>
      </c>
      <c r="HG1" s="5" t="s">
        <v>214</v>
      </c>
      <c r="HH1" s="5" t="s">
        <v>215</v>
      </c>
      <c r="HI1" s="5" t="s">
        <v>216</v>
      </c>
      <c r="HJ1" s="5" t="s">
        <v>217</v>
      </c>
      <c r="HK1" s="5" t="s">
        <v>218</v>
      </c>
      <c r="HL1" s="5" t="s">
        <v>219</v>
      </c>
      <c r="HM1" s="5" t="s">
        <v>220</v>
      </c>
      <c r="HN1" s="5" t="s">
        <v>221</v>
      </c>
      <c r="HO1" s="5" t="s">
        <v>222</v>
      </c>
      <c r="HP1" s="5" t="s">
        <v>223</v>
      </c>
      <c r="HQ1" s="5" t="s">
        <v>224</v>
      </c>
      <c r="HR1" s="5" t="s">
        <v>225</v>
      </c>
      <c r="HS1" s="5" t="s">
        <v>226</v>
      </c>
      <c r="HT1" s="5" t="s">
        <v>227</v>
      </c>
      <c r="HU1" s="5" t="s">
        <v>228</v>
      </c>
      <c r="HV1" s="5" t="s">
        <v>229</v>
      </c>
      <c r="HW1" s="5" t="s">
        <v>230</v>
      </c>
      <c r="HX1" s="5" t="s">
        <v>231</v>
      </c>
      <c r="HY1" s="5" t="s">
        <v>232</v>
      </c>
      <c r="HZ1" s="5" t="s">
        <v>233</v>
      </c>
      <c r="IA1" s="5" t="s">
        <v>234</v>
      </c>
      <c r="IB1" s="5" t="s">
        <v>235</v>
      </c>
      <c r="IC1" s="5" t="s">
        <v>236</v>
      </c>
    </row>
    <row r="2" spans="1:237" x14ac:dyDescent="0.2">
      <c r="A2" s="5" t="s">
        <v>237</v>
      </c>
      <c r="B2" s="5" t="s">
        <v>238</v>
      </c>
      <c r="C2" s="5" t="s">
        <v>239</v>
      </c>
      <c r="D2" s="5" t="s">
        <v>240</v>
      </c>
      <c r="E2" s="5" t="s">
        <v>4</v>
      </c>
      <c r="F2" s="5" t="s">
        <v>5</v>
      </c>
      <c r="G2" s="5" t="s">
        <v>6</v>
      </c>
      <c r="H2" s="5" t="s">
        <v>241</v>
      </c>
      <c r="I2" s="5" t="s">
        <v>242</v>
      </c>
      <c r="J2" s="5" t="s">
        <v>243</v>
      </c>
      <c r="K2" s="5" t="s">
        <v>244</v>
      </c>
      <c r="L2" s="5" t="s">
        <v>245</v>
      </c>
      <c r="M2" s="5" t="s">
        <v>246</v>
      </c>
      <c r="N2" s="5" t="s">
        <v>247</v>
      </c>
      <c r="O2" s="5" t="s">
        <v>248</v>
      </c>
      <c r="P2" s="5" t="s">
        <v>249</v>
      </c>
      <c r="Q2" s="5" t="s">
        <v>250</v>
      </c>
      <c r="R2" s="5" t="s">
        <v>17</v>
      </c>
      <c r="S2" s="5" t="s">
        <v>251</v>
      </c>
      <c r="T2" s="5" t="s">
        <v>252</v>
      </c>
      <c r="U2" s="5" t="s">
        <v>253</v>
      </c>
      <c r="V2" s="5" t="s">
        <v>254</v>
      </c>
      <c r="W2" s="5" t="s">
        <v>255</v>
      </c>
      <c r="X2" s="5" t="s">
        <v>256</v>
      </c>
      <c r="Y2" s="5" t="s">
        <v>257</v>
      </c>
      <c r="Z2" s="5" t="s">
        <v>258</v>
      </c>
      <c r="AA2" s="5" t="s">
        <v>259</v>
      </c>
      <c r="AB2" s="5" t="s">
        <v>260</v>
      </c>
      <c r="AC2" s="5" t="s">
        <v>261</v>
      </c>
      <c r="AD2" s="5" t="s">
        <v>262</v>
      </c>
      <c r="AE2" s="5" t="s">
        <v>263</v>
      </c>
      <c r="AF2" s="5" t="s">
        <v>264</v>
      </c>
      <c r="AG2" s="5" t="s">
        <v>265</v>
      </c>
      <c r="AH2" s="5" t="s">
        <v>266</v>
      </c>
      <c r="AI2" s="5" t="s">
        <v>261</v>
      </c>
      <c r="AJ2" s="5" t="s">
        <v>262</v>
      </c>
      <c r="AK2" s="5" t="s">
        <v>263</v>
      </c>
      <c r="AL2" s="5" t="s">
        <v>264</v>
      </c>
      <c r="AM2" s="5" t="s">
        <v>265</v>
      </c>
      <c r="AN2" s="5" t="s">
        <v>266</v>
      </c>
      <c r="AO2" s="5" t="s">
        <v>261</v>
      </c>
      <c r="AP2" s="5" t="s">
        <v>262</v>
      </c>
      <c r="AQ2" s="5" t="s">
        <v>263</v>
      </c>
      <c r="AR2" s="5" t="s">
        <v>264</v>
      </c>
      <c r="AS2" s="5" t="s">
        <v>265</v>
      </c>
      <c r="AT2" s="5" t="s">
        <v>266</v>
      </c>
      <c r="AU2" s="5" t="s">
        <v>261</v>
      </c>
      <c r="AV2" s="5" t="s">
        <v>262</v>
      </c>
      <c r="AW2" s="5" t="s">
        <v>263</v>
      </c>
      <c r="AX2" s="5" t="s">
        <v>264</v>
      </c>
      <c r="AY2" s="5" t="s">
        <v>265</v>
      </c>
      <c r="AZ2" s="5" t="s">
        <v>266</v>
      </c>
      <c r="BA2" s="5" t="s">
        <v>261</v>
      </c>
      <c r="BB2" s="5" t="s">
        <v>262</v>
      </c>
      <c r="BC2" s="5" t="s">
        <v>263</v>
      </c>
      <c r="BD2" s="5" t="s">
        <v>264</v>
      </c>
      <c r="BE2" s="5" t="s">
        <v>265</v>
      </c>
      <c r="BF2" s="5" t="s">
        <v>266</v>
      </c>
      <c r="BG2" s="5" t="s">
        <v>261</v>
      </c>
      <c r="BH2" s="5" t="s">
        <v>262</v>
      </c>
      <c r="BI2" s="5" t="s">
        <v>263</v>
      </c>
      <c r="BJ2" s="5" t="s">
        <v>264</v>
      </c>
      <c r="BK2" s="5" t="s">
        <v>265</v>
      </c>
      <c r="BL2" s="5" t="s">
        <v>266</v>
      </c>
      <c r="BM2" s="5" t="s">
        <v>261</v>
      </c>
      <c r="BN2" s="5" t="s">
        <v>262</v>
      </c>
      <c r="BO2" s="5" t="s">
        <v>263</v>
      </c>
      <c r="BP2" s="5" t="s">
        <v>264</v>
      </c>
      <c r="BQ2" s="5" t="s">
        <v>265</v>
      </c>
      <c r="BR2" s="5" t="s">
        <v>266</v>
      </c>
      <c r="BS2" s="5" t="s">
        <v>261</v>
      </c>
      <c r="BT2" s="5" t="s">
        <v>262</v>
      </c>
      <c r="BU2" s="5" t="s">
        <v>263</v>
      </c>
      <c r="BV2" s="5" t="s">
        <v>264</v>
      </c>
      <c r="BW2" s="5" t="s">
        <v>265</v>
      </c>
      <c r="BX2" s="5" t="s">
        <v>266</v>
      </c>
      <c r="BY2" s="5" t="s">
        <v>261</v>
      </c>
      <c r="BZ2" s="5" t="s">
        <v>262</v>
      </c>
      <c r="CA2" s="5" t="s">
        <v>263</v>
      </c>
      <c r="CB2" s="5" t="s">
        <v>264</v>
      </c>
      <c r="CC2" s="5" t="s">
        <v>265</v>
      </c>
      <c r="CD2" s="5" t="s">
        <v>266</v>
      </c>
      <c r="CE2" s="5" t="s">
        <v>261</v>
      </c>
      <c r="CF2" s="5" t="s">
        <v>262</v>
      </c>
      <c r="CG2" s="5" t="s">
        <v>263</v>
      </c>
      <c r="CH2" s="5" t="s">
        <v>264</v>
      </c>
      <c r="CI2" s="5" t="s">
        <v>265</v>
      </c>
      <c r="CJ2" s="5" t="s">
        <v>266</v>
      </c>
      <c r="CK2" s="5" t="s">
        <v>261</v>
      </c>
      <c r="CL2" s="5" t="s">
        <v>262</v>
      </c>
      <c r="CM2" s="5" t="s">
        <v>263</v>
      </c>
      <c r="CN2" s="5" t="s">
        <v>264</v>
      </c>
      <c r="CO2" s="5" t="s">
        <v>265</v>
      </c>
      <c r="CP2" s="5" t="s">
        <v>266</v>
      </c>
      <c r="CQ2" s="5" t="s">
        <v>261</v>
      </c>
      <c r="CR2" s="5" t="s">
        <v>262</v>
      </c>
      <c r="CS2" s="5" t="s">
        <v>263</v>
      </c>
      <c r="CT2" s="5" t="s">
        <v>264</v>
      </c>
      <c r="CU2" s="5" t="s">
        <v>265</v>
      </c>
      <c r="CV2" s="5" t="s">
        <v>266</v>
      </c>
      <c r="CW2" s="5" t="s">
        <v>261</v>
      </c>
      <c r="CX2" s="5" t="s">
        <v>262</v>
      </c>
      <c r="CY2" s="5" t="s">
        <v>263</v>
      </c>
      <c r="CZ2" s="5" t="s">
        <v>264</v>
      </c>
      <c r="DA2" s="5" t="s">
        <v>265</v>
      </c>
      <c r="DB2" s="5" t="s">
        <v>266</v>
      </c>
      <c r="DC2" s="5" t="s">
        <v>261</v>
      </c>
      <c r="DD2" s="5" t="s">
        <v>262</v>
      </c>
      <c r="DE2" s="5" t="s">
        <v>263</v>
      </c>
      <c r="DF2" s="5" t="s">
        <v>264</v>
      </c>
      <c r="DG2" s="5" t="s">
        <v>265</v>
      </c>
      <c r="DH2" s="5" t="s">
        <v>266</v>
      </c>
      <c r="DI2" s="5" t="s">
        <v>261</v>
      </c>
      <c r="DJ2" s="5" t="s">
        <v>262</v>
      </c>
      <c r="DK2" s="5" t="s">
        <v>263</v>
      </c>
      <c r="DL2" s="5" t="s">
        <v>264</v>
      </c>
      <c r="DM2" s="5" t="s">
        <v>265</v>
      </c>
      <c r="DN2" s="5" t="s">
        <v>266</v>
      </c>
      <c r="DO2" s="5" t="s">
        <v>261</v>
      </c>
      <c r="DP2" s="5" t="s">
        <v>262</v>
      </c>
      <c r="DQ2" s="5" t="s">
        <v>263</v>
      </c>
      <c r="DR2" s="5" t="s">
        <v>264</v>
      </c>
      <c r="DS2" s="5" t="s">
        <v>265</v>
      </c>
      <c r="DT2" s="5" t="s">
        <v>266</v>
      </c>
      <c r="DU2" s="5" t="s">
        <v>261</v>
      </c>
      <c r="DV2" s="5" t="s">
        <v>262</v>
      </c>
      <c r="DW2" s="5" t="s">
        <v>263</v>
      </c>
      <c r="DX2" s="5" t="s">
        <v>264</v>
      </c>
      <c r="DY2" s="5" t="s">
        <v>265</v>
      </c>
      <c r="DZ2" s="5" t="s">
        <v>266</v>
      </c>
      <c r="EA2" s="5" t="s">
        <v>261</v>
      </c>
      <c r="EB2" s="5" t="s">
        <v>262</v>
      </c>
      <c r="EC2" s="5" t="s">
        <v>263</v>
      </c>
      <c r="ED2" s="5" t="s">
        <v>264</v>
      </c>
      <c r="EE2" s="5" t="s">
        <v>265</v>
      </c>
      <c r="EF2" s="5" t="s">
        <v>266</v>
      </c>
      <c r="EG2" s="5" t="s">
        <v>261</v>
      </c>
      <c r="EH2" s="5" t="s">
        <v>262</v>
      </c>
      <c r="EI2" s="5" t="s">
        <v>263</v>
      </c>
      <c r="EJ2" s="5" t="s">
        <v>264</v>
      </c>
      <c r="EK2" s="5" t="s">
        <v>265</v>
      </c>
      <c r="EL2" s="5" t="s">
        <v>266</v>
      </c>
      <c r="EM2" s="5" t="s">
        <v>261</v>
      </c>
      <c r="EN2" s="5" t="s">
        <v>262</v>
      </c>
      <c r="EO2" s="5" t="s">
        <v>263</v>
      </c>
      <c r="EP2" s="5" t="s">
        <v>264</v>
      </c>
      <c r="EQ2" s="5" t="s">
        <v>265</v>
      </c>
      <c r="ER2" s="5" t="s">
        <v>266</v>
      </c>
      <c r="ES2" s="5" t="s">
        <v>261</v>
      </c>
      <c r="ET2" s="5" t="s">
        <v>262</v>
      </c>
      <c r="EU2" s="5" t="s">
        <v>263</v>
      </c>
      <c r="EV2" s="5" t="s">
        <v>264</v>
      </c>
      <c r="EW2" s="5" t="s">
        <v>265</v>
      </c>
      <c r="EX2" s="5" t="s">
        <v>266</v>
      </c>
      <c r="EY2" s="5" t="s">
        <v>261</v>
      </c>
      <c r="EZ2" s="5" t="s">
        <v>262</v>
      </c>
      <c r="FA2" s="5" t="s">
        <v>263</v>
      </c>
      <c r="FB2" s="5" t="s">
        <v>264</v>
      </c>
      <c r="FC2" s="5" t="s">
        <v>265</v>
      </c>
      <c r="FD2" s="5" t="s">
        <v>266</v>
      </c>
      <c r="FE2" s="5" t="s">
        <v>261</v>
      </c>
      <c r="FF2" s="5" t="s">
        <v>262</v>
      </c>
      <c r="FG2" s="5" t="s">
        <v>263</v>
      </c>
      <c r="FH2" s="5" t="s">
        <v>264</v>
      </c>
      <c r="FI2" s="5" t="s">
        <v>265</v>
      </c>
      <c r="FJ2" s="5" t="s">
        <v>266</v>
      </c>
      <c r="FK2" s="5" t="s">
        <v>261</v>
      </c>
      <c r="FL2" s="5" t="s">
        <v>262</v>
      </c>
      <c r="FM2" s="5" t="s">
        <v>263</v>
      </c>
      <c r="FN2" s="5" t="s">
        <v>264</v>
      </c>
      <c r="FO2" s="5" t="s">
        <v>265</v>
      </c>
      <c r="FP2" s="5" t="s">
        <v>266</v>
      </c>
      <c r="FQ2" s="5" t="s">
        <v>261</v>
      </c>
      <c r="FR2" s="5" t="s">
        <v>262</v>
      </c>
      <c r="FS2" s="5" t="s">
        <v>263</v>
      </c>
      <c r="FT2" s="5" t="s">
        <v>264</v>
      </c>
      <c r="FU2" s="5" t="s">
        <v>265</v>
      </c>
      <c r="FV2" s="5" t="s">
        <v>266</v>
      </c>
      <c r="FW2" s="5" t="s">
        <v>261</v>
      </c>
      <c r="FX2" s="5" t="s">
        <v>262</v>
      </c>
      <c r="FY2" s="5" t="s">
        <v>263</v>
      </c>
      <c r="FZ2" s="5" t="s">
        <v>264</v>
      </c>
      <c r="GA2" s="5" t="s">
        <v>265</v>
      </c>
      <c r="GB2" s="5" t="s">
        <v>266</v>
      </c>
      <c r="GC2" s="5" t="s">
        <v>261</v>
      </c>
      <c r="GD2" s="5" t="s">
        <v>262</v>
      </c>
      <c r="GE2" s="5" t="s">
        <v>263</v>
      </c>
      <c r="GF2" s="5" t="s">
        <v>264</v>
      </c>
      <c r="GG2" s="5" t="s">
        <v>265</v>
      </c>
      <c r="GH2" s="5" t="s">
        <v>266</v>
      </c>
      <c r="GI2" s="5" t="s">
        <v>261</v>
      </c>
      <c r="GJ2" s="5" t="s">
        <v>262</v>
      </c>
      <c r="GK2" s="5" t="s">
        <v>263</v>
      </c>
      <c r="GL2" s="5" t="s">
        <v>264</v>
      </c>
      <c r="GM2" s="5" t="s">
        <v>265</v>
      </c>
      <c r="GN2" s="5" t="s">
        <v>266</v>
      </c>
      <c r="GO2" s="5" t="s">
        <v>261</v>
      </c>
      <c r="GP2" s="5" t="s">
        <v>262</v>
      </c>
      <c r="GQ2" s="5" t="s">
        <v>263</v>
      </c>
      <c r="GR2" s="5" t="s">
        <v>264</v>
      </c>
      <c r="GS2" s="5" t="s">
        <v>265</v>
      </c>
      <c r="GT2" s="5" t="s">
        <v>266</v>
      </c>
      <c r="GU2" s="5" t="s">
        <v>261</v>
      </c>
      <c r="GV2" s="5" t="s">
        <v>262</v>
      </c>
      <c r="GW2" s="5" t="s">
        <v>263</v>
      </c>
      <c r="GX2" s="5" t="s">
        <v>264</v>
      </c>
      <c r="GY2" s="5" t="s">
        <v>265</v>
      </c>
      <c r="GZ2" s="5" t="s">
        <v>266</v>
      </c>
      <c r="HA2" s="5" t="s">
        <v>261</v>
      </c>
      <c r="HB2" s="5" t="s">
        <v>262</v>
      </c>
      <c r="HC2" s="5" t="s">
        <v>263</v>
      </c>
      <c r="HD2" s="5" t="s">
        <v>264</v>
      </c>
      <c r="HE2" s="5" t="s">
        <v>265</v>
      </c>
      <c r="HF2" s="5" t="s">
        <v>266</v>
      </c>
      <c r="HG2" s="5" t="s">
        <v>261</v>
      </c>
      <c r="HH2" s="5" t="s">
        <v>262</v>
      </c>
      <c r="HI2" s="5" t="s">
        <v>263</v>
      </c>
      <c r="HJ2" s="5" t="s">
        <v>264</v>
      </c>
      <c r="HK2" s="5" t="s">
        <v>265</v>
      </c>
      <c r="HL2" s="5" t="s">
        <v>266</v>
      </c>
      <c r="HM2" s="5" t="s">
        <v>267</v>
      </c>
      <c r="HN2" s="5" t="s">
        <v>268</v>
      </c>
      <c r="HO2" s="5" t="s">
        <v>269</v>
      </c>
      <c r="HP2" s="5" t="s">
        <v>270</v>
      </c>
      <c r="HQ2" s="5" t="s">
        <v>271</v>
      </c>
      <c r="HR2" s="5" t="s">
        <v>272</v>
      </c>
      <c r="HS2" s="5" t="s">
        <v>273</v>
      </c>
      <c r="HT2" s="5" t="s">
        <v>274</v>
      </c>
      <c r="HU2" s="5" t="s">
        <v>275</v>
      </c>
      <c r="HV2" s="5" t="s">
        <v>276</v>
      </c>
      <c r="HW2" s="5" t="s">
        <v>277</v>
      </c>
      <c r="HX2" s="5" t="s">
        <v>278</v>
      </c>
      <c r="HY2" s="5" t="s">
        <v>232</v>
      </c>
      <c r="HZ2" s="5" t="s">
        <v>233</v>
      </c>
      <c r="IA2" s="5" t="s">
        <v>234</v>
      </c>
      <c r="IB2" s="5" t="s">
        <v>235</v>
      </c>
      <c r="IC2" s="5" t="s">
        <v>236</v>
      </c>
    </row>
    <row r="3" spans="1:237" x14ac:dyDescent="0.2">
      <c r="A3" s="6">
        <v>45739.275185185186</v>
      </c>
      <c r="B3" s="6">
        <v>45739.2890625</v>
      </c>
      <c r="C3" s="7" t="s">
        <v>240</v>
      </c>
      <c r="D3" s="7" t="s">
        <v>279</v>
      </c>
      <c r="E3">
        <v>100</v>
      </c>
      <c r="F3">
        <v>1198</v>
      </c>
      <c r="G3" s="7" t="s">
        <v>280</v>
      </c>
      <c r="H3" s="6">
        <v>45739.289070891202</v>
      </c>
      <c r="I3" s="7" t="s">
        <v>281</v>
      </c>
      <c r="J3" s="7" t="s">
        <v>282</v>
      </c>
      <c r="K3" s="7" t="s">
        <v>282</v>
      </c>
      <c r="L3" s="7" t="s">
        <v>282</v>
      </c>
      <c r="M3" s="7" t="s">
        <v>282</v>
      </c>
      <c r="N3">
        <v>49.247599999999998</v>
      </c>
      <c r="O3">
        <v>-123.1234</v>
      </c>
      <c r="P3" s="7" t="s">
        <v>283</v>
      </c>
      <c r="Q3" s="7" t="s">
        <v>284</v>
      </c>
      <c r="R3">
        <v>1</v>
      </c>
      <c r="S3" s="7" t="s">
        <v>285</v>
      </c>
      <c r="T3" s="7" t="s">
        <v>285</v>
      </c>
      <c r="U3" s="7" t="s">
        <v>285</v>
      </c>
      <c r="V3" s="7" t="s">
        <v>285</v>
      </c>
      <c r="W3" s="7" t="s">
        <v>286</v>
      </c>
      <c r="X3" s="7" t="s">
        <v>287</v>
      </c>
      <c r="Y3" s="7" t="s">
        <v>288</v>
      </c>
      <c r="Z3" s="7" t="s">
        <v>289</v>
      </c>
      <c r="AA3" s="7" t="s">
        <v>290</v>
      </c>
      <c r="AB3" s="7" t="s">
        <v>289</v>
      </c>
      <c r="AC3" s="7" t="s">
        <v>291</v>
      </c>
      <c r="AD3" s="7" t="s">
        <v>292</v>
      </c>
      <c r="AE3">
        <v>10.134</v>
      </c>
      <c r="AF3">
        <v>12.068</v>
      </c>
      <c r="AG3">
        <v>12.728</v>
      </c>
      <c r="AH3">
        <v>2</v>
      </c>
      <c r="AI3" s="7" t="s">
        <v>293</v>
      </c>
      <c r="AJ3" s="7" t="s">
        <v>294</v>
      </c>
      <c r="AK3">
        <v>10.183</v>
      </c>
      <c r="AL3">
        <v>11.6</v>
      </c>
      <c r="AM3">
        <v>12.132</v>
      </c>
      <c r="AN3">
        <v>2</v>
      </c>
      <c r="AO3" s="7" t="s">
        <v>293</v>
      </c>
      <c r="AP3" s="7" t="s">
        <v>294</v>
      </c>
      <c r="AQ3">
        <v>6.5940000000000003</v>
      </c>
      <c r="AR3">
        <v>7.73</v>
      </c>
      <c r="AS3">
        <v>8.8580000000000005</v>
      </c>
      <c r="AT3">
        <v>2</v>
      </c>
      <c r="AU3" s="7" t="s">
        <v>295</v>
      </c>
      <c r="AV3" s="7" t="s">
        <v>296</v>
      </c>
      <c r="AW3">
        <v>6.3010000000000002</v>
      </c>
      <c r="AX3">
        <v>7.4619999999999997</v>
      </c>
      <c r="AY3">
        <v>8.6920000000000002</v>
      </c>
      <c r="AZ3">
        <v>2</v>
      </c>
      <c r="BA3" s="7" t="s">
        <v>295</v>
      </c>
      <c r="BB3" s="7" t="s">
        <v>296</v>
      </c>
      <c r="BC3">
        <v>6.77</v>
      </c>
      <c r="BD3">
        <v>8.9169999999999998</v>
      </c>
      <c r="BE3">
        <v>9.5679999999999996</v>
      </c>
      <c r="BF3">
        <v>2</v>
      </c>
      <c r="BG3" s="7" t="s">
        <v>291</v>
      </c>
      <c r="BH3" s="7" t="s">
        <v>292</v>
      </c>
      <c r="BI3">
        <v>12.278</v>
      </c>
      <c r="BJ3">
        <v>14.422000000000001</v>
      </c>
      <c r="BK3">
        <v>15.058</v>
      </c>
      <c r="BL3">
        <v>3</v>
      </c>
      <c r="BM3" s="7" t="s">
        <v>293</v>
      </c>
      <c r="BN3" s="7" t="s">
        <v>294</v>
      </c>
      <c r="BO3">
        <v>10.257999999999999</v>
      </c>
      <c r="BP3">
        <v>11.574</v>
      </c>
      <c r="BQ3">
        <v>12.039</v>
      </c>
      <c r="BR3">
        <v>2</v>
      </c>
      <c r="BS3" s="7" t="s">
        <v>291</v>
      </c>
      <c r="BT3" s="7" t="s">
        <v>297</v>
      </c>
      <c r="BU3">
        <v>16.927</v>
      </c>
      <c r="BV3">
        <v>18.071999999999999</v>
      </c>
      <c r="BW3">
        <v>19.263000000000002</v>
      </c>
      <c r="BX3">
        <v>2</v>
      </c>
      <c r="BY3" s="7" t="s">
        <v>295</v>
      </c>
      <c r="BZ3" s="7" t="s">
        <v>296</v>
      </c>
      <c r="CA3">
        <v>10.673999999999999</v>
      </c>
      <c r="CB3">
        <v>16.263000000000002</v>
      </c>
      <c r="CC3">
        <v>16.901</v>
      </c>
      <c r="CD3">
        <v>2</v>
      </c>
      <c r="CE3" s="7" t="s">
        <v>298</v>
      </c>
      <c r="CF3" s="7" t="s">
        <v>292</v>
      </c>
      <c r="CG3">
        <v>7.444</v>
      </c>
      <c r="CH3">
        <v>8.3339999999999996</v>
      </c>
      <c r="CI3">
        <v>9.125</v>
      </c>
      <c r="CJ3">
        <v>2</v>
      </c>
      <c r="CK3" s="7" t="s">
        <v>291</v>
      </c>
      <c r="CL3" s="7" t="s">
        <v>296</v>
      </c>
      <c r="CM3">
        <v>7.0060000000000002</v>
      </c>
      <c r="CN3">
        <v>8.3360000000000003</v>
      </c>
      <c r="CO3">
        <v>8.91</v>
      </c>
      <c r="CP3">
        <v>2</v>
      </c>
      <c r="CQ3" s="7" t="s">
        <v>293</v>
      </c>
      <c r="CR3" s="7" t="s">
        <v>294</v>
      </c>
      <c r="CS3">
        <v>51.029000000000003</v>
      </c>
      <c r="CT3">
        <v>52.383000000000003</v>
      </c>
      <c r="CU3">
        <v>52.933</v>
      </c>
      <c r="CV3">
        <v>2</v>
      </c>
      <c r="CW3" s="7" t="s">
        <v>291</v>
      </c>
      <c r="CX3" s="7" t="s">
        <v>292</v>
      </c>
      <c r="CY3">
        <v>21.353999999999999</v>
      </c>
      <c r="CZ3">
        <v>27.242000000000001</v>
      </c>
      <c r="DA3">
        <v>27.948</v>
      </c>
      <c r="DB3">
        <v>2</v>
      </c>
      <c r="DC3" s="7" t="s">
        <v>295</v>
      </c>
      <c r="DD3" s="7" t="s">
        <v>296</v>
      </c>
      <c r="DE3">
        <v>8.4629999999999992</v>
      </c>
      <c r="DF3">
        <v>14.500999999999999</v>
      </c>
      <c r="DG3">
        <v>20.196000000000002</v>
      </c>
      <c r="DH3">
        <v>2</v>
      </c>
      <c r="DI3" s="7" t="s">
        <v>298</v>
      </c>
      <c r="DJ3" s="7" t="s">
        <v>296</v>
      </c>
      <c r="DK3">
        <v>9</v>
      </c>
      <c r="DL3">
        <v>11.236000000000001</v>
      </c>
      <c r="DM3">
        <v>11.863</v>
      </c>
      <c r="DN3">
        <v>2</v>
      </c>
      <c r="DO3" s="7" t="s">
        <v>291</v>
      </c>
      <c r="DP3" s="7" t="s">
        <v>296</v>
      </c>
      <c r="DQ3">
        <v>7.1260000000000003</v>
      </c>
      <c r="DR3">
        <v>8.4090000000000007</v>
      </c>
      <c r="DS3">
        <v>9.2490000000000006</v>
      </c>
      <c r="DT3">
        <v>2</v>
      </c>
      <c r="DU3" s="7" t="s">
        <v>293</v>
      </c>
      <c r="DV3" s="7" t="s">
        <v>296</v>
      </c>
      <c r="DW3">
        <v>5.8840000000000003</v>
      </c>
      <c r="DX3">
        <v>7.0490000000000004</v>
      </c>
      <c r="DY3">
        <v>8.8140000000000001</v>
      </c>
      <c r="DZ3">
        <v>2</v>
      </c>
      <c r="EA3" s="7" t="s">
        <v>299</v>
      </c>
      <c r="EB3" s="7" t="s">
        <v>296</v>
      </c>
      <c r="EC3">
        <v>5.8179999999999996</v>
      </c>
      <c r="ED3">
        <v>17.806000000000001</v>
      </c>
      <c r="EE3">
        <v>21.103999999999999</v>
      </c>
      <c r="EF3">
        <v>4</v>
      </c>
      <c r="EG3" s="7" t="s">
        <v>295</v>
      </c>
      <c r="EH3" s="7" t="s">
        <v>292</v>
      </c>
      <c r="EI3">
        <v>9.8119999999999994</v>
      </c>
      <c r="EJ3">
        <v>24.411000000000001</v>
      </c>
      <c r="EK3">
        <v>24.908000000000001</v>
      </c>
      <c r="EL3">
        <v>7</v>
      </c>
      <c r="EM3" s="7" t="s">
        <v>298</v>
      </c>
      <c r="EN3" s="7" t="s">
        <v>296</v>
      </c>
      <c r="EO3">
        <v>6.649</v>
      </c>
      <c r="EP3">
        <v>7.6349999999999998</v>
      </c>
      <c r="EQ3">
        <v>8.6470000000000002</v>
      </c>
      <c r="ER3">
        <v>2</v>
      </c>
      <c r="ES3" s="7" t="s">
        <v>291</v>
      </c>
      <c r="ET3" s="7" t="s">
        <v>292</v>
      </c>
      <c r="EU3">
        <v>20.294</v>
      </c>
      <c r="EV3">
        <v>30.279</v>
      </c>
      <c r="EW3">
        <v>30.876999999999999</v>
      </c>
      <c r="EX3">
        <v>3</v>
      </c>
      <c r="EY3" s="7" t="s">
        <v>300</v>
      </c>
      <c r="EZ3" s="7" t="s">
        <v>294</v>
      </c>
      <c r="FA3">
        <v>7.306</v>
      </c>
      <c r="FB3">
        <v>9.8610000000000007</v>
      </c>
      <c r="FC3">
        <v>10.574</v>
      </c>
      <c r="FD3">
        <v>2</v>
      </c>
      <c r="FE3" s="7" t="s">
        <v>301</v>
      </c>
      <c r="FF3" s="7" t="s">
        <v>297</v>
      </c>
      <c r="FG3">
        <v>69.899000000000001</v>
      </c>
      <c r="FH3">
        <v>89.116</v>
      </c>
      <c r="FI3">
        <v>90.135999999999996</v>
      </c>
      <c r="FJ3">
        <v>2</v>
      </c>
      <c r="FK3" s="7" t="s">
        <v>291</v>
      </c>
      <c r="FL3" s="7" t="s">
        <v>296</v>
      </c>
      <c r="FM3">
        <v>8.5329999999999995</v>
      </c>
      <c r="FN3">
        <v>11.198</v>
      </c>
      <c r="FO3">
        <v>11.936999999999999</v>
      </c>
      <c r="FP3">
        <v>2</v>
      </c>
      <c r="FQ3" s="7" t="s">
        <v>300</v>
      </c>
      <c r="FR3" s="7" t="s">
        <v>294</v>
      </c>
      <c r="FS3">
        <v>22.187999999999999</v>
      </c>
      <c r="FT3">
        <v>23.456</v>
      </c>
      <c r="FU3">
        <v>24.547999999999998</v>
      </c>
      <c r="FV3">
        <v>2</v>
      </c>
      <c r="FW3" s="7" t="s">
        <v>301</v>
      </c>
      <c r="FX3" s="7" t="s">
        <v>297</v>
      </c>
      <c r="FY3">
        <v>8.5790000000000006</v>
      </c>
      <c r="FZ3">
        <v>14.045999999999999</v>
      </c>
      <c r="GA3">
        <v>14.776</v>
      </c>
      <c r="GB3">
        <v>4</v>
      </c>
      <c r="GC3" s="7" t="s">
        <v>291</v>
      </c>
      <c r="GD3" s="7" t="s">
        <v>296</v>
      </c>
      <c r="GE3">
        <v>8.7360000000000007</v>
      </c>
      <c r="GF3">
        <v>11.89</v>
      </c>
      <c r="GG3">
        <v>12.894</v>
      </c>
      <c r="GH3">
        <v>3</v>
      </c>
      <c r="GI3" s="7" t="s">
        <v>300</v>
      </c>
      <c r="GJ3" s="7" t="s">
        <v>294</v>
      </c>
      <c r="GK3">
        <v>6.149</v>
      </c>
      <c r="GL3">
        <v>7.02</v>
      </c>
      <c r="GM3">
        <v>8.8610000000000007</v>
      </c>
      <c r="GN3">
        <v>2</v>
      </c>
      <c r="GO3" s="7" t="s">
        <v>301</v>
      </c>
      <c r="GP3" s="7" t="s">
        <v>296</v>
      </c>
      <c r="GQ3">
        <v>44.91</v>
      </c>
      <c r="GR3">
        <v>49.554000000000002</v>
      </c>
      <c r="GS3">
        <v>50.612000000000002</v>
      </c>
      <c r="GT3">
        <v>5</v>
      </c>
      <c r="GU3" s="7" t="s">
        <v>301</v>
      </c>
      <c r="GV3" s="7" t="s">
        <v>296</v>
      </c>
      <c r="GW3">
        <v>9.74</v>
      </c>
      <c r="GX3">
        <v>12.872999999999999</v>
      </c>
      <c r="GY3">
        <v>13.939</v>
      </c>
      <c r="GZ3">
        <v>2</v>
      </c>
      <c r="HA3" s="7" t="s">
        <v>300</v>
      </c>
      <c r="HB3" s="7" t="s">
        <v>294</v>
      </c>
      <c r="HC3">
        <v>8.3019999999999996</v>
      </c>
      <c r="HD3">
        <v>10.009</v>
      </c>
      <c r="HE3">
        <v>12.643000000000001</v>
      </c>
      <c r="HF3">
        <v>2</v>
      </c>
      <c r="HG3" s="7" t="s">
        <v>291</v>
      </c>
      <c r="HH3" s="7" t="s">
        <v>297</v>
      </c>
      <c r="HI3">
        <v>10.275</v>
      </c>
      <c r="HJ3">
        <v>16.181000000000001</v>
      </c>
      <c r="HK3">
        <v>17.468</v>
      </c>
      <c r="HL3">
        <v>4</v>
      </c>
      <c r="HM3" s="7" t="s">
        <v>302</v>
      </c>
      <c r="HN3" s="7" t="s">
        <v>303</v>
      </c>
      <c r="HO3" s="7" t="s">
        <v>304</v>
      </c>
      <c r="HP3" s="7" t="s">
        <v>305</v>
      </c>
      <c r="HQ3" s="7" t="s">
        <v>306</v>
      </c>
      <c r="HR3" s="7" t="s">
        <v>307</v>
      </c>
      <c r="HS3" s="7" t="s">
        <v>308</v>
      </c>
      <c r="HT3" s="7" t="s">
        <v>309</v>
      </c>
      <c r="HU3" s="7" t="s">
        <v>310</v>
      </c>
      <c r="HV3" s="7" t="s">
        <v>310</v>
      </c>
      <c r="HW3" s="7" t="s">
        <v>282</v>
      </c>
      <c r="HX3" s="7" t="s">
        <v>311</v>
      </c>
      <c r="HY3" s="7" t="s">
        <v>312</v>
      </c>
      <c r="HZ3" s="7" t="s">
        <v>282</v>
      </c>
      <c r="IA3" s="7" t="s">
        <v>313</v>
      </c>
      <c r="IB3" s="7" t="s">
        <v>282</v>
      </c>
      <c r="IC3" s="7" t="s">
        <v>282</v>
      </c>
    </row>
    <row r="4" spans="1:237" x14ac:dyDescent="0.2">
      <c r="A4" s="6">
        <v>45740.720312500001</v>
      </c>
      <c r="B4" s="6">
        <v>45740.735474537039</v>
      </c>
      <c r="C4" s="7" t="s">
        <v>240</v>
      </c>
      <c r="D4" s="7" t="s">
        <v>314</v>
      </c>
      <c r="E4">
        <v>100</v>
      </c>
      <c r="F4">
        <v>1310</v>
      </c>
      <c r="G4" s="7" t="s">
        <v>280</v>
      </c>
      <c r="H4" s="6">
        <v>45740.735489386578</v>
      </c>
      <c r="I4" s="7" t="s">
        <v>315</v>
      </c>
      <c r="J4" s="7" t="s">
        <v>282</v>
      </c>
      <c r="K4" s="7" t="s">
        <v>282</v>
      </c>
      <c r="L4" s="7" t="s">
        <v>282</v>
      </c>
      <c r="M4" s="7" t="s">
        <v>282</v>
      </c>
      <c r="N4">
        <v>-37.833300000000001</v>
      </c>
      <c r="O4">
        <v>145.23750000000001</v>
      </c>
      <c r="P4" s="7" t="s">
        <v>283</v>
      </c>
      <c r="Q4" s="7" t="s">
        <v>284</v>
      </c>
      <c r="R4">
        <v>1</v>
      </c>
      <c r="S4" s="7" t="s">
        <v>285</v>
      </c>
      <c r="T4" s="7" t="s">
        <v>285</v>
      </c>
      <c r="U4" s="7" t="s">
        <v>285</v>
      </c>
      <c r="V4" s="7" t="s">
        <v>285</v>
      </c>
      <c r="W4" s="7" t="s">
        <v>286</v>
      </c>
      <c r="X4" s="7" t="s">
        <v>316</v>
      </c>
      <c r="Y4" s="7" t="s">
        <v>288</v>
      </c>
      <c r="Z4" s="7" t="s">
        <v>289</v>
      </c>
      <c r="AA4" s="7" t="s">
        <v>290</v>
      </c>
      <c r="AB4" s="7" t="s">
        <v>317</v>
      </c>
      <c r="AC4" s="7" t="s">
        <v>291</v>
      </c>
      <c r="AD4" s="7" t="s">
        <v>292</v>
      </c>
      <c r="AE4">
        <v>8.7010000000000005</v>
      </c>
      <c r="AF4">
        <v>11.013</v>
      </c>
      <c r="AG4">
        <v>11.898</v>
      </c>
      <c r="AH4">
        <v>2</v>
      </c>
      <c r="AI4" s="7" t="s">
        <v>293</v>
      </c>
      <c r="AJ4" s="7" t="s">
        <v>296</v>
      </c>
      <c r="AK4">
        <v>6.1639999999999997</v>
      </c>
      <c r="AL4">
        <v>16.861999999999998</v>
      </c>
      <c r="AM4">
        <v>17.936</v>
      </c>
      <c r="AN4">
        <v>3</v>
      </c>
      <c r="AO4" s="7" t="s">
        <v>299</v>
      </c>
      <c r="AP4" s="7" t="s">
        <v>292</v>
      </c>
      <c r="AQ4">
        <v>10.121</v>
      </c>
      <c r="AR4">
        <v>22.818999999999999</v>
      </c>
      <c r="AS4">
        <v>24.324999999999999</v>
      </c>
      <c r="AT4">
        <v>5</v>
      </c>
      <c r="AU4" s="7" t="s">
        <v>295</v>
      </c>
      <c r="AV4" s="7" t="s">
        <v>292</v>
      </c>
      <c r="AW4">
        <v>6.7969999999999997</v>
      </c>
      <c r="AX4">
        <v>8.3469999999999995</v>
      </c>
      <c r="AY4">
        <v>9.3680000000000003</v>
      </c>
      <c r="AZ4">
        <v>2</v>
      </c>
      <c r="BA4" s="7" t="s">
        <v>298</v>
      </c>
      <c r="BB4" s="7" t="s">
        <v>296</v>
      </c>
      <c r="BC4">
        <v>14.657999999999999</v>
      </c>
      <c r="BD4">
        <v>16.893999999999998</v>
      </c>
      <c r="BE4">
        <v>17.218</v>
      </c>
      <c r="BF4">
        <v>3</v>
      </c>
      <c r="BG4" s="7" t="s">
        <v>291</v>
      </c>
      <c r="BH4" s="7" t="s">
        <v>297</v>
      </c>
      <c r="BI4">
        <v>11.268000000000001</v>
      </c>
      <c r="BJ4">
        <v>13.087</v>
      </c>
      <c r="BK4">
        <v>13.824</v>
      </c>
      <c r="BL4">
        <v>4</v>
      </c>
      <c r="BM4" s="7" t="s">
        <v>293</v>
      </c>
      <c r="BN4" s="7" t="s">
        <v>296</v>
      </c>
      <c r="BO4">
        <v>17.611000000000001</v>
      </c>
      <c r="BP4">
        <v>18.806000000000001</v>
      </c>
      <c r="BQ4">
        <v>19.832999999999998</v>
      </c>
      <c r="BR4">
        <v>2</v>
      </c>
      <c r="BS4" s="7" t="s">
        <v>291</v>
      </c>
      <c r="BT4" s="7" t="s">
        <v>292</v>
      </c>
      <c r="BU4">
        <v>12.226000000000001</v>
      </c>
      <c r="BV4">
        <v>14.433</v>
      </c>
      <c r="BW4">
        <v>15.882999999999999</v>
      </c>
      <c r="BX4">
        <v>2</v>
      </c>
      <c r="BY4" s="7" t="s">
        <v>298</v>
      </c>
      <c r="BZ4" s="7" t="s">
        <v>292</v>
      </c>
      <c r="CA4">
        <v>22.498000000000001</v>
      </c>
      <c r="CB4">
        <v>30.413</v>
      </c>
      <c r="CC4">
        <v>31.655000000000001</v>
      </c>
      <c r="CD4">
        <v>4</v>
      </c>
      <c r="CE4" s="7" t="s">
        <v>295</v>
      </c>
      <c r="CF4" s="7" t="s">
        <v>292</v>
      </c>
      <c r="CG4">
        <v>9.4160000000000004</v>
      </c>
      <c r="CH4">
        <v>10.911</v>
      </c>
      <c r="CI4">
        <v>11.521000000000001</v>
      </c>
      <c r="CJ4">
        <v>2</v>
      </c>
      <c r="CK4" s="7" t="s">
        <v>291</v>
      </c>
      <c r="CL4" s="7" t="s">
        <v>297</v>
      </c>
      <c r="CM4">
        <v>45.295999999999999</v>
      </c>
      <c r="CN4">
        <v>59.213999999999999</v>
      </c>
      <c r="CO4">
        <v>59.963999999999999</v>
      </c>
      <c r="CP4">
        <v>3</v>
      </c>
      <c r="CQ4" s="7" t="s">
        <v>293</v>
      </c>
      <c r="CR4" s="7" t="s">
        <v>296</v>
      </c>
      <c r="CS4">
        <v>14.741</v>
      </c>
      <c r="CT4">
        <v>18.646999999999998</v>
      </c>
      <c r="CU4">
        <v>18.946999999999999</v>
      </c>
      <c r="CV4">
        <v>4</v>
      </c>
      <c r="CW4" s="7" t="s">
        <v>282</v>
      </c>
      <c r="CX4" s="7" t="s">
        <v>292</v>
      </c>
      <c r="CY4">
        <v>19.123999999999999</v>
      </c>
      <c r="CZ4">
        <v>28.620999999999999</v>
      </c>
      <c r="DA4">
        <v>30.481000000000002</v>
      </c>
      <c r="DB4">
        <v>6</v>
      </c>
      <c r="DC4" s="7" t="s">
        <v>299</v>
      </c>
      <c r="DD4" s="7" t="s">
        <v>292</v>
      </c>
      <c r="DE4">
        <v>47.688000000000002</v>
      </c>
      <c r="DF4">
        <v>49.097000000000001</v>
      </c>
      <c r="DG4">
        <v>50.265999999999998</v>
      </c>
      <c r="DH4">
        <v>2</v>
      </c>
      <c r="DI4" s="7" t="s">
        <v>298</v>
      </c>
      <c r="DJ4" s="7" t="s">
        <v>292</v>
      </c>
      <c r="DK4">
        <v>10.718</v>
      </c>
      <c r="DL4">
        <v>12.077</v>
      </c>
      <c r="DM4">
        <v>14.022</v>
      </c>
      <c r="DN4">
        <v>2</v>
      </c>
      <c r="DO4" s="7" t="s">
        <v>291</v>
      </c>
      <c r="DP4" s="7" t="s">
        <v>292</v>
      </c>
      <c r="DQ4">
        <v>58.468000000000004</v>
      </c>
      <c r="DR4">
        <v>60.372999999999998</v>
      </c>
      <c r="DS4">
        <v>61.119</v>
      </c>
      <c r="DT4">
        <v>3</v>
      </c>
      <c r="DU4" s="7" t="s">
        <v>293</v>
      </c>
      <c r="DV4" s="7" t="s">
        <v>296</v>
      </c>
      <c r="DW4">
        <v>39.923000000000002</v>
      </c>
      <c r="DX4">
        <v>47.718000000000004</v>
      </c>
      <c r="DY4">
        <v>48.691000000000003</v>
      </c>
      <c r="DZ4">
        <v>4</v>
      </c>
      <c r="EA4" s="7" t="s">
        <v>298</v>
      </c>
      <c r="EB4" s="7" t="s">
        <v>292</v>
      </c>
      <c r="EC4">
        <v>18.673999999999999</v>
      </c>
      <c r="ED4">
        <v>20.186</v>
      </c>
      <c r="EE4">
        <v>21.273</v>
      </c>
      <c r="EF4">
        <v>2</v>
      </c>
      <c r="EG4" s="7" t="s">
        <v>295</v>
      </c>
      <c r="EH4" s="7" t="s">
        <v>296</v>
      </c>
      <c r="EI4">
        <v>9.452</v>
      </c>
      <c r="EJ4">
        <v>14.917999999999999</v>
      </c>
      <c r="EK4">
        <v>15.62</v>
      </c>
      <c r="EL4">
        <v>3</v>
      </c>
      <c r="EM4" s="7" t="s">
        <v>295</v>
      </c>
      <c r="EN4" s="7" t="s">
        <v>297</v>
      </c>
      <c r="EO4">
        <v>47.973999999999997</v>
      </c>
      <c r="EP4">
        <v>50.720999999999997</v>
      </c>
      <c r="EQ4">
        <v>51.692999999999998</v>
      </c>
      <c r="ER4">
        <v>3</v>
      </c>
      <c r="ES4" s="7" t="s">
        <v>291</v>
      </c>
      <c r="ET4" s="7" t="s">
        <v>292</v>
      </c>
      <c r="EU4">
        <v>128.74700000000001</v>
      </c>
      <c r="EV4">
        <v>131.76300000000001</v>
      </c>
      <c r="EW4">
        <v>132.613</v>
      </c>
      <c r="EX4">
        <v>4</v>
      </c>
      <c r="EY4" s="7" t="s">
        <v>300</v>
      </c>
      <c r="EZ4" s="7" t="s">
        <v>294</v>
      </c>
      <c r="FA4">
        <v>8.6519999999999992</v>
      </c>
      <c r="FB4">
        <v>10.275</v>
      </c>
      <c r="FC4">
        <v>10.496</v>
      </c>
      <c r="FD4">
        <v>3</v>
      </c>
      <c r="FE4" s="7" t="s">
        <v>301</v>
      </c>
      <c r="FF4" s="7" t="s">
        <v>294</v>
      </c>
      <c r="FG4">
        <v>4.3899999999999997</v>
      </c>
      <c r="FH4">
        <v>8.7970000000000006</v>
      </c>
      <c r="FI4">
        <v>10.472</v>
      </c>
      <c r="FJ4">
        <v>3</v>
      </c>
      <c r="FK4" s="7" t="s">
        <v>291</v>
      </c>
      <c r="FL4" s="7" t="s">
        <v>294</v>
      </c>
      <c r="FM4">
        <v>8.1270000000000007</v>
      </c>
      <c r="FN4">
        <v>8.99</v>
      </c>
      <c r="FO4">
        <v>9.4499999999999993</v>
      </c>
      <c r="FP4">
        <v>2</v>
      </c>
      <c r="FQ4" s="7" t="s">
        <v>300</v>
      </c>
      <c r="FR4" s="7" t="s">
        <v>296</v>
      </c>
      <c r="FS4">
        <v>12.666</v>
      </c>
      <c r="FT4">
        <v>14.68</v>
      </c>
      <c r="FU4">
        <v>15.239000000000001</v>
      </c>
      <c r="FV4">
        <v>2</v>
      </c>
      <c r="FW4" s="7" t="s">
        <v>301</v>
      </c>
      <c r="FX4" s="7" t="s">
        <v>294</v>
      </c>
      <c r="FY4">
        <v>4.4279999999999999</v>
      </c>
      <c r="FZ4">
        <v>8.8930000000000007</v>
      </c>
      <c r="GA4">
        <v>9.1310000000000002</v>
      </c>
      <c r="GB4">
        <v>6</v>
      </c>
      <c r="GC4" s="7" t="s">
        <v>291</v>
      </c>
      <c r="GD4" s="7" t="s">
        <v>296</v>
      </c>
      <c r="GE4">
        <v>12.574999999999999</v>
      </c>
      <c r="GF4">
        <v>17.530999999999999</v>
      </c>
      <c r="GG4">
        <v>18.158000000000001</v>
      </c>
      <c r="GH4">
        <v>2</v>
      </c>
      <c r="GI4" s="7" t="s">
        <v>300</v>
      </c>
      <c r="GJ4" s="7" t="s">
        <v>296</v>
      </c>
      <c r="GK4">
        <v>7.3010000000000002</v>
      </c>
      <c r="GL4">
        <v>8.8629999999999995</v>
      </c>
      <c r="GM4">
        <v>9.3539999999999992</v>
      </c>
      <c r="GN4">
        <v>2</v>
      </c>
      <c r="GO4" s="7" t="s">
        <v>301</v>
      </c>
      <c r="GP4" s="7" t="s">
        <v>294</v>
      </c>
      <c r="GQ4">
        <v>4.3819999999999997</v>
      </c>
      <c r="GR4">
        <v>6.2270000000000003</v>
      </c>
      <c r="GS4">
        <v>8.6980000000000004</v>
      </c>
      <c r="GT4">
        <v>2</v>
      </c>
      <c r="GU4" s="7" t="s">
        <v>291</v>
      </c>
      <c r="GV4" s="7" t="s">
        <v>296</v>
      </c>
      <c r="GW4">
        <v>8.1920000000000002</v>
      </c>
      <c r="GX4">
        <v>10.185</v>
      </c>
      <c r="GY4">
        <v>10.417</v>
      </c>
      <c r="GZ4">
        <v>3</v>
      </c>
      <c r="HA4" s="7" t="s">
        <v>300</v>
      </c>
      <c r="HB4" s="7" t="s">
        <v>294</v>
      </c>
      <c r="HC4">
        <v>7.9710000000000001</v>
      </c>
      <c r="HD4">
        <v>11.324</v>
      </c>
      <c r="HE4">
        <v>11.784000000000001</v>
      </c>
      <c r="HF4">
        <v>3</v>
      </c>
      <c r="HG4" s="7" t="s">
        <v>291</v>
      </c>
      <c r="HH4" s="7" t="s">
        <v>296</v>
      </c>
      <c r="HI4">
        <v>5.234</v>
      </c>
      <c r="HJ4">
        <v>9.5389999999999997</v>
      </c>
      <c r="HK4">
        <v>10.054</v>
      </c>
      <c r="HL4">
        <v>2</v>
      </c>
      <c r="HM4" s="7" t="s">
        <v>318</v>
      </c>
      <c r="HN4" s="7" t="s">
        <v>319</v>
      </c>
      <c r="HO4" s="7" t="s">
        <v>320</v>
      </c>
      <c r="HP4" s="7" t="s">
        <v>320</v>
      </c>
      <c r="HQ4" s="7" t="s">
        <v>321</v>
      </c>
      <c r="HR4" s="7" t="s">
        <v>321</v>
      </c>
      <c r="HS4" s="7" t="s">
        <v>322</v>
      </c>
      <c r="HT4" s="7" t="s">
        <v>323</v>
      </c>
      <c r="HU4" s="7" t="s">
        <v>324</v>
      </c>
      <c r="HV4" s="7" t="s">
        <v>324</v>
      </c>
      <c r="HW4" s="7" t="s">
        <v>282</v>
      </c>
      <c r="HX4" s="7" t="s">
        <v>282</v>
      </c>
      <c r="HY4" s="7" t="s">
        <v>312</v>
      </c>
      <c r="HZ4" s="7" t="s">
        <v>282</v>
      </c>
      <c r="IA4" s="7" t="s">
        <v>325</v>
      </c>
      <c r="IB4" s="7" t="s">
        <v>282</v>
      </c>
      <c r="IC4" s="7" t="s">
        <v>282</v>
      </c>
    </row>
    <row r="5" spans="1:237" x14ac:dyDescent="0.2">
      <c r="A5" s="6">
        <v>45740.927418981482</v>
      </c>
      <c r="B5" s="6">
        <v>45740.955023148148</v>
      </c>
      <c r="C5" s="7" t="s">
        <v>240</v>
      </c>
      <c r="D5" s="7" t="s">
        <v>326</v>
      </c>
      <c r="E5">
        <v>100</v>
      </c>
      <c r="F5">
        <v>2384</v>
      </c>
      <c r="G5" s="7" t="s">
        <v>280</v>
      </c>
      <c r="H5" s="6">
        <v>45740.955036689818</v>
      </c>
      <c r="I5" s="7" t="s">
        <v>327</v>
      </c>
      <c r="J5" s="7" t="s">
        <v>282</v>
      </c>
      <c r="K5" s="7" t="s">
        <v>282</v>
      </c>
      <c r="L5" s="7" t="s">
        <v>282</v>
      </c>
      <c r="M5" s="7" t="s">
        <v>282</v>
      </c>
      <c r="N5">
        <v>-37.815899999999999</v>
      </c>
      <c r="O5">
        <v>144.96690000000001</v>
      </c>
      <c r="P5" s="7" t="s">
        <v>283</v>
      </c>
      <c r="Q5" s="7" t="s">
        <v>284</v>
      </c>
      <c r="R5">
        <v>0.80000001192092896</v>
      </c>
      <c r="S5" s="7" t="s">
        <v>285</v>
      </c>
      <c r="T5" s="7" t="s">
        <v>285</v>
      </c>
      <c r="U5" s="7" t="s">
        <v>285</v>
      </c>
      <c r="V5" s="7" t="s">
        <v>285</v>
      </c>
      <c r="W5" s="7" t="s">
        <v>286</v>
      </c>
      <c r="X5" s="7" t="s">
        <v>328</v>
      </c>
      <c r="Y5" s="7" t="s">
        <v>288</v>
      </c>
      <c r="Z5" s="7" t="s">
        <v>289</v>
      </c>
      <c r="AA5" s="7" t="s">
        <v>329</v>
      </c>
      <c r="AB5" s="7" t="s">
        <v>317</v>
      </c>
      <c r="AC5" s="7" t="s">
        <v>291</v>
      </c>
      <c r="AD5" s="7" t="s">
        <v>296</v>
      </c>
      <c r="AE5">
        <v>6.6360000000000001</v>
      </c>
      <c r="AF5">
        <v>9.3680000000000003</v>
      </c>
      <c r="AG5">
        <v>9.7110000000000003</v>
      </c>
      <c r="AH5">
        <v>3</v>
      </c>
      <c r="AI5" s="7" t="s">
        <v>293</v>
      </c>
      <c r="AJ5" s="7" t="s">
        <v>296</v>
      </c>
      <c r="AK5">
        <v>5.7290000000000001</v>
      </c>
      <c r="AL5">
        <v>6.657</v>
      </c>
      <c r="AM5">
        <v>8.859</v>
      </c>
      <c r="AN5">
        <v>2</v>
      </c>
      <c r="AO5" s="7" t="s">
        <v>293</v>
      </c>
      <c r="AP5" s="7" t="s">
        <v>296</v>
      </c>
      <c r="AQ5">
        <v>5.0309999999999997</v>
      </c>
      <c r="AR5">
        <v>8.9779999999999998</v>
      </c>
      <c r="AS5">
        <v>9.5950000000000006</v>
      </c>
      <c r="AT5">
        <v>2</v>
      </c>
      <c r="AU5" s="7" t="s">
        <v>295</v>
      </c>
      <c r="AV5" s="7" t="s">
        <v>292</v>
      </c>
      <c r="AW5">
        <v>24.637</v>
      </c>
      <c r="AX5">
        <v>48.817</v>
      </c>
      <c r="AY5">
        <v>51.74</v>
      </c>
      <c r="AZ5">
        <v>3</v>
      </c>
      <c r="BA5" s="7" t="s">
        <v>295</v>
      </c>
      <c r="BB5" s="7" t="s">
        <v>297</v>
      </c>
      <c r="BC5">
        <v>25.605</v>
      </c>
      <c r="BD5">
        <v>26.597000000000001</v>
      </c>
      <c r="BE5">
        <v>27.856000000000002</v>
      </c>
      <c r="BF5">
        <v>3</v>
      </c>
      <c r="BG5" s="7" t="s">
        <v>291</v>
      </c>
      <c r="BH5" s="7" t="s">
        <v>296</v>
      </c>
      <c r="BI5">
        <v>8.7110000000000003</v>
      </c>
      <c r="BJ5">
        <v>10.858000000000001</v>
      </c>
      <c r="BK5">
        <v>11.407999999999999</v>
      </c>
      <c r="BL5">
        <v>2</v>
      </c>
      <c r="BM5" s="7" t="s">
        <v>293</v>
      </c>
      <c r="BN5" s="7" t="s">
        <v>296</v>
      </c>
      <c r="BO5">
        <v>5.05</v>
      </c>
      <c r="BP5">
        <v>13.986000000000001</v>
      </c>
      <c r="BQ5">
        <v>14.981</v>
      </c>
      <c r="BR5">
        <v>2</v>
      </c>
      <c r="BS5" s="7" t="s">
        <v>293</v>
      </c>
      <c r="BT5" s="7" t="s">
        <v>297</v>
      </c>
      <c r="BU5">
        <v>12.53</v>
      </c>
      <c r="BV5">
        <v>17.978000000000002</v>
      </c>
      <c r="BW5">
        <v>23.62</v>
      </c>
      <c r="BX5">
        <v>2</v>
      </c>
      <c r="BY5" s="7" t="s">
        <v>295</v>
      </c>
      <c r="BZ5" s="7" t="s">
        <v>297</v>
      </c>
      <c r="CA5">
        <v>9.4390000000000001</v>
      </c>
      <c r="CB5">
        <v>10.403</v>
      </c>
      <c r="CC5">
        <v>11.641</v>
      </c>
      <c r="CD5">
        <v>2</v>
      </c>
      <c r="CE5" s="7" t="s">
        <v>298</v>
      </c>
      <c r="CF5" s="7" t="s">
        <v>292</v>
      </c>
      <c r="CG5">
        <v>6.9029999999999996</v>
      </c>
      <c r="CH5">
        <v>15.757999999999999</v>
      </c>
      <c r="CI5">
        <v>19.600000000000001</v>
      </c>
      <c r="CJ5">
        <v>8</v>
      </c>
      <c r="CK5" s="7" t="s">
        <v>291</v>
      </c>
      <c r="CL5" s="7" t="s">
        <v>296</v>
      </c>
      <c r="CM5">
        <v>31.07</v>
      </c>
      <c r="CN5">
        <v>32.753</v>
      </c>
      <c r="CO5">
        <v>33.097000000000001</v>
      </c>
      <c r="CP5">
        <v>3</v>
      </c>
      <c r="CQ5" s="7" t="s">
        <v>293</v>
      </c>
      <c r="CR5" s="7" t="s">
        <v>296</v>
      </c>
      <c r="CS5">
        <v>9.5259999999999998</v>
      </c>
      <c r="CT5">
        <v>11.737</v>
      </c>
      <c r="CU5">
        <v>13.456</v>
      </c>
      <c r="CV5">
        <v>2</v>
      </c>
      <c r="CW5" s="7" t="s">
        <v>293</v>
      </c>
      <c r="CX5" s="7" t="s">
        <v>292</v>
      </c>
      <c r="CY5">
        <v>10.98</v>
      </c>
      <c r="CZ5">
        <v>30.835000000000001</v>
      </c>
      <c r="DA5">
        <v>31.97</v>
      </c>
      <c r="DB5">
        <v>5</v>
      </c>
      <c r="DC5" s="7" t="s">
        <v>298</v>
      </c>
      <c r="DD5" s="7" t="s">
        <v>292</v>
      </c>
      <c r="DE5">
        <v>92.203000000000003</v>
      </c>
      <c r="DF5">
        <v>118.602</v>
      </c>
      <c r="DG5">
        <v>120.024</v>
      </c>
      <c r="DH5">
        <v>3</v>
      </c>
      <c r="DI5" s="7" t="s">
        <v>298</v>
      </c>
      <c r="DJ5" s="7" t="s">
        <v>292</v>
      </c>
      <c r="DK5">
        <v>13.856</v>
      </c>
      <c r="DL5">
        <v>17.888000000000002</v>
      </c>
      <c r="DM5">
        <v>21.558</v>
      </c>
      <c r="DN5">
        <v>3</v>
      </c>
      <c r="DO5" s="7" t="s">
        <v>291</v>
      </c>
      <c r="DP5" s="7" t="s">
        <v>296</v>
      </c>
      <c r="DQ5">
        <v>40.869999999999997</v>
      </c>
      <c r="DR5">
        <v>43.009</v>
      </c>
      <c r="DS5">
        <v>45.997999999999998</v>
      </c>
      <c r="DT5">
        <v>2</v>
      </c>
      <c r="DU5" s="7" t="s">
        <v>293</v>
      </c>
      <c r="DV5" s="7" t="s">
        <v>296</v>
      </c>
      <c r="DW5">
        <v>6.9969999999999999</v>
      </c>
      <c r="DX5">
        <v>8.8770000000000007</v>
      </c>
      <c r="DY5">
        <v>9.8149999999999995</v>
      </c>
      <c r="DZ5">
        <v>2</v>
      </c>
      <c r="EA5" s="7" t="s">
        <v>299</v>
      </c>
      <c r="EB5" s="7" t="s">
        <v>297</v>
      </c>
      <c r="EC5">
        <v>20.922999999999998</v>
      </c>
      <c r="ED5">
        <v>22.027000000000001</v>
      </c>
      <c r="EE5">
        <v>22.658000000000001</v>
      </c>
      <c r="EF5">
        <v>2</v>
      </c>
      <c r="EG5" s="7" t="s">
        <v>295</v>
      </c>
      <c r="EH5" s="7" t="s">
        <v>297</v>
      </c>
      <c r="EI5">
        <v>14.647</v>
      </c>
      <c r="EJ5">
        <v>16.154</v>
      </c>
      <c r="EK5">
        <v>16.992999999999999</v>
      </c>
      <c r="EL5">
        <v>2</v>
      </c>
      <c r="EM5" s="7" t="s">
        <v>298</v>
      </c>
      <c r="EN5" s="7" t="s">
        <v>292</v>
      </c>
      <c r="EO5">
        <v>93.908000000000001</v>
      </c>
      <c r="EP5">
        <v>98.891999999999996</v>
      </c>
      <c r="EQ5">
        <v>100.121</v>
      </c>
      <c r="ER5">
        <v>2</v>
      </c>
      <c r="ES5" s="7" t="s">
        <v>291</v>
      </c>
      <c r="ET5" s="7" t="s">
        <v>296</v>
      </c>
      <c r="EU5">
        <v>8.9090000000000007</v>
      </c>
      <c r="EV5">
        <v>10.237</v>
      </c>
      <c r="EW5">
        <v>13.347</v>
      </c>
      <c r="EX5">
        <v>2</v>
      </c>
      <c r="EY5" s="7" t="s">
        <v>300</v>
      </c>
      <c r="EZ5" s="7" t="s">
        <v>294</v>
      </c>
      <c r="FA5">
        <v>10.220000000000001</v>
      </c>
      <c r="FB5">
        <v>11.92</v>
      </c>
      <c r="FC5">
        <v>12.513999999999999</v>
      </c>
      <c r="FD5">
        <v>2</v>
      </c>
      <c r="FE5" s="7" t="s">
        <v>282</v>
      </c>
      <c r="FF5" s="7" t="s">
        <v>330</v>
      </c>
      <c r="FG5">
        <v>9.282</v>
      </c>
      <c r="FH5">
        <v>14.577999999999999</v>
      </c>
      <c r="FI5">
        <v>15.385</v>
      </c>
      <c r="FJ5">
        <v>2</v>
      </c>
      <c r="FK5" s="7" t="s">
        <v>291</v>
      </c>
      <c r="FL5" s="7" t="s">
        <v>292</v>
      </c>
      <c r="FM5">
        <v>8.5470000000000006</v>
      </c>
      <c r="FN5">
        <v>10.94</v>
      </c>
      <c r="FO5">
        <v>11.586</v>
      </c>
      <c r="FP5">
        <v>2</v>
      </c>
      <c r="FQ5" s="7" t="s">
        <v>300</v>
      </c>
      <c r="FR5" s="7" t="s">
        <v>294</v>
      </c>
      <c r="FS5">
        <v>5.1989999999999998</v>
      </c>
      <c r="FT5">
        <v>10.494999999999999</v>
      </c>
      <c r="FU5">
        <v>11.33</v>
      </c>
      <c r="FV5">
        <v>2</v>
      </c>
      <c r="FW5" s="7" t="s">
        <v>301</v>
      </c>
      <c r="FX5" s="7" t="s">
        <v>297</v>
      </c>
      <c r="FY5">
        <v>27.271999999999998</v>
      </c>
      <c r="FZ5">
        <v>28.283999999999999</v>
      </c>
      <c r="GA5">
        <v>29.07</v>
      </c>
      <c r="GB5">
        <v>2</v>
      </c>
      <c r="GC5" s="7" t="s">
        <v>291</v>
      </c>
      <c r="GD5" s="7" t="s">
        <v>297</v>
      </c>
      <c r="GE5">
        <v>28.673999999999999</v>
      </c>
      <c r="GF5">
        <v>30.481000000000002</v>
      </c>
      <c r="GG5">
        <v>32.256</v>
      </c>
      <c r="GH5">
        <v>2</v>
      </c>
      <c r="GI5" s="7" t="s">
        <v>300</v>
      </c>
      <c r="GJ5" s="7" t="s">
        <v>294</v>
      </c>
      <c r="GK5">
        <v>6.4420000000000002</v>
      </c>
      <c r="GL5">
        <v>7.6740000000000004</v>
      </c>
      <c r="GM5">
        <v>10</v>
      </c>
      <c r="GN5">
        <v>2</v>
      </c>
      <c r="GO5" s="7" t="s">
        <v>301</v>
      </c>
      <c r="GP5" s="7" t="s">
        <v>292</v>
      </c>
      <c r="GQ5">
        <v>6.9130000000000003</v>
      </c>
      <c r="GR5">
        <v>8.2379999999999995</v>
      </c>
      <c r="GS5">
        <v>9.407</v>
      </c>
      <c r="GT5">
        <v>2</v>
      </c>
      <c r="GU5" s="7" t="s">
        <v>301</v>
      </c>
      <c r="GV5" s="7" t="s">
        <v>297</v>
      </c>
      <c r="GW5">
        <v>32.82</v>
      </c>
      <c r="GX5">
        <v>38.731999999999999</v>
      </c>
      <c r="GY5">
        <v>39.634</v>
      </c>
      <c r="GZ5">
        <v>2</v>
      </c>
      <c r="HA5" s="7" t="s">
        <v>300</v>
      </c>
      <c r="HB5" s="7" t="s">
        <v>296</v>
      </c>
      <c r="HC5">
        <v>9.7680000000000007</v>
      </c>
      <c r="HD5">
        <v>11.081</v>
      </c>
      <c r="HE5">
        <v>12.238</v>
      </c>
      <c r="HF5">
        <v>2</v>
      </c>
      <c r="HG5" s="7" t="s">
        <v>291</v>
      </c>
      <c r="HH5" s="7" t="s">
        <v>297</v>
      </c>
      <c r="HI5">
        <v>36.735999999999997</v>
      </c>
      <c r="HJ5">
        <v>43.332000000000001</v>
      </c>
      <c r="HK5">
        <v>46.378</v>
      </c>
      <c r="HL5">
        <v>4</v>
      </c>
      <c r="HM5" s="7" t="s">
        <v>331</v>
      </c>
      <c r="HN5" s="7" t="s">
        <v>332</v>
      </c>
      <c r="HO5" s="7" t="s">
        <v>333</v>
      </c>
      <c r="HP5" s="7" t="s">
        <v>334</v>
      </c>
      <c r="HQ5" s="7" t="s">
        <v>335</v>
      </c>
      <c r="HR5" s="7" t="s">
        <v>336</v>
      </c>
      <c r="HS5" s="7" t="s">
        <v>337</v>
      </c>
      <c r="HT5" s="7" t="s">
        <v>338</v>
      </c>
      <c r="HU5" s="7" t="s">
        <v>339</v>
      </c>
      <c r="HV5" s="7" t="s">
        <v>340</v>
      </c>
      <c r="HW5" s="7" t="s">
        <v>341</v>
      </c>
      <c r="HX5" s="7" t="s">
        <v>282</v>
      </c>
      <c r="HY5" s="7" t="s">
        <v>312</v>
      </c>
      <c r="HZ5" s="7" t="s">
        <v>282</v>
      </c>
      <c r="IA5" s="7" t="s">
        <v>325</v>
      </c>
      <c r="IB5" s="7" t="s">
        <v>282</v>
      </c>
      <c r="IC5" s="7" t="s">
        <v>282</v>
      </c>
    </row>
    <row r="6" spans="1:237" x14ac:dyDescent="0.2">
      <c r="A6" s="6">
        <v>45744.426388888889</v>
      </c>
      <c r="B6" s="6">
        <v>45744.43577546296</v>
      </c>
      <c r="C6" s="7" t="s">
        <v>240</v>
      </c>
      <c r="D6" s="7" t="s">
        <v>342</v>
      </c>
      <c r="E6">
        <v>100</v>
      </c>
      <c r="F6">
        <v>810</v>
      </c>
      <c r="G6" s="7" t="s">
        <v>280</v>
      </c>
      <c r="H6" s="6">
        <v>45744.435789687501</v>
      </c>
      <c r="I6" s="7" t="s">
        <v>343</v>
      </c>
      <c r="J6" s="7" t="s">
        <v>282</v>
      </c>
      <c r="K6" s="7" t="s">
        <v>282</v>
      </c>
      <c r="L6" s="7" t="s">
        <v>282</v>
      </c>
      <c r="M6" s="7" t="s">
        <v>282</v>
      </c>
      <c r="N6">
        <v>-37.979300000000002</v>
      </c>
      <c r="O6">
        <v>145.12970000000001</v>
      </c>
      <c r="P6" s="7" t="s">
        <v>283</v>
      </c>
      <c r="Q6" s="7" t="s">
        <v>284</v>
      </c>
      <c r="R6">
        <v>0.5</v>
      </c>
      <c r="S6" s="7" t="s">
        <v>285</v>
      </c>
      <c r="T6" s="7" t="s">
        <v>285</v>
      </c>
      <c r="U6" s="7" t="s">
        <v>285</v>
      </c>
      <c r="V6" s="7" t="s">
        <v>285</v>
      </c>
      <c r="W6" s="7" t="s">
        <v>286</v>
      </c>
      <c r="X6" s="7" t="s">
        <v>287</v>
      </c>
      <c r="Y6" s="7" t="s">
        <v>288</v>
      </c>
      <c r="Z6" s="7" t="s">
        <v>289</v>
      </c>
      <c r="AA6" s="7" t="s">
        <v>317</v>
      </c>
      <c r="AB6" s="7" t="s">
        <v>317</v>
      </c>
      <c r="AC6" s="7" t="s">
        <v>291</v>
      </c>
      <c r="AD6" s="7" t="s">
        <v>292</v>
      </c>
      <c r="AE6">
        <v>7.968</v>
      </c>
      <c r="AF6">
        <v>9.6010000000000009</v>
      </c>
      <c r="AG6">
        <v>10.590999999999999</v>
      </c>
      <c r="AH6">
        <v>2</v>
      </c>
      <c r="AI6" s="7" t="s">
        <v>299</v>
      </c>
      <c r="AJ6" s="7" t="s">
        <v>292</v>
      </c>
      <c r="AK6">
        <v>6.694</v>
      </c>
      <c r="AL6">
        <v>8.3659999999999997</v>
      </c>
      <c r="AM6">
        <v>9.4489999999999998</v>
      </c>
      <c r="AN6">
        <v>2</v>
      </c>
      <c r="AO6" s="7" t="s">
        <v>293</v>
      </c>
      <c r="AP6" s="7" t="s">
        <v>296</v>
      </c>
      <c r="AQ6">
        <v>6.351</v>
      </c>
      <c r="AR6">
        <v>11.339</v>
      </c>
      <c r="AS6">
        <v>12.26</v>
      </c>
      <c r="AT6">
        <v>2</v>
      </c>
      <c r="AU6" s="7" t="s">
        <v>295</v>
      </c>
      <c r="AV6" s="7" t="s">
        <v>292</v>
      </c>
      <c r="AW6">
        <v>6.5090000000000003</v>
      </c>
      <c r="AX6">
        <v>10.23</v>
      </c>
      <c r="AY6">
        <v>11.144</v>
      </c>
      <c r="AZ6">
        <v>3</v>
      </c>
      <c r="BA6" s="7" t="s">
        <v>295</v>
      </c>
      <c r="BB6" s="7" t="s">
        <v>292</v>
      </c>
      <c r="BC6">
        <v>7.3840000000000003</v>
      </c>
      <c r="BD6">
        <v>9.3859999999999992</v>
      </c>
      <c r="BE6">
        <v>9.7870000000000008</v>
      </c>
      <c r="BF6">
        <v>3</v>
      </c>
      <c r="BG6" s="7" t="s">
        <v>291</v>
      </c>
      <c r="BH6" s="7" t="s">
        <v>296</v>
      </c>
      <c r="BI6">
        <v>9.26</v>
      </c>
      <c r="BJ6">
        <v>12.16</v>
      </c>
      <c r="BK6">
        <v>12.863</v>
      </c>
      <c r="BL6">
        <v>2</v>
      </c>
      <c r="BM6" s="7" t="s">
        <v>293</v>
      </c>
      <c r="BN6" s="7" t="s">
        <v>292</v>
      </c>
      <c r="BO6">
        <v>10.015000000000001</v>
      </c>
      <c r="BP6">
        <v>11.457000000000001</v>
      </c>
      <c r="BQ6">
        <v>13.064</v>
      </c>
      <c r="BR6">
        <v>2</v>
      </c>
      <c r="BS6" s="7" t="s">
        <v>291</v>
      </c>
      <c r="BT6" s="7" t="s">
        <v>297</v>
      </c>
      <c r="BU6">
        <v>7.4489999999999998</v>
      </c>
      <c r="BV6">
        <v>9.9719999999999995</v>
      </c>
      <c r="BW6">
        <v>10.747</v>
      </c>
      <c r="BX6">
        <v>2</v>
      </c>
      <c r="BY6" s="7" t="s">
        <v>298</v>
      </c>
      <c r="BZ6" s="7" t="s">
        <v>297</v>
      </c>
      <c r="CA6">
        <v>15.500999999999999</v>
      </c>
      <c r="CB6">
        <v>17.5</v>
      </c>
      <c r="CC6">
        <v>18.602</v>
      </c>
      <c r="CD6">
        <v>2</v>
      </c>
      <c r="CE6" s="7" t="s">
        <v>298</v>
      </c>
      <c r="CF6" s="7" t="s">
        <v>292</v>
      </c>
      <c r="CG6">
        <v>6.4829999999999997</v>
      </c>
      <c r="CH6">
        <v>7.8840000000000003</v>
      </c>
      <c r="CI6">
        <v>9.1310000000000002</v>
      </c>
      <c r="CJ6">
        <v>2</v>
      </c>
      <c r="CK6" s="7" t="s">
        <v>291</v>
      </c>
      <c r="CL6" s="7" t="s">
        <v>292</v>
      </c>
      <c r="CM6">
        <v>6.4580000000000002</v>
      </c>
      <c r="CN6">
        <v>8.5120000000000005</v>
      </c>
      <c r="CO6">
        <v>9.2729999999999997</v>
      </c>
      <c r="CP6">
        <v>2</v>
      </c>
      <c r="CQ6" s="7" t="s">
        <v>299</v>
      </c>
      <c r="CR6" s="7" t="s">
        <v>292</v>
      </c>
      <c r="CS6">
        <v>8.0030000000000001</v>
      </c>
      <c r="CT6">
        <v>10.977</v>
      </c>
      <c r="CU6">
        <v>11.714</v>
      </c>
      <c r="CV6">
        <v>2</v>
      </c>
      <c r="CW6" s="7" t="s">
        <v>291</v>
      </c>
      <c r="CX6" s="7" t="s">
        <v>292</v>
      </c>
      <c r="CY6">
        <v>6.1239999999999997</v>
      </c>
      <c r="CZ6">
        <v>7.2809999999999997</v>
      </c>
      <c r="DA6">
        <v>9.0879999999999992</v>
      </c>
      <c r="DB6">
        <v>2</v>
      </c>
      <c r="DC6" s="7" t="s">
        <v>295</v>
      </c>
      <c r="DD6" s="7" t="s">
        <v>292</v>
      </c>
      <c r="DE6">
        <v>7.181</v>
      </c>
      <c r="DF6">
        <v>8.4120000000000008</v>
      </c>
      <c r="DG6">
        <v>9.4309999999999992</v>
      </c>
      <c r="DH6">
        <v>2</v>
      </c>
      <c r="DI6" s="7" t="s">
        <v>291</v>
      </c>
      <c r="DJ6" s="7" t="s">
        <v>292</v>
      </c>
      <c r="DK6">
        <v>7.2450000000000001</v>
      </c>
      <c r="DL6">
        <v>8.7010000000000005</v>
      </c>
      <c r="DM6">
        <v>11.848000000000001</v>
      </c>
      <c r="DN6">
        <v>2</v>
      </c>
      <c r="DO6" s="7" t="s">
        <v>291</v>
      </c>
      <c r="DP6" s="7" t="s">
        <v>292</v>
      </c>
      <c r="DQ6">
        <v>6.81</v>
      </c>
      <c r="DR6">
        <v>8.3019999999999996</v>
      </c>
      <c r="DS6">
        <v>9.4890000000000008</v>
      </c>
      <c r="DT6">
        <v>2</v>
      </c>
      <c r="DU6" s="7" t="s">
        <v>299</v>
      </c>
      <c r="DV6" s="7" t="s">
        <v>292</v>
      </c>
      <c r="DW6">
        <v>7.0369999999999999</v>
      </c>
      <c r="DX6">
        <v>12.634</v>
      </c>
      <c r="DY6">
        <v>13.507999999999999</v>
      </c>
      <c r="DZ6">
        <v>2</v>
      </c>
      <c r="EA6" s="7" t="s">
        <v>291</v>
      </c>
      <c r="EB6" s="7" t="s">
        <v>292</v>
      </c>
      <c r="EC6">
        <v>8.7260000000000009</v>
      </c>
      <c r="ED6">
        <v>10.089</v>
      </c>
      <c r="EE6">
        <v>10.901999999999999</v>
      </c>
      <c r="EF6">
        <v>2</v>
      </c>
      <c r="EG6" s="7" t="s">
        <v>295</v>
      </c>
      <c r="EH6" s="7" t="s">
        <v>297</v>
      </c>
      <c r="EI6">
        <v>7.5579999999999998</v>
      </c>
      <c r="EJ6">
        <v>10.206</v>
      </c>
      <c r="EK6">
        <v>10.973000000000001</v>
      </c>
      <c r="EL6">
        <v>2</v>
      </c>
      <c r="EM6" s="7" t="s">
        <v>291</v>
      </c>
      <c r="EN6" s="7" t="s">
        <v>292</v>
      </c>
      <c r="EO6">
        <v>8.1199999999999992</v>
      </c>
      <c r="EP6">
        <v>9.4700000000000006</v>
      </c>
      <c r="EQ6">
        <v>10.367000000000001</v>
      </c>
      <c r="ER6">
        <v>2</v>
      </c>
      <c r="ES6" s="7" t="s">
        <v>291</v>
      </c>
      <c r="ET6" s="7" t="s">
        <v>292</v>
      </c>
      <c r="EU6">
        <v>8.3360000000000003</v>
      </c>
      <c r="EV6">
        <v>9.65</v>
      </c>
      <c r="EW6">
        <v>10.483000000000001</v>
      </c>
      <c r="EX6">
        <v>2</v>
      </c>
      <c r="EY6" s="7" t="s">
        <v>300</v>
      </c>
      <c r="EZ6" s="7" t="s">
        <v>296</v>
      </c>
      <c r="FA6">
        <v>8.9420000000000002</v>
      </c>
      <c r="FB6">
        <v>12.161</v>
      </c>
      <c r="FC6">
        <v>13.343999999999999</v>
      </c>
      <c r="FD6">
        <v>2</v>
      </c>
      <c r="FE6" s="7" t="s">
        <v>300</v>
      </c>
      <c r="FF6" s="7" t="s">
        <v>292</v>
      </c>
      <c r="FG6">
        <v>7.3840000000000003</v>
      </c>
      <c r="FH6">
        <v>10.337999999999999</v>
      </c>
      <c r="FI6">
        <v>11.536</v>
      </c>
      <c r="FJ6">
        <v>3</v>
      </c>
      <c r="FK6" s="7" t="s">
        <v>291</v>
      </c>
      <c r="FL6" s="7" t="s">
        <v>292</v>
      </c>
      <c r="FM6">
        <v>6.0129999999999999</v>
      </c>
      <c r="FN6">
        <v>7.0129999999999999</v>
      </c>
      <c r="FO6">
        <v>8.9700000000000006</v>
      </c>
      <c r="FP6">
        <v>2</v>
      </c>
      <c r="FQ6" s="7" t="s">
        <v>291</v>
      </c>
      <c r="FR6" s="7" t="s">
        <v>292</v>
      </c>
      <c r="FS6">
        <v>12.679</v>
      </c>
      <c r="FT6">
        <v>15.04</v>
      </c>
      <c r="FU6">
        <v>18.829999999999998</v>
      </c>
      <c r="FV6">
        <v>2</v>
      </c>
      <c r="FW6" s="7" t="s">
        <v>300</v>
      </c>
      <c r="FX6" s="7" t="s">
        <v>292</v>
      </c>
      <c r="FY6">
        <v>19.611999999999998</v>
      </c>
      <c r="FZ6">
        <v>22.427</v>
      </c>
      <c r="GA6">
        <v>23.643000000000001</v>
      </c>
      <c r="GB6">
        <v>2</v>
      </c>
      <c r="GC6" s="7" t="s">
        <v>291</v>
      </c>
      <c r="GD6" s="7" t="s">
        <v>292</v>
      </c>
      <c r="GE6">
        <v>7.8419999999999996</v>
      </c>
      <c r="GF6">
        <v>8.7010000000000005</v>
      </c>
      <c r="GG6">
        <v>10.311</v>
      </c>
      <c r="GH6">
        <v>2</v>
      </c>
      <c r="GI6" s="7" t="s">
        <v>300</v>
      </c>
      <c r="GJ6" s="7" t="s">
        <v>292</v>
      </c>
      <c r="GK6">
        <v>8.2590000000000003</v>
      </c>
      <c r="GL6">
        <v>10.122999999999999</v>
      </c>
      <c r="GM6">
        <v>11.65</v>
      </c>
      <c r="GN6">
        <v>2</v>
      </c>
      <c r="GO6" s="7" t="s">
        <v>291</v>
      </c>
      <c r="GP6" s="7" t="s">
        <v>292</v>
      </c>
      <c r="GQ6">
        <v>6.2320000000000002</v>
      </c>
      <c r="GR6">
        <v>9.0559999999999992</v>
      </c>
      <c r="GS6">
        <v>9.8439999999999994</v>
      </c>
      <c r="GT6">
        <v>2</v>
      </c>
      <c r="GU6" s="7" t="s">
        <v>291</v>
      </c>
      <c r="GV6" s="7" t="s">
        <v>292</v>
      </c>
      <c r="GW6">
        <v>10.388</v>
      </c>
      <c r="GX6">
        <v>11.244999999999999</v>
      </c>
      <c r="GY6">
        <v>12.593999999999999</v>
      </c>
      <c r="GZ6">
        <v>2</v>
      </c>
      <c r="HA6" s="7" t="s">
        <v>300</v>
      </c>
      <c r="HB6" s="7" t="s">
        <v>296</v>
      </c>
      <c r="HC6">
        <v>7.4359999999999999</v>
      </c>
      <c r="HD6">
        <v>8.7110000000000003</v>
      </c>
      <c r="HE6">
        <v>9.9990000000000006</v>
      </c>
      <c r="HF6">
        <v>2</v>
      </c>
      <c r="HG6" s="7" t="s">
        <v>291</v>
      </c>
      <c r="HH6" s="7" t="s">
        <v>292</v>
      </c>
      <c r="HI6">
        <v>7.8630000000000004</v>
      </c>
      <c r="HJ6">
        <v>10.707000000000001</v>
      </c>
      <c r="HK6">
        <v>11.646000000000001</v>
      </c>
      <c r="HL6">
        <v>2</v>
      </c>
      <c r="HM6" s="7" t="s">
        <v>344</v>
      </c>
      <c r="HN6" s="7" t="s">
        <v>345</v>
      </c>
      <c r="HO6" s="7" t="s">
        <v>346</v>
      </c>
      <c r="HP6" s="7" t="s">
        <v>347</v>
      </c>
      <c r="HQ6" s="7" t="s">
        <v>348</v>
      </c>
      <c r="HR6" s="7" t="s">
        <v>349</v>
      </c>
      <c r="HS6" s="7" t="s">
        <v>350</v>
      </c>
      <c r="HT6" s="7" t="s">
        <v>351</v>
      </c>
      <c r="HU6" s="7" t="s">
        <v>352</v>
      </c>
      <c r="HV6" s="7" t="s">
        <v>353</v>
      </c>
      <c r="HW6" s="7" t="s">
        <v>354</v>
      </c>
      <c r="HX6" s="7" t="s">
        <v>355</v>
      </c>
      <c r="HY6" s="7" t="s">
        <v>312</v>
      </c>
      <c r="HZ6" s="7" t="s">
        <v>356</v>
      </c>
      <c r="IA6" s="7" t="s">
        <v>313</v>
      </c>
      <c r="IB6" s="7" t="s">
        <v>282</v>
      </c>
      <c r="IC6" s="7" t="s">
        <v>282</v>
      </c>
    </row>
    <row r="7" spans="1:237" x14ac:dyDescent="0.2">
      <c r="A7" s="6">
        <v>45744.430937500001</v>
      </c>
      <c r="B7" s="6">
        <v>45744.445902777778</v>
      </c>
      <c r="C7" s="7" t="s">
        <v>240</v>
      </c>
      <c r="D7" s="7" t="s">
        <v>357</v>
      </c>
      <c r="E7">
        <v>100</v>
      </c>
      <c r="F7">
        <v>1293</v>
      </c>
      <c r="G7" s="7" t="s">
        <v>280</v>
      </c>
      <c r="H7" s="6">
        <v>45744.445915231481</v>
      </c>
      <c r="I7" s="7" t="s">
        <v>358</v>
      </c>
      <c r="J7" s="7" t="s">
        <v>282</v>
      </c>
      <c r="K7" s="7" t="s">
        <v>282</v>
      </c>
      <c r="L7" s="7" t="s">
        <v>282</v>
      </c>
      <c r="M7" s="7" t="s">
        <v>282</v>
      </c>
      <c r="N7">
        <v>49.822099999999999</v>
      </c>
      <c r="O7">
        <v>-97.031499999999994</v>
      </c>
      <c r="P7" s="7" t="s">
        <v>283</v>
      </c>
      <c r="Q7" s="7" t="s">
        <v>284</v>
      </c>
      <c r="R7">
        <v>1</v>
      </c>
      <c r="S7" s="7" t="s">
        <v>285</v>
      </c>
      <c r="T7" s="7" t="s">
        <v>285</v>
      </c>
      <c r="U7" s="7" t="s">
        <v>285</v>
      </c>
      <c r="V7" s="7" t="s">
        <v>285</v>
      </c>
      <c r="W7" s="7" t="s">
        <v>359</v>
      </c>
      <c r="X7" s="7" t="s">
        <v>360</v>
      </c>
      <c r="Y7" s="7" t="s">
        <v>288</v>
      </c>
      <c r="Z7" s="7" t="s">
        <v>289</v>
      </c>
      <c r="AA7" s="7" t="s">
        <v>289</v>
      </c>
      <c r="AB7" s="7" t="s">
        <v>317</v>
      </c>
      <c r="AC7" s="7" t="s">
        <v>291</v>
      </c>
      <c r="AD7" s="7" t="s">
        <v>292</v>
      </c>
      <c r="AE7">
        <v>1.1339999999999999</v>
      </c>
      <c r="AF7">
        <v>15.192</v>
      </c>
      <c r="AG7">
        <v>15.468999999999999</v>
      </c>
      <c r="AH7">
        <v>9</v>
      </c>
      <c r="AI7" s="7" t="s">
        <v>293</v>
      </c>
      <c r="AJ7" s="7" t="s">
        <v>296</v>
      </c>
      <c r="AK7">
        <v>13.164</v>
      </c>
      <c r="AL7">
        <v>16.184999999999999</v>
      </c>
      <c r="AM7">
        <v>16.7</v>
      </c>
      <c r="AN7">
        <v>5</v>
      </c>
      <c r="AO7" s="7" t="s">
        <v>293</v>
      </c>
      <c r="AP7" s="7" t="s">
        <v>296</v>
      </c>
      <c r="AQ7">
        <v>5.72</v>
      </c>
      <c r="AR7">
        <v>16.713000000000001</v>
      </c>
      <c r="AS7">
        <v>17.091999999999999</v>
      </c>
      <c r="AT7">
        <v>10</v>
      </c>
      <c r="AU7" s="7" t="s">
        <v>295</v>
      </c>
      <c r="AV7" s="7" t="s">
        <v>292</v>
      </c>
      <c r="AW7">
        <v>18.754999999999999</v>
      </c>
      <c r="AX7">
        <v>21.338000000000001</v>
      </c>
      <c r="AY7">
        <v>21.667000000000002</v>
      </c>
      <c r="AZ7">
        <v>6</v>
      </c>
      <c r="BA7" s="7" t="s">
        <v>299</v>
      </c>
      <c r="BB7" s="7" t="s">
        <v>297</v>
      </c>
      <c r="BC7">
        <v>17.878</v>
      </c>
      <c r="BD7">
        <v>29.783999999999999</v>
      </c>
      <c r="BE7">
        <v>32.036999999999999</v>
      </c>
      <c r="BF7">
        <v>8</v>
      </c>
      <c r="BG7" s="7" t="s">
        <v>291</v>
      </c>
      <c r="BH7" s="7" t="s">
        <v>292</v>
      </c>
      <c r="BI7">
        <v>5.69</v>
      </c>
      <c r="BJ7">
        <v>18.13</v>
      </c>
      <c r="BK7">
        <v>18.433</v>
      </c>
      <c r="BL7">
        <v>12</v>
      </c>
      <c r="BM7" s="7" t="s">
        <v>293</v>
      </c>
      <c r="BN7" s="7" t="s">
        <v>292</v>
      </c>
      <c r="BO7">
        <v>2.7320000000000002</v>
      </c>
      <c r="BP7">
        <v>14.731999999999999</v>
      </c>
      <c r="BQ7">
        <v>15.500999999999999</v>
      </c>
      <c r="BR7">
        <v>12</v>
      </c>
      <c r="BS7" s="7" t="s">
        <v>291</v>
      </c>
      <c r="BT7" s="7" t="s">
        <v>292</v>
      </c>
      <c r="BU7">
        <v>11.42</v>
      </c>
      <c r="BV7">
        <v>31.686</v>
      </c>
      <c r="BW7">
        <v>32.198</v>
      </c>
      <c r="BX7">
        <v>13</v>
      </c>
      <c r="BY7" s="7" t="s">
        <v>299</v>
      </c>
      <c r="BZ7" s="7" t="s">
        <v>294</v>
      </c>
      <c r="CA7">
        <v>1.536</v>
      </c>
      <c r="CB7">
        <v>15.907999999999999</v>
      </c>
      <c r="CC7">
        <v>16.603000000000002</v>
      </c>
      <c r="CD7">
        <v>10</v>
      </c>
      <c r="CE7" s="7" t="s">
        <v>298</v>
      </c>
      <c r="CF7" s="7" t="s">
        <v>292</v>
      </c>
      <c r="CG7">
        <v>1.244</v>
      </c>
      <c r="CH7">
        <v>14.515000000000001</v>
      </c>
      <c r="CI7">
        <v>15.177</v>
      </c>
      <c r="CJ7">
        <v>8</v>
      </c>
      <c r="CK7" s="7" t="s">
        <v>291</v>
      </c>
      <c r="CL7" s="7" t="s">
        <v>292</v>
      </c>
      <c r="CM7">
        <v>1.202</v>
      </c>
      <c r="CN7">
        <v>17.273</v>
      </c>
      <c r="CO7">
        <v>17.846</v>
      </c>
      <c r="CP7">
        <v>11</v>
      </c>
      <c r="CQ7" s="7" t="s">
        <v>293</v>
      </c>
      <c r="CR7" s="7" t="s">
        <v>292</v>
      </c>
      <c r="CS7">
        <v>0.98099999999999998</v>
      </c>
      <c r="CT7">
        <v>17.175000000000001</v>
      </c>
      <c r="CU7">
        <v>17.744</v>
      </c>
      <c r="CV7">
        <v>7</v>
      </c>
      <c r="CW7" s="7" t="s">
        <v>291</v>
      </c>
      <c r="CX7" s="7" t="s">
        <v>292</v>
      </c>
      <c r="CY7">
        <v>20.707999999999998</v>
      </c>
      <c r="CZ7">
        <v>31.902000000000001</v>
      </c>
      <c r="DA7">
        <v>32.603999999999999</v>
      </c>
      <c r="DB7">
        <v>14</v>
      </c>
      <c r="DC7" s="7" t="s">
        <v>295</v>
      </c>
      <c r="DD7" s="7" t="s">
        <v>296</v>
      </c>
      <c r="DE7">
        <v>2.3519999999999999</v>
      </c>
      <c r="DF7">
        <v>15.087999999999999</v>
      </c>
      <c r="DG7">
        <v>15.696</v>
      </c>
      <c r="DH7">
        <v>8</v>
      </c>
      <c r="DI7" s="7" t="s">
        <v>298</v>
      </c>
      <c r="DJ7" s="7" t="s">
        <v>292</v>
      </c>
      <c r="DK7">
        <v>2.5</v>
      </c>
      <c r="DL7">
        <v>13.34</v>
      </c>
      <c r="DM7">
        <v>13.506</v>
      </c>
      <c r="DN7">
        <v>9</v>
      </c>
      <c r="DO7" s="7" t="s">
        <v>291</v>
      </c>
      <c r="DP7" s="7" t="s">
        <v>292</v>
      </c>
      <c r="DQ7">
        <v>5.4820000000000002</v>
      </c>
      <c r="DR7">
        <v>19.231999999999999</v>
      </c>
      <c r="DS7">
        <v>19.856000000000002</v>
      </c>
      <c r="DT7">
        <v>8</v>
      </c>
      <c r="DU7" s="7" t="s">
        <v>293</v>
      </c>
      <c r="DV7" s="7" t="s">
        <v>296</v>
      </c>
      <c r="DW7">
        <v>4.6920000000000002</v>
      </c>
      <c r="DX7">
        <v>38.273000000000003</v>
      </c>
      <c r="DY7">
        <v>39.381</v>
      </c>
      <c r="DZ7">
        <v>11</v>
      </c>
      <c r="EA7" s="7" t="s">
        <v>299</v>
      </c>
      <c r="EB7" s="7" t="s">
        <v>292</v>
      </c>
      <c r="EC7">
        <v>6.2510000000000003</v>
      </c>
      <c r="ED7">
        <v>15.478999999999999</v>
      </c>
      <c r="EE7">
        <v>15.702999999999999</v>
      </c>
      <c r="EF7">
        <v>9</v>
      </c>
      <c r="EG7" s="7" t="s">
        <v>295</v>
      </c>
      <c r="EH7" s="7" t="s">
        <v>292</v>
      </c>
      <c r="EI7">
        <v>5.766</v>
      </c>
      <c r="EJ7">
        <v>16.577000000000002</v>
      </c>
      <c r="EK7">
        <v>16.911000000000001</v>
      </c>
      <c r="EL7">
        <v>10</v>
      </c>
      <c r="EM7" s="7" t="s">
        <v>298</v>
      </c>
      <c r="EN7" s="7" t="s">
        <v>292</v>
      </c>
      <c r="EO7">
        <v>1.0469999999999999</v>
      </c>
      <c r="EP7">
        <v>17.628</v>
      </c>
      <c r="EQ7">
        <v>18.050999999999998</v>
      </c>
      <c r="ER7">
        <v>8</v>
      </c>
      <c r="ES7" s="7" t="s">
        <v>291</v>
      </c>
      <c r="ET7" s="7" t="s">
        <v>292</v>
      </c>
      <c r="EU7">
        <v>3.0550000000000002</v>
      </c>
      <c r="EV7">
        <v>15.624000000000001</v>
      </c>
      <c r="EW7">
        <v>16.100000000000001</v>
      </c>
      <c r="EX7">
        <v>10</v>
      </c>
      <c r="EY7" s="7" t="s">
        <v>300</v>
      </c>
      <c r="EZ7" s="7" t="s">
        <v>296</v>
      </c>
      <c r="FA7">
        <v>13.369</v>
      </c>
      <c r="FB7">
        <v>23.177</v>
      </c>
      <c r="FC7">
        <v>23.433</v>
      </c>
      <c r="FD7">
        <v>9</v>
      </c>
      <c r="FE7" s="7" t="s">
        <v>301</v>
      </c>
      <c r="FF7" s="7" t="s">
        <v>292</v>
      </c>
      <c r="FG7">
        <v>7.6319999999999997</v>
      </c>
      <c r="FH7">
        <v>18.414000000000001</v>
      </c>
      <c r="FI7">
        <v>18.702999999999999</v>
      </c>
      <c r="FJ7">
        <v>8</v>
      </c>
      <c r="FK7" s="7" t="s">
        <v>291</v>
      </c>
      <c r="FL7" s="7" t="s">
        <v>296</v>
      </c>
      <c r="FM7">
        <v>5.2560000000000002</v>
      </c>
      <c r="FN7">
        <v>16.073</v>
      </c>
      <c r="FO7">
        <v>16.306000000000001</v>
      </c>
      <c r="FP7">
        <v>6</v>
      </c>
      <c r="FQ7" s="7" t="s">
        <v>300</v>
      </c>
      <c r="FR7" s="7" t="s">
        <v>292</v>
      </c>
      <c r="FS7">
        <v>1.0589999999999999</v>
      </c>
      <c r="FT7">
        <v>21.030999999999999</v>
      </c>
      <c r="FU7">
        <v>21.202000000000002</v>
      </c>
      <c r="FV7">
        <v>13</v>
      </c>
      <c r="FW7" s="7" t="s">
        <v>301</v>
      </c>
      <c r="FX7" s="7" t="s">
        <v>292</v>
      </c>
      <c r="FY7">
        <v>7.0350000000000001</v>
      </c>
      <c r="FZ7">
        <v>19.132000000000001</v>
      </c>
      <c r="GA7">
        <v>19.3</v>
      </c>
      <c r="GB7">
        <v>10</v>
      </c>
      <c r="GC7" s="7" t="s">
        <v>291</v>
      </c>
      <c r="GD7" s="7" t="s">
        <v>292</v>
      </c>
      <c r="GE7">
        <v>5.5430000000000001</v>
      </c>
      <c r="GF7">
        <v>15.484999999999999</v>
      </c>
      <c r="GG7">
        <v>15.797000000000001</v>
      </c>
      <c r="GH7">
        <v>8</v>
      </c>
      <c r="GI7" s="7" t="s">
        <v>300</v>
      </c>
      <c r="GJ7" s="7" t="s">
        <v>296</v>
      </c>
      <c r="GK7">
        <v>8.08</v>
      </c>
      <c r="GL7">
        <v>14.439</v>
      </c>
      <c r="GM7">
        <v>14.765000000000001</v>
      </c>
      <c r="GN7">
        <v>9</v>
      </c>
      <c r="GO7" s="7" t="s">
        <v>301</v>
      </c>
      <c r="GP7" s="7" t="s">
        <v>292</v>
      </c>
      <c r="GQ7">
        <v>3.8889999999999998</v>
      </c>
      <c r="GR7">
        <v>12.045999999999999</v>
      </c>
      <c r="GS7">
        <v>12.346</v>
      </c>
      <c r="GT7">
        <v>8</v>
      </c>
      <c r="GU7" s="7" t="s">
        <v>291</v>
      </c>
      <c r="GV7" s="7" t="s">
        <v>292</v>
      </c>
      <c r="GW7">
        <v>2.9340000000000002</v>
      </c>
      <c r="GX7">
        <v>19.864000000000001</v>
      </c>
      <c r="GY7">
        <v>20.178999999999998</v>
      </c>
      <c r="GZ7">
        <v>10</v>
      </c>
      <c r="HA7" s="7" t="s">
        <v>300</v>
      </c>
      <c r="HB7" s="7" t="s">
        <v>292</v>
      </c>
      <c r="HC7">
        <v>4.5359999999999996</v>
      </c>
      <c r="HD7">
        <v>13.382999999999999</v>
      </c>
      <c r="HE7">
        <v>13.6</v>
      </c>
      <c r="HF7">
        <v>8</v>
      </c>
      <c r="HG7" s="7" t="s">
        <v>291</v>
      </c>
      <c r="HH7" s="7" t="s">
        <v>292</v>
      </c>
      <c r="HI7">
        <v>5.0880000000000001</v>
      </c>
      <c r="HJ7">
        <v>26.161999999999999</v>
      </c>
      <c r="HK7">
        <v>26.457000000000001</v>
      </c>
      <c r="HL7">
        <v>12</v>
      </c>
      <c r="HM7" s="7" t="s">
        <v>361</v>
      </c>
      <c r="HN7" s="7" t="s">
        <v>362</v>
      </c>
      <c r="HO7" s="7" t="s">
        <v>363</v>
      </c>
      <c r="HP7" s="7" t="s">
        <v>364</v>
      </c>
      <c r="HQ7" s="7" t="s">
        <v>365</v>
      </c>
      <c r="HR7" s="7" t="s">
        <v>366</v>
      </c>
      <c r="HS7" s="7" t="s">
        <v>367</v>
      </c>
      <c r="HT7" s="7" t="s">
        <v>368</v>
      </c>
      <c r="HU7" s="7" t="s">
        <v>369</v>
      </c>
      <c r="HV7" s="7" t="s">
        <v>370</v>
      </c>
      <c r="HW7" s="7" t="s">
        <v>371</v>
      </c>
      <c r="HX7" s="7" t="s">
        <v>282</v>
      </c>
      <c r="HY7" s="7" t="s">
        <v>312</v>
      </c>
      <c r="HZ7" s="7" t="s">
        <v>372</v>
      </c>
      <c r="IA7" s="7" t="s">
        <v>325</v>
      </c>
      <c r="IB7" s="7" t="s">
        <v>282</v>
      </c>
      <c r="IC7" s="7" t="s">
        <v>282</v>
      </c>
    </row>
    <row r="8" spans="1:237" x14ac:dyDescent="0.2">
      <c r="A8" s="6">
        <v>45744.432719907411</v>
      </c>
      <c r="B8" s="6">
        <v>45744.447222222225</v>
      </c>
      <c r="C8" s="7" t="s">
        <v>240</v>
      </c>
      <c r="D8" s="7" t="s">
        <v>373</v>
      </c>
      <c r="E8">
        <v>100</v>
      </c>
      <c r="F8">
        <v>1253</v>
      </c>
      <c r="G8" s="7" t="s">
        <v>280</v>
      </c>
      <c r="H8" s="6">
        <v>45744.447238715278</v>
      </c>
      <c r="I8" s="7" t="s">
        <v>374</v>
      </c>
      <c r="J8" s="7" t="s">
        <v>282</v>
      </c>
      <c r="K8" s="7" t="s">
        <v>282</v>
      </c>
      <c r="L8" s="7" t="s">
        <v>282</v>
      </c>
      <c r="M8" s="7" t="s">
        <v>282</v>
      </c>
      <c r="N8">
        <v>-37.910800000000002</v>
      </c>
      <c r="O8">
        <v>145.13319999999999</v>
      </c>
      <c r="P8" s="7" t="s">
        <v>283</v>
      </c>
      <c r="Q8" s="7" t="s">
        <v>284</v>
      </c>
      <c r="R8">
        <v>1</v>
      </c>
      <c r="S8" s="7" t="s">
        <v>285</v>
      </c>
      <c r="T8" s="7" t="s">
        <v>285</v>
      </c>
      <c r="U8" s="7" t="s">
        <v>285</v>
      </c>
      <c r="V8" s="7" t="s">
        <v>285</v>
      </c>
      <c r="W8" s="7" t="s">
        <v>286</v>
      </c>
      <c r="X8" s="7" t="s">
        <v>375</v>
      </c>
      <c r="Y8" s="7" t="s">
        <v>288</v>
      </c>
      <c r="Z8" s="7" t="s">
        <v>289</v>
      </c>
      <c r="AA8" s="7" t="s">
        <v>290</v>
      </c>
      <c r="AB8" s="7" t="s">
        <v>329</v>
      </c>
      <c r="AC8" s="7" t="s">
        <v>291</v>
      </c>
      <c r="AD8" s="7" t="s">
        <v>297</v>
      </c>
      <c r="AE8">
        <v>9.1340000000000003</v>
      </c>
      <c r="AF8">
        <v>10.669</v>
      </c>
      <c r="AG8">
        <v>11.289</v>
      </c>
      <c r="AH8">
        <v>2</v>
      </c>
      <c r="AI8" s="7" t="s">
        <v>299</v>
      </c>
      <c r="AJ8" s="7" t="s">
        <v>297</v>
      </c>
      <c r="AK8">
        <v>7.8280000000000003</v>
      </c>
      <c r="AL8">
        <v>14.564</v>
      </c>
      <c r="AM8">
        <v>14.895</v>
      </c>
      <c r="AN8">
        <v>7</v>
      </c>
      <c r="AO8" s="7" t="s">
        <v>299</v>
      </c>
      <c r="AP8" s="7" t="s">
        <v>292</v>
      </c>
      <c r="AQ8">
        <v>9.7360000000000007</v>
      </c>
      <c r="AR8">
        <v>12.384</v>
      </c>
      <c r="AS8">
        <v>13.018000000000001</v>
      </c>
      <c r="AT8">
        <v>2</v>
      </c>
      <c r="AU8" s="7" t="s">
        <v>298</v>
      </c>
      <c r="AV8" s="7" t="s">
        <v>297</v>
      </c>
      <c r="AW8">
        <v>10.225</v>
      </c>
      <c r="AX8">
        <v>12.01</v>
      </c>
      <c r="AY8">
        <v>13.211</v>
      </c>
      <c r="AZ8">
        <v>2</v>
      </c>
      <c r="BA8" s="7" t="s">
        <v>295</v>
      </c>
      <c r="BB8" s="7" t="s">
        <v>297</v>
      </c>
      <c r="BC8">
        <v>12.263</v>
      </c>
      <c r="BD8">
        <v>16.856000000000002</v>
      </c>
      <c r="BE8">
        <v>17.571000000000002</v>
      </c>
      <c r="BF8">
        <v>3</v>
      </c>
      <c r="BG8" s="7" t="s">
        <v>291</v>
      </c>
      <c r="BH8" s="7" t="s">
        <v>297</v>
      </c>
      <c r="BI8">
        <v>9.6649999999999991</v>
      </c>
      <c r="BJ8">
        <v>11.176</v>
      </c>
      <c r="BK8">
        <v>11.9</v>
      </c>
      <c r="BL8">
        <v>2</v>
      </c>
      <c r="BM8" s="7" t="s">
        <v>299</v>
      </c>
      <c r="BN8" s="7" t="s">
        <v>292</v>
      </c>
      <c r="BO8">
        <v>8.6219999999999999</v>
      </c>
      <c r="BP8">
        <v>10.287000000000001</v>
      </c>
      <c r="BQ8">
        <v>12.25</v>
      </c>
      <c r="BR8">
        <v>2</v>
      </c>
      <c r="BS8" s="7" t="s">
        <v>298</v>
      </c>
      <c r="BT8" s="7" t="s">
        <v>330</v>
      </c>
      <c r="BU8">
        <v>24.637</v>
      </c>
      <c r="BV8">
        <v>27.477</v>
      </c>
      <c r="BW8">
        <v>29.117999999999999</v>
      </c>
      <c r="BX8">
        <v>2</v>
      </c>
      <c r="BY8" s="7" t="s">
        <v>295</v>
      </c>
      <c r="BZ8" s="7" t="s">
        <v>330</v>
      </c>
      <c r="CA8">
        <v>8.6419999999999995</v>
      </c>
      <c r="CB8">
        <v>12.106</v>
      </c>
      <c r="CC8">
        <v>13.173999999999999</v>
      </c>
      <c r="CD8">
        <v>2</v>
      </c>
      <c r="CE8" s="7" t="s">
        <v>298</v>
      </c>
      <c r="CF8" s="7" t="s">
        <v>330</v>
      </c>
      <c r="CG8">
        <v>13.819000000000001</v>
      </c>
      <c r="CH8">
        <v>15.715999999999999</v>
      </c>
      <c r="CI8">
        <v>16.542999999999999</v>
      </c>
      <c r="CJ8">
        <v>2</v>
      </c>
      <c r="CK8" s="7" t="s">
        <v>291</v>
      </c>
      <c r="CL8" s="7" t="s">
        <v>292</v>
      </c>
      <c r="CM8">
        <v>5.9039999999999999</v>
      </c>
      <c r="CN8">
        <v>10.321</v>
      </c>
      <c r="CO8">
        <v>10.925000000000001</v>
      </c>
      <c r="CP8">
        <v>4</v>
      </c>
      <c r="CQ8" s="7" t="s">
        <v>299</v>
      </c>
      <c r="CR8" s="7" t="s">
        <v>292</v>
      </c>
      <c r="CS8">
        <v>11.231</v>
      </c>
      <c r="CT8">
        <v>13.76</v>
      </c>
      <c r="CU8">
        <v>14.505000000000001</v>
      </c>
      <c r="CV8">
        <v>2</v>
      </c>
      <c r="CW8" s="7" t="s">
        <v>291</v>
      </c>
      <c r="CX8" s="7" t="s">
        <v>297</v>
      </c>
      <c r="CY8">
        <v>11.045999999999999</v>
      </c>
      <c r="CZ8">
        <v>12.478</v>
      </c>
      <c r="DA8">
        <v>13.177</v>
      </c>
      <c r="DB8">
        <v>2</v>
      </c>
      <c r="DC8" s="7" t="s">
        <v>291</v>
      </c>
      <c r="DD8" s="7" t="s">
        <v>297</v>
      </c>
      <c r="DE8">
        <v>6.6189999999999998</v>
      </c>
      <c r="DF8">
        <v>10.523999999999999</v>
      </c>
      <c r="DG8">
        <v>11.286</v>
      </c>
      <c r="DH8">
        <v>3</v>
      </c>
      <c r="DI8" s="7" t="s">
        <v>298</v>
      </c>
      <c r="DJ8" s="7" t="s">
        <v>292</v>
      </c>
      <c r="DK8">
        <v>7.7270000000000003</v>
      </c>
      <c r="DL8">
        <v>9.4700000000000006</v>
      </c>
      <c r="DM8">
        <v>10.17</v>
      </c>
      <c r="DN8">
        <v>2</v>
      </c>
      <c r="DO8" s="7" t="s">
        <v>291</v>
      </c>
      <c r="DP8" s="7" t="s">
        <v>292</v>
      </c>
      <c r="DQ8">
        <v>11.305</v>
      </c>
      <c r="DR8">
        <v>15.617000000000001</v>
      </c>
      <c r="DS8">
        <v>16.260000000000002</v>
      </c>
      <c r="DT8">
        <v>3</v>
      </c>
      <c r="DU8" s="7" t="s">
        <v>293</v>
      </c>
      <c r="DV8" s="7" t="s">
        <v>297</v>
      </c>
      <c r="DW8">
        <v>9.8539999999999992</v>
      </c>
      <c r="DX8">
        <v>16.190999999999999</v>
      </c>
      <c r="DY8">
        <v>17.907</v>
      </c>
      <c r="DZ8">
        <v>4</v>
      </c>
      <c r="EA8" s="7" t="s">
        <v>291</v>
      </c>
      <c r="EB8" s="7" t="s">
        <v>297</v>
      </c>
      <c r="EC8">
        <v>14.872</v>
      </c>
      <c r="ED8">
        <v>16.831</v>
      </c>
      <c r="EE8">
        <v>17.698</v>
      </c>
      <c r="EF8">
        <v>2</v>
      </c>
      <c r="EG8" s="7" t="s">
        <v>291</v>
      </c>
      <c r="EH8" s="7" t="s">
        <v>297</v>
      </c>
      <c r="EI8">
        <v>9.2439999999999998</v>
      </c>
      <c r="EJ8">
        <v>13.451000000000001</v>
      </c>
      <c r="EK8">
        <v>16.416</v>
      </c>
      <c r="EL8">
        <v>2</v>
      </c>
      <c r="EM8" s="7" t="s">
        <v>298</v>
      </c>
      <c r="EN8" s="7" t="s">
        <v>292</v>
      </c>
      <c r="EO8">
        <v>8.5399999999999991</v>
      </c>
      <c r="EP8">
        <v>11.978999999999999</v>
      </c>
      <c r="EQ8">
        <v>12.981999999999999</v>
      </c>
      <c r="ER8">
        <v>3</v>
      </c>
      <c r="ES8" s="7" t="s">
        <v>291</v>
      </c>
      <c r="ET8" s="7" t="s">
        <v>296</v>
      </c>
      <c r="EU8">
        <v>9.2840000000000007</v>
      </c>
      <c r="EV8">
        <v>10.483000000000001</v>
      </c>
      <c r="EW8">
        <v>11.125999999999999</v>
      </c>
      <c r="EX8">
        <v>2</v>
      </c>
      <c r="EY8" s="7" t="s">
        <v>300</v>
      </c>
      <c r="EZ8" s="7" t="s">
        <v>294</v>
      </c>
      <c r="FA8">
        <v>15.840999999999999</v>
      </c>
      <c r="FB8">
        <v>19.234000000000002</v>
      </c>
      <c r="FC8">
        <v>20.055</v>
      </c>
      <c r="FD8">
        <v>2</v>
      </c>
      <c r="FE8" s="7" t="s">
        <v>301</v>
      </c>
      <c r="FF8" s="7" t="s">
        <v>297</v>
      </c>
      <c r="FG8">
        <v>11.962</v>
      </c>
      <c r="FH8">
        <v>13.978</v>
      </c>
      <c r="FI8">
        <v>16.588999999999999</v>
      </c>
      <c r="FJ8">
        <v>2</v>
      </c>
      <c r="FK8" s="7" t="s">
        <v>291</v>
      </c>
      <c r="FL8" s="7" t="s">
        <v>292</v>
      </c>
      <c r="FM8">
        <v>8.4149999999999991</v>
      </c>
      <c r="FN8">
        <v>11.113</v>
      </c>
      <c r="FO8">
        <v>11.835000000000001</v>
      </c>
      <c r="FP8">
        <v>2</v>
      </c>
      <c r="FQ8" s="7" t="s">
        <v>300</v>
      </c>
      <c r="FR8" s="7" t="s">
        <v>294</v>
      </c>
      <c r="FS8">
        <v>12.327999999999999</v>
      </c>
      <c r="FT8">
        <v>15.71</v>
      </c>
      <c r="FU8">
        <v>16.690999999999999</v>
      </c>
      <c r="FV8">
        <v>2</v>
      </c>
      <c r="FW8" s="7" t="s">
        <v>291</v>
      </c>
      <c r="FX8" s="7" t="s">
        <v>297</v>
      </c>
      <c r="FY8">
        <v>19.489999999999998</v>
      </c>
      <c r="FZ8">
        <v>27.777000000000001</v>
      </c>
      <c r="GA8">
        <v>30.036000000000001</v>
      </c>
      <c r="GB8">
        <v>4</v>
      </c>
      <c r="GC8" s="7" t="s">
        <v>291</v>
      </c>
      <c r="GD8" s="7" t="s">
        <v>296</v>
      </c>
      <c r="GE8">
        <v>9.4350000000000005</v>
      </c>
      <c r="GF8">
        <v>11.172000000000001</v>
      </c>
      <c r="GG8">
        <v>11.718999999999999</v>
      </c>
      <c r="GH8">
        <v>2</v>
      </c>
      <c r="GI8" s="7" t="s">
        <v>300</v>
      </c>
      <c r="GJ8" s="7" t="s">
        <v>296</v>
      </c>
      <c r="GK8">
        <v>11.315</v>
      </c>
      <c r="GL8">
        <v>13.06</v>
      </c>
      <c r="GM8">
        <v>15.957000000000001</v>
      </c>
      <c r="GN8">
        <v>2</v>
      </c>
      <c r="GO8" s="7" t="s">
        <v>291</v>
      </c>
      <c r="GP8" s="7" t="s">
        <v>292</v>
      </c>
      <c r="GQ8">
        <v>12.071</v>
      </c>
      <c r="GR8">
        <v>14.975</v>
      </c>
      <c r="GS8">
        <v>16.259</v>
      </c>
      <c r="GT8">
        <v>2</v>
      </c>
      <c r="GU8" s="7" t="s">
        <v>291</v>
      </c>
      <c r="GV8" s="7" t="s">
        <v>292</v>
      </c>
      <c r="GW8">
        <v>10.43</v>
      </c>
      <c r="GX8">
        <v>12.82</v>
      </c>
      <c r="GY8">
        <v>13.43</v>
      </c>
      <c r="GZ8">
        <v>2</v>
      </c>
      <c r="HA8" s="7" t="s">
        <v>300</v>
      </c>
      <c r="HB8" s="7" t="s">
        <v>296</v>
      </c>
      <c r="HC8">
        <v>8.3469999999999995</v>
      </c>
      <c r="HD8">
        <v>9.5229999999999997</v>
      </c>
      <c r="HE8">
        <v>10.318</v>
      </c>
      <c r="HF8">
        <v>2</v>
      </c>
      <c r="HG8" s="7" t="s">
        <v>291</v>
      </c>
      <c r="HH8" s="7" t="s">
        <v>292</v>
      </c>
      <c r="HI8">
        <v>9.3190000000000008</v>
      </c>
      <c r="HJ8">
        <v>11.528</v>
      </c>
      <c r="HK8">
        <v>12.179</v>
      </c>
      <c r="HL8">
        <v>3</v>
      </c>
      <c r="HM8" s="7" t="s">
        <v>376</v>
      </c>
      <c r="HN8" s="7" t="s">
        <v>377</v>
      </c>
      <c r="HO8" s="7" t="s">
        <v>378</v>
      </c>
      <c r="HP8" s="7" t="s">
        <v>379</v>
      </c>
      <c r="HQ8" s="7" t="s">
        <v>378</v>
      </c>
      <c r="HR8" s="7" t="s">
        <v>380</v>
      </c>
      <c r="HS8" s="7" t="s">
        <v>381</v>
      </c>
      <c r="HT8" s="7" t="s">
        <v>382</v>
      </c>
      <c r="HU8" s="7" t="s">
        <v>383</v>
      </c>
      <c r="HV8" s="7" t="s">
        <v>383</v>
      </c>
      <c r="HW8" s="7" t="s">
        <v>282</v>
      </c>
      <c r="HX8" s="7" t="s">
        <v>384</v>
      </c>
      <c r="HY8" s="7" t="s">
        <v>312</v>
      </c>
      <c r="HZ8" s="7" t="s">
        <v>356</v>
      </c>
      <c r="IA8" s="7" t="s">
        <v>313</v>
      </c>
      <c r="IB8" s="7" t="s">
        <v>282</v>
      </c>
      <c r="IC8" s="7" t="s">
        <v>282</v>
      </c>
    </row>
    <row r="9" spans="1:237" x14ac:dyDescent="0.2">
      <c r="A9" s="6">
        <v>45744.445902777778</v>
      </c>
      <c r="B9" s="6">
        <v>45744.463645833333</v>
      </c>
      <c r="C9" s="7" t="s">
        <v>240</v>
      </c>
      <c r="D9" s="7" t="s">
        <v>385</v>
      </c>
      <c r="E9">
        <v>100</v>
      </c>
      <c r="F9">
        <v>1532</v>
      </c>
      <c r="G9" s="7" t="s">
        <v>280</v>
      </c>
      <c r="H9" s="6">
        <v>45744.463661203707</v>
      </c>
      <c r="I9" s="7" t="s">
        <v>386</v>
      </c>
      <c r="J9" s="7" t="s">
        <v>282</v>
      </c>
      <c r="K9" s="7" t="s">
        <v>282</v>
      </c>
      <c r="L9" s="7" t="s">
        <v>282</v>
      </c>
      <c r="M9" s="7" t="s">
        <v>282</v>
      </c>
      <c r="N9">
        <v>49.8538</v>
      </c>
      <c r="O9">
        <v>-97.290300000000002</v>
      </c>
      <c r="P9" s="7" t="s">
        <v>283</v>
      </c>
      <c r="Q9" s="7" t="s">
        <v>284</v>
      </c>
      <c r="R9">
        <v>0.89999997615814209</v>
      </c>
      <c r="S9" s="7" t="s">
        <v>285</v>
      </c>
      <c r="T9" s="7" t="s">
        <v>285</v>
      </c>
      <c r="U9" s="7" t="s">
        <v>285</v>
      </c>
      <c r="V9" s="7" t="s">
        <v>285</v>
      </c>
      <c r="W9" s="7" t="s">
        <v>387</v>
      </c>
      <c r="X9" s="7" t="s">
        <v>375</v>
      </c>
      <c r="Y9" s="7" t="s">
        <v>288</v>
      </c>
      <c r="Z9" s="7" t="s">
        <v>289</v>
      </c>
      <c r="AA9" s="7" t="s">
        <v>289</v>
      </c>
      <c r="AB9" s="7" t="s">
        <v>289</v>
      </c>
      <c r="AC9" s="7" t="s">
        <v>291</v>
      </c>
      <c r="AD9" s="7" t="s">
        <v>292</v>
      </c>
      <c r="AE9">
        <v>10.128</v>
      </c>
      <c r="AF9">
        <v>14.851000000000001</v>
      </c>
      <c r="AG9">
        <v>16.103000000000002</v>
      </c>
      <c r="AH9">
        <v>3</v>
      </c>
      <c r="AI9" s="7" t="s">
        <v>293</v>
      </c>
      <c r="AJ9" s="7" t="s">
        <v>296</v>
      </c>
      <c r="AK9">
        <v>14.696999999999999</v>
      </c>
      <c r="AL9">
        <v>16.66</v>
      </c>
      <c r="AM9">
        <v>18.23</v>
      </c>
      <c r="AN9">
        <v>2</v>
      </c>
      <c r="AO9" s="7" t="s">
        <v>293</v>
      </c>
      <c r="AP9" s="7" t="s">
        <v>296</v>
      </c>
      <c r="AQ9">
        <v>10.843</v>
      </c>
      <c r="AR9">
        <v>12.917999999999999</v>
      </c>
      <c r="AS9">
        <v>14.625999999999999</v>
      </c>
      <c r="AT9">
        <v>2</v>
      </c>
      <c r="AU9" s="7" t="s">
        <v>298</v>
      </c>
      <c r="AV9" s="7" t="s">
        <v>296</v>
      </c>
      <c r="AW9">
        <v>9.7850000000000001</v>
      </c>
      <c r="AX9">
        <v>13.388</v>
      </c>
      <c r="AY9">
        <v>14.275</v>
      </c>
      <c r="AZ9">
        <v>3</v>
      </c>
      <c r="BA9" s="7" t="s">
        <v>299</v>
      </c>
      <c r="BB9" s="7" t="s">
        <v>296</v>
      </c>
      <c r="BC9">
        <v>28.611000000000001</v>
      </c>
      <c r="BD9">
        <v>32.271999999999998</v>
      </c>
      <c r="BE9">
        <v>34.255000000000003</v>
      </c>
      <c r="BF9">
        <v>2</v>
      </c>
      <c r="BG9" s="7" t="s">
        <v>298</v>
      </c>
      <c r="BH9" s="7" t="s">
        <v>292</v>
      </c>
      <c r="BI9">
        <v>12.701000000000001</v>
      </c>
      <c r="BJ9">
        <v>14.587999999999999</v>
      </c>
      <c r="BK9">
        <v>15.680999999999999</v>
      </c>
      <c r="BL9">
        <v>2</v>
      </c>
      <c r="BM9" s="7" t="s">
        <v>293</v>
      </c>
      <c r="BN9" s="7" t="s">
        <v>296</v>
      </c>
      <c r="BO9">
        <v>11.015000000000001</v>
      </c>
      <c r="BP9">
        <v>13.381</v>
      </c>
      <c r="BQ9">
        <v>14.768000000000001</v>
      </c>
      <c r="BR9">
        <v>2</v>
      </c>
      <c r="BS9" s="7" t="s">
        <v>291</v>
      </c>
      <c r="BT9" s="7" t="s">
        <v>292</v>
      </c>
      <c r="BU9">
        <v>33.142000000000003</v>
      </c>
      <c r="BV9">
        <v>35.35</v>
      </c>
      <c r="BW9">
        <v>37.283000000000001</v>
      </c>
      <c r="BX9">
        <v>2</v>
      </c>
      <c r="BY9" s="7" t="s">
        <v>295</v>
      </c>
      <c r="BZ9" s="7" t="s">
        <v>297</v>
      </c>
      <c r="CA9">
        <v>18.178999999999998</v>
      </c>
      <c r="CB9">
        <v>20.693999999999999</v>
      </c>
      <c r="CC9">
        <v>22.192</v>
      </c>
      <c r="CD9">
        <v>2</v>
      </c>
      <c r="CE9" s="7" t="s">
        <v>298</v>
      </c>
      <c r="CF9" s="7" t="s">
        <v>292</v>
      </c>
      <c r="CG9">
        <v>15.736000000000001</v>
      </c>
      <c r="CH9">
        <v>17.623999999999999</v>
      </c>
      <c r="CI9">
        <v>18.779</v>
      </c>
      <c r="CJ9">
        <v>2</v>
      </c>
      <c r="CK9" s="7" t="s">
        <v>291</v>
      </c>
      <c r="CL9" s="7" t="s">
        <v>296</v>
      </c>
      <c r="CM9">
        <v>8.9510000000000005</v>
      </c>
      <c r="CN9">
        <v>11.086</v>
      </c>
      <c r="CO9">
        <v>11.815</v>
      </c>
      <c r="CP9">
        <v>2</v>
      </c>
      <c r="CQ9" s="7" t="s">
        <v>293</v>
      </c>
      <c r="CR9" s="7" t="s">
        <v>296</v>
      </c>
      <c r="CS9">
        <v>14.05</v>
      </c>
      <c r="CT9">
        <v>15.941000000000001</v>
      </c>
      <c r="CU9">
        <v>17.120999999999999</v>
      </c>
      <c r="CV9">
        <v>2</v>
      </c>
      <c r="CW9" s="7" t="s">
        <v>291</v>
      </c>
      <c r="CX9" s="7" t="s">
        <v>292</v>
      </c>
      <c r="CY9">
        <v>17.821000000000002</v>
      </c>
      <c r="CZ9">
        <v>21.202999999999999</v>
      </c>
      <c r="DA9">
        <v>22.565000000000001</v>
      </c>
      <c r="DB9">
        <v>2</v>
      </c>
      <c r="DC9" s="7" t="s">
        <v>298</v>
      </c>
      <c r="DD9" s="7" t="s">
        <v>296</v>
      </c>
      <c r="DE9">
        <v>11.016</v>
      </c>
      <c r="DF9">
        <v>13.212999999999999</v>
      </c>
      <c r="DG9">
        <v>14.26</v>
      </c>
      <c r="DH9">
        <v>2</v>
      </c>
      <c r="DI9" s="7" t="s">
        <v>291</v>
      </c>
      <c r="DJ9" s="7" t="s">
        <v>296</v>
      </c>
      <c r="DK9">
        <v>11.33</v>
      </c>
      <c r="DL9">
        <v>16.571000000000002</v>
      </c>
      <c r="DM9">
        <v>17.725999999999999</v>
      </c>
      <c r="DN9">
        <v>3</v>
      </c>
      <c r="DO9" s="7" t="s">
        <v>291</v>
      </c>
      <c r="DP9" s="7" t="s">
        <v>294</v>
      </c>
      <c r="DQ9">
        <v>13.278</v>
      </c>
      <c r="DR9">
        <v>20.427</v>
      </c>
      <c r="DS9">
        <v>23.266999999999999</v>
      </c>
      <c r="DT9">
        <v>2</v>
      </c>
      <c r="DU9" s="7" t="s">
        <v>293</v>
      </c>
      <c r="DV9" s="7" t="s">
        <v>296</v>
      </c>
      <c r="DW9">
        <v>26.922999999999998</v>
      </c>
      <c r="DX9">
        <v>31.033000000000001</v>
      </c>
      <c r="DY9">
        <v>31.934999999999999</v>
      </c>
      <c r="DZ9">
        <v>2</v>
      </c>
      <c r="EA9" s="7" t="s">
        <v>299</v>
      </c>
      <c r="EB9" s="7" t="s">
        <v>296</v>
      </c>
      <c r="EC9">
        <v>22.044</v>
      </c>
      <c r="ED9">
        <v>39.094000000000001</v>
      </c>
      <c r="EE9">
        <v>41.238</v>
      </c>
      <c r="EF9">
        <v>3</v>
      </c>
      <c r="EG9" s="7" t="s">
        <v>298</v>
      </c>
      <c r="EH9" s="7" t="s">
        <v>296</v>
      </c>
      <c r="EI9">
        <v>9.2680000000000007</v>
      </c>
      <c r="EJ9">
        <v>12.276999999999999</v>
      </c>
      <c r="EK9">
        <v>13.098000000000001</v>
      </c>
      <c r="EL9">
        <v>2</v>
      </c>
      <c r="EM9" s="7" t="s">
        <v>291</v>
      </c>
      <c r="EN9" s="7" t="s">
        <v>292</v>
      </c>
      <c r="EO9">
        <v>7.6</v>
      </c>
      <c r="EP9">
        <v>10.103999999999999</v>
      </c>
      <c r="EQ9">
        <v>11.66</v>
      </c>
      <c r="ER9">
        <v>2</v>
      </c>
      <c r="ES9" s="7" t="s">
        <v>301</v>
      </c>
      <c r="ET9" s="7" t="s">
        <v>292</v>
      </c>
      <c r="EU9">
        <v>9.0830000000000002</v>
      </c>
      <c r="EV9">
        <v>11.227</v>
      </c>
      <c r="EW9">
        <v>12.358000000000001</v>
      </c>
      <c r="EX9">
        <v>2</v>
      </c>
      <c r="EY9" s="7" t="s">
        <v>300</v>
      </c>
      <c r="EZ9" s="7" t="s">
        <v>292</v>
      </c>
      <c r="FA9">
        <v>11.603999999999999</v>
      </c>
      <c r="FB9">
        <v>13.98</v>
      </c>
      <c r="FC9">
        <v>15.29</v>
      </c>
      <c r="FD9">
        <v>2</v>
      </c>
      <c r="FE9" s="7" t="s">
        <v>301</v>
      </c>
      <c r="FF9" s="7" t="s">
        <v>296</v>
      </c>
      <c r="FG9">
        <v>8.4990000000000006</v>
      </c>
      <c r="FH9">
        <v>11.584</v>
      </c>
      <c r="FI9">
        <v>12.75</v>
      </c>
      <c r="FJ9">
        <v>2</v>
      </c>
      <c r="FK9" s="7" t="s">
        <v>291</v>
      </c>
      <c r="FL9" s="7" t="s">
        <v>296</v>
      </c>
      <c r="FM9">
        <v>19.271000000000001</v>
      </c>
      <c r="FN9">
        <v>22.7</v>
      </c>
      <c r="FO9">
        <v>24.135999999999999</v>
      </c>
      <c r="FP9">
        <v>2</v>
      </c>
      <c r="FQ9" s="7" t="s">
        <v>300</v>
      </c>
      <c r="FR9" s="7" t="s">
        <v>296</v>
      </c>
      <c r="FS9">
        <v>8.7279999999999998</v>
      </c>
      <c r="FT9">
        <v>10.676</v>
      </c>
      <c r="FU9">
        <v>11.858000000000001</v>
      </c>
      <c r="FV9">
        <v>2</v>
      </c>
      <c r="FW9" s="7" t="s">
        <v>301</v>
      </c>
      <c r="FX9" s="7" t="s">
        <v>292</v>
      </c>
      <c r="FY9">
        <v>9.0210000000000008</v>
      </c>
      <c r="FZ9">
        <v>13.268000000000001</v>
      </c>
      <c r="GA9">
        <v>14.321999999999999</v>
      </c>
      <c r="GB9">
        <v>2</v>
      </c>
      <c r="GC9" s="7" t="s">
        <v>301</v>
      </c>
      <c r="GD9" s="7" t="s">
        <v>292</v>
      </c>
      <c r="GE9">
        <v>6.5250000000000004</v>
      </c>
      <c r="GF9">
        <v>10.916</v>
      </c>
      <c r="GG9">
        <v>12.356</v>
      </c>
      <c r="GH9">
        <v>3</v>
      </c>
      <c r="GI9" s="7" t="s">
        <v>300</v>
      </c>
      <c r="GJ9" s="7" t="s">
        <v>296</v>
      </c>
      <c r="GK9">
        <v>7.7190000000000003</v>
      </c>
      <c r="GL9">
        <v>9.2520000000000007</v>
      </c>
      <c r="GM9">
        <v>10.622999999999999</v>
      </c>
      <c r="GN9">
        <v>2</v>
      </c>
      <c r="GO9" s="7" t="s">
        <v>291</v>
      </c>
      <c r="GP9" s="7" t="s">
        <v>296</v>
      </c>
      <c r="GQ9">
        <v>9.032</v>
      </c>
      <c r="GR9">
        <v>10.965</v>
      </c>
      <c r="GS9">
        <v>11.914999999999999</v>
      </c>
      <c r="GT9">
        <v>2</v>
      </c>
      <c r="GU9" s="7" t="s">
        <v>301</v>
      </c>
      <c r="GV9" s="7" t="s">
        <v>292</v>
      </c>
      <c r="GW9">
        <v>12.157</v>
      </c>
      <c r="GX9">
        <v>14.606</v>
      </c>
      <c r="GY9">
        <v>15.502000000000001</v>
      </c>
      <c r="GZ9">
        <v>2</v>
      </c>
      <c r="HA9" s="7" t="s">
        <v>300</v>
      </c>
      <c r="HB9" s="7" t="s">
        <v>296</v>
      </c>
      <c r="HC9">
        <v>11.695</v>
      </c>
      <c r="HD9">
        <v>14.243</v>
      </c>
      <c r="HE9">
        <v>15.375</v>
      </c>
      <c r="HF9">
        <v>2</v>
      </c>
      <c r="HG9" s="7" t="s">
        <v>291</v>
      </c>
      <c r="HH9" s="7" t="s">
        <v>296</v>
      </c>
      <c r="HI9">
        <v>8.14</v>
      </c>
      <c r="HJ9">
        <v>10.866</v>
      </c>
      <c r="HK9">
        <v>11.845000000000001</v>
      </c>
      <c r="HL9">
        <v>2</v>
      </c>
      <c r="HM9" s="7" t="s">
        <v>388</v>
      </c>
      <c r="HN9" s="7" t="s">
        <v>389</v>
      </c>
      <c r="HO9" s="7" t="s">
        <v>390</v>
      </c>
      <c r="HP9" s="7" t="s">
        <v>391</v>
      </c>
      <c r="HQ9" s="7" t="s">
        <v>392</v>
      </c>
      <c r="HR9" s="7" t="s">
        <v>393</v>
      </c>
      <c r="HS9" s="7" t="s">
        <v>394</v>
      </c>
      <c r="HT9" s="7" t="s">
        <v>395</v>
      </c>
      <c r="HU9" s="7" t="s">
        <v>396</v>
      </c>
      <c r="HV9" s="7" t="s">
        <v>397</v>
      </c>
      <c r="HW9" s="7" t="s">
        <v>398</v>
      </c>
      <c r="HX9" s="7" t="s">
        <v>399</v>
      </c>
      <c r="HY9" s="7" t="s">
        <v>312</v>
      </c>
      <c r="HZ9" s="7" t="s">
        <v>372</v>
      </c>
      <c r="IA9" s="7" t="s">
        <v>325</v>
      </c>
      <c r="IB9" s="7" t="s">
        <v>282</v>
      </c>
      <c r="IC9" s="7" t="s">
        <v>282</v>
      </c>
    </row>
    <row r="10" spans="1:237" x14ac:dyDescent="0.2">
      <c r="A10" s="6">
        <v>45744.497210648151</v>
      </c>
      <c r="B10" s="6">
        <v>45744.509791666664</v>
      </c>
      <c r="C10" s="7" t="s">
        <v>240</v>
      </c>
      <c r="D10" s="7" t="s">
        <v>400</v>
      </c>
      <c r="E10">
        <v>100</v>
      </c>
      <c r="F10">
        <v>1087</v>
      </c>
      <c r="G10" s="7" t="s">
        <v>280</v>
      </c>
      <c r="H10" s="6">
        <v>45744.509806643517</v>
      </c>
      <c r="I10" s="7" t="s">
        <v>401</v>
      </c>
      <c r="J10" s="7" t="s">
        <v>282</v>
      </c>
      <c r="K10" s="7" t="s">
        <v>282</v>
      </c>
      <c r="L10" s="7" t="s">
        <v>282</v>
      </c>
      <c r="M10" s="7" t="s">
        <v>282</v>
      </c>
      <c r="N10">
        <v>-37.910800000000002</v>
      </c>
      <c r="O10">
        <v>145.13319999999999</v>
      </c>
      <c r="P10" s="7" t="s">
        <v>283</v>
      </c>
      <c r="Q10" s="7" t="s">
        <v>284</v>
      </c>
      <c r="R10">
        <v>0.89999997615814209</v>
      </c>
      <c r="S10" s="7" t="s">
        <v>285</v>
      </c>
      <c r="T10" s="7" t="s">
        <v>285</v>
      </c>
      <c r="U10" s="7" t="s">
        <v>285</v>
      </c>
      <c r="V10" s="7" t="s">
        <v>285</v>
      </c>
      <c r="W10" s="7" t="s">
        <v>286</v>
      </c>
      <c r="X10" s="7" t="s">
        <v>402</v>
      </c>
      <c r="Y10" s="7" t="s">
        <v>288</v>
      </c>
      <c r="Z10" s="7" t="s">
        <v>317</v>
      </c>
      <c r="AA10" s="7" t="s">
        <v>317</v>
      </c>
      <c r="AB10" s="7" t="s">
        <v>289</v>
      </c>
      <c r="AC10" s="7" t="s">
        <v>291</v>
      </c>
      <c r="AD10" s="7" t="s">
        <v>296</v>
      </c>
      <c r="AE10">
        <v>7.2329999999999997</v>
      </c>
      <c r="AF10">
        <v>9.4320000000000004</v>
      </c>
      <c r="AG10">
        <v>10.089</v>
      </c>
      <c r="AH10">
        <v>2</v>
      </c>
      <c r="AI10" s="7" t="s">
        <v>293</v>
      </c>
      <c r="AJ10" s="7" t="s">
        <v>296</v>
      </c>
      <c r="AK10">
        <v>6.5519999999999996</v>
      </c>
      <c r="AL10">
        <v>8.6880000000000006</v>
      </c>
      <c r="AM10">
        <v>9.7189999999999994</v>
      </c>
      <c r="AN10">
        <v>2</v>
      </c>
      <c r="AO10" s="7" t="s">
        <v>293</v>
      </c>
      <c r="AP10" s="7" t="s">
        <v>296</v>
      </c>
      <c r="AQ10">
        <v>8.1620000000000008</v>
      </c>
      <c r="AR10">
        <v>11.227</v>
      </c>
      <c r="AS10">
        <v>11.89</v>
      </c>
      <c r="AT10">
        <v>2</v>
      </c>
      <c r="AU10" s="7" t="s">
        <v>295</v>
      </c>
      <c r="AV10" s="7" t="s">
        <v>296</v>
      </c>
      <c r="AW10">
        <v>5.694</v>
      </c>
      <c r="AX10">
        <v>8.8309999999999995</v>
      </c>
      <c r="AY10">
        <v>10.268000000000001</v>
      </c>
      <c r="AZ10">
        <v>2</v>
      </c>
      <c r="BA10" s="7" t="s">
        <v>299</v>
      </c>
      <c r="BB10" s="7" t="s">
        <v>296</v>
      </c>
      <c r="BC10">
        <v>13.343999999999999</v>
      </c>
      <c r="BD10">
        <v>21.927</v>
      </c>
      <c r="BE10">
        <v>22.655000000000001</v>
      </c>
      <c r="BF10">
        <v>4</v>
      </c>
      <c r="BG10" s="7" t="s">
        <v>291</v>
      </c>
      <c r="BH10" s="7" t="s">
        <v>296</v>
      </c>
      <c r="BI10">
        <v>5.7089999999999996</v>
      </c>
      <c r="BJ10">
        <v>7.093</v>
      </c>
      <c r="BK10">
        <v>8.7729999999999997</v>
      </c>
      <c r="BL10">
        <v>2</v>
      </c>
      <c r="BM10" s="7" t="s">
        <v>293</v>
      </c>
      <c r="BN10" s="7" t="s">
        <v>296</v>
      </c>
      <c r="BO10">
        <v>7.077</v>
      </c>
      <c r="BP10">
        <v>13.436999999999999</v>
      </c>
      <c r="BQ10">
        <v>14.366</v>
      </c>
      <c r="BR10">
        <v>2</v>
      </c>
      <c r="BS10" s="7" t="s">
        <v>298</v>
      </c>
      <c r="BT10" s="7" t="s">
        <v>292</v>
      </c>
      <c r="BU10">
        <v>35.619</v>
      </c>
      <c r="BV10">
        <v>37.579000000000001</v>
      </c>
      <c r="BW10">
        <v>38.218000000000004</v>
      </c>
      <c r="BX10">
        <v>2</v>
      </c>
      <c r="BY10" s="7" t="s">
        <v>299</v>
      </c>
      <c r="BZ10" s="7" t="s">
        <v>296</v>
      </c>
      <c r="CA10">
        <v>8.702</v>
      </c>
      <c r="CB10">
        <v>10.917999999999999</v>
      </c>
      <c r="CC10">
        <v>13.468999999999999</v>
      </c>
      <c r="CD10">
        <v>3</v>
      </c>
      <c r="CE10" s="7" t="s">
        <v>298</v>
      </c>
      <c r="CF10" s="7" t="s">
        <v>292</v>
      </c>
      <c r="CG10">
        <v>14.186999999999999</v>
      </c>
      <c r="CH10">
        <v>15.866</v>
      </c>
      <c r="CI10">
        <v>16.745000000000001</v>
      </c>
      <c r="CJ10">
        <v>2</v>
      </c>
      <c r="CK10" s="7" t="s">
        <v>291</v>
      </c>
      <c r="CL10" s="7" t="s">
        <v>296</v>
      </c>
      <c r="CM10">
        <v>6.3620000000000001</v>
      </c>
      <c r="CN10">
        <v>10.994</v>
      </c>
      <c r="CO10">
        <v>11.77</v>
      </c>
      <c r="CP10">
        <v>2</v>
      </c>
      <c r="CQ10" s="7" t="s">
        <v>299</v>
      </c>
      <c r="CR10" s="7" t="s">
        <v>296</v>
      </c>
      <c r="CS10">
        <v>8.1020000000000003</v>
      </c>
      <c r="CT10">
        <v>11.71</v>
      </c>
      <c r="CU10">
        <v>12.478</v>
      </c>
      <c r="CV10">
        <v>2</v>
      </c>
      <c r="CW10" s="7" t="s">
        <v>282</v>
      </c>
      <c r="CX10" s="7" t="s">
        <v>292</v>
      </c>
      <c r="CY10">
        <v>20.57</v>
      </c>
      <c r="CZ10">
        <v>22.562000000000001</v>
      </c>
      <c r="DA10">
        <v>24.355</v>
      </c>
      <c r="DB10">
        <v>2</v>
      </c>
      <c r="DC10" s="7" t="s">
        <v>291</v>
      </c>
      <c r="DD10" s="7" t="s">
        <v>292</v>
      </c>
      <c r="DE10">
        <v>37.871000000000002</v>
      </c>
      <c r="DF10">
        <v>51.151000000000003</v>
      </c>
      <c r="DG10">
        <v>51.765999999999998</v>
      </c>
      <c r="DH10">
        <v>4</v>
      </c>
      <c r="DI10" s="7" t="s">
        <v>299</v>
      </c>
      <c r="DJ10" s="7" t="s">
        <v>292</v>
      </c>
      <c r="DK10">
        <v>15.581</v>
      </c>
      <c r="DL10">
        <v>19.013000000000002</v>
      </c>
      <c r="DM10">
        <v>19.652999999999999</v>
      </c>
      <c r="DN10">
        <v>3</v>
      </c>
      <c r="DO10" s="7" t="s">
        <v>291</v>
      </c>
      <c r="DP10" s="7" t="s">
        <v>296</v>
      </c>
      <c r="DQ10">
        <v>5.6379999999999999</v>
      </c>
      <c r="DR10">
        <v>7.0460000000000003</v>
      </c>
      <c r="DS10">
        <v>8.7490000000000006</v>
      </c>
      <c r="DT10">
        <v>2</v>
      </c>
      <c r="DU10" s="7" t="s">
        <v>293</v>
      </c>
      <c r="DV10" s="7" t="s">
        <v>296</v>
      </c>
      <c r="DW10">
        <v>12.22</v>
      </c>
      <c r="DX10">
        <v>14.635999999999999</v>
      </c>
      <c r="DY10">
        <v>15.179</v>
      </c>
      <c r="DZ10">
        <v>2</v>
      </c>
      <c r="EA10" s="7" t="s">
        <v>299</v>
      </c>
      <c r="EB10" s="7" t="s">
        <v>296</v>
      </c>
      <c r="EC10">
        <v>15.935</v>
      </c>
      <c r="ED10">
        <v>23.670999999999999</v>
      </c>
      <c r="EE10">
        <v>24.27</v>
      </c>
      <c r="EF10">
        <v>2</v>
      </c>
      <c r="EG10" s="7" t="s">
        <v>291</v>
      </c>
      <c r="EH10" s="7" t="s">
        <v>296</v>
      </c>
      <c r="EI10">
        <v>7.351</v>
      </c>
      <c r="EJ10">
        <v>8.9350000000000005</v>
      </c>
      <c r="EK10">
        <v>9.5350000000000001</v>
      </c>
      <c r="EL10">
        <v>2</v>
      </c>
      <c r="EM10" s="7" t="s">
        <v>299</v>
      </c>
      <c r="EN10" s="7" t="s">
        <v>292</v>
      </c>
      <c r="EO10">
        <v>8.7370000000000001</v>
      </c>
      <c r="EP10">
        <v>15.593</v>
      </c>
      <c r="EQ10">
        <v>16.344999999999999</v>
      </c>
      <c r="ER10">
        <v>3</v>
      </c>
      <c r="ES10" s="7" t="s">
        <v>291</v>
      </c>
      <c r="ET10" s="7" t="s">
        <v>296</v>
      </c>
      <c r="EU10">
        <v>10.067</v>
      </c>
      <c r="EV10">
        <v>12.579000000000001</v>
      </c>
      <c r="EW10">
        <v>13.494</v>
      </c>
      <c r="EX10">
        <v>2</v>
      </c>
      <c r="EY10" s="7" t="s">
        <v>300</v>
      </c>
      <c r="EZ10" s="7" t="s">
        <v>296</v>
      </c>
      <c r="FA10">
        <v>11.037000000000001</v>
      </c>
      <c r="FB10">
        <v>13.532999999999999</v>
      </c>
      <c r="FC10">
        <v>14.141</v>
      </c>
      <c r="FD10">
        <v>2</v>
      </c>
      <c r="FE10" s="7" t="s">
        <v>301</v>
      </c>
      <c r="FF10" s="7" t="s">
        <v>296</v>
      </c>
      <c r="FG10">
        <v>18.413</v>
      </c>
      <c r="FH10">
        <v>50.204999999999998</v>
      </c>
      <c r="FI10">
        <v>50.923999999999999</v>
      </c>
      <c r="FJ10">
        <v>3</v>
      </c>
      <c r="FK10" s="7" t="s">
        <v>301</v>
      </c>
      <c r="FL10" s="7" t="s">
        <v>292</v>
      </c>
      <c r="FM10">
        <v>14.747</v>
      </c>
      <c r="FN10">
        <v>17.363</v>
      </c>
      <c r="FO10">
        <v>18.033999999999999</v>
      </c>
      <c r="FP10">
        <v>4</v>
      </c>
      <c r="FQ10" s="7" t="s">
        <v>300</v>
      </c>
      <c r="FR10" s="7" t="s">
        <v>292</v>
      </c>
      <c r="FS10">
        <v>24.128</v>
      </c>
      <c r="FT10">
        <v>35.44</v>
      </c>
      <c r="FU10">
        <v>36.064</v>
      </c>
      <c r="FV10">
        <v>5</v>
      </c>
      <c r="FW10" s="7" t="s">
        <v>301</v>
      </c>
      <c r="FX10" s="7" t="s">
        <v>296</v>
      </c>
      <c r="FY10">
        <v>10.114000000000001</v>
      </c>
      <c r="FZ10">
        <v>13.644</v>
      </c>
      <c r="GA10">
        <v>13.865</v>
      </c>
      <c r="GB10">
        <v>3</v>
      </c>
      <c r="GC10" s="7" t="s">
        <v>301</v>
      </c>
      <c r="GD10" s="7" t="s">
        <v>296</v>
      </c>
      <c r="GE10">
        <v>8.4369999999999994</v>
      </c>
      <c r="GF10">
        <v>14.093</v>
      </c>
      <c r="GG10">
        <v>15.228999999999999</v>
      </c>
      <c r="GH10">
        <v>2</v>
      </c>
      <c r="GI10" s="7" t="s">
        <v>300</v>
      </c>
      <c r="GJ10" s="7" t="s">
        <v>296</v>
      </c>
      <c r="GK10">
        <v>6.1390000000000002</v>
      </c>
      <c r="GL10">
        <v>8.8109999999999999</v>
      </c>
      <c r="GM10">
        <v>9.1470000000000002</v>
      </c>
      <c r="GN10">
        <v>3</v>
      </c>
      <c r="GO10" s="7" t="s">
        <v>301</v>
      </c>
      <c r="GP10" s="7" t="s">
        <v>296</v>
      </c>
      <c r="GQ10">
        <v>18.027999999999999</v>
      </c>
      <c r="GR10">
        <v>20.196000000000002</v>
      </c>
      <c r="GS10">
        <v>20.827000000000002</v>
      </c>
      <c r="GT10">
        <v>2</v>
      </c>
      <c r="GU10" s="7" t="s">
        <v>291</v>
      </c>
      <c r="GV10" s="7" t="s">
        <v>296</v>
      </c>
      <c r="GW10">
        <v>8.5950000000000006</v>
      </c>
      <c r="GX10">
        <v>10.851000000000001</v>
      </c>
      <c r="GY10">
        <v>11.673</v>
      </c>
      <c r="GZ10">
        <v>2</v>
      </c>
      <c r="HA10" s="7" t="s">
        <v>300</v>
      </c>
      <c r="HB10" s="7" t="s">
        <v>296</v>
      </c>
      <c r="HC10">
        <v>10.079000000000001</v>
      </c>
      <c r="HD10">
        <v>12.999000000000001</v>
      </c>
      <c r="HE10">
        <v>13.727</v>
      </c>
      <c r="HF10">
        <v>2</v>
      </c>
      <c r="HG10" s="7" t="s">
        <v>301</v>
      </c>
      <c r="HH10" s="7" t="s">
        <v>292</v>
      </c>
      <c r="HI10">
        <v>12.609</v>
      </c>
      <c r="HJ10">
        <v>22.024999999999999</v>
      </c>
      <c r="HK10">
        <v>22.68</v>
      </c>
      <c r="HL10">
        <v>3</v>
      </c>
      <c r="HM10" s="7" t="s">
        <v>403</v>
      </c>
      <c r="HN10" s="7" t="s">
        <v>404</v>
      </c>
      <c r="HO10" s="7" t="s">
        <v>405</v>
      </c>
      <c r="HP10" s="7" t="s">
        <v>405</v>
      </c>
      <c r="HQ10" s="7" t="s">
        <v>406</v>
      </c>
      <c r="HR10" s="7" t="s">
        <v>406</v>
      </c>
      <c r="HS10" s="7" t="s">
        <v>407</v>
      </c>
      <c r="HT10" s="7" t="s">
        <v>408</v>
      </c>
      <c r="HU10" s="7" t="s">
        <v>409</v>
      </c>
      <c r="HV10" s="7" t="s">
        <v>409</v>
      </c>
      <c r="HW10" s="7" t="s">
        <v>282</v>
      </c>
      <c r="HX10" s="7" t="s">
        <v>282</v>
      </c>
      <c r="HY10" s="7" t="s">
        <v>312</v>
      </c>
      <c r="HZ10" s="7" t="s">
        <v>356</v>
      </c>
      <c r="IA10" s="7" t="s">
        <v>313</v>
      </c>
      <c r="IB10" s="7" t="s">
        <v>282</v>
      </c>
      <c r="IC10" s="7" t="s">
        <v>282</v>
      </c>
    </row>
    <row r="11" spans="1:237" x14ac:dyDescent="0.2">
      <c r="A11" s="6">
        <v>45744.538472222222</v>
      </c>
      <c r="B11" s="6">
        <v>45744.563854166663</v>
      </c>
      <c r="C11" s="7" t="s">
        <v>240</v>
      </c>
      <c r="D11" s="7" t="s">
        <v>410</v>
      </c>
      <c r="E11">
        <v>100</v>
      </c>
      <c r="F11">
        <v>2192</v>
      </c>
      <c r="G11" s="7" t="s">
        <v>280</v>
      </c>
      <c r="H11" s="6">
        <v>45744.563861180555</v>
      </c>
      <c r="I11" s="7" t="s">
        <v>411</v>
      </c>
      <c r="J11" s="7" t="s">
        <v>282</v>
      </c>
      <c r="K11" s="7" t="s">
        <v>282</v>
      </c>
      <c r="L11" s="7" t="s">
        <v>282</v>
      </c>
      <c r="M11" s="7" t="s">
        <v>282</v>
      </c>
      <c r="N11">
        <v>51.092700000000001</v>
      </c>
      <c r="O11">
        <v>-114.2017</v>
      </c>
      <c r="P11" s="7" t="s">
        <v>283</v>
      </c>
      <c r="Q11" s="7" t="s">
        <v>284</v>
      </c>
      <c r="R11">
        <v>1</v>
      </c>
      <c r="S11" s="7" t="s">
        <v>285</v>
      </c>
      <c r="T11" s="7" t="s">
        <v>285</v>
      </c>
      <c r="U11" s="7" t="s">
        <v>285</v>
      </c>
      <c r="V11" s="7" t="s">
        <v>285</v>
      </c>
      <c r="W11" s="7" t="s">
        <v>412</v>
      </c>
      <c r="X11" s="7" t="s">
        <v>375</v>
      </c>
      <c r="Y11" s="7" t="s">
        <v>288</v>
      </c>
      <c r="Z11" s="7" t="s">
        <v>289</v>
      </c>
      <c r="AA11" s="7" t="s">
        <v>329</v>
      </c>
      <c r="AB11" s="7" t="s">
        <v>317</v>
      </c>
      <c r="AC11" s="7" t="s">
        <v>291</v>
      </c>
      <c r="AD11" s="7" t="s">
        <v>296</v>
      </c>
      <c r="AE11">
        <v>6.7690000000000001</v>
      </c>
      <c r="AF11">
        <v>9.0609999999999999</v>
      </c>
      <c r="AG11">
        <v>9.7469999999999999</v>
      </c>
      <c r="AH11">
        <v>2</v>
      </c>
      <c r="AI11" s="7" t="s">
        <v>293</v>
      </c>
      <c r="AJ11" s="7" t="s">
        <v>296</v>
      </c>
      <c r="AK11">
        <v>6.7</v>
      </c>
      <c r="AL11">
        <v>7.8760000000000003</v>
      </c>
      <c r="AM11">
        <v>8.8930000000000007</v>
      </c>
      <c r="AN11">
        <v>2</v>
      </c>
      <c r="AO11" s="7" t="s">
        <v>293</v>
      </c>
      <c r="AP11" s="7" t="s">
        <v>296</v>
      </c>
      <c r="AQ11">
        <v>17.899999999999999</v>
      </c>
      <c r="AR11">
        <v>37.317</v>
      </c>
      <c r="AS11">
        <v>38.101999999999997</v>
      </c>
      <c r="AT11">
        <v>2</v>
      </c>
      <c r="AU11" s="7" t="s">
        <v>295</v>
      </c>
      <c r="AV11" s="7" t="s">
        <v>296</v>
      </c>
      <c r="AW11">
        <v>4.8869999999999996</v>
      </c>
      <c r="AX11">
        <v>7.6689999999999996</v>
      </c>
      <c r="AY11">
        <v>9.2309999999999999</v>
      </c>
      <c r="AZ11">
        <v>2</v>
      </c>
      <c r="BA11" s="7" t="s">
        <v>295</v>
      </c>
      <c r="BB11" s="7" t="s">
        <v>296</v>
      </c>
      <c r="BC11">
        <v>9.0370000000000008</v>
      </c>
      <c r="BD11">
        <v>11.382999999999999</v>
      </c>
      <c r="BE11">
        <v>12.805</v>
      </c>
      <c r="BF11">
        <v>3</v>
      </c>
      <c r="BG11" s="7" t="s">
        <v>291</v>
      </c>
      <c r="BH11" s="7" t="s">
        <v>296</v>
      </c>
      <c r="BI11">
        <v>8.3010000000000002</v>
      </c>
      <c r="BJ11">
        <v>10.821</v>
      </c>
      <c r="BK11">
        <v>11.42</v>
      </c>
      <c r="BL11">
        <v>2</v>
      </c>
      <c r="BM11" s="7" t="s">
        <v>293</v>
      </c>
      <c r="BN11" s="7" t="s">
        <v>296</v>
      </c>
      <c r="BO11">
        <v>7.0949999999999998</v>
      </c>
      <c r="BP11">
        <v>11.548999999999999</v>
      </c>
      <c r="BQ11">
        <v>12.167999999999999</v>
      </c>
      <c r="BR11">
        <v>3</v>
      </c>
      <c r="BS11" s="7" t="s">
        <v>291</v>
      </c>
      <c r="BT11" s="7" t="s">
        <v>296</v>
      </c>
      <c r="BU11">
        <v>10.9</v>
      </c>
      <c r="BV11">
        <v>15.481999999999999</v>
      </c>
      <c r="BW11">
        <v>16.135000000000002</v>
      </c>
      <c r="BX11">
        <v>2</v>
      </c>
      <c r="BY11" s="7" t="s">
        <v>295</v>
      </c>
      <c r="BZ11" s="7" t="s">
        <v>296</v>
      </c>
      <c r="CA11">
        <v>9.202</v>
      </c>
      <c r="CB11">
        <v>11.654</v>
      </c>
      <c r="CC11">
        <v>12.372999999999999</v>
      </c>
      <c r="CD11">
        <v>2</v>
      </c>
      <c r="CE11" s="7" t="s">
        <v>298</v>
      </c>
      <c r="CF11" s="7" t="s">
        <v>296</v>
      </c>
      <c r="CG11">
        <v>5.577</v>
      </c>
      <c r="CH11">
        <v>6.5510000000000002</v>
      </c>
      <c r="CI11">
        <v>8.8409999999999993</v>
      </c>
      <c r="CJ11">
        <v>2</v>
      </c>
      <c r="CK11" s="7" t="s">
        <v>291</v>
      </c>
      <c r="CL11" s="7" t="s">
        <v>296</v>
      </c>
      <c r="CM11">
        <v>1.8169999999999999</v>
      </c>
      <c r="CN11">
        <v>38.979999999999997</v>
      </c>
      <c r="CO11">
        <v>39.603999999999999</v>
      </c>
      <c r="CP11">
        <v>4</v>
      </c>
      <c r="CQ11" s="7" t="s">
        <v>293</v>
      </c>
      <c r="CR11" s="7" t="s">
        <v>296</v>
      </c>
      <c r="CS11">
        <v>8.6809999999999992</v>
      </c>
      <c r="CT11">
        <v>12.849</v>
      </c>
      <c r="CU11">
        <v>13.754</v>
      </c>
      <c r="CV11">
        <v>2</v>
      </c>
      <c r="CW11" s="7" t="s">
        <v>291</v>
      </c>
      <c r="CX11" s="7" t="s">
        <v>296</v>
      </c>
      <c r="CY11">
        <v>6.016</v>
      </c>
      <c r="CZ11">
        <v>9.0150000000000006</v>
      </c>
      <c r="DA11">
        <v>9.67</v>
      </c>
      <c r="DB11">
        <v>2</v>
      </c>
      <c r="DC11" s="7" t="s">
        <v>295</v>
      </c>
      <c r="DD11" s="7" t="s">
        <v>297</v>
      </c>
      <c r="DE11">
        <v>16.622</v>
      </c>
      <c r="DF11">
        <v>25.016999999999999</v>
      </c>
      <c r="DG11">
        <v>25.66</v>
      </c>
      <c r="DH11">
        <v>3</v>
      </c>
      <c r="DI11" s="7" t="s">
        <v>298</v>
      </c>
      <c r="DJ11" s="7" t="s">
        <v>296</v>
      </c>
      <c r="DK11">
        <v>27.128</v>
      </c>
      <c r="DL11">
        <v>29.841999999999999</v>
      </c>
      <c r="DM11">
        <v>38.835000000000001</v>
      </c>
      <c r="DN11">
        <v>2</v>
      </c>
      <c r="DO11" s="7" t="s">
        <v>291</v>
      </c>
      <c r="DP11" s="7" t="s">
        <v>296</v>
      </c>
      <c r="DQ11">
        <v>6.8040000000000003</v>
      </c>
      <c r="DR11">
        <v>10.113</v>
      </c>
      <c r="DS11">
        <v>10.536</v>
      </c>
      <c r="DT11">
        <v>2</v>
      </c>
      <c r="DU11" s="7" t="s">
        <v>293</v>
      </c>
      <c r="DV11" s="7" t="s">
        <v>296</v>
      </c>
      <c r="DW11">
        <v>13.647</v>
      </c>
      <c r="DX11">
        <v>42.213000000000001</v>
      </c>
      <c r="DY11">
        <v>44.372999999999998</v>
      </c>
      <c r="DZ11">
        <v>2</v>
      </c>
      <c r="EA11" s="7" t="s">
        <v>299</v>
      </c>
      <c r="EB11" s="7" t="s">
        <v>296</v>
      </c>
      <c r="EC11">
        <v>9.9380000000000006</v>
      </c>
      <c r="ED11">
        <v>12.624000000000001</v>
      </c>
      <c r="EE11">
        <v>15.429</v>
      </c>
      <c r="EF11">
        <v>2</v>
      </c>
      <c r="EG11" s="7" t="s">
        <v>295</v>
      </c>
      <c r="EH11" s="7" t="s">
        <v>296</v>
      </c>
      <c r="EI11">
        <v>10.641</v>
      </c>
      <c r="EJ11">
        <v>39.533999999999999</v>
      </c>
      <c r="EK11">
        <v>40.393999999999998</v>
      </c>
      <c r="EL11">
        <v>3</v>
      </c>
      <c r="EM11" s="7" t="s">
        <v>298</v>
      </c>
      <c r="EN11" s="7" t="s">
        <v>296</v>
      </c>
      <c r="EO11">
        <v>8.5340000000000007</v>
      </c>
      <c r="EP11">
        <v>9.1929999999999996</v>
      </c>
      <c r="EQ11">
        <v>10.09</v>
      </c>
      <c r="ER11">
        <v>2</v>
      </c>
      <c r="ES11" s="7" t="s">
        <v>291</v>
      </c>
      <c r="ET11" s="7" t="s">
        <v>296</v>
      </c>
      <c r="EU11">
        <v>4.242</v>
      </c>
      <c r="EV11">
        <v>10.385999999999999</v>
      </c>
      <c r="EW11">
        <v>10.773</v>
      </c>
      <c r="EX11">
        <v>3</v>
      </c>
      <c r="EY11" s="7" t="s">
        <v>300</v>
      </c>
      <c r="EZ11" s="7" t="s">
        <v>296</v>
      </c>
      <c r="FA11">
        <v>4.9580000000000002</v>
      </c>
      <c r="FB11">
        <v>10.432</v>
      </c>
      <c r="FC11">
        <v>11.081</v>
      </c>
      <c r="FD11">
        <v>2</v>
      </c>
      <c r="FE11" s="7" t="s">
        <v>301</v>
      </c>
      <c r="FF11" s="7" t="s">
        <v>296</v>
      </c>
      <c r="FG11">
        <v>7.0679999999999996</v>
      </c>
      <c r="FH11">
        <v>13.494999999999999</v>
      </c>
      <c r="FI11">
        <v>16.448</v>
      </c>
      <c r="FJ11">
        <v>3</v>
      </c>
      <c r="FK11" s="7" t="s">
        <v>291</v>
      </c>
      <c r="FL11" s="7" t="s">
        <v>296</v>
      </c>
      <c r="FM11">
        <v>4.7779999999999996</v>
      </c>
      <c r="FN11">
        <v>7.758</v>
      </c>
      <c r="FO11">
        <v>8.7810000000000006</v>
      </c>
      <c r="FP11">
        <v>2</v>
      </c>
      <c r="FQ11" s="7" t="s">
        <v>301</v>
      </c>
      <c r="FR11" s="7" t="s">
        <v>292</v>
      </c>
      <c r="FS11">
        <v>19.030999999999999</v>
      </c>
      <c r="FT11">
        <v>21.965</v>
      </c>
      <c r="FU11">
        <v>23.949000000000002</v>
      </c>
      <c r="FV11">
        <v>2</v>
      </c>
      <c r="FW11" s="7" t="s">
        <v>301</v>
      </c>
      <c r="FX11" s="7" t="s">
        <v>296</v>
      </c>
      <c r="FY11">
        <v>5.4539999999999997</v>
      </c>
      <c r="FZ11">
        <v>11.368</v>
      </c>
      <c r="GA11">
        <v>12.233000000000001</v>
      </c>
      <c r="GB11">
        <v>2</v>
      </c>
      <c r="GC11" s="7" t="s">
        <v>291</v>
      </c>
      <c r="GD11" s="7" t="s">
        <v>296</v>
      </c>
      <c r="GE11">
        <v>5.1970000000000001</v>
      </c>
      <c r="GF11">
        <v>11.425000000000001</v>
      </c>
      <c r="GG11">
        <v>12.129</v>
      </c>
      <c r="GH11">
        <v>2</v>
      </c>
      <c r="GI11" s="7" t="s">
        <v>301</v>
      </c>
      <c r="GJ11" s="7" t="s">
        <v>296</v>
      </c>
      <c r="GK11">
        <v>15.567</v>
      </c>
      <c r="GL11">
        <v>18.562999999999999</v>
      </c>
      <c r="GM11">
        <v>19.736000000000001</v>
      </c>
      <c r="GN11">
        <v>3</v>
      </c>
      <c r="GO11" s="7" t="s">
        <v>301</v>
      </c>
      <c r="GP11" s="7" t="s">
        <v>296</v>
      </c>
      <c r="GQ11">
        <v>6.6959999999999997</v>
      </c>
      <c r="GR11">
        <v>9.5380000000000003</v>
      </c>
      <c r="GS11">
        <v>10.205</v>
      </c>
      <c r="GT11">
        <v>2</v>
      </c>
      <c r="GU11" s="7" t="s">
        <v>291</v>
      </c>
      <c r="GV11" s="7" t="s">
        <v>296</v>
      </c>
      <c r="GW11">
        <v>4.6340000000000003</v>
      </c>
      <c r="GX11">
        <v>11.631</v>
      </c>
      <c r="GY11">
        <v>20.167000000000002</v>
      </c>
      <c r="GZ11">
        <v>2</v>
      </c>
      <c r="HA11" s="7" t="s">
        <v>300</v>
      </c>
      <c r="HB11" s="7" t="s">
        <v>296</v>
      </c>
      <c r="HC11">
        <v>6.5750000000000002</v>
      </c>
      <c r="HD11">
        <v>8.7949999999999999</v>
      </c>
      <c r="HE11">
        <v>9.4420000000000002</v>
      </c>
      <c r="HF11">
        <v>2</v>
      </c>
      <c r="HG11" s="7" t="s">
        <v>282</v>
      </c>
      <c r="HH11" s="7" t="s">
        <v>296</v>
      </c>
      <c r="HI11">
        <v>15.053000000000001</v>
      </c>
      <c r="HJ11">
        <v>16.094000000000001</v>
      </c>
      <c r="HK11">
        <v>16.873999999999999</v>
      </c>
      <c r="HL11">
        <v>2</v>
      </c>
      <c r="HM11" s="7" t="s">
        <v>413</v>
      </c>
      <c r="HN11" s="7" t="s">
        <v>414</v>
      </c>
      <c r="HO11" s="7" t="s">
        <v>415</v>
      </c>
      <c r="HP11" s="7" t="s">
        <v>416</v>
      </c>
      <c r="HQ11" s="7" t="s">
        <v>417</v>
      </c>
      <c r="HR11" s="7" t="s">
        <v>418</v>
      </c>
      <c r="HS11" s="7" t="s">
        <v>419</v>
      </c>
      <c r="HT11" s="7" t="s">
        <v>420</v>
      </c>
      <c r="HU11" s="7" t="s">
        <v>421</v>
      </c>
      <c r="HV11" s="7" t="s">
        <v>422</v>
      </c>
      <c r="HW11" s="7" t="s">
        <v>423</v>
      </c>
      <c r="HX11" s="7" t="s">
        <v>424</v>
      </c>
      <c r="HY11" s="7" t="s">
        <v>312</v>
      </c>
      <c r="HZ11" s="7" t="s">
        <v>372</v>
      </c>
      <c r="IA11" s="7" t="s">
        <v>325</v>
      </c>
      <c r="IB11" s="7" t="s">
        <v>282</v>
      </c>
      <c r="IC11" s="7" t="s">
        <v>282</v>
      </c>
    </row>
    <row r="12" spans="1:237" x14ac:dyDescent="0.2">
      <c r="A12" s="6">
        <v>45744.651562500003</v>
      </c>
      <c r="B12" s="6">
        <v>45744.658229166664</v>
      </c>
      <c r="C12" s="7" t="s">
        <v>240</v>
      </c>
      <c r="D12" s="7" t="s">
        <v>425</v>
      </c>
      <c r="E12">
        <v>100</v>
      </c>
      <c r="F12">
        <v>576</v>
      </c>
      <c r="G12" s="7" t="s">
        <v>280</v>
      </c>
      <c r="H12" s="6">
        <v>45744.658238703705</v>
      </c>
      <c r="I12" s="7" t="s">
        <v>426</v>
      </c>
      <c r="J12" s="7" t="s">
        <v>282</v>
      </c>
      <c r="K12" s="7" t="s">
        <v>282</v>
      </c>
      <c r="L12" s="7" t="s">
        <v>282</v>
      </c>
      <c r="M12" s="7" t="s">
        <v>282</v>
      </c>
      <c r="N12">
        <v>-37.8964</v>
      </c>
      <c r="O12">
        <v>145.07990000000001</v>
      </c>
      <c r="P12" s="7" t="s">
        <v>283</v>
      </c>
      <c r="Q12" s="7" t="s">
        <v>284</v>
      </c>
      <c r="R12">
        <v>0.89999997615814209</v>
      </c>
      <c r="S12" s="7" t="s">
        <v>285</v>
      </c>
      <c r="T12" s="7" t="s">
        <v>285</v>
      </c>
      <c r="U12" s="7" t="s">
        <v>285</v>
      </c>
      <c r="V12" s="7" t="s">
        <v>285</v>
      </c>
      <c r="W12" s="7" t="s">
        <v>286</v>
      </c>
      <c r="X12" s="7" t="s">
        <v>328</v>
      </c>
      <c r="Y12" s="7" t="s">
        <v>288</v>
      </c>
      <c r="Z12" s="7" t="s">
        <v>317</v>
      </c>
      <c r="AA12" s="7" t="s">
        <v>329</v>
      </c>
      <c r="AB12" s="7" t="s">
        <v>329</v>
      </c>
      <c r="AC12" s="7" t="s">
        <v>291</v>
      </c>
      <c r="AD12" s="7" t="s">
        <v>292</v>
      </c>
      <c r="AE12">
        <v>9.4139999999999997</v>
      </c>
      <c r="AF12">
        <v>12.093999999999999</v>
      </c>
      <c r="AG12">
        <v>12.961</v>
      </c>
      <c r="AH12">
        <v>2</v>
      </c>
      <c r="AI12" s="7" t="s">
        <v>293</v>
      </c>
      <c r="AJ12" s="7" t="s">
        <v>292</v>
      </c>
      <c r="AK12">
        <v>4.8140000000000001</v>
      </c>
      <c r="AL12">
        <v>11.159000000000001</v>
      </c>
      <c r="AM12">
        <v>11.874000000000001</v>
      </c>
      <c r="AN12">
        <v>2</v>
      </c>
      <c r="AO12" s="7" t="s">
        <v>293</v>
      </c>
      <c r="AP12" s="7" t="s">
        <v>292</v>
      </c>
      <c r="AQ12">
        <v>4.798</v>
      </c>
      <c r="AR12">
        <v>9.7100000000000009</v>
      </c>
      <c r="AS12">
        <v>10.544</v>
      </c>
      <c r="AT12">
        <v>2</v>
      </c>
      <c r="AU12" s="7" t="s">
        <v>295</v>
      </c>
      <c r="AV12" s="7" t="s">
        <v>297</v>
      </c>
      <c r="AW12">
        <v>5.44</v>
      </c>
      <c r="AX12">
        <v>6.992</v>
      </c>
      <c r="AY12">
        <v>8.6509999999999998</v>
      </c>
      <c r="AZ12">
        <v>2</v>
      </c>
      <c r="BA12" s="7" t="s">
        <v>295</v>
      </c>
      <c r="BB12" s="7" t="s">
        <v>297</v>
      </c>
      <c r="BC12">
        <v>7.7789999999999999</v>
      </c>
      <c r="BD12">
        <v>9.86</v>
      </c>
      <c r="BE12">
        <v>10.782</v>
      </c>
      <c r="BF12">
        <v>2</v>
      </c>
      <c r="BG12" s="7" t="s">
        <v>291</v>
      </c>
      <c r="BH12" s="7" t="s">
        <v>292</v>
      </c>
      <c r="BI12">
        <v>4.4580000000000002</v>
      </c>
      <c r="BJ12">
        <v>11.146000000000001</v>
      </c>
      <c r="BK12">
        <v>12.052</v>
      </c>
      <c r="BL12">
        <v>2</v>
      </c>
      <c r="BM12" s="7" t="s">
        <v>293</v>
      </c>
      <c r="BN12" s="7" t="s">
        <v>292</v>
      </c>
      <c r="BO12">
        <v>6.1</v>
      </c>
      <c r="BP12">
        <v>9.9390000000000001</v>
      </c>
      <c r="BQ12">
        <v>11.865</v>
      </c>
      <c r="BR12">
        <v>4</v>
      </c>
      <c r="BS12" s="7" t="s">
        <v>291</v>
      </c>
      <c r="BT12" s="7" t="s">
        <v>297</v>
      </c>
      <c r="BU12">
        <v>5.5019999999999998</v>
      </c>
      <c r="BV12">
        <v>8.3740000000000006</v>
      </c>
      <c r="BW12">
        <v>10.313000000000001</v>
      </c>
      <c r="BX12">
        <v>2</v>
      </c>
      <c r="BY12" s="7" t="s">
        <v>298</v>
      </c>
      <c r="BZ12" s="7" t="s">
        <v>297</v>
      </c>
      <c r="CA12">
        <v>8.4740000000000002</v>
      </c>
      <c r="CB12">
        <v>9.3859999999999992</v>
      </c>
      <c r="CC12">
        <v>10.182</v>
      </c>
      <c r="CD12">
        <v>2</v>
      </c>
      <c r="CE12" s="7" t="s">
        <v>291</v>
      </c>
      <c r="CF12" s="7" t="s">
        <v>297</v>
      </c>
      <c r="CG12">
        <v>5.0990000000000002</v>
      </c>
      <c r="CH12">
        <v>7.2990000000000004</v>
      </c>
      <c r="CI12">
        <v>9</v>
      </c>
      <c r="CJ12">
        <v>2</v>
      </c>
      <c r="CK12" s="7" t="s">
        <v>291</v>
      </c>
      <c r="CL12" s="7" t="s">
        <v>297</v>
      </c>
      <c r="CM12">
        <v>4.1970000000000001</v>
      </c>
      <c r="CN12">
        <v>7.7409999999999997</v>
      </c>
      <c r="CO12">
        <v>8.7680000000000007</v>
      </c>
      <c r="CP12">
        <v>2</v>
      </c>
      <c r="CQ12" s="7" t="s">
        <v>293</v>
      </c>
      <c r="CR12" s="7" t="s">
        <v>292</v>
      </c>
      <c r="CS12">
        <v>2.7090000000000001</v>
      </c>
      <c r="CT12">
        <v>8.0690000000000008</v>
      </c>
      <c r="CU12">
        <v>8.7910000000000004</v>
      </c>
      <c r="CV12">
        <v>3</v>
      </c>
      <c r="CW12" s="7" t="s">
        <v>291</v>
      </c>
      <c r="CX12" s="7" t="s">
        <v>297</v>
      </c>
      <c r="CY12">
        <v>5.1239999999999997</v>
      </c>
      <c r="CZ12">
        <v>8.4770000000000003</v>
      </c>
      <c r="DA12">
        <v>8.8149999999999995</v>
      </c>
      <c r="DB12">
        <v>3</v>
      </c>
      <c r="DC12" s="7" t="s">
        <v>291</v>
      </c>
      <c r="DD12" s="7" t="s">
        <v>297</v>
      </c>
      <c r="DE12">
        <v>4.3120000000000003</v>
      </c>
      <c r="DF12">
        <v>10.8</v>
      </c>
      <c r="DG12">
        <v>11.58</v>
      </c>
      <c r="DH12">
        <v>2</v>
      </c>
      <c r="DI12" s="7" t="s">
        <v>291</v>
      </c>
      <c r="DJ12" s="7" t="s">
        <v>297</v>
      </c>
      <c r="DK12">
        <v>4.6890000000000001</v>
      </c>
      <c r="DL12">
        <v>11.984</v>
      </c>
      <c r="DM12">
        <v>12.731</v>
      </c>
      <c r="DN12">
        <v>2</v>
      </c>
      <c r="DO12" s="7" t="s">
        <v>291</v>
      </c>
      <c r="DP12" s="7" t="s">
        <v>297</v>
      </c>
      <c r="DQ12">
        <v>4.7370000000000001</v>
      </c>
      <c r="DR12">
        <v>12.929</v>
      </c>
      <c r="DS12">
        <v>13.54</v>
      </c>
      <c r="DT12">
        <v>2</v>
      </c>
      <c r="DU12" s="7" t="s">
        <v>293</v>
      </c>
      <c r="DV12" s="7" t="s">
        <v>297</v>
      </c>
      <c r="DW12">
        <v>4.9489999999999998</v>
      </c>
      <c r="DX12">
        <v>10.404999999999999</v>
      </c>
      <c r="DY12">
        <v>11.44</v>
      </c>
      <c r="DZ12">
        <v>2</v>
      </c>
      <c r="EA12" s="7" t="s">
        <v>291</v>
      </c>
      <c r="EB12" s="7" t="s">
        <v>297</v>
      </c>
      <c r="EC12">
        <v>6.4729999999999999</v>
      </c>
      <c r="ED12">
        <v>10.641</v>
      </c>
      <c r="EE12">
        <v>11.659000000000001</v>
      </c>
      <c r="EF12">
        <v>2</v>
      </c>
      <c r="EG12" s="7" t="s">
        <v>291</v>
      </c>
      <c r="EH12" s="7" t="s">
        <v>297</v>
      </c>
      <c r="EI12">
        <v>8.2490000000000006</v>
      </c>
      <c r="EJ12">
        <v>11.449</v>
      </c>
      <c r="EK12">
        <v>12.396000000000001</v>
      </c>
      <c r="EL12">
        <v>2</v>
      </c>
      <c r="EM12" s="7" t="s">
        <v>291</v>
      </c>
      <c r="EN12" s="7" t="s">
        <v>297</v>
      </c>
      <c r="EO12">
        <v>6.2110000000000003</v>
      </c>
      <c r="EP12">
        <v>11.946999999999999</v>
      </c>
      <c r="EQ12">
        <v>12.743</v>
      </c>
      <c r="ER12">
        <v>3</v>
      </c>
      <c r="ES12" s="7" t="s">
        <v>291</v>
      </c>
      <c r="ET12" s="7" t="s">
        <v>292</v>
      </c>
      <c r="EU12">
        <v>4.6020000000000003</v>
      </c>
      <c r="EV12">
        <v>8.4570000000000007</v>
      </c>
      <c r="EW12">
        <v>10.805</v>
      </c>
      <c r="EX12">
        <v>2</v>
      </c>
      <c r="EY12" s="7" t="s">
        <v>300</v>
      </c>
      <c r="EZ12" s="7" t="s">
        <v>297</v>
      </c>
      <c r="FA12">
        <v>4.5590000000000002</v>
      </c>
      <c r="FB12">
        <v>10.319000000000001</v>
      </c>
      <c r="FC12">
        <v>11.458</v>
      </c>
      <c r="FD12">
        <v>2</v>
      </c>
      <c r="FE12" s="7" t="s">
        <v>291</v>
      </c>
      <c r="FF12" s="7" t="s">
        <v>297</v>
      </c>
      <c r="FG12">
        <v>9.4749999999999996</v>
      </c>
      <c r="FH12">
        <v>10.675000000000001</v>
      </c>
      <c r="FI12">
        <v>11.8</v>
      </c>
      <c r="FJ12">
        <v>2</v>
      </c>
      <c r="FK12" s="7" t="s">
        <v>291</v>
      </c>
      <c r="FL12" s="7" t="s">
        <v>297</v>
      </c>
      <c r="FM12">
        <v>1.6659999999999999</v>
      </c>
      <c r="FN12">
        <v>18.058</v>
      </c>
      <c r="FO12">
        <v>18.741</v>
      </c>
      <c r="FP12">
        <v>3</v>
      </c>
      <c r="FQ12" s="7" t="s">
        <v>300</v>
      </c>
      <c r="FR12" s="7" t="s">
        <v>296</v>
      </c>
      <c r="FS12">
        <v>5.5949999999999998</v>
      </c>
      <c r="FT12">
        <v>6.7140000000000004</v>
      </c>
      <c r="FU12">
        <v>11.45</v>
      </c>
      <c r="FV12">
        <v>2</v>
      </c>
      <c r="FW12" s="7" t="s">
        <v>301</v>
      </c>
      <c r="FX12" s="7" t="s">
        <v>292</v>
      </c>
      <c r="FY12">
        <v>9.6010000000000009</v>
      </c>
      <c r="FZ12">
        <v>11.952999999999999</v>
      </c>
      <c r="GA12">
        <v>13.076000000000001</v>
      </c>
      <c r="GB12">
        <v>3</v>
      </c>
      <c r="GC12" s="7" t="s">
        <v>291</v>
      </c>
      <c r="GD12" s="7" t="s">
        <v>292</v>
      </c>
      <c r="GE12">
        <v>5.2590000000000003</v>
      </c>
      <c r="GF12">
        <v>9.1549999999999994</v>
      </c>
      <c r="GG12">
        <v>9.8059999999999992</v>
      </c>
      <c r="GH12">
        <v>4</v>
      </c>
      <c r="GI12" s="7" t="s">
        <v>300</v>
      </c>
      <c r="GJ12" s="7" t="s">
        <v>297</v>
      </c>
      <c r="GK12">
        <v>8.0690000000000008</v>
      </c>
      <c r="GL12">
        <v>12.813000000000001</v>
      </c>
      <c r="GM12">
        <v>13.752000000000001</v>
      </c>
      <c r="GN12">
        <v>2</v>
      </c>
      <c r="GO12" s="7" t="s">
        <v>301</v>
      </c>
      <c r="GP12" s="7" t="s">
        <v>292</v>
      </c>
      <c r="GQ12">
        <v>5.7249999999999996</v>
      </c>
      <c r="GR12">
        <v>8.35</v>
      </c>
      <c r="GS12">
        <v>10.721</v>
      </c>
      <c r="GT12">
        <v>2</v>
      </c>
      <c r="GU12" s="7" t="s">
        <v>291</v>
      </c>
      <c r="GV12" s="7" t="s">
        <v>292</v>
      </c>
      <c r="GW12">
        <v>4.9390000000000001</v>
      </c>
      <c r="GX12">
        <v>11.531000000000001</v>
      </c>
      <c r="GY12">
        <v>12.148999999999999</v>
      </c>
      <c r="GZ12">
        <v>3</v>
      </c>
      <c r="HA12" s="7" t="s">
        <v>300</v>
      </c>
      <c r="HB12" s="7" t="s">
        <v>292</v>
      </c>
      <c r="HC12">
        <v>6.327</v>
      </c>
      <c r="HD12">
        <v>14.574999999999999</v>
      </c>
      <c r="HE12">
        <v>15.273999999999999</v>
      </c>
      <c r="HF12">
        <v>2</v>
      </c>
      <c r="HG12" s="7" t="s">
        <v>301</v>
      </c>
      <c r="HH12" s="7" t="s">
        <v>292</v>
      </c>
      <c r="HI12">
        <v>6.6280000000000001</v>
      </c>
      <c r="HJ12">
        <v>7.508</v>
      </c>
      <c r="HK12">
        <v>9.1509999999999998</v>
      </c>
      <c r="HL12">
        <v>2</v>
      </c>
      <c r="HM12" s="7" t="s">
        <v>427</v>
      </c>
      <c r="HN12" s="7" t="s">
        <v>428</v>
      </c>
      <c r="HO12" s="7" t="s">
        <v>429</v>
      </c>
      <c r="HP12" s="7" t="s">
        <v>429</v>
      </c>
      <c r="HQ12" s="7" t="s">
        <v>430</v>
      </c>
      <c r="HR12" s="7" t="s">
        <v>431</v>
      </c>
      <c r="HS12" s="7" t="s">
        <v>432</v>
      </c>
      <c r="HT12" s="7" t="s">
        <v>432</v>
      </c>
      <c r="HU12" s="7" t="s">
        <v>433</v>
      </c>
      <c r="HV12" s="7" t="s">
        <v>434</v>
      </c>
      <c r="HW12" s="7" t="s">
        <v>282</v>
      </c>
      <c r="HX12" s="7" t="s">
        <v>282</v>
      </c>
      <c r="HY12" s="7" t="s">
        <v>312</v>
      </c>
      <c r="HZ12" s="7" t="s">
        <v>356</v>
      </c>
      <c r="IA12" s="7" t="s">
        <v>313</v>
      </c>
      <c r="IB12" s="7" t="s">
        <v>282</v>
      </c>
      <c r="IC12" s="7" t="s">
        <v>282</v>
      </c>
    </row>
    <row r="13" spans="1:237" x14ac:dyDescent="0.2">
      <c r="A13" s="6">
        <v>45744.660277777781</v>
      </c>
      <c r="B13" s="6">
        <v>45744.671226851853</v>
      </c>
      <c r="C13" s="7" t="s">
        <v>240</v>
      </c>
      <c r="D13" s="7" t="s">
        <v>435</v>
      </c>
      <c r="E13">
        <v>100</v>
      </c>
      <c r="F13">
        <v>945</v>
      </c>
      <c r="G13" s="7" t="s">
        <v>280</v>
      </c>
      <c r="H13" s="6">
        <v>45744.671236550923</v>
      </c>
      <c r="I13" s="7" t="s">
        <v>436</v>
      </c>
      <c r="J13" s="7" t="s">
        <v>282</v>
      </c>
      <c r="K13" s="7" t="s">
        <v>282</v>
      </c>
      <c r="L13" s="7" t="s">
        <v>282</v>
      </c>
      <c r="M13" s="7" t="s">
        <v>282</v>
      </c>
      <c r="N13">
        <v>-37.815899999999999</v>
      </c>
      <c r="O13">
        <v>144.96690000000001</v>
      </c>
      <c r="P13" s="7" t="s">
        <v>283</v>
      </c>
      <c r="Q13" s="7" t="s">
        <v>284</v>
      </c>
      <c r="R13">
        <v>0.89999997615814209</v>
      </c>
      <c r="S13" s="7" t="s">
        <v>285</v>
      </c>
      <c r="T13" s="7" t="s">
        <v>285</v>
      </c>
      <c r="U13" s="7" t="s">
        <v>285</v>
      </c>
      <c r="V13" s="7" t="s">
        <v>285</v>
      </c>
      <c r="W13" s="7" t="s">
        <v>412</v>
      </c>
      <c r="X13" s="7" t="s">
        <v>287</v>
      </c>
      <c r="Y13" s="7" t="s">
        <v>288</v>
      </c>
      <c r="Z13" s="7" t="s">
        <v>329</v>
      </c>
      <c r="AA13" s="7" t="s">
        <v>329</v>
      </c>
      <c r="AB13" s="7" t="s">
        <v>317</v>
      </c>
      <c r="AC13" s="7" t="s">
        <v>293</v>
      </c>
      <c r="AD13" s="7" t="s">
        <v>296</v>
      </c>
      <c r="AE13">
        <v>14.760999999999999</v>
      </c>
      <c r="AF13">
        <v>16.763999999999999</v>
      </c>
      <c r="AG13">
        <v>17.521000000000001</v>
      </c>
      <c r="AH13">
        <v>2</v>
      </c>
      <c r="AI13" s="7" t="s">
        <v>299</v>
      </c>
      <c r="AJ13" s="7" t="s">
        <v>296</v>
      </c>
      <c r="AK13">
        <v>8.891</v>
      </c>
      <c r="AL13">
        <v>10.106</v>
      </c>
      <c r="AM13">
        <v>11.349</v>
      </c>
      <c r="AN13">
        <v>2</v>
      </c>
      <c r="AO13" s="7" t="s">
        <v>293</v>
      </c>
      <c r="AP13" s="7" t="s">
        <v>296</v>
      </c>
      <c r="AQ13">
        <v>11.223000000000001</v>
      </c>
      <c r="AR13">
        <v>13.561999999999999</v>
      </c>
      <c r="AS13">
        <v>13.920999999999999</v>
      </c>
      <c r="AT13">
        <v>3</v>
      </c>
      <c r="AU13" s="7" t="s">
        <v>295</v>
      </c>
      <c r="AV13" s="7" t="s">
        <v>292</v>
      </c>
      <c r="AW13">
        <v>12.981</v>
      </c>
      <c r="AX13">
        <v>16.356999999999999</v>
      </c>
      <c r="AY13">
        <v>17.399000000000001</v>
      </c>
      <c r="AZ13">
        <v>3</v>
      </c>
      <c r="BA13" s="7" t="s">
        <v>295</v>
      </c>
      <c r="BB13" s="7" t="s">
        <v>296</v>
      </c>
      <c r="BC13">
        <v>8.8550000000000004</v>
      </c>
      <c r="BD13">
        <v>10.035</v>
      </c>
      <c r="BE13">
        <v>10.818</v>
      </c>
      <c r="BF13">
        <v>2</v>
      </c>
      <c r="BG13" s="7" t="s">
        <v>291</v>
      </c>
      <c r="BH13" s="7" t="s">
        <v>296</v>
      </c>
      <c r="BI13">
        <v>11.278</v>
      </c>
      <c r="BJ13">
        <v>14.281000000000001</v>
      </c>
      <c r="BK13">
        <v>15.545999999999999</v>
      </c>
      <c r="BL13">
        <v>3</v>
      </c>
      <c r="BM13" s="7" t="s">
        <v>299</v>
      </c>
      <c r="BN13" s="7" t="s">
        <v>296</v>
      </c>
      <c r="BO13">
        <v>9.0269999999999992</v>
      </c>
      <c r="BP13">
        <v>14.798999999999999</v>
      </c>
      <c r="BQ13">
        <v>16.088000000000001</v>
      </c>
      <c r="BR13">
        <v>2</v>
      </c>
      <c r="BS13" s="7" t="s">
        <v>291</v>
      </c>
      <c r="BT13" s="7" t="s">
        <v>296</v>
      </c>
      <c r="BU13">
        <v>4.3029999999999999</v>
      </c>
      <c r="BV13">
        <v>11.999000000000001</v>
      </c>
      <c r="BW13">
        <v>12.653</v>
      </c>
      <c r="BX13">
        <v>3</v>
      </c>
      <c r="BY13" s="7" t="s">
        <v>295</v>
      </c>
      <c r="BZ13" s="7" t="s">
        <v>292</v>
      </c>
      <c r="CA13">
        <v>9.65</v>
      </c>
      <c r="CB13">
        <v>10.606</v>
      </c>
      <c r="CC13">
        <v>11.535</v>
      </c>
      <c r="CD13">
        <v>2</v>
      </c>
      <c r="CE13" s="7" t="s">
        <v>293</v>
      </c>
      <c r="CF13" s="7" t="s">
        <v>294</v>
      </c>
      <c r="CG13">
        <v>10.866</v>
      </c>
      <c r="CH13">
        <v>16.094999999999999</v>
      </c>
      <c r="CI13">
        <v>17.183</v>
      </c>
      <c r="CJ13">
        <v>3</v>
      </c>
      <c r="CK13" s="7" t="s">
        <v>291</v>
      </c>
      <c r="CL13" s="7" t="s">
        <v>296</v>
      </c>
      <c r="CM13">
        <v>10.798999999999999</v>
      </c>
      <c r="CN13">
        <v>12.488</v>
      </c>
      <c r="CO13">
        <v>13.808999999999999</v>
      </c>
      <c r="CP13">
        <v>2</v>
      </c>
      <c r="CQ13" s="7" t="s">
        <v>293</v>
      </c>
      <c r="CR13" s="7" t="s">
        <v>296</v>
      </c>
      <c r="CS13">
        <v>8.9649999999999999</v>
      </c>
      <c r="CT13">
        <v>10.316000000000001</v>
      </c>
      <c r="CU13">
        <v>11.098000000000001</v>
      </c>
      <c r="CV13">
        <v>2</v>
      </c>
      <c r="CW13" s="7" t="s">
        <v>291</v>
      </c>
      <c r="CX13" s="7" t="s">
        <v>296</v>
      </c>
      <c r="CY13">
        <v>4.87</v>
      </c>
      <c r="CZ13">
        <v>13.882999999999999</v>
      </c>
      <c r="DA13">
        <v>15.239000000000001</v>
      </c>
      <c r="DB13">
        <v>4</v>
      </c>
      <c r="DC13" s="7" t="s">
        <v>299</v>
      </c>
      <c r="DD13" s="7" t="s">
        <v>296</v>
      </c>
      <c r="DE13">
        <v>29.506</v>
      </c>
      <c r="DF13">
        <v>30.686</v>
      </c>
      <c r="DG13">
        <v>31.751000000000001</v>
      </c>
      <c r="DH13">
        <v>2</v>
      </c>
      <c r="DI13" s="7" t="s">
        <v>298</v>
      </c>
      <c r="DJ13" s="7" t="s">
        <v>296</v>
      </c>
      <c r="DK13">
        <v>12.16</v>
      </c>
      <c r="DL13">
        <v>13.645</v>
      </c>
      <c r="DM13">
        <v>14.8</v>
      </c>
      <c r="DN13">
        <v>2</v>
      </c>
      <c r="DO13" s="7" t="s">
        <v>291</v>
      </c>
      <c r="DP13" s="7" t="s">
        <v>296</v>
      </c>
      <c r="DQ13">
        <v>6.9560000000000004</v>
      </c>
      <c r="DR13">
        <v>10.356999999999999</v>
      </c>
      <c r="DS13">
        <v>11.564</v>
      </c>
      <c r="DT13">
        <v>2</v>
      </c>
      <c r="DU13" s="7" t="s">
        <v>293</v>
      </c>
      <c r="DV13" s="7" t="s">
        <v>296</v>
      </c>
      <c r="DW13">
        <v>6.6360000000000001</v>
      </c>
      <c r="DX13">
        <v>8.9909999999999997</v>
      </c>
      <c r="DY13">
        <v>9.66</v>
      </c>
      <c r="DZ13">
        <v>3</v>
      </c>
      <c r="EA13" s="7" t="s">
        <v>299</v>
      </c>
      <c r="EB13" s="7" t="s">
        <v>296</v>
      </c>
      <c r="EC13">
        <v>11.433</v>
      </c>
      <c r="ED13">
        <v>14.448</v>
      </c>
      <c r="EE13">
        <v>15.6</v>
      </c>
      <c r="EF13">
        <v>4</v>
      </c>
      <c r="EG13" s="7" t="s">
        <v>298</v>
      </c>
      <c r="EH13" s="7" t="s">
        <v>294</v>
      </c>
      <c r="EI13">
        <v>13.38</v>
      </c>
      <c r="EJ13">
        <v>15.236000000000001</v>
      </c>
      <c r="EK13">
        <v>17.201000000000001</v>
      </c>
      <c r="EL13">
        <v>2</v>
      </c>
      <c r="EM13" s="7" t="s">
        <v>298</v>
      </c>
      <c r="EN13" s="7" t="s">
        <v>292</v>
      </c>
      <c r="EO13">
        <v>11.618</v>
      </c>
      <c r="EP13">
        <v>13.125</v>
      </c>
      <c r="EQ13">
        <v>14.202999999999999</v>
      </c>
      <c r="ER13">
        <v>2</v>
      </c>
      <c r="ES13" s="7" t="s">
        <v>282</v>
      </c>
      <c r="ET13" s="7" t="s">
        <v>296</v>
      </c>
      <c r="EU13">
        <v>18.204000000000001</v>
      </c>
      <c r="EV13">
        <v>20.713000000000001</v>
      </c>
      <c r="EW13">
        <v>21.09</v>
      </c>
      <c r="EX13">
        <v>4</v>
      </c>
      <c r="EY13" s="7" t="s">
        <v>300</v>
      </c>
      <c r="EZ13" s="7" t="s">
        <v>294</v>
      </c>
      <c r="FA13">
        <v>9.7409999999999997</v>
      </c>
      <c r="FB13">
        <v>10.74</v>
      </c>
      <c r="FC13">
        <v>11.364000000000001</v>
      </c>
      <c r="FD13">
        <v>2</v>
      </c>
      <c r="FE13" s="7" t="s">
        <v>301</v>
      </c>
      <c r="FF13" s="7" t="s">
        <v>292</v>
      </c>
      <c r="FG13">
        <v>11.750999999999999</v>
      </c>
      <c r="FH13">
        <v>13.641999999999999</v>
      </c>
      <c r="FI13">
        <v>14.571999999999999</v>
      </c>
      <c r="FJ13">
        <v>2</v>
      </c>
      <c r="FK13" s="7" t="s">
        <v>291</v>
      </c>
      <c r="FL13" s="7" t="s">
        <v>294</v>
      </c>
      <c r="FM13">
        <v>10.678000000000001</v>
      </c>
      <c r="FN13">
        <v>13.760999999999999</v>
      </c>
      <c r="FO13">
        <v>14.683</v>
      </c>
      <c r="FP13">
        <v>2</v>
      </c>
      <c r="FQ13" s="7" t="s">
        <v>300</v>
      </c>
      <c r="FR13" s="7" t="s">
        <v>294</v>
      </c>
      <c r="FS13">
        <v>11.246</v>
      </c>
      <c r="FT13">
        <v>13.429</v>
      </c>
      <c r="FU13">
        <v>14.347</v>
      </c>
      <c r="FV13">
        <v>2</v>
      </c>
      <c r="FW13" s="7" t="s">
        <v>301</v>
      </c>
      <c r="FX13" s="7" t="s">
        <v>294</v>
      </c>
      <c r="FY13">
        <v>10.009</v>
      </c>
      <c r="FZ13">
        <v>11.768000000000001</v>
      </c>
      <c r="GA13">
        <v>12.478999999999999</v>
      </c>
      <c r="GB13">
        <v>2</v>
      </c>
      <c r="GC13" s="7" t="s">
        <v>291</v>
      </c>
      <c r="GD13" s="7" t="s">
        <v>294</v>
      </c>
      <c r="GE13">
        <v>10.442</v>
      </c>
      <c r="GF13">
        <v>13.433999999999999</v>
      </c>
      <c r="GG13">
        <v>14.295999999999999</v>
      </c>
      <c r="GH13">
        <v>2</v>
      </c>
      <c r="GI13" s="7" t="s">
        <v>300</v>
      </c>
      <c r="GJ13" s="7" t="s">
        <v>294</v>
      </c>
      <c r="GK13">
        <v>9.1780000000000008</v>
      </c>
      <c r="GL13">
        <v>12.664</v>
      </c>
      <c r="GM13">
        <v>13.481</v>
      </c>
      <c r="GN13">
        <v>3</v>
      </c>
      <c r="GO13" s="7" t="s">
        <v>282</v>
      </c>
      <c r="GP13" s="7" t="s">
        <v>296</v>
      </c>
      <c r="GQ13">
        <v>41.387</v>
      </c>
      <c r="GR13">
        <v>43.738999999999997</v>
      </c>
      <c r="GS13">
        <v>44.835999999999999</v>
      </c>
      <c r="GT13">
        <v>2</v>
      </c>
      <c r="GU13" s="7" t="s">
        <v>291</v>
      </c>
      <c r="GV13" s="7" t="s">
        <v>294</v>
      </c>
      <c r="GW13">
        <v>11.849</v>
      </c>
      <c r="GX13">
        <v>13.525</v>
      </c>
      <c r="GY13">
        <v>14.779</v>
      </c>
      <c r="GZ13">
        <v>2</v>
      </c>
      <c r="HA13" s="7" t="s">
        <v>300</v>
      </c>
      <c r="HB13" s="7" t="s">
        <v>296</v>
      </c>
      <c r="HC13">
        <v>12.452999999999999</v>
      </c>
      <c r="HD13">
        <v>13.869</v>
      </c>
      <c r="HE13">
        <v>15.023</v>
      </c>
      <c r="HF13">
        <v>2</v>
      </c>
      <c r="HG13" s="7" t="s">
        <v>301</v>
      </c>
      <c r="HH13" s="7" t="s">
        <v>296</v>
      </c>
      <c r="HI13">
        <v>11.028</v>
      </c>
      <c r="HJ13">
        <v>12.388999999999999</v>
      </c>
      <c r="HK13">
        <v>13.127000000000001</v>
      </c>
      <c r="HL13">
        <v>2</v>
      </c>
      <c r="HM13" s="7" t="s">
        <v>437</v>
      </c>
      <c r="HN13" s="7" t="s">
        <v>437</v>
      </c>
      <c r="HO13" s="7" t="s">
        <v>438</v>
      </c>
      <c r="HP13" s="7" t="s">
        <v>439</v>
      </c>
      <c r="HQ13" s="7" t="s">
        <v>440</v>
      </c>
      <c r="HR13" s="7" t="s">
        <v>441</v>
      </c>
      <c r="HS13" s="7" t="s">
        <v>442</v>
      </c>
      <c r="HT13" s="7" t="s">
        <v>443</v>
      </c>
      <c r="HU13" s="7" t="s">
        <v>444</v>
      </c>
      <c r="HV13" s="7" t="s">
        <v>445</v>
      </c>
      <c r="HW13" s="7" t="s">
        <v>282</v>
      </c>
      <c r="HX13" s="7" t="s">
        <v>282</v>
      </c>
      <c r="HY13" s="7" t="s">
        <v>312</v>
      </c>
      <c r="HZ13" s="7" t="s">
        <v>356</v>
      </c>
      <c r="IA13" s="7" t="s">
        <v>313</v>
      </c>
      <c r="IB13" s="7" t="s">
        <v>282</v>
      </c>
      <c r="IC13" s="7" t="s">
        <v>282</v>
      </c>
    </row>
    <row r="14" spans="1:237" x14ac:dyDescent="0.2">
      <c r="A14" s="6">
        <v>45744.679768518516</v>
      </c>
      <c r="B14" s="6">
        <v>45744.70076388889</v>
      </c>
      <c r="C14" s="7" t="s">
        <v>240</v>
      </c>
      <c r="D14" s="7" t="s">
        <v>446</v>
      </c>
      <c r="E14">
        <v>100</v>
      </c>
      <c r="F14">
        <v>1813</v>
      </c>
      <c r="G14" s="7" t="s">
        <v>280</v>
      </c>
      <c r="H14" s="6">
        <v>45744.700778819446</v>
      </c>
      <c r="I14" s="7" t="s">
        <v>447</v>
      </c>
      <c r="J14" s="7" t="s">
        <v>282</v>
      </c>
      <c r="K14" s="7" t="s">
        <v>282</v>
      </c>
      <c r="L14" s="7" t="s">
        <v>282</v>
      </c>
      <c r="M14" s="7" t="s">
        <v>282</v>
      </c>
      <c r="N14">
        <v>-37.927900000000001</v>
      </c>
      <c r="O14">
        <v>145.17699999999999</v>
      </c>
      <c r="P14" s="7" t="s">
        <v>283</v>
      </c>
      <c r="Q14" s="7" t="s">
        <v>284</v>
      </c>
      <c r="R14">
        <v>1</v>
      </c>
      <c r="S14" s="7" t="s">
        <v>285</v>
      </c>
      <c r="T14" s="7" t="s">
        <v>285</v>
      </c>
      <c r="U14" s="7" t="s">
        <v>285</v>
      </c>
      <c r="V14" s="7" t="s">
        <v>285</v>
      </c>
      <c r="W14" s="7" t="s">
        <v>412</v>
      </c>
      <c r="X14" s="7" t="s">
        <v>316</v>
      </c>
      <c r="Y14" s="7" t="s">
        <v>288</v>
      </c>
      <c r="Z14" s="7" t="s">
        <v>289</v>
      </c>
      <c r="AA14" s="7" t="s">
        <v>329</v>
      </c>
      <c r="AB14" s="7" t="s">
        <v>317</v>
      </c>
      <c r="AC14" s="7" t="s">
        <v>291</v>
      </c>
      <c r="AD14" s="7" t="s">
        <v>292</v>
      </c>
      <c r="AE14">
        <v>9.0530000000000008</v>
      </c>
      <c r="AF14">
        <v>11.023999999999999</v>
      </c>
      <c r="AG14">
        <v>11.95</v>
      </c>
      <c r="AH14">
        <v>2</v>
      </c>
      <c r="AI14" s="7" t="s">
        <v>293</v>
      </c>
      <c r="AJ14" s="7" t="s">
        <v>296</v>
      </c>
      <c r="AK14">
        <v>10.221</v>
      </c>
      <c r="AL14">
        <v>12.375</v>
      </c>
      <c r="AM14">
        <v>13.263</v>
      </c>
      <c r="AN14">
        <v>2</v>
      </c>
      <c r="AO14" s="7" t="s">
        <v>293</v>
      </c>
      <c r="AP14" s="7" t="s">
        <v>296</v>
      </c>
      <c r="AQ14">
        <v>5.4320000000000004</v>
      </c>
      <c r="AR14">
        <v>8.3889999999999993</v>
      </c>
      <c r="AS14">
        <v>10.68</v>
      </c>
      <c r="AT14">
        <v>2</v>
      </c>
      <c r="AU14" s="7" t="s">
        <v>295</v>
      </c>
      <c r="AV14" s="7" t="s">
        <v>296</v>
      </c>
      <c r="AW14">
        <v>97.293000000000006</v>
      </c>
      <c r="AX14">
        <v>102.898</v>
      </c>
      <c r="AY14">
        <v>108.479</v>
      </c>
      <c r="AZ14">
        <v>2</v>
      </c>
      <c r="BA14" s="7" t="s">
        <v>295</v>
      </c>
      <c r="BB14" s="7" t="s">
        <v>296</v>
      </c>
      <c r="BC14">
        <v>8.0969999999999995</v>
      </c>
      <c r="BD14">
        <v>9.5079999999999991</v>
      </c>
      <c r="BE14">
        <v>11.804</v>
      </c>
      <c r="BF14">
        <v>2</v>
      </c>
      <c r="BG14" s="7" t="s">
        <v>291</v>
      </c>
      <c r="BH14" s="7" t="s">
        <v>292</v>
      </c>
      <c r="BI14">
        <v>7.1970000000000001</v>
      </c>
      <c r="BJ14">
        <v>10.205</v>
      </c>
      <c r="BK14">
        <v>11.4</v>
      </c>
      <c r="BL14">
        <v>2</v>
      </c>
      <c r="BM14" s="7" t="s">
        <v>293</v>
      </c>
      <c r="BN14" s="7" t="s">
        <v>296</v>
      </c>
      <c r="BO14">
        <v>14.845000000000001</v>
      </c>
      <c r="BP14">
        <v>17.172000000000001</v>
      </c>
      <c r="BQ14">
        <v>18.940000000000001</v>
      </c>
      <c r="BR14">
        <v>2</v>
      </c>
      <c r="BS14" s="7" t="s">
        <v>291</v>
      </c>
      <c r="BT14" s="7" t="s">
        <v>292</v>
      </c>
      <c r="BU14">
        <v>12.957000000000001</v>
      </c>
      <c r="BV14">
        <v>16.821000000000002</v>
      </c>
      <c r="BW14">
        <v>41.314999999999998</v>
      </c>
      <c r="BX14">
        <v>2</v>
      </c>
      <c r="BY14" s="7" t="s">
        <v>295</v>
      </c>
      <c r="BZ14" s="7" t="s">
        <v>296</v>
      </c>
      <c r="CA14">
        <v>6.9829999999999997</v>
      </c>
      <c r="CB14">
        <v>9.577</v>
      </c>
      <c r="CC14">
        <v>11.656000000000001</v>
      </c>
      <c r="CD14">
        <v>2</v>
      </c>
      <c r="CE14" s="7" t="s">
        <v>298</v>
      </c>
      <c r="CF14" s="7" t="s">
        <v>296</v>
      </c>
      <c r="CG14">
        <v>10.061999999999999</v>
      </c>
      <c r="CH14">
        <v>14.167999999999999</v>
      </c>
      <c r="CI14">
        <v>21.445</v>
      </c>
      <c r="CJ14">
        <v>3</v>
      </c>
      <c r="CK14" s="7" t="s">
        <v>291</v>
      </c>
      <c r="CL14" s="7" t="s">
        <v>294</v>
      </c>
      <c r="CM14">
        <v>36.238999999999997</v>
      </c>
      <c r="CN14">
        <v>55.262</v>
      </c>
      <c r="CO14">
        <v>56.975000000000001</v>
      </c>
      <c r="CP14">
        <v>2</v>
      </c>
      <c r="CQ14" s="7" t="s">
        <v>293</v>
      </c>
      <c r="CR14" s="7" t="s">
        <v>296</v>
      </c>
      <c r="CS14">
        <v>12.603</v>
      </c>
      <c r="CT14">
        <v>14.500999999999999</v>
      </c>
      <c r="CU14">
        <v>15.379</v>
      </c>
      <c r="CV14">
        <v>2</v>
      </c>
      <c r="CW14" s="7" t="s">
        <v>291</v>
      </c>
      <c r="CX14" s="7" t="s">
        <v>292</v>
      </c>
      <c r="CY14">
        <v>16.797999999999998</v>
      </c>
      <c r="CZ14">
        <v>19.602</v>
      </c>
      <c r="DA14">
        <v>26.062000000000001</v>
      </c>
      <c r="DB14">
        <v>2</v>
      </c>
      <c r="DC14" s="7" t="s">
        <v>295</v>
      </c>
      <c r="DD14" s="7" t="s">
        <v>292</v>
      </c>
      <c r="DE14">
        <v>11.826000000000001</v>
      </c>
      <c r="DF14">
        <v>30.001000000000001</v>
      </c>
      <c r="DG14">
        <v>34.399000000000001</v>
      </c>
      <c r="DH14">
        <v>2</v>
      </c>
      <c r="DI14" s="7" t="s">
        <v>298</v>
      </c>
      <c r="DJ14" s="7" t="s">
        <v>296</v>
      </c>
      <c r="DK14">
        <v>9.9529999999999994</v>
      </c>
      <c r="DL14">
        <v>13.311999999999999</v>
      </c>
      <c r="DM14">
        <v>20.137</v>
      </c>
      <c r="DN14">
        <v>2</v>
      </c>
      <c r="DO14" s="7" t="s">
        <v>291</v>
      </c>
      <c r="DP14" s="7" t="s">
        <v>292</v>
      </c>
      <c r="DQ14">
        <v>10.659000000000001</v>
      </c>
      <c r="DR14">
        <v>12.449</v>
      </c>
      <c r="DS14">
        <v>14.901</v>
      </c>
      <c r="DT14">
        <v>2</v>
      </c>
      <c r="DU14" s="7" t="s">
        <v>293</v>
      </c>
      <c r="DV14" s="7" t="s">
        <v>292</v>
      </c>
      <c r="DW14">
        <v>9.4849999999999994</v>
      </c>
      <c r="DX14">
        <v>12.127000000000001</v>
      </c>
      <c r="DY14">
        <v>13.606</v>
      </c>
      <c r="DZ14">
        <v>2</v>
      </c>
      <c r="EA14" s="7" t="s">
        <v>299</v>
      </c>
      <c r="EB14" s="7" t="s">
        <v>296</v>
      </c>
      <c r="EC14">
        <v>11.127000000000001</v>
      </c>
      <c r="ED14">
        <v>13.385999999999999</v>
      </c>
      <c r="EE14">
        <v>19.603000000000002</v>
      </c>
      <c r="EF14">
        <v>2</v>
      </c>
      <c r="EG14" s="7" t="s">
        <v>295</v>
      </c>
      <c r="EH14" s="7" t="s">
        <v>292</v>
      </c>
      <c r="EI14">
        <v>13.577</v>
      </c>
      <c r="EJ14">
        <v>14.537000000000001</v>
      </c>
      <c r="EK14">
        <v>17.062999999999999</v>
      </c>
      <c r="EL14">
        <v>2</v>
      </c>
      <c r="EM14" s="7" t="s">
        <v>298</v>
      </c>
      <c r="EN14" s="7" t="s">
        <v>296</v>
      </c>
      <c r="EO14">
        <v>11.082000000000001</v>
      </c>
      <c r="EP14">
        <v>17.754999999999999</v>
      </c>
      <c r="EQ14">
        <v>22.806999999999999</v>
      </c>
      <c r="ER14">
        <v>2</v>
      </c>
      <c r="ES14" s="7" t="s">
        <v>291</v>
      </c>
      <c r="ET14" s="7" t="s">
        <v>296</v>
      </c>
      <c r="EU14">
        <v>9.1980000000000004</v>
      </c>
      <c r="EV14">
        <v>11.273</v>
      </c>
      <c r="EW14">
        <v>15.378</v>
      </c>
      <c r="EX14">
        <v>2</v>
      </c>
      <c r="EY14" s="7" t="s">
        <v>300</v>
      </c>
      <c r="EZ14" s="7" t="s">
        <v>296</v>
      </c>
      <c r="FA14">
        <v>4.851</v>
      </c>
      <c r="FB14">
        <v>7.8419999999999996</v>
      </c>
      <c r="FC14">
        <v>9.1199999999999992</v>
      </c>
      <c r="FD14">
        <v>2</v>
      </c>
      <c r="FE14" s="7" t="s">
        <v>301</v>
      </c>
      <c r="FF14" s="7" t="s">
        <v>296</v>
      </c>
      <c r="FG14">
        <v>6.444</v>
      </c>
      <c r="FH14">
        <v>9.0640000000000001</v>
      </c>
      <c r="FI14">
        <v>11.202999999999999</v>
      </c>
      <c r="FJ14">
        <v>2</v>
      </c>
      <c r="FK14" s="7" t="s">
        <v>291</v>
      </c>
      <c r="FL14" s="7" t="s">
        <v>296</v>
      </c>
      <c r="FM14">
        <v>4.6399999999999997</v>
      </c>
      <c r="FN14">
        <v>7.4089999999999998</v>
      </c>
      <c r="FO14">
        <v>10.406000000000001</v>
      </c>
      <c r="FP14">
        <v>2</v>
      </c>
      <c r="FQ14" s="7" t="s">
        <v>300</v>
      </c>
      <c r="FR14" s="7" t="s">
        <v>296</v>
      </c>
      <c r="FS14">
        <v>5.8550000000000004</v>
      </c>
      <c r="FT14">
        <v>7.5830000000000002</v>
      </c>
      <c r="FU14">
        <v>10.02</v>
      </c>
      <c r="FV14">
        <v>2</v>
      </c>
      <c r="FW14" s="7" t="s">
        <v>301</v>
      </c>
      <c r="FX14" s="7" t="s">
        <v>296</v>
      </c>
      <c r="FY14">
        <v>6.952</v>
      </c>
      <c r="FZ14">
        <v>8.6159999999999997</v>
      </c>
      <c r="GA14">
        <v>9.8870000000000005</v>
      </c>
      <c r="GB14">
        <v>2</v>
      </c>
      <c r="GC14" s="7" t="s">
        <v>291</v>
      </c>
      <c r="GD14" s="7" t="s">
        <v>296</v>
      </c>
      <c r="GE14">
        <v>6.2770000000000001</v>
      </c>
      <c r="GF14">
        <v>8.5939999999999994</v>
      </c>
      <c r="GG14">
        <v>9.7149999999999999</v>
      </c>
      <c r="GH14">
        <v>2</v>
      </c>
      <c r="GI14" s="7" t="s">
        <v>300</v>
      </c>
      <c r="GJ14" s="7" t="s">
        <v>296</v>
      </c>
      <c r="GK14">
        <v>6.57</v>
      </c>
      <c r="GL14">
        <v>8.7759999999999998</v>
      </c>
      <c r="GM14">
        <v>10.385</v>
      </c>
      <c r="GN14">
        <v>2</v>
      </c>
      <c r="GO14" s="7" t="s">
        <v>301</v>
      </c>
      <c r="GP14" s="7" t="s">
        <v>296</v>
      </c>
      <c r="GQ14">
        <v>4.742</v>
      </c>
      <c r="GR14">
        <v>6.7939999999999996</v>
      </c>
      <c r="GS14">
        <v>9.0380000000000003</v>
      </c>
      <c r="GT14">
        <v>2</v>
      </c>
      <c r="GU14" s="7" t="s">
        <v>291</v>
      </c>
      <c r="GV14" s="7" t="s">
        <v>296</v>
      </c>
      <c r="GW14">
        <v>5.5819999999999999</v>
      </c>
      <c r="GX14">
        <v>7.1619999999999999</v>
      </c>
      <c r="GY14">
        <v>9.4160000000000004</v>
      </c>
      <c r="GZ14">
        <v>2</v>
      </c>
      <c r="HA14" s="7" t="s">
        <v>300</v>
      </c>
      <c r="HB14" s="7" t="s">
        <v>296</v>
      </c>
      <c r="HC14">
        <v>5.8380000000000001</v>
      </c>
      <c r="HD14">
        <v>7.3440000000000003</v>
      </c>
      <c r="HE14">
        <v>10.378</v>
      </c>
      <c r="HF14">
        <v>2</v>
      </c>
      <c r="HG14" s="7" t="s">
        <v>291</v>
      </c>
      <c r="HH14" s="7" t="s">
        <v>292</v>
      </c>
      <c r="HI14">
        <v>11.25</v>
      </c>
      <c r="HJ14">
        <v>32.75</v>
      </c>
      <c r="HK14">
        <v>34.064</v>
      </c>
      <c r="HL14">
        <v>3</v>
      </c>
      <c r="HM14" s="7" t="s">
        <v>448</v>
      </c>
      <c r="HN14" s="7" t="s">
        <v>449</v>
      </c>
      <c r="HO14" s="7" t="s">
        <v>450</v>
      </c>
      <c r="HP14" s="7" t="s">
        <v>451</v>
      </c>
      <c r="HQ14" s="7" t="s">
        <v>452</v>
      </c>
      <c r="HR14" s="7" t="s">
        <v>453</v>
      </c>
      <c r="HS14" s="7" t="s">
        <v>454</v>
      </c>
      <c r="HT14" s="7" t="s">
        <v>455</v>
      </c>
      <c r="HU14" s="7" t="s">
        <v>456</v>
      </c>
      <c r="HV14" s="7" t="s">
        <v>456</v>
      </c>
      <c r="HW14" s="7" t="s">
        <v>457</v>
      </c>
      <c r="HX14" s="7" t="s">
        <v>458</v>
      </c>
      <c r="HY14" s="7" t="s">
        <v>312</v>
      </c>
      <c r="HZ14" s="7" t="s">
        <v>372</v>
      </c>
      <c r="IA14" s="7" t="s">
        <v>325</v>
      </c>
      <c r="IB14" s="7" t="s">
        <v>282</v>
      </c>
      <c r="IC14" s="7" t="s">
        <v>282</v>
      </c>
    </row>
    <row r="15" spans="1:237" x14ac:dyDescent="0.2">
      <c r="A15" s="6">
        <v>45745.033321759256</v>
      </c>
      <c r="B15" s="6">
        <v>45745.071493055555</v>
      </c>
      <c r="C15" s="7" t="s">
        <v>240</v>
      </c>
      <c r="D15" s="7" t="s">
        <v>459</v>
      </c>
      <c r="E15">
        <v>100</v>
      </c>
      <c r="F15">
        <v>3297</v>
      </c>
      <c r="G15" s="7" t="s">
        <v>280</v>
      </c>
      <c r="H15" s="6">
        <v>45745.071503402774</v>
      </c>
      <c r="I15" s="7" t="s">
        <v>460</v>
      </c>
      <c r="J15" s="7" t="s">
        <v>282</v>
      </c>
      <c r="K15" s="7" t="s">
        <v>282</v>
      </c>
      <c r="L15" s="7" t="s">
        <v>282</v>
      </c>
      <c r="M15" s="7" t="s">
        <v>282</v>
      </c>
      <c r="N15">
        <v>49.7851</v>
      </c>
      <c r="O15">
        <v>-97.211699999999993</v>
      </c>
      <c r="P15" s="7" t="s">
        <v>283</v>
      </c>
      <c r="Q15" s="7" t="s">
        <v>284</v>
      </c>
      <c r="R15">
        <v>1</v>
      </c>
      <c r="S15" s="7" t="s">
        <v>285</v>
      </c>
      <c r="T15" s="7" t="s">
        <v>285</v>
      </c>
      <c r="U15" s="7" t="s">
        <v>285</v>
      </c>
      <c r="V15" s="7" t="s">
        <v>285</v>
      </c>
      <c r="W15" s="7" t="s">
        <v>461</v>
      </c>
      <c r="X15" s="7" t="s">
        <v>287</v>
      </c>
      <c r="Y15" s="7" t="s">
        <v>288</v>
      </c>
      <c r="Z15" s="7" t="s">
        <v>317</v>
      </c>
      <c r="AA15" s="7" t="s">
        <v>289</v>
      </c>
      <c r="AB15" s="7" t="s">
        <v>289</v>
      </c>
      <c r="AC15" s="7" t="s">
        <v>291</v>
      </c>
      <c r="AD15" s="7" t="s">
        <v>296</v>
      </c>
      <c r="AE15">
        <v>33.768000000000001</v>
      </c>
      <c r="AF15">
        <v>40.880000000000003</v>
      </c>
      <c r="AG15">
        <v>41.473999999999997</v>
      </c>
      <c r="AH15">
        <v>5</v>
      </c>
      <c r="AI15" s="7" t="s">
        <v>293</v>
      </c>
      <c r="AJ15" s="7" t="s">
        <v>296</v>
      </c>
      <c r="AK15">
        <v>24.068000000000001</v>
      </c>
      <c r="AL15">
        <v>79.795000000000002</v>
      </c>
      <c r="AM15">
        <v>81.673000000000002</v>
      </c>
      <c r="AN15">
        <v>6</v>
      </c>
      <c r="AO15" s="7" t="s">
        <v>299</v>
      </c>
      <c r="AP15" s="7" t="s">
        <v>296</v>
      </c>
      <c r="AQ15">
        <v>30.753</v>
      </c>
      <c r="AR15">
        <v>68.215000000000003</v>
      </c>
      <c r="AS15">
        <v>69.656999999999996</v>
      </c>
      <c r="AT15">
        <v>9</v>
      </c>
      <c r="AU15" s="7" t="s">
        <v>299</v>
      </c>
      <c r="AV15" s="7" t="s">
        <v>296</v>
      </c>
      <c r="AW15">
        <v>29.817</v>
      </c>
      <c r="AX15">
        <v>38.860999999999997</v>
      </c>
      <c r="AY15">
        <v>43.228999999999999</v>
      </c>
      <c r="AZ15">
        <v>6</v>
      </c>
      <c r="BA15" s="7" t="s">
        <v>295</v>
      </c>
      <c r="BB15" s="7" t="s">
        <v>292</v>
      </c>
      <c r="BC15">
        <v>26.364000000000001</v>
      </c>
      <c r="BD15">
        <v>39.040999999999997</v>
      </c>
      <c r="BE15">
        <v>39.582000000000001</v>
      </c>
      <c r="BF15">
        <v>6</v>
      </c>
      <c r="BG15" s="7" t="s">
        <v>291</v>
      </c>
      <c r="BH15" s="7" t="s">
        <v>292</v>
      </c>
      <c r="BI15">
        <v>20.608000000000001</v>
      </c>
      <c r="BJ15">
        <v>24.271000000000001</v>
      </c>
      <c r="BK15">
        <v>25.081</v>
      </c>
      <c r="BL15">
        <v>5</v>
      </c>
      <c r="BM15" s="7" t="s">
        <v>299</v>
      </c>
      <c r="BN15" s="7" t="s">
        <v>294</v>
      </c>
      <c r="BO15">
        <v>21.323</v>
      </c>
      <c r="BP15">
        <v>28.605</v>
      </c>
      <c r="BQ15">
        <v>29.109000000000002</v>
      </c>
      <c r="BR15">
        <v>6</v>
      </c>
      <c r="BS15" s="7" t="s">
        <v>298</v>
      </c>
      <c r="BT15" s="7" t="s">
        <v>292</v>
      </c>
      <c r="BU15">
        <v>40.433999999999997</v>
      </c>
      <c r="BV15">
        <v>69.251000000000005</v>
      </c>
      <c r="BW15">
        <v>69.677000000000007</v>
      </c>
      <c r="BX15">
        <v>6</v>
      </c>
      <c r="BY15" s="7" t="s">
        <v>299</v>
      </c>
      <c r="BZ15" s="7" t="s">
        <v>296</v>
      </c>
      <c r="CA15">
        <v>17.21</v>
      </c>
      <c r="CB15">
        <v>38.122</v>
      </c>
      <c r="CC15">
        <v>38.700000000000003</v>
      </c>
      <c r="CD15">
        <v>5</v>
      </c>
      <c r="CE15" s="7" t="s">
        <v>298</v>
      </c>
      <c r="CF15" s="7" t="s">
        <v>296</v>
      </c>
      <c r="CG15">
        <v>33.174999999999997</v>
      </c>
      <c r="CH15">
        <v>36.817</v>
      </c>
      <c r="CI15">
        <v>41.293999999999997</v>
      </c>
      <c r="CJ15">
        <v>5</v>
      </c>
      <c r="CK15" s="7" t="s">
        <v>291</v>
      </c>
      <c r="CL15" s="7" t="s">
        <v>297</v>
      </c>
      <c r="CM15">
        <v>28.071000000000002</v>
      </c>
      <c r="CN15">
        <v>126.399</v>
      </c>
      <c r="CO15">
        <v>126.88</v>
      </c>
      <c r="CP15">
        <v>18</v>
      </c>
      <c r="CQ15" s="7" t="s">
        <v>293</v>
      </c>
      <c r="CR15" s="7" t="s">
        <v>296</v>
      </c>
      <c r="CS15">
        <v>15.523</v>
      </c>
      <c r="CT15">
        <v>25.077999999999999</v>
      </c>
      <c r="CU15">
        <v>25.689</v>
      </c>
      <c r="CV15">
        <v>7</v>
      </c>
      <c r="CW15" s="7" t="s">
        <v>298</v>
      </c>
      <c r="CX15" s="7" t="s">
        <v>292</v>
      </c>
      <c r="CY15">
        <v>23.536999999999999</v>
      </c>
      <c r="CZ15">
        <v>50.985999999999997</v>
      </c>
      <c r="DA15">
        <v>52.701000000000001</v>
      </c>
      <c r="DB15">
        <v>15</v>
      </c>
      <c r="DC15" s="7" t="s">
        <v>298</v>
      </c>
      <c r="DD15" s="7" t="s">
        <v>292</v>
      </c>
      <c r="DE15">
        <v>34.159999999999997</v>
      </c>
      <c r="DF15">
        <v>42.265999999999998</v>
      </c>
      <c r="DG15">
        <v>42.689</v>
      </c>
      <c r="DH15">
        <v>6</v>
      </c>
      <c r="DI15" s="7" t="s">
        <v>291</v>
      </c>
      <c r="DJ15" s="7" t="s">
        <v>296</v>
      </c>
      <c r="DK15">
        <v>43.338999999999999</v>
      </c>
      <c r="DL15">
        <v>48.206000000000003</v>
      </c>
      <c r="DM15">
        <v>48.680999999999997</v>
      </c>
      <c r="DN15">
        <v>4</v>
      </c>
      <c r="DO15" s="7" t="s">
        <v>298</v>
      </c>
      <c r="DP15" s="7" t="s">
        <v>292</v>
      </c>
      <c r="DQ15">
        <v>29.338999999999999</v>
      </c>
      <c r="DR15">
        <v>36.851999999999997</v>
      </c>
      <c r="DS15">
        <v>37.701000000000001</v>
      </c>
      <c r="DT15">
        <v>5</v>
      </c>
      <c r="DU15" s="7" t="s">
        <v>299</v>
      </c>
      <c r="DV15" s="7" t="s">
        <v>294</v>
      </c>
      <c r="DW15">
        <v>14.624000000000001</v>
      </c>
      <c r="DX15">
        <v>23.102</v>
      </c>
      <c r="DY15">
        <v>23.600999999999999</v>
      </c>
      <c r="DZ15">
        <v>6</v>
      </c>
      <c r="EA15" s="7" t="s">
        <v>291</v>
      </c>
      <c r="EB15" s="7" t="s">
        <v>296</v>
      </c>
      <c r="EC15">
        <v>33.707000000000001</v>
      </c>
      <c r="ED15">
        <v>56.545999999999999</v>
      </c>
      <c r="EE15">
        <v>58.454999999999998</v>
      </c>
      <c r="EF15">
        <v>11</v>
      </c>
      <c r="EG15" s="7" t="s">
        <v>298</v>
      </c>
      <c r="EH15" s="7" t="s">
        <v>292</v>
      </c>
      <c r="EI15">
        <v>18.643999999999998</v>
      </c>
      <c r="EJ15">
        <v>88.596000000000004</v>
      </c>
      <c r="EK15">
        <v>89.100999999999999</v>
      </c>
      <c r="EL15">
        <v>12</v>
      </c>
      <c r="EM15" s="7" t="s">
        <v>298</v>
      </c>
      <c r="EN15" s="7" t="s">
        <v>296</v>
      </c>
      <c r="EO15">
        <v>18.574000000000002</v>
      </c>
      <c r="EP15">
        <v>56.820999999999998</v>
      </c>
      <c r="EQ15">
        <v>57.201000000000001</v>
      </c>
      <c r="ER15">
        <v>13</v>
      </c>
      <c r="ES15" s="7" t="s">
        <v>291</v>
      </c>
      <c r="ET15" s="7" t="s">
        <v>294</v>
      </c>
      <c r="EU15">
        <v>27.036999999999999</v>
      </c>
      <c r="EV15">
        <v>34.979999999999997</v>
      </c>
      <c r="EW15">
        <v>37.296999999999997</v>
      </c>
      <c r="EX15">
        <v>6</v>
      </c>
      <c r="EY15" s="7" t="s">
        <v>301</v>
      </c>
      <c r="EZ15" s="7" t="s">
        <v>294</v>
      </c>
      <c r="FA15">
        <v>19.440999999999999</v>
      </c>
      <c r="FB15">
        <v>34.043999999999997</v>
      </c>
      <c r="FC15">
        <v>35.496000000000002</v>
      </c>
      <c r="FD15">
        <v>9</v>
      </c>
      <c r="FE15" s="7" t="s">
        <v>300</v>
      </c>
      <c r="FF15" s="7" t="s">
        <v>296</v>
      </c>
      <c r="FG15">
        <v>19.486000000000001</v>
      </c>
      <c r="FH15">
        <v>26.170999999999999</v>
      </c>
      <c r="FI15">
        <v>27.067</v>
      </c>
      <c r="FJ15">
        <v>5</v>
      </c>
      <c r="FK15" s="7" t="s">
        <v>291</v>
      </c>
      <c r="FL15" s="7" t="s">
        <v>294</v>
      </c>
      <c r="FM15">
        <v>21.722000000000001</v>
      </c>
      <c r="FN15">
        <v>33.098999999999997</v>
      </c>
      <c r="FO15">
        <v>33.524000000000001</v>
      </c>
      <c r="FP15">
        <v>6</v>
      </c>
      <c r="FQ15" s="7" t="s">
        <v>301</v>
      </c>
      <c r="FR15" s="7" t="s">
        <v>294</v>
      </c>
      <c r="FS15">
        <v>13.347</v>
      </c>
      <c r="FT15">
        <v>19.864000000000001</v>
      </c>
      <c r="FU15">
        <v>21.6</v>
      </c>
      <c r="FV15">
        <v>5</v>
      </c>
      <c r="FW15" s="7" t="s">
        <v>300</v>
      </c>
      <c r="FX15" s="7" t="s">
        <v>296</v>
      </c>
      <c r="FY15">
        <v>38.503999999999998</v>
      </c>
      <c r="FZ15">
        <v>68.938000000000002</v>
      </c>
      <c r="GA15">
        <v>70.665000000000006</v>
      </c>
      <c r="GB15">
        <v>9</v>
      </c>
      <c r="GC15" s="7" t="s">
        <v>291</v>
      </c>
      <c r="GD15" s="7" t="s">
        <v>294</v>
      </c>
      <c r="GE15">
        <v>25.925999999999998</v>
      </c>
      <c r="GF15">
        <v>57.362000000000002</v>
      </c>
      <c r="GG15">
        <v>62.277000000000001</v>
      </c>
      <c r="GH15">
        <v>10</v>
      </c>
      <c r="GI15" s="7" t="s">
        <v>300</v>
      </c>
      <c r="GJ15" s="7" t="s">
        <v>296</v>
      </c>
      <c r="GK15">
        <v>13.763</v>
      </c>
      <c r="GL15">
        <v>27.19</v>
      </c>
      <c r="GM15">
        <v>28.48</v>
      </c>
      <c r="GN15">
        <v>6</v>
      </c>
      <c r="GO15" s="7" t="s">
        <v>291</v>
      </c>
      <c r="GP15" s="7" t="s">
        <v>296</v>
      </c>
      <c r="GQ15">
        <v>22.131</v>
      </c>
      <c r="GR15">
        <v>26.076000000000001</v>
      </c>
      <c r="GS15">
        <v>27.86</v>
      </c>
      <c r="GT15">
        <v>5</v>
      </c>
      <c r="GU15" s="7" t="s">
        <v>291</v>
      </c>
      <c r="GV15" s="7" t="s">
        <v>294</v>
      </c>
      <c r="GW15">
        <v>12.38</v>
      </c>
      <c r="GX15">
        <v>37.78</v>
      </c>
      <c r="GY15">
        <v>38.865000000000002</v>
      </c>
      <c r="GZ15">
        <v>7</v>
      </c>
      <c r="HA15" s="7" t="s">
        <v>301</v>
      </c>
      <c r="HB15" s="7" t="s">
        <v>294</v>
      </c>
      <c r="HC15">
        <v>34.524999999999999</v>
      </c>
      <c r="HD15">
        <v>104.16200000000001</v>
      </c>
      <c r="HE15">
        <v>105.063</v>
      </c>
      <c r="HF15">
        <v>20</v>
      </c>
      <c r="HG15" s="7" t="s">
        <v>301</v>
      </c>
      <c r="HH15" s="7" t="s">
        <v>294</v>
      </c>
      <c r="HI15">
        <v>3.2229999999999999</v>
      </c>
      <c r="HJ15">
        <v>117.27200000000001</v>
      </c>
      <c r="HK15">
        <v>118.70399999999999</v>
      </c>
      <c r="HL15">
        <v>11</v>
      </c>
      <c r="HM15" s="7" t="s">
        <v>462</v>
      </c>
      <c r="HN15" s="7" t="s">
        <v>463</v>
      </c>
      <c r="HO15" s="7" t="s">
        <v>464</v>
      </c>
      <c r="HP15" s="7" t="s">
        <v>465</v>
      </c>
      <c r="HQ15" s="7" t="s">
        <v>466</v>
      </c>
      <c r="HR15" s="7" t="s">
        <v>467</v>
      </c>
      <c r="HS15" s="7" t="s">
        <v>468</v>
      </c>
      <c r="HT15" s="7" t="s">
        <v>469</v>
      </c>
      <c r="HU15" s="7" t="s">
        <v>470</v>
      </c>
      <c r="HV15" s="7" t="s">
        <v>471</v>
      </c>
      <c r="HW15" s="7" t="s">
        <v>282</v>
      </c>
      <c r="HX15" s="7" t="s">
        <v>282</v>
      </c>
      <c r="HY15" s="7" t="s">
        <v>312</v>
      </c>
      <c r="HZ15" s="7" t="s">
        <v>356</v>
      </c>
      <c r="IA15" s="7" t="s">
        <v>313</v>
      </c>
      <c r="IB15" s="7" t="s">
        <v>282</v>
      </c>
      <c r="IC15" s="7" t="s">
        <v>282</v>
      </c>
    </row>
    <row r="16" spans="1:237" x14ac:dyDescent="0.2">
      <c r="A16" s="6">
        <v>45745.500243055554</v>
      </c>
      <c r="B16" s="6">
        <v>45745.513483796298</v>
      </c>
      <c r="C16" s="7" t="s">
        <v>240</v>
      </c>
      <c r="D16" s="7" t="s">
        <v>472</v>
      </c>
      <c r="E16">
        <v>100</v>
      </c>
      <c r="F16">
        <v>1143</v>
      </c>
      <c r="G16" s="7" t="s">
        <v>280</v>
      </c>
      <c r="H16" s="6">
        <v>45745.513492106482</v>
      </c>
      <c r="I16" s="7" t="s">
        <v>473</v>
      </c>
      <c r="J16" s="7" t="s">
        <v>282</v>
      </c>
      <c r="K16" s="7" t="s">
        <v>282</v>
      </c>
      <c r="L16" s="7" t="s">
        <v>282</v>
      </c>
      <c r="M16" s="7" t="s">
        <v>282</v>
      </c>
      <c r="N16">
        <v>51.040599999999998</v>
      </c>
      <c r="O16">
        <v>-114.07640000000001</v>
      </c>
      <c r="P16" s="7" t="s">
        <v>283</v>
      </c>
      <c r="Q16" s="7" t="s">
        <v>284</v>
      </c>
      <c r="R16">
        <v>0.89999997615814209</v>
      </c>
      <c r="S16" s="7" t="s">
        <v>285</v>
      </c>
      <c r="T16" s="7" t="s">
        <v>285</v>
      </c>
      <c r="U16" s="7" t="s">
        <v>285</v>
      </c>
      <c r="V16" s="7" t="s">
        <v>285</v>
      </c>
      <c r="W16" s="7" t="s">
        <v>412</v>
      </c>
      <c r="X16" s="7" t="s">
        <v>287</v>
      </c>
      <c r="Y16" s="7" t="s">
        <v>288</v>
      </c>
      <c r="Z16" s="7" t="s">
        <v>289</v>
      </c>
      <c r="AA16" s="7" t="s">
        <v>289</v>
      </c>
      <c r="AB16" s="7" t="s">
        <v>289</v>
      </c>
      <c r="AC16" s="7" t="s">
        <v>291</v>
      </c>
      <c r="AD16" s="7" t="s">
        <v>294</v>
      </c>
      <c r="AE16">
        <v>1.1459999999999999</v>
      </c>
      <c r="AF16">
        <v>10.4</v>
      </c>
      <c r="AG16">
        <v>11.141</v>
      </c>
      <c r="AH16">
        <v>5</v>
      </c>
      <c r="AI16" s="7" t="s">
        <v>293</v>
      </c>
      <c r="AJ16" s="7" t="s">
        <v>294</v>
      </c>
      <c r="AK16">
        <v>1.097</v>
      </c>
      <c r="AL16">
        <v>15.827999999999999</v>
      </c>
      <c r="AM16">
        <v>16.744</v>
      </c>
      <c r="AN16">
        <v>7</v>
      </c>
      <c r="AO16" s="7" t="s">
        <v>293</v>
      </c>
      <c r="AP16" s="7" t="s">
        <v>294</v>
      </c>
      <c r="AQ16">
        <v>0.95199999999999996</v>
      </c>
      <c r="AR16">
        <v>18.831</v>
      </c>
      <c r="AS16">
        <v>19.670999999999999</v>
      </c>
      <c r="AT16">
        <v>7</v>
      </c>
      <c r="AU16" s="7" t="s">
        <v>295</v>
      </c>
      <c r="AV16" s="7" t="s">
        <v>296</v>
      </c>
      <c r="AW16">
        <v>1.38</v>
      </c>
      <c r="AX16">
        <v>16.077999999999999</v>
      </c>
      <c r="AY16">
        <v>16.742999999999999</v>
      </c>
      <c r="AZ16">
        <v>7</v>
      </c>
      <c r="BA16" s="7" t="s">
        <v>295</v>
      </c>
      <c r="BB16" s="7" t="s">
        <v>292</v>
      </c>
      <c r="BC16">
        <v>0.997</v>
      </c>
      <c r="BD16">
        <v>22.856000000000002</v>
      </c>
      <c r="BE16">
        <v>23.600999999999999</v>
      </c>
      <c r="BF16">
        <v>8</v>
      </c>
      <c r="BG16" s="7" t="s">
        <v>291</v>
      </c>
      <c r="BH16" s="7" t="s">
        <v>294</v>
      </c>
      <c r="BI16">
        <v>1.08</v>
      </c>
      <c r="BJ16">
        <v>15.957000000000001</v>
      </c>
      <c r="BK16">
        <v>17.088999999999999</v>
      </c>
      <c r="BL16">
        <v>9</v>
      </c>
      <c r="BM16" s="7" t="s">
        <v>293</v>
      </c>
      <c r="BN16" s="7" t="s">
        <v>294</v>
      </c>
      <c r="BO16">
        <v>0.98899999999999999</v>
      </c>
      <c r="BP16">
        <v>14.599</v>
      </c>
      <c r="BQ16">
        <v>15.101000000000001</v>
      </c>
      <c r="BR16">
        <v>6</v>
      </c>
      <c r="BS16" s="7" t="s">
        <v>282</v>
      </c>
      <c r="BT16" s="7" t="s">
        <v>297</v>
      </c>
      <c r="BU16">
        <v>1.0249999999999999</v>
      </c>
      <c r="BV16">
        <v>23.288</v>
      </c>
      <c r="BW16">
        <v>24.004999999999999</v>
      </c>
      <c r="BX16">
        <v>8</v>
      </c>
      <c r="BY16" s="7" t="s">
        <v>282</v>
      </c>
      <c r="BZ16" s="7" t="s">
        <v>297</v>
      </c>
      <c r="CA16">
        <v>11.086</v>
      </c>
      <c r="CB16">
        <v>83.67</v>
      </c>
      <c r="CC16">
        <v>84.44</v>
      </c>
      <c r="CD16">
        <v>16</v>
      </c>
      <c r="CE16" s="7" t="s">
        <v>298</v>
      </c>
      <c r="CF16" s="7" t="s">
        <v>292</v>
      </c>
      <c r="CG16">
        <v>1.2310000000000001</v>
      </c>
      <c r="CH16">
        <v>17.530999999999999</v>
      </c>
      <c r="CI16">
        <v>18.225999999999999</v>
      </c>
      <c r="CJ16">
        <v>6</v>
      </c>
      <c r="CK16" s="7" t="s">
        <v>291</v>
      </c>
      <c r="CL16" s="7" t="s">
        <v>296</v>
      </c>
      <c r="CM16">
        <v>7.1239999999999997</v>
      </c>
      <c r="CN16">
        <v>18.937999999999999</v>
      </c>
      <c r="CO16">
        <v>19.992000000000001</v>
      </c>
      <c r="CP16">
        <v>8</v>
      </c>
      <c r="CQ16" s="7" t="s">
        <v>293</v>
      </c>
      <c r="CR16" s="7" t="s">
        <v>294</v>
      </c>
      <c r="CS16">
        <v>0.98199999999999998</v>
      </c>
      <c r="CT16">
        <v>15.977</v>
      </c>
      <c r="CU16">
        <v>16.605</v>
      </c>
      <c r="CV16">
        <v>8</v>
      </c>
      <c r="CW16" s="7" t="s">
        <v>282</v>
      </c>
      <c r="CX16" s="7" t="s">
        <v>297</v>
      </c>
      <c r="CY16">
        <v>1.1100000000000001</v>
      </c>
      <c r="CZ16">
        <v>19.053000000000001</v>
      </c>
      <c r="DA16">
        <v>19.809000000000001</v>
      </c>
      <c r="DB16">
        <v>9</v>
      </c>
      <c r="DC16" s="7" t="s">
        <v>298</v>
      </c>
      <c r="DD16" s="7" t="s">
        <v>292</v>
      </c>
      <c r="DE16">
        <v>0.89400000000000002</v>
      </c>
      <c r="DF16">
        <v>13.597</v>
      </c>
      <c r="DG16">
        <v>14.162000000000001</v>
      </c>
      <c r="DH16">
        <v>10</v>
      </c>
      <c r="DI16" s="7" t="s">
        <v>298</v>
      </c>
      <c r="DJ16" s="7" t="s">
        <v>296</v>
      </c>
      <c r="DK16">
        <v>1.0660000000000001</v>
      </c>
      <c r="DL16">
        <v>14.882999999999999</v>
      </c>
      <c r="DM16">
        <v>15.614000000000001</v>
      </c>
      <c r="DN16">
        <v>8</v>
      </c>
      <c r="DO16" s="7" t="s">
        <v>291</v>
      </c>
      <c r="DP16" s="7" t="s">
        <v>292</v>
      </c>
      <c r="DQ16">
        <v>1.1919999999999999</v>
      </c>
      <c r="DR16">
        <v>26.077999999999999</v>
      </c>
      <c r="DS16">
        <v>26.940999999999999</v>
      </c>
      <c r="DT16">
        <v>9</v>
      </c>
      <c r="DU16" s="7" t="s">
        <v>293</v>
      </c>
      <c r="DV16" s="7" t="s">
        <v>294</v>
      </c>
      <c r="DW16">
        <v>0.95699999999999996</v>
      </c>
      <c r="DX16">
        <v>16.628</v>
      </c>
      <c r="DY16">
        <v>17.300999999999998</v>
      </c>
      <c r="DZ16">
        <v>9</v>
      </c>
      <c r="EA16" s="7" t="s">
        <v>299</v>
      </c>
      <c r="EB16" s="7" t="s">
        <v>297</v>
      </c>
      <c r="EC16">
        <v>3.3439999999999999</v>
      </c>
      <c r="ED16">
        <v>53.341999999999999</v>
      </c>
      <c r="EE16">
        <v>54.027000000000001</v>
      </c>
      <c r="EF16">
        <v>11</v>
      </c>
      <c r="EG16" s="7" t="s">
        <v>295</v>
      </c>
      <c r="EH16" s="7" t="s">
        <v>292</v>
      </c>
      <c r="EI16">
        <v>1.19</v>
      </c>
      <c r="EJ16">
        <v>16.82</v>
      </c>
      <c r="EK16">
        <v>17.654</v>
      </c>
      <c r="EL16">
        <v>7</v>
      </c>
      <c r="EM16" s="7" t="s">
        <v>298</v>
      </c>
      <c r="EN16" s="7" t="s">
        <v>294</v>
      </c>
      <c r="EO16">
        <v>1.1339999999999999</v>
      </c>
      <c r="EP16">
        <v>12.429</v>
      </c>
      <c r="EQ16">
        <v>13.335000000000001</v>
      </c>
      <c r="ER16">
        <v>6</v>
      </c>
      <c r="ES16" s="7" t="s">
        <v>291</v>
      </c>
      <c r="ET16" s="7" t="s">
        <v>294</v>
      </c>
      <c r="EU16">
        <v>1.052</v>
      </c>
      <c r="EV16">
        <v>12.566000000000001</v>
      </c>
      <c r="EW16">
        <v>13.08</v>
      </c>
      <c r="EX16">
        <v>6</v>
      </c>
      <c r="EY16" s="7" t="s">
        <v>300</v>
      </c>
      <c r="EZ16" s="7" t="s">
        <v>294</v>
      </c>
      <c r="FA16">
        <v>0.97499999999999998</v>
      </c>
      <c r="FB16">
        <v>10.669</v>
      </c>
      <c r="FC16">
        <v>11.098000000000001</v>
      </c>
      <c r="FD16">
        <v>7</v>
      </c>
      <c r="FE16" s="7" t="s">
        <v>301</v>
      </c>
      <c r="FF16" s="7" t="s">
        <v>294</v>
      </c>
      <c r="FG16">
        <v>2.5230000000000001</v>
      </c>
      <c r="FH16">
        <v>10.391</v>
      </c>
      <c r="FI16">
        <v>11.169</v>
      </c>
      <c r="FJ16">
        <v>10</v>
      </c>
      <c r="FK16" s="7" t="s">
        <v>291</v>
      </c>
      <c r="FL16" s="7" t="s">
        <v>294</v>
      </c>
      <c r="FM16">
        <v>1.1240000000000001</v>
      </c>
      <c r="FN16">
        <v>11.393000000000001</v>
      </c>
      <c r="FO16">
        <v>12.101000000000001</v>
      </c>
      <c r="FP16">
        <v>8</v>
      </c>
      <c r="FQ16" s="7" t="s">
        <v>300</v>
      </c>
      <c r="FR16" s="7" t="s">
        <v>294</v>
      </c>
      <c r="FS16">
        <v>0.999</v>
      </c>
      <c r="FT16">
        <v>13.685</v>
      </c>
      <c r="FU16">
        <v>14.180999999999999</v>
      </c>
      <c r="FV16">
        <v>7</v>
      </c>
      <c r="FW16" s="7" t="s">
        <v>301</v>
      </c>
      <c r="FX16" s="7" t="s">
        <v>294</v>
      </c>
      <c r="FY16">
        <v>1.016</v>
      </c>
      <c r="FZ16">
        <v>13.159000000000001</v>
      </c>
      <c r="GA16">
        <v>13.701000000000001</v>
      </c>
      <c r="GB16">
        <v>7</v>
      </c>
      <c r="GC16" s="7" t="s">
        <v>291</v>
      </c>
      <c r="GD16" s="7" t="s">
        <v>294</v>
      </c>
      <c r="GE16">
        <v>0.96899999999999997</v>
      </c>
      <c r="GF16">
        <v>9.6470000000000002</v>
      </c>
      <c r="GG16">
        <v>10.243</v>
      </c>
      <c r="GH16">
        <v>8</v>
      </c>
      <c r="GI16" s="7" t="s">
        <v>300</v>
      </c>
      <c r="GJ16" s="7" t="s">
        <v>294</v>
      </c>
      <c r="GK16">
        <v>1.377</v>
      </c>
      <c r="GL16">
        <v>16.105</v>
      </c>
      <c r="GM16">
        <v>16.881</v>
      </c>
      <c r="GN16">
        <v>9</v>
      </c>
      <c r="GO16" s="7" t="s">
        <v>301</v>
      </c>
      <c r="GP16" s="7" t="s">
        <v>294</v>
      </c>
      <c r="GQ16">
        <v>5.0140000000000002</v>
      </c>
      <c r="GR16">
        <v>16.405000000000001</v>
      </c>
      <c r="GS16">
        <v>17.161000000000001</v>
      </c>
      <c r="GT16">
        <v>6</v>
      </c>
      <c r="GU16" s="7" t="s">
        <v>291</v>
      </c>
      <c r="GV16" s="7" t="s">
        <v>294</v>
      </c>
      <c r="GW16">
        <v>0.86599999999999999</v>
      </c>
      <c r="GX16">
        <v>11.212</v>
      </c>
      <c r="GY16">
        <v>11.678000000000001</v>
      </c>
      <c r="GZ16">
        <v>8</v>
      </c>
      <c r="HA16" s="7" t="s">
        <v>300</v>
      </c>
      <c r="HB16" s="7" t="s">
        <v>294</v>
      </c>
      <c r="HC16">
        <v>0.94199999999999995</v>
      </c>
      <c r="HD16">
        <v>10.266</v>
      </c>
      <c r="HE16">
        <v>10.601000000000001</v>
      </c>
      <c r="HF16">
        <v>9</v>
      </c>
      <c r="HG16" s="7" t="s">
        <v>300</v>
      </c>
      <c r="HH16" s="7" t="s">
        <v>296</v>
      </c>
      <c r="HI16">
        <v>0.90300000000000002</v>
      </c>
      <c r="HJ16">
        <v>14.731999999999999</v>
      </c>
      <c r="HK16">
        <v>15.260999999999999</v>
      </c>
      <c r="HL16">
        <v>9</v>
      </c>
      <c r="HM16" s="7" t="s">
        <v>474</v>
      </c>
      <c r="HN16" s="7" t="s">
        <v>475</v>
      </c>
      <c r="HO16" s="7" t="s">
        <v>476</v>
      </c>
      <c r="HP16" s="7" t="s">
        <v>477</v>
      </c>
      <c r="HQ16" s="7" t="s">
        <v>478</v>
      </c>
      <c r="HR16" s="7" t="s">
        <v>479</v>
      </c>
      <c r="HS16" s="7" t="s">
        <v>480</v>
      </c>
      <c r="HT16" s="7" t="s">
        <v>481</v>
      </c>
      <c r="HU16" s="7" t="s">
        <v>482</v>
      </c>
      <c r="HV16" s="7" t="s">
        <v>483</v>
      </c>
      <c r="HW16" s="7" t="s">
        <v>282</v>
      </c>
      <c r="HX16" s="7" t="s">
        <v>282</v>
      </c>
      <c r="HY16" s="7" t="s">
        <v>312</v>
      </c>
      <c r="HZ16" s="7" t="s">
        <v>372</v>
      </c>
      <c r="IA16" s="7" t="s">
        <v>325</v>
      </c>
      <c r="IB16" s="7" t="s">
        <v>282</v>
      </c>
      <c r="IC16" s="7" t="s">
        <v>282</v>
      </c>
    </row>
    <row r="17" spans="1:237" x14ac:dyDescent="0.2">
      <c r="A17" s="6">
        <v>45745.773414351854</v>
      </c>
      <c r="B17" s="6">
        <v>45745.788761574076</v>
      </c>
      <c r="C17" s="7" t="s">
        <v>240</v>
      </c>
      <c r="D17" s="7" t="s">
        <v>484</v>
      </c>
      <c r="E17">
        <v>100</v>
      </c>
      <c r="F17">
        <v>1325</v>
      </c>
      <c r="G17" s="7" t="s">
        <v>280</v>
      </c>
      <c r="H17" s="6">
        <v>45745.788773217595</v>
      </c>
      <c r="I17" s="7" t="s">
        <v>485</v>
      </c>
      <c r="J17" s="7" t="s">
        <v>282</v>
      </c>
      <c r="K17" s="7" t="s">
        <v>282</v>
      </c>
      <c r="L17" s="7" t="s">
        <v>282</v>
      </c>
      <c r="M17" s="7" t="s">
        <v>282</v>
      </c>
      <c r="N17">
        <v>-37.835099999999997</v>
      </c>
      <c r="O17">
        <v>145.1285</v>
      </c>
      <c r="P17" s="7" t="s">
        <v>283</v>
      </c>
      <c r="Q17" s="7" t="s">
        <v>284</v>
      </c>
      <c r="R17">
        <v>0.69999998807907104</v>
      </c>
      <c r="S17" s="7" t="s">
        <v>285</v>
      </c>
      <c r="T17" s="7" t="s">
        <v>285</v>
      </c>
      <c r="U17" s="7" t="s">
        <v>285</v>
      </c>
      <c r="V17" s="7" t="s">
        <v>285</v>
      </c>
      <c r="W17" s="7" t="s">
        <v>412</v>
      </c>
      <c r="X17" s="7" t="s">
        <v>486</v>
      </c>
      <c r="Y17" s="7" t="s">
        <v>288</v>
      </c>
      <c r="Z17" s="7" t="s">
        <v>289</v>
      </c>
      <c r="AA17" s="7" t="s">
        <v>329</v>
      </c>
      <c r="AB17" s="7" t="s">
        <v>317</v>
      </c>
      <c r="AC17" s="7" t="s">
        <v>291</v>
      </c>
      <c r="AD17" s="7" t="s">
        <v>296</v>
      </c>
      <c r="AE17">
        <v>8.7889999999999997</v>
      </c>
      <c r="AF17">
        <v>9.9559999999999995</v>
      </c>
      <c r="AG17">
        <v>10.504</v>
      </c>
      <c r="AH17">
        <v>2</v>
      </c>
      <c r="AI17" s="7" t="s">
        <v>293</v>
      </c>
      <c r="AJ17" s="7" t="s">
        <v>294</v>
      </c>
      <c r="AK17">
        <v>4.0149999999999997</v>
      </c>
      <c r="AL17">
        <v>5.0540000000000003</v>
      </c>
      <c r="AM17">
        <v>8.7119999999999997</v>
      </c>
      <c r="AN17">
        <v>2</v>
      </c>
      <c r="AO17" s="7" t="s">
        <v>293</v>
      </c>
      <c r="AP17" s="7" t="s">
        <v>296</v>
      </c>
      <c r="AQ17">
        <v>6.1369999999999996</v>
      </c>
      <c r="AR17">
        <v>9.0980000000000008</v>
      </c>
      <c r="AS17">
        <v>9.5540000000000003</v>
      </c>
      <c r="AT17">
        <v>4</v>
      </c>
      <c r="AU17" s="7" t="s">
        <v>295</v>
      </c>
      <c r="AV17" s="7" t="s">
        <v>296</v>
      </c>
      <c r="AW17">
        <v>4.8140000000000001</v>
      </c>
      <c r="AX17">
        <v>6.3019999999999996</v>
      </c>
      <c r="AY17">
        <v>8.7870000000000008</v>
      </c>
      <c r="AZ17">
        <v>3</v>
      </c>
      <c r="BA17" s="7" t="s">
        <v>295</v>
      </c>
      <c r="BB17" s="7" t="s">
        <v>294</v>
      </c>
      <c r="BC17">
        <v>11.305999999999999</v>
      </c>
      <c r="BD17">
        <v>12.901</v>
      </c>
      <c r="BE17">
        <v>13.483000000000001</v>
      </c>
      <c r="BF17">
        <v>3</v>
      </c>
      <c r="BG17" s="7" t="s">
        <v>291</v>
      </c>
      <c r="BH17" s="7" t="s">
        <v>294</v>
      </c>
      <c r="BI17">
        <v>6.6120000000000001</v>
      </c>
      <c r="BJ17">
        <v>9.6029999999999998</v>
      </c>
      <c r="BK17">
        <v>10.298</v>
      </c>
      <c r="BL17">
        <v>4</v>
      </c>
      <c r="BM17" s="7" t="s">
        <v>293</v>
      </c>
      <c r="BN17" s="7" t="s">
        <v>296</v>
      </c>
      <c r="BO17">
        <v>5.9180000000000001</v>
      </c>
      <c r="BP17">
        <v>7.3120000000000003</v>
      </c>
      <c r="BQ17">
        <v>8.6769999999999996</v>
      </c>
      <c r="BR17">
        <v>3</v>
      </c>
      <c r="BS17" s="7" t="s">
        <v>293</v>
      </c>
      <c r="BT17" s="7" t="s">
        <v>292</v>
      </c>
      <c r="BU17">
        <v>15.076000000000001</v>
      </c>
      <c r="BV17">
        <v>17.504000000000001</v>
      </c>
      <c r="BW17">
        <v>17.786000000000001</v>
      </c>
      <c r="BX17">
        <v>3</v>
      </c>
      <c r="BY17" s="7" t="s">
        <v>295</v>
      </c>
      <c r="BZ17" s="7" t="s">
        <v>296</v>
      </c>
      <c r="CA17">
        <v>5.5940000000000003</v>
      </c>
      <c r="CB17">
        <v>7.806</v>
      </c>
      <c r="CC17">
        <v>8.641</v>
      </c>
      <c r="CD17">
        <v>6</v>
      </c>
      <c r="CE17" s="7" t="s">
        <v>298</v>
      </c>
      <c r="CF17" s="7" t="s">
        <v>296</v>
      </c>
      <c r="CG17">
        <v>5.492</v>
      </c>
      <c r="CH17">
        <v>6.8920000000000003</v>
      </c>
      <c r="CI17">
        <v>8.7639999999999993</v>
      </c>
      <c r="CJ17">
        <v>3</v>
      </c>
      <c r="CK17" s="7" t="s">
        <v>291</v>
      </c>
      <c r="CL17" s="7" t="s">
        <v>294</v>
      </c>
      <c r="CM17">
        <v>10.3</v>
      </c>
      <c r="CN17">
        <v>12.831</v>
      </c>
      <c r="CO17">
        <v>13.385</v>
      </c>
      <c r="CP17">
        <v>3</v>
      </c>
      <c r="CQ17" s="7" t="s">
        <v>293</v>
      </c>
      <c r="CR17" s="7" t="s">
        <v>292</v>
      </c>
      <c r="CS17">
        <v>23.111999999999998</v>
      </c>
      <c r="CT17">
        <v>282.48899999999998</v>
      </c>
      <c r="CU17">
        <v>283.49700000000001</v>
      </c>
      <c r="CV17">
        <v>2</v>
      </c>
      <c r="CW17" s="7" t="s">
        <v>293</v>
      </c>
      <c r="CX17" s="7" t="s">
        <v>294</v>
      </c>
      <c r="CY17">
        <v>4.1369999999999996</v>
      </c>
      <c r="CZ17">
        <v>5.8970000000000002</v>
      </c>
      <c r="DA17">
        <v>8.65</v>
      </c>
      <c r="DB17">
        <v>2</v>
      </c>
      <c r="DC17" s="7" t="s">
        <v>295</v>
      </c>
      <c r="DD17" s="7" t="s">
        <v>296</v>
      </c>
      <c r="DE17">
        <v>6.2779999999999996</v>
      </c>
      <c r="DF17">
        <v>7.4690000000000003</v>
      </c>
      <c r="DG17">
        <v>8.5749999999999993</v>
      </c>
      <c r="DH17">
        <v>2</v>
      </c>
      <c r="DI17" s="7" t="s">
        <v>298</v>
      </c>
      <c r="DJ17" s="7" t="s">
        <v>294</v>
      </c>
      <c r="DK17">
        <v>100.30500000000001</v>
      </c>
      <c r="DL17">
        <v>102.44199999999999</v>
      </c>
      <c r="DM17">
        <v>103.28</v>
      </c>
      <c r="DN17">
        <v>3</v>
      </c>
      <c r="DO17" s="7" t="s">
        <v>291</v>
      </c>
      <c r="DP17" s="7" t="s">
        <v>294</v>
      </c>
      <c r="DQ17">
        <v>8.6609999999999996</v>
      </c>
      <c r="DR17">
        <v>10.090999999999999</v>
      </c>
      <c r="DS17">
        <v>10.445</v>
      </c>
      <c r="DT17">
        <v>3</v>
      </c>
      <c r="DU17" s="7" t="s">
        <v>293</v>
      </c>
      <c r="DV17" s="7" t="s">
        <v>294</v>
      </c>
      <c r="DW17">
        <v>8.702</v>
      </c>
      <c r="DX17">
        <v>10.135</v>
      </c>
      <c r="DY17">
        <v>10.666</v>
      </c>
      <c r="DZ17">
        <v>3</v>
      </c>
      <c r="EA17" s="7" t="s">
        <v>299</v>
      </c>
      <c r="EB17" s="7" t="s">
        <v>292</v>
      </c>
      <c r="EC17">
        <v>6.4749999999999996</v>
      </c>
      <c r="ED17">
        <v>8.5449999999999999</v>
      </c>
      <c r="EE17">
        <v>9.1050000000000004</v>
      </c>
      <c r="EF17">
        <v>3</v>
      </c>
      <c r="EG17" s="7" t="s">
        <v>295</v>
      </c>
      <c r="EH17" s="7" t="s">
        <v>294</v>
      </c>
      <c r="EI17">
        <v>6.6740000000000004</v>
      </c>
      <c r="EJ17">
        <v>7.89</v>
      </c>
      <c r="EK17">
        <v>8.6999999999999993</v>
      </c>
      <c r="EL17">
        <v>2</v>
      </c>
      <c r="EM17" s="7" t="s">
        <v>298</v>
      </c>
      <c r="EN17" s="7" t="s">
        <v>294</v>
      </c>
      <c r="EO17">
        <v>7.492</v>
      </c>
      <c r="EP17">
        <v>9.0969999999999995</v>
      </c>
      <c r="EQ17">
        <v>9.5630000000000006</v>
      </c>
      <c r="ER17">
        <v>2</v>
      </c>
      <c r="ES17" s="7" t="s">
        <v>291</v>
      </c>
      <c r="ET17" s="7" t="s">
        <v>292</v>
      </c>
      <c r="EU17">
        <v>8.0559999999999992</v>
      </c>
      <c r="EV17">
        <v>12.831</v>
      </c>
      <c r="EW17">
        <v>13.531000000000001</v>
      </c>
      <c r="EX17">
        <v>5</v>
      </c>
      <c r="EY17" s="7" t="s">
        <v>300</v>
      </c>
      <c r="EZ17" s="7" t="s">
        <v>294</v>
      </c>
      <c r="FA17">
        <v>4.7249999999999996</v>
      </c>
      <c r="FB17">
        <v>5.98</v>
      </c>
      <c r="FC17">
        <v>9.3819999999999997</v>
      </c>
      <c r="FD17">
        <v>2</v>
      </c>
      <c r="FE17" s="7" t="s">
        <v>301</v>
      </c>
      <c r="FF17" s="7" t="s">
        <v>294</v>
      </c>
      <c r="FG17">
        <v>10.599</v>
      </c>
      <c r="FH17">
        <v>15.473000000000001</v>
      </c>
      <c r="FI17">
        <v>16.378</v>
      </c>
      <c r="FJ17">
        <v>4</v>
      </c>
      <c r="FK17" s="7" t="s">
        <v>291</v>
      </c>
      <c r="FL17" s="7" t="s">
        <v>294</v>
      </c>
      <c r="FM17">
        <v>6.4729999999999999</v>
      </c>
      <c r="FN17">
        <v>7.7060000000000004</v>
      </c>
      <c r="FO17">
        <v>8.8840000000000003</v>
      </c>
      <c r="FP17">
        <v>2</v>
      </c>
      <c r="FQ17" s="7" t="s">
        <v>300</v>
      </c>
      <c r="FR17" s="7" t="s">
        <v>294</v>
      </c>
      <c r="FS17">
        <v>6.484</v>
      </c>
      <c r="FT17">
        <v>9.7390000000000008</v>
      </c>
      <c r="FU17">
        <v>10.472</v>
      </c>
      <c r="FV17">
        <v>2</v>
      </c>
      <c r="FW17" s="7" t="s">
        <v>301</v>
      </c>
      <c r="FX17" s="7" t="s">
        <v>296</v>
      </c>
      <c r="FY17">
        <v>5.7270000000000003</v>
      </c>
      <c r="FZ17">
        <v>7.8689999999999998</v>
      </c>
      <c r="GA17">
        <v>9.5519999999999996</v>
      </c>
      <c r="GB17">
        <v>2</v>
      </c>
      <c r="GC17" s="7" t="s">
        <v>291</v>
      </c>
      <c r="GD17" s="7" t="s">
        <v>294</v>
      </c>
      <c r="GE17">
        <v>6.07</v>
      </c>
      <c r="GF17">
        <v>7.516</v>
      </c>
      <c r="GG17">
        <v>8.6959999999999997</v>
      </c>
      <c r="GH17">
        <v>2</v>
      </c>
      <c r="GI17" s="7" t="s">
        <v>300</v>
      </c>
      <c r="GJ17" s="7" t="s">
        <v>294</v>
      </c>
      <c r="GK17">
        <v>5.58</v>
      </c>
      <c r="GL17">
        <v>7.0750000000000002</v>
      </c>
      <c r="GM17">
        <v>8.6820000000000004</v>
      </c>
      <c r="GN17">
        <v>2</v>
      </c>
      <c r="GO17" s="7" t="s">
        <v>301</v>
      </c>
      <c r="GP17" s="7" t="s">
        <v>292</v>
      </c>
      <c r="GQ17">
        <v>18.050999999999998</v>
      </c>
      <c r="GR17">
        <v>19.652000000000001</v>
      </c>
      <c r="GS17">
        <v>20.346</v>
      </c>
      <c r="GT17">
        <v>2</v>
      </c>
      <c r="GU17" s="7" t="s">
        <v>291</v>
      </c>
      <c r="GV17" s="7" t="s">
        <v>296</v>
      </c>
      <c r="GW17">
        <v>18.302</v>
      </c>
      <c r="GX17">
        <v>19.263999999999999</v>
      </c>
      <c r="GY17">
        <v>19.771999999999998</v>
      </c>
      <c r="GZ17">
        <v>2</v>
      </c>
      <c r="HA17" s="7" t="s">
        <v>300</v>
      </c>
      <c r="HB17" s="7" t="s">
        <v>294</v>
      </c>
      <c r="HC17">
        <v>5.2039999999999997</v>
      </c>
      <c r="HD17">
        <v>6.2839999999999998</v>
      </c>
      <c r="HE17">
        <v>8.6999999999999993</v>
      </c>
      <c r="HF17">
        <v>2</v>
      </c>
      <c r="HG17" s="7" t="s">
        <v>301</v>
      </c>
      <c r="HH17" s="7" t="s">
        <v>297</v>
      </c>
      <c r="HI17">
        <v>331.01499999999999</v>
      </c>
      <c r="HJ17">
        <v>333.05</v>
      </c>
      <c r="HK17">
        <v>334.22</v>
      </c>
      <c r="HL17">
        <v>3</v>
      </c>
      <c r="HM17" s="7" t="s">
        <v>487</v>
      </c>
      <c r="HN17" s="7" t="s">
        <v>488</v>
      </c>
      <c r="HO17" s="7" t="s">
        <v>489</v>
      </c>
      <c r="HP17" s="7" t="s">
        <v>489</v>
      </c>
      <c r="HQ17" s="7" t="s">
        <v>490</v>
      </c>
      <c r="HR17" s="7" t="s">
        <v>490</v>
      </c>
      <c r="HS17" s="7" t="s">
        <v>491</v>
      </c>
      <c r="HT17" s="7" t="s">
        <v>491</v>
      </c>
      <c r="HU17" s="7" t="s">
        <v>492</v>
      </c>
      <c r="HV17" s="7" t="s">
        <v>492</v>
      </c>
      <c r="HW17" s="7" t="s">
        <v>282</v>
      </c>
      <c r="HX17" s="7" t="s">
        <v>493</v>
      </c>
      <c r="HY17" s="7" t="s">
        <v>312</v>
      </c>
      <c r="HZ17" s="7" t="s">
        <v>356</v>
      </c>
      <c r="IA17" s="7" t="s">
        <v>313</v>
      </c>
      <c r="IB17" s="7" t="s">
        <v>282</v>
      </c>
      <c r="IC17" s="7" t="s">
        <v>282</v>
      </c>
    </row>
    <row r="18" spans="1:237" x14ac:dyDescent="0.2">
      <c r="A18" s="6">
        <v>45739.228414351855</v>
      </c>
      <c r="B18" s="6">
        <v>45739.23027777778</v>
      </c>
      <c r="C18" s="7" t="s">
        <v>240</v>
      </c>
      <c r="D18" s="7" t="s">
        <v>494</v>
      </c>
      <c r="E18">
        <v>17</v>
      </c>
      <c r="F18">
        <v>160</v>
      </c>
      <c r="G18" s="7" t="s">
        <v>495</v>
      </c>
      <c r="H18" s="6">
        <v>45746.23033259259</v>
      </c>
      <c r="I18" s="7" t="s">
        <v>496</v>
      </c>
      <c r="J18" s="7" t="s">
        <v>282</v>
      </c>
      <c r="K18" s="7" t="s">
        <v>282</v>
      </c>
      <c r="L18" s="7" t="s">
        <v>282</v>
      </c>
      <c r="M18" s="7" t="s">
        <v>282</v>
      </c>
      <c r="N18">
        <v>51.045499999999997</v>
      </c>
      <c r="O18">
        <v>-114.19880000000001</v>
      </c>
      <c r="P18" s="7" t="s">
        <v>283</v>
      </c>
      <c r="Q18" s="7" t="s">
        <v>284</v>
      </c>
      <c r="R18">
        <v>0.69999998807907104</v>
      </c>
      <c r="S18" s="7" t="s">
        <v>285</v>
      </c>
      <c r="T18" s="7" t="s">
        <v>285</v>
      </c>
      <c r="U18" s="7" t="s">
        <v>285</v>
      </c>
      <c r="V18" s="7" t="s">
        <v>285</v>
      </c>
      <c r="W18" s="7" t="s">
        <v>286</v>
      </c>
      <c r="X18" s="7" t="s">
        <v>287</v>
      </c>
      <c r="Y18" s="7" t="s">
        <v>329</v>
      </c>
      <c r="Z18" s="7" t="s">
        <v>329</v>
      </c>
      <c r="AA18" s="7" t="s">
        <v>329</v>
      </c>
      <c r="AB18" s="7" t="s">
        <v>329</v>
      </c>
      <c r="AC18" s="7" t="s">
        <v>282</v>
      </c>
      <c r="AD18" s="7" t="s">
        <v>282</v>
      </c>
      <c r="AE18" s="7" t="s">
        <v>282</v>
      </c>
      <c r="AF18" s="7" t="s">
        <v>282</v>
      </c>
      <c r="AG18" s="7" t="s">
        <v>282</v>
      </c>
      <c r="AH18" s="7" t="s">
        <v>282</v>
      </c>
      <c r="AI18" s="7" t="s">
        <v>282</v>
      </c>
      <c r="AJ18" s="7" t="s">
        <v>282</v>
      </c>
      <c r="AK18" s="7" t="s">
        <v>282</v>
      </c>
      <c r="AL18" s="7" t="s">
        <v>282</v>
      </c>
      <c r="AM18" s="7" t="s">
        <v>282</v>
      </c>
      <c r="AN18" s="7" t="s">
        <v>282</v>
      </c>
      <c r="AO18" s="7" t="s">
        <v>282</v>
      </c>
      <c r="AP18" s="7" t="s">
        <v>282</v>
      </c>
      <c r="AQ18" s="7" t="s">
        <v>282</v>
      </c>
      <c r="AR18" s="7" t="s">
        <v>282</v>
      </c>
      <c r="AS18" s="7" t="s">
        <v>282</v>
      </c>
      <c r="AT18" s="7" t="s">
        <v>282</v>
      </c>
      <c r="AU18" s="7" t="s">
        <v>282</v>
      </c>
      <c r="AV18" s="7" t="s">
        <v>282</v>
      </c>
      <c r="AW18" s="7" t="s">
        <v>282</v>
      </c>
      <c r="AX18" s="7" t="s">
        <v>282</v>
      </c>
      <c r="AY18" s="7" t="s">
        <v>282</v>
      </c>
      <c r="AZ18" s="7" t="s">
        <v>282</v>
      </c>
      <c r="BA18" s="7" t="s">
        <v>282</v>
      </c>
      <c r="BB18" s="7" t="s">
        <v>282</v>
      </c>
      <c r="BC18" s="7" t="s">
        <v>282</v>
      </c>
      <c r="BD18" s="7" t="s">
        <v>282</v>
      </c>
      <c r="BE18" s="7" t="s">
        <v>282</v>
      </c>
      <c r="BF18" s="7" t="s">
        <v>282</v>
      </c>
      <c r="BG18" s="7" t="s">
        <v>282</v>
      </c>
      <c r="BH18" s="7" t="s">
        <v>282</v>
      </c>
      <c r="BI18" s="7" t="s">
        <v>282</v>
      </c>
      <c r="BJ18" s="7" t="s">
        <v>282</v>
      </c>
      <c r="BK18" s="7" t="s">
        <v>282</v>
      </c>
      <c r="BL18" s="7" t="s">
        <v>282</v>
      </c>
      <c r="BM18" s="7" t="s">
        <v>282</v>
      </c>
      <c r="BN18" s="7" t="s">
        <v>282</v>
      </c>
      <c r="BO18" s="7" t="s">
        <v>282</v>
      </c>
      <c r="BP18" s="7" t="s">
        <v>282</v>
      </c>
      <c r="BQ18" s="7" t="s">
        <v>282</v>
      </c>
      <c r="BR18" s="7" t="s">
        <v>282</v>
      </c>
      <c r="BS18" s="7" t="s">
        <v>282</v>
      </c>
      <c r="BT18" s="7" t="s">
        <v>282</v>
      </c>
      <c r="BU18" s="7" t="s">
        <v>282</v>
      </c>
      <c r="BV18" s="7" t="s">
        <v>282</v>
      </c>
      <c r="BW18" s="7" t="s">
        <v>282</v>
      </c>
      <c r="BX18" s="7" t="s">
        <v>282</v>
      </c>
      <c r="BY18" s="7" t="s">
        <v>282</v>
      </c>
      <c r="BZ18" s="7" t="s">
        <v>282</v>
      </c>
      <c r="CA18" s="7" t="s">
        <v>282</v>
      </c>
      <c r="CB18" s="7" t="s">
        <v>282</v>
      </c>
      <c r="CC18" s="7" t="s">
        <v>282</v>
      </c>
      <c r="CD18" s="7" t="s">
        <v>282</v>
      </c>
      <c r="CE18" s="7" t="s">
        <v>282</v>
      </c>
      <c r="CF18" s="7" t="s">
        <v>282</v>
      </c>
      <c r="CG18" s="7" t="s">
        <v>282</v>
      </c>
      <c r="CH18" s="7" t="s">
        <v>282</v>
      </c>
      <c r="CI18" s="7" t="s">
        <v>282</v>
      </c>
      <c r="CJ18" s="7" t="s">
        <v>282</v>
      </c>
      <c r="CK18" s="7" t="s">
        <v>282</v>
      </c>
      <c r="CL18" s="7" t="s">
        <v>282</v>
      </c>
      <c r="CM18" s="7" t="s">
        <v>282</v>
      </c>
      <c r="CN18" s="7" t="s">
        <v>282</v>
      </c>
      <c r="CO18" s="7" t="s">
        <v>282</v>
      </c>
      <c r="CP18" s="7" t="s">
        <v>282</v>
      </c>
      <c r="CQ18" s="7" t="s">
        <v>282</v>
      </c>
      <c r="CR18" s="7" t="s">
        <v>282</v>
      </c>
      <c r="CS18" s="7" t="s">
        <v>282</v>
      </c>
      <c r="CT18" s="7" t="s">
        <v>282</v>
      </c>
      <c r="CU18" s="7" t="s">
        <v>282</v>
      </c>
      <c r="CV18" s="7" t="s">
        <v>282</v>
      </c>
      <c r="CW18" s="7" t="s">
        <v>282</v>
      </c>
      <c r="CX18" s="7" t="s">
        <v>282</v>
      </c>
      <c r="CY18" s="7" t="s">
        <v>282</v>
      </c>
      <c r="CZ18" s="7" t="s">
        <v>282</v>
      </c>
      <c r="DA18" s="7" t="s">
        <v>282</v>
      </c>
      <c r="DB18" s="7" t="s">
        <v>282</v>
      </c>
      <c r="DC18" s="7" t="s">
        <v>282</v>
      </c>
      <c r="DD18" s="7" t="s">
        <v>282</v>
      </c>
      <c r="DE18" s="7" t="s">
        <v>282</v>
      </c>
      <c r="DF18" s="7" t="s">
        <v>282</v>
      </c>
      <c r="DG18" s="7" t="s">
        <v>282</v>
      </c>
      <c r="DH18" s="7" t="s">
        <v>282</v>
      </c>
      <c r="DI18" s="7" t="s">
        <v>282</v>
      </c>
      <c r="DJ18" s="7" t="s">
        <v>282</v>
      </c>
      <c r="DK18" s="7" t="s">
        <v>282</v>
      </c>
      <c r="DL18" s="7" t="s">
        <v>282</v>
      </c>
      <c r="DM18" s="7" t="s">
        <v>282</v>
      </c>
      <c r="DN18" s="7" t="s">
        <v>282</v>
      </c>
      <c r="DO18" s="7" t="s">
        <v>282</v>
      </c>
      <c r="DP18" s="7" t="s">
        <v>282</v>
      </c>
      <c r="DQ18" s="7" t="s">
        <v>282</v>
      </c>
      <c r="DR18" s="7" t="s">
        <v>282</v>
      </c>
      <c r="DS18" s="7" t="s">
        <v>282</v>
      </c>
      <c r="DT18" s="7" t="s">
        <v>282</v>
      </c>
      <c r="DU18" s="7" t="s">
        <v>282</v>
      </c>
      <c r="DV18" s="7" t="s">
        <v>282</v>
      </c>
      <c r="DW18" s="7" t="s">
        <v>282</v>
      </c>
      <c r="DX18" s="7" t="s">
        <v>282</v>
      </c>
      <c r="DY18" s="7" t="s">
        <v>282</v>
      </c>
      <c r="DZ18" s="7" t="s">
        <v>282</v>
      </c>
      <c r="EA18" s="7" t="s">
        <v>282</v>
      </c>
      <c r="EB18" s="7" t="s">
        <v>282</v>
      </c>
      <c r="EC18" s="7" t="s">
        <v>282</v>
      </c>
      <c r="ED18" s="7" t="s">
        <v>282</v>
      </c>
      <c r="EE18" s="7" t="s">
        <v>282</v>
      </c>
      <c r="EF18" s="7" t="s">
        <v>282</v>
      </c>
      <c r="EG18" s="7" t="s">
        <v>282</v>
      </c>
      <c r="EH18" s="7" t="s">
        <v>282</v>
      </c>
      <c r="EI18" s="7" t="s">
        <v>282</v>
      </c>
      <c r="EJ18" s="7" t="s">
        <v>282</v>
      </c>
      <c r="EK18" s="7" t="s">
        <v>282</v>
      </c>
      <c r="EL18" s="7" t="s">
        <v>282</v>
      </c>
      <c r="EM18" s="7" t="s">
        <v>282</v>
      </c>
      <c r="EN18" s="7" t="s">
        <v>282</v>
      </c>
      <c r="EO18" s="7" t="s">
        <v>282</v>
      </c>
      <c r="EP18" s="7" t="s">
        <v>282</v>
      </c>
      <c r="EQ18" s="7" t="s">
        <v>282</v>
      </c>
      <c r="ER18" s="7" t="s">
        <v>282</v>
      </c>
      <c r="ES18" s="7" t="s">
        <v>282</v>
      </c>
      <c r="ET18" s="7" t="s">
        <v>282</v>
      </c>
      <c r="EU18" s="7" t="s">
        <v>282</v>
      </c>
      <c r="EV18" s="7" t="s">
        <v>282</v>
      </c>
      <c r="EW18" s="7" t="s">
        <v>282</v>
      </c>
      <c r="EX18" s="7" t="s">
        <v>282</v>
      </c>
      <c r="EY18" s="7" t="s">
        <v>282</v>
      </c>
      <c r="EZ18" s="7" t="s">
        <v>282</v>
      </c>
      <c r="FA18" s="7" t="s">
        <v>282</v>
      </c>
      <c r="FB18" s="7" t="s">
        <v>282</v>
      </c>
      <c r="FC18" s="7" t="s">
        <v>282</v>
      </c>
      <c r="FD18" s="7" t="s">
        <v>282</v>
      </c>
      <c r="FE18" s="7" t="s">
        <v>282</v>
      </c>
      <c r="FF18" s="7" t="s">
        <v>282</v>
      </c>
      <c r="FG18" s="7" t="s">
        <v>282</v>
      </c>
      <c r="FH18" s="7" t="s">
        <v>282</v>
      </c>
      <c r="FI18" s="7" t="s">
        <v>282</v>
      </c>
      <c r="FJ18" s="7" t="s">
        <v>282</v>
      </c>
      <c r="FK18" s="7" t="s">
        <v>291</v>
      </c>
      <c r="FL18" s="7" t="s">
        <v>296</v>
      </c>
      <c r="FM18">
        <v>23.641999999999999</v>
      </c>
      <c r="FN18">
        <v>24.992000000000001</v>
      </c>
      <c r="FO18">
        <v>25.634</v>
      </c>
      <c r="FP18">
        <v>2</v>
      </c>
      <c r="FQ18" s="7" t="s">
        <v>300</v>
      </c>
      <c r="FR18" s="7" t="s">
        <v>296</v>
      </c>
      <c r="FS18">
        <v>1.903</v>
      </c>
      <c r="FT18">
        <v>26.396000000000001</v>
      </c>
      <c r="FU18">
        <v>26.724</v>
      </c>
      <c r="FV18">
        <v>3</v>
      </c>
      <c r="FW18" s="7" t="s">
        <v>282</v>
      </c>
      <c r="FX18" s="7" t="s">
        <v>282</v>
      </c>
      <c r="FY18" s="7" t="s">
        <v>282</v>
      </c>
      <c r="FZ18" s="7" t="s">
        <v>282</v>
      </c>
      <c r="GA18" s="7" t="s">
        <v>282</v>
      </c>
      <c r="GB18" s="7" t="s">
        <v>282</v>
      </c>
      <c r="GC18" s="7" t="s">
        <v>282</v>
      </c>
      <c r="GD18" s="7" t="s">
        <v>282</v>
      </c>
      <c r="GE18" s="7" t="s">
        <v>282</v>
      </c>
      <c r="GF18" s="7" t="s">
        <v>282</v>
      </c>
      <c r="GG18" s="7" t="s">
        <v>282</v>
      </c>
      <c r="GH18" s="7" t="s">
        <v>282</v>
      </c>
      <c r="GI18" s="7" t="s">
        <v>282</v>
      </c>
      <c r="GJ18" s="7" t="s">
        <v>282</v>
      </c>
      <c r="GK18" s="7" t="s">
        <v>282</v>
      </c>
      <c r="GL18" s="7" t="s">
        <v>282</v>
      </c>
      <c r="GM18" s="7" t="s">
        <v>282</v>
      </c>
      <c r="GN18" s="7" t="s">
        <v>282</v>
      </c>
      <c r="GO18" s="7" t="s">
        <v>282</v>
      </c>
      <c r="GP18" s="7" t="s">
        <v>282</v>
      </c>
      <c r="GQ18" s="7" t="s">
        <v>282</v>
      </c>
      <c r="GR18" s="7" t="s">
        <v>282</v>
      </c>
      <c r="GS18" s="7" t="s">
        <v>282</v>
      </c>
      <c r="GT18" s="7" t="s">
        <v>282</v>
      </c>
      <c r="GU18" s="7" t="s">
        <v>282</v>
      </c>
      <c r="GV18" s="7" t="s">
        <v>282</v>
      </c>
      <c r="GW18" s="7" t="s">
        <v>282</v>
      </c>
      <c r="GX18" s="7" t="s">
        <v>282</v>
      </c>
      <c r="GY18" s="7" t="s">
        <v>282</v>
      </c>
      <c r="GZ18" s="7" t="s">
        <v>282</v>
      </c>
      <c r="HA18" s="7" t="s">
        <v>282</v>
      </c>
      <c r="HB18" s="7" t="s">
        <v>282</v>
      </c>
      <c r="HC18" s="7" t="s">
        <v>282</v>
      </c>
      <c r="HD18" s="7" t="s">
        <v>282</v>
      </c>
      <c r="HE18" s="7" t="s">
        <v>282</v>
      </c>
      <c r="HF18" s="7" t="s">
        <v>282</v>
      </c>
      <c r="HG18" s="7" t="s">
        <v>300</v>
      </c>
      <c r="HH18" s="7" t="s">
        <v>296</v>
      </c>
      <c r="HI18">
        <v>2.78</v>
      </c>
      <c r="HJ18">
        <v>4.0570000000000004</v>
      </c>
      <c r="HK18">
        <v>10.712</v>
      </c>
      <c r="HL18">
        <v>2</v>
      </c>
      <c r="HM18" s="7" t="s">
        <v>282</v>
      </c>
      <c r="HN18" s="7" t="s">
        <v>282</v>
      </c>
      <c r="HO18" s="7" t="s">
        <v>282</v>
      </c>
      <c r="HP18" s="7" t="s">
        <v>282</v>
      </c>
      <c r="HQ18" s="7" t="s">
        <v>282</v>
      </c>
      <c r="HR18" s="7" t="s">
        <v>282</v>
      </c>
      <c r="HS18" s="7" t="s">
        <v>282</v>
      </c>
      <c r="HT18" s="7" t="s">
        <v>282</v>
      </c>
      <c r="HU18" s="7" t="s">
        <v>282</v>
      </c>
      <c r="HV18" s="7" t="s">
        <v>282</v>
      </c>
      <c r="HW18" s="7" t="s">
        <v>282</v>
      </c>
      <c r="HX18" s="7" t="s">
        <v>282</v>
      </c>
      <c r="HY18" s="7" t="s">
        <v>497</v>
      </c>
      <c r="HZ18" s="7" t="s">
        <v>282</v>
      </c>
      <c r="IA18" s="7" t="s">
        <v>498</v>
      </c>
      <c r="IB18" s="7" t="s">
        <v>282</v>
      </c>
      <c r="IC18" s="7" t="s">
        <v>282</v>
      </c>
    </row>
    <row r="19" spans="1:237" x14ac:dyDescent="0.2">
      <c r="A19" s="6">
        <v>45746.247604166667</v>
      </c>
      <c r="B19" s="6">
        <v>45746.268078703702</v>
      </c>
      <c r="C19" s="7" t="s">
        <v>240</v>
      </c>
      <c r="D19" s="7" t="s">
        <v>499</v>
      </c>
      <c r="E19">
        <v>100</v>
      </c>
      <c r="F19">
        <v>1768</v>
      </c>
      <c r="G19" s="7" t="s">
        <v>280</v>
      </c>
      <c r="H19" s="6">
        <v>45746.268085740739</v>
      </c>
      <c r="I19" s="7" t="s">
        <v>500</v>
      </c>
      <c r="J19" s="7" t="s">
        <v>282</v>
      </c>
      <c r="K19" s="7" t="s">
        <v>282</v>
      </c>
      <c r="L19" s="7" t="s">
        <v>282</v>
      </c>
      <c r="M19" s="7" t="s">
        <v>282</v>
      </c>
      <c r="N19">
        <v>51.045499999999997</v>
      </c>
      <c r="O19">
        <v>-114.19880000000001</v>
      </c>
      <c r="P19" s="7" t="s">
        <v>283</v>
      </c>
      <c r="Q19" s="7" t="s">
        <v>284</v>
      </c>
      <c r="R19">
        <v>0.40000000596046448</v>
      </c>
      <c r="S19" s="7" t="s">
        <v>285</v>
      </c>
      <c r="T19" s="7" t="s">
        <v>285</v>
      </c>
      <c r="U19" s="7" t="s">
        <v>285</v>
      </c>
      <c r="V19" s="7" t="s">
        <v>285</v>
      </c>
      <c r="W19" s="7" t="s">
        <v>501</v>
      </c>
      <c r="X19" s="7" t="s">
        <v>502</v>
      </c>
      <c r="Y19" s="7" t="s">
        <v>288</v>
      </c>
      <c r="Z19" s="7" t="s">
        <v>289</v>
      </c>
      <c r="AA19" s="7" t="s">
        <v>289</v>
      </c>
      <c r="AB19" s="7" t="s">
        <v>289</v>
      </c>
      <c r="AC19" s="7" t="s">
        <v>295</v>
      </c>
      <c r="AD19" s="7" t="s">
        <v>292</v>
      </c>
      <c r="AE19">
        <v>20.757000000000001</v>
      </c>
      <c r="AF19">
        <v>21.901</v>
      </c>
      <c r="AG19">
        <v>22.593</v>
      </c>
      <c r="AH19">
        <v>2</v>
      </c>
      <c r="AI19" s="7" t="s">
        <v>293</v>
      </c>
      <c r="AJ19" s="7" t="s">
        <v>296</v>
      </c>
      <c r="AK19">
        <v>9.3179999999999996</v>
      </c>
      <c r="AL19">
        <v>13.183</v>
      </c>
      <c r="AM19">
        <v>13.978999999999999</v>
      </c>
      <c r="AN19">
        <v>2</v>
      </c>
      <c r="AO19" s="7" t="s">
        <v>293</v>
      </c>
      <c r="AP19" s="7" t="s">
        <v>292</v>
      </c>
      <c r="AQ19">
        <v>12.727</v>
      </c>
      <c r="AR19">
        <v>16.757999999999999</v>
      </c>
      <c r="AS19">
        <v>17.451000000000001</v>
      </c>
      <c r="AT19">
        <v>2</v>
      </c>
      <c r="AU19" s="7" t="s">
        <v>295</v>
      </c>
      <c r="AV19" s="7" t="s">
        <v>296</v>
      </c>
      <c r="AW19">
        <v>17.059000000000001</v>
      </c>
      <c r="AX19">
        <v>20.427</v>
      </c>
      <c r="AY19">
        <v>21.5</v>
      </c>
      <c r="AZ19">
        <v>2</v>
      </c>
      <c r="BA19" s="7" t="s">
        <v>299</v>
      </c>
      <c r="BB19" s="7" t="s">
        <v>296</v>
      </c>
      <c r="BC19">
        <v>12.522</v>
      </c>
      <c r="BD19">
        <v>14.343</v>
      </c>
      <c r="BE19">
        <v>15.468</v>
      </c>
      <c r="BF19">
        <v>2</v>
      </c>
      <c r="BG19" s="7" t="s">
        <v>298</v>
      </c>
      <c r="BH19" s="7" t="s">
        <v>292</v>
      </c>
      <c r="BI19">
        <v>22.981999999999999</v>
      </c>
      <c r="BJ19">
        <v>24.420999999999999</v>
      </c>
      <c r="BK19">
        <v>25.338999999999999</v>
      </c>
      <c r="BL19">
        <v>2</v>
      </c>
      <c r="BM19" s="7" t="s">
        <v>299</v>
      </c>
      <c r="BN19" s="7" t="s">
        <v>292</v>
      </c>
      <c r="BO19">
        <v>11.861000000000001</v>
      </c>
      <c r="BP19">
        <v>13.941000000000001</v>
      </c>
      <c r="BQ19">
        <v>15.257</v>
      </c>
      <c r="BR19">
        <v>2</v>
      </c>
      <c r="BS19" s="7" t="s">
        <v>282</v>
      </c>
      <c r="BT19" s="7" t="s">
        <v>292</v>
      </c>
      <c r="BU19">
        <v>16.611000000000001</v>
      </c>
      <c r="BV19">
        <v>19.611000000000001</v>
      </c>
      <c r="BW19">
        <v>20.448</v>
      </c>
      <c r="BX19">
        <v>3</v>
      </c>
      <c r="BY19" s="7" t="s">
        <v>299</v>
      </c>
      <c r="BZ19" s="7" t="s">
        <v>296</v>
      </c>
      <c r="CA19">
        <v>18.074999999999999</v>
      </c>
      <c r="CB19">
        <v>20.187000000000001</v>
      </c>
      <c r="CC19">
        <v>21.591000000000001</v>
      </c>
      <c r="CD19">
        <v>2</v>
      </c>
      <c r="CE19" s="7" t="s">
        <v>295</v>
      </c>
      <c r="CF19" s="7" t="s">
        <v>292</v>
      </c>
      <c r="CG19">
        <v>18.018000000000001</v>
      </c>
      <c r="CH19">
        <v>19.587</v>
      </c>
      <c r="CI19">
        <v>20.375</v>
      </c>
      <c r="CJ19">
        <v>2</v>
      </c>
      <c r="CK19" s="7" t="s">
        <v>298</v>
      </c>
      <c r="CL19" s="7" t="s">
        <v>292</v>
      </c>
      <c r="CM19">
        <v>30.509</v>
      </c>
      <c r="CN19">
        <v>32.630000000000003</v>
      </c>
      <c r="CO19">
        <v>33.634999999999998</v>
      </c>
      <c r="CP19">
        <v>2</v>
      </c>
      <c r="CQ19" s="7" t="s">
        <v>293</v>
      </c>
      <c r="CR19" s="7" t="s">
        <v>296</v>
      </c>
      <c r="CS19">
        <v>14.122</v>
      </c>
      <c r="CT19">
        <v>15.45</v>
      </c>
      <c r="CU19">
        <v>16.239000000000001</v>
      </c>
      <c r="CV19">
        <v>2</v>
      </c>
      <c r="CW19" s="7" t="s">
        <v>282</v>
      </c>
      <c r="CX19" s="7" t="s">
        <v>292</v>
      </c>
      <c r="CY19">
        <v>4.9370000000000003</v>
      </c>
      <c r="CZ19">
        <v>25.939</v>
      </c>
      <c r="DA19">
        <v>27.039000000000001</v>
      </c>
      <c r="DB19">
        <v>3</v>
      </c>
      <c r="DC19" s="7" t="s">
        <v>291</v>
      </c>
      <c r="DD19" s="7" t="s">
        <v>296</v>
      </c>
      <c r="DE19">
        <v>30.074999999999999</v>
      </c>
      <c r="DF19">
        <v>41.546999999999997</v>
      </c>
      <c r="DG19">
        <v>42.847999999999999</v>
      </c>
      <c r="DH19">
        <v>2</v>
      </c>
      <c r="DI19" s="7" t="s">
        <v>298</v>
      </c>
      <c r="DJ19" s="7" t="s">
        <v>296</v>
      </c>
      <c r="DK19">
        <v>15.923</v>
      </c>
      <c r="DL19">
        <v>17.146999999999998</v>
      </c>
      <c r="DM19">
        <v>17.792000000000002</v>
      </c>
      <c r="DN19">
        <v>2</v>
      </c>
      <c r="DO19" s="7" t="s">
        <v>298</v>
      </c>
      <c r="DP19" s="7" t="s">
        <v>292</v>
      </c>
      <c r="DQ19">
        <v>14.597</v>
      </c>
      <c r="DR19">
        <v>15.733000000000001</v>
      </c>
      <c r="DS19">
        <v>16.713000000000001</v>
      </c>
      <c r="DT19">
        <v>2</v>
      </c>
      <c r="DU19" s="7" t="s">
        <v>299</v>
      </c>
      <c r="DV19" s="7" t="s">
        <v>292</v>
      </c>
      <c r="DW19">
        <v>12.611000000000001</v>
      </c>
      <c r="DX19">
        <v>15.698</v>
      </c>
      <c r="DY19">
        <v>16.446999999999999</v>
      </c>
      <c r="DZ19">
        <v>2</v>
      </c>
      <c r="EA19" s="7" t="s">
        <v>299</v>
      </c>
      <c r="EB19" s="7" t="s">
        <v>292</v>
      </c>
      <c r="EC19">
        <v>21.379000000000001</v>
      </c>
      <c r="ED19">
        <v>23.027000000000001</v>
      </c>
      <c r="EE19">
        <v>24.376000000000001</v>
      </c>
      <c r="EF19">
        <v>2</v>
      </c>
      <c r="EG19" s="7" t="s">
        <v>291</v>
      </c>
      <c r="EH19" s="7" t="s">
        <v>296</v>
      </c>
      <c r="EI19">
        <v>9.4719999999999995</v>
      </c>
      <c r="EJ19">
        <v>11.592000000000001</v>
      </c>
      <c r="EK19">
        <v>12.374000000000001</v>
      </c>
      <c r="EL19">
        <v>2</v>
      </c>
      <c r="EM19" s="7" t="s">
        <v>298</v>
      </c>
      <c r="EN19" s="7" t="s">
        <v>296</v>
      </c>
      <c r="EO19">
        <v>11.346</v>
      </c>
      <c r="EP19">
        <v>12.769</v>
      </c>
      <c r="EQ19">
        <v>13.461</v>
      </c>
      <c r="ER19">
        <v>2</v>
      </c>
      <c r="ES19" s="7" t="s">
        <v>301</v>
      </c>
      <c r="ET19" s="7" t="s">
        <v>292</v>
      </c>
      <c r="EU19">
        <v>29.783999999999999</v>
      </c>
      <c r="EV19">
        <v>41.097000000000001</v>
      </c>
      <c r="EW19">
        <v>41.975000000000001</v>
      </c>
      <c r="EX19">
        <v>3</v>
      </c>
      <c r="EY19" s="7" t="s">
        <v>300</v>
      </c>
      <c r="EZ19" s="7" t="s">
        <v>296</v>
      </c>
      <c r="FA19">
        <v>8.6760000000000002</v>
      </c>
      <c r="FB19">
        <v>10.571999999999999</v>
      </c>
      <c r="FC19">
        <v>11.823</v>
      </c>
      <c r="FD19">
        <v>2</v>
      </c>
      <c r="FE19" s="7" t="s">
        <v>282</v>
      </c>
      <c r="FF19" s="7" t="s">
        <v>297</v>
      </c>
      <c r="FG19">
        <v>31.335000000000001</v>
      </c>
      <c r="FH19">
        <v>32.655000000000001</v>
      </c>
      <c r="FI19">
        <v>33.46</v>
      </c>
      <c r="FJ19">
        <v>2</v>
      </c>
      <c r="FK19" s="7" t="s">
        <v>291</v>
      </c>
      <c r="FL19" s="7" t="s">
        <v>296</v>
      </c>
      <c r="FM19">
        <v>7.6360000000000001</v>
      </c>
      <c r="FN19">
        <v>9.8119999999999994</v>
      </c>
      <c r="FO19">
        <v>10.513999999999999</v>
      </c>
      <c r="FP19">
        <v>2</v>
      </c>
      <c r="FQ19" s="7" t="s">
        <v>300</v>
      </c>
      <c r="FR19" s="7" t="s">
        <v>296</v>
      </c>
      <c r="FS19">
        <v>17.727</v>
      </c>
      <c r="FT19">
        <v>19.399000000000001</v>
      </c>
      <c r="FU19">
        <v>20.234999999999999</v>
      </c>
      <c r="FV19">
        <v>2</v>
      </c>
      <c r="FW19" s="7" t="s">
        <v>301</v>
      </c>
      <c r="FX19" s="7" t="s">
        <v>296</v>
      </c>
      <c r="FY19">
        <v>12.298</v>
      </c>
      <c r="FZ19">
        <v>15.904999999999999</v>
      </c>
      <c r="GA19">
        <v>17.989000000000001</v>
      </c>
      <c r="GB19">
        <v>2</v>
      </c>
      <c r="GC19" s="7" t="s">
        <v>291</v>
      </c>
      <c r="GD19" s="7" t="s">
        <v>296</v>
      </c>
      <c r="GE19">
        <v>9.6539999999999999</v>
      </c>
      <c r="GF19">
        <v>11.782999999999999</v>
      </c>
      <c r="GG19">
        <v>12.539</v>
      </c>
      <c r="GH19">
        <v>2</v>
      </c>
      <c r="GI19" s="7" t="s">
        <v>300</v>
      </c>
      <c r="GJ19" s="7" t="s">
        <v>296</v>
      </c>
      <c r="GK19">
        <v>10.335000000000001</v>
      </c>
      <c r="GL19">
        <v>12.119</v>
      </c>
      <c r="GM19">
        <v>13.4</v>
      </c>
      <c r="GN19">
        <v>3</v>
      </c>
      <c r="GO19" s="7" t="s">
        <v>291</v>
      </c>
      <c r="GP19" s="7" t="s">
        <v>296</v>
      </c>
      <c r="GQ19">
        <v>15.522</v>
      </c>
      <c r="GR19">
        <v>17.280999999999999</v>
      </c>
      <c r="GS19">
        <v>18.023</v>
      </c>
      <c r="GT19">
        <v>2</v>
      </c>
      <c r="GU19" s="7" t="s">
        <v>291</v>
      </c>
      <c r="GV19" s="7" t="s">
        <v>296</v>
      </c>
      <c r="GW19">
        <v>16.791</v>
      </c>
      <c r="GX19">
        <v>18.638000000000002</v>
      </c>
      <c r="GY19">
        <v>19.475000000000001</v>
      </c>
      <c r="GZ19">
        <v>2</v>
      </c>
      <c r="HA19" s="7" t="s">
        <v>300</v>
      </c>
      <c r="HB19" s="7" t="s">
        <v>296</v>
      </c>
      <c r="HC19">
        <v>7.26</v>
      </c>
      <c r="HD19">
        <v>8.9719999999999995</v>
      </c>
      <c r="HE19">
        <v>9.7050000000000001</v>
      </c>
      <c r="HF19">
        <v>2</v>
      </c>
      <c r="HG19" s="7" t="s">
        <v>291</v>
      </c>
      <c r="HH19" s="7" t="s">
        <v>292</v>
      </c>
      <c r="HI19">
        <v>22.628</v>
      </c>
      <c r="HJ19">
        <v>23.748000000000001</v>
      </c>
      <c r="HK19">
        <v>24.545000000000002</v>
      </c>
      <c r="HL19">
        <v>2</v>
      </c>
      <c r="HM19" s="7" t="s">
        <v>503</v>
      </c>
      <c r="HN19" s="7" t="s">
        <v>504</v>
      </c>
      <c r="HO19" s="7" t="s">
        <v>505</v>
      </c>
      <c r="HP19" s="7" t="s">
        <v>506</v>
      </c>
      <c r="HQ19" s="7" t="s">
        <v>507</v>
      </c>
      <c r="HR19" s="7" t="s">
        <v>508</v>
      </c>
      <c r="HS19" s="7" t="s">
        <v>509</v>
      </c>
      <c r="HT19" s="7" t="s">
        <v>510</v>
      </c>
      <c r="HU19" s="7" t="s">
        <v>511</v>
      </c>
      <c r="HV19" s="7" t="s">
        <v>512</v>
      </c>
      <c r="HW19" s="7" t="s">
        <v>513</v>
      </c>
      <c r="HX19" s="7" t="s">
        <v>514</v>
      </c>
      <c r="HY19" s="7" t="s">
        <v>312</v>
      </c>
      <c r="HZ19" s="7" t="s">
        <v>372</v>
      </c>
      <c r="IA19" s="7" t="s">
        <v>325</v>
      </c>
      <c r="IB19" s="7" t="s">
        <v>282</v>
      </c>
      <c r="IC19" s="7" t="s">
        <v>282</v>
      </c>
    </row>
    <row r="20" spans="1:237" x14ac:dyDescent="0.2">
      <c r="A20" s="6">
        <v>45733.501284722224</v>
      </c>
      <c r="B20" s="6">
        <v>45740.372442129628</v>
      </c>
      <c r="C20" s="7" t="s">
        <v>240</v>
      </c>
      <c r="D20" s="7" t="s">
        <v>515</v>
      </c>
      <c r="E20">
        <v>0</v>
      </c>
      <c r="F20">
        <v>593667</v>
      </c>
      <c r="G20" s="7" t="s">
        <v>495</v>
      </c>
      <c r="H20" s="6">
        <v>45747.372456296296</v>
      </c>
      <c r="I20" s="7" t="s">
        <v>516</v>
      </c>
      <c r="J20" s="7" t="s">
        <v>282</v>
      </c>
      <c r="K20" s="7" t="s">
        <v>282</v>
      </c>
      <c r="L20" s="7" t="s">
        <v>282</v>
      </c>
      <c r="M20" s="7" t="s">
        <v>282</v>
      </c>
      <c r="N20">
        <v>48.420400000000001</v>
      </c>
      <c r="O20">
        <v>-123.3005</v>
      </c>
      <c r="P20" s="7" t="s">
        <v>283</v>
      </c>
      <c r="Q20" s="7" t="s">
        <v>284</v>
      </c>
      <c r="R20">
        <v>1</v>
      </c>
      <c r="S20" s="7" t="s">
        <v>282</v>
      </c>
      <c r="T20" s="7" t="s">
        <v>282</v>
      </c>
      <c r="U20" s="7" t="s">
        <v>282</v>
      </c>
      <c r="V20" s="7" t="s">
        <v>282</v>
      </c>
      <c r="W20" s="7" t="s">
        <v>282</v>
      </c>
      <c r="X20" s="7" t="s">
        <v>282</v>
      </c>
      <c r="Y20" s="7" t="s">
        <v>282</v>
      </c>
      <c r="Z20" s="7" t="s">
        <v>282</v>
      </c>
      <c r="AA20" s="7" t="s">
        <v>282</v>
      </c>
      <c r="AB20" s="7" t="s">
        <v>282</v>
      </c>
      <c r="AC20" s="7" t="s">
        <v>282</v>
      </c>
      <c r="AD20" s="7" t="s">
        <v>282</v>
      </c>
      <c r="AE20" s="7" t="s">
        <v>282</v>
      </c>
      <c r="AF20" s="7" t="s">
        <v>282</v>
      </c>
      <c r="AG20" s="7" t="s">
        <v>282</v>
      </c>
      <c r="AH20" s="7" t="s">
        <v>282</v>
      </c>
      <c r="AI20" s="7" t="s">
        <v>282</v>
      </c>
      <c r="AJ20" s="7" t="s">
        <v>282</v>
      </c>
      <c r="AK20" s="7" t="s">
        <v>282</v>
      </c>
      <c r="AL20" s="7" t="s">
        <v>282</v>
      </c>
      <c r="AM20" s="7" t="s">
        <v>282</v>
      </c>
      <c r="AN20" s="7" t="s">
        <v>282</v>
      </c>
      <c r="AO20" s="7" t="s">
        <v>282</v>
      </c>
      <c r="AP20" s="7" t="s">
        <v>282</v>
      </c>
      <c r="AQ20" s="7" t="s">
        <v>282</v>
      </c>
      <c r="AR20" s="7" t="s">
        <v>282</v>
      </c>
      <c r="AS20" s="7" t="s">
        <v>282</v>
      </c>
      <c r="AT20" s="7" t="s">
        <v>282</v>
      </c>
      <c r="AU20" s="7" t="s">
        <v>282</v>
      </c>
      <c r="AV20" s="7" t="s">
        <v>282</v>
      </c>
      <c r="AW20" s="7" t="s">
        <v>282</v>
      </c>
      <c r="AX20" s="7" t="s">
        <v>282</v>
      </c>
      <c r="AY20" s="7" t="s">
        <v>282</v>
      </c>
      <c r="AZ20" s="7" t="s">
        <v>282</v>
      </c>
      <c r="BA20" s="7" t="s">
        <v>282</v>
      </c>
      <c r="BB20" s="7" t="s">
        <v>282</v>
      </c>
      <c r="BC20" s="7" t="s">
        <v>282</v>
      </c>
      <c r="BD20" s="7" t="s">
        <v>282</v>
      </c>
      <c r="BE20" s="7" t="s">
        <v>282</v>
      </c>
      <c r="BF20" s="7" t="s">
        <v>282</v>
      </c>
      <c r="BG20" s="7" t="s">
        <v>282</v>
      </c>
      <c r="BH20" s="7" t="s">
        <v>282</v>
      </c>
      <c r="BI20" s="7" t="s">
        <v>282</v>
      </c>
      <c r="BJ20" s="7" t="s">
        <v>282</v>
      </c>
      <c r="BK20" s="7" t="s">
        <v>282</v>
      </c>
      <c r="BL20" s="7" t="s">
        <v>282</v>
      </c>
      <c r="BM20" s="7" t="s">
        <v>282</v>
      </c>
      <c r="BN20" s="7" t="s">
        <v>282</v>
      </c>
      <c r="BO20" s="7" t="s">
        <v>282</v>
      </c>
      <c r="BP20" s="7" t="s">
        <v>282</v>
      </c>
      <c r="BQ20" s="7" t="s">
        <v>282</v>
      </c>
      <c r="BR20" s="7" t="s">
        <v>282</v>
      </c>
      <c r="BS20" s="7" t="s">
        <v>282</v>
      </c>
      <c r="BT20" s="7" t="s">
        <v>282</v>
      </c>
      <c r="BU20" s="7" t="s">
        <v>282</v>
      </c>
      <c r="BV20" s="7" t="s">
        <v>282</v>
      </c>
      <c r="BW20" s="7" t="s">
        <v>282</v>
      </c>
      <c r="BX20" s="7" t="s">
        <v>282</v>
      </c>
      <c r="BY20" s="7" t="s">
        <v>282</v>
      </c>
      <c r="BZ20" s="7" t="s">
        <v>282</v>
      </c>
      <c r="CA20" s="7" t="s">
        <v>282</v>
      </c>
      <c r="CB20" s="7" t="s">
        <v>282</v>
      </c>
      <c r="CC20" s="7" t="s">
        <v>282</v>
      </c>
      <c r="CD20" s="7" t="s">
        <v>282</v>
      </c>
      <c r="CE20" s="7" t="s">
        <v>282</v>
      </c>
      <c r="CF20" s="7" t="s">
        <v>282</v>
      </c>
      <c r="CG20" s="7" t="s">
        <v>282</v>
      </c>
      <c r="CH20" s="7" t="s">
        <v>282</v>
      </c>
      <c r="CI20" s="7" t="s">
        <v>282</v>
      </c>
      <c r="CJ20" s="7" t="s">
        <v>282</v>
      </c>
      <c r="CK20" s="7" t="s">
        <v>282</v>
      </c>
      <c r="CL20" s="7" t="s">
        <v>282</v>
      </c>
      <c r="CM20" s="7" t="s">
        <v>282</v>
      </c>
      <c r="CN20" s="7" t="s">
        <v>282</v>
      </c>
      <c r="CO20" s="7" t="s">
        <v>282</v>
      </c>
      <c r="CP20" s="7" t="s">
        <v>282</v>
      </c>
      <c r="CQ20" s="7" t="s">
        <v>282</v>
      </c>
      <c r="CR20" s="7" t="s">
        <v>282</v>
      </c>
      <c r="CS20" s="7" t="s">
        <v>282</v>
      </c>
      <c r="CT20" s="7" t="s">
        <v>282</v>
      </c>
      <c r="CU20" s="7" t="s">
        <v>282</v>
      </c>
      <c r="CV20" s="7" t="s">
        <v>282</v>
      </c>
      <c r="CW20" s="7" t="s">
        <v>282</v>
      </c>
      <c r="CX20" s="7" t="s">
        <v>282</v>
      </c>
      <c r="CY20" s="7" t="s">
        <v>282</v>
      </c>
      <c r="CZ20" s="7" t="s">
        <v>282</v>
      </c>
      <c r="DA20" s="7" t="s">
        <v>282</v>
      </c>
      <c r="DB20" s="7" t="s">
        <v>282</v>
      </c>
      <c r="DC20" s="7" t="s">
        <v>282</v>
      </c>
      <c r="DD20" s="7" t="s">
        <v>282</v>
      </c>
      <c r="DE20" s="7" t="s">
        <v>282</v>
      </c>
      <c r="DF20" s="7" t="s">
        <v>282</v>
      </c>
      <c r="DG20" s="7" t="s">
        <v>282</v>
      </c>
      <c r="DH20" s="7" t="s">
        <v>282</v>
      </c>
      <c r="DI20" s="7" t="s">
        <v>282</v>
      </c>
      <c r="DJ20" s="7" t="s">
        <v>282</v>
      </c>
      <c r="DK20" s="7" t="s">
        <v>282</v>
      </c>
      <c r="DL20" s="7" t="s">
        <v>282</v>
      </c>
      <c r="DM20" s="7" t="s">
        <v>282</v>
      </c>
      <c r="DN20" s="7" t="s">
        <v>282</v>
      </c>
      <c r="DO20" s="7" t="s">
        <v>282</v>
      </c>
      <c r="DP20" s="7" t="s">
        <v>282</v>
      </c>
      <c r="DQ20" s="7" t="s">
        <v>282</v>
      </c>
      <c r="DR20" s="7" t="s">
        <v>282</v>
      </c>
      <c r="DS20" s="7" t="s">
        <v>282</v>
      </c>
      <c r="DT20" s="7" t="s">
        <v>282</v>
      </c>
      <c r="DU20" s="7" t="s">
        <v>282</v>
      </c>
      <c r="DV20" s="7" t="s">
        <v>282</v>
      </c>
      <c r="DW20" s="7" t="s">
        <v>282</v>
      </c>
      <c r="DX20" s="7" t="s">
        <v>282</v>
      </c>
      <c r="DY20" s="7" t="s">
        <v>282</v>
      </c>
      <c r="DZ20" s="7" t="s">
        <v>282</v>
      </c>
      <c r="EA20" s="7" t="s">
        <v>282</v>
      </c>
      <c r="EB20" s="7" t="s">
        <v>282</v>
      </c>
      <c r="EC20" s="7" t="s">
        <v>282</v>
      </c>
      <c r="ED20" s="7" t="s">
        <v>282</v>
      </c>
      <c r="EE20" s="7" t="s">
        <v>282</v>
      </c>
      <c r="EF20" s="7" t="s">
        <v>282</v>
      </c>
      <c r="EG20" s="7" t="s">
        <v>282</v>
      </c>
      <c r="EH20" s="7" t="s">
        <v>282</v>
      </c>
      <c r="EI20" s="7" t="s">
        <v>282</v>
      </c>
      <c r="EJ20" s="7" t="s">
        <v>282</v>
      </c>
      <c r="EK20" s="7" t="s">
        <v>282</v>
      </c>
      <c r="EL20" s="7" t="s">
        <v>282</v>
      </c>
      <c r="EM20" s="7" t="s">
        <v>282</v>
      </c>
      <c r="EN20" s="7" t="s">
        <v>282</v>
      </c>
      <c r="EO20" s="7" t="s">
        <v>282</v>
      </c>
      <c r="EP20" s="7" t="s">
        <v>282</v>
      </c>
      <c r="EQ20" s="7" t="s">
        <v>282</v>
      </c>
      <c r="ER20" s="7" t="s">
        <v>282</v>
      </c>
      <c r="ES20" s="7" t="s">
        <v>282</v>
      </c>
      <c r="ET20" s="7" t="s">
        <v>282</v>
      </c>
      <c r="EU20" s="7" t="s">
        <v>282</v>
      </c>
      <c r="EV20" s="7" t="s">
        <v>282</v>
      </c>
      <c r="EW20" s="7" t="s">
        <v>282</v>
      </c>
      <c r="EX20" s="7" t="s">
        <v>282</v>
      </c>
      <c r="EY20" s="7" t="s">
        <v>282</v>
      </c>
      <c r="EZ20" s="7" t="s">
        <v>282</v>
      </c>
      <c r="FA20" s="7" t="s">
        <v>282</v>
      </c>
      <c r="FB20" s="7" t="s">
        <v>282</v>
      </c>
      <c r="FC20" s="7" t="s">
        <v>282</v>
      </c>
      <c r="FD20" s="7" t="s">
        <v>282</v>
      </c>
      <c r="FE20" s="7" t="s">
        <v>282</v>
      </c>
      <c r="FF20" s="7" t="s">
        <v>282</v>
      </c>
      <c r="FG20" s="7" t="s">
        <v>282</v>
      </c>
      <c r="FH20" s="7" t="s">
        <v>282</v>
      </c>
      <c r="FI20" s="7" t="s">
        <v>282</v>
      </c>
      <c r="FJ20" s="7" t="s">
        <v>282</v>
      </c>
      <c r="FK20" s="7" t="s">
        <v>282</v>
      </c>
      <c r="FL20" s="7" t="s">
        <v>282</v>
      </c>
      <c r="FM20" s="7" t="s">
        <v>282</v>
      </c>
      <c r="FN20" s="7" t="s">
        <v>282</v>
      </c>
      <c r="FO20" s="7" t="s">
        <v>282</v>
      </c>
      <c r="FP20" s="7" t="s">
        <v>282</v>
      </c>
      <c r="FQ20" s="7" t="s">
        <v>282</v>
      </c>
      <c r="FR20" s="7" t="s">
        <v>282</v>
      </c>
      <c r="FS20" s="7" t="s">
        <v>282</v>
      </c>
      <c r="FT20" s="7" t="s">
        <v>282</v>
      </c>
      <c r="FU20" s="7" t="s">
        <v>282</v>
      </c>
      <c r="FV20" s="7" t="s">
        <v>282</v>
      </c>
      <c r="FW20" s="7" t="s">
        <v>282</v>
      </c>
      <c r="FX20" s="7" t="s">
        <v>282</v>
      </c>
      <c r="FY20" s="7" t="s">
        <v>282</v>
      </c>
      <c r="FZ20" s="7" t="s">
        <v>282</v>
      </c>
      <c r="GA20" s="7" t="s">
        <v>282</v>
      </c>
      <c r="GB20" s="7" t="s">
        <v>282</v>
      </c>
      <c r="GC20" s="7" t="s">
        <v>282</v>
      </c>
      <c r="GD20" s="7" t="s">
        <v>282</v>
      </c>
      <c r="GE20" s="7" t="s">
        <v>282</v>
      </c>
      <c r="GF20" s="7" t="s">
        <v>282</v>
      </c>
      <c r="GG20" s="7" t="s">
        <v>282</v>
      </c>
      <c r="GH20" s="7" t="s">
        <v>282</v>
      </c>
      <c r="GI20" s="7" t="s">
        <v>282</v>
      </c>
      <c r="GJ20" s="7" t="s">
        <v>282</v>
      </c>
      <c r="GK20" s="7" t="s">
        <v>282</v>
      </c>
      <c r="GL20" s="7" t="s">
        <v>282</v>
      </c>
      <c r="GM20" s="7" t="s">
        <v>282</v>
      </c>
      <c r="GN20" s="7" t="s">
        <v>282</v>
      </c>
      <c r="GO20" s="7" t="s">
        <v>282</v>
      </c>
      <c r="GP20" s="7" t="s">
        <v>282</v>
      </c>
      <c r="GQ20" s="7" t="s">
        <v>282</v>
      </c>
      <c r="GR20" s="7" t="s">
        <v>282</v>
      </c>
      <c r="GS20" s="7" t="s">
        <v>282</v>
      </c>
      <c r="GT20" s="7" t="s">
        <v>282</v>
      </c>
      <c r="GU20" s="7" t="s">
        <v>282</v>
      </c>
      <c r="GV20" s="7" t="s">
        <v>282</v>
      </c>
      <c r="GW20" s="7" t="s">
        <v>282</v>
      </c>
      <c r="GX20" s="7" t="s">
        <v>282</v>
      </c>
      <c r="GY20" s="7" t="s">
        <v>282</v>
      </c>
      <c r="GZ20" s="7" t="s">
        <v>282</v>
      </c>
      <c r="HA20" s="7" t="s">
        <v>282</v>
      </c>
      <c r="HB20" s="7" t="s">
        <v>282</v>
      </c>
      <c r="HC20" s="7" t="s">
        <v>282</v>
      </c>
      <c r="HD20" s="7" t="s">
        <v>282</v>
      </c>
      <c r="HE20" s="7" t="s">
        <v>282</v>
      </c>
      <c r="HF20" s="7" t="s">
        <v>282</v>
      </c>
      <c r="HG20" s="7" t="s">
        <v>282</v>
      </c>
      <c r="HH20" s="7" t="s">
        <v>282</v>
      </c>
      <c r="HI20" s="7" t="s">
        <v>282</v>
      </c>
      <c r="HJ20" s="7" t="s">
        <v>282</v>
      </c>
      <c r="HK20" s="7" t="s">
        <v>282</v>
      </c>
      <c r="HL20" s="7" t="s">
        <v>282</v>
      </c>
      <c r="HM20" s="7" t="s">
        <v>282</v>
      </c>
      <c r="HN20" s="7" t="s">
        <v>282</v>
      </c>
      <c r="HO20" s="7" t="s">
        <v>282</v>
      </c>
      <c r="HP20" s="7" t="s">
        <v>282</v>
      </c>
      <c r="HQ20" s="7" t="s">
        <v>282</v>
      </c>
      <c r="HR20" s="7" t="s">
        <v>282</v>
      </c>
      <c r="HS20" s="7" t="s">
        <v>282</v>
      </c>
      <c r="HT20" s="7" t="s">
        <v>282</v>
      </c>
      <c r="HU20" s="7" t="s">
        <v>282</v>
      </c>
      <c r="HV20" s="7" t="s">
        <v>282</v>
      </c>
      <c r="HW20" s="7" t="s">
        <v>282</v>
      </c>
      <c r="HX20" s="7" t="s">
        <v>282</v>
      </c>
      <c r="HY20" s="7" t="s">
        <v>282</v>
      </c>
      <c r="HZ20" s="7" t="s">
        <v>282</v>
      </c>
      <c r="IA20" s="7" t="s">
        <v>282</v>
      </c>
      <c r="IB20" s="7" t="s">
        <v>282</v>
      </c>
      <c r="IC20" s="7" t="s">
        <v>282</v>
      </c>
    </row>
    <row r="21" spans="1:237" x14ac:dyDescent="0.2">
      <c r="A21" s="6">
        <v>45747.529016203705</v>
      </c>
      <c r="B21" s="6">
        <v>45747.541574074072</v>
      </c>
      <c r="C21" s="7" t="s">
        <v>240</v>
      </c>
      <c r="D21" s="7" t="s">
        <v>517</v>
      </c>
      <c r="E21">
        <v>100</v>
      </c>
      <c r="F21">
        <v>1084</v>
      </c>
      <c r="G21" s="7" t="s">
        <v>280</v>
      </c>
      <c r="H21" s="6">
        <v>45747.541588437503</v>
      </c>
      <c r="I21" s="7" t="s">
        <v>518</v>
      </c>
      <c r="J21" s="7" t="s">
        <v>282</v>
      </c>
      <c r="K21" s="7" t="s">
        <v>282</v>
      </c>
      <c r="L21" s="7" t="s">
        <v>282</v>
      </c>
      <c r="M21" s="7" t="s">
        <v>282</v>
      </c>
      <c r="N21">
        <v>37.338799999999999</v>
      </c>
      <c r="O21">
        <v>-121.8916</v>
      </c>
      <c r="P21" s="7" t="s">
        <v>283</v>
      </c>
      <c r="Q21" s="7" t="s">
        <v>284</v>
      </c>
      <c r="R21">
        <v>0.89999997615814209</v>
      </c>
      <c r="S21" s="7" t="s">
        <v>285</v>
      </c>
      <c r="T21" s="7" t="s">
        <v>285</v>
      </c>
      <c r="U21" s="7" t="s">
        <v>285</v>
      </c>
      <c r="V21" s="7" t="s">
        <v>285</v>
      </c>
      <c r="W21" s="7" t="s">
        <v>412</v>
      </c>
      <c r="X21" s="7" t="s">
        <v>328</v>
      </c>
      <c r="Y21" s="7" t="s">
        <v>288</v>
      </c>
      <c r="Z21" s="7" t="s">
        <v>289</v>
      </c>
      <c r="AA21" s="7" t="s">
        <v>289</v>
      </c>
      <c r="AB21" s="7" t="s">
        <v>317</v>
      </c>
      <c r="AC21" s="7" t="s">
        <v>291</v>
      </c>
      <c r="AD21" s="7" t="s">
        <v>292</v>
      </c>
      <c r="AE21">
        <v>10.695</v>
      </c>
      <c r="AF21">
        <v>15.537000000000001</v>
      </c>
      <c r="AG21">
        <v>16.344000000000001</v>
      </c>
      <c r="AH21">
        <v>4</v>
      </c>
      <c r="AI21" s="7" t="s">
        <v>293</v>
      </c>
      <c r="AJ21" s="7" t="s">
        <v>294</v>
      </c>
      <c r="AK21">
        <v>6.2030000000000003</v>
      </c>
      <c r="AL21">
        <v>9.8559999999999999</v>
      </c>
      <c r="AM21">
        <v>10.648</v>
      </c>
      <c r="AN21">
        <v>2</v>
      </c>
      <c r="AO21" s="7" t="s">
        <v>293</v>
      </c>
      <c r="AP21" s="7" t="s">
        <v>294</v>
      </c>
      <c r="AQ21">
        <v>11.62</v>
      </c>
      <c r="AR21">
        <v>14.714</v>
      </c>
      <c r="AS21">
        <v>15.49</v>
      </c>
      <c r="AT21">
        <v>3</v>
      </c>
      <c r="AU21" s="7" t="s">
        <v>295</v>
      </c>
      <c r="AV21" s="7" t="s">
        <v>292</v>
      </c>
      <c r="AW21">
        <v>12.997</v>
      </c>
      <c r="AX21">
        <v>16.027000000000001</v>
      </c>
      <c r="AY21">
        <v>17.678999999999998</v>
      </c>
      <c r="AZ21">
        <v>3</v>
      </c>
      <c r="BA21" s="7" t="s">
        <v>295</v>
      </c>
      <c r="BB21" s="7" t="s">
        <v>297</v>
      </c>
      <c r="BC21">
        <v>13.738</v>
      </c>
      <c r="BD21">
        <v>15.932</v>
      </c>
      <c r="BE21">
        <v>17.597999999999999</v>
      </c>
      <c r="BF21">
        <v>2</v>
      </c>
      <c r="BG21" s="7" t="s">
        <v>291</v>
      </c>
      <c r="BH21" s="7" t="s">
        <v>297</v>
      </c>
      <c r="BI21">
        <v>18.298999999999999</v>
      </c>
      <c r="BJ21">
        <v>20.346</v>
      </c>
      <c r="BK21">
        <v>21.672999999999998</v>
      </c>
      <c r="BL21">
        <v>2</v>
      </c>
      <c r="BM21" s="7" t="s">
        <v>293</v>
      </c>
      <c r="BN21" s="7" t="s">
        <v>294</v>
      </c>
      <c r="BO21">
        <v>10.337999999999999</v>
      </c>
      <c r="BP21">
        <v>14.933999999999999</v>
      </c>
      <c r="BQ21">
        <v>18.907</v>
      </c>
      <c r="BR21">
        <v>3</v>
      </c>
      <c r="BS21" s="7" t="s">
        <v>298</v>
      </c>
      <c r="BT21" s="7" t="s">
        <v>297</v>
      </c>
      <c r="BU21">
        <v>14.327999999999999</v>
      </c>
      <c r="BV21">
        <v>16.920000000000002</v>
      </c>
      <c r="BW21">
        <v>18.222999999999999</v>
      </c>
      <c r="BX21">
        <v>2</v>
      </c>
      <c r="BY21" s="7" t="s">
        <v>295</v>
      </c>
      <c r="BZ21" s="7" t="s">
        <v>292</v>
      </c>
      <c r="CA21">
        <v>11.109</v>
      </c>
      <c r="CB21">
        <v>15.891999999999999</v>
      </c>
      <c r="CC21">
        <v>17.896000000000001</v>
      </c>
      <c r="CD21">
        <v>2</v>
      </c>
      <c r="CE21" s="7" t="s">
        <v>298</v>
      </c>
      <c r="CF21" s="7" t="s">
        <v>297</v>
      </c>
      <c r="CG21">
        <v>12.773</v>
      </c>
      <c r="CH21">
        <v>15.315</v>
      </c>
      <c r="CI21">
        <v>16.626999999999999</v>
      </c>
      <c r="CJ21">
        <v>2</v>
      </c>
      <c r="CK21" s="7" t="s">
        <v>291</v>
      </c>
      <c r="CL21" s="7" t="s">
        <v>292</v>
      </c>
      <c r="CM21">
        <v>9.0760000000000005</v>
      </c>
      <c r="CN21">
        <v>10.688000000000001</v>
      </c>
      <c r="CO21">
        <v>11.534000000000001</v>
      </c>
      <c r="CP21">
        <v>2</v>
      </c>
      <c r="CQ21" s="7" t="s">
        <v>293</v>
      </c>
      <c r="CR21" s="7" t="s">
        <v>294</v>
      </c>
      <c r="CS21">
        <v>10.259</v>
      </c>
      <c r="CT21">
        <v>13.371</v>
      </c>
      <c r="CU21">
        <v>14.141999999999999</v>
      </c>
      <c r="CV21">
        <v>2</v>
      </c>
      <c r="CW21" s="7" t="s">
        <v>298</v>
      </c>
      <c r="CX21" s="7" t="s">
        <v>297</v>
      </c>
      <c r="CY21">
        <v>9.0410000000000004</v>
      </c>
      <c r="CZ21">
        <v>10.022</v>
      </c>
      <c r="DA21">
        <v>11.669</v>
      </c>
      <c r="DB21">
        <v>2</v>
      </c>
      <c r="DC21" s="7" t="s">
        <v>298</v>
      </c>
      <c r="DD21" s="7" t="s">
        <v>297</v>
      </c>
      <c r="DE21">
        <v>9.5009999999999994</v>
      </c>
      <c r="DF21">
        <v>11.092000000000001</v>
      </c>
      <c r="DG21">
        <v>12.448</v>
      </c>
      <c r="DH21">
        <v>3</v>
      </c>
      <c r="DI21" s="7" t="s">
        <v>291</v>
      </c>
      <c r="DJ21" s="7" t="s">
        <v>294</v>
      </c>
      <c r="DK21">
        <v>5.8630000000000004</v>
      </c>
      <c r="DL21">
        <v>9.9689999999999994</v>
      </c>
      <c r="DM21">
        <v>11.903</v>
      </c>
      <c r="DN21">
        <v>3</v>
      </c>
      <c r="DO21" s="7" t="s">
        <v>295</v>
      </c>
      <c r="DP21" s="7" t="s">
        <v>297</v>
      </c>
      <c r="DQ21">
        <v>15.212999999999999</v>
      </c>
      <c r="DR21">
        <v>16.673999999999999</v>
      </c>
      <c r="DS21">
        <v>17.783999999999999</v>
      </c>
      <c r="DT21">
        <v>2</v>
      </c>
      <c r="DU21" s="7" t="s">
        <v>293</v>
      </c>
      <c r="DV21" s="7" t="s">
        <v>294</v>
      </c>
      <c r="DW21">
        <v>8.5190000000000001</v>
      </c>
      <c r="DX21">
        <v>17.347000000000001</v>
      </c>
      <c r="DY21">
        <v>18.327000000000002</v>
      </c>
      <c r="DZ21">
        <v>4</v>
      </c>
      <c r="EA21" s="7" t="s">
        <v>299</v>
      </c>
      <c r="EB21" s="7" t="s">
        <v>296</v>
      </c>
      <c r="EC21">
        <v>7.383</v>
      </c>
      <c r="ED21">
        <v>13.071</v>
      </c>
      <c r="EE21">
        <v>13.959</v>
      </c>
      <c r="EF21">
        <v>2</v>
      </c>
      <c r="EG21" s="7" t="s">
        <v>298</v>
      </c>
      <c r="EH21" s="7" t="s">
        <v>297</v>
      </c>
      <c r="EI21">
        <v>12.331</v>
      </c>
      <c r="EJ21">
        <v>28.202000000000002</v>
      </c>
      <c r="EK21">
        <v>29.013000000000002</v>
      </c>
      <c r="EL21">
        <v>3</v>
      </c>
      <c r="EM21" s="7" t="s">
        <v>291</v>
      </c>
      <c r="EN21" s="7" t="s">
        <v>296</v>
      </c>
      <c r="EO21">
        <v>10.569000000000001</v>
      </c>
      <c r="EP21">
        <v>13.082000000000001</v>
      </c>
      <c r="EQ21">
        <v>14.31</v>
      </c>
      <c r="ER21">
        <v>2</v>
      </c>
      <c r="ES21" s="7" t="s">
        <v>282</v>
      </c>
      <c r="ET21" s="7" t="s">
        <v>292</v>
      </c>
      <c r="EU21">
        <v>17.209</v>
      </c>
      <c r="EV21">
        <v>18.535</v>
      </c>
      <c r="EW21">
        <v>19.559999999999999</v>
      </c>
      <c r="EX21">
        <v>2</v>
      </c>
      <c r="EY21" s="7" t="s">
        <v>300</v>
      </c>
      <c r="EZ21" s="7" t="s">
        <v>296</v>
      </c>
      <c r="FA21">
        <v>26.094000000000001</v>
      </c>
      <c r="FB21">
        <v>34.558</v>
      </c>
      <c r="FC21">
        <v>35.256999999999998</v>
      </c>
      <c r="FD21">
        <v>2</v>
      </c>
      <c r="FE21" s="7" t="s">
        <v>282</v>
      </c>
      <c r="FF21" s="7" t="s">
        <v>292</v>
      </c>
      <c r="FG21">
        <v>8.2910000000000004</v>
      </c>
      <c r="FH21">
        <v>22.172999999999998</v>
      </c>
      <c r="FI21">
        <v>23.635000000000002</v>
      </c>
      <c r="FJ21">
        <v>3</v>
      </c>
      <c r="FK21" s="7" t="s">
        <v>291</v>
      </c>
      <c r="FL21" s="7" t="s">
        <v>296</v>
      </c>
      <c r="FM21">
        <v>6.3259999999999996</v>
      </c>
      <c r="FN21">
        <v>7.2869999999999999</v>
      </c>
      <c r="FO21">
        <v>8.8010000000000002</v>
      </c>
      <c r="FP21">
        <v>2</v>
      </c>
      <c r="FQ21" s="7" t="s">
        <v>300</v>
      </c>
      <c r="FR21" s="7" t="s">
        <v>296</v>
      </c>
      <c r="FS21">
        <v>5.41</v>
      </c>
      <c r="FT21">
        <v>6.694</v>
      </c>
      <c r="FU21">
        <v>8.6809999999999992</v>
      </c>
      <c r="FV21">
        <v>2</v>
      </c>
      <c r="FW21" s="7" t="s">
        <v>282</v>
      </c>
      <c r="FX21" s="7" t="s">
        <v>292</v>
      </c>
      <c r="FY21">
        <v>7.1689999999999996</v>
      </c>
      <c r="FZ21">
        <v>9.9269999999999996</v>
      </c>
      <c r="GA21">
        <v>10.742000000000001</v>
      </c>
      <c r="GB21">
        <v>2</v>
      </c>
      <c r="GC21" s="7" t="s">
        <v>291</v>
      </c>
      <c r="GD21" s="7" t="s">
        <v>292</v>
      </c>
      <c r="GE21">
        <v>6.2569999999999997</v>
      </c>
      <c r="GF21">
        <v>7.76</v>
      </c>
      <c r="GG21">
        <v>9.1509999999999998</v>
      </c>
      <c r="GH21">
        <v>2</v>
      </c>
      <c r="GI21" s="7" t="s">
        <v>300</v>
      </c>
      <c r="GJ21" s="7" t="s">
        <v>296</v>
      </c>
      <c r="GK21">
        <v>5.3010000000000002</v>
      </c>
      <c r="GL21">
        <v>10.326000000000001</v>
      </c>
      <c r="GM21">
        <v>11.138999999999999</v>
      </c>
      <c r="GN21">
        <v>2</v>
      </c>
      <c r="GO21" s="7" t="s">
        <v>301</v>
      </c>
      <c r="GP21" s="7" t="s">
        <v>297</v>
      </c>
      <c r="GQ21">
        <v>7.4669999999999996</v>
      </c>
      <c r="GR21">
        <v>8.4640000000000004</v>
      </c>
      <c r="GS21">
        <v>9.5489999999999995</v>
      </c>
      <c r="GT21">
        <v>2</v>
      </c>
      <c r="GU21" s="7" t="s">
        <v>291</v>
      </c>
      <c r="GV21" s="7" t="s">
        <v>296</v>
      </c>
      <c r="GW21">
        <v>4.7720000000000002</v>
      </c>
      <c r="GX21">
        <v>7.0540000000000003</v>
      </c>
      <c r="GY21">
        <v>8.7680000000000007</v>
      </c>
      <c r="GZ21">
        <v>2</v>
      </c>
      <c r="HA21" s="7" t="s">
        <v>300</v>
      </c>
      <c r="HB21" s="7" t="s">
        <v>296</v>
      </c>
      <c r="HC21">
        <v>9.3230000000000004</v>
      </c>
      <c r="HD21">
        <v>10.590999999999999</v>
      </c>
      <c r="HE21">
        <v>11.28</v>
      </c>
      <c r="HF21">
        <v>2</v>
      </c>
      <c r="HG21" s="7" t="s">
        <v>301</v>
      </c>
      <c r="HH21" s="7" t="s">
        <v>292</v>
      </c>
      <c r="HI21">
        <v>10.619</v>
      </c>
      <c r="HJ21">
        <v>12.17</v>
      </c>
      <c r="HK21">
        <v>12.879</v>
      </c>
      <c r="HL21">
        <v>2</v>
      </c>
      <c r="HM21" s="7" t="s">
        <v>519</v>
      </c>
      <c r="HN21" s="7" t="s">
        <v>519</v>
      </c>
      <c r="HO21" s="7" t="s">
        <v>520</v>
      </c>
      <c r="HP21" s="7" t="s">
        <v>520</v>
      </c>
      <c r="HQ21" s="7" t="s">
        <v>521</v>
      </c>
      <c r="HR21" s="7" t="s">
        <v>522</v>
      </c>
      <c r="HS21" s="7" t="s">
        <v>523</v>
      </c>
      <c r="HT21" s="7" t="s">
        <v>524</v>
      </c>
      <c r="HU21" s="7" t="s">
        <v>525</v>
      </c>
      <c r="HV21" s="7" t="s">
        <v>526</v>
      </c>
      <c r="HW21" s="7" t="s">
        <v>527</v>
      </c>
      <c r="HX21" s="7" t="s">
        <v>282</v>
      </c>
      <c r="HY21" s="7" t="s">
        <v>312</v>
      </c>
      <c r="HZ21" s="7" t="s">
        <v>372</v>
      </c>
      <c r="IA21" s="7" t="s">
        <v>325</v>
      </c>
      <c r="IB21" s="7" t="s">
        <v>282</v>
      </c>
      <c r="IC21" s="7" t="s">
        <v>282</v>
      </c>
    </row>
    <row r="22" spans="1:237" x14ac:dyDescent="0.2">
      <c r="A22" s="6">
        <v>45747.673657407409</v>
      </c>
      <c r="B22" s="6">
        <v>45747.691342592596</v>
      </c>
      <c r="C22" s="7" t="s">
        <v>240</v>
      </c>
      <c r="D22" s="7" t="s">
        <v>528</v>
      </c>
      <c r="E22">
        <v>100</v>
      </c>
      <c r="F22">
        <v>1527</v>
      </c>
      <c r="G22" s="7" t="s">
        <v>280</v>
      </c>
      <c r="H22" s="6">
        <v>45747.691361134261</v>
      </c>
      <c r="I22" s="7" t="s">
        <v>529</v>
      </c>
      <c r="J22" s="7" t="s">
        <v>282</v>
      </c>
      <c r="K22" s="7" t="s">
        <v>282</v>
      </c>
      <c r="L22" s="7" t="s">
        <v>282</v>
      </c>
      <c r="M22" s="7" t="s">
        <v>282</v>
      </c>
      <c r="N22">
        <v>-37.815899999999999</v>
      </c>
      <c r="O22">
        <v>144.96690000000001</v>
      </c>
      <c r="P22" s="7" t="s">
        <v>283</v>
      </c>
      <c r="Q22" s="7" t="s">
        <v>284</v>
      </c>
      <c r="R22">
        <v>0.89999997615814209</v>
      </c>
      <c r="S22" s="7" t="s">
        <v>285</v>
      </c>
      <c r="T22" s="7" t="s">
        <v>285</v>
      </c>
      <c r="U22" s="7" t="s">
        <v>285</v>
      </c>
      <c r="V22" s="7" t="s">
        <v>285</v>
      </c>
      <c r="W22" s="7" t="s">
        <v>286</v>
      </c>
      <c r="X22" s="7" t="s">
        <v>530</v>
      </c>
      <c r="Y22" s="7" t="s">
        <v>288</v>
      </c>
      <c r="Z22" s="7" t="s">
        <v>317</v>
      </c>
      <c r="AA22" s="7" t="s">
        <v>290</v>
      </c>
      <c r="AB22" s="7" t="s">
        <v>317</v>
      </c>
      <c r="AC22" s="7" t="s">
        <v>291</v>
      </c>
      <c r="AD22" s="7" t="s">
        <v>292</v>
      </c>
      <c r="AE22">
        <v>19.213000000000001</v>
      </c>
      <c r="AF22">
        <v>27.257000000000001</v>
      </c>
      <c r="AG22">
        <v>28.189</v>
      </c>
      <c r="AH22">
        <v>2</v>
      </c>
      <c r="AI22" s="7" t="s">
        <v>299</v>
      </c>
      <c r="AJ22" s="7" t="s">
        <v>296</v>
      </c>
      <c r="AK22">
        <v>10.441000000000001</v>
      </c>
      <c r="AL22">
        <v>11.797000000000001</v>
      </c>
      <c r="AM22">
        <v>12.898</v>
      </c>
      <c r="AN22">
        <v>2</v>
      </c>
      <c r="AO22" s="7" t="s">
        <v>293</v>
      </c>
      <c r="AP22" s="7" t="s">
        <v>292</v>
      </c>
      <c r="AQ22">
        <v>9.8550000000000004</v>
      </c>
      <c r="AR22">
        <v>12.239000000000001</v>
      </c>
      <c r="AS22">
        <v>13.298</v>
      </c>
      <c r="AT22">
        <v>2</v>
      </c>
      <c r="AU22" s="7" t="s">
        <v>295</v>
      </c>
      <c r="AV22" s="7" t="s">
        <v>292</v>
      </c>
      <c r="AW22">
        <v>11.991</v>
      </c>
      <c r="AX22">
        <v>13.601000000000001</v>
      </c>
      <c r="AY22">
        <v>15.16</v>
      </c>
      <c r="AZ22">
        <v>2</v>
      </c>
      <c r="BA22" s="7" t="s">
        <v>298</v>
      </c>
      <c r="BB22" s="7" t="s">
        <v>292</v>
      </c>
      <c r="BC22">
        <v>14.85</v>
      </c>
      <c r="BD22">
        <v>16.582999999999998</v>
      </c>
      <c r="BE22">
        <v>17.623000000000001</v>
      </c>
      <c r="BF22">
        <v>2</v>
      </c>
      <c r="BG22" s="7" t="s">
        <v>291</v>
      </c>
      <c r="BH22" s="7" t="s">
        <v>292</v>
      </c>
      <c r="BI22">
        <v>11.661</v>
      </c>
      <c r="BJ22">
        <v>14.179</v>
      </c>
      <c r="BK22">
        <v>15.476000000000001</v>
      </c>
      <c r="BL22">
        <v>2</v>
      </c>
      <c r="BM22" s="7" t="s">
        <v>293</v>
      </c>
      <c r="BN22" s="7" t="s">
        <v>296</v>
      </c>
      <c r="BO22">
        <v>9.843</v>
      </c>
      <c r="BP22">
        <v>11.374000000000001</v>
      </c>
      <c r="BQ22">
        <v>12.272</v>
      </c>
      <c r="BR22">
        <v>2</v>
      </c>
      <c r="BS22" s="7" t="s">
        <v>291</v>
      </c>
      <c r="BT22" s="7" t="s">
        <v>292</v>
      </c>
      <c r="BU22">
        <v>10.202</v>
      </c>
      <c r="BV22">
        <v>12.007</v>
      </c>
      <c r="BW22">
        <v>12.851000000000001</v>
      </c>
      <c r="BX22">
        <v>2</v>
      </c>
      <c r="BY22" s="7" t="s">
        <v>298</v>
      </c>
      <c r="BZ22" s="7" t="s">
        <v>292</v>
      </c>
      <c r="CA22">
        <v>8.5030000000000001</v>
      </c>
      <c r="CB22">
        <v>11.731999999999999</v>
      </c>
      <c r="CC22">
        <v>12.976000000000001</v>
      </c>
      <c r="CD22">
        <v>2</v>
      </c>
      <c r="CE22" s="7" t="s">
        <v>299</v>
      </c>
      <c r="CF22" s="7" t="s">
        <v>292</v>
      </c>
      <c r="CG22">
        <v>14.597</v>
      </c>
      <c r="CH22">
        <v>16.047999999999998</v>
      </c>
      <c r="CI22">
        <v>17.594000000000001</v>
      </c>
      <c r="CJ22">
        <v>2</v>
      </c>
      <c r="CK22" s="7" t="s">
        <v>291</v>
      </c>
      <c r="CL22" s="7" t="s">
        <v>292</v>
      </c>
      <c r="CM22">
        <v>11.44</v>
      </c>
      <c r="CN22">
        <v>13.315</v>
      </c>
      <c r="CO22">
        <v>14.744</v>
      </c>
      <c r="CP22">
        <v>2</v>
      </c>
      <c r="CQ22" s="7" t="s">
        <v>293</v>
      </c>
      <c r="CR22" s="7" t="s">
        <v>296</v>
      </c>
      <c r="CS22">
        <v>8.2609999999999992</v>
      </c>
      <c r="CT22">
        <v>11.648</v>
      </c>
      <c r="CU22">
        <v>14.523999999999999</v>
      </c>
      <c r="CV22">
        <v>2</v>
      </c>
      <c r="CW22" s="7" t="s">
        <v>291</v>
      </c>
      <c r="CX22" s="7" t="s">
        <v>292</v>
      </c>
      <c r="CY22">
        <v>11.795</v>
      </c>
      <c r="CZ22">
        <v>13.224</v>
      </c>
      <c r="DA22">
        <v>14.381</v>
      </c>
      <c r="DB22">
        <v>2</v>
      </c>
      <c r="DC22" s="7" t="s">
        <v>299</v>
      </c>
      <c r="DD22" s="7" t="s">
        <v>296</v>
      </c>
      <c r="DE22">
        <v>8.6419999999999995</v>
      </c>
      <c r="DF22">
        <v>12.464</v>
      </c>
      <c r="DG22">
        <v>13.973000000000001</v>
      </c>
      <c r="DH22">
        <v>2</v>
      </c>
      <c r="DI22" s="7" t="s">
        <v>291</v>
      </c>
      <c r="DJ22" s="7" t="s">
        <v>296</v>
      </c>
      <c r="DK22">
        <v>8.1460000000000008</v>
      </c>
      <c r="DL22">
        <v>10.087999999999999</v>
      </c>
      <c r="DM22">
        <v>11.247</v>
      </c>
      <c r="DN22">
        <v>2</v>
      </c>
      <c r="DO22" s="7" t="s">
        <v>291</v>
      </c>
      <c r="DP22" s="7" t="s">
        <v>292</v>
      </c>
      <c r="DQ22">
        <v>8.8569999999999993</v>
      </c>
      <c r="DR22">
        <v>11.086</v>
      </c>
      <c r="DS22">
        <v>12.35</v>
      </c>
      <c r="DT22">
        <v>2</v>
      </c>
      <c r="DU22" s="7" t="s">
        <v>293</v>
      </c>
      <c r="DV22" s="7" t="s">
        <v>296</v>
      </c>
      <c r="DW22">
        <v>6.1479999999999997</v>
      </c>
      <c r="DX22">
        <v>9.33</v>
      </c>
      <c r="DY22">
        <v>10.608000000000001</v>
      </c>
      <c r="DZ22">
        <v>2</v>
      </c>
      <c r="EA22" s="7" t="s">
        <v>299</v>
      </c>
      <c r="EB22" s="7" t="s">
        <v>296</v>
      </c>
      <c r="EC22">
        <v>16.466999999999999</v>
      </c>
      <c r="ED22">
        <v>19.64</v>
      </c>
      <c r="EE22">
        <v>20.907</v>
      </c>
      <c r="EF22">
        <v>2</v>
      </c>
      <c r="EG22" s="7" t="s">
        <v>298</v>
      </c>
      <c r="EH22" s="7" t="s">
        <v>292</v>
      </c>
      <c r="EI22">
        <v>11.962</v>
      </c>
      <c r="EJ22">
        <v>13.561999999999999</v>
      </c>
      <c r="EK22">
        <v>14.775</v>
      </c>
      <c r="EL22">
        <v>2</v>
      </c>
      <c r="EM22" s="7" t="s">
        <v>299</v>
      </c>
      <c r="EN22" s="7" t="s">
        <v>296</v>
      </c>
      <c r="EO22">
        <v>12.23</v>
      </c>
      <c r="EP22">
        <v>14.042999999999999</v>
      </c>
      <c r="EQ22">
        <v>15.465</v>
      </c>
      <c r="ER22">
        <v>2</v>
      </c>
      <c r="ES22" s="7" t="s">
        <v>291</v>
      </c>
      <c r="ET22" s="7" t="s">
        <v>292</v>
      </c>
      <c r="EU22">
        <v>14.468999999999999</v>
      </c>
      <c r="EV22">
        <v>16.009</v>
      </c>
      <c r="EW22">
        <v>17.068999999999999</v>
      </c>
      <c r="EX22">
        <v>2</v>
      </c>
      <c r="EY22" s="7" t="s">
        <v>300</v>
      </c>
      <c r="EZ22" s="7" t="s">
        <v>292</v>
      </c>
      <c r="FA22">
        <v>12.651999999999999</v>
      </c>
      <c r="FB22">
        <v>14.994999999999999</v>
      </c>
      <c r="FC22">
        <v>16.594000000000001</v>
      </c>
      <c r="FD22">
        <v>2</v>
      </c>
      <c r="FE22" s="7" t="s">
        <v>301</v>
      </c>
      <c r="FF22" s="7" t="s">
        <v>292</v>
      </c>
      <c r="FG22">
        <v>11.867000000000001</v>
      </c>
      <c r="FH22">
        <v>13.869</v>
      </c>
      <c r="FI22">
        <v>15.302</v>
      </c>
      <c r="FJ22">
        <v>2</v>
      </c>
      <c r="FK22" s="7" t="s">
        <v>291</v>
      </c>
      <c r="FL22" s="7" t="s">
        <v>292</v>
      </c>
      <c r="FM22">
        <v>11.487</v>
      </c>
      <c r="FN22">
        <v>13.898999999999999</v>
      </c>
      <c r="FO22">
        <v>15.276</v>
      </c>
      <c r="FP22">
        <v>2</v>
      </c>
      <c r="FQ22" s="7" t="s">
        <v>300</v>
      </c>
      <c r="FR22" s="7" t="s">
        <v>296</v>
      </c>
      <c r="FS22">
        <v>5.867</v>
      </c>
      <c r="FT22">
        <v>7.98</v>
      </c>
      <c r="FU22">
        <v>9.2379999999999995</v>
      </c>
      <c r="FV22">
        <v>2</v>
      </c>
      <c r="FW22" s="7" t="s">
        <v>301</v>
      </c>
      <c r="FX22" s="7" t="s">
        <v>296</v>
      </c>
      <c r="FY22">
        <v>13.14</v>
      </c>
      <c r="FZ22">
        <v>16.038</v>
      </c>
      <c r="GA22">
        <v>23.286000000000001</v>
      </c>
      <c r="GB22">
        <v>2</v>
      </c>
      <c r="GC22" s="7" t="s">
        <v>301</v>
      </c>
      <c r="GD22" s="7" t="s">
        <v>292</v>
      </c>
      <c r="GE22">
        <v>11.339</v>
      </c>
      <c r="GF22">
        <v>12.294</v>
      </c>
      <c r="GG22">
        <v>13.737</v>
      </c>
      <c r="GH22">
        <v>2</v>
      </c>
      <c r="GI22" s="7" t="s">
        <v>300</v>
      </c>
      <c r="GJ22" s="7" t="s">
        <v>296</v>
      </c>
      <c r="GK22">
        <v>25.094999999999999</v>
      </c>
      <c r="GL22">
        <v>35.588000000000001</v>
      </c>
      <c r="GM22">
        <v>36.83</v>
      </c>
      <c r="GN22">
        <v>2</v>
      </c>
      <c r="GO22" s="7" t="s">
        <v>301</v>
      </c>
      <c r="GP22" s="7" t="s">
        <v>292</v>
      </c>
      <c r="GQ22">
        <v>14.747999999999999</v>
      </c>
      <c r="GR22">
        <v>22.3</v>
      </c>
      <c r="GS22">
        <v>23.434000000000001</v>
      </c>
      <c r="GT22">
        <v>2</v>
      </c>
      <c r="GU22" s="7" t="s">
        <v>291</v>
      </c>
      <c r="GV22" s="7" t="s">
        <v>292</v>
      </c>
      <c r="GW22">
        <v>24.311</v>
      </c>
      <c r="GX22">
        <v>25.995000000000001</v>
      </c>
      <c r="GY22">
        <v>27.085000000000001</v>
      </c>
      <c r="GZ22">
        <v>2</v>
      </c>
      <c r="HA22" s="7" t="s">
        <v>300</v>
      </c>
      <c r="HB22" s="7" t="s">
        <v>292</v>
      </c>
      <c r="HC22">
        <v>23.114999999999998</v>
      </c>
      <c r="HD22">
        <v>26.497</v>
      </c>
      <c r="HE22">
        <v>27.655999999999999</v>
      </c>
      <c r="HF22">
        <v>2</v>
      </c>
      <c r="HG22" s="7" t="s">
        <v>291</v>
      </c>
      <c r="HH22" s="7" t="s">
        <v>292</v>
      </c>
      <c r="HI22">
        <v>14.212999999999999</v>
      </c>
      <c r="HJ22">
        <v>15.82</v>
      </c>
      <c r="HK22">
        <v>16.684999999999999</v>
      </c>
      <c r="HL22">
        <v>2</v>
      </c>
      <c r="HM22" s="7" t="s">
        <v>531</v>
      </c>
      <c r="HN22" s="7" t="s">
        <v>532</v>
      </c>
      <c r="HO22" s="7" t="s">
        <v>533</v>
      </c>
      <c r="HP22" s="7" t="s">
        <v>534</v>
      </c>
      <c r="HQ22" s="7" t="s">
        <v>535</v>
      </c>
      <c r="HR22" s="7" t="s">
        <v>536</v>
      </c>
      <c r="HS22" s="7" t="s">
        <v>537</v>
      </c>
      <c r="HT22" s="7" t="s">
        <v>538</v>
      </c>
      <c r="HU22" s="7" t="s">
        <v>537</v>
      </c>
      <c r="HV22" s="7" t="s">
        <v>539</v>
      </c>
      <c r="HW22" s="7" t="s">
        <v>540</v>
      </c>
      <c r="HX22" s="7" t="s">
        <v>541</v>
      </c>
      <c r="HY22" s="7" t="s">
        <v>312</v>
      </c>
      <c r="HZ22" s="7" t="s">
        <v>356</v>
      </c>
      <c r="IA22" s="7" t="s">
        <v>313</v>
      </c>
      <c r="IB22" s="7" t="s">
        <v>282</v>
      </c>
      <c r="IC22" s="7" t="s">
        <v>282</v>
      </c>
    </row>
    <row r="23" spans="1:237" x14ac:dyDescent="0.2">
      <c r="A23" s="6">
        <v>45748.255856481483</v>
      </c>
      <c r="B23" s="6">
        <v>45748.26761574074</v>
      </c>
      <c r="C23" s="7" t="s">
        <v>240</v>
      </c>
      <c r="D23" s="7" t="s">
        <v>542</v>
      </c>
      <c r="E23">
        <v>100</v>
      </c>
      <c r="F23">
        <v>1015</v>
      </c>
      <c r="G23" s="7" t="s">
        <v>280</v>
      </c>
      <c r="H23" s="6">
        <v>45748.267627314817</v>
      </c>
      <c r="I23" s="7" t="s">
        <v>543</v>
      </c>
      <c r="J23" s="7" t="s">
        <v>282</v>
      </c>
      <c r="K23" s="7" t="s">
        <v>282</v>
      </c>
      <c r="L23" s="7" t="s">
        <v>282</v>
      </c>
      <c r="M23" s="7" t="s">
        <v>282</v>
      </c>
      <c r="N23">
        <v>51.003799999999998</v>
      </c>
      <c r="O23">
        <v>-118.18380000000001</v>
      </c>
      <c r="P23" s="7" t="s">
        <v>283</v>
      </c>
      <c r="Q23" s="7" t="s">
        <v>284</v>
      </c>
      <c r="R23">
        <v>0.89999997615814209</v>
      </c>
      <c r="S23" s="7" t="s">
        <v>285</v>
      </c>
      <c r="T23" s="7" t="s">
        <v>285</v>
      </c>
      <c r="U23" s="7" t="s">
        <v>285</v>
      </c>
      <c r="V23" s="7" t="s">
        <v>285</v>
      </c>
      <c r="W23" s="7" t="s">
        <v>544</v>
      </c>
      <c r="X23" s="7" t="s">
        <v>545</v>
      </c>
      <c r="Y23" s="7" t="s">
        <v>288</v>
      </c>
      <c r="Z23" s="7" t="s">
        <v>289</v>
      </c>
      <c r="AA23" s="7" t="s">
        <v>289</v>
      </c>
      <c r="AB23" s="7" t="s">
        <v>289</v>
      </c>
      <c r="AC23" s="7" t="s">
        <v>291</v>
      </c>
      <c r="AD23" s="7" t="s">
        <v>292</v>
      </c>
      <c r="AE23">
        <v>0.78600000000000003</v>
      </c>
      <c r="AF23">
        <v>17.327000000000002</v>
      </c>
      <c r="AG23">
        <v>18.068000000000001</v>
      </c>
      <c r="AH23">
        <v>8</v>
      </c>
      <c r="AI23" s="7" t="s">
        <v>293</v>
      </c>
      <c r="AJ23" s="7" t="s">
        <v>292</v>
      </c>
      <c r="AK23">
        <v>0.86099999999999999</v>
      </c>
      <c r="AL23">
        <v>15.88</v>
      </c>
      <c r="AM23">
        <v>16.562999999999999</v>
      </c>
      <c r="AN23">
        <v>9</v>
      </c>
      <c r="AO23" s="7" t="s">
        <v>299</v>
      </c>
      <c r="AP23" s="7" t="s">
        <v>296</v>
      </c>
      <c r="AQ23">
        <v>0.71799999999999997</v>
      </c>
      <c r="AR23">
        <v>14.951000000000001</v>
      </c>
      <c r="AS23">
        <v>15.647</v>
      </c>
      <c r="AT23">
        <v>9</v>
      </c>
      <c r="AU23" s="7" t="s">
        <v>295</v>
      </c>
      <c r="AV23" s="7" t="s">
        <v>292</v>
      </c>
      <c r="AW23">
        <v>0.76400000000000001</v>
      </c>
      <c r="AX23">
        <v>17.396000000000001</v>
      </c>
      <c r="AY23">
        <v>17.939</v>
      </c>
      <c r="AZ23">
        <v>7</v>
      </c>
      <c r="BA23" s="7" t="s">
        <v>295</v>
      </c>
      <c r="BB23" s="7" t="s">
        <v>294</v>
      </c>
      <c r="BC23">
        <v>0.77</v>
      </c>
      <c r="BD23">
        <v>14.353999999999999</v>
      </c>
      <c r="BE23">
        <v>14.701000000000001</v>
      </c>
      <c r="BF23">
        <v>5</v>
      </c>
      <c r="BG23" s="7" t="s">
        <v>291</v>
      </c>
      <c r="BH23" s="7" t="s">
        <v>297</v>
      </c>
      <c r="BI23">
        <v>0.70499999999999996</v>
      </c>
      <c r="BJ23">
        <v>13.958</v>
      </c>
      <c r="BK23">
        <v>14.632999999999999</v>
      </c>
      <c r="BL23">
        <v>8</v>
      </c>
      <c r="BM23" s="7" t="s">
        <v>293</v>
      </c>
      <c r="BN23" s="7" t="s">
        <v>292</v>
      </c>
      <c r="BO23">
        <v>10.039</v>
      </c>
      <c r="BP23">
        <v>26.725999999999999</v>
      </c>
      <c r="BQ23">
        <v>27.271999999999998</v>
      </c>
      <c r="BR23">
        <v>6</v>
      </c>
      <c r="BS23" s="7" t="s">
        <v>291</v>
      </c>
      <c r="BT23" s="7" t="s">
        <v>297</v>
      </c>
      <c r="BU23">
        <v>0.72099999999999997</v>
      </c>
      <c r="BV23">
        <v>18.654</v>
      </c>
      <c r="BW23">
        <v>19.094999999999999</v>
      </c>
      <c r="BX23">
        <v>9</v>
      </c>
      <c r="BY23" s="7" t="s">
        <v>298</v>
      </c>
      <c r="BZ23" s="7" t="s">
        <v>292</v>
      </c>
      <c r="CA23">
        <v>1.198</v>
      </c>
      <c r="CB23">
        <v>15.852</v>
      </c>
      <c r="CC23">
        <v>16.542000000000002</v>
      </c>
      <c r="CD23">
        <v>8</v>
      </c>
      <c r="CE23" s="7" t="s">
        <v>282</v>
      </c>
      <c r="CF23" s="7" t="s">
        <v>297</v>
      </c>
      <c r="CG23">
        <v>0.77700000000000002</v>
      </c>
      <c r="CH23">
        <v>29.373000000000001</v>
      </c>
      <c r="CI23">
        <v>29.6</v>
      </c>
      <c r="CJ23">
        <v>14</v>
      </c>
      <c r="CK23" s="7" t="s">
        <v>291</v>
      </c>
      <c r="CL23" s="7" t="s">
        <v>294</v>
      </c>
      <c r="CM23">
        <v>0.73799999999999999</v>
      </c>
      <c r="CN23">
        <v>19.696000000000002</v>
      </c>
      <c r="CO23">
        <v>20.277999999999999</v>
      </c>
      <c r="CP23">
        <v>8</v>
      </c>
      <c r="CQ23" s="7" t="s">
        <v>293</v>
      </c>
      <c r="CR23" s="7" t="s">
        <v>292</v>
      </c>
      <c r="CS23">
        <v>0.69399999999999995</v>
      </c>
      <c r="CT23">
        <v>14.035</v>
      </c>
      <c r="CU23">
        <v>14.651999999999999</v>
      </c>
      <c r="CV23">
        <v>5</v>
      </c>
      <c r="CW23" s="7" t="s">
        <v>291</v>
      </c>
      <c r="CX23" s="7" t="s">
        <v>296</v>
      </c>
      <c r="CY23">
        <v>0.71899999999999997</v>
      </c>
      <c r="CZ23">
        <v>16.449000000000002</v>
      </c>
      <c r="DA23">
        <v>16.968</v>
      </c>
      <c r="DB23">
        <v>6</v>
      </c>
      <c r="DC23" s="7" t="s">
        <v>295</v>
      </c>
      <c r="DD23" s="7" t="s">
        <v>292</v>
      </c>
      <c r="DE23">
        <v>0.96199999999999997</v>
      </c>
      <c r="DF23">
        <v>15.593999999999999</v>
      </c>
      <c r="DG23">
        <v>16.285</v>
      </c>
      <c r="DH23">
        <v>8</v>
      </c>
      <c r="DI23" s="7" t="s">
        <v>298</v>
      </c>
      <c r="DJ23" s="7" t="s">
        <v>296</v>
      </c>
      <c r="DK23">
        <v>0.63300000000000001</v>
      </c>
      <c r="DL23">
        <v>16.571999999999999</v>
      </c>
      <c r="DM23">
        <v>16.974</v>
      </c>
      <c r="DN23">
        <v>8</v>
      </c>
      <c r="DO23" s="7" t="s">
        <v>291</v>
      </c>
      <c r="DP23" s="7" t="s">
        <v>294</v>
      </c>
      <c r="DQ23">
        <v>0.89900000000000002</v>
      </c>
      <c r="DR23">
        <v>18.298999999999999</v>
      </c>
      <c r="DS23">
        <v>19.922999999999998</v>
      </c>
      <c r="DT23">
        <v>6</v>
      </c>
      <c r="DU23" s="7" t="s">
        <v>299</v>
      </c>
      <c r="DV23" s="7" t="s">
        <v>292</v>
      </c>
      <c r="DW23">
        <v>0.77500000000000002</v>
      </c>
      <c r="DX23">
        <v>16.279</v>
      </c>
      <c r="DY23">
        <v>16.792000000000002</v>
      </c>
      <c r="DZ23">
        <v>7</v>
      </c>
      <c r="EA23" s="7" t="s">
        <v>293</v>
      </c>
      <c r="EB23" s="7" t="s">
        <v>297</v>
      </c>
      <c r="EC23">
        <v>0.90700000000000003</v>
      </c>
      <c r="ED23">
        <v>46.518000000000001</v>
      </c>
      <c r="EE23">
        <v>47.386000000000003</v>
      </c>
      <c r="EF23">
        <v>16</v>
      </c>
      <c r="EG23" s="7" t="s">
        <v>298</v>
      </c>
      <c r="EH23" s="7" t="s">
        <v>294</v>
      </c>
      <c r="EI23">
        <v>0.70399999999999996</v>
      </c>
      <c r="EJ23">
        <v>12.535</v>
      </c>
      <c r="EK23">
        <v>13.177</v>
      </c>
      <c r="EL23">
        <v>8</v>
      </c>
      <c r="EM23" s="7" t="s">
        <v>298</v>
      </c>
      <c r="EN23" s="7" t="s">
        <v>296</v>
      </c>
      <c r="EO23">
        <v>0.71299999999999997</v>
      </c>
      <c r="EP23">
        <v>15.468</v>
      </c>
      <c r="EQ23">
        <v>16.178000000000001</v>
      </c>
      <c r="ER23">
        <v>8</v>
      </c>
      <c r="ES23" s="7" t="s">
        <v>291</v>
      </c>
      <c r="ET23" s="7" t="s">
        <v>296</v>
      </c>
      <c r="EU23">
        <v>2.42</v>
      </c>
      <c r="EV23">
        <v>29.228999999999999</v>
      </c>
      <c r="EW23">
        <v>29.643000000000001</v>
      </c>
      <c r="EX23">
        <v>7</v>
      </c>
      <c r="EY23" s="7" t="s">
        <v>300</v>
      </c>
      <c r="EZ23" s="7" t="s">
        <v>292</v>
      </c>
      <c r="FA23">
        <v>1.091</v>
      </c>
      <c r="FB23">
        <v>26.911999999999999</v>
      </c>
      <c r="FC23">
        <v>27.486000000000001</v>
      </c>
      <c r="FD23">
        <v>13</v>
      </c>
      <c r="FE23" s="7" t="s">
        <v>301</v>
      </c>
      <c r="FF23" s="7" t="s">
        <v>292</v>
      </c>
      <c r="FG23">
        <v>0.90500000000000003</v>
      </c>
      <c r="FH23">
        <v>19.443999999999999</v>
      </c>
      <c r="FI23">
        <v>20.082999999999998</v>
      </c>
      <c r="FJ23">
        <v>8</v>
      </c>
      <c r="FK23" s="7" t="s">
        <v>291</v>
      </c>
      <c r="FL23" s="7" t="s">
        <v>292</v>
      </c>
      <c r="FM23">
        <v>2.1309999999999998</v>
      </c>
      <c r="FN23">
        <v>28.643999999999998</v>
      </c>
      <c r="FO23">
        <v>28.991</v>
      </c>
      <c r="FP23">
        <v>9</v>
      </c>
      <c r="FQ23" s="7" t="s">
        <v>300</v>
      </c>
      <c r="FR23" s="7" t="s">
        <v>296</v>
      </c>
      <c r="FS23">
        <v>1.169</v>
      </c>
      <c r="FT23">
        <v>13.013999999999999</v>
      </c>
      <c r="FU23">
        <v>15.13</v>
      </c>
      <c r="FV23">
        <v>9</v>
      </c>
      <c r="FW23" s="7" t="s">
        <v>301</v>
      </c>
      <c r="FX23" s="7" t="s">
        <v>292</v>
      </c>
      <c r="FY23">
        <v>1.357</v>
      </c>
      <c r="FZ23">
        <v>18.692</v>
      </c>
      <c r="GA23">
        <v>19.2</v>
      </c>
      <c r="GB23">
        <v>8</v>
      </c>
      <c r="GC23" s="7" t="s">
        <v>291</v>
      </c>
      <c r="GD23" s="7" t="s">
        <v>296</v>
      </c>
      <c r="GE23">
        <v>1.1200000000000001</v>
      </c>
      <c r="GF23">
        <v>14.667</v>
      </c>
      <c r="GG23">
        <v>15.372999999999999</v>
      </c>
      <c r="GH23">
        <v>5</v>
      </c>
      <c r="GI23" s="7" t="s">
        <v>300</v>
      </c>
      <c r="GJ23" s="7" t="s">
        <v>292</v>
      </c>
      <c r="GK23">
        <v>1.079</v>
      </c>
      <c r="GL23">
        <v>18.359000000000002</v>
      </c>
      <c r="GM23">
        <v>19.12</v>
      </c>
      <c r="GN23">
        <v>5</v>
      </c>
      <c r="GO23" s="7" t="s">
        <v>301</v>
      </c>
      <c r="GP23" s="7" t="s">
        <v>296</v>
      </c>
      <c r="GQ23">
        <v>0.80700000000000005</v>
      </c>
      <c r="GR23">
        <v>17.126999999999999</v>
      </c>
      <c r="GS23">
        <v>18.654</v>
      </c>
      <c r="GT23">
        <v>6</v>
      </c>
      <c r="GU23" s="7" t="s">
        <v>291</v>
      </c>
      <c r="GV23" s="7" t="s">
        <v>292</v>
      </c>
      <c r="GW23">
        <v>1.298</v>
      </c>
      <c r="GX23">
        <v>15.673999999999999</v>
      </c>
      <c r="GY23">
        <v>16.117000000000001</v>
      </c>
      <c r="GZ23">
        <v>9</v>
      </c>
      <c r="HA23" s="7" t="s">
        <v>300</v>
      </c>
      <c r="HB23" s="7" t="s">
        <v>292</v>
      </c>
      <c r="HC23">
        <v>1.1100000000000001</v>
      </c>
      <c r="HD23">
        <v>19.597000000000001</v>
      </c>
      <c r="HE23">
        <v>19.914000000000001</v>
      </c>
      <c r="HF23">
        <v>8</v>
      </c>
      <c r="HG23" s="7" t="s">
        <v>291</v>
      </c>
      <c r="HH23" s="7" t="s">
        <v>292</v>
      </c>
      <c r="HI23">
        <v>1.0529999999999999</v>
      </c>
      <c r="HJ23">
        <v>14.997999999999999</v>
      </c>
      <c r="HK23">
        <v>15.439</v>
      </c>
      <c r="HL23">
        <v>9</v>
      </c>
      <c r="HM23" s="7" t="s">
        <v>546</v>
      </c>
      <c r="HN23" s="7" t="s">
        <v>547</v>
      </c>
      <c r="HO23" s="7" t="s">
        <v>548</v>
      </c>
      <c r="HP23" s="7" t="s">
        <v>549</v>
      </c>
      <c r="HQ23" s="7" t="s">
        <v>550</v>
      </c>
      <c r="HR23" s="7" t="s">
        <v>551</v>
      </c>
      <c r="HS23" s="7" t="s">
        <v>552</v>
      </c>
      <c r="HT23" s="7" t="s">
        <v>553</v>
      </c>
      <c r="HU23" s="7" t="s">
        <v>554</v>
      </c>
      <c r="HV23" s="7" t="s">
        <v>555</v>
      </c>
      <c r="HW23" s="7" t="s">
        <v>282</v>
      </c>
      <c r="HX23" s="7" t="s">
        <v>282</v>
      </c>
      <c r="HY23" s="7" t="s">
        <v>312</v>
      </c>
      <c r="HZ23" s="7" t="s">
        <v>356</v>
      </c>
      <c r="IA23" s="7" t="s">
        <v>313</v>
      </c>
      <c r="IB23" s="7" t="s">
        <v>282</v>
      </c>
      <c r="IC23" s="7" t="s">
        <v>282</v>
      </c>
    </row>
    <row r="24" spans="1:237" x14ac:dyDescent="0.2">
      <c r="A24" s="6">
        <v>45748.262037037035</v>
      </c>
      <c r="B24" s="6">
        <v>45748.28533564815</v>
      </c>
      <c r="C24" s="7" t="s">
        <v>240</v>
      </c>
      <c r="D24" s="7" t="s">
        <v>556</v>
      </c>
      <c r="E24">
        <v>100</v>
      </c>
      <c r="F24">
        <v>2013</v>
      </c>
      <c r="G24" s="7" t="s">
        <v>280</v>
      </c>
      <c r="H24" s="6">
        <v>45748.285348067133</v>
      </c>
      <c r="I24" s="7" t="s">
        <v>557</v>
      </c>
      <c r="J24" s="7" t="s">
        <v>282</v>
      </c>
      <c r="K24" s="7" t="s">
        <v>282</v>
      </c>
      <c r="L24" s="7" t="s">
        <v>282</v>
      </c>
      <c r="M24" s="7" t="s">
        <v>282</v>
      </c>
      <c r="N24">
        <v>51.060499999999998</v>
      </c>
      <c r="O24">
        <v>-114.11020000000001</v>
      </c>
      <c r="P24" s="7" t="s">
        <v>283</v>
      </c>
      <c r="Q24" s="7" t="s">
        <v>284</v>
      </c>
      <c r="R24">
        <v>0.10000000149011612</v>
      </c>
      <c r="S24" s="7" t="s">
        <v>285</v>
      </c>
      <c r="T24" s="7" t="s">
        <v>285</v>
      </c>
      <c r="U24" s="7" t="s">
        <v>285</v>
      </c>
      <c r="V24" s="7" t="s">
        <v>285</v>
      </c>
      <c r="W24" s="7" t="s">
        <v>412</v>
      </c>
      <c r="X24" s="7" t="s">
        <v>558</v>
      </c>
      <c r="Y24" s="7" t="s">
        <v>288</v>
      </c>
      <c r="Z24" s="7" t="s">
        <v>289</v>
      </c>
      <c r="AA24" s="7" t="s">
        <v>317</v>
      </c>
      <c r="AB24" s="7" t="s">
        <v>317</v>
      </c>
      <c r="AC24" s="7" t="s">
        <v>295</v>
      </c>
      <c r="AD24" s="7" t="s">
        <v>297</v>
      </c>
      <c r="AE24">
        <v>1.014</v>
      </c>
      <c r="AF24">
        <v>15.882999999999999</v>
      </c>
      <c r="AG24">
        <v>16.271999999999998</v>
      </c>
      <c r="AH24">
        <v>8</v>
      </c>
      <c r="AI24" s="7" t="s">
        <v>293</v>
      </c>
      <c r="AJ24" s="7" t="s">
        <v>292</v>
      </c>
      <c r="AK24">
        <v>0.93</v>
      </c>
      <c r="AL24">
        <v>12.791</v>
      </c>
      <c r="AM24">
        <v>13.156000000000001</v>
      </c>
      <c r="AN24">
        <v>10</v>
      </c>
      <c r="AO24" s="7" t="s">
        <v>293</v>
      </c>
      <c r="AP24" s="7" t="s">
        <v>292</v>
      </c>
      <c r="AQ24">
        <v>1.1970000000000001</v>
      </c>
      <c r="AR24">
        <v>14.54</v>
      </c>
      <c r="AS24">
        <v>14.802</v>
      </c>
      <c r="AT24">
        <v>6</v>
      </c>
      <c r="AU24" s="7" t="s">
        <v>298</v>
      </c>
      <c r="AV24" s="7" t="s">
        <v>297</v>
      </c>
      <c r="AW24">
        <v>2.7360000000000002</v>
      </c>
      <c r="AX24">
        <v>57.460999999999999</v>
      </c>
      <c r="AY24">
        <v>58.134999999999998</v>
      </c>
      <c r="AZ24">
        <v>12</v>
      </c>
      <c r="BA24" s="7" t="s">
        <v>298</v>
      </c>
      <c r="BB24" s="7" t="s">
        <v>297</v>
      </c>
      <c r="BC24">
        <v>0.84899999999999998</v>
      </c>
      <c r="BD24">
        <v>24.158999999999999</v>
      </c>
      <c r="BE24">
        <v>24.501999999999999</v>
      </c>
      <c r="BF24">
        <v>9</v>
      </c>
      <c r="BG24" s="7" t="s">
        <v>291</v>
      </c>
      <c r="BH24" s="7" t="s">
        <v>297</v>
      </c>
      <c r="BI24">
        <v>1.165</v>
      </c>
      <c r="BJ24">
        <v>20.167000000000002</v>
      </c>
      <c r="BK24">
        <v>20.501000000000001</v>
      </c>
      <c r="BL24">
        <v>11</v>
      </c>
      <c r="BM24" s="7" t="s">
        <v>293</v>
      </c>
      <c r="BN24" s="7" t="s">
        <v>292</v>
      </c>
      <c r="BO24">
        <v>0.88300000000000001</v>
      </c>
      <c r="BP24">
        <v>12.885999999999999</v>
      </c>
      <c r="BQ24">
        <v>13.101000000000001</v>
      </c>
      <c r="BR24">
        <v>9</v>
      </c>
      <c r="BS24" s="7" t="s">
        <v>299</v>
      </c>
      <c r="BT24" s="7" t="s">
        <v>292</v>
      </c>
      <c r="BU24">
        <v>1.216</v>
      </c>
      <c r="BV24">
        <v>17.344000000000001</v>
      </c>
      <c r="BW24">
        <v>17.754999999999999</v>
      </c>
      <c r="BX24">
        <v>11</v>
      </c>
      <c r="BY24" s="7" t="s">
        <v>299</v>
      </c>
      <c r="BZ24" s="7" t="s">
        <v>292</v>
      </c>
      <c r="CA24">
        <v>1.1000000000000001</v>
      </c>
      <c r="CB24">
        <v>18.478999999999999</v>
      </c>
      <c r="CC24">
        <v>18.901</v>
      </c>
      <c r="CD24">
        <v>9</v>
      </c>
      <c r="CE24" s="7" t="s">
        <v>291</v>
      </c>
      <c r="CF24" s="7" t="s">
        <v>297</v>
      </c>
      <c r="CG24">
        <v>1.3919999999999999</v>
      </c>
      <c r="CH24">
        <v>43.722999999999999</v>
      </c>
      <c r="CI24">
        <v>44.344999999999999</v>
      </c>
      <c r="CJ24">
        <v>7</v>
      </c>
      <c r="CK24" s="7" t="s">
        <v>291</v>
      </c>
      <c r="CL24" s="7" t="s">
        <v>297</v>
      </c>
      <c r="CM24">
        <v>2.181</v>
      </c>
      <c r="CN24">
        <v>18.440000000000001</v>
      </c>
      <c r="CO24">
        <v>19.300999999999998</v>
      </c>
      <c r="CP24">
        <v>8</v>
      </c>
      <c r="CQ24" s="7" t="s">
        <v>293</v>
      </c>
      <c r="CR24" s="7" t="s">
        <v>296</v>
      </c>
      <c r="CS24">
        <v>0.95599999999999996</v>
      </c>
      <c r="CT24">
        <v>12.349</v>
      </c>
      <c r="CU24">
        <v>13.397</v>
      </c>
      <c r="CV24">
        <v>9</v>
      </c>
      <c r="CW24" s="7" t="s">
        <v>299</v>
      </c>
      <c r="CX24" s="7" t="s">
        <v>297</v>
      </c>
      <c r="CY24">
        <v>1.2969999999999999</v>
      </c>
      <c r="CZ24">
        <v>30.201000000000001</v>
      </c>
      <c r="DA24">
        <v>30.898</v>
      </c>
      <c r="DB24">
        <v>9</v>
      </c>
      <c r="DC24" s="7" t="s">
        <v>298</v>
      </c>
      <c r="DD24" s="7" t="s">
        <v>297</v>
      </c>
      <c r="DE24">
        <v>0.86599999999999999</v>
      </c>
      <c r="DF24">
        <v>17.058</v>
      </c>
      <c r="DG24">
        <v>17.573</v>
      </c>
      <c r="DH24">
        <v>8</v>
      </c>
      <c r="DI24" s="7" t="s">
        <v>291</v>
      </c>
      <c r="DJ24" s="7" t="s">
        <v>297</v>
      </c>
      <c r="DK24">
        <v>0.83799999999999997</v>
      </c>
      <c r="DL24">
        <v>19.193999999999999</v>
      </c>
      <c r="DM24">
        <v>19.7</v>
      </c>
      <c r="DN24">
        <v>12</v>
      </c>
      <c r="DO24" s="7" t="s">
        <v>291</v>
      </c>
      <c r="DP24" s="7" t="s">
        <v>297</v>
      </c>
      <c r="DQ24">
        <v>1.008</v>
      </c>
      <c r="DR24">
        <v>20.298999999999999</v>
      </c>
      <c r="DS24">
        <v>20.748000000000001</v>
      </c>
      <c r="DT24">
        <v>9</v>
      </c>
      <c r="DU24" s="7" t="s">
        <v>293</v>
      </c>
      <c r="DV24" s="7" t="s">
        <v>292</v>
      </c>
      <c r="DW24">
        <v>0.91900000000000004</v>
      </c>
      <c r="DX24">
        <v>40.235999999999997</v>
      </c>
      <c r="DY24">
        <v>40.277000000000001</v>
      </c>
      <c r="DZ24">
        <v>10</v>
      </c>
      <c r="EA24" s="7" t="s">
        <v>298</v>
      </c>
      <c r="EB24" s="7" t="s">
        <v>297</v>
      </c>
      <c r="EC24">
        <v>0.91100000000000003</v>
      </c>
      <c r="ED24">
        <v>46.296999999999997</v>
      </c>
      <c r="EE24">
        <v>46.790999999999997</v>
      </c>
      <c r="EF24">
        <v>12</v>
      </c>
      <c r="EG24" s="7" t="s">
        <v>295</v>
      </c>
      <c r="EH24" s="7" t="s">
        <v>297</v>
      </c>
      <c r="EI24">
        <v>0.96799999999999997</v>
      </c>
      <c r="EJ24">
        <v>30.367999999999999</v>
      </c>
      <c r="EK24">
        <v>30.600999999999999</v>
      </c>
      <c r="EL24">
        <v>8</v>
      </c>
      <c r="EM24" s="7" t="s">
        <v>291</v>
      </c>
      <c r="EN24" s="7" t="s">
        <v>292</v>
      </c>
      <c r="EO24">
        <v>0.999</v>
      </c>
      <c r="EP24">
        <v>14.272</v>
      </c>
      <c r="EQ24">
        <v>14.901</v>
      </c>
      <c r="ER24">
        <v>9</v>
      </c>
      <c r="ES24" s="7" t="s">
        <v>301</v>
      </c>
      <c r="ET24" s="7" t="s">
        <v>330</v>
      </c>
      <c r="EU24">
        <v>0.92600000000000005</v>
      </c>
      <c r="EV24">
        <v>15.196</v>
      </c>
      <c r="EW24">
        <v>15.67</v>
      </c>
      <c r="EX24">
        <v>9</v>
      </c>
      <c r="EY24" s="7" t="s">
        <v>300</v>
      </c>
      <c r="EZ24" s="7" t="s">
        <v>296</v>
      </c>
      <c r="FA24">
        <v>0.875</v>
      </c>
      <c r="FB24">
        <v>11.215</v>
      </c>
      <c r="FC24">
        <v>11.595000000000001</v>
      </c>
      <c r="FD24">
        <v>8</v>
      </c>
      <c r="FE24" s="7" t="s">
        <v>301</v>
      </c>
      <c r="FF24" s="7" t="s">
        <v>292</v>
      </c>
      <c r="FG24">
        <v>1.171</v>
      </c>
      <c r="FH24">
        <v>11.196999999999999</v>
      </c>
      <c r="FI24">
        <v>11.403</v>
      </c>
      <c r="FJ24">
        <v>9</v>
      </c>
      <c r="FK24" s="7" t="s">
        <v>291</v>
      </c>
      <c r="FL24" s="7" t="s">
        <v>292</v>
      </c>
      <c r="FM24">
        <v>0.90100000000000002</v>
      </c>
      <c r="FN24">
        <v>12.938000000000001</v>
      </c>
      <c r="FO24">
        <v>13.253</v>
      </c>
      <c r="FP24">
        <v>10</v>
      </c>
      <c r="FQ24" s="7" t="s">
        <v>300</v>
      </c>
      <c r="FR24" s="7" t="s">
        <v>296</v>
      </c>
      <c r="FS24">
        <v>1.129</v>
      </c>
      <c r="FT24">
        <v>15.042</v>
      </c>
      <c r="FU24">
        <v>15.462</v>
      </c>
      <c r="FV24">
        <v>9</v>
      </c>
      <c r="FW24" s="7" t="s">
        <v>301</v>
      </c>
      <c r="FX24" s="7" t="s">
        <v>292</v>
      </c>
      <c r="FY24">
        <v>6.9619999999999997</v>
      </c>
      <c r="FZ24">
        <v>41.823</v>
      </c>
      <c r="GA24">
        <v>42.46</v>
      </c>
      <c r="GB24">
        <v>18</v>
      </c>
      <c r="GC24" s="7" t="s">
        <v>291</v>
      </c>
      <c r="GD24" s="7" t="s">
        <v>296</v>
      </c>
      <c r="GE24">
        <v>0.878</v>
      </c>
      <c r="GF24">
        <v>12.58</v>
      </c>
      <c r="GG24">
        <v>12.954000000000001</v>
      </c>
      <c r="GH24">
        <v>8</v>
      </c>
      <c r="GI24" s="7" t="s">
        <v>300</v>
      </c>
      <c r="GJ24" s="7" t="s">
        <v>296</v>
      </c>
      <c r="GK24">
        <v>1.169</v>
      </c>
      <c r="GL24">
        <v>12.692</v>
      </c>
      <c r="GM24">
        <v>13.096</v>
      </c>
      <c r="GN24">
        <v>10</v>
      </c>
      <c r="GO24" s="7" t="s">
        <v>301</v>
      </c>
      <c r="GP24" s="7" t="s">
        <v>292</v>
      </c>
      <c r="GQ24">
        <v>0.98799999999999999</v>
      </c>
      <c r="GR24">
        <v>16.396999999999998</v>
      </c>
      <c r="GS24">
        <v>16.774000000000001</v>
      </c>
      <c r="GT24">
        <v>7</v>
      </c>
      <c r="GU24" s="7" t="s">
        <v>291</v>
      </c>
      <c r="GV24" s="7" t="s">
        <v>292</v>
      </c>
      <c r="GW24">
        <v>1.087</v>
      </c>
      <c r="GX24">
        <v>13.013</v>
      </c>
      <c r="GY24">
        <v>13.452999999999999</v>
      </c>
      <c r="GZ24">
        <v>9</v>
      </c>
      <c r="HA24" s="7" t="s">
        <v>300</v>
      </c>
      <c r="HB24" s="7" t="s">
        <v>292</v>
      </c>
      <c r="HC24">
        <v>0.70099999999999996</v>
      </c>
      <c r="HD24">
        <v>20.51</v>
      </c>
      <c r="HE24">
        <v>20.8</v>
      </c>
      <c r="HF24">
        <v>12</v>
      </c>
      <c r="HG24" s="7" t="s">
        <v>301</v>
      </c>
      <c r="HH24" s="7" t="s">
        <v>330</v>
      </c>
      <c r="HI24">
        <v>1.048</v>
      </c>
      <c r="HJ24">
        <v>31.712</v>
      </c>
      <c r="HK24">
        <v>32.267000000000003</v>
      </c>
      <c r="HL24">
        <v>11</v>
      </c>
      <c r="HM24" s="7" t="s">
        <v>559</v>
      </c>
      <c r="HN24" s="7" t="s">
        <v>560</v>
      </c>
      <c r="HO24" s="7" t="s">
        <v>561</v>
      </c>
      <c r="HP24" s="7" t="s">
        <v>560</v>
      </c>
      <c r="HQ24" s="7" t="s">
        <v>562</v>
      </c>
      <c r="HR24" s="7" t="s">
        <v>563</v>
      </c>
      <c r="HS24" s="7" t="s">
        <v>564</v>
      </c>
      <c r="HT24" s="7" t="s">
        <v>565</v>
      </c>
      <c r="HU24" s="7" t="s">
        <v>566</v>
      </c>
      <c r="HV24" s="7" t="s">
        <v>567</v>
      </c>
      <c r="HW24" s="7" t="s">
        <v>282</v>
      </c>
      <c r="HX24" s="7" t="s">
        <v>282</v>
      </c>
      <c r="HY24" s="7" t="s">
        <v>312</v>
      </c>
      <c r="HZ24" s="7" t="s">
        <v>372</v>
      </c>
      <c r="IA24" s="7" t="s">
        <v>325</v>
      </c>
      <c r="IB24" s="7" t="s">
        <v>282</v>
      </c>
      <c r="IC24" s="7" t="s">
        <v>282</v>
      </c>
    </row>
    <row r="25" spans="1:237" x14ac:dyDescent="0.2">
      <c r="A25" s="6">
        <v>45748.290532407409</v>
      </c>
      <c r="B25" s="6">
        <v>45748.303229166668</v>
      </c>
      <c r="C25" s="7" t="s">
        <v>240</v>
      </c>
      <c r="D25" s="7" t="s">
        <v>568</v>
      </c>
      <c r="E25">
        <v>100</v>
      </c>
      <c r="F25">
        <v>1096</v>
      </c>
      <c r="G25" s="7" t="s">
        <v>280</v>
      </c>
      <c r="H25" s="6">
        <v>45748.30324361111</v>
      </c>
      <c r="I25" s="7" t="s">
        <v>569</v>
      </c>
      <c r="J25" s="7" t="s">
        <v>282</v>
      </c>
      <c r="K25" s="7" t="s">
        <v>282</v>
      </c>
      <c r="L25" s="7" t="s">
        <v>282</v>
      </c>
      <c r="M25" s="7" t="s">
        <v>282</v>
      </c>
      <c r="N25">
        <v>51.040599999999998</v>
      </c>
      <c r="O25">
        <v>-114.07640000000001</v>
      </c>
      <c r="P25" s="7" t="s">
        <v>283</v>
      </c>
      <c r="Q25" s="7" t="s">
        <v>284</v>
      </c>
      <c r="R25">
        <v>0.89999997615814209</v>
      </c>
      <c r="S25" s="7" t="s">
        <v>285</v>
      </c>
      <c r="T25" s="7" t="s">
        <v>285</v>
      </c>
      <c r="U25" s="7" t="s">
        <v>285</v>
      </c>
      <c r="V25" s="7" t="s">
        <v>285</v>
      </c>
      <c r="W25" s="7" t="s">
        <v>501</v>
      </c>
      <c r="X25" s="7" t="s">
        <v>570</v>
      </c>
      <c r="Y25" s="7" t="s">
        <v>288</v>
      </c>
      <c r="Z25" s="7" t="s">
        <v>317</v>
      </c>
      <c r="AA25" s="7" t="s">
        <v>289</v>
      </c>
      <c r="AB25" s="7" t="s">
        <v>317</v>
      </c>
      <c r="AC25" s="7" t="s">
        <v>291</v>
      </c>
      <c r="AD25" s="7" t="s">
        <v>296</v>
      </c>
      <c r="AE25">
        <v>9.8689999999999998</v>
      </c>
      <c r="AF25">
        <v>13.148</v>
      </c>
      <c r="AG25">
        <v>13.734</v>
      </c>
      <c r="AH25">
        <v>5</v>
      </c>
      <c r="AI25" s="7" t="s">
        <v>293</v>
      </c>
      <c r="AJ25" s="7" t="s">
        <v>296</v>
      </c>
      <c r="AK25">
        <v>8.2710000000000008</v>
      </c>
      <c r="AL25">
        <v>11.446999999999999</v>
      </c>
      <c r="AM25">
        <v>12.028</v>
      </c>
      <c r="AN25">
        <v>5</v>
      </c>
      <c r="AO25" s="7" t="s">
        <v>293</v>
      </c>
      <c r="AP25" s="7" t="s">
        <v>296</v>
      </c>
      <c r="AQ25">
        <v>7.1369999999999996</v>
      </c>
      <c r="AR25">
        <v>12.37</v>
      </c>
      <c r="AS25">
        <v>12.882999999999999</v>
      </c>
      <c r="AT25">
        <v>6</v>
      </c>
      <c r="AU25" s="7" t="s">
        <v>295</v>
      </c>
      <c r="AV25" s="7" t="s">
        <v>296</v>
      </c>
      <c r="AW25">
        <v>6.83</v>
      </c>
      <c r="AX25">
        <v>9.9339999999999993</v>
      </c>
      <c r="AY25">
        <v>10.829000000000001</v>
      </c>
      <c r="AZ25">
        <v>4</v>
      </c>
      <c r="BA25" s="7" t="s">
        <v>298</v>
      </c>
      <c r="BB25" s="7" t="s">
        <v>296</v>
      </c>
      <c r="BC25">
        <v>10.436999999999999</v>
      </c>
      <c r="BD25">
        <v>12.776999999999999</v>
      </c>
      <c r="BE25">
        <v>13.381</v>
      </c>
      <c r="BF25">
        <v>4</v>
      </c>
      <c r="BG25" s="7" t="s">
        <v>291</v>
      </c>
      <c r="BH25" s="7" t="s">
        <v>296</v>
      </c>
      <c r="BI25">
        <v>8.7530000000000001</v>
      </c>
      <c r="BJ25">
        <v>11.595000000000001</v>
      </c>
      <c r="BK25">
        <v>14.651999999999999</v>
      </c>
      <c r="BL25">
        <v>5</v>
      </c>
      <c r="BM25" s="7" t="s">
        <v>293</v>
      </c>
      <c r="BN25" s="7" t="s">
        <v>292</v>
      </c>
      <c r="BO25">
        <v>15.343999999999999</v>
      </c>
      <c r="BP25">
        <v>18.260000000000002</v>
      </c>
      <c r="BQ25">
        <v>18.71</v>
      </c>
      <c r="BR25">
        <v>6</v>
      </c>
      <c r="BS25" s="7" t="s">
        <v>291</v>
      </c>
      <c r="BT25" s="7" t="s">
        <v>296</v>
      </c>
      <c r="BU25">
        <v>10.51</v>
      </c>
      <c r="BV25">
        <v>15.574</v>
      </c>
      <c r="BW25">
        <v>16.035</v>
      </c>
      <c r="BX25">
        <v>5</v>
      </c>
      <c r="BY25" s="7" t="s">
        <v>295</v>
      </c>
      <c r="BZ25" s="7" t="s">
        <v>296</v>
      </c>
      <c r="CA25">
        <v>9.4960000000000004</v>
      </c>
      <c r="CB25">
        <v>14.55</v>
      </c>
      <c r="CC25">
        <v>15.053000000000001</v>
      </c>
      <c r="CD25">
        <v>7</v>
      </c>
      <c r="CE25" s="7" t="s">
        <v>299</v>
      </c>
      <c r="CF25" s="7" t="s">
        <v>292</v>
      </c>
      <c r="CG25">
        <v>7.625</v>
      </c>
      <c r="CH25">
        <v>17.988</v>
      </c>
      <c r="CI25">
        <v>18.939</v>
      </c>
      <c r="CJ25">
        <v>6</v>
      </c>
      <c r="CK25" s="7" t="s">
        <v>291</v>
      </c>
      <c r="CL25" s="7" t="s">
        <v>292</v>
      </c>
      <c r="CM25">
        <v>9.5129999999999999</v>
      </c>
      <c r="CN25">
        <v>12.752000000000001</v>
      </c>
      <c r="CO25">
        <v>13.244999999999999</v>
      </c>
      <c r="CP25">
        <v>6</v>
      </c>
      <c r="CQ25" s="7" t="s">
        <v>293</v>
      </c>
      <c r="CR25" s="7" t="s">
        <v>296</v>
      </c>
      <c r="CS25">
        <v>7.6269999999999998</v>
      </c>
      <c r="CT25">
        <v>12.351000000000001</v>
      </c>
      <c r="CU25">
        <v>12.798999999999999</v>
      </c>
      <c r="CV25">
        <v>6</v>
      </c>
      <c r="CW25" s="7" t="s">
        <v>291</v>
      </c>
      <c r="CX25" s="7" t="s">
        <v>292</v>
      </c>
      <c r="CY25">
        <v>6.3780000000000001</v>
      </c>
      <c r="CZ25">
        <v>13.02</v>
      </c>
      <c r="DA25">
        <v>13.566000000000001</v>
      </c>
      <c r="DB25">
        <v>8</v>
      </c>
      <c r="DC25" s="7" t="s">
        <v>295</v>
      </c>
      <c r="DD25" s="7" t="s">
        <v>292</v>
      </c>
      <c r="DE25">
        <v>5.7910000000000004</v>
      </c>
      <c r="DF25">
        <v>9.3829999999999991</v>
      </c>
      <c r="DG25">
        <v>10.013999999999999</v>
      </c>
      <c r="DH25">
        <v>5</v>
      </c>
      <c r="DI25" s="7" t="s">
        <v>299</v>
      </c>
      <c r="DJ25" s="7" t="s">
        <v>292</v>
      </c>
      <c r="DK25">
        <v>5.1740000000000004</v>
      </c>
      <c r="DL25">
        <v>13.036</v>
      </c>
      <c r="DM25">
        <v>13.62</v>
      </c>
      <c r="DN25">
        <v>8</v>
      </c>
      <c r="DO25" s="7" t="s">
        <v>291</v>
      </c>
      <c r="DP25" s="7" t="s">
        <v>292</v>
      </c>
      <c r="DQ25">
        <v>6.0460000000000003</v>
      </c>
      <c r="DR25">
        <v>9.0030000000000001</v>
      </c>
      <c r="DS25">
        <v>9.8309999999999995</v>
      </c>
      <c r="DT25">
        <v>4</v>
      </c>
      <c r="DU25" s="7" t="s">
        <v>293</v>
      </c>
      <c r="DV25" s="7" t="s">
        <v>296</v>
      </c>
      <c r="DW25">
        <v>5.2309999999999999</v>
      </c>
      <c r="DX25">
        <v>13.74</v>
      </c>
      <c r="DY25">
        <v>14.273999999999999</v>
      </c>
      <c r="DZ25">
        <v>6</v>
      </c>
      <c r="EA25" s="7" t="s">
        <v>293</v>
      </c>
      <c r="EB25" s="7" t="s">
        <v>292</v>
      </c>
      <c r="EC25">
        <v>9.7750000000000004</v>
      </c>
      <c r="ED25">
        <v>19.719000000000001</v>
      </c>
      <c r="EE25">
        <v>20.288</v>
      </c>
      <c r="EF25">
        <v>9</v>
      </c>
      <c r="EG25" s="7" t="s">
        <v>298</v>
      </c>
      <c r="EH25" s="7" t="s">
        <v>296</v>
      </c>
      <c r="EI25">
        <v>7.6079999999999997</v>
      </c>
      <c r="EJ25">
        <v>17.257000000000001</v>
      </c>
      <c r="EK25">
        <v>20.181999999999999</v>
      </c>
      <c r="EL25">
        <v>8</v>
      </c>
      <c r="EM25" s="7" t="s">
        <v>299</v>
      </c>
      <c r="EN25" s="7" t="s">
        <v>292</v>
      </c>
      <c r="EO25">
        <v>8.6340000000000003</v>
      </c>
      <c r="EP25">
        <v>11.286</v>
      </c>
      <c r="EQ25">
        <v>11.843</v>
      </c>
      <c r="ER25">
        <v>5</v>
      </c>
      <c r="ES25" s="7" t="s">
        <v>291</v>
      </c>
      <c r="ET25" s="7" t="s">
        <v>292</v>
      </c>
      <c r="EU25">
        <v>5.18</v>
      </c>
      <c r="EV25">
        <v>13.058999999999999</v>
      </c>
      <c r="EW25">
        <v>14.058</v>
      </c>
      <c r="EX25">
        <v>7</v>
      </c>
      <c r="EY25" s="7" t="s">
        <v>300</v>
      </c>
      <c r="EZ25" s="7" t="s">
        <v>292</v>
      </c>
      <c r="FA25">
        <v>6.1589999999999998</v>
      </c>
      <c r="FB25">
        <v>18.928000000000001</v>
      </c>
      <c r="FC25">
        <v>19.541</v>
      </c>
      <c r="FD25">
        <v>9</v>
      </c>
      <c r="FE25" s="7" t="s">
        <v>301</v>
      </c>
      <c r="FF25" s="7" t="s">
        <v>296</v>
      </c>
      <c r="FG25">
        <v>9.7629999999999999</v>
      </c>
      <c r="FH25">
        <v>13.474</v>
      </c>
      <c r="FI25">
        <v>14.394</v>
      </c>
      <c r="FJ25">
        <v>4</v>
      </c>
      <c r="FK25" s="7" t="s">
        <v>291</v>
      </c>
      <c r="FL25" s="7" t="s">
        <v>296</v>
      </c>
      <c r="FM25">
        <v>7.1539999999999999</v>
      </c>
      <c r="FN25">
        <v>11.667</v>
      </c>
      <c r="FO25">
        <v>12.157</v>
      </c>
      <c r="FP25">
        <v>5</v>
      </c>
      <c r="FQ25" s="7" t="s">
        <v>300</v>
      </c>
      <c r="FR25" s="7" t="s">
        <v>292</v>
      </c>
      <c r="FS25">
        <v>7.1239999999999997</v>
      </c>
      <c r="FT25">
        <v>18.603000000000002</v>
      </c>
      <c r="FU25">
        <v>19.161999999999999</v>
      </c>
      <c r="FV25">
        <v>6</v>
      </c>
      <c r="FW25" s="7" t="s">
        <v>301</v>
      </c>
      <c r="FX25" s="7" t="s">
        <v>296</v>
      </c>
      <c r="FY25">
        <v>3.1190000000000002</v>
      </c>
      <c r="FZ25">
        <v>25.427</v>
      </c>
      <c r="GA25">
        <v>25.82</v>
      </c>
      <c r="GB25">
        <v>7</v>
      </c>
      <c r="GC25" s="7" t="s">
        <v>291</v>
      </c>
      <c r="GD25" s="7" t="s">
        <v>292</v>
      </c>
      <c r="GE25">
        <v>2.3530000000000002</v>
      </c>
      <c r="GF25">
        <v>13.9</v>
      </c>
      <c r="GG25">
        <v>14.661</v>
      </c>
      <c r="GH25">
        <v>4</v>
      </c>
      <c r="GI25" s="7" t="s">
        <v>300</v>
      </c>
      <c r="GJ25" s="7" t="s">
        <v>292</v>
      </c>
      <c r="GK25">
        <v>4.6139999999999999</v>
      </c>
      <c r="GL25">
        <v>32.08</v>
      </c>
      <c r="GM25">
        <v>32.651000000000003</v>
      </c>
      <c r="GN25">
        <v>8</v>
      </c>
      <c r="GO25" s="7" t="s">
        <v>301</v>
      </c>
      <c r="GP25" s="7" t="s">
        <v>292</v>
      </c>
      <c r="GQ25">
        <v>3.2040000000000002</v>
      </c>
      <c r="GR25">
        <v>17.777000000000001</v>
      </c>
      <c r="GS25">
        <v>18.276</v>
      </c>
      <c r="GT25">
        <v>8</v>
      </c>
      <c r="GU25" s="7" t="s">
        <v>291</v>
      </c>
      <c r="GV25" s="7" t="s">
        <v>296</v>
      </c>
      <c r="GW25">
        <v>3.194</v>
      </c>
      <c r="GX25">
        <v>10.047000000000001</v>
      </c>
      <c r="GY25">
        <v>10.587</v>
      </c>
      <c r="GZ25">
        <v>7</v>
      </c>
      <c r="HA25" s="7" t="s">
        <v>300</v>
      </c>
      <c r="HB25" s="7" t="s">
        <v>292</v>
      </c>
      <c r="HC25">
        <v>10.62</v>
      </c>
      <c r="HD25">
        <v>14.244</v>
      </c>
      <c r="HE25">
        <v>14.853</v>
      </c>
      <c r="HF25">
        <v>6</v>
      </c>
      <c r="HG25" s="7" t="s">
        <v>291</v>
      </c>
      <c r="HH25" s="7" t="s">
        <v>292</v>
      </c>
      <c r="HI25">
        <v>8.3339999999999996</v>
      </c>
      <c r="HJ25">
        <v>12.429</v>
      </c>
      <c r="HK25">
        <v>12.946999999999999</v>
      </c>
      <c r="HL25">
        <v>3</v>
      </c>
      <c r="HM25" s="7" t="s">
        <v>571</v>
      </c>
      <c r="HN25" s="7" t="s">
        <v>572</v>
      </c>
      <c r="HO25" s="7" t="s">
        <v>573</v>
      </c>
      <c r="HP25" s="7" t="s">
        <v>574</v>
      </c>
      <c r="HQ25" s="7" t="s">
        <v>575</v>
      </c>
      <c r="HR25" s="7" t="s">
        <v>576</v>
      </c>
      <c r="HS25" s="7" t="s">
        <v>577</v>
      </c>
      <c r="HT25" s="7" t="s">
        <v>578</v>
      </c>
      <c r="HU25" s="7" t="s">
        <v>579</v>
      </c>
      <c r="HV25" s="7" t="s">
        <v>434</v>
      </c>
      <c r="HW25" s="7" t="s">
        <v>580</v>
      </c>
      <c r="HX25" s="7" t="s">
        <v>282</v>
      </c>
      <c r="HY25" s="7" t="s">
        <v>312</v>
      </c>
      <c r="HZ25" s="7" t="s">
        <v>356</v>
      </c>
      <c r="IA25" s="7" t="s">
        <v>313</v>
      </c>
      <c r="IB25" s="7" t="s">
        <v>282</v>
      </c>
      <c r="IC25" s="7" t="s">
        <v>282</v>
      </c>
    </row>
    <row r="26" spans="1:237" x14ac:dyDescent="0.2">
      <c r="A26" s="6">
        <v>45748.310347222221</v>
      </c>
      <c r="B26" s="6">
        <v>45748.329641203702</v>
      </c>
      <c r="C26" s="7" t="s">
        <v>240</v>
      </c>
      <c r="D26" s="7" t="s">
        <v>581</v>
      </c>
      <c r="E26">
        <v>100</v>
      </c>
      <c r="F26">
        <v>1667</v>
      </c>
      <c r="G26" s="7" t="s">
        <v>280</v>
      </c>
      <c r="H26" s="6">
        <v>45748.329664467594</v>
      </c>
      <c r="I26" s="7" t="s">
        <v>582</v>
      </c>
      <c r="J26" s="7" t="s">
        <v>282</v>
      </c>
      <c r="K26" s="7" t="s">
        <v>282</v>
      </c>
      <c r="L26" s="7" t="s">
        <v>282</v>
      </c>
      <c r="M26" s="7" t="s">
        <v>282</v>
      </c>
      <c r="N26">
        <v>49.247599999999998</v>
      </c>
      <c r="O26">
        <v>-123.1234</v>
      </c>
      <c r="P26" s="7" t="s">
        <v>283</v>
      </c>
      <c r="Q26" s="7" t="s">
        <v>284</v>
      </c>
      <c r="R26">
        <v>1</v>
      </c>
      <c r="S26" s="7" t="s">
        <v>285</v>
      </c>
      <c r="T26" s="7" t="s">
        <v>285</v>
      </c>
      <c r="U26" s="7" t="s">
        <v>285</v>
      </c>
      <c r="V26" s="7" t="s">
        <v>285</v>
      </c>
      <c r="W26" s="7" t="s">
        <v>359</v>
      </c>
      <c r="X26" s="7" t="s">
        <v>287</v>
      </c>
      <c r="Y26" s="7" t="s">
        <v>288</v>
      </c>
      <c r="Z26" s="7" t="s">
        <v>289</v>
      </c>
      <c r="AA26" s="7" t="s">
        <v>289</v>
      </c>
      <c r="AB26" s="7" t="s">
        <v>289</v>
      </c>
      <c r="AC26" s="7" t="s">
        <v>291</v>
      </c>
      <c r="AD26" s="7" t="s">
        <v>292</v>
      </c>
      <c r="AE26">
        <v>8.6720000000000006</v>
      </c>
      <c r="AF26">
        <v>15.42</v>
      </c>
      <c r="AG26">
        <v>15.879</v>
      </c>
      <c r="AH26">
        <v>10</v>
      </c>
      <c r="AI26" s="7" t="s">
        <v>293</v>
      </c>
      <c r="AJ26" s="7" t="s">
        <v>296</v>
      </c>
      <c r="AK26">
        <v>11.898</v>
      </c>
      <c r="AL26">
        <v>29.498999999999999</v>
      </c>
      <c r="AM26">
        <v>30.038</v>
      </c>
      <c r="AN26">
        <v>17</v>
      </c>
      <c r="AO26" s="7" t="s">
        <v>293</v>
      </c>
      <c r="AP26" s="7" t="s">
        <v>292</v>
      </c>
      <c r="AQ26">
        <v>32.573</v>
      </c>
      <c r="AR26">
        <v>46.1</v>
      </c>
      <c r="AS26">
        <v>46.906999999999996</v>
      </c>
      <c r="AT26">
        <v>9</v>
      </c>
      <c r="AU26" s="7" t="s">
        <v>295</v>
      </c>
      <c r="AV26" s="7" t="s">
        <v>296</v>
      </c>
      <c r="AW26">
        <v>4.92</v>
      </c>
      <c r="AX26">
        <v>11.117000000000001</v>
      </c>
      <c r="AY26">
        <v>11.741</v>
      </c>
      <c r="AZ26">
        <v>9</v>
      </c>
      <c r="BA26" s="7" t="s">
        <v>295</v>
      </c>
      <c r="BB26" s="7" t="s">
        <v>296</v>
      </c>
      <c r="BC26">
        <v>2.738</v>
      </c>
      <c r="BD26">
        <v>14.961</v>
      </c>
      <c r="BE26">
        <v>15.555</v>
      </c>
      <c r="BF26">
        <v>13</v>
      </c>
      <c r="BG26" s="7" t="s">
        <v>291</v>
      </c>
      <c r="BH26" s="7" t="s">
        <v>292</v>
      </c>
      <c r="BI26">
        <v>8.4009999999999998</v>
      </c>
      <c r="BJ26">
        <v>30.442</v>
      </c>
      <c r="BK26">
        <v>31.29</v>
      </c>
      <c r="BL26">
        <v>18</v>
      </c>
      <c r="BM26" s="7" t="s">
        <v>299</v>
      </c>
      <c r="BN26" s="7" t="s">
        <v>292</v>
      </c>
      <c r="BO26">
        <v>6.5620000000000003</v>
      </c>
      <c r="BP26">
        <v>16.748000000000001</v>
      </c>
      <c r="BQ26">
        <v>17.367000000000001</v>
      </c>
      <c r="BR26">
        <v>13</v>
      </c>
      <c r="BS26" s="7" t="s">
        <v>291</v>
      </c>
      <c r="BT26" s="7" t="s">
        <v>292</v>
      </c>
      <c r="BU26">
        <v>2.806</v>
      </c>
      <c r="BV26">
        <v>17.623999999999999</v>
      </c>
      <c r="BW26">
        <v>18.376999999999999</v>
      </c>
      <c r="BX26">
        <v>9</v>
      </c>
      <c r="BY26" s="7" t="s">
        <v>295</v>
      </c>
      <c r="BZ26" s="7" t="s">
        <v>297</v>
      </c>
      <c r="CA26">
        <v>3.6720000000000002</v>
      </c>
      <c r="CB26">
        <v>26.535</v>
      </c>
      <c r="CC26">
        <v>27.137</v>
      </c>
      <c r="CD26">
        <v>15</v>
      </c>
      <c r="CE26" s="7" t="s">
        <v>298</v>
      </c>
      <c r="CF26" s="7" t="s">
        <v>296</v>
      </c>
      <c r="CG26">
        <v>7.3390000000000004</v>
      </c>
      <c r="CH26">
        <v>14.116</v>
      </c>
      <c r="CI26">
        <v>14.781000000000001</v>
      </c>
      <c r="CJ26">
        <v>9</v>
      </c>
      <c r="CK26" s="7" t="s">
        <v>291</v>
      </c>
      <c r="CL26" s="7" t="s">
        <v>292</v>
      </c>
      <c r="CM26">
        <v>7.4240000000000004</v>
      </c>
      <c r="CN26">
        <v>12.42</v>
      </c>
      <c r="CO26">
        <v>13.122999999999999</v>
      </c>
      <c r="CP26">
        <v>8</v>
      </c>
      <c r="CQ26" s="7" t="s">
        <v>299</v>
      </c>
      <c r="CR26" s="7" t="s">
        <v>292</v>
      </c>
      <c r="CS26">
        <v>7.0720000000000001</v>
      </c>
      <c r="CT26">
        <v>15.605</v>
      </c>
      <c r="CU26">
        <v>16.22</v>
      </c>
      <c r="CV26">
        <v>11</v>
      </c>
      <c r="CW26" s="7" t="s">
        <v>299</v>
      </c>
      <c r="CX26" s="7" t="s">
        <v>292</v>
      </c>
      <c r="CY26">
        <v>13.73</v>
      </c>
      <c r="CZ26">
        <v>36.335999999999999</v>
      </c>
      <c r="DA26">
        <v>37.04</v>
      </c>
      <c r="DB26">
        <v>11</v>
      </c>
      <c r="DC26" s="7" t="s">
        <v>298</v>
      </c>
      <c r="DD26" s="7" t="s">
        <v>292</v>
      </c>
      <c r="DE26">
        <v>11.529</v>
      </c>
      <c r="DF26">
        <v>14.358000000000001</v>
      </c>
      <c r="DG26">
        <v>15.14</v>
      </c>
      <c r="DH26">
        <v>7</v>
      </c>
      <c r="DI26" s="7" t="s">
        <v>298</v>
      </c>
      <c r="DJ26" s="7" t="s">
        <v>296</v>
      </c>
      <c r="DK26">
        <v>7.6459999999999999</v>
      </c>
      <c r="DL26">
        <v>13.332000000000001</v>
      </c>
      <c r="DM26">
        <v>13.888999999999999</v>
      </c>
      <c r="DN26">
        <v>12</v>
      </c>
      <c r="DO26" s="7" t="s">
        <v>291</v>
      </c>
      <c r="DP26" s="7" t="s">
        <v>330</v>
      </c>
      <c r="DQ26">
        <v>9.798</v>
      </c>
      <c r="DR26">
        <v>26.52</v>
      </c>
      <c r="DS26">
        <v>27.867999999999999</v>
      </c>
      <c r="DT26">
        <v>12</v>
      </c>
      <c r="DU26" s="7" t="s">
        <v>299</v>
      </c>
      <c r="DV26" s="7" t="s">
        <v>292</v>
      </c>
      <c r="DW26">
        <v>6.5430000000000001</v>
      </c>
      <c r="DX26">
        <v>11.170999999999999</v>
      </c>
      <c r="DY26">
        <v>11.859</v>
      </c>
      <c r="DZ26">
        <v>8</v>
      </c>
      <c r="EA26" s="7" t="s">
        <v>299</v>
      </c>
      <c r="EB26" s="7" t="s">
        <v>292</v>
      </c>
      <c r="EC26">
        <v>22.547000000000001</v>
      </c>
      <c r="ED26">
        <v>26.457999999999998</v>
      </c>
      <c r="EE26">
        <v>27.213999999999999</v>
      </c>
      <c r="EF26">
        <v>6</v>
      </c>
      <c r="EG26" s="7" t="s">
        <v>298</v>
      </c>
      <c r="EH26" s="7" t="s">
        <v>292</v>
      </c>
      <c r="EI26">
        <v>3.194</v>
      </c>
      <c r="EJ26">
        <v>10.561</v>
      </c>
      <c r="EK26">
        <v>11.505000000000001</v>
      </c>
      <c r="EL26">
        <v>9</v>
      </c>
      <c r="EM26" s="7" t="s">
        <v>298</v>
      </c>
      <c r="EN26" s="7" t="s">
        <v>296</v>
      </c>
      <c r="EO26">
        <v>3.137</v>
      </c>
      <c r="EP26">
        <v>12.768000000000001</v>
      </c>
      <c r="EQ26">
        <v>13.577</v>
      </c>
      <c r="ER26">
        <v>13</v>
      </c>
      <c r="ES26" s="7" t="s">
        <v>291</v>
      </c>
      <c r="ET26" s="7" t="s">
        <v>292</v>
      </c>
      <c r="EU26">
        <v>2.827</v>
      </c>
      <c r="EV26">
        <v>39.545000000000002</v>
      </c>
      <c r="EW26">
        <v>40.081000000000003</v>
      </c>
      <c r="EX26">
        <v>11</v>
      </c>
      <c r="EY26" s="7" t="s">
        <v>300</v>
      </c>
      <c r="EZ26" s="7" t="s">
        <v>296</v>
      </c>
      <c r="FA26">
        <v>12.215</v>
      </c>
      <c r="FB26">
        <v>16.96</v>
      </c>
      <c r="FC26">
        <v>17.597000000000001</v>
      </c>
      <c r="FD26">
        <v>7</v>
      </c>
      <c r="FE26" s="7" t="s">
        <v>301</v>
      </c>
      <c r="FF26" s="7" t="s">
        <v>296</v>
      </c>
      <c r="FG26">
        <v>7.4960000000000004</v>
      </c>
      <c r="FH26">
        <v>13.738</v>
      </c>
      <c r="FI26">
        <v>14.398999999999999</v>
      </c>
      <c r="FJ26">
        <v>8</v>
      </c>
      <c r="FK26" s="7" t="s">
        <v>291</v>
      </c>
      <c r="FL26" s="7" t="s">
        <v>292</v>
      </c>
      <c r="FM26">
        <v>10.109</v>
      </c>
      <c r="FN26">
        <v>62.048999999999999</v>
      </c>
      <c r="FO26">
        <v>63.197000000000003</v>
      </c>
      <c r="FP26">
        <v>15</v>
      </c>
      <c r="FQ26" s="7" t="s">
        <v>300</v>
      </c>
      <c r="FR26" s="7" t="s">
        <v>294</v>
      </c>
      <c r="FS26">
        <v>4.3920000000000003</v>
      </c>
      <c r="FT26">
        <v>14.582000000000001</v>
      </c>
      <c r="FU26">
        <v>15.456</v>
      </c>
      <c r="FV26">
        <v>9</v>
      </c>
      <c r="FW26" s="7" t="s">
        <v>301</v>
      </c>
      <c r="FX26" s="7" t="s">
        <v>296</v>
      </c>
      <c r="FY26">
        <v>3.3159999999999998</v>
      </c>
      <c r="FZ26">
        <v>10.606999999999999</v>
      </c>
      <c r="GA26">
        <v>11.343</v>
      </c>
      <c r="GB26">
        <v>8</v>
      </c>
      <c r="GC26" s="7" t="s">
        <v>291</v>
      </c>
      <c r="GD26" s="7" t="s">
        <v>294</v>
      </c>
      <c r="GE26">
        <v>3.0419999999999998</v>
      </c>
      <c r="GF26">
        <v>15.456</v>
      </c>
      <c r="GG26">
        <v>16.181000000000001</v>
      </c>
      <c r="GH26">
        <v>9</v>
      </c>
      <c r="GI26" s="7" t="s">
        <v>300</v>
      </c>
      <c r="GJ26" s="7" t="s">
        <v>294</v>
      </c>
      <c r="GK26">
        <v>4.0439999999999996</v>
      </c>
      <c r="GL26">
        <v>13.510999999999999</v>
      </c>
      <c r="GM26">
        <v>14.332000000000001</v>
      </c>
      <c r="GN26">
        <v>7</v>
      </c>
      <c r="GO26" s="7" t="s">
        <v>301</v>
      </c>
      <c r="GP26" s="7" t="s">
        <v>296</v>
      </c>
      <c r="GQ26">
        <v>3.1909999999999998</v>
      </c>
      <c r="GR26">
        <v>13.72</v>
      </c>
      <c r="GS26">
        <v>14.436</v>
      </c>
      <c r="GT26">
        <v>12</v>
      </c>
      <c r="GU26" s="7" t="s">
        <v>291</v>
      </c>
      <c r="GV26" s="7" t="s">
        <v>296</v>
      </c>
      <c r="GW26">
        <v>3.6909999999999998</v>
      </c>
      <c r="GX26">
        <v>34.802999999999997</v>
      </c>
      <c r="GY26">
        <v>35.247999999999998</v>
      </c>
      <c r="GZ26">
        <v>13</v>
      </c>
      <c r="HA26" s="7" t="s">
        <v>300</v>
      </c>
      <c r="HB26" s="7" t="s">
        <v>296</v>
      </c>
      <c r="HC26">
        <v>3.2559999999999998</v>
      </c>
      <c r="HD26">
        <v>9.532</v>
      </c>
      <c r="HE26">
        <v>10.272</v>
      </c>
      <c r="HF26">
        <v>7</v>
      </c>
      <c r="HG26" s="7" t="s">
        <v>301</v>
      </c>
      <c r="HH26" s="7" t="s">
        <v>292</v>
      </c>
      <c r="HI26">
        <v>3.097</v>
      </c>
      <c r="HJ26">
        <v>13.974</v>
      </c>
      <c r="HK26">
        <v>14.57</v>
      </c>
      <c r="HL26">
        <v>9</v>
      </c>
      <c r="HM26" s="7" t="s">
        <v>583</v>
      </c>
      <c r="HN26" s="7" t="s">
        <v>584</v>
      </c>
      <c r="HO26" s="7" t="s">
        <v>585</v>
      </c>
      <c r="HP26" s="7" t="s">
        <v>586</v>
      </c>
      <c r="HQ26" s="7" t="s">
        <v>587</v>
      </c>
      <c r="HR26" s="7" t="s">
        <v>588</v>
      </c>
      <c r="HS26" s="7" t="s">
        <v>589</v>
      </c>
      <c r="HT26" s="7" t="s">
        <v>590</v>
      </c>
      <c r="HU26" s="7" t="s">
        <v>591</v>
      </c>
      <c r="HV26" s="7" t="s">
        <v>592</v>
      </c>
      <c r="HW26" s="7" t="s">
        <v>593</v>
      </c>
      <c r="HX26" s="7" t="s">
        <v>282</v>
      </c>
      <c r="HY26" s="7" t="s">
        <v>312</v>
      </c>
      <c r="HZ26" s="7" t="s">
        <v>356</v>
      </c>
      <c r="IA26" s="7" t="s">
        <v>313</v>
      </c>
      <c r="IB26" s="7" t="s">
        <v>282</v>
      </c>
      <c r="IC26" s="7" t="s">
        <v>282</v>
      </c>
    </row>
    <row r="27" spans="1:237" x14ac:dyDescent="0.2">
      <c r="A27" s="6">
        <v>45748.319224537037</v>
      </c>
      <c r="B27" s="6">
        <v>45748.334953703707</v>
      </c>
      <c r="C27" s="7" t="s">
        <v>240</v>
      </c>
      <c r="D27" s="7" t="s">
        <v>594</v>
      </c>
      <c r="E27">
        <v>100</v>
      </c>
      <c r="F27">
        <v>1359</v>
      </c>
      <c r="G27" s="7" t="s">
        <v>280</v>
      </c>
      <c r="H27" s="6">
        <v>45748.334969814816</v>
      </c>
      <c r="I27" s="7" t="s">
        <v>595</v>
      </c>
      <c r="J27" s="7" t="s">
        <v>282</v>
      </c>
      <c r="K27" s="7" t="s">
        <v>282</v>
      </c>
      <c r="L27" s="7" t="s">
        <v>282</v>
      </c>
      <c r="M27" s="7" t="s">
        <v>282</v>
      </c>
      <c r="N27">
        <v>49.5291</v>
      </c>
      <c r="O27">
        <v>-96.685199999999995</v>
      </c>
      <c r="P27" s="7" t="s">
        <v>283</v>
      </c>
      <c r="Q27" s="7" t="s">
        <v>284</v>
      </c>
      <c r="R27">
        <v>0.69999998807907104</v>
      </c>
      <c r="S27" s="7" t="s">
        <v>285</v>
      </c>
      <c r="T27" s="7" t="s">
        <v>285</v>
      </c>
      <c r="U27" s="7" t="s">
        <v>285</v>
      </c>
      <c r="V27" s="7" t="s">
        <v>285</v>
      </c>
      <c r="W27" s="7" t="s">
        <v>359</v>
      </c>
      <c r="X27" s="7" t="s">
        <v>596</v>
      </c>
      <c r="Y27" s="7" t="s">
        <v>288</v>
      </c>
      <c r="Z27" s="7" t="s">
        <v>289</v>
      </c>
      <c r="AA27" s="7" t="s">
        <v>289</v>
      </c>
      <c r="AB27" s="7" t="s">
        <v>289</v>
      </c>
      <c r="AC27" s="7" t="s">
        <v>282</v>
      </c>
      <c r="AD27" s="7" t="s">
        <v>294</v>
      </c>
      <c r="AE27">
        <v>11.395</v>
      </c>
      <c r="AF27">
        <v>18.12</v>
      </c>
      <c r="AG27">
        <v>18.651</v>
      </c>
      <c r="AH27">
        <v>6</v>
      </c>
      <c r="AI27" s="7" t="s">
        <v>299</v>
      </c>
      <c r="AJ27" s="7" t="s">
        <v>294</v>
      </c>
      <c r="AK27">
        <v>9.7279999999999998</v>
      </c>
      <c r="AL27">
        <v>13.68</v>
      </c>
      <c r="AM27">
        <v>14.462</v>
      </c>
      <c r="AN27">
        <v>6</v>
      </c>
      <c r="AO27" s="7" t="s">
        <v>299</v>
      </c>
      <c r="AP27" s="7" t="s">
        <v>294</v>
      </c>
      <c r="AQ27">
        <v>8.3460000000000001</v>
      </c>
      <c r="AR27">
        <v>16.329000000000001</v>
      </c>
      <c r="AS27">
        <v>16.984000000000002</v>
      </c>
      <c r="AT27">
        <v>8</v>
      </c>
      <c r="AU27" s="7" t="s">
        <v>298</v>
      </c>
      <c r="AV27" s="7" t="s">
        <v>296</v>
      </c>
      <c r="AW27">
        <v>17.003</v>
      </c>
      <c r="AX27">
        <v>23.786999999999999</v>
      </c>
      <c r="AY27">
        <v>24.692</v>
      </c>
      <c r="AZ27">
        <v>6</v>
      </c>
      <c r="BA27" s="7" t="s">
        <v>298</v>
      </c>
      <c r="BB27" s="7" t="s">
        <v>292</v>
      </c>
      <c r="BC27">
        <v>12.253</v>
      </c>
      <c r="BD27">
        <v>15.840999999999999</v>
      </c>
      <c r="BE27">
        <v>16.899000000000001</v>
      </c>
      <c r="BF27">
        <v>4</v>
      </c>
      <c r="BG27" s="7" t="s">
        <v>291</v>
      </c>
      <c r="BH27" s="7" t="s">
        <v>296</v>
      </c>
      <c r="BI27">
        <v>24.597999999999999</v>
      </c>
      <c r="BJ27">
        <v>28.582000000000001</v>
      </c>
      <c r="BK27">
        <v>29.353000000000002</v>
      </c>
      <c r="BL27">
        <v>5</v>
      </c>
      <c r="BM27" s="7" t="s">
        <v>293</v>
      </c>
      <c r="BN27" s="7" t="s">
        <v>294</v>
      </c>
      <c r="BO27">
        <v>15.134</v>
      </c>
      <c r="BP27">
        <v>17.872</v>
      </c>
      <c r="BQ27">
        <v>18.661000000000001</v>
      </c>
      <c r="BR27">
        <v>5</v>
      </c>
      <c r="BS27" s="7" t="s">
        <v>282</v>
      </c>
      <c r="BT27" s="7" t="s">
        <v>296</v>
      </c>
      <c r="BU27">
        <v>8.9120000000000008</v>
      </c>
      <c r="BV27">
        <v>21.875</v>
      </c>
      <c r="BW27">
        <v>22.6</v>
      </c>
      <c r="BX27">
        <v>6</v>
      </c>
      <c r="BY27" s="7" t="s">
        <v>299</v>
      </c>
      <c r="BZ27" s="7" t="s">
        <v>294</v>
      </c>
      <c r="CA27">
        <v>38.764000000000003</v>
      </c>
      <c r="CB27">
        <v>61.838999999999999</v>
      </c>
      <c r="CC27">
        <v>62.963000000000001</v>
      </c>
      <c r="CD27">
        <v>9</v>
      </c>
      <c r="CE27" s="7" t="s">
        <v>293</v>
      </c>
      <c r="CF27" s="7" t="s">
        <v>294</v>
      </c>
      <c r="CG27">
        <v>18.547999999999998</v>
      </c>
      <c r="CH27">
        <v>29.756</v>
      </c>
      <c r="CI27">
        <v>30.498999999999999</v>
      </c>
      <c r="CJ27">
        <v>7</v>
      </c>
      <c r="CK27" s="7" t="s">
        <v>282</v>
      </c>
      <c r="CL27" s="7" t="s">
        <v>296</v>
      </c>
      <c r="CM27">
        <v>8.4619999999999997</v>
      </c>
      <c r="CN27">
        <v>13.180999999999999</v>
      </c>
      <c r="CO27">
        <v>13.965</v>
      </c>
      <c r="CP27">
        <v>5</v>
      </c>
      <c r="CQ27" s="7" t="s">
        <v>293</v>
      </c>
      <c r="CR27" s="7" t="s">
        <v>296</v>
      </c>
      <c r="CS27">
        <v>19.5</v>
      </c>
      <c r="CT27">
        <v>24.77</v>
      </c>
      <c r="CU27">
        <v>25.507000000000001</v>
      </c>
      <c r="CV27">
        <v>6</v>
      </c>
      <c r="CW27" s="7" t="s">
        <v>293</v>
      </c>
      <c r="CX27" s="7" t="s">
        <v>292</v>
      </c>
      <c r="CY27">
        <v>27.234000000000002</v>
      </c>
      <c r="CZ27">
        <v>44.082000000000001</v>
      </c>
      <c r="DA27">
        <v>44.972999999999999</v>
      </c>
      <c r="DB27">
        <v>7</v>
      </c>
      <c r="DC27" s="7" t="s">
        <v>299</v>
      </c>
      <c r="DD27" s="7" t="s">
        <v>296</v>
      </c>
      <c r="DE27">
        <v>12.888</v>
      </c>
      <c r="DF27">
        <v>17.584</v>
      </c>
      <c r="DG27">
        <v>20.888000000000002</v>
      </c>
      <c r="DH27">
        <v>6</v>
      </c>
      <c r="DI27" s="7" t="s">
        <v>291</v>
      </c>
      <c r="DJ27" s="7" t="s">
        <v>294</v>
      </c>
      <c r="DK27">
        <v>25.207000000000001</v>
      </c>
      <c r="DL27">
        <v>34.533999999999999</v>
      </c>
      <c r="DM27">
        <v>35.381999999999998</v>
      </c>
      <c r="DN27">
        <v>8</v>
      </c>
      <c r="DO27" s="7" t="s">
        <v>282</v>
      </c>
      <c r="DP27" s="7" t="s">
        <v>294</v>
      </c>
      <c r="DQ27">
        <v>8.5239999999999991</v>
      </c>
      <c r="DR27">
        <v>11.97</v>
      </c>
      <c r="DS27">
        <v>12.47</v>
      </c>
      <c r="DT27">
        <v>6</v>
      </c>
      <c r="DU27" s="7" t="s">
        <v>293</v>
      </c>
      <c r="DV27" s="7" t="s">
        <v>294</v>
      </c>
      <c r="DW27">
        <v>12.999000000000001</v>
      </c>
      <c r="DX27">
        <v>19.724</v>
      </c>
      <c r="DY27">
        <v>20.283999999999999</v>
      </c>
      <c r="DZ27">
        <v>6</v>
      </c>
      <c r="EA27" s="7" t="s">
        <v>299</v>
      </c>
      <c r="EB27" s="7" t="s">
        <v>294</v>
      </c>
      <c r="EC27">
        <v>17.698</v>
      </c>
      <c r="ED27">
        <v>24.224</v>
      </c>
      <c r="EE27">
        <v>24.934999999999999</v>
      </c>
      <c r="EF27">
        <v>7</v>
      </c>
      <c r="EG27" s="7" t="s">
        <v>299</v>
      </c>
      <c r="EH27" s="7" t="s">
        <v>296</v>
      </c>
      <c r="EI27">
        <v>17.706</v>
      </c>
      <c r="EJ27">
        <v>26.19</v>
      </c>
      <c r="EK27">
        <v>26.891999999999999</v>
      </c>
      <c r="EL27">
        <v>6</v>
      </c>
      <c r="EM27" s="7" t="s">
        <v>298</v>
      </c>
      <c r="EN27" s="7" t="s">
        <v>294</v>
      </c>
      <c r="EO27">
        <v>10.252000000000001</v>
      </c>
      <c r="EP27">
        <v>14.714</v>
      </c>
      <c r="EQ27">
        <v>15.404</v>
      </c>
      <c r="ER27">
        <v>6</v>
      </c>
      <c r="ES27" s="7" t="s">
        <v>291</v>
      </c>
      <c r="ET27" s="7" t="s">
        <v>294</v>
      </c>
      <c r="EU27">
        <v>11.387</v>
      </c>
      <c r="EV27">
        <v>13.94</v>
      </c>
      <c r="EW27">
        <v>14.798</v>
      </c>
      <c r="EX27">
        <v>4</v>
      </c>
      <c r="EY27" s="7" t="s">
        <v>300</v>
      </c>
      <c r="EZ27" s="7" t="s">
        <v>294</v>
      </c>
      <c r="FA27">
        <v>8.5210000000000008</v>
      </c>
      <c r="FB27">
        <v>12.452</v>
      </c>
      <c r="FC27">
        <v>12.805</v>
      </c>
      <c r="FD27">
        <v>5</v>
      </c>
      <c r="FE27" s="7" t="s">
        <v>301</v>
      </c>
      <c r="FF27" s="7" t="s">
        <v>294</v>
      </c>
      <c r="FG27">
        <v>9.2859999999999996</v>
      </c>
      <c r="FH27">
        <v>12.476000000000001</v>
      </c>
      <c r="FI27">
        <v>12.9</v>
      </c>
      <c r="FJ27">
        <v>4</v>
      </c>
      <c r="FK27" s="7" t="s">
        <v>291</v>
      </c>
      <c r="FL27" s="7" t="s">
        <v>294</v>
      </c>
      <c r="FM27">
        <v>6.2249999999999996</v>
      </c>
      <c r="FN27">
        <v>15.077</v>
      </c>
      <c r="FO27">
        <v>15.634</v>
      </c>
      <c r="FP27">
        <v>7</v>
      </c>
      <c r="FQ27" s="7" t="s">
        <v>300</v>
      </c>
      <c r="FR27" s="7" t="s">
        <v>294</v>
      </c>
      <c r="FS27">
        <v>7.88</v>
      </c>
      <c r="FT27">
        <v>11.891999999999999</v>
      </c>
      <c r="FU27">
        <v>12.6</v>
      </c>
      <c r="FV27">
        <v>6</v>
      </c>
      <c r="FW27" s="7" t="s">
        <v>301</v>
      </c>
      <c r="FX27" s="7" t="s">
        <v>294</v>
      </c>
      <c r="FY27">
        <v>8.4030000000000005</v>
      </c>
      <c r="FZ27">
        <v>13.276</v>
      </c>
      <c r="GA27">
        <v>13.992000000000001</v>
      </c>
      <c r="GB27">
        <v>6</v>
      </c>
      <c r="GC27" s="7" t="s">
        <v>291</v>
      </c>
      <c r="GD27" s="7" t="s">
        <v>294</v>
      </c>
      <c r="GE27">
        <v>7.27</v>
      </c>
      <c r="GF27">
        <v>12.034000000000001</v>
      </c>
      <c r="GG27">
        <v>12.69</v>
      </c>
      <c r="GH27">
        <v>6</v>
      </c>
      <c r="GI27" s="7" t="s">
        <v>300</v>
      </c>
      <c r="GJ27" s="7" t="s">
        <v>294</v>
      </c>
      <c r="GK27">
        <v>14.234</v>
      </c>
      <c r="GL27">
        <v>18.890999999999998</v>
      </c>
      <c r="GM27">
        <v>19.555</v>
      </c>
      <c r="GN27">
        <v>6</v>
      </c>
      <c r="GO27" s="7" t="s">
        <v>301</v>
      </c>
      <c r="GP27" s="7" t="s">
        <v>294</v>
      </c>
      <c r="GQ27">
        <v>14.765000000000001</v>
      </c>
      <c r="GR27">
        <v>18.61</v>
      </c>
      <c r="GS27">
        <v>19.108000000000001</v>
      </c>
      <c r="GT27">
        <v>6</v>
      </c>
      <c r="GU27" s="7" t="s">
        <v>291</v>
      </c>
      <c r="GV27" s="7" t="s">
        <v>294</v>
      </c>
      <c r="GW27">
        <v>6.681</v>
      </c>
      <c r="GX27">
        <v>10.327999999999999</v>
      </c>
      <c r="GY27">
        <v>10.824</v>
      </c>
      <c r="GZ27">
        <v>4</v>
      </c>
      <c r="HA27" s="7" t="s">
        <v>300</v>
      </c>
      <c r="HB27" s="7" t="s">
        <v>294</v>
      </c>
      <c r="HC27">
        <v>1.6259999999999999</v>
      </c>
      <c r="HD27">
        <v>22.84</v>
      </c>
      <c r="HE27">
        <v>23.3</v>
      </c>
      <c r="HF27">
        <v>10</v>
      </c>
      <c r="HG27" s="7" t="s">
        <v>291</v>
      </c>
      <c r="HH27" s="7" t="s">
        <v>296</v>
      </c>
      <c r="HI27">
        <v>17.867999999999999</v>
      </c>
      <c r="HJ27">
        <v>22.123999999999999</v>
      </c>
      <c r="HK27">
        <v>25.257999999999999</v>
      </c>
      <c r="HL27">
        <v>6</v>
      </c>
      <c r="HM27" s="7" t="s">
        <v>597</v>
      </c>
      <c r="HN27" s="7" t="s">
        <v>598</v>
      </c>
      <c r="HO27" s="7" t="s">
        <v>599</v>
      </c>
      <c r="HP27" s="7" t="s">
        <v>600</v>
      </c>
      <c r="HQ27" s="7" t="s">
        <v>601</v>
      </c>
      <c r="HR27" s="7" t="s">
        <v>600</v>
      </c>
      <c r="HS27" s="7" t="s">
        <v>602</v>
      </c>
      <c r="HT27" s="7" t="s">
        <v>603</v>
      </c>
      <c r="HU27" s="7" t="s">
        <v>604</v>
      </c>
      <c r="HV27" s="7" t="s">
        <v>605</v>
      </c>
      <c r="HW27" s="7" t="s">
        <v>282</v>
      </c>
      <c r="HX27" s="7" t="s">
        <v>282</v>
      </c>
      <c r="HY27" s="7" t="s">
        <v>312</v>
      </c>
      <c r="HZ27" s="7" t="s">
        <v>372</v>
      </c>
      <c r="IA27" s="7" t="s">
        <v>325</v>
      </c>
      <c r="IB27" s="7" t="s">
        <v>282</v>
      </c>
      <c r="IC27" s="7" t="s">
        <v>282</v>
      </c>
    </row>
    <row r="28" spans="1:237" x14ac:dyDescent="0.2">
      <c r="A28" s="6">
        <v>45748.320173611108</v>
      </c>
      <c r="B28" s="6">
        <v>45748.337291666663</v>
      </c>
      <c r="C28" s="7" t="s">
        <v>240</v>
      </c>
      <c r="D28" s="7" t="s">
        <v>606</v>
      </c>
      <c r="E28">
        <v>100</v>
      </c>
      <c r="F28">
        <v>1479</v>
      </c>
      <c r="G28" s="7" t="s">
        <v>280</v>
      </c>
      <c r="H28" s="6">
        <v>45748.337307106478</v>
      </c>
      <c r="I28" s="7" t="s">
        <v>607</v>
      </c>
      <c r="J28" s="7" t="s">
        <v>282</v>
      </c>
      <c r="K28" s="7" t="s">
        <v>282</v>
      </c>
      <c r="L28" s="7" t="s">
        <v>282</v>
      </c>
      <c r="M28" s="7" t="s">
        <v>282</v>
      </c>
      <c r="N28">
        <v>49.843200000000003</v>
      </c>
      <c r="O28">
        <v>-97.114099999999993</v>
      </c>
      <c r="P28" s="7" t="s">
        <v>283</v>
      </c>
      <c r="Q28" s="7" t="s">
        <v>284</v>
      </c>
      <c r="R28">
        <v>1</v>
      </c>
      <c r="S28" s="7" t="s">
        <v>285</v>
      </c>
      <c r="T28" s="7" t="s">
        <v>285</v>
      </c>
      <c r="U28" s="7" t="s">
        <v>285</v>
      </c>
      <c r="V28" s="7" t="s">
        <v>285</v>
      </c>
      <c r="W28" s="7" t="s">
        <v>544</v>
      </c>
      <c r="X28" s="7" t="s">
        <v>402</v>
      </c>
      <c r="Y28" s="7" t="s">
        <v>288</v>
      </c>
      <c r="Z28" s="7" t="s">
        <v>289</v>
      </c>
      <c r="AA28" s="7" t="s">
        <v>289</v>
      </c>
      <c r="AB28" s="7" t="s">
        <v>317</v>
      </c>
      <c r="AC28" s="7" t="s">
        <v>295</v>
      </c>
      <c r="AD28" s="7" t="s">
        <v>292</v>
      </c>
      <c r="AE28">
        <v>4.1929999999999996</v>
      </c>
      <c r="AF28">
        <v>25.628</v>
      </c>
      <c r="AG28">
        <v>27.356000000000002</v>
      </c>
      <c r="AH28">
        <v>5</v>
      </c>
      <c r="AI28" s="7" t="s">
        <v>299</v>
      </c>
      <c r="AJ28" s="7" t="s">
        <v>292</v>
      </c>
      <c r="AK28">
        <v>6.5270000000000001</v>
      </c>
      <c r="AL28">
        <v>23.134</v>
      </c>
      <c r="AM28">
        <v>24.018999999999998</v>
      </c>
      <c r="AN28">
        <v>5</v>
      </c>
      <c r="AO28" s="7" t="s">
        <v>293</v>
      </c>
      <c r="AP28" s="7" t="s">
        <v>296</v>
      </c>
      <c r="AQ28">
        <v>15.324</v>
      </c>
      <c r="AR28">
        <v>17.97</v>
      </c>
      <c r="AS28">
        <v>18.542999999999999</v>
      </c>
      <c r="AT28">
        <v>4</v>
      </c>
      <c r="AU28" s="7" t="s">
        <v>299</v>
      </c>
      <c r="AV28" s="7" t="s">
        <v>294</v>
      </c>
      <c r="AW28">
        <v>3.762</v>
      </c>
      <c r="AX28">
        <v>20.105</v>
      </c>
      <c r="AY28">
        <v>21.087</v>
      </c>
      <c r="AZ28">
        <v>4</v>
      </c>
      <c r="BA28" s="7" t="s">
        <v>299</v>
      </c>
      <c r="BB28" s="7" t="s">
        <v>294</v>
      </c>
      <c r="BC28">
        <v>19.625</v>
      </c>
      <c r="BD28">
        <v>22.669</v>
      </c>
      <c r="BE28">
        <v>23.468</v>
      </c>
      <c r="BF28">
        <v>4</v>
      </c>
      <c r="BG28" s="7" t="s">
        <v>295</v>
      </c>
      <c r="BH28" s="7" t="s">
        <v>292</v>
      </c>
      <c r="BI28">
        <v>3.2749999999999999</v>
      </c>
      <c r="BJ28">
        <v>24.974</v>
      </c>
      <c r="BK28">
        <v>25.757999999999999</v>
      </c>
      <c r="BL28">
        <v>6</v>
      </c>
      <c r="BM28" s="7" t="s">
        <v>293</v>
      </c>
      <c r="BN28" s="7" t="s">
        <v>296</v>
      </c>
      <c r="BO28">
        <v>15.632999999999999</v>
      </c>
      <c r="BP28">
        <v>18.344999999999999</v>
      </c>
      <c r="BQ28">
        <v>20.193999999999999</v>
      </c>
      <c r="BR28">
        <v>4</v>
      </c>
      <c r="BS28" s="7" t="s">
        <v>299</v>
      </c>
      <c r="BT28" s="7" t="s">
        <v>292</v>
      </c>
      <c r="BU28">
        <v>3.1480000000000001</v>
      </c>
      <c r="BV28">
        <v>19.956</v>
      </c>
      <c r="BW28">
        <v>20.986999999999998</v>
      </c>
      <c r="BX28">
        <v>6</v>
      </c>
      <c r="BY28" s="7" t="s">
        <v>293</v>
      </c>
      <c r="BZ28" s="7" t="s">
        <v>296</v>
      </c>
      <c r="CA28">
        <v>5.3630000000000004</v>
      </c>
      <c r="CB28">
        <v>40.341000000000001</v>
      </c>
      <c r="CC28">
        <v>41.74</v>
      </c>
      <c r="CD28">
        <v>9</v>
      </c>
      <c r="CE28" s="7" t="s">
        <v>298</v>
      </c>
      <c r="CF28" s="7" t="s">
        <v>296</v>
      </c>
      <c r="CG28">
        <v>9.0069999999999997</v>
      </c>
      <c r="CH28">
        <v>41.667999999999999</v>
      </c>
      <c r="CI28">
        <v>42.503</v>
      </c>
      <c r="CJ28">
        <v>6</v>
      </c>
      <c r="CK28" s="7" t="s">
        <v>295</v>
      </c>
      <c r="CL28" s="7" t="s">
        <v>296</v>
      </c>
      <c r="CM28">
        <v>15.256</v>
      </c>
      <c r="CN28">
        <v>20.18</v>
      </c>
      <c r="CO28">
        <v>21.056999999999999</v>
      </c>
      <c r="CP28">
        <v>7</v>
      </c>
      <c r="CQ28" s="7" t="s">
        <v>293</v>
      </c>
      <c r="CR28" s="7" t="s">
        <v>292</v>
      </c>
      <c r="CS28">
        <v>7.6369999999999996</v>
      </c>
      <c r="CT28">
        <v>27.004999999999999</v>
      </c>
      <c r="CU28">
        <v>27.805</v>
      </c>
      <c r="CV28">
        <v>8</v>
      </c>
      <c r="CW28" s="7" t="s">
        <v>299</v>
      </c>
      <c r="CX28" s="7" t="s">
        <v>296</v>
      </c>
      <c r="CY28">
        <v>251.42699999999999</v>
      </c>
      <c r="CZ28">
        <v>275.87299999999999</v>
      </c>
      <c r="DA28">
        <v>279.56599999999997</v>
      </c>
      <c r="DB28">
        <v>8</v>
      </c>
      <c r="DC28" s="7" t="s">
        <v>298</v>
      </c>
      <c r="DD28" s="7" t="s">
        <v>296</v>
      </c>
      <c r="DE28">
        <v>17.492999999999999</v>
      </c>
      <c r="DF28">
        <v>20.388000000000002</v>
      </c>
      <c r="DG28">
        <v>21.768999999999998</v>
      </c>
      <c r="DH28">
        <v>4</v>
      </c>
      <c r="DI28" s="7" t="s">
        <v>291</v>
      </c>
      <c r="DJ28" s="7" t="s">
        <v>296</v>
      </c>
      <c r="DK28">
        <v>3.097</v>
      </c>
      <c r="DL28">
        <v>17.707000000000001</v>
      </c>
      <c r="DM28">
        <v>18.376000000000001</v>
      </c>
      <c r="DN28">
        <v>5</v>
      </c>
      <c r="DO28" s="7" t="s">
        <v>295</v>
      </c>
      <c r="DP28" s="7" t="s">
        <v>292</v>
      </c>
      <c r="DQ28">
        <v>3.0939999999999999</v>
      </c>
      <c r="DR28">
        <v>23.844000000000001</v>
      </c>
      <c r="DS28">
        <v>24.501000000000001</v>
      </c>
      <c r="DT28">
        <v>5</v>
      </c>
      <c r="DU28" s="7" t="s">
        <v>293</v>
      </c>
      <c r="DV28" s="7" t="s">
        <v>296</v>
      </c>
      <c r="DW28">
        <v>16.077000000000002</v>
      </c>
      <c r="DX28">
        <v>19.687999999999999</v>
      </c>
      <c r="DY28">
        <v>20.48</v>
      </c>
      <c r="DZ28">
        <v>6</v>
      </c>
      <c r="EA28" s="7" t="s">
        <v>291</v>
      </c>
      <c r="EB28" s="7" t="s">
        <v>296</v>
      </c>
      <c r="EC28">
        <v>17.526</v>
      </c>
      <c r="ED28">
        <v>21.385999999999999</v>
      </c>
      <c r="EE28">
        <v>22.068999999999999</v>
      </c>
      <c r="EF28">
        <v>4</v>
      </c>
      <c r="EG28" s="7" t="s">
        <v>298</v>
      </c>
      <c r="EH28" s="7" t="s">
        <v>296</v>
      </c>
      <c r="EI28">
        <v>4.1269999999999998</v>
      </c>
      <c r="EJ28">
        <v>17.609000000000002</v>
      </c>
      <c r="EK28">
        <v>18.288</v>
      </c>
      <c r="EL28">
        <v>6</v>
      </c>
      <c r="EM28" s="7" t="s">
        <v>291</v>
      </c>
      <c r="EN28" s="7" t="s">
        <v>296</v>
      </c>
      <c r="EO28">
        <v>8.2929999999999993</v>
      </c>
      <c r="EP28">
        <v>24.867000000000001</v>
      </c>
      <c r="EQ28">
        <v>25.791</v>
      </c>
      <c r="ER28">
        <v>8</v>
      </c>
      <c r="ES28" s="7" t="s">
        <v>301</v>
      </c>
      <c r="ET28" s="7" t="s">
        <v>294</v>
      </c>
      <c r="EU28">
        <v>2.79</v>
      </c>
      <c r="EV28">
        <v>15.417999999999999</v>
      </c>
      <c r="EW28">
        <v>16.12</v>
      </c>
      <c r="EX28">
        <v>5</v>
      </c>
      <c r="EY28" s="7" t="s">
        <v>300</v>
      </c>
      <c r="EZ28" s="7" t="s">
        <v>294</v>
      </c>
      <c r="FA28">
        <v>1.0069999999999999</v>
      </c>
      <c r="FB28">
        <v>12.053000000000001</v>
      </c>
      <c r="FC28">
        <v>12.769</v>
      </c>
      <c r="FD28">
        <v>7</v>
      </c>
      <c r="FE28" s="7" t="s">
        <v>300</v>
      </c>
      <c r="FF28" s="7" t="s">
        <v>294</v>
      </c>
      <c r="FG28">
        <v>0.97</v>
      </c>
      <c r="FH28">
        <v>15.596</v>
      </c>
      <c r="FI28">
        <v>16.297000000000001</v>
      </c>
      <c r="FJ28">
        <v>7</v>
      </c>
      <c r="FK28" s="7" t="s">
        <v>291</v>
      </c>
      <c r="FL28" s="7" t="s">
        <v>294</v>
      </c>
      <c r="FM28">
        <v>1.331</v>
      </c>
      <c r="FN28">
        <v>12.944000000000001</v>
      </c>
      <c r="FO28">
        <v>13.792999999999999</v>
      </c>
      <c r="FP28">
        <v>9</v>
      </c>
      <c r="FQ28" s="7" t="s">
        <v>300</v>
      </c>
      <c r="FR28" s="7" t="s">
        <v>294</v>
      </c>
      <c r="FS28">
        <v>4.8390000000000004</v>
      </c>
      <c r="FT28">
        <v>12.164</v>
      </c>
      <c r="FU28">
        <v>13.192</v>
      </c>
      <c r="FV28">
        <v>5</v>
      </c>
      <c r="FW28" s="7" t="s">
        <v>300</v>
      </c>
      <c r="FX28" s="7" t="s">
        <v>294</v>
      </c>
      <c r="FY28">
        <v>1.3009999999999999</v>
      </c>
      <c r="FZ28">
        <v>15.997</v>
      </c>
      <c r="GA28">
        <v>17.125</v>
      </c>
      <c r="GB28">
        <v>10</v>
      </c>
      <c r="GC28" s="7" t="s">
        <v>291</v>
      </c>
      <c r="GD28" s="7" t="s">
        <v>294</v>
      </c>
      <c r="GE28">
        <v>3.871</v>
      </c>
      <c r="GF28">
        <v>16.533999999999999</v>
      </c>
      <c r="GG28">
        <v>17.599</v>
      </c>
      <c r="GH28">
        <v>6</v>
      </c>
      <c r="GI28" s="7" t="s">
        <v>300</v>
      </c>
      <c r="GJ28" s="7" t="s">
        <v>294</v>
      </c>
      <c r="GK28">
        <v>3.9239999999999999</v>
      </c>
      <c r="GL28">
        <v>20.198</v>
      </c>
      <c r="GM28">
        <v>20.981999999999999</v>
      </c>
      <c r="GN28">
        <v>8</v>
      </c>
      <c r="GO28" s="7" t="s">
        <v>291</v>
      </c>
      <c r="GP28" s="7" t="s">
        <v>294</v>
      </c>
      <c r="GQ28">
        <v>1.53</v>
      </c>
      <c r="GR28">
        <v>11.601000000000001</v>
      </c>
      <c r="GS28">
        <v>12.614000000000001</v>
      </c>
      <c r="GT28">
        <v>6</v>
      </c>
      <c r="GU28" s="7" t="s">
        <v>291</v>
      </c>
      <c r="GV28" s="7" t="s">
        <v>294</v>
      </c>
      <c r="GW28">
        <v>10.763999999999999</v>
      </c>
      <c r="GX28">
        <v>14.827</v>
      </c>
      <c r="GY28">
        <v>15.542</v>
      </c>
      <c r="GZ28">
        <v>5</v>
      </c>
      <c r="HA28" s="7" t="s">
        <v>300</v>
      </c>
      <c r="HB28" s="7" t="s">
        <v>294</v>
      </c>
      <c r="HC28">
        <v>3.4889999999999999</v>
      </c>
      <c r="HD28">
        <v>17.899999999999999</v>
      </c>
      <c r="HE28">
        <v>18.765999999999998</v>
      </c>
      <c r="HF28">
        <v>7</v>
      </c>
      <c r="HG28" s="7" t="s">
        <v>291</v>
      </c>
      <c r="HH28" s="7" t="s">
        <v>294</v>
      </c>
      <c r="HI28">
        <v>1.0620000000000001</v>
      </c>
      <c r="HJ28">
        <v>12.644</v>
      </c>
      <c r="HK28">
        <v>13.627000000000001</v>
      </c>
      <c r="HL28">
        <v>7</v>
      </c>
      <c r="HM28" s="7" t="s">
        <v>608</v>
      </c>
      <c r="HN28" s="7" t="s">
        <v>609</v>
      </c>
      <c r="HO28" s="7" t="s">
        <v>610</v>
      </c>
      <c r="HP28" s="7" t="s">
        <v>609</v>
      </c>
      <c r="HQ28" s="7" t="s">
        <v>611</v>
      </c>
      <c r="HR28" s="7" t="s">
        <v>612</v>
      </c>
      <c r="HS28" s="7" t="s">
        <v>613</v>
      </c>
      <c r="HT28" s="7" t="s">
        <v>614</v>
      </c>
      <c r="HU28" s="7" t="s">
        <v>615</v>
      </c>
      <c r="HV28" s="7" t="s">
        <v>609</v>
      </c>
      <c r="HW28" s="7" t="s">
        <v>282</v>
      </c>
      <c r="HX28" s="7" t="s">
        <v>282</v>
      </c>
      <c r="HY28" s="7" t="s">
        <v>312</v>
      </c>
      <c r="HZ28" s="7" t="s">
        <v>372</v>
      </c>
      <c r="IA28" s="7" t="s">
        <v>325</v>
      </c>
      <c r="IB28" s="7" t="s">
        <v>282</v>
      </c>
      <c r="IC28" s="7" t="s">
        <v>282</v>
      </c>
    </row>
    <row r="29" spans="1:237" x14ac:dyDescent="0.2">
      <c r="A29" s="6">
        <v>45748.348067129627</v>
      </c>
      <c r="B29" s="6">
        <v>45748.356921296298</v>
      </c>
      <c r="C29" s="7" t="s">
        <v>240</v>
      </c>
      <c r="D29" s="7" t="s">
        <v>616</v>
      </c>
      <c r="E29">
        <v>100</v>
      </c>
      <c r="F29">
        <v>765</v>
      </c>
      <c r="G29" s="7" t="s">
        <v>280</v>
      </c>
      <c r="H29" s="6">
        <v>45748.356935821757</v>
      </c>
      <c r="I29" s="7" t="s">
        <v>617</v>
      </c>
      <c r="J29" s="7" t="s">
        <v>282</v>
      </c>
      <c r="K29" s="7" t="s">
        <v>282</v>
      </c>
      <c r="L29" s="7" t="s">
        <v>282</v>
      </c>
      <c r="M29" s="7" t="s">
        <v>282</v>
      </c>
      <c r="N29">
        <v>50.926499999999997</v>
      </c>
      <c r="O29">
        <v>-113.9725</v>
      </c>
      <c r="P29" s="7" t="s">
        <v>283</v>
      </c>
      <c r="Q29" s="7" t="s">
        <v>284</v>
      </c>
      <c r="R29">
        <v>1</v>
      </c>
      <c r="S29" s="7" t="s">
        <v>285</v>
      </c>
      <c r="T29" s="7" t="s">
        <v>285</v>
      </c>
      <c r="U29" s="7" t="s">
        <v>285</v>
      </c>
      <c r="V29" s="7" t="s">
        <v>285</v>
      </c>
      <c r="W29" s="7" t="s">
        <v>501</v>
      </c>
      <c r="X29" s="7" t="s">
        <v>618</v>
      </c>
      <c r="Y29" s="7" t="s">
        <v>288</v>
      </c>
      <c r="Z29" s="7" t="s">
        <v>289</v>
      </c>
      <c r="AA29" s="7" t="s">
        <v>289</v>
      </c>
      <c r="AB29" s="7" t="s">
        <v>289</v>
      </c>
      <c r="AC29" s="7" t="s">
        <v>291</v>
      </c>
      <c r="AD29" s="7" t="s">
        <v>292</v>
      </c>
      <c r="AE29">
        <v>6.7489999999999997</v>
      </c>
      <c r="AF29">
        <v>8.3390000000000004</v>
      </c>
      <c r="AG29">
        <v>8.8800000000000008</v>
      </c>
      <c r="AH29">
        <v>2</v>
      </c>
      <c r="AI29" s="7" t="s">
        <v>299</v>
      </c>
      <c r="AJ29" s="7" t="s">
        <v>296</v>
      </c>
      <c r="AK29">
        <v>6.9749999999999996</v>
      </c>
      <c r="AL29">
        <v>7.7969999999999997</v>
      </c>
      <c r="AM29">
        <v>8.8119999999999994</v>
      </c>
      <c r="AN29">
        <v>2</v>
      </c>
      <c r="AO29" s="7" t="s">
        <v>293</v>
      </c>
      <c r="AP29" s="7" t="s">
        <v>297</v>
      </c>
      <c r="AQ29">
        <v>5.9969999999999999</v>
      </c>
      <c r="AR29">
        <v>6.8310000000000004</v>
      </c>
      <c r="AS29">
        <v>8.5730000000000004</v>
      </c>
      <c r="AT29">
        <v>2</v>
      </c>
      <c r="AU29" s="7" t="s">
        <v>295</v>
      </c>
      <c r="AV29" s="7" t="s">
        <v>296</v>
      </c>
      <c r="AW29">
        <v>4.82</v>
      </c>
      <c r="AX29">
        <v>8.6289999999999996</v>
      </c>
      <c r="AY29">
        <v>9.2029999999999994</v>
      </c>
      <c r="AZ29">
        <v>4</v>
      </c>
      <c r="BA29" s="7" t="s">
        <v>295</v>
      </c>
      <c r="BB29" s="7" t="s">
        <v>296</v>
      </c>
      <c r="BC29">
        <v>5.0289999999999999</v>
      </c>
      <c r="BD29">
        <v>7.4850000000000003</v>
      </c>
      <c r="BE29">
        <v>8.7260000000000009</v>
      </c>
      <c r="BF29">
        <v>2</v>
      </c>
      <c r="BG29" s="7" t="s">
        <v>291</v>
      </c>
      <c r="BH29" s="7" t="s">
        <v>296</v>
      </c>
      <c r="BI29">
        <v>7.101</v>
      </c>
      <c r="BJ29">
        <v>10.244</v>
      </c>
      <c r="BK29">
        <v>10.461</v>
      </c>
      <c r="BL29">
        <v>3</v>
      </c>
      <c r="BM29" s="7" t="s">
        <v>299</v>
      </c>
      <c r="BN29" s="7" t="s">
        <v>292</v>
      </c>
      <c r="BO29">
        <v>8.1690000000000005</v>
      </c>
      <c r="BP29">
        <v>19.838999999999999</v>
      </c>
      <c r="BQ29">
        <v>20.600999999999999</v>
      </c>
      <c r="BR29">
        <v>11</v>
      </c>
      <c r="BS29" s="7" t="s">
        <v>298</v>
      </c>
      <c r="BT29" s="7" t="s">
        <v>297</v>
      </c>
      <c r="BU29">
        <v>7.3639999999999999</v>
      </c>
      <c r="BV29">
        <v>8.4309999999999992</v>
      </c>
      <c r="BW29">
        <v>9.1679999999999993</v>
      </c>
      <c r="BX29">
        <v>2</v>
      </c>
      <c r="BY29" s="7" t="s">
        <v>295</v>
      </c>
      <c r="BZ29" s="7" t="s">
        <v>296</v>
      </c>
      <c r="CA29">
        <v>7.4210000000000003</v>
      </c>
      <c r="CB29">
        <v>8.2639999999999993</v>
      </c>
      <c r="CC29">
        <v>8.9269999999999996</v>
      </c>
      <c r="CD29">
        <v>2</v>
      </c>
      <c r="CE29" s="7" t="s">
        <v>298</v>
      </c>
      <c r="CF29" s="7" t="s">
        <v>292</v>
      </c>
      <c r="CG29">
        <v>5.9429999999999996</v>
      </c>
      <c r="CH29">
        <v>7.1429999999999998</v>
      </c>
      <c r="CI29">
        <v>8.5489999999999995</v>
      </c>
      <c r="CJ29">
        <v>3</v>
      </c>
      <c r="CK29" s="7" t="s">
        <v>291</v>
      </c>
      <c r="CL29" s="7" t="s">
        <v>296</v>
      </c>
      <c r="CM29">
        <v>6.1580000000000004</v>
      </c>
      <c r="CN29">
        <v>8.5559999999999992</v>
      </c>
      <c r="CO29">
        <v>8.9540000000000006</v>
      </c>
      <c r="CP29">
        <v>2</v>
      </c>
      <c r="CQ29" s="7" t="s">
        <v>291</v>
      </c>
      <c r="CR29" s="7" t="s">
        <v>297</v>
      </c>
      <c r="CS29">
        <v>5.2110000000000003</v>
      </c>
      <c r="CT29">
        <v>17.081</v>
      </c>
      <c r="CU29">
        <v>18.186</v>
      </c>
      <c r="CV29">
        <v>4</v>
      </c>
      <c r="CW29" s="7" t="s">
        <v>295</v>
      </c>
      <c r="CX29" s="7" t="s">
        <v>296</v>
      </c>
      <c r="CY29">
        <v>8.7319999999999993</v>
      </c>
      <c r="CZ29">
        <v>12.377000000000001</v>
      </c>
      <c r="DA29">
        <v>13.808</v>
      </c>
      <c r="DB29">
        <v>5</v>
      </c>
      <c r="DC29" s="7" t="s">
        <v>298</v>
      </c>
      <c r="DD29" s="7" t="s">
        <v>296</v>
      </c>
      <c r="DE29">
        <v>7.0679999999999996</v>
      </c>
      <c r="DF29">
        <v>7.9749999999999996</v>
      </c>
      <c r="DG29">
        <v>10.279</v>
      </c>
      <c r="DH29">
        <v>2</v>
      </c>
      <c r="DI29" s="7" t="s">
        <v>298</v>
      </c>
      <c r="DJ29" s="7" t="s">
        <v>296</v>
      </c>
      <c r="DK29">
        <v>7.6749999999999998</v>
      </c>
      <c r="DL29">
        <v>8.5129999999999999</v>
      </c>
      <c r="DM29">
        <v>9.3680000000000003</v>
      </c>
      <c r="DN29">
        <v>2</v>
      </c>
      <c r="DO29" s="7" t="s">
        <v>291</v>
      </c>
      <c r="DP29" s="7" t="s">
        <v>292</v>
      </c>
      <c r="DQ29">
        <v>6.7679999999999998</v>
      </c>
      <c r="DR29">
        <v>7.5119999999999996</v>
      </c>
      <c r="DS29">
        <v>8.7349999999999994</v>
      </c>
      <c r="DT29">
        <v>2</v>
      </c>
      <c r="DU29" s="7" t="s">
        <v>299</v>
      </c>
      <c r="DV29" s="7" t="s">
        <v>292</v>
      </c>
      <c r="DW29">
        <v>7.2610000000000001</v>
      </c>
      <c r="DX29">
        <v>10.484999999999999</v>
      </c>
      <c r="DY29">
        <v>10.797000000000001</v>
      </c>
      <c r="DZ29">
        <v>3</v>
      </c>
      <c r="EA29" s="7" t="s">
        <v>291</v>
      </c>
      <c r="EB29" s="7" t="s">
        <v>296</v>
      </c>
      <c r="EC29">
        <v>6.0259999999999998</v>
      </c>
      <c r="ED29">
        <v>6.9489999999999998</v>
      </c>
      <c r="EE29">
        <v>8.9550000000000001</v>
      </c>
      <c r="EF29">
        <v>2</v>
      </c>
      <c r="EG29" s="7" t="s">
        <v>295</v>
      </c>
      <c r="EH29" s="7" t="s">
        <v>296</v>
      </c>
      <c r="EI29">
        <v>7.5720000000000001</v>
      </c>
      <c r="EJ29">
        <v>9.19</v>
      </c>
      <c r="EK29">
        <v>9.4930000000000003</v>
      </c>
      <c r="EL29">
        <v>4</v>
      </c>
      <c r="EM29" s="7" t="s">
        <v>298</v>
      </c>
      <c r="EN29" s="7" t="s">
        <v>292</v>
      </c>
      <c r="EO29">
        <v>7.7889999999999997</v>
      </c>
      <c r="EP29">
        <v>9.7409999999999997</v>
      </c>
      <c r="EQ29">
        <v>10.045</v>
      </c>
      <c r="ER29">
        <v>4</v>
      </c>
      <c r="ES29" s="7" t="s">
        <v>301</v>
      </c>
      <c r="ET29" s="7" t="s">
        <v>296</v>
      </c>
      <c r="EU29">
        <v>9.3119999999999994</v>
      </c>
      <c r="EV29">
        <v>10.308</v>
      </c>
      <c r="EW29">
        <v>10.907</v>
      </c>
      <c r="EX29">
        <v>2</v>
      </c>
      <c r="EY29" s="7" t="s">
        <v>619</v>
      </c>
      <c r="EZ29" s="7" t="s">
        <v>292</v>
      </c>
      <c r="FA29">
        <v>23.228000000000002</v>
      </c>
      <c r="FB29">
        <v>30.792999999999999</v>
      </c>
      <c r="FC29">
        <v>31.442</v>
      </c>
      <c r="FD29">
        <v>2</v>
      </c>
      <c r="FE29" s="7" t="s">
        <v>301</v>
      </c>
      <c r="FF29" s="7" t="s">
        <v>296</v>
      </c>
      <c r="FG29">
        <v>12.095000000000001</v>
      </c>
      <c r="FH29">
        <v>13.968999999999999</v>
      </c>
      <c r="FI29">
        <v>14.542</v>
      </c>
      <c r="FJ29">
        <v>2</v>
      </c>
      <c r="FK29" s="7" t="s">
        <v>291</v>
      </c>
      <c r="FL29" s="7" t="s">
        <v>296</v>
      </c>
      <c r="FM29">
        <v>8.1669999999999998</v>
      </c>
      <c r="FN29">
        <v>11.066000000000001</v>
      </c>
      <c r="FO29">
        <v>11.629</v>
      </c>
      <c r="FP29">
        <v>2</v>
      </c>
      <c r="FQ29" s="7" t="s">
        <v>300</v>
      </c>
      <c r="FR29" s="7" t="s">
        <v>296</v>
      </c>
      <c r="FS29">
        <v>7.0609999999999999</v>
      </c>
      <c r="FT29">
        <v>8.1140000000000008</v>
      </c>
      <c r="FU29">
        <v>9.0419999999999998</v>
      </c>
      <c r="FV29">
        <v>2</v>
      </c>
      <c r="FW29" s="7" t="s">
        <v>301</v>
      </c>
      <c r="FX29" s="7" t="s">
        <v>292</v>
      </c>
      <c r="FY29">
        <v>6.4870000000000001</v>
      </c>
      <c r="FZ29">
        <v>7.43</v>
      </c>
      <c r="GA29">
        <v>8.56</v>
      </c>
      <c r="GB29">
        <v>2</v>
      </c>
      <c r="GC29" s="7" t="s">
        <v>291</v>
      </c>
      <c r="GD29" s="7" t="s">
        <v>296</v>
      </c>
      <c r="GE29">
        <v>5.9340000000000002</v>
      </c>
      <c r="GF29">
        <v>6.9580000000000002</v>
      </c>
      <c r="GG29">
        <v>8.8650000000000002</v>
      </c>
      <c r="GH29">
        <v>2</v>
      </c>
      <c r="GI29" s="7" t="s">
        <v>300</v>
      </c>
      <c r="GJ29" s="7" t="s">
        <v>296</v>
      </c>
      <c r="GK29">
        <v>8.4909999999999997</v>
      </c>
      <c r="GL29">
        <v>10.153</v>
      </c>
      <c r="GM29">
        <v>10.805999999999999</v>
      </c>
      <c r="GN29">
        <v>2</v>
      </c>
      <c r="GO29" s="7" t="s">
        <v>291</v>
      </c>
      <c r="GP29" s="7" t="s">
        <v>296</v>
      </c>
      <c r="GQ29">
        <v>9.5289999999999999</v>
      </c>
      <c r="GR29">
        <v>10.728999999999999</v>
      </c>
      <c r="GS29">
        <v>11.311999999999999</v>
      </c>
      <c r="GT29">
        <v>2</v>
      </c>
      <c r="GU29" s="7" t="s">
        <v>291</v>
      </c>
      <c r="GV29" s="7" t="s">
        <v>296</v>
      </c>
      <c r="GW29">
        <v>8.7850000000000001</v>
      </c>
      <c r="GX29">
        <v>9.57</v>
      </c>
      <c r="GY29">
        <v>10.554</v>
      </c>
      <c r="GZ29">
        <v>2</v>
      </c>
      <c r="HA29" s="7" t="s">
        <v>300</v>
      </c>
      <c r="HB29" s="7" t="s">
        <v>296</v>
      </c>
      <c r="HC29">
        <v>6.83</v>
      </c>
      <c r="HD29">
        <v>9.9589999999999996</v>
      </c>
      <c r="HE29">
        <v>10.426</v>
      </c>
      <c r="HF29">
        <v>5</v>
      </c>
      <c r="HG29" s="7" t="s">
        <v>301</v>
      </c>
      <c r="HH29" s="7" t="s">
        <v>296</v>
      </c>
      <c r="HI29">
        <v>7.3730000000000002</v>
      </c>
      <c r="HJ29">
        <v>8.41</v>
      </c>
      <c r="HK29">
        <v>9.1630000000000003</v>
      </c>
      <c r="HL29">
        <v>2</v>
      </c>
      <c r="HM29" s="7" t="s">
        <v>620</v>
      </c>
      <c r="HN29" s="7" t="s">
        <v>621</v>
      </c>
      <c r="HO29" s="7" t="s">
        <v>622</v>
      </c>
      <c r="HP29" s="7" t="s">
        <v>623</v>
      </c>
      <c r="HQ29" s="7" t="s">
        <v>624</v>
      </c>
      <c r="HR29" s="7" t="s">
        <v>625</v>
      </c>
      <c r="HS29" s="7" t="s">
        <v>566</v>
      </c>
      <c r="HT29" s="7" t="s">
        <v>566</v>
      </c>
      <c r="HU29" s="7" t="s">
        <v>626</v>
      </c>
      <c r="HV29" s="7" t="s">
        <v>627</v>
      </c>
      <c r="HW29" s="7" t="s">
        <v>282</v>
      </c>
      <c r="HX29" s="7" t="s">
        <v>282</v>
      </c>
      <c r="HY29" s="7" t="s">
        <v>312</v>
      </c>
      <c r="HZ29" s="7" t="s">
        <v>356</v>
      </c>
      <c r="IA29" s="7" t="s">
        <v>313</v>
      </c>
      <c r="IB29" s="7" t="s">
        <v>282</v>
      </c>
      <c r="IC29" s="7" t="s">
        <v>282</v>
      </c>
    </row>
    <row r="30" spans="1:237" x14ac:dyDescent="0.2">
      <c r="A30" s="6">
        <v>45748.344108796293</v>
      </c>
      <c r="B30" s="6">
        <v>45748.357199074075</v>
      </c>
      <c r="C30" s="7" t="s">
        <v>240</v>
      </c>
      <c r="D30" s="7" t="s">
        <v>494</v>
      </c>
      <c r="E30">
        <v>100</v>
      </c>
      <c r="F30">
        <v>1130</v>
      </c>
      <c r="G30" s="7" t="s">
        <v>280</v>
      </c>
      <c r="H30" s="6">
        <v>45748.357208587964</v>
      </c>
      <c r="I30" s="7" t="s">
        <v>628</v>
      </c>
      <c r="J30" s="7" t="s">
        <v>282</v>
      </c>
      <c r="K30" s="7" t="s">
        <v>282</v>
      </c>
      <c r="L30" s="7" t="s">
        <v>282</v>
      </c>
      <c r="M30" s="7" t="s">
        <v>282</v>
      </c>
      <c r="N30">
        <v>51.045499999999997</v>
      </c>
      <c r="O30">
        <v>-114.19880000000001</v>
      </c>
      <c r="P30" s="7" t="s">
        <v>283</v>
      </c>
      <c r="Q30" s="7" t="s">
        <v>284</v>
      </c>
      <c r="R30">
        <v>0.80000001192092896</v>
      </c>
      <c r="S30" s="7" t="s">
        <v>285</v>
      </c>
      <c r="T30" s="7" t="s">
        <v>285</v>
      </c>
      <c r="U30" s="7" t="s">
        <v>285</v>
      </c>
      <c r="V30" s="7" t="s">
        <v>285</v>
      </c>
      <c r="W30" s="7" t="s">
        <v>412</v>
      </c>
      <c r="X30" s="7" t="s">
        <v>287</v>
      </c>
      <c r="Y30" s="7" t="s">
        <v>288</v>
      </c>
      <c r="Z30" s="7" t="s">
        <v>317</v>
      </c>
      <c r="AA30" s="7" t="s">
        <v>289</v>
      </c>
      <c r="AB30" s="7" t="s">
        <v>317</v>
      </c>
      <c r="AC30" s="7" t="s">
        <v>291</v>
      </c>
      <c r="AD30" s="7" t="s">
        <v>296</v>
      </c>
      <c r="AE30">
        <v>3.5129999999999999</v>
      </c>
      <c r="AF30">
        <v>8.6489999999999991</v>
      </c>
      <c r="AG30">
        <v>8.9469999999999992</v>
      </c>
      <c r="AH30">
        <v>3</v>
      </c>
      <c r="AI30" s="7" t="s">
        <v>293</v>
      </c>
      <c r="AJ30" s="7" t="s">
        <v>296</v>
      </c>
      <c r="AK30">
        <v>4.1399999999999997</v>
      </c>
      <c r="AL30">
        <v>5.6820000000000004</v>
      </c>
      <c r="AM30">
        <v>8.6170000000000009</v>
      </c>
      <c r="AN30">
        <v>3</v>
      </c>
      <c r="AO30" s="7" t="s">
        <v>293</v>
      </c>
      <c r="AP30" s="7" t="s">
        <v>296</v>
      </c>
      <c r="AQ30">
        <v>1.8340000000000001</v>
      </c>
      <c r="AR30">
        <v>5.7789999999999999</v>
      </c>
      <c r="AS30">
        <v>11.837999999999999</v>
      </c>
      <c r="AT30">
        <v>2</v>
      </c>
      <c r="AU30" s="7" t="s">
        <v>295</v>
      </c>
      <c r="AV30" s="7" t="s">
        <v>296</v>
      </c>
      <c r="AW30">
        <v>8.6560000000000006</v>
      </c>
      <c r="AX30">
        <v>12.186999999999999</v>
      </c>
      <c r="AY30">
        <v>13.301</v>
      </c>
      <c r="AZ30">
        <v>3</v>
      </c>
      <c r="BA30" s="7" t="s">
        <v>295</v>
      </c>
      <c r="BB30" s="7" t="s">
        <v>296</v>
      </c>
      <c r="BC30">
        <v>4.4800000000000004</v>
      </c>
      <c r="BD30">
        <v>6.1959999999999997</v>
      </c>
      <c r="BE30">
        <v>9.1259999999999994</v>
      </c>
      <c r="BF30">
        <v>2</v>
      </c>
      <c r="BG30" s="7" t="s">
        <v>291</v>
      </c>
      <c r="BH30" s="7" t="s">
        <v>296</v>
      </c>
      <c r="BI30">
        <v>7.6260000000000003</v>
      </c>
      <c r="BJ30">
        <v>9.8659999999999997</v>
      </c>
      <c r="BK30">
        <v>10.566000000000001</v>
      </c>
      <c r="BL30">
        <v>3</v>
      </c>
      <c r="BM30" s="7" t="s">
        <v>293</v>
      </c>
      <c r="BN30" s="7" t="s">
        <v>292</v>
      </c>
      <c r="BO30">
        <v>5.0490000000000004</v>
      </c>
      <c r="BP30">
        <v>11.286</v>
      </c>
      <c r="BQ30">
        <v>16.745000000000001</v>
      </c>
      <c r="BR30">
        <v>2</v>
      </c>
      <c r="BS30" s="7" t="s">
        <v>299</v>
      </c>
      <c r="BT30" s="7" t="s">
        <v>292</v>
      </c>
      <c r="BU30">
        <v>1.6659999999999999</v>
      </c>
      <c r="BV30">
        <v>8.7550000000000008</v>
      </c>
      <c r="BW30">
        <v>11.093</v>
      </c>
      <c r="BX30">
        <v>2</v>
      </c>
      <c r="BY30" s="7" t="s">
        <v>295</v>
      </c>
      <c r="BZ30" s="7" t="s">
        <v>296</v>
      </c>
      <c r="CA30">
        <v>4.46</v>
      </c>
      <c r="CB30">
        <v>6.226</v>
      </c>
      <c r="CC30">
        <v>8.6240000000000006</v>
      </c>
      <c r="CD30">
        <v>2</v>
      </c>
      <c r="CE30" s="7" t="s">
        <v>298</v>
      </c>
      <c r="CF30" s="7" t="s">
        <v>292</v>
      </c>
      <c r="CG30">
        <v>5.444</v>
      </c>
      <c r="CH30">
        <v>6.7690000000000001</v>
      </c>
      <c r="CI30">
        <v>8.641</v>
      </c>
      <c r="CJ30">
        <v>2</v>
      </c>
      <c r="CK30" s="7" t="s">
        <v>291</v>
      </c>
      <c r="CL30" s="7" t="s">
        <v>296</v>
      </c>
      <c r="CM30">
        <v>10.811</v>
      </c>
      <c r="CN30">
        <v>12.654</v>
      </c>
      <c r="CO30">
        <v>13.473000000000001</v>
      </c>
      <c r="CP30">
        <v>2</v>
      </c>
      <c r="CQ30" s="7" t="s">
        <v>293</v>
      </c>
      <c r="CR30" s="7" t="s">
        <v>292</v>
      </c>
      <c r="CS30">
        <v>2.0609999999999999</v>
      </c>
      <c r="CT30">
        <v>10.863</v>
      </c>
      <c r="CU30">
        <v>12.442</v>
      </c>
      <c r="CV30">
        <v>2</v>
      </c>
      <c r="CW30" s="7" t="s">
        <v>299</v>
      </c>
      <c r="CX30" s="7" t="s">
        <v>297</v>
      </c>
      <c r="CY30">
        <v>6.0810000000000004</v>
      </c>
      <c r="CZ30">
        <v>12.351000000000001</v>
      </c>
      <c r="DA30">
        <v>13.141999999999999</v>
      </c>
      <c r="DB30">
        <v>4</v>
      </c>
      <c r="DC30" s="7" t="s">
        <v>295</v>
      </c>
      <c r="DD30" s="7" t="s">
        <v>296</v>
      </c>
      <c r="DE30">
        <v>4.3890000000000002</v>
      </c>
      <c r="DF30">
        <v>11.51</v>
      </c>
      <c r="DG30">
        <v>12.455</v>
      </c>
      <c r="DH30">
        <v>3</v>
      </c>
      <c r="DI30" s="7" t="s">
        <v>298</v>
      </c>
      <c r="DJ30" s="7" t="s">
        <v>296</v>
      </c>
      <c r="DK30">
        <v>5.0010000000000003</v>
      </c>
      <c r="DL30">
        <v>5.9390000000000001</v>
      </c>
      <c r="DM30">
        <v>8.6839999999999993</v>
      </c>
      <c r="DN30">
        <v>2</v>
      </c>
      <c r="DO30" s="7" t="s">
        <v>291</v>
      </c>
      <c r="DP30" s="7" t="s">
        <v>296</v>
      </c>
      <c r="DQ30">
        <v>3.923</v>
      </c>
      <c r="DR30">
        <v>5.7050000000000001</v>
      </c>
      <c r="DS30">
        <v>9.3930000000000007</v>
      </c>
      <c r="DT30">
        <v>2</v>
      </c>
      <c r="DU30" s="7" t="s">
        <v>293</v>
      </c>
      <c r="DV30" s="7" t="s">
        <v>292</v>
      </c>
      <c r="DW30">
        <v>2.0129999999999999</v>
      </c>
      <c r="DX30">
        <v>4.0970000000000004</v>
      </c>
      <c r="DY30">
        <v>10.532999999999999</v>
      </c>
      <c r="DZ30">
        <v>2</v>
      </c>
      <c r="EA30" s="7" t="s">
        <v>299</v>
      </c>
      <c r="EB30" s="7" t="s">
        <v>296</v>
      </c>
      <c r="EC30">
        <v>2.4870000000000001</v>
      </c>
      <c r="ED30">
        <v>5.6840000000000002</v>
      </c>
      <c r="EE30">
        <v>8.8650000000000002</v>
      </c>
      <c r="EF30">
        <v>2</v>
      </c>
      <c r="EG30" s="7" t="s">
        <v>295</v>
      </c>
      <c r="EH30" s="7" t="s">
        <v>296</v>
      </c>
      <c r="EI30">
        <v>4.9020000000000001</v>
      </c>
      <c r="EJ30">
        <v>8.8719999999999999</v>
      </c>
      <c r="EK30">
        <v>9.7590000000000003</v>
      </c>
      <c r="EL30">
        <v>2</v>
      </c>
      <c r="EM30" s="7" t="s">
        <v>298</v>
      </c>
      <c r="EN30" s="7" t="s">
        <v>296</v>
      </c>
      <c r="EO30">
        <v>5.1420000000000003</v>
      </c>
      <c r="EP30">
        <v>6.78</v>
      </c>
      <c r="EQ30">
        <v>8.76</v>
      </c>
      <c r="ER30">
        <v>2</v>
      </c>
      <c r="ES30" s="7" t="s">
        <v>291</v>
      </c>
      <c r="ET30" s="7" t="s">
        <v>296</v>
      </c>
      <c r="EU30">
        <v>3.399</v>
      </c>
      <c r="EV30">
        <v>8.577</v>
      </c>
      <c r="EW30">
        <v>9.0950000000000006</v>
      </c>
      <c r="EX30">
        <v>3</v>
      </c>
      <c r="EY30" s="7" t="s">
        <v>300</v>
      </c>
      <c r="EZ30" s="7" t="s">
        <v>292</v>
      </c>
      <c r="FA30">
        <v>2.25</v>
      </c>
      <c r="FB30">
        <v>4.0170000000000003</v>
      </c>
      <c r="FC30">
        <v>9.1999999999999993</v>
      </c>
      <c r="FD30">
        <v>2</v>
      </c>
      <c r="FE30" s="7" t="s">
        <v>301</v>
      </c>
      <c r="FF30" s="7" t="s">
        <v>292</v>
      </c>
      <c r="FG30">
        <v>6.5890000000000004</v>
      </c>
      <c r="FH30">
        <v>9.7409999999999997</v>
      </c>
      <c r="FI30">
        <v>10.682</v>
      </c>
      <c r="FJ30">
        <v>2</v>
      </c>
      <c r="FK30" s="7" t="s">
        <v>291</v>
      </c>
      <c r="FL30" s="7" t="s">
        <v>296</v>
      </c>
      <c r="FM30">
        <v>5.3550000000000004</v>
      </c>
      <c r="FN30">
        <v>6.8029999999999999</v>
      </c>
      <c r="FO30">
        <v>8.641</v>
      </c>
      <c r="FP30">
        <v>2</v>
      </c>
      <c r="FQ30" s="7" t="s">
        <v>300</v>
      </c>
      <c r="FR30" s="7" t="s">
        <v>296</v>
      </c>
      <c r="FS30">
        <v>4.9829999999999997</v>
      </c>
      <c r="FT30">
        <v>6.5410000000000004</v>
      </c>
      <c r="FU30">
        <v>9.8879999999999999</v>
      </c>
      <c r="FV30">
        <v>2</v>
      </c>
      <c r="FW30" s="7" t="s">
        <v>301</v>
      </c>
      <c r="FX30" s="7" t="s">
        <v>296</v>
      </c>
      <c r="FY30">
        <v>3.9169999999999998</v>
      </c>
      <c r="FZ30">
        <v>5.4619999999999997</v>
      </c>
      <c r="GA30">
        <v>8.6769999999999996</v>
      </c>
      <c r="GB30">
        <v>2</v>
      </c>
      <c r="GC30" s="7" t="s">
        <v>291</v>
      </c>
      <c r="GD30" s="7" t="s">
        <v>296</v>
      </c>
      <c r="GE30">
        <v>5.6660000000000004</v>
      </c>
      <c r="GF30">
        <v>6.6479999999999997</v>
      </c>
      <c r="GG30">
        <v>9.0950000000000006</v>
      </c>
      <c r="GH30">
        <v>2</v>
      </c>
      <c r="GI30" s="7" t="s">
        <v>300</v>
      </c>
      <c r="GJ30" s="7" t="s">
        <v>294</v>
      </c>
      <c r="GK30">
        <v>1.6739999999999999</v>
      </c>
      <c r="GL30">
        <v>8.6039999999999992</v>
      </c>
      <c r="GM30">
        <v>8.9390000000000001</v>
      </c>
      <c r="GN30">
        <v>4</v>
      </c>
      <c r="GO30" s="7" t="s">
        <v>301</v>
      </c>
      <c r="GP30" s="7" t="s">
        <v>296</v>
      </c>
      <c r="GQ30">
        <v>3.681</v>
      </c>
      <c r="GR30">
        <v>6.476</v>
      </c>
      <c r="GS30">
        <v>8.5470000000000006</v>
      </c>
      <c r="GT30">
        <v>4</v>
      </c>
      <c r="GU30" s="7" t="s">
        <v>291</v>
      </c>
      <c r="GV30" s="7" t="s">
        <v>296</v>
      </c>
      <c r="GW30">
        <v>5.157</v>
      </c>
      <c r="GX30">
        <v>8.07</v>
      </c>
      <c r="GY30">
        <v>9.859</v>
      </c>
      <c r="GZ30">
        <v>2</v>
      </c>
      <c r="HA30" s="7" t="s">
        <v>300</v>
      </c>
      <c r="HB30" s="7" t="s">
        <v>296</v>
      </c>
      <c r="HC30">
        <v>17.634</v>
      </c>
      <c r="HD30">
        <v>25.863</v>
      </c>
      <c r="HE30">
        <v>26.562999999999999</v>
      </c>
      <c r="HF30">
        <v>4</v>
      </c>
      <c r="HG30" s="7" t="s">
        <v>300</v>
      </c>
      <c r="HH30" s="7" t="s">
        <v>297</v>
      </c>
      <c r="HI30">
        <v>7.0620000000000003</v>
      </c>
      <c r="HJ30">
        <v>22.419</v>
      </c>
      <c r="HK30">
        <v>23.27</v>
      </c>
      <c r="HL30">
        <v>4</v>
      </c>
      <c r="HM30" s="7" t="s">
        <v>629</v>
      </c>
      <c r="HN30" s="7" t="s">
        <v>630</v>
      </c>
      <c r="HO30" s="7" t="s">
        <v>631</v>
      </c>
      <c r="HP30" s="7" t="s">
        <v>632</v>
      </c>
      <c r="HQ30" s="7" t="s">
        <v>633</v>
      </c>
      <c r="HR30" s="7" t="s">
        <v>634</v>
      </c>
      <c r="HS30" s="7" t="s">
        <v>635</v>
      </c>
      <c r="HT30" s="7" t="s">
        <v>636</v>
      </c>
      <c r="HU30" s="7" t="s">
        <v>637</v>
      </c>
      <c r="HV30" s="7" t="s">
        <v>638</v>
      </c>
      <c r="HW30" s="7" t="s">
        <v>639</v>
      </c>
      <c r="HX30" s="7" t="s">
        <v>282</v>
      </c>
      <c r="HY30" s="7" t="s">
        <v>312</v>
      </c>
      <c r="HZ30" s="7" t="s">
        <v>356</v>
      </c>
      <c r="IA30" s="7" t="s">
        <v>313</v>
      </c>
      <c r="IB30" s="7" t="s">
        <v>282</v>
      </c>
      <c r="IC30" s="7" t="s">
        <v>282</v>
      </c>
    </row>
    <row r="31" spans="1:237" x14ac:dyDescent="0.2">
      <c r="A31" s="6">
        <v>45748.363530092596</v>
      </c>
      <c r="B31" s="6">
        <v>45748.375543981485</v>
      </c>
      <c r="C31" s="7" t="s">
        <v>240</v>
      </c>
      <c r="D31" s="7" t="s">
        <v>640</v>
      </c>
      <c r="E31">
        <v>100</v>
      </c>
      <c r="F31">
        <v>1037</v>
      </c>
      <c r="G31" s="7" t="s">
        <v>280</v>
      </c>
      <c r="H31" s="6">
        <v>45748.375551712961</v>
      </c>
      <c r="I31" s="7" t="s">
        <v>641</v>
      </c>
      <c r="J31" s="7" t="s">
        <v>282</v>
      </c>
      <c r="K31" s="7" t="s">
        <v>282</v>
      </c>
      <c r="L31" s="7" t="s">
        <v>282</v>
      </c>
      <c r="M31" s="7" t="s">
        <v>282</v>
      </c>
      <c r="N31">
        <v>-37.815899999999999</v>
      </c>
      <c r="O31">
        <v>144.96690000000001</v>
      </c>
      <c r="P31" s="7" t="s">
        <v>283</v>
      </c>
      <c r="Q31" s="7" t="s">
        <v>284</v>
      </c>
      <c r="R31">
        <v>1</v>
      </c>
      <c r="S31" s="7" t="s">
        <v>285</v>
      </c>
      <c r="T31" s="7" t="s">
        <v>285</v>
      </c>
      <c r="U31" s="7" t="s">
        <v>285</v>
      </c>
      <c r="V31" s="7" t="s">
        <v>285</v>
      </c>
      <c r="W31" s="7" t="s">
        <v>286</v>
      </c>
      <c r="X31" s="7" t="s">
        <v>642</v>
      </c>
      <c r="Y31" s="7" t="s">
        <v>288</v>
      </c>
      <c r="Z31" s="7" t="s">
        <v>329</v>
      </c>
      <c r="AA31" s="7" t="s">
        <v>289</v>
      </c>
      <c r="AB31" s="7" t="s">
        <v>317</v>
      </c>
      <c r="AC31" s="7" t="s">
        <v>291</v>
      </c>
      <c r="AD31" s="7" t="s">
        <v>294</v>
      </c>
      <c r="AE31">
        <v>7.0279999999999996</v>
      </c>
      <c r="AF31">
        <v>9.0890000000000004</v>
      </c>
      <c r="AG31">
        <v>10.256</v>
      </c>
      <c r="AH31">
        <v>2</v>
      </c>
      <c r="AI31" s="7" t="s">
        <v>299</v>
      </c>
      <c r="AJ31" s="7" t="s">
        <v>294</v>
      </c>
      <c r="AK31">
        <v>8.8819999999999997</v>
      </c>
      <c r="AL31">
        <v>10.473000000000001</v>
      </c>
      <c r="AM31">
        <v>11.712</v>
      </c>
      <c r="AN31">
        <v>2</v>
      </c>
      <c r="AO31" s="7" t="s">
        <v>299</v>
      </c>
      <c r="AP31" s="7" t="s">
        <v>294</v>
      </c>
      <c r="AQ31">
        <v>11.281000000000001</v>
      </c>
      <c r="AR31">
        <v>12.936</v>
      </c>
      <c r="AS31">
        <v>15.957000000000001</v>
      </c>
      <c r="AT31">
        <v>2</v>
      </c>
      <c r="AU31" s="7" t="s">
        <v>299</v>
      </c>
      <c r="AV31" s="7" t="s">
        <v>330</v>
      </c>
      <c r="AW31">
        <v>13.702</v>
      </c>
      <c r="AX31">
        <v>22.164999999999999</v>
      </c>
      <c r="AY31">
        <v>25.282</v>
      </c>
      <c r="AZ31">
        <v>3</v>
      </c>
      <c r="BA31" s="7" t="s">
        <v>299</v>
      </c>
      <c r="BB31" s="7" t="s">
        <v>330</v>
      </c>
      <c r="BC31">
        <v>13.58</v>
      </c>
      <c r="BD31">
        <v>22.128</v>
      </c>
      <c r="BE31">
        <v>25.431000000000001</v>
      </c>
      <c r="BF31">
        <v>3</v>
      </c>
      <c r="BG31" s="7" t="s">
        <v>291</v>
      </c>
      <c r="BH31" s="7" t="s">
        <v>296</v>
      </c>
      <c r="BI31">
        <v>7.4729999999999999</v>
      </c>
      <c r="BJ31">
        <v>9.5039999999999996</v>
      </c>
      <c r="BK31">
        <v>10.657</v>
      </c>
      <c r="BL31">
        <v>2</v>
      </c>
      <c r="BM31" s="7" t="s">
        <v>299</v>
      </c>
      <c r="BN31" s="7" t="s">
        <v>296</v>
      </c>
      <c r="BO31">
        <v>8.2629999999999999</v>
      </c>
      <c r="BP31">
        <v>9.6419999999999995</v>
      </c>
      <c r="BQ31">
        <v>10.813000000000001</v>
      </c>
      <c r="BR31">
        <v>2</v>
      </c>
      <c r="BS31" s="7" t="s">
        <v>293</v>
      </c>
      <c r="BT31" s="7" t="s">
        <v>296</v>
      </c>
      <c r="BU31">
        <v>22.771000000000001</v>
      </c>
      <c r="BV31">
        <v>39.408999999999999</v>
      </c>
      <c r="BW31">
        <v>41.212000000000003</v>
      </c>
      <c r="BX31">
        <v>2</v>
      </c>
      <c r="BY31" s="7" t="s">
        <v>299</v>
      </c>
      <c r="BZ31" s="7" t="s">
        <v>297</v>
      </c>
      <c r="CA31">
        <v>14.13</v>
      </c>
      <c r="CB31">
        <v>22.858000000000001</v>
      </c>
      <c r="CC31">
        <v>26.631</v>
      </c>
      <c r="CD31">
        <v>3</v>
      </c>
      <c r="CE31" s="7" t="s">
        <v>298</v>
      </c>
      <c r="CF31" s="7" t="s">
        <v>292</v>
      </c>
      <c r="CG31">
        <v>9.5749999999999993</v>
      </c>
      <c r="CH31">
        <v>11.661</v>
      </c>
      <c r="CI31">
        <v>13.397</v>
      </c>
      <c r="CJ31">
        <v>2</v>
      </c>
      <c r="CK31" s="7" t="s">
        <v>291</v>
      </c>
      <c r="CL31" s="7" t="s">
        <v>292</v>
      </c>
      <c r="CM31">
        <v>5.9169999999999998</v>
      </c>
      <c r="CN31">
        <v>8.4120000000000008</v>
      </c>
      <c r="CO31">
        <v>9.8719999999999999</v>
      </c>
      <c r="CP31">
        <v>2</v>
      </c>
      <c r="CQ31" s="7" t="s">
        <v>299</v>
      </c>
      <c r="CR31" s="7" t="s">
        <v>294</v>
      </c>
      <c r="CS31">
        <v>8.4830000000000005</v>
      </c>
      <c r="CT31">
        <v>10.331</v>
      </c>
      <c r="CU31">
        <v>11.366</v>
      </c>
      <c r="CV31">
        <v>2</v>
      </c>
      <c r="CW31" s="7" t="s">
        <v>291</v>
      </c>
      <c r="CX31" s="7" t="s">
        <v>330</v>
      </c>
      <c r="CY31">
        <v>22.946999999999999</v>
      </c>
      <c r="CZ31">
        <v>24.276</v>
      </c>
      <c r="DA31">
        <v>25.917000000000002</v>
      </c>
      <c r="DB31">
        <v>2</v>
      </c>
      <c r="DC31" s="7" t="s">
        <v>291</v>
      </c>
      <c r="DD31" s="7" t="s">
        <v>292</v>
      </c>
      <c r="DE31">
        <v>7.0179999999999998</v>
      </c>
      <c r="DF31">
        <v>9.3079999999999998</v>
      </c>
      <c r="DG31">
        <v>11.063000000000001</v>
      </c>
      <c r="DH31">
        <v>2</v>
      </c>
      <c r="DI31" s="7" t="s">
        <v>298</v>
      </c>
      <c r="DJ31" s="7" t="s">
        <v>296</v>
      </c>
      <c r="DK31">
        <v>11.413</v>
      </c>
      <c r="DL31">
        <v>13.234</v>
      </c>
      <c r="DM31">
        <v>14.847</v>
      </c>
      <c r="DN31">
        <v>2</v>
      </c>
      <c r="DO31" s="7" t="s">
        <v>291</v>
      </c>
      <c r="DP31" s="7" t="s">
        <v>296</v>
      </c>
      <c r="DQ31">
        <v>9.7780000000000005</v>
      </c>
      <c r="DR31">
        <v>13.855</v>
      </c>
      <c r="DS31">
        <v>18.001000000000001</v>
      </c>
      <c r="DT31">
        <v>2</v>
      </c>
      <c r="DU31" s="7" t="s">
        <v>299</v>
      </c>
      <c r="DV31" s="7" t="s">
        <v>294</v>
      </c>
      <c r="DW31">
        <v>9.3879999999999999</v>
      </c>
      <c r="DX31">
        <v>14.146000000000001</v>
      </c>
      <c r="DY31">
        <v>15.324999999999999</v>
      </c>
      <c r="DZ31">
        <v>3</v>
      </c>
      <c r="EA31" s="7" t="s">
        <v>299</v>
      </c>
      <c r="EB31" s="7" t="s">
        <v>296</v>
      </c>
      <c r="EC31">
        <v>8.2469999999999999</v>
      </c>
      <c r="ED31">
        <v>28.797000000000001</v>
      </c>
      <c r="EE31">
        <v>36.264000000000003</v>
      </c>
      <c r="EF31">
        <v>3</v>
      </c>
      <c r="EG31" s="7" t="s">
        <v>291</v>
      </c>
      <c r="EH31" s="7" t="s">
        <v>292</v>
      </c>
      <c r="EI31">
        <v>15.291</v>
      </c>
      <c r="EJ31">
        <v>16.981999999999999</v>
      </c>
      <c r="EK31">
        <v>21.404</v>
      </c>
      <c r="EL31">
        <v>2</v>
      </c>
      <c r="EM31" s="7" t="s">
        <v>298</v>
      </c>
      <c r="EN31" s="7" t="s">
        <v>292</v>
      </c>
      <c r="EO31">
        <v>11.265000000000001</v>
      </c>
      <c r="EP31">
        <v>13.234999999999999</v>
      </c>
      <c r="EQ31">
        <v>24.245000000000001</v>
      </c>
      <c r="ER31">
        <v>2</v>
      </c>
      <c r="ES31" s="7" t="s">
        <v>291</v>
      </c>
      <c r="ET31" s="7" t="s">
        <v>294</v>
      </c>
      <c r="EU31">
        <v>7.5650000000000004</v>
      </c>
      <c r="EV31">
        <v>9.2289999999999992</v>
      </c>
      <c r="EW31">
        <v>10.379</v>
      </c>
      <c r="EX31">
        <v>2</v>
      </c>
      <c r="EY31" s="7" t="s">
        <v>300</v>
      </c>
      <c r="EZ31" s="7" t="s">
        <v>294</v>
      </c>
      <c r="FA31">
        <v>6.89</v>
      </c>
      <c r="FB31">
        <v>8.8239999999999998</v>
      </c>
      <c r="FC31">
        <v>9.8789999999999996</v>
      </c>
      <c r="FD31">
        <v>2</v>
      </c>
      <c r="FE31" s="7" t="s">
        <v>300</v>
      </c>
      <c r="FF31" s="7" t="s">
        <v>294</v>
      </c>
      <c r="FG31">
        <v>7.9859999999999998</v>
      </c>
      <c r="FH31">
        <v>11.487</v>
      </c>
      <c r="FI31">
        <v>12.627000000000001</v>
      </c>
      <c r="FJ31">
        <v>2</v>
      </c>
      <c r="FK31" s="7" t="s">
        <v>291</v>
      </c>
      <c r="FL31" s="7" t="s">
        <v>296</v>
      </c>
      <c r="FM31">
        <v>5.9729999999999999</v>
      </c>
      <c r="FN31">
        <v>8.2360000000000007</v>
      </c>
      <c r="FO31">
        <v>10.039</v>
      </c>
      <c r="FP31">
        <v>2</v>
      </c>
      <c r="FQ31" s="7" t="s">
        <v>300</v>
      </c>
      <c r="FR31" s="7" t="s">
        <v>294</v>
      </c>
      <c r="FS31">
        <v>6.1870000000000003</v>
      </c>
      <c r="FT31">
        <v>8.0619999999999994</v>
      </c>
      <c r="FU31">
        <v>9.7629999999999999</v>
      </c>
      <c r="FV31">
        <v>2</v>
      </c>
      <c r="FW31" s="7" t="s">
        <v>300</v>
      </c>
      <c r="FX31" s="7" t="s">
        <v>297</v>
      </c>
      <c r="FY31">
        <v>14.117000000000001</v>
      </c>
      <c r="FZ31">
        <v>16.131</v>
      </c>
      <c r="GA31">
        <v>17.73</v>
      </c>
      <c r="GB31">
        <v>2</v>
      </c>
      <c r="GC31" s="7" t="s">
        <v>291</v>
      </c>
      <c r="GD31" s="7" t="s">
        <v>294</v>
      </c>
      <c r="GE31">
        <v>5.74</v>
      </c>
      <c r="GF31">
        <v>7.3250000000000002</v>
      </c>
      <c r="GG31">
        <v>9.6189999999999998</v>
      </c>
      <c r="GH31">
        <v>2</v>
      </c>
      <c r="GI31" s="7" t="s">
        <v>300</v>
      </c>
      <c r="GJ31" s="7" t="s">
        <v>294</v>
      </c>
      <c r="GK31">
        <v>6.4829999999999997</v>
      </c>
      <c r="GL31">
        <v>9.1289999999999996</v>
      </c>
      <c r="GM31">
        <v>10.364000000000001</v>
      </c>
      <c r="GN31">
        <v>2</v>
      </c>
      <c r="GO31" s="7" t="s">
        <v>291</v>
      </c>
      <c r="GP31" s="7" t="s">
        <v>297</v>
      </c>
      <c r="GQ31">
        <v>7.3780000000000001</v>
      </c>
      <c r="GR31">
        <v>13.734</v>
      </c>
      <c r="GS31">
        <v>15.602</v>
      </c>
      <c r="GT31">
        <v>2</v>
      </c>
      <c r="GU31" s="7" t="s">
        <v>291</v>
      </c>
      <c r="GV31" s="7" t="s">
        <v>294</v>
      </c>
      <c r="GW31">
        <v>5.2149999999999999</v>
      </c>
      <c r="GX31">
        <v>7.2549999999999999</v>
      </c>
      <c r="GY31">
        <v>9.1780000000000008</v>
      </c>
      <c r="GZ31">
        <v>2</v>
      </c>
      <c r="HA31" s="7" t="s">
        <v>300</v>
      </c>
      <c r="HB31" s="7" t="s">
        <v>294</v>
      </c>
      <c r="HC31">
        <v>5.5</v>
      </c>
      <c r="HD31">
        <v>7.3769999999999998</v>
      </c>
      <c r="HE31">
        <v>9.6140000000000008</v>
      </c>
      <c r="HF31">
        <v>2</v>
      </c>
      <c r="HG31" s="7" t="s">
        <v>291</v>
      </c>
      <c r="HH31" s="7" t="s">
        <v>294</v>
      </c>
      <c r="HI31">
        <v>5.399</v>
      </c>
      <c r="HJ31">
        <v>8.1969999999999992</v>
      </c>
      <c r="HK31">
        <v>9.6219999999999999</v>
      </c>
      <c r="HL31">
        <v>2</v>
      </c>
      <c r="HM31" s="7" t="s">
        <v>643</v>
      </c>
      <c r="HN31" s="7" t="s">
        <v>644</v>
      </c>
      <c r="HO31" s="7" t="s">
        <v>645</v>
      </c>
      <c r="HP31" s="7" t="s">
        <v>646</v>
      </c>
      <c r="HQ31" s="7" t="s">
        <v>647</v>
      </c>
      <c r="HR31" s="7" t="s">
        <v>646</v>
      </c>
      <c r="HS31" s="7" t="s">
        <v>648</v>
      </c>
      <c r="HT31" s="7" t="s">
        <v>649</v>
      </c>
      <c r="HU31" s="7" t="s">
        <v>650</v>
      </c>
      <c r="HV31" s="7" t="s">
        <v>646</v>
      </c>
      <c r="HW31" s="7" t="s">
        <v>651</v>
      </c>
      <c r="HX31" s="7" t="s">
        <v>282</v>
      </c>
      <c r="HY31" s="7" t="s">
        <v>312</v>
      </c>
      <c r="HZ31" s="7" t="s">
        <v>372</v>
      </c>
      <c r="IA31" s="7" t="s">
        <v>325</v>
      </c>
      <c r="IB31" s="7" t="s">
        <v>282</v>
      </c>
      <c r="IC31" s="7" t="s">
        <v>282</v>
      </c>
    </row>
    <row r="32" spans="1:237" x14ac:dyDescent="0.2">
      <c r="A32" s="6">
        <v>45748.36515046296</v>
      </c>
      <c r="B32" s="6">
        <v>45748.382395833331</v>
      </c>
      <c r="C32" s="7" t="s">
        <v>240</v>
      </c>
      <c r="D32" s="7" t="s">
        <v>652</v>
      </c>
      <c r="E32">
        <v>100</v>
      </c>
      <c r="F32">
        <v>1490</v>
      </c>
      <c r="G32" s="7" t="s">
        <v>280</v>
      </c>
      <c r="H32" s="6">
        <v>45748.382413113424</v>
      </c>
      <c r="I32" s="7" t="s">
        <v>653</v>
      </c>
      <c r="J32" s="7" t="s">
        <v>282</v>
      </c>
      <c r="K32" s="7" t="s">
        <v>282</v>
      </c>
      <c r="L32" s="7" t="s">
        <v>282</v>
      </c>
      <c r="M32" s="7" t="s">
        <v>282</v>
      </c>
      <c r="N32">
        <v>49.247599999999998</v>
      </c>
      <c r="O32">
        <v>-123.1234</v>
      </c>
      <c r="P32" s="7" t="s">
        <v>283</v>
      </c>
      <c r="Q32" s="7" t="s">
        <v>284</v>
      </c>
      <c r="R32">
        <v>1</v>
      </c>
      <c r="S32" s="7" t="s">
        <v>285</v>
      </c>
      <c r="T32" s="7" t="s">
        <v>285</v>
      </c>
      <c r="U32" s="7" t="s">
        <v>285</v>
      </c>
      <c r="V32" s="7" t="s">
        <v>285</v>
      </c>
      <c r="W32" s="7" t="s">
        <v>412</v>
      </c>
      <c r="X32" s="7" t="s">
        <v>375</v>
      </c>
      <c r="Y32" s="7" t="s">
        <v>288</v>
      </c>
      <c r="Z32" s="7" t="s">
        <v>289</v>
      </c>
      <c r="AA32" s="7" t="s">
        <v>317</v>
      </c>
      <c r="AB32" s="7" t="s">
        <v>289</v>
      </c>
      <c r="AC32" s="7" t="s">
        <v>291</v>
      </c>
      <c r="AD32" s="7" t="s">
        <v>296</v>
      </c>
      <c r="AE32">
        <v>9.7789999999999999</v>
      </c>
      <c r="AF32">
        <v>13.489000000000001</v>
      </c>
      <c r="AG32">
        <v>14.256</v>
      </c>
      <c r="AH32">
        <v>6</v>
      </c>
      <c r="AI32" s="7" t="s">
        <v>293</v>
      </c>
      <c r="AJ32" s="7" t="s">
        <v>296</v>
      </c>
      <c r="AK32">
        <v>7.2510000000000003</v>
      </c>
      <c r="AL32">
        <v>10.766999999999999</v>
      </c>
      <c r="AM32">
        <v>11.324</v>
      </c>
      <c r="AN32">
        <v>5</v>
      </c>
      <c r="AO32" s="7" t="s">
        <v>293</v>
      </c>
      <c r="AP32" s="7" t="s">
        <v>292</v>
      </c>
      <c r="AQ32">
        <v>21.622</v>
      </c>
      <c r="AR32">
        <v>23.826000000000001</v>
      </c>
      <c r="AS32">
        <v>24.619</v>
      </c>
      <c r="AT32">
        <v>4</v>
      </c>
      <c r="AU32" s="7" t="s">
        <v>295</v>
      </c>
      <c r="AV32" s="7" t="s">
        <v>296</v>
      </c>
      <c r="AW32">
        <v>24.664999999999999</v>
      </c>
      <c r="AX32">
        <v>26.9</v>
      </c>
      <c r="AY32">
        <v>27.501000000000001</v>
      </c>
      <c r="AZ32">
        <v>5</v>
      </c>
      <c r="BA32" s="7" t="s">
        <v>295</v>
      </c>
      <c r="BB32" s="7" t="s">
        <v>292</v>
      </c>
      <c r="BC32">
        <v>12.416</v>
      </c>
      <c r="BD32">
        <v>22.462</v>
      </c>
      <c r="BE32">
        <v>23.056000000000001</v>
      </c>
      <c r="BF32">
        <v>5</v>
      </c>
      <c r="BG32" s="7" t="s">
        <v>291</v>
      </c>
      <c r="BH32" s="7" t="s">
        <v>296</v>
      </c>
      <c r="BI32">
        <v>7.83</v>
      </c>
      <c r="BJ32">
        <v>9.3699999999999992</v>
      </c>
      <c r="BK32">
        <v>9.8819999999999997</v>
      </c>
      <c r="BL32">
        <v>3</v>
      </c>
      <c r="BM32" s="7" t="s">
        <v>293</v>
      </c>
      <c r="BN32" s="7" t="s">
        <v>296</v>
      </c>
      <c r="BO32">
        <v>0.32500000000000001</v>
      </c>
      <c r="BP32">
        <v>13.492000000000001</v>
      </c>
      <c r="BQ32">
        <v>14.082000000000001</v>
      </c>
      <c r="BR32">
        <v>5</v>
      </c>
      <c r="BS32" s="7" t="s">
        <v>291</v>
      </c>
      <c r="BT32" s="7" t="s">
        <v>296</v>
      </c>
      <c r="BU32">
        <v>19.995000000000001</v>
      </c>
      <c r="BV32">
        <v>23.423999999999999</v>
      </c>
      <c r="BW32">
        <v>23.992000000000001</v>
      </c>
      <c r="BX32">
        <v>5</v>
      </c>
      <c r="BY32" s="7" t="s">
        <v>295</v>
      </c>
      <c r="BZ32" s="7" t="s">
        <v>296</v>
      </c>
      <c r="CA32">
        <v>6.6050000000000004</v>
      </c>
      <c r="CB32">
        <v>8.2279999999999998</v>
      </c>
      <c r="CC32">
        <v>8.8149999999999995</v>
      </c>
      <c r="CD32">
        <v>4</v>
      </c>
      <c r="CE32" s="7" t="s">
        <v>298</v>
      </c>
      <c r="CF32" s="7" t="s">
        <v>296</v>
      </c>
      <c r="CG32">
        <v>16.978999999999999</v>
      </c>
      <c r="CH32">
        <v>19.189</v>
      </c>
      <c r="CI32">
        <v>19.837</v>
      </c>
      <c r="CJ32">
        <v>4</v>
      </c>
      <c r="CK32" s="7" t="s">
        <v>291</v>
      </c>
      <c r="CL32" s="7" t="s">
        <v>292</v>
      </c>
      <c r="CM32">
        <v>2.661</v>
      </c>
      <c r="CN32">
        <v>15.847</v>
      </c>
      <c r="CO32">
        <v>16.978000000000002</v>
      </c>
      <c r="CP32">
        <v>6</v>
      </c>
      <c r="CQ32" s="7" t="s">
        <v>293</v>
      </c>
      <c r="CR32" s="7" t="s">
        <v>296</v>
      </c>
      <c r="CS32">
        <v>5.89</v>
      </c>
      <c r="CT32">
        <v>8.0090000000000003</v>
      </c>
      <c r="CU32">
        <v>8.6219999999999999</v>
      </c>
      <c r="CV32">
        <v>4</v>
      </c>
      <c r="CW32" s="7" t="s">
        <v>291</v>
      </c>
      <c r="CX32" s="7" t="s">
        <v>296</v>
      </c>
      <c r="CY32">
        <v>8.0990000000000002</v>
      </c>
      <c r="CZ32">
        <v>9.8699999999999992</v>
      </c>
      <c r="DA32">
        <v>10.361000000000001</v>
      </c>
      <c r="DB32">
        <v>5</v>
      </c>
      <c r="DC32" s="7" t="s">
        <v>295</v>
      </c>
      <c r="DD32" s="7" t="s">
        <v>296</v>
      </c>
      <c r="DE32">
        <v>7.4649999999999999</v>
      </c>
      <c r="DF32">
        <v>9.6199999999999992</v>
      </c>
      <c r="DG32">
        <v>10.041</v>
      </c>
      <c r="DH32">
        <v>5</v>
      </c>
      <c r="DI32" s="7" t="s">
        <v>298</v>
      </c>
      <c r="DJ32" s="7" t="s">
        <v>292</v>
      </c>
      <c r="DK32">
        <v>28.344000000000001</v>
      </c>
      <c r="DL32">
        <v>31.012</v>
      </c>
      <c r="DM32">
        <v>32.073999999999998</v>
      </c>
      <c r="DN32">
        <v>5</v>
      </c>
      <c r="DO32" s="7" t="s">
        <v>291</v>
      </c>
      <c r="DP32" s="7" t="s">
        <v>296</v>
      </c>
      <c r="DQ32">
        <v>3.9590000000000001</v>
      </c>
      <c r="DR32">
        <v>6.7389999999999999</v>
      </c>
      <c r="DS32">
        <v>8.6229999999999993</v>
      </c>
      <c r="DT32">
        <v>5</v>
      </c>
      <c r="DU32" s="7" t="s">
        <v>293</v>
      </c>
      <c r="DV32" s="7" t="s">
        <v>292</v>
      </c>
      <c r="DW32">
        <v>11.996</v>
      </c>
      <c r="DX32">
        <v>14.239000000000001</v>
      </c>
      <c r="DY32">
        <v>15.023</v>
      </c>
      <c r="DZ32">
        <v>5</v>
      </c>
      <c r="EA32" s="7" t="s">
        <v>299</v>
      </c>
      <c r="EB32" s="7" t="s">
        <v>292</v>
      </c>
      <c r="EC32">
        <v>10.425000000000001</v>
      </c>
      <c r="ED32">
        <v>13.237</v>
      </c>
      <c r="EE32">
        <v>13.93</v>
      </c>
      <c r="EF32">
        <v>5</v>
      </c>
      <c r="EG32" s="7" t="s">
        <v>295</v>
      </c>
      <c r="EH32" s="7" t="s">
        <v>296</v>
      </c>
      <c r="EI32">
        <v>8.6300000000000008</v>
      </c>
      <c r="EJ32">
        <v>15.041</v>
      </c>
      <c r="EK32">
        <v>15.577</v>
      </c>
      <c r="EL32">
        <v>4</v>
      </c>
      <c r="EM32" s="7" t="s">
        <v>298</v>
      </c>
      <c r="EN32" s="7" t="s">
        <v>296</v>
      </c>
      <c r="EO32">
        <v>8.6110000000000007</v>
      </c>
      <c r="EP32">
        <v>10.099</v>
      </c>
      <c r="EQ32">
        <v>10.986000000000001</v>
      </c>
      <c r="ER32">
        <v>3</v>
      </c>
      <c r="ES32" s="7" t="s">
        <v>301</v>
      </c>
      <c r="ET32" s="7" t="s">
        <v>292</v>
      </c>
      <c r="EU32">
        <v>19.614999999999998</v>
      </c>
      <c r="EV32">
        <v>128.90100000000001</v>
      </c>
      <c r="EW32">
        <v>129.36799999999999</v>
      </c>
      <c r="EX32">
        <v>7</v>
      </c>
      <c r="EY32" s="7" t="s">
        <v>300</v>
      </c>
      <c r="EZ32" s="7" t="s">
        <v>296</v>
      </c>
      <c r="FA32">
        <v>2.6949999999999998</v>
      </c>
      <c r="FB32">
        <v>8.2929999999999993</v>
      </c>
      <c r="FC32">
        <v>8.8119999999999994</v>
      </c>
      <c r="FD32">
        <v>10</v>
      </c>
      <c r="FE32" s="7" t="s">
        <v>291</v>
      </c>
      <c r="FF32" s="7" t="s">
        <v>296</v>
      </c>
      <c r="FG32">
        <v>6.992</v>
      </c>
      <c r="FH32">
        <v>11.943</v>
      </c>
      <c r="FI32">
        <v>12.468</v>
      </c>
      <c r="FJ32">
        <v>10</v>
      </c>
      <c r="FK32" s="7" t="s">
        <v>300</v>
      </c>
      <c r="FL32" s="7" t="s">
        <v>292</v>
      </c>
      <c r="FM32">
        <v>1.502</v>
      </c>
      <c r="FN32">
        <v>8.4009999999999998</v>
      </c>
      <c r="FO32">
        <v>9.0340000000000007</v>
      </c>
      <c r="FP32">
        <v>15</v>
      </c>
      <c r="FQ32" s="7" t="s">
        <v>300</v>
      </c>
      <c r="FR32" s="7" t="s">
        <v>292</v>
      </c>
      <c r="FS32">
        <v>2.351</v>
      </c>
      <c r="FT32">
        <v>10.287000000000001</v>
      </c>
      <c r="FU32">
        <v>10.879</v>
      </c>
      <c r="FV32">
        <v>5</v>
      </c>
      <c r="FW32" s="7" t="s">
        <v>291</v>
      </c>
      <c r="FX32" s="7" t="s">
        <v>297</v>
      </c>
      <c r="FY32">
        <v>17.350999999999999</v>
      </c>
      <c r="FZ32">
        <v>46.387</v>
      </c>
      <c r="GA32">
        <v>47.037999999999997</v>
      </c>
      <c r="GB32">
        <v>7</v>
      </c>
      <c r="GC32" s="7" t="s">
        <v>291</v>
      </c>
      <c r="GD32" s="7" t="s">
        <v>292</v>
      </c>
      <c r="GE32">
        <v>8.3320000000000007</v>
      </c>
      <c r="GF32">
        <v>11.004</v>
      </c>
      <c r="GG32">
        <v>11.532</v>
      </c>
      <c r="GH32">
        <v>5</v>
      </c>
      <c r="GI32" s="7" t="s">
        <v>300</v>
      </c>
      <c r="GJ32" s="7" t="s">
        <v>292</v>
      </c>
      <c r="GK32">
        <v>6.0229999999999997</v>
      </c>
      <c r="GL32">
        <v>10.215</v>
      </c>
      <c r="GM32">
        <v>10.7</v>
      </c>
      <c r="GN32">
        <v>7</v>
      </c>
      <c r="GO32" s="7" t="s">
        <v>291</v>
      </c>
      <c r="GP32" s="7" t="s">
        <v>292</v>
      </c>
      <c r="GQ32">
        <v>77.932000000000002</v>
      </c>
      <c r="GR32">
        <v>85.67</v>
      </c>
      <c r="GS32">
        <v>86.194000000000003</v>
      </c>
      <c r="GT32">
        <v>9</v>
      </c>
      <c r="GU32" s="7" t="s">
        <v>291</v>
      </c>
      <c r="GV32" s="7" t="s">
        <v>292</v>
      </c>
      <c r="GW32">
        <v>59.406999999999996</v>
      </c>
      <c r="GX32">
        <v>82.225999999999999</v>
      </c>
      <c r="GY32">
        <v>82.796999999999997</v>
      </c>
      <c r="GZ32">
        <v>6</v>
      </c>
      <c r="HA32" s="7" t="s">
        <v>300</v>
      </c>
      <c r="HB32" s="7" t="s">
        <v>297</v>
      </c>
      <c r="HC32">
        <v>7.8410000000000002</v>
      </c>
      <c r="HD32">
        <v>12.936999999999999</v>
      </c>
      <c r="HE32">
        <v>13.414999999999999</v>
      </c>
      <c r="HF32">
        <v>8</v>
      </c>
      <c r="HG32" s="7" t="s">
        <v>300</v>
      </c>
      <c r="HH32" s="7" t="s">
        <v>297</v>
      </c>
      <c r="HI32">
        <v>45.179000000000002</v>
      </c>
      <c r="HJ32">
        <v>48.820999999999998</v>
      </c>
      <c r="HK32">
        <v>49.238</v>
      </c>
      <c r="HL32">
        <v>6</v>
      </c>
      <c r="HM32" s="7" t="s">
        <v>654</v>
      </c>
      <c r="HN32" s="7" t="s">
        <v>361</v>
      </c>
      <c r="HO32" s="7" t="s">
        <v>655</v>
      </c>
      <c r="HP32" s="7" t="s">
        <v>656</v>
      </c>
      <c r="HQ32" s="7" t="s">
        <v>657</v>
      </c>
      <c r="HR32" s="7" t="s">
        <v>658</v>
      </c>
      <c r="HS32" s="7" t="s">
        <v>659</v>
      </c>
      <c r="HT32" s="7" t="s">
        <v>659</v>
      </c>
      <c r="HU32" s="7" t="s">
        <v>660</v>
      </c>
      <c r="HV32" s="7" t="s">
        <v>660</v>
      </c>
      <c r="HW32" s="7" t="s">
        <v>282</v>
      </c>
      <c r="HX32" s="7" t="s">
        <v>282</v>
      </c>
      <c r="HY32" s="7" t="s">
        <v>312</v>
      </c>
      <c r="HZ32" s="7" t="s">
        <v>356</v>
      </c>
      <c r="IA32" s="7" t="s">
        <v>313</v>
      </c>
      <c r="IB32" s="7" t="s">
        <v>282</v>
      </c>
      <c r="IC32" s="7" t="s">
        <v>282</v>
      </c>
    </row>
    <row r="33" spans="1:237" x14ac:dyDescent="0.2">
      <c r="A33" s="6">
        <v>45748.367094907408</v>
      </c>
      <c r="B33" s="6">
        <v>45748.383784722224</v>
      </c>
      <c r="C33" s="7" t="s">
        <v>240</v>
      </c>
      <c r="D33" s="7" t="s">
        <v>661</v>
      </c>
      <c r="E33">
        <v>100</v>
      </c>
      <c r="F33">
        <v>1442</v>
      </c>
      <c r="G33" s="7" t="s">
        <v>280</v>
      </c>
      <c r="H33" s="6">
        <v>45748.383801319447</v>
      </c>
      <c r="I33" s="7" t="s">
        <v>662</v>
      </c>
      <c r="J33" s="7" t="s">
        <v>282</v>
      </c>
      <c r="K33" s="7" t="s">
        <v>282</v>
      </c>
      <c r="L33" s="7" t="s">
        <v>282</v>
      </c>
      <c r="M33" s="7" t="s">
        <v>282</v>
      </c>
      <c r="N33">
        <v>-37.767000000000003</v>
      </c>
      <c r="O33">
        <v>144.95429999999999</v>
      </c>
      <c r="P33" s="7" t="s">
        <v>283</v>
      </c>
      <c r="Q33" s="7" t="s">
        <v>284</v>
      </c>
      <c r="R33">
        <v>1</v>
      </c>
      <c r="S33" s="7" t="s">
        <v>285</v>
      </c>
      <c r="T33" s="7" t="s">
        <v>285</v>
      </c>
      <c r="U33" s="7" t="s">
        <v>285</v>
      </c>
      <c r="V33" s="7" t="s">
        <v>285</v>
      </c>
      <c r="W33" s="7" t="s">
        <v>286</v>
      </c>
      <c r="X33" s="7" t="s">
        <v>402</v>
      </c>
      <c r="Y33" s="7" t="s">
        <v>288</v>
      </c>
      <c r="Z33" s="7" t="s">
        <v>317</v>
      </c>
      <c r="AA33" s="7" t="s">
        <v>317</v>
      </c>
      <c r="AB33" s="7" t="s">
        <v>317</v>
      </c>
      <c r="AC33" s="7" t="s">
        <v>291</v>
      </c>
      <c r="AD33" s="7" t="s">
        <v>297</v>
      </c>
      <c r="AE33">
        <v>11.712999999999999</v>
      </c>
      <c r="AF33">
        <v>13.217000000000001</v>
      </c>
      <c r="AG33">
        <v>14.367000000000001</v>
      </c>
      <c r="AH33">
        <v>2</v>
      </c>
      <c r="AI33" s="7" t="s">
        <v>293</v>
      </c>
      <c r="AJ33" s="7" t="s">
        <v>296</v>
      </c>
      <c r="AK33">
        <v>8.3140000000000001</v>
      </c>
      <c r="AL33">
        <v>10.225</v>
      </c>
      <c r="AM33">
        <v>13.677</v>
      </c>
      <c r="AN33">
        <v>2</v>
      </c>
      <c r="AO33" s="7" t="s">
        <v>293</v>
      </c>
      <c r="AP33" s="7" t="s">
        <v>296</v>
      </c>
      <c r="AQ33">
        <v>6.6829999999999998</v>
      </c>
      <c r="AR33">
        <v>8.2750000000000004</v>
      </c>
      <c r="AS33">
        <v>9.9160000000000004</v>
      </c>
      <c r="AT33">
        <v>2</v>
      </c>
      <c r="AU33" s="7" t="s">
        <v>291</v>
      </c>
      <c r="AV33" s="7" t="s">
        <v>297</v>
      </c>
      <c r="AW33">
        <v>12.006</v>
      </c>
      <c r="AX33">
        <v>23.684999999999999</v>
      </c>
      <c r="AY33">
        <v>25.134</v>
      </c>
      <c r="AZ33">
        <v>2</v>
      </c>
      <c r="BA33" s="7" t="s">
        <v>295</v>
      </c>
      <c r="BB33" s="7" t="s">
        <v>297</v>
      </c>
      <c r="BC33">
        <v>9.3960000000000008</v>
      </c>
      <c r="BD33">
        <v>12.428000000000001</v>
      </c>
      <c r="BE33">
        <v>13.183999999999999</v>
      </c>
      <c r="BF33">
        <v>2</v>
      </c>
      <c r="BG33" s="7" t="s">
        <v>291</v>
      </c>
      <c r="BH33" s="7" t="s">
        <v>297</v>
      </c>
      <c r="BI33">
        <v>13.813000000000001</v>
      </c>
      <c r="BJ33">
        <v>18.701000000000001</v>
      </c>
      <c r="BK33">
        <v>19.683</v>
      </c>
      <c r="BL33">
        <v>3</v>
      </c>
      <c r="BM33" s="7" t="s">
        <v>293</v>
      </c>
      <c r="BN33" s="7" t="s">
        <v>296</v>
      </c>
      <c r="BO33">
        <v>6.66</v>
      </c>
      <c r="BP33">
        <v>11.170999999999999</v>
      </c>
      <c r="BQ33">
        <v>12.053000000000001</v>
      </c>
      <c r="BR33">
        <v>2</v>
      </c>
      <c r="BS33" s="7" t="s">
        <v>298</v>
      </c>
      <c r="BT33" s="7" t="s">
        <v>297</v>
      </c>
      <c r="BU33">
        <v>10.705</v>
      </c>
      <c r="BV33">
        <v>12.612</v>
      </c>
      <c r="BW33">
        <v>13.472</v>
      </c>
      <c r="BX33">
        <v>2</v>
      </c>
      <c r="BY33" s="7" t="s">
        <v>295</v>
      </c>
      <c r="BZ33" s="7" t="s">
        <v>297</v>
      </c>
      <c r="CA33">
        <v>13.952999999999999</v>
      </c>
      <c r="CB33">
        <v>19.713000000000001</v>
      </c>
      <c r="CC33">
        <v>20.576000000000001</v>
      </c>
      <c r="CD33">
        <v>4</v>
      </c>
      <c r="CE33" s="7" t="s">
        <v>291</v>
      </c>
      <c r="CF33" s="7" t="s">
        <v>297</v>
      </c>
      <c r="CG33">
        <v>12.192</v>
      </c>
      <c r="CH33">
        <v>13.352</v>
      </c>
      <c r="CI33">
        <v>14.055999999999999</v>
      </c>
      <c r="CJ33">
        <v>2</v>
      </c>
      <c r="CK33" s="7" t="s">
        <v>291</v>
      </c>
      <c r="CL33" s="7" t="s">
        <v>297</v>
      </c>
      <c r="CM33">
        <v>12.122</v>
      </c>
      <c r="CN33">
        <v>14.538</v>
      </c>
      <c r="CO33">
        <v>16.16</v>
      </c>
      <c r="CP33">
        <v>2</v>
      </c>
      <c r="CQ33" s="7" t="s">
        <v>293</v>
      </c>
      <c r="CR33" s="7" t="s">
        <v>296</v>
      </c>
      <c r="CS33">
        <v>8.8260000000000005</v>
      </c>
      <c r="CT33">
        <v>12.321</v>
      </c>
      <c r="CU33">
        <v>13.144</v>
      </c>
      <c r="CV33">
        <v>2</v>
      </c>
      <c r="CW33" s="7" t="s">
        <v>282</v>
      </c>
      <c r="CX33" s="7" t="s">
        <v>330</v>
      </c>
      <c r="CY33">
        <v>19.609000000000002</v>
      </c>
      <c r="CZ33">
        <v>36.545000000000002</v>
      </c>
      <c r="DA33">
        <v>37.776000000000003</v>
      </c>
      <c r="DB33">
        <v>4</v>
      </c>
      <c r="DC33" s="7" t="s">
        <v>299</v>
      </c>
      <c r="DD33" s="7" t="s">
        <v>292</v>
      </c>
      <c r="DE33">
        <v>13.651</v>
      </c>
      <c r="DF33">
        <v>15.972</v>
      </c>
      <c r="DG33">
        <v>16.73</v>
      </c>
      <c r="DH33">
        <v>2</v>
      </c>
      <c r="DI33" s="7" t="s">
        <v>298</v>
      </c>
      <c r="DJ33" s="7" t="s">
        <v>292</v>
      </c>
      <c r="DK33">
        <v>9.4380000000000006</v>
      </c>
      <c r="DL33">
        <v>11.335000000000001</v>
      </c>
      <c r="DM33">
        <v>12.917</v>
      </c>
      <c r="DN33">
        <v>2</v>
      </c>
      <c r="DO33" s="7" t="s">
        <v>291</v>
      </c>
      <c r="DP33" s="7" t="s">
        <v>330</v>
      </c>
      <c r="DQ33">
        <v>15.231999999999999</v>
      </c>
      <c r="DR33">
        <v>16.928000000000001</v>
      </c>
      <c r="DS33">
        <v>17.829000000000001</v>
      </c>
      <c r="DT33">
        <v>2</v>
      </c>
      <c r="DU33" s="7" t="s">
        <v>293</v>
      </c>
      <c r="DV33" s="7" t="s">
        <v>296</v>
      </c>
      <c r="DW33">
        <v>6.2830000000000004</v>
      </c>
      <c r="DX33">
        <v>9.3800000000000008</v>
      </c>
      <c r="DY33">
        <v>11.012</v>
      </c>
      <c r="DZ33">
        <v>2</v>
      </c>
      <c r="EA33" s="7" t="s">
        <v>291</v>
      </c>
      <c r="EB33" s="7" t="s">
        <v>297</v>
      </c>
      <c r="EC33">
        <v>13.242000000000001</v>
      </c>
      <c r="ED33">
        <v>17.984999999999999</v>
      </c>
      <c r="EE33">
        <v>19.062999999999999</v>
      </c>
      <c r="EF33">
        <v>2</v>
      </c>
      <c r="EG33" s="7" t="s">
        <v>299</v>
      </c>
      <c r="EH33" s="7" t="s">
        <v>292</v>
      </c>
      <c r="EI33">
        <v>23.488</v>
      </c>
      <c r="EJ33">
        <v>28.704000000000001</v>
      </c>
      <c r="EK33">
        <v>29.577000000000002</v>
      </c>
      <c r="EL33">
        <v>2</v>
      </c>
      <c r="EM33" s="7" t="s">
        <v>291</v>
      </c>
      <c r="EN33" s="7" t="s">
        <v>297</v>
      </c>
      <c r="EO33">
        <v>17.719000000000001</v>
      </c>
      <c r="EP33">
        <v>38.445</v>
      </c>
      <c r="EQ33">
        <v>39.200000000000003</v>
      </c>
      <c r="ER33">
        <v>3</v>
      </c>
      <c r="ES33" s="7" t="s">
        <v>301</v>
      </c>
      <c r="ET33" s="7" t="s">
        <v>330</v>
      </c>
      <c r="EU33">
        <v>7.58</v>
      </c>
      <c r="EV33">
        <v>12.843999999999999</v>
      </c>
      <c r="EW33">
        <v>16.7</v>
      </c>
      <c r="EX33">
        <v>2</v>
      </c>
      <c r="EY33" s="7" t="s">
        <v>300</v>
      </c>
      <c r="EZ33" s="7" t="s">
        <v>296</v>
      </c>
      <c r="FA33">
        <v>6.452</v>
      </c>
      <c r="FB33">
        <v>11.002000000000001</v>
      </c>
      <c r="FC33">
        <v>11.941000000000001</v>
      </c>
      <c r="FD33">
        <v>2</v>
      </c>
      <c r="FE33" s="7" t="s">
        <v>301</v>
      </c>
      <c r="FF33" s="7" t="s">
        <v>297</v>
      </c>
      <c r="FG33">
        <v>7.5880000000000001</v>
      </c>
      <c r="FH33">
        <v>11.005000000000001</v>
      </c>
      <c r="FI33">
        <v>11.974</v>
      </c>
      <c r="FJ33">
        <v>2</v>
      </c>
      <c r="FK33" s="7" t="s">
        <v>291</v>
      </c>
      <c r="FL33" s="7" t="s">
        <v>297</v>
      </c>
      <c r="FM33">
        <v>7.6719999999999997</v>
      </c>
      <c r="FN33">
        <v>10.375999999999999</v>
      </c>
      <c r="FO33">
        <v>11.353999999999999</v>
      </c>
      <c r="FP33">
        <v>2</v>
      </c>
      <c r="FQ33" s="7" t="s">
        <v>300</v>
      </c>
      <c r="FR33" s="7" t="s">
        <v>296</v>
      </c>
      <c r="FS33">
        <v>8.1980000000000004</v>
      </c>
      <c r="FT33">
        <v>15.59</v>
      </c>
      <c r="FU33">
        <v>16.401</v>
      </c>
      <c r="FV33">
        <v>2</v>
      </c>
      <c r="FW33" s="7" t="s">
        <v>301</v>
      </c>
      <c r="FX33" s="7" t="s">
        <v>292</v>
      </c>
      <c r="FY33">
        <v>31.582999999999998</v>
      </c>
      <c r="FZ33">
        <v>34.28</v>
      </c>
      <c r="GA33">
        <v>35.030999999999999</v>
      </c>
      <c r="GB33">
        <v>2</v>
      </c>
      <c r="GC33" s="7" t="s">
        <v>301</v>
      </c>
      <c r="GD33" s="7" t="s">
        <v>297</v>
      </c>
      <c r="GE33">
        <v>136.52600000000001</v>
      </c>
      <c r="GF33">
        <v>138.38999999999999</v>
      </c>
      <c r="GG33">
        <v>140.40100000000001</v>
      </c>
      <c r="GH33">
        <v>2</v>
      </c>
      <c r="GI33" s="7" t="s">
        <v>300</v>
      </c>
      <c r="GJ33" s="7" t="s">
        <v>296</v>
      </c>
      <c r="GK33">
        <v>3.26</v>
      </c>
      <c r="GL33">
        <v>5.3570000000000002</v>
      </c>
      <c r="GM33">
        <v>12</v>
      </c>
      <c r="GN33">
        <v>2</v>
      </c>
      <c r="GO33" s="7" t="s">
        <v>301</v>
      </c>
      <c r="GP33" s="7" t="s">
        <v>292</v>
      </c>
      <c r="GQ33">
        <v>5.2190000000000003</v>
      </c>
      <c r="GR33">
        <v>24.571000000000002</v>
      </c>
      <c r="GS33">
        <v>25.79</v>
      </c>
      <c r="GT33">
        <v>4</v>
      </c>
      <c r="GU33" s="7" t="s">
        <v>291</v>
      </c>
      <c r="GV33" s="7" t="s">
        <v>297</v>
      </c>
      <c r="GW33">
        <v>8.3800000000000008</v>
      </c>
      <c r="GX33">
        <v>164.56100000000001</v>
      </c>
      <c r="GY33">
        <v>165.76499999999999</v>
      </c>
      <c r="GZ33">
        <v>4</v>
      </c>
      <c r="HA33" s="7" t="s">
        <v>300</v>
      </c>
      <c r="HB33" s="7" t="s">
        <v>296</v>
      </c>
      <c r="HC33">
        <v>5.9039999999999999</v>
      </c>
      <c r="HD33">
        <v>7.7839999999999998</v>
      </c>
      <c r="HE33">
        <v>9.9250000000000007</v>
      </c>
      <c r="HF33">
        <v>2</v>
      </c>
      <c r="HG33" s="7" t="s">
        <v>300</v>
      </c>
      <c r="HH33" s="7" t="s">
        <v>296</v>
      </c>
      <c r="HI33">
        <v>4.827</v>
      </c>
      <c r="HJ33">
        <v>6.4089999999999998</v>
      </c>
      <c r="HK33">
        <v>11.101000000000001</v>
      </c>
      <c r="HL33">
        <v>2</v>
      </c>
      <c r="HM33" s="7" t="s">
        <v>663</v>
      </c>
      <c r="HN33" s="7" t="s">
        <v>664</v>
      </c>
      <c r="HO33" s="7" t="s">
        <v>665</v>
      </c>
      <c r="HP33" s="7" t="s">
        <v>666</v>
      </c>
      <c r="HQ33" s="7" t="s">
        <v>667</v>
      </c>
      <c r="HR33" s="7" t="s">
        <v>668</v>
      </c>
      <c r="HS33" s="7" t="s">
        <v>669</v>
      </c>
      <c r="HT33" s="7" t="s">
        <v>670</v>
      </c>
      <c r="HU33" s="7" t="s">
        <v>671</v>
      </c>
      <c r="HV33" s="7" t="s">
        <v>672</v>
      </c>
      <c r="HW33" s="7" t="s">
        <v>282</v>
      </c>
      <c r="HX33" s="7" t="s">
        <v>282</v>
      </c>
      <c r="HY33" s="7" t="s">
        <v>312</v>
      </c>
      <c r="HZ33" s="7" t="s">
        <v>372</v>
      </c>
      <c r="IA33" s="7" t="s">
        <v>325</v>
      </c>
      <c r="IB33" s="7" t="s">
        <v>282</v>
      </c>
      <c r="IC33" s="7" t="s">
        <v>282</v>
      </c>
    </row>
    <row r="34" spans="1:237" x14ac:dyDescent="0.2">
      <c r="A34" s="6">
        <v>45748.374189814815</v>
      </c>
      <c r="B34" s="6">
        <v>45748.38753472222</v>
      </c>
      <c r="C34" s="7" t="s">
        <v>240</v>
      </c>
      <c r="D34" s="7" t="s">
        <v>673</v>
      </c>
      <c r="E34">
        <v>100</v>
      </c>
      <c r="F34">
        <v>1153</v>
      </c>
      <c r="G34" s="7" t="s">
        <v>280</v>
      </c>
      <c r="H34" s="6">
        <v>45748.387556307869</v>
      </c>
      <c r="I34" s="7" t="s">
        <v>674</v>
      </c>
      <c r="J34" s="7" t="s">
        <v>282</v>
      </c>
      <c r="K34" s="7" t="s">
        <v>282</v>
      </c>
      <c r="L34" s="7" t="s">
        <v>282</v>
      </c>
      <c r="M34" s="7" t="s">
        <v>282</v>
      </c>
      <c r="N34">
        <v>-37.918900000000001</v>
      </c>
      <c r="O34">
        <v>145.126</v>
      </c>
      <c r="P34" s="7" t="s">
        <v>283</v>
      </c>
      <c r="Q34" s="7" t="s">
        <v>284</v>
      </c>
      <c r="R34">
        <v>1</v>
      </c>
      <c r="S34" s="7" t="s">
        <v>285</v>
      </c>
      <c r="T34" s="7" t="s">
        <v>285</v>
      </c>
      <c r="U34" s="7" t="s">
        <v>285</v>
      </c>
      <c r="V34" s="7" t="s">
        <v>285</v>
      </c>
      <c r="W34" s="7" t="s">
        <v>412</v>
      </c>
      <c r="X34" s="7" t="s">
        <v>375</v>
      </c>
      <c r="Y34" s="7" t="s">
        <v>288</v>
      </c>
      <c r="Z34" s="7" t="s">
        <v>289</v>
      </c>
      <c r="AA34" s="7" t="s">
        <v>329</v>
      </c>
      <c r="AB34" s="7" t="s">
        <v>289</v>
      </c>
      <c r="AC34" s="7" t="s">
        <v>291</v>
      </c>
      <c r="AD34" s="7" t="s">
        <v>292</v>
      </c>
      <c r="AE34">
        <v>21.850999999999999</v>
      </c>
      <c r="AF34">
        <v>24.553999999999998</v>
      </c>
      <c r="AG34">
        <v>25.108000000000001</v>
      </c>
      <c r="AH34">
        <v>3</v>
      </c>
      <c r="AI34" s="7" t="s">
        <v>293</v>
      </c>
      <c r="AJ34" s="7" t="s">
        <v>296</v>
      </c>
      <c r="AK34">
        <v>5.5750000000000002</v>
      </c>
      <c r="AL34">
        <v>6.74</v>
      </c>
      <c r="AM34">
        <v>8.8930000000000007</v>
      </c>
      <c r="AN34">
        <v>2</v>
      </c>
      <c r="AO34" s="7" t="s">
        <v>293</v>
      </c>
      <c r="AP34" s="7" t="s">
        <v>292</v>
      </c>
      <c r="AQ34">
        <v>5.3860000000000001</v>
      </c>
      <c r="AR34">
        <v>8.4190000000000005</v>
      </c>
      <c r="AS34">
        <v>9.3569999999999993</v>
      </c>
      <c r="AT34">
        <v>2</v>
      </c>
      <c r="AU34" s="7" t="s">
        <v>299</v>
      </c>
      <c r="AV34" s="7" t="s">
        <v>296</v>
      </c>
      <c r="AW34">
        <v>8.9480000000000004</v>
      </c>
      <c r="AX34">
        <v>13.462</v>
      </c>
      <c r="AY34">
        <v>14.151</v>
      </c>
      <c r="AZ34">
        <v>7</v>
      </c>
      <c r="BA34" s="7" t="s">
        <v>299</v>
      </c>
      <c r="BB34" s="7" t="s">
        <v>292</v>
      </c>
      <c r="BC34">
        <v>11.771000000000001</v>
      </c>
      <c r="BD34">
        <v>19.355</v>
      </c>
      <c r="BE34">
        <v>20.026</v>
      </c>
      <c r="BF34">
        <v>7</v>
      </c>
      <c r="BG34" s="7" t="s">
        <v>291</v>
      </c>
      <c r="BH34" s="7" t="s">
        <v>296</v>
      </c>
      <c r="BI34">
        <v>7.8819999999999997</v>
      </c>
      <c r="BJ34">
        <v>8.9979999999999993</v>
      </c>
      <c r="BK34">
        <v>9.5690000000000008</v>
      </c>
      <c r="BL34">
        <v>2</v>
      </c>
      <c r="BM34" s="7" t="s">
        <v>293</v>
      </c>
      <c r="BN34" s="7" t="s">
        <v>296</v>
      </c>
      <c r="BO34">
        <v>8.7370000000000001</v>
      </c>
      <c r="BP34">
        <v>9.7850000000000001</v>
      </c>
      <c r="BQ34">
        <v>10.788</v>
      </c>
      <c r="BR34">
        <v>2</v>
      </c>
      <c r="BS34" s="7" t="s">
        <v>293</v>
      </c>
      <c r="BT34" s="7" t="s">
        <v>330</v>
      </c>
      <c r="BU34">
        <v>9.2970000000000006</v>
      </c>
      <c r="BV34">
        <v>12.429</v>
      </c>
      <c r="BW34">
        <v>13.185</v>
      </c>
      <c r="BX34">
        <v>3</v>
      </c>
      <c r="BY34" s="7" t="s">
        <v>299</v>
      </c>
      <c r="BZ34" s="7" t="s">
        <v>292</v>
      </c>
      <c r="CA34">
        <v>26.141999999999999</v>
      </c>
      <c r="CB34">
        <v>39.459000000000003</v>
      </c>
      <c r="CC34">
        <v>40.213999999999999</v>
      </c>
      <c r="CD34">
        <v>3</v>
      </c>
      <c r="CE34" s="7" t="s">
        <v>291</v>
      </c>
      <c r="CF34" s="7" t="s">
        <v>296</v>
      </c>
      <c r="CG34">
        <v>8.7650000000000006</v>
      </c>
      <c r="CH34">
        <v>9.9979999999999993</v>
      </c>
      <c r="CI34">
        <v>10.601000000000001</v>
      </c>
      <c r="CJ34">
        <v>2</v>
      </c>
      <c r="CK34" s="7" t="s">
        <v>291</v>
      </c>
      <c r="CL34" s="7" t="s">
        <v>292</v>
      </c>
      <c r="CM34">
        <v>7.7069999999999999</v>
      </c>
      <c r="CN34">
        <v>10.99</v>
      </c>
      <c r="CO34">
        <v>11.577999999999999</v>
      </c>
      <c r="CP34">
        <v>5</v>
      </c>
      <c r="CQ34" s="7" t="s">
        <v>293</v>
      </c>
      <c r="CR34" s="7" t="s">
        <v>296</v>
      </c>
      <c r="CS34">
        <v>6.569</v>
      </c>
      <c r="CT34">
        <v>16.120999999999999</v>
      </c>
      <c r="CU34">
        <v>16.902999999999999</v>
      </c>
      <c r="CV34">
        <v>4</v>
      </c>
      <c r="CW34" s="7" t="s">
        <v>282</v>
      </c>
      <c r="CX34" s="7" t="s">
        <v>330</v>
      </c>
      <c r="CY34">
        <v>9.7119999999999997</v>
      </c>
      <c r="CZ34">
        <v>12.529</v>
      </c>
      <c r="DA34">
        <v>13.35</v>
      </c>
      <c r="DB34">
        <v>3</v>
      </c>
      <c r="DC34" s="7" t="s">
        <v>298</v>
      </c>
      <c r="DD34" s="7" t="s">
        <v>297</v>
      </c>
      <c r="DE34">
        <v>12.004</v>
      </c>
      <c r="DF34">
        <v>20.103000000000002</v>
      </c>
      <c r="DG34">
        <v>20.792000000000002</v>
      </c>
      <c r="DH34">
        <v>6</v>
      </c>
      <c r="DI34" s="7" t="s">
        <v>291</v>
      </c>
      <c r="DJ34" s="7" t="s">
        <v>292</v>
      </c>
      <c r="DK34">
        <v>7.032</v>
      </c>
      <c r="DL34">
        <v>9.8629999999999995</v>
      </c>
      <c r="DM34">
        <v>10.401</v>
      </c>
      <c r="DN34">
        <v>2</v>
      </c>
      <c r="DO34" s="7" t="s">
        <v>291</v>
      </c>
      <c r="DP34" s="7" t="s">
        <v>292</v>
      </c>
      <c r="DQ34">
        <v>6.1349999999999998</v>
      </c>
      <c r="DR34">
        <v>7.085</v>
      </c>
      <c r="DS34">
        <v>8.8539999999999992</v>
      </c>
      <c r="DT34">
        <v>2</v>
      </c>
      <c r="DU34" s="7" t="s">
        <v>293</v>
      </c>
      <c r="DV34" s="7" t="s">
        <v>296</v>
      </c>
      <c r="DW34">
        <v>5.9820000000000002</v>
      </c>
      <c r="DX34">
        <v>10.1</v>
      </c>
      <c r="DY34">
        <v>10.989000000000001</v>
      </c>
      <c r="DZ34">
        <v>2</v>
      </c>
      <c r="EA34" s="7" t="s">
        <v>291</v>
      </c>
      <c r="EB34" s="7" t="s">
        <v>292</v>
      </c>
      <c r="EC34">
        <v>6.9729999999999999</v>
      </c>
      <c r="ED34">
        <v>9.0389999999999997</v>
      </c>
      <c r="EE34">
        <v>9.7089999999999996</v>
      </c>
      <c r="EF34">
        <v>2</v>
      </c>
      <c r="EG34" s="7" t="s">
        <v>298</v>
      </c>
      <c r="EH34" s="7" t="s">
        <v>292</v>
      </c>
      <c r="EI34">
        <v>6.7380000000000004</v>
      </c>
      <c r="EJ34">
        <v>8.9879999999999995</v>
      </c>
      <c r="EK34">
        <v>9.9410000000000007</v>
      </c>
      <c r="EL34">
        <v>4</v>
      </c>
      <c r="EM34" s="7" t="s">
        <v>291</v>
      </c>
      <c r="EN34" s="7" t="s">
        <v>296</v>
      </c>
      <c r="EO34">
        <v>8.31</v>
      </c>
      <c r="EP34">
        <v>10.343</v>
      </c>
      <c r="EQ34">
        <v>11.278</v>
      </c>
      <c r="ER34">
        <v>2</v>
      </c>
      <c r="ES34" s="7" t="s">
        <v>291</v>
      </c>
      <c r="ET34" s="7" t="s">
        <v>294</v>
      </c>
      <c r="EU34">
        <v>6.0910000000000002</v>
      </c>
      <c r="EV34">
        <v>8.3239999999999998</v>
      </c>
      <c r="EW34">
        <v>9.3800000000000008</v>
      </c>
      <c r="EX34">
        <v>2</v>
      </c>
      <c r="EY34" s="7" t="s">
        <v>300</v>
      </c>
      <c r="EZ34" s="7" t="s">
        <v>296</v>
      </c>
      <c r="FA34">
        <v>5.9290000000000003</v>
      </c>
      <c r="FB34">
        <v>9.16</v>
      </c>
      <c r="FC34">
        <v>10.696</v>
      </c>
      <c r="FD34">
        <v>4</v>
      </c>
      <c r="FE34" s="7" t="s">
        <v>301</v>
      </c>
      <c r="FF34" s="7" t="s">
        <v>296</v>
      </c>
      <c r="FG34">
        <v>7.0519999999999996</v>
      </c>
      <c r="FH34">
        <v>8.3179999999999996</v>
      </c>
      <c r="FI34">
        <v>10.938000000000001</v>
      </c>
      <c r="FJ34">
        <v>2</v>
      </c>
      <c r="FK34" s="7" t="s">
        <v>291</v>
      </c>
      <c r="FL34" s="7" t="s">
        <v>294</v>
      </c>
      <c r="FM34">
        <v>7.2050000000000001</v>
      </c>
      <c r="FN34">
        <v>8.4719999999999995</v>
      </c>
      <c r="FO34">
        <v>9.3109999999999999</v>
      </c>
      <c r="FP34">
        <v>2</v>
      </c>
      <c r="FQ34" s="7" t="s">
        <v>300</v>
      </c>
      <c r="FR34" s="7" t="s">
        <v>294</v>
      </c>
      <c r="FS34">
        <v>8.5809999999999995</v>
      </c>
      <c r="FT34">
        <v>10.663</v>
      </c>
      <c r="FU34">
        <v>11.632999999999999</v>
      </c>
      <c r="FV34">
        <v>2</v>
      </c>
      <c r="FW34" s="7" t="s">
        <v>301</v>
      </c>
      <c r="FX34" s="7" t="s">
        <v>296</v>
      </c>
      <c r="FY34">
        <v>10.4</v>
      </c>
      <c r="FZ34">
        <v>12.249000000000001</v>
      </c>
      <c r="GA34">
        <v>12.871</v>
      </c>
      <c r="GB34">
        <v>2</v>
      </c>
      <c r="GC34" s="7" t="s">
        <v>291</v>
      </c>
      <c r="GD34" s="7" t="s">
        <v>294</v>
      </c>
      <c r="GE34">
        <v>5.9130000000000003</v>
      </c>
      <c r="GF34">
        <v>17.193999999999999</v>
      </c>
      <c r="GG34">
        <v>17.998999999999999</v>
      </c>
      <c r="GH34">
        <v>3</v>
      </c>
      <c r="GI34" s="7" t="s">
        <v>300</v>
      </c>
      <c r="GJ34" s="7" t="s">
        <v>296</v>
      </c>
      <c r="GK34">
        <v>11.468999999999999</v>
      </c>
      <c r="GL34">
        <v>13.667</v>
      </c>
      <c r="GM34">
        <v>14.271000000000001</v>
      </c>
      <c r="GN34">
        <v>2</v>
      </c>
      <c r="GO34" s="7" t="s">
        <v>301</v>
      </c>
      <c r="GP34" s="7" t="s">
        <v>296</v>
      </c>
      <c r="GQ34">
        <v>7.3</v>
      </c>
      <c r="GR34">
        <v>8.968</v>
      </c>
      <c r="GS34">
        <v>10.189</v>
      </c>
      <c r="GT34">
        <v>2</v>
      </c>
      <c r="GU34" s="7" t="s">
        <v>291</v>
      </c>
      <c r="GV34" s="7" t="s">
        <v>294</v>
      </c>
      <c r="GW34">
        <v>5.24</v>
      </c>
      <c r="GX34">
        <v>6.2069999999999999</v>
      </c>
      <c r="GY34">
        <v>12.545</v>
      </c>
      <c r="GZ34">
        <v>2</v>
      </c>
      <c r="HA34" s="7" t="s">
        <v>300</v>
      </c>
      <c r="HB34" s="7" t="s">
        <v>296</v>
      </c>
      <c r="HC34">
        <v>9.0180000000000007</v>
      </c>
      <c r="HD34">
        <v>12.369</v>
      </c>
      <c r="HE34">
        <v>14.141</v>
      </c>
      <c r="HF34">
        <v>2</v>
      </c>
      <c r="HG34" s="7" t="s">
        <v>291</v>
      </c>
      <c r="HH34" s="7" t="s">
        <v>296</v>
      </c>
      <c r="HI34">
        <v>14.773999999999999</v>
      </c>
      <c r="HJ34">
        <v>25.274000000000001</v>
      </c>
      <c r="HK34">
        <v>26.242999999999999</v>
      </c>
      <c r="HL34">
        <v>3</v>
      </c>
      <c r="HM34" s="7" t="s">
        <v>675</v>
      </c>
      <c r="HN34" s="7" t="s">
        <v>676</v>
      </c>
      <c r="HO34" s="7" t="s">
        <v>677</v>
      </c>
      <c r="HP34" s="7" t="s">
        <v>678</v>
      </c>
      <c r="HQ34" s="7" t="s">
        <v>679</v>
      </c>
      <c r="HR34" s="7" t="s">
        <v>680</v>
      </c>
      <c r="HS34" s="7" t="s">
        <v>681</v>
      </c>
      <c r="HT34" s="7" t="s">
        <v>682</v>
      </c>
      <c r="HU34" s="7" t="s">
        <v>683</v>
      </c>
      <c r="HV34" s="7" t="s">
        <v>684</v>
      </c>
      <c r="HW34" s="7" t="s">
        <v>685</v>
      </c>
      <c r="HX34" s="7" t="s">
        <v>282</v>
      </c>
      <c r="HY34" s="7" t="s">
        <v>312</v>
      </c>
      <c r="HZ34" s="7" t="s">
        <v>356</v>
      </c>
      <c r="IA34" s="7" t="s">
        <v>313</v>
      </c>
      <c r="IB34" s="7" t="s">
        <v>282</v>
      </c>
      <c r="IC34" s="7" t="s">
        <v>282</v>
      </c>
    </row>
    <row r="35" spans="1:237" x14ac:dyDescent="0.2">
      <c r="A35" s="6">
        <v>45748.386446759258</v>
      </c>
      <c r="B35" s="6">
        <v>45748.400636574072</v>
      </c>
      <c r="C35" s="7" t="s">
        <v>240</v>
      </c>
      <c r="D35" s="7" t="s">
        <v>686</v>
      </c>
      <c r="E35">
        <v>100</v>
      </c>
      <c r="F35">
        <v>1225</v>
      </c>
      <c r="G35" s="7" t="s">
        <v>280</v>
      </c>
      <c r="H35" s="6">
        <v>45748.400650972224</v>
      </c>
      <c r="I35" s="7" t="s">
        <v>687</v>
      </c>
      <c r="J35" s="7" t="s">
        <v>282</v>
      </c>
      <c r="K35" s="7" t="s">
        <v>282</v>
      </c>
      <c r="L35" s="7" t="s">
        <v>282</v>
      </c>
      <c r="M35" s="7" t="s">
        <v>282</v>
      </c>
      <c r="N35">
        <v>-38.221400000000003</v>
      </c>
      <c r="O35">
        <v>145.30779999999999</v>
      </c>
      <c r="P35" s="7" t="s">
        <v>283</v>
      </c>
      <c r="Q35" s="7" t="s">
        <v>284</v>
      </c>
      <c r="R35">
        <v>0.80000001192092896</v>
      </c>
      <c r="S35" s="7" t="s">
        <v>285</v>
      </c>
      <c r="T35" s="7" t="s">
        <v>285</v>
      </c>
      <c r="U35" s="7" t="s">
        <v>285</v>
      </c>
      <c r="V35" s="7" t="s">
        <v>285</v>
      </c>
      <c r="W35" s="7" t="s">
        <v>688</v>
      </c>
      <c r="X35" s="7" t="s">
        <v>328</v>
      </c>
      <c r="Y35" s="7" t="s">
        <v>288</v>
      </c>
      <c r="Z35" s="7" t="s">
        <v>289</v>
      </c>
      <c r="AA35" s="7" t="s">
        <v>289</v>
      </c>
      <c r="AB35" s="7" t="s">
        <v>317</v>
      </c>
      <c r="AC35" s="7" t="s">
        <v>291</v>
      </c>
      <c r="AD35" s="7" t="s">
        <v>296</v>
      </c>
      <c r="AE35">
        <v>4.4989999999999997</v>
      </c>
      <c r="AF35">
        <v>21.068000000000001</v>
      </c>
      <c r="AG35">
        <v>22.032</v>
      </c>
      <c r="AH35">
        <v>9</v>
      </c>
      <c r="AI35" s="7" t="s">
        <v>293</v>
      </c>
      <c r="AJ35" s="7" t="s">
        <v>296</v>
      </c>
      <c r="AK35">
        <v>4.7709999999999999</v>
      </c>
      <c r="AL35">
        <v>15.807</v>
      </c>
      <c r="AM35">
        <v>16.634</v>
      </c>
      <c r="AN35">
        <v>7</v>
      </c>
      <c r="AO35" s="7" t="s">
        <v>293</v>
      </c>
      <c r="AP35" s="7" t="s">
        <v>296</v>
      </c>
      <c r="AQ35">
        <v>6.2869999999999999</v>
      </c>
      <c r="AR35">
        <v>12.753</v>
      </c>
      <c r="AS35">
        <v>13.829000000000001</v>
      </c>
      <c r="AT35">
        <v>5</v>
      </c>
      <c r="AU35" s="7" t="s">
        <v>295</v>
      </c>
      <c r="AV35" s="7" t="s">
        <v>292</v>
      </c>
      <c r="AW35">
        <v>3.0289999999999999</v>
      </c>
      <c r="AX35">
        <v>14.715</v>
      </c>
      <c r="AY35">
        <v>16.068000000000001</v>
      </c>
      <c r="AZ35">
        <v>7</v>
      </c>
      <c r="BA35" s="7" t="s">
        <v>295</v>
      </c>
      <c r="BB35" s="7" t="s">
        <v>297</v>
      </c>
      <c r="BC35">
        <v>4.0179999999999998</v>
      </c>
      <c r="BD35">
        <v>17.189</v>
      </c>
      <c r="BE35">
        <v>18.782</v>
      </c>
      <c r="BF35">
        <v>8</v>
      </c>
      <c r="BG35" s="7" t="s">
        <v>291</v>
      </c>
      <c r="BH35" s="7" t="s">
        <v>297</v>
      </c>
      <c r="BI35">
        <v>4.8220000000000001</v>
      </c>
      <c r="BJ35">
        <v>68.519000000000005</v>
      </c>
      <c r="BK35">
        <v>70.87</v>
      </c>
      <c r="BL35">
        <v>12</v>
      </c>
      <c r="BM35" s="7" t="s">
        <v>293</v>
      </c>
      <c r="BN35" s="7" t="s">
        <v>296</v>
      </c>
      <c r="BO35">
        <v>3.9860000000000002</v>
      </c>
      <c r="BP35">
        <v>16.381</v>
      </c>
      <c r="BQ35">
        <v>18.244</v>
      </c>
      <c r="BR35">
        <v>7</v>
      </c>
      <c r="BS35" s="7" t="s">
        <v>293</v>
      </c>
      <c r="BT35" s="7" t="s">
        <v>292</v>
      </c>
      <c r="BU35">
        <v>10.202999999999999</v>
      </c>
      <c r="BV35">
        <v>17.309999999999999</v>
      </c>
      <c r="BW35">
        <v>18.844999999999999</v>
      </c>
      <c r="BX35">
        <v>7</v>
      </c>
      <c r="BY35" s="7" t="s">
        <v>299</v>
      </c>
      <c r="BZ35" s="7" t="s">
        <v>297</v>
      </c>
      <c r="CA35">
        <v>3.0609999999999999</v>
      </c>
      <c r="CB35">
        <v>33.85</v>
      </c>
      <c r="CC35">
        <v>35.761000000000003</v>
      </c>
      <c r="CD35">
        <v>14</v>
      </c>
      <c r="CE35" s="7" t="s">
        <v>298</v>
      </c>
      <c r="CF35" s="7" t="s">
        <v>292</v>
      </c>
      <c r="CG35">
        <v>10.398</v>
      </c>
      <c r="CH35">
        <v>15.281000000000001</v>
      </c>
      <c r="CI35">
        <v>16.170000000000002</v>
      </c>
      <c r="CJ35">
        <v>6</v>
      </c>
      <c r="CK35" s="7" t="s">
        <v>291</v>
      </c>
      <c r="CL35" s="7" t="s">
        <v>296</v>
      </c>
      <c r="CM35">
        <v>3.0110000000000001</v>
      </c>
      <c r="CN35">
        <v>13.253</v>
      </c>
      <c r="CO35">
        <v>14.523</v>
      </c>
      <c r="CP35">
        <v>5</v>
      </c>
      <c r="CQ35" s="7" t="s">
        <v>293</v>
      </c>
      <c r="CR35" s="7" t="s">
        <v>292</v>
      </c>
      <c r="CS35">
        <v>3.5830000000000002</v>
      </c>
      <c r="CT35">
        <v>26.986999999999998</v>
      </c>
      <c r="CU35">
        <v>27.911999999999999</v>
      </c>
      <c r="CV35">
        <v>15</v>
      </c>
      <c r="CW35" s="7" t="s">
        <v>299</v>
      </c>
      <c r="CX35" s="7" t="s">
        <v>292</v>
      </c>
      <c r="CY35">
        <v>4.9189999999999996</v>
      </c>
      <c r="CZ35">
        <v>34.164000000000001</v>
      </c>
      <c r="DA35">
        <v>37.149000000000001</v>
      </c>
      <c r="DB35">
        <v>14</v>
      </c>
      <c r="DC35" s="7" t="s">
        <v>299</v>
      </c>
      <c r="DD35" s="7" t="s">
        <v>296</v>
      </c>
      <c r="DE35">
        <v>5.96</v>
      </c>
      <c r="DF35">
        <v>25.51</v>
      </c>
      <c r="DG35">
        <v>28.768000000000001</v>
      </c>
      <c r="DH35">
        <v>9</v>
      </c>
      <c r="DI35" s="7" t="s">
        <v>298</v>
      </c>
      <c r="DJ35" s="7" t="s">
        <v>297</v>
      </c>
      <c r="DK35">
        <v>2.673</v>
      </c>
      <c r="DL35">
        <v>38.533000000000001</v>
      </c>
      <c r="DM35">
        <v>39.401000000000003</v>
      </c>
      <c r="DN35">
        <v>11</v>
      </c>
      <c r="DO35" s="7" t="s">
        <v>291</v>
      </c>
      <c r="DP35" s="7" t="s">
        <v>296</v>
      </c>
      <c r="DQ35">
        <v>3.4220000000000002</v>
      </c>
      <c r="DR35">
        <v>15.954000000000001</v>
      </c>
      <c r="DS35">
        <v>17.681000000000001</v>
      </c>
      <c r="DT35">
        <v>9</v>
      </c>
      <c r="DU35" s="7" t="s">
        <v>293</v>
      </c>
      <c r="DV35" s="7" t="s">
        <v>296</v>
      </c>
      <c r="DW35">
        <v>4.7320000000000002</v>
      </c>
      <c r="DX35">
        <v>19.047999999999998</v>
      </c>
      <c r="DY35">
        <v>19.701000000000001</v>
      </c>
      <c r="DZ35">
        <v>9</v>
      </c>
      <c r="EA35" s="7" t="s">
        <v>299</v>
      </c>
      <c r="EB35" s="7" t="s">
        <v>296</v>
      </c>
      <c r="EC35">
        <v>5.5469999999999997</v>
      </c>
      <c r="ED35">
        <v>13.465</v>
      </c>
      <c r="EE35">
        <v>14.173999999999999</v>
      </c>
      <c r="EF35">
        <v>6</v>
      </c>
      <c r="EG35" s="7" t="s">
        <v>299</v>
      </c>
      <c r="EH35" s="7" t="s">
        <v>296</v>
      </c>
      <c r="EI35">
        <v>3.88</v>
      </c>
      <c r="EJ35">
        <v>19.396000000000001</v>
      </c>
      <c r="EK35">
        <v>20.346</v>
      </c>
      <c r="EL35">
        <v>9</v>
      </c>
      <c r="EM35" s="7" t="s">
        <v>299</v>
      </c>
      <c r="EN35" s="7" t="s">
        <v>297</v>
      </c>
      <c r="EO35">
        <v>5.86</v>
      </c>
      <c r="EP35">
        <v>30.64</v>
      </c>
      <c r="EQ35">
        <v>32.027999999999999</v>
      </c>
      <c r="ER35">
        <v>9</v>
      </c>
      <c r="ES35" s="7" t="s">
        <v>291</v>
      </c>
      <c r="ET35" s="7" t="s">
        <v>294</v>
      </c>
      <c r="EU35">
        <v>1.9710000000000001</v>
      </c>
      <c r="EV35">
        <v>12.385999999999999</v>
      </c>
      <c r="EW35">
        <v>13.227</v>
      </c>
      <c r="EX35">
        <v>7</v>
      </c>
      <c r="EY35" s="7" t="s">
        <v>300</v>
      </c>
      <c r="EZ35" s="7" t="s">
        <v>294</v>
      </c>
      <c r="FA35">
        <v>1.9790000000000001</v>
      </c>
      <c r="FB35">
        <v>9.9830000000000005</v>
      </c>
      <c r="FC35">
        <v>10.69</v>
      </c>
      <c r="FD35">
        <v>8</v>
      </c>
      <c r="FE35" s="7" t="s">
        <v>301</v>
      </c>
      <c r="FF35" s="7" t="s">
        <v>296</v>
      </c>
      <c r="FG35">
        <v>5.8440000000000003</v>
      </c>
      <c r="FH35">
        <v>10.565</v>
      </c>
      <c r="FI35">
        <v>11.223000000000001</v>
      </c>
      <c r="FJ35">
        <v>7</v>
      </c>
      <c r="FK35" s="7" t="s">
        <v>291</v>
      </c>
      <c r="FL35" s="7" t="s">
        <v>294</v>
      </c>
      <c r="FM35">
        <v>1.911</v>
      </c>
      <c r="FN35">
        <v>10.798999999999999</v>
      </c>
      <c r="FO35">
        <v>11.510999999999999</v>
      </c>
      <c r="FP35">
        <v>6</v>
      </c>
      <c r="FQ35" s="7" t="s">
        <v>300</v>
      </c>
      <c r="FR35" s="7" t="s">
        <v>294</v>
      </c>
      <c r="FS35">
        <v>2.8029999999999999</v>
      </c>
      <c r="FT35">
        <v>14.28</v>
      </c>
      <c r="FU35">
        <v>15.098000000000001</v>
      </c>
      <c r="FV35">
        <v>8</v>
      </c>
      <c r="FW35" s="7" t="s">
        <v>301</v>
      </c>
      <c r="FX35" s="7" t="s">
        <v>296</v>
      </c>
      <c r="FY35">
        <v>2.3050000000000002</v>
      </c>
      <c r="FZ35">
        <v>15.103</v>
      </c>
      <c r="GA35">
        <v>15.48</v>
      </c>
      <c r="GB35">
        <v>10</v>
      </c>
      <c r="GC35" s="7" t="s">
        <v>291</v>
      </c>
      <c r="GD35" s="7" t="s">
        <v>292</v>
      </c>
      <c r="GE35">
        <v>7.2270000000000003</v>
      </c>
      <c r="GF35">
        <v>26.806000000000001</v>
      </c>
      <c r="GG35">
        <v>29.216000000000001</v>
      </c>
      <c r="GH35">
        <v>9</v>
      </c>
      <c r="GI35" s="7" t="s">
        <v>300</v>
      </c>
      <c r="GJ35" s="7" t="s">
        <v>294</v>
      </c>
      <c r="GK35">
        <v>6.577</v>
      </c>
      <c r="GL35">
        <v>10.92</v>
      </c>
      <c r="GM35">
        <v>11.429</v>
      </c>
      <c r="GN35">
        <v>5</v>
      </c>
      <c r="GO35" s="7" t="s">
        <v>301</v>
      </c>
      <c r="GP35" s="7" t="s">
        <v>292</v>
      </c>
      <c r="GQ35">
        <v>2.4049999999999998</v>
      </c>
      <c r="GR35">
        <v>12.233000000000001</v>
      </c>
      <c r="GS35">
        <v>12.672000000000001</v>
      </c>
      <c r="GT35">
        <v>7</v>
      </c>
      <c r="GU35" s="7" t="s">
        <v>291</v>
      </c>
      <c r="GV35" s="7" t="s">
        <v>296</v>
      </c>
      <c r="GW35">
        <v>4.9050000000000002</v>
      </c>
      <c r="GX35">
        <v>8.9149999999999991</v>
      </c>
      <c r="GY35">
        <v>9.9659999999999993</v>
      </c>
      <c r="GZ35">
        <v>5</v>
      </c>
      <c r="HA35" s="7" t="s">
        <v>300</v>
      </c>
      <c r="HB35" s="7" t="s">
        <v>294</v>
      </c>
      <c r="HC35">
        <v>3.1</v>
      </c>
      <c r="HD35">
        <v>11.135</v>
      </c>
      <c r="HE35">
        <v>12.010999999999999</v>
      </c>
      <c r="HF35">
        <v>6</v>
      </c>
      <c r="HG35" s="7" t="s">
        <v>282</v>
      </c>
      <c r="HH35" s="7" t="s">
        <v>292</v>
      </c>
      <c r="HI35">
        <v>1.8720000000000001</v>
      </c>
      <c r="HJ35">
        <v>13.766999999999999</v>
      </c>
      <c r="HK35">
        <v>14.88</v>
      </c>
      <c r="HL35">
        <v>8</v>
      </c>
      <c r="HM35" s="7" t="s">
        <v>689</v>
      </c>
      <c r="HN35" s="7" t="s">
        <v>690</v>
      </c>
      <c r="HO35" s="7" t="s">
        <v>691</v>
      </c>
      <c r="HP35" s="7" t="s">
        <v>690</v>
      </c>
      <c r="HQ35" s="7" t="s">
        <v>361</v>
      </c>
      <c r="HR35" s="7" t="s">
        <v>692</v>
      </c>
      <c r="HS35" s="7" t="s">
        <v>693</v>
      </c>
      <c r="HT35" s="7" t="s">
        <v>690</v>
      </c>
      <c r="HU35" s="7" t="s">
        <v>694</v>
      </c>
      <c r="HV35" s="7" t="s">
        <v>690</v>
      </c>
      <c r="HW35" s="7" t="s">
        <v>282</v>
      </c>
      <c r="HX35" s="7" t="s">
        <v>282</v>
      </c>
      <c r="HY35" s="7" t="s">
        <v>312</v>
      </c>
      <c r="HZ35" s="7" t="s">
        <v>372</v>
      </c>
      <c r="IA35" s="7" t="s">
        <v>325</v>
      </c>
      <c r="IB35" s="7" t="s">
        <v>282</v>
      </c>
      <c r="IC35" s="7" t="s">
        <v>282</v>
      </c>
    </row>
    <row r="36" spans="1:237" x14ac:dyDescent="0.2">
      <c r="A36" s="6">
        <v>45748.403402777774</v>
      </c>
      <c r="B36" s="6">
        <v>45748.415752314817</v>
      </c>
      <c r="C36" s="7" t="s">
        <v>240</v>
      </c>
      <c r="D36" s="7" t="s">
        <v>695</v>
      </c>
      <c r="E36">
        <v>100</v>
      </c>
      <c r="F36">
        <v>1067</v>
      </c>
      <c r="G36" s="7" t="s">
        <v>280</v>
      </c>
      <c r="H36" s="6">
        <v>45748.415768263891</v>
      </c>
      <c r="I36" s="7" t="s">
        <v>696</v>
      </c>
      <c r="J36" s="7" t="s">
        <v>282</v>
      </c>
      <c r="K36" s="7" t="s">
        <v>282</v>
      </c>
      <c r="L36" s="7" t="s">
        <v>282</v>
      </c>
      <c r="M36" s="7" t="s">
        <v>282</v>
      </c>
      <c r="N36">
        <v>-37.815899999999999</v>
      </c>
      <c r="O36">
        <v>144.96690000000001</v>
      </c>
      <c r="P36" s="7" t="s">
        <v>283</v>
      </c>
      <c r="Q36" s="7" t="s">
        <v>284</v>
      </c>
      <c r="R36">
        <v>1</v>
      </c>
      <c r="S36" s="7" t="s">
        <v>285</v>
      </c>
      <c r="T36" s="7" t="s">
        <v>285</v>
      </c>
      <c r="U36" s="7" t="s">
        <v>285</v>
      </c>
      <c r="V36" s="7" t="s">
        <v>285</v>
      </c>
      <c r="W36" s="7" t="s">
        <v>412</v>
      </c>
      <c r="X36" s="7" t="s">
        <v>375</v>
      </c>
      <c r="Y36" s="7" t="s">
        <v>288</v>
      </c>
      <c r="Z36" s="7" t="s">
        <v>317</v>
      </c>
      <c r="AA36" s="7" t="s">
        <v>288</v>
      </c>
      <c r="AB36" s="7" t="s">
        <v>290</v>
      </c>
      <c r="AC36" s="7" t="s">
        <v>291</v>
      </c>
      <c r="AD36" s="7" t="s">
        <v>297</v>
      </c>
      <c r="AE36">
        <v>0.433</v>
      </c>
      <c r="AF36">
        <v>9.8780000000000001</v>
      </c>
      <c r="AG36">
        <v>10.362</v>
      </c>
      <c r="AH36">
        <v>7</v>
      </c>
      <c r="AI36" s="7" t="s">
        <v>299</v>
      </c>
      <c r="AJ36" s="7" t="s">
        <v>292</v>
      </c>
      <c r="AK36">
        <v>0.57599999999999996</v>
      </c>
      <c r="AL36">
        <v>17.079999999999998</v>
      </c>
      <c r="AM36">
        <v>17.745999999999999</v>
      </c>
      <c r="AN36">
        <v>9</v>
      </c>
      <c r="AO36" s="7" t="s">
        <v>293</v>
      </c>
      <c r="AP36" s="7" t="s">
        <v>296</v>
      </c>
      <c r="AQ36">
        <v>0.8</v>
      </c>
      <c r="AR36">
        <v>12.675000000000001</v>
      </c>
      <c r="AS36">
        <v>13.000999999999999</v>
      </c>
      <c r="AT36">
        <v>8</v>
      </c>
      <c r="AU36" s="7" t="s">
        <v>295</v>
      </c>
      <c r="AV36" s="7" t="s">
        <v>292</v>
      </c>
      <c r="AW36">
        <v>0.625</v>
      </c>
      <c r="AX36">
        <v>10.132999999999999</v>
      </c>
      <c r="AY36">
        <v>10.491</v>
      </c>
      <c r="AZ36">
        <v>8</v>
      </c>
      <c r="BA36" s="7" t="s">
        <v>295</v>
      </c>
      <c r="BB36" s="7" t="s">
        <v>297</v>
      </c>
      <c r="BC36">
        <v>0.184</v>
      </c>
      <c r="BD36">
        <v>12.068</v>
      </c>
      <c r="BE36">
        <v>12.082000000000001</v>
      </c>
      <c r="BF36">
        <v>8</v>
      </c>
      <c r="BG36" s="7" t="s">
        <v>299</v>
      </c>
      <c r="BH36" s="7" t="s">
        <v>292</v>
      </c>
      <c r="BI36">
        <v>0.57699999999999996</v>
      </c>
      <c r="BJ36">
        <v>21.989000000000001</v>
      </c>
      <c r="BK36">
        <v>22.282</v>
      </c>
      <c r="BL36">
        <v>11</v>
      </c>
      <c r="BM36" s="7" t="s">
        <v>293</v>
      </c>
      <c r="BN36" s="7" t="s">
        <v>292</v>
      </c>
      <c r="BO36">
        <v>0.128</v>
      </c>
      <c r="BP36">
        <v>21.576000000000001</v>
      </c>
      <c r="BQ36">
        <v>22.056999999999999</v>
      </c>
      <c r="BR36">
        <v>13</v>
      </c>
      <c r="BS36" s="7" t="s">
        <v>291</v>
      </c>
      <c r="BT36" s="7" t="s">
        <v>292</v>
      </c>
      <c r="BU36">
        <v>0.58599999999999997</v>
      </c>
      <c r="BV36">
        <v>10.659000000000001</v>
      </c>
      <c r="BW36">
        <v>11.159000000000001</v>
      </c>
      <c r="BX36">
        <v>7</v>
      </c>
      <c r="BY36" s="7" t="s">
        <v>295</v>
      </c>
      <c r="BZ36" s="7" t="s">
        <v>330</v>
      </c>
      <c r="CA36">
        <v>5.0739999999999998</v>
      </c>
      <c r="CB36">
        <v>15.686999999999999</v>
      </c>
      <c r="CC36">
        <v>16.667999999999999</v>
      </c>
      <c r="CD36">
        <v>8</v>
      </c>
      <c r="CE36" s="7" t="s">
        <v>298</v>
      </c>
      <c r="CF36" s="7" t="s">
        <v>292</v>
      </c>
      <c r="CG36">
        <v>0.308</v>
      </c>
      <c r="CH36">
        <v>13.926</v>
      </c>
      <c r="CI36">
        <v>14.939</v>
      </c>
      <c r="CJ36">
        <v>9</v>
      </c>
      <c r="CK36" s="7" t="s">
        <v>291</v>
      </c>
      <c r="CL36" s="7" t="s">
        <v>297</v>
      </c>
      <c r="CM36">
        <v>0.78900000000000003</v>
      </c>
      <c r="CN36">
        <v>22.202999999999999</v>
      </c>
      <c r="CO36">
        <v>22.550999999999998</v>
      </c>
      <c r="CP36">
        <v>13</v>
      </c>
      <c r="CQ36" s="7" t="s">
        <v>293</v>
      </c>
      <c r="CR36" s="7" t="s">
        <v>292</v>
      </c>
      <c r="CS36">
        <v>0.89600000000000002</v>
      </c>
      <c r="CT36">
        <v>51.694000000000003</v>
      </c>
      <c r="CU36">
        <v>51.984999999999999</v>
      </c>
      <c r="CV36">
        <v>18</v>
      </c>
      <c r="CW36" s="7" t="s">
        <v>291</v>
      </c>
      <c r="CX36" s="7" t="s">
        <v>296</v>
      </c>
      <c r="CY36">
        <v>0.71499999999999997</v>
      </c>
      <c r="CZ36">
        <v>16.521000000000001</v>
      </c>
      <c r="DA36">
        <v>16.814</v>
      </c>
      <c r="DB36">
        <v>13</v>
      </c>
      <c r="DC36" s="7" t="s">
        <v>295</v>
      </c>
      <c r="DD36" s="7" t="s">
        <v>297</v>
      </c>
      <c r="DE36">
        <v>0.61599999999999999</v>
      </c>
      <c r="DF36">
        <v>14.644</v>
      </c>
      <c r="DG36">
        <v>15.265000000000001</v>
      </c>
      <c r="DH36">
        <v>8</v>
      </c>
      <c r="DI36" s="7" t="s">
        <v>298</v>
      </c>
      <c r="DJ36" s="7" t="s">
        <v>297</v>
      </c>
      <c r="DK36">
        <v>0.63</v>
      </c>
      <c r="DL36">
        <v>11.693</v>
      </c>
      <c r="DM36">
        <v>12.24</v>
      </c>
      <c r="DN36">
        <v>5</v>
      </c>
      <c r="DO36" s="7" t="s">
        <v>291</v>
      </c>
      <c r="DP36" s="7" t="s">
        <v>292</v>
      </c>
      <c r="DQ36">
        <v>0.58099999999999996</v>
      </c>
      <c r="DR36">
        <v>10.419</v>
      </c>
      <c r="DS36">
        <v>10.949</v>
      </c>
      <c r="DT36">
        <v>5</v>
      </c>
      <c r="DU36" s="7" t="s">
        <v>293</v>
      </c>
      <c r="DV36" s="7" t="s">
        <v>296</v>
      </c>
      <c r="DW36">
        <v>0.57299999999999995</v>
      </c>
      <c r="DX36">
        <v>11.973000000000001</v>
      </c>
      <c r="DY36">
        <v>12.602</v>
      </c>
      <c r="DZ36">
        <v>9</v>
      </c>
      <c r="EA36" s="7" t="s">
        <v>291</v>
      </c>
      <c r="EB36" s="7" t="s">
        <v>297</v>
      </c>
      <c r="EC36">
        <v>0.54300000000000004</v>
      </c>
      <c r="ED36">
        <v>39.89</v>
      </c>
      <c r="EE36">
        <v>40.201000000000001</v>
      </c>
      <c r="EF36">
        <v>13</v>
      </c>
      <c r="EG36" s="7" t="s">
        <v>295</v>
      </c>
      <c r="EH36" s="7" t="s">
        <v>297</v>
      </c>
      <c r="EI36">
        <v>0.58099999999999996</v>
      </c>
      <c r="EJ36">
        <v>30.385000000000002</v>
      </c>
      <c r="EK36">
        <v>30.800999999999998</v>
      </c>
      <c r="EL36">
        <v>13</v>
      </c>
      <c r="EM36" s="7" t="s">
        <v>298</v>
      </c>
      <c r="EN36" s="7" t="s">
        <v>292</v>
      </c>
      <c r="EO36">
        <v>5.8319999999999999</v>
      </c>
      <c r="EP36">
        <v>13.612</v>
      </c>
      <c r="EQ36">
        <v>13.923999999999999</v>
      </c>
      <c r="ER36">
        <v>6</v>
      </c>
      <c r="ES36" s="7" t="s">
        <v>291</v>
      </c>
      <c r="ET36" s="7" t="s">
        <v>296</v>
      </c>
      <c r="EU36">
        <v>0.78400000000000003</v>
      </c>
      <c r="EV36">
        <v>15.407999999999999</v>
      </c>
      <c r="EW36">
        <v>15.682</v>
      </c>
      <c r="EX36">
        <v>11</v>
      </c>
      <c r="EY36" s="7" t="s">
        <v>300</v>
      </c>
      <c r="EZ36" s="7" t="s">
        <v>294</v>
      </c>
      <c r="FA36">
        <v>0.83499999999999996</v>
      </c>
      <c r="FB36">
        <v>42.951999999999998</v>
      </c>
      <c r="FC36">
        <v>43.686999999999998</v>
      </c>
      <c r="FD36">
        <v>24</v>
      </c>
      <c r="FE36" s="7" t="s">
        <v>301</v>
      </c>
      <c r="FF36" s="7" t="s">
        <v>296</v>
      </c>
      <c r="FG36">
        <v>12.502000000000001</v>
      </c>
      <c r="FH36">
        <v>17.221</v>
      </c>
      <c r="FI36">
        <v>17.721</v>
      </c>
      <c r="FJ36">
        <v>4</v>
      </c>
      <c r="FK36" s="7" t="s">
        <v>291</v>
      </c>
      <c r="FL36" s="7" t="s">
        <v>296</v>
      </c>
      <c r="FM36">
        <v>7.8460000000000001</v>
      </c>
      <c r="FN36">
        <v>16.638999999999999</v>
      </c>
      <c r="FO36">
        <v>17.416</v>
      </c>
      <c r="FP36">
        <v>7</v>
      </c>
      <c r="FQ36" s="7" t="s">
        <v>300</v>
      </c>
      <c r="FR36" s="7" t="s">
        <v>294</v>
      </c>
      <c r="FS36">
        <v>0.66900000000000004</v>
      </c>
      <c r="FT36">
        <v>10.58</v>
      </c>
      <c r="FU36">
        <v>11.5</v>
      </c>
      <c r="FV36">
        <v>7</v>
      </c>
      <c r="FW36" s="7" t="s">
        <v>301</v>
      </c>
      <c r="FX36" s="7" t="s">
        <v>296</v>
      </c>
      <c r="FY36">
        <v>0.66700000000000004</v>
      </c>
      <c r="FZ36">
        <v>9.4179999999999993</v>
      </c>
      <c r="GA36">
        <v>9.86</v>
      </c>
      <c r="GB36">
        <v>7</v>
      </c>
      <c r="GC36" s="7" t="s">
        <v>291</v>
      </c>
      <c r="GD36" s="7" t="s">
        <v>296</v>
      </c>
      <c r="GE36">
        <v>0.873</v>
      </c>
      <c r="GF36">
        <v>9.5579999999999998</v>
      </c>
      <c r="GG36">
        <v>10.021000000000001</v>
      </c>
      <c r="GH36">
        <v>8</v>
      </c>
      <c r="GI36" s="7" t="s">
        <v>300</v>
      </c>
      <c r="GJ36" s="7" t="s">
        <v>294</v>
      </c>
      <c r="GK36">
        <v>7.9820000000000002</v>
      </c>
      <c r="GL36">
        <v>15.516999999999999</v>
      </c>
      <c r="GM36">
        <v>16.117000000000001</v>
      </c>
      <c r="GN36">
        <v>10</v>
      </c>
      <c r="GO36" s="7" t="s">
        <v>301</v>
      </c>
      <c r="GP36" s="7" t="s">
        <v>297</v>
      </c>
      <c r="GQ36">
        <v>8.5999999999999993E-2</v>
      </c>
      <c r="GR36">
        <v>10.849</v>
      </c>
      <c r="GS36">
        <v>11.537000000000001</v>
      </c>
      <c r="GT36">
        <v>10</v>
      </c>
      <c r="GU36" s="7" t="s">
        <v>291</v>
      </c>
      <c r="GV36" s="7" t="s">
        <v>296</v>
      </c>
      <c r="GW36">
        <v>0.98199999999999998</v>
      </c>
      <c r="GX36">
        <v>15.313000000000001</v>
      </c>
      <c r="GY36">
        <v>15.589</v>
      </c>
      <c r="GZ36">
        <v>10</v>
      </c>
      <c r="HA36" s="7" t="s">
        <v>300</v>
      </c>
      <c r="HB36" s="7" t="s">
        <v>294</v>
      </c>
      <c r="HC36">
        <v>0.65900000000000003</v>
      </c>
      <c r="HD36">
        <v>9.4640000000000004</v>
      </c>
      <c r="HE36">
        <v>9.8559999999999999</v>
      </c>
      <c r="HF36">
        <v>5</v>
      </c>
      <c r="HG36" s="7" t="s">
        <v>291</v>
      </c>
      <c r="HH36" s="7" t="s">
        <v>292</v>
      </c>
      <c r="HI36">
        <v>2.6909999999999998</v>
      </c>
      <c r="HJ36">
        <v>16.419</v>
      </c>
      <c r="HK36">
        <v>16.600000000000001</v>
      </c>
      <c r="HL36">
        <v>6</v>
      </c>
      <c r="HM36" s="7" t="s">
        <v>697</v>
      </c>
      <c r="HN36" s="7" t="s">
        <v>698</v>
      </c>
      <c r="HO36" s="7" t="s">
        <v>699</v>
      </c>
      <c r="HP36" s="7" t="s">
        <v>699</v>
      </c>
      <c r="HQ36" s="7" t="s">
        <v>700</v>
      </c>
      <c r="HR36" s="7" t="s">
        <v>701</v>
      </c>
      <c r="HS36" s="7" t="s">
        <v>702</v>
      </c>
      <c r="HT36" s="7" t="s">
        <v>703</v>
      </c>
      <c r="HU36" s="7" t="s">
        <v>704</v>
      </c>
      <c r="HV36" s="7" t="s">
        <v>704</v>
      </c>
      <c r="HW36" s="7" t="s">
        <v>282</v>
      </c>
      <c r="HX36" s="7" t="s">
        <v>282</v>
      </c>
      <c r="HY36" s="7" t="s">
        <v>312</v>
      </c>
      <c r="HZ36" s="7" t="s">
        <v>356</v>
      </c>
      <c r="IA36" s="7" t="s">
        <v>313</v>
      </c>
      <c r="IB36" s="7" t="s">
        <v>282</v>
      </c>
      <c r="IC36" s="7" t="s">
        <v>282</v>
      </c>
    </row>
    <row r="37" spans="1:237" x14ac:dyDescent="0.2">
      <c r="A37" s="6">
        <v>45748.362083333333</v>
      </c>
      <c r="B37" s="6">
        <v>45748.428854166668</v>
      </c>
      <c r="C37" s="7" t="s">
        <v>240</v>
      </c>
      <c r="D37" s="7" t="s">
        <v>705</v>
      </c>
      <c r="E37">
        <v>100</v>
      </c>
      <c r="F37">
        <v>5769</v>
      </c>
      <c r="G37" s="7" t="s">
        <v>280</v>
      </c>
      <c r="H37" s="6">
        <v>45748.428873680554</v>
      </c>
      <c r="I37" s="7" t="s">
        <v>706</v>
      </c>
      <c r="J37" s="7" t="s">
        <v>282</v>
      </c>
      <c r="K37" s="7" t="s">
        <v>282</v>
      </c>
      <c r="L37" s="7" t="s">
        <v>282</v>
      </c>
      <c r="M37" s="7" t="s">
        <v>282</v>
      </c>
      <c r="N37">
        <v>-37.666200000000003</v>
      </c>
      <c r="O37">
        <v>145.0181</v>
      </c>
      <c r="P37" s="7" t="s">
        <v>283</v>
      </c>
      <c r="Q37" s="7" t="s">
        <v>284</v>
      </c>
      <c r="R37">
        <v>0.69999998807907104</v>
      </c>
      <c r="S37" s="7" t="s">
        <v>285</v>
      </c>
      <c r="T37" s="7" t="s">
        <v>285</v>
      </c>
      <c r="U37" s="7" t="s">
        <v>285</v>
      </c>
      <c r="V37" s="7" t="s">
        <v>285</v>
      </c>
      <c r="W37" s="7" t="s">
        <v>286</v>
      </c>
      <c r="X37" s="7" t="s">
        <v>502</v>
      </c>
      <c r="Y37" s="7" t="s">
        <v>288</v>
      </c>
      <c r="Z37" s="7" t="s">
        <v>329</v>
      </c>
      <c r="AA37" s="7" t="s">
        <v>329</v>
      </c>
      <c r="AB37" s="7" t="s">
        <v>289</v>
      </c>
      <c r="AC37" s="7" t="s">
        <v>291</v>
      </c>
      <c r="AD37" s="7" t="s">
        <v>294</v>
      </c>
      <c r="AE37">
        <v>10.265000000000001</v>
      </c>
      <c r="AF37">
        <v>12.37</v>
      </c>
      <c r="AG37">
        <v>13.053000000000001</v>
      </c>
      <c r="AH37">
        <v>2</v>
      </c>
      <c r="AI37" s="7" t="s">
        <v>293</v>
      </c>
      <c r="AJ37" s="7" t="s">
        <v>296</v>
      </c>
      <c r="AK37">
        <v>9.9459999999999997</v>
      </c>
      <c r="AL37">
        <v>11.48</v>
      </c>
      <c r="AM37">
        <v>12.24</v>
      </c>
      <c r="AN37">
        <v>2</v>
      </c>
      <c r="AO37" s="7" t="s">
        <v>293</v>
      </c>
      <c r="AP37" s="7" t="s">
        <v>292</v>
      </c>
      <c r="AQ37">
        <v>9.0540000000000003</v>
      </c>
      <c r="AR37">
        <v>12.295999999999999</v>
      </c>
      <c r="AS37">
        <v>13.006</v>
      </c>
      <c r="AT37">
        <v>2</v>
      </c>
      <c r="AU37" s="7" t="s">
        <v>295</v>
      </c>
      <c r="AV37" s="7" t="s">
        <v>294</v>
      </c>
      <c r="AW37">
        <v>7.8540000000000001</v>
      </c>
      <c r="AX37">
        <v>9.6199999999999992</v>
      </c>
      <c r="AY37">
        <v>10.304</v>
      </c>
      <c r="AZ37">
        <v>2</v>
      </c>
      <c r="BA37" s="7" t="s">
        <v>295</v>
      </c>
      <c r="BB37" s="7" t="s">
        <v>296</v>
      </c>
      <c r="BC37">
        <v>11.122999999999999</v>
      </c>
      <c r="BD37">
        <v>13.787000000000001</v>
      </c>
      <c r="BE37">
        <v>14.547000000000001</v>
      </c>
      <c r="BF37">
        <v>2</v>
      </c>
      <c r="BG37" s="7" t="s">
        <v>291</v>
      </c>
      <c r="BH37" s="7" t="s">
        <v>294</v>
      </c>
      <c r="BI37">
        <v>11.058999999999999</v>
      </c>
      <c r="BJ37">
        <v>13.117000000000001</v>
      </c>
      <c r="BK37">
        <v>13.801</v>
      </c>
      <c r="BL37">
        <v>2</v>
      </c>
      <c r="BM37" s="7" t="s">
        <v>293</v>
      </c>
      <c r="BN37" s="7" t="s">
        <v>296</v>
      </c>
      <c r="BO37">
        <v>11.631</v>
      </c>
      <c r="BP37">
        <v>16.132999999999999</v>
      </c>
      <c r="BQ37">
        <v>16.837</v>
      </c>
      <c r="BR37">
        <v>2</v>
      </c>
      <c r="BS37" s="7" t="s">
        <v>299</v>
      </c>
      <c r="BT37" s="7" t="s">
        <v>292</v>
      </c>
      <c r="BU37">
        <v>9.0129999999999999</v>
      </c>
      <c r="BV37">
        <v>10.593999999999999</v>
      </c>
      <c r="BW37">
        <v>11.43</v>
      </c>
      <c r="BX37">
        <v>2</v>
      </c>
      <c r="BY37" s="7" t="s">
        <v>295</v>
      </c>
      <c r="BZ37" s="7" t="s">
        <v>294</v>
      </c>
      <c r="CA37">
        <v>10.568</v>
      </c>
      <c r="CB37">
        <v>12.834</v>
      </c>
      <c r="CC37">
        <v>13.54</v>
      </c>
      <c r="CD37">
        <v>2</v>
      </c>
      <c r="CE37" s="7" t="s">
        <v>298</v>
      </c>
      <c r="CF37" s="7" t="s">
        <v>296</v>
      </c>
      <c r="CG37">
        <v>9.5</v>
      </c>
      <c r="CH37">
        <v>11.695</v>
      </c>
      <c r="CI37">
        <v>12.423999999999999</v>
      </c>
      <c r="CJ37">
        <v>2</v>
      </c>
      <c r="CK37" s="7" t="s">
        <v>291</v>
      </c>
      <c r="CL37" s="7" t="s">
        <v>294</v>
      </c>
      <c r="CM37">
        <v>10.901</v>
      </c>
      <c r="CN37">
        <v>12.41</v>
      </c>
      <c r="CO37">
        <v>13.157</v>
      </c>
      <c r="CP37">
        <v>2</v>
      </c>
      <c r="CQ37" s="7" t="s">
        <v>293</v>
      </c>
      <c r="CR37" s="7" t="s">
        <v>294</v>
      </c>
      <c r="CS37">
        <v>11.148999999999999</v>
      </c>
      <c r="CT37">
        <v>13.037000000000001</v>
      </c>
      <c r="CU37">
        <v>13.946999999999999</v>
      </c>
      <c r="CV37">
        <v>3</v>
      </c>
      <c r="CW37" s="7" t="s">
        <v>299</v>
      </c>
      <c r="CX37" s="7" t="s">
        <v>292</v>
      </c>
      <c r="CY37">
        <v>12.305999999999999</v>
      </c>
      <c r="CZ37">
        <v>13.988</v>
      </c>
      <c r="DA37">
        <v>14.840999999999999</v>
      </c>
      <c r="DB37">
        <v>2</v>
      </c>
      <c r="DC37" s="7" t="s">
        <v>295</v>
      </c>
      <c r="DD37" s="7" t="s">
        <v>296</v>
      </c>
      <c r="DE37">
        <v>21.753</v>
      </c>
      <c r="DF37">
        <v>35.564</v>
      </c>
      <c r="DG37">
        <v>36.371000000000002</v>
      </c>
      <c r="DH37">
        <v>2</v>
      </c>
      <c r="DI37" s="7" t="s">
        <v>298</v>
      </c>
      <c r="DJ37" s="7" t="s">
        <v>296</v>
      </c>
      <c r="DK37">
        <v>9.5370000000000008</v>
      </c>
      <c r="DL37">
        <v>13.156000000000001</v>
      </c>
      <c r="DM37">
        <v>14.025</v>
      </c>
      <c r="DN37">
        <v>2</v>
      </c>
      <c r="DO37" s="7" t="s">
        <v>291</v>
      </c>
      <c r="DP37" s="7" t="s">
        <v>294</v>
      </c>
      <c r="DQ37">
        <v>11.976000000000001</v>
      </c>
      <c r="DR37">
        <v>13.304</v>
      </c>
      <c r="DS37">
        <v>14.010999999999999</v>
      </c>
      <c r="DT37">
        <v>2</v>
      </c>
      <c r="DU37" s="7" t="s">
        <v>293</v>
      </c>
      <c r="DV37" s="7" t="s">
        <v>294</v>
      </c>
      <c r="DW37">
        <v>13.379</v>
      </c>
      <c r="DX37">
        <v>15.414</v>
      </c>
      <c r="DY37">
        <v>16.138000000000002</v>
      </c>
      <c r="DZ37">
        <v>2</v>
      </c>
      <c r="EA37" s="7" t="s">
        <v>291</v>
      </c>
      <c r="EB37" s="7" t="s">
        <v>292</v>
      </c>
      <c r="EC37">
        <v>40.805</v>
      </c>
      <c r="ED37">
        <v>43.777999999999999</v>
      </c>
      <c r="EE37">
        <v>45.078000000000003</v>
      </c>
      <c r="EF37">
        <v>2</v>
      </c>
      <c r="EG37" s="7" t="s">
        <v>295</v>
      </c>
      <c r="EH37" s="7" t="s">
        <v>294</v>
      </c>
      <c r="EI37">
        <v>8.8089999999999993</v>
      </c>
      <c r="EJ37">
        <v>14.708</v>
      </c>
      <c r="EK37">
        <v>15.548999999999999</v>
      </c>
      <c r="EL37">
        <v>2</v>
      </c>
      <c r="EM37" s="7" t="s">
        <v>298</v>
      </c>
      <c r="EN37" s="7" t="s">
        <v>294</v>
      </c>
      <c r="EO37">
        <v>9.4510000000000005</v>
      </c>
      <c r="EP37">
        <v>12.73</v>
      </c>
      <c r="EQ37">
        <v>13.46</v>
      </c>
      <c r="ER37">
        <v>2</v>
      </c>
      <c r="ES37" s="7" t="s">
        <v>282</v>
      </c>
      <c r="ET37" s="7" t="s">
        <v>294</v>
      </c>
      <c r="EU37">
        <v>18.244</v>
      </c>
      <c r="EV37">
        <v>19.587</v>
      </c>
      <c r="EW37">
        <v>20.873999999999999</v>
      </c>
      <c r="EX37">
        <v>2</v>
      </c>
      <c r="EY37" s="7" t="s">
        <v>300</v>
      </c>
      <c r="EZ37" s="7" t="s">
        <v>292</v>
      </c>
      <c r="FA37">
        <v>34.978000000000002</v>
      </c>
      <c r="FB37">
        <v>37.680999999999997</v>
      </c>
      <c r="FC37">
        <v>38.662999999999997</v>
      </c>
      <c r="FD37">
        <v>2</v>
      </c>
      <c r="FE37" s="7" t="s">
        <v>282</v>
      </c>
      <c r="FF37" s="7" t="s">
        <v>296</v>
      </c>
      <c r="FG37">
        <v>10.478</v>
      </c>
      <c r="FH37">
        <v>18.579999999999998</v>
      </c>
      <c r="FI37">
        <v>19.405000000000001</v>
      </c>
      <c r="FJ37">
        <v>2</v>
      </c>
      <c r="FK37" s="7" t="s">
        <v>291</v>
      </c>
      <c r="FL37" s="7" t="s">
        <v>294</v>
      </c>
      <c r="FM37">
        <v>8.9719999999999995</v>
      </c>
      <c r="FN37">
        <v>13.895</v>
      </c>
      <c r="FO37">
        <v>14.698</v>
      </c>
      <c r="FP37">
        <v>2</v>
      </c>
      <c r="FQ37" s="7" t="s">
        <v>300</v>
      </c>
      <c r="FR37" s="7" t="s">
        <v>296</v>
      </c>
      <c r="FS37">
        <v>33.950000000000003</v>
      </c>
      <c r="FT37">
        <v>36.591000000000001</v>
      </c>
      <c r="FU37">
        <v>37.618000000000002</v>
      </c>
      <c r="FV37">
        <v>2</v>
      </c>
      <c r="FW37" s="7" t="s">
        <v>282</v>
      </c>
      <c r="FX37" s="7" t="s">
        <v>294</v>
      </c>
      <c r="FY37">
        <v>13.339</v>
      </c>
      <c r="FZ37">
        <v>14.497</v>
      </c>
      <c r="GA37">
        <v>15.276999999999999</v>
      </c>
      <c r="GB37">
        <v>2</v>
      </c>
      <c r="GC37" s="7" t="s">
        <v>291</v>
      </c>
      <c r="GD37" s="7" t="s">
        <v>296</v>
      </c>
      <c r="GE37">
        <v>11.462999999999999</v>
      </c>
      <c r="GF37">
        <v>12.525</v>
      </c>
      <c r="GG37">
        <v>14.127000000000001</v>
      </c>
      <c r="GH37">
        <v>2</v>
      </c>
      <c r="GI37" s="7" t="s">
        <v>300</v>
      </c>
      <c r="GJ37" s="7" t="s">
        <v>296</v>
      </c>
      <c r="GK37">
        <v>11.518000000000001</v>
      </c>
      <c r="GL37">
        <v>16.466000000000001</v>
      </c>
      <c r="GM37">
        <v>17.951000000000001</v>
      </c>
      <c r="GN37">
        <v>3</v>
      </c>
      <c r="GO37" s="7" t="s">
        <v>282</v>
      </c>
      <c r="GP37" s="7" t="s">
        <v>297</v>
      </c>
      <c r="GQ37">
        <v>22.914000000000001</v>
      </c>
      <c r="GR37">
        <v>25.004999999999999</v>
      </c>
      <c r="GS37">
        <v>25.791</v>
      </c>
      <c r="GT37">
        <v>2</v>
      </c>
      <c r="GU37" s="7" t="s">
        <v>291</v>
      </c>
      <c r="GV37" s="7" t="s">
        <v>296</v>
      </c>
      <c r="GW37">
        <v>18.059999999999999</v>
      </c>
      <c r="GX37">
        <v>18.95</v>
      </c>
      <c r="GY37">
        <v>20.539000000000001</v>
      </c>
      <c r="GZ37">
        <v>2</v>
      </c>
      <c r="HA37" s="7" t="s">
        <v>282</v>
      </c>
      <c r="HB37" s="7" t="s">
        <v>292</v>
      </c>
      <c r="HC37">
        <v>14.52</v>
      </c>
      <c r="HD37">
        <v>24.341999999999999</v>
      </c>
      <c r="HE37">
        <v>26.818000000000001</v>
      </c>
      <c r="HF37">
        <v>3</v>
      </c>
      <c r="HG37" s="7" t="s">
        <v>291</v>
      </c>
      <c r="HH37" s="7" t="s">
        <v>294</v>
      </c>
      <c r="HI37">
        <v>10.861000000000001</v>
      </c>
      <c r="HJ37">
        <v>12.2</v>
      </c>
      <c r="HK37">
        <v>13.852</v>
      </c>
      <c r="HL37">
        <v>2</v>
      </c>
      <c r="HM37" s="7" t="s">
        <v>707</v>
      </c>
      <c r="HN37" s="7" t="s">
        <v>708</v>
      </c>
      <c r="HO37" s="7" t="s">
        <v>709</v>
      </c>
      <c r="HP37" s="7" t="s">
        <v>710</v>
      </c>
      <c r="HQ37" s="7" t="s">
        <v>711</v>
      </c>
      <c r="HR37" s="7" t="s">
        <v>712</v>
      </c>
      <c r="HS37" s="7" t="s">
        <v>713</v>
      </c>
      <c r="HT37" s="7" t="s">
        <v>714</v>
      </c>
      <c r="HU37" s="7" t="s">
        <v>715</v>
      </c>
      <c r="HV37" s="7" t="s">
        <v>716</v>
      </c>
      <c r="HW37" s="7" t="s">
        <v>717</v>
      </c>
      <c r="HX37" s="7" t="s">
        <v>282</v>
      </c>
      <c r="HY37" s="7" t="s">
        <v>312</v>
      </c>
      <c r="HZ37" s="7" t="s">
        <v>356</v>
      </c>
      <c r="IA37" s="7" t="s">
        <v>313</v>
      </c>
      <c r="IB37" s="7" t="s">
        <v>282</v>
      </c>
      <c r="IC37" s="7" t="s">
        <v>282</v>
      </c>
    </row>
    <row r="38" spans="1:237" x14ac:dyDescent="0.2">
      <c r="A38" s="6">
        <v>45748.426365740743</v>
      </c>
      <c r="B38" s="6">
        <v>45748.445497685185</v>
      </c>
      <c r="C38" s="7" t="s">
        <v>240</v>
      </c>
      <c r="D38" s="7" t="s">
        <v>718</v>
      </c>
      <c r="E38">
        <v>100</v>
      </c>
      <c r="F38">
        <v>1653</v>
      </c>
      <c r="G38" s="7" t="s">
        <v>280</v>
      </c>
      <c r="H38" s="6">
        <v>45748.445516192129</v>
      </c>
      <c r="I38" s="7" t="s">
        <v>719</v>
      </c>
      <c r="J38" s="7" t="s">
        <v>282</v>
      </c>
      <c r="K38" s="7" t="s">
        <v>282</v>
      </c>
      <c r="L38" s="7" t="s">
        <v>282</v>
      </c>
      <c r="M38" s="7" t="s">
        <v>282</v>
      </c>
      <c r="N38">
        <v>49.817900000000002</v>
      </c>
      <c r="O38">
        <v>-97.153499999999994</v>
      </c>
      <c r="P38" s="7" t="s">
        <v>283</v>
      </c>
      <c r="Q38" s="7" t="s">
        <v>284</v>
      </c>
      <c r="R38">
        <v>0.89999997615814209</v>
      </c>
      <c r="S38" s="7" t="s">
        <v>285</v>
      </c>
      <c r="T38" s="7" t="s">
        <v>285</v>
      </c>
      <c r="U38" s="7" t="s">
        <v>285</v>
      </c>
      <c r="V38" s="7" t="s">
        <v>285</v>
      </c>
      <c r="W38" s="7" t="s">
        <v>359</v>
      </c>
      <c r="X38" s="7" t="s">
        <v>642</v>
      </c>
      <c r="Y38" s="7" t="s">
        <v>288</v>
      </c>
      <c r="Z38" s="7" t="s">
        <v>289</v>
      </c>
      <c r="AA38" s="7" t="s">
        <v>289</v>
      </c>
      <c r="AB38" s="7" t="s">
        <v>317</v>
      </c>
      <c r="AC38" s="7" t="s">
        <v>291</v>
      </c>
      <c r="AD38" s="7" t="s">
        <v>294</v>
      </c>
      <c r="AE38">
        <v>10.435</v>
      </c>
      <c r="AF38">
        <v>14.367000000000001</v>
      </c>
      <c r="AG38">
        <v>16.108000000000001</v>
      </c>
      <c r="AH38">
        <v>2</v>
      </c>
      <c r="AI38" s="7" t="s">
        <v>293</v>
      </c>
      <c r="AJ38" s="7" t="s">
        <v>296</v>
      </c>
      <c r="AK38">
        <v>12.452</v>
      </c>
      <c r="AL38">
        <v>16.495999999999999</v>
      </c>
      <c r="AM38">
        <v>23.297000000000001</v>
      </c>
      <c r="AN38">
        <v>2</v>
      </c>
      <c r="AO38" s="7" t="s">
        <v>293</v>
      </c>
      <c r="AP38" s="7" t="s">
        <v>296</v>
      </c>
      <c r="AQ38">
        <v>14.646000000000001</v>
      </c>
      <c r="AR38">
        <v>18.949000000000002</v>
      </c>
      <c r="AS38">
        <v>21.835999999999999</v>
      </c>
      <c r="AT38">
        <v>2</v>
      </c>
      <c r="AU38" s="7" t="s">
        <v>298</v>
      </c>
      <c r="AV38" s="7" t="s">
        <v>292</v>
      </c>
      <c r="AW38">
        <v>11.167999999999999</v>
      </c>
      <c r="AX38">
        <v>15.468999999999999</v>
      </c>
      <c r="AY38">
        <v>16.844999999999999</v>
      </c>
      <c r="AZ38">
        <v>2</v>
      </c>
      <c r="BA38" s="7" t="s">
        <v>295</v>
      </c>
      <c r="BB38" s="7" t="s">
        <v>292</v>
      </c>
      <c r="BC38">
        <v>39.942999999999998</v>
      </c>
      <c r="BD38">
        <v>45.588000000000001</v>
      </c>
      <c r="BE38">
        <v>47.015000000000001</v>
      </c>
      <c r="BF38">
        <v>2</v>
      </c>
      <c r="BG38" s="7" t="s">
        <v>291</v>
      </c>
      <c r="BH38" s="7" t="s">
        <v>292</v>
      </c>
      <c r="BI38">
        <v>18.757000000000001</v>
      </c>
      <c r="BJ38">
        <v>21.077000000000002</v>
      </c>
      <c r="BK38">
        <v>23.181000000000001</v>
      </c>
      <c r="BL38">
        <v>2</v>
      </c>
      <c r="BM38" s="7" t="s">
        <v>293</v>
      </c>
      <c r="BN38" s="7" t="s">
        <v>294</v>
      </c>
      <c r="BO38">
        <v>11.371</v>
      </c>
      <c r="BP38">
        <v>15.215999999999999</v>
      </c>
      <c r="BQ38">
        <v>18.152999999999999</v>
      </c>
      <c r="BR38">
        <v>2</v>
      </c>
      <c r="BS38" s="7" t="s">
        <v>291</v>
      </c>
      <c r="BT38" s="7" t="s">
        <v>296</v>
      </c>
      <c r="BU38">
        <v>11.095000000000001</v>
      </c>
      <c r="BV38">
        <v>15.146000000000001</v>
      </c>
      <c r="BW38">
        <v>16.785</v>
      </c>
      <c r="BX38">
        <v>2</v>
      </c>
      <c r="BY38" s="7" t="s">
        <v>298</v>
      </c>
      <c r="BZ38" s="7" t="s">
        <v>297</v>
      </c>
      <c r="CA38">
        <v>16.471</v>
      </c>
      <c r="CB38">
        <v>20.198</v>
      </c>
      <c r="CC38">
        <v>22.573</v>
      </c>
      <c r="CD38">
        <v>2</v>
      </c>
      <c r="CE38" s="7" t="s">
        <v>298</v>
      </c>
      <c r="CF38" s="7" t="s">
        <v>296</v>
      </c>
      <c r="CG38">
        <v>12.911</v>
      </c>
      <c r="CH38">
        <v>24.794</v>
      </c>
      <c r="CI38">
        <v>26.887</v>
      </c>
      <c r="CJ38">
        <v>2</v>
      </c>
      <c r="CK38" s="7" t="s">
        <v>291</v>
      </c>
      <c r="CL38" s="7" t="s">
        <v>296</v>
      </c>
      <c r="CM38">
        <v>11.109</v>
      </c>
      <c r="CN38">
        <v>14.356999999999999</v>
      </c>
      <c r="CO38">
        <v>16.428999999999998</v>
      </c>
      <c r="CP38">
        <v>2</v>
      </c>
      <c r="CQ38" s="7" t="s">
        <v>293</v>
      </c>
      <c r="CR38" s="7" t="s">
        <v>294</v>
      </c>
      <c r="CS38">
        <v>11.646000000000001</v>
      </c>
      <c r="CT38">
        <v>14.446</v>
      </c>
      <c r="CU38">
        <v>16.315999999999999</v>
      </c>
      <c r="CV38">
        <v>2</v>
      </c>
      <c r="CW38" s="7" t="s">
        <v>291</v>
      </c>
      <c r="CX38" s="7" t="s">
        <v>292</v>
      </c>
      <c r="CY38">
        <v>11.954000000000001</v>
      </c>
      <c r="CZ38">
        <v>19.28</v>
      </c>
      <c r="DA38">
        <v>25.388999999999999</v>
      </c>
      <c r="DB38">
        <v>2</v>
      </c>
      <c r="DC38" s="7" t="s">
        <v>299</v>
      </c>
      <c r="DD38" s="7" t="s">
        <v>294</v>
      </c>
      <c r="DE38">
        <v>11.544</v>
      </c>
      <c r="DF38">
        <v>15.377000000000001</v>
      </c>
      <c r="DG38">
        <v>17.065000000000001</v>
      </c>
      <c r="DH38">
        <v>2</v>
      </c>
      <c r="DI38" s="7" t="s">
        <v>298</v>
      </c>
      <c r="DJ38" s="7" t="s">
        <v>292</v>
      </c>
      <c r="DK38">
        <v>41.091000000000001</v>
      </c>
      <c r="DL38">
        <v>43.942</v>
      </c>
      <c r="DM38">
        <v>46.517000000000003</v>
      </c>
      <c r="DN38">
        <v>2</v>
      </c>
      <c r="DO38" s="7" t="s">
        <v>291</v>
      </c>
      <c r="DP38" s="7" t="s">
        <v>296</v>
      </c>
      <c r="DQ38">
        <v>12.098000000000001</v>
      </c>
      <c r="DR38">
        <v>15.111000000000001</v>
      </c>
      <c r="DS38">
        <v>44</v>
      </c>
      <c r="DT38">
        <v>2</v>
      </c>
      <c r="DU38" s="7" t="s">
        <v>293</v>
      </c>
      <c r="DV38" s="7" t="s">
        <v>296</v>
      </c>
      <c r="DW38">
        <v>13.377000000000001</v>
      </c>
      <c r="DX38">
        <v>18.157</v>
      </c>
      <c r="DY38">
        <v>20.216999999999999</v>
      </c>
      <c r="DZ38">
        <v>2</v>
      </c>
      <c r="EA38" s="7" t="s">
        <v>291</v>
      </c>
      <c r="EB38" s="7" t="s">
        <v>294</v>
      </c>
      <c r="EC38">
        <v>23.527000000000001</v>
      </c>
      <c r="ED38">
        <v>26.827000000000002</v>
      </c>
      <c r="EE38">
        <v>28.652999999999999</v>
      </c>
      <c r="EF38">
        <v>2</v>
      </c>
      <c r="EG38" s="7" t="s">
        <v>299</v>
      </c>
      <c r="EH38" s="7" t="s">
        <v>294</v>
      </c>
      <c r="EI38">
        <v>13.894</v>
      </c>
      <c r="EJ38">
        <v>17.327000000000002</v>
      </c>
      <c r="EK38">
        <v>19.960999999999999</v>
      </c>
      <c r="EL38">
        <v>2</v>
      </c>
      <c r="EM38" s="7" t="s">
        <v>298</v>
      </c>
      <c r="EN38" s="7" t="s">
        <v>292</v>
      </c>
      <c r="EO38">
        <v>16.225000000000001</v>
      </c>
      <c r="EP38">
        <v>19.140999999999998</v>
      </c>
      <c r="EQ38">
        <v>21.23</v>
      </c>
      <c r="ER38">
        <v>2</v>
      </c>
      <c r="ES38" s="7" t="s">
        <v>291</v>
      </c>
      <c r="ET38" s="7" t="s">
        <v>296</v>
      </c>
      <c r="EU38">
        <v>14.302</v>
      </c>
      <c r="EV38">
        <v>17.318999999999999</v>
      </c>
      <c r="EW38">
        <v>20.74</v>
      </c>
      <c r="EX38">
        <v>2</v>
      </c>
      <c r="EY38" s="7" t="s">
        <v>300</v>
      </c>
      <c r="EZ38" s="7" t="s">
        <v>294</v>
      </c>
      <c r="FA38">
        <v>10.297000000000001</v>
      </c>
      <c r="FB38">
        <v>18.597000000000001</v>
      </c>
      <c r="FC38">
        <v>20.963999999999999</v>
      </c>
      <c r="FD38">
        <v>2</v>
      </c>
      <c r="FE38" s="7" t="s">
        <v>301</v>
      </c>
      <c r="FF38" s="7" t="s">
        <v>294</v>
      </c>
      <c r="FG38">
        <v>10.757999999999999</v>
      </c>
      <c r="FH38">
        <v>14.635999999999999</v>
      </c>
      <c r="FI38">
        <v>16.965</v>
      </c>
      <c r="FJ38">
        <v>2</v>
      </c>
      <c r="FK38" s="7" t="s">
        <v>291</v>
      </c>
      <c r="FL38" s="7" t="s">
        <v>296</v>
      </c>
      <c r="FM38">
        <v>19.506</v>
      </c>
      <c r="FN38">
        <v>27.41</v>
      </c>
      <c r="FO38">
        <v>29.805</v>
      </c>
      <c r="FP38">
        <v>2</v>
      </c>
      <c r="FQ38" s="7" t="s">
        <v>300</v>
      </c>
      <c r="FR38" s="7" t="s">
        <v>296</v>
      </c>
      <c r="FS38">
        <v>20.033000000000001</v>
      </c>
      <c r="FT38">
        <v>22.975999999999999</v>
      </c>
      <c r="FU38">
        <v>25.818999999999999</v>
      </c>
      <c r="FV38">
        <v>2</v>
      </c>
      <c r="FW38" s="7" t="s">
        <v>301</v>
      </c>
      <c r="FX38" s="7" t="s">
        <v>296</v>
      </c>
      <c r="FY38">
        <v>14.768000000000001</v>
      </c>
      <c r="FZ38">
        <v>19.042999999999999</v>
      </c>
      <c r="GA38">
        <v>21.675999999999998</v>
      </c>
      <c r="GB38">
        <v>2</v>
      </c>
      <c r="GC38" s="7" t="s">
        <v>291</v>
      </c>
      <c r="GD38" s="7" t="s">
        <v>296</v>
      </c>
      <c r="GE38">
        <v>11.942</v>
      </c>
      <c r="GF38">
        <v>15.939</v>
      </c>
      <c r="GG38">
        <v>17.428000000000001</v>
      </c>
      <c r="GH38">
        <v>2</v>
      </c>
      <c r="GI38" s="7" t="s">
        <v>300</v>
      </c>
      <c r="GJ38" s="7" t="s">
        <v>296</v>
      </c>
      <c r="GK38">
        <v>12.441000000000001</v>
      </c>
      <c r="GL38">
        <v>21.207999999999998</v>
      </c>
      <c r="GM38">
        <v>23.638000000000002</v>
      </c>
      <c r="GN38">
        <v>2</v>
      </c>
      <c r="GO38" s="7" t="s">
        <v>291</v>
      </c>
      <c r="GP38" s="7" t="s">
        <v>297</v>
      </c>
      <c r="GQ38">
        <v>54.682000000000002</v>
      </c>
      <c r="GR38">
        <v>61.887</v>
      </c>
      <c r="GS38">
        <v>63.677999999999997</v>
      </c>
      <c r="GT38">
        <v>3</v>
      </c>
      <c r="GU38" s="7" t="s">
        <v>291</v>
      </c>
      <c r="GV38" s="7" t="s">
        <v>294</v>
      </c>
      <c r="GW38">
        <v>10.37</v>
      </c>
      <c r="GX38">
        <v>13.39</v>
      </c>
      <c r="GY38">
        <v>15.669</v>
      </c>
      <c r="GZ38">
        <v>2</v>
      </c>
      <c r="HA38" s="7" t="s">
        <v>300</v>
      </c>
      <c r="HB38" s="7" t="s">
        <v>296</v>
      </c>
      <c r="HC38">
        <v>9.875</v>
      </c>
      <c r="HD38">
        <v>14.797000000000001</v>
      </c>
      <c r="HE38">
        <v>16.341000000000001</v>
      </c>
      <c r="HF38">
        <v>2</v>
      </c>
      <c r="HG38" s="7" t="s">
        <v>291</v>
      </c>
      <c r="HH38" s="7" t="s">
        <v>296</v>
      </c>
      <c r="HI38">
        <v>21.981999999999999</v>
      </c>
      <c r="HJ38">
        <v>25.382000000000001</v>
      </c>
      <c r="HK38">
        <v>26.731999999999999</v>
      </c>
      <c r="HL38">
        <v>2</v>
      </c>
      <c r="HM38" s="7" t="s">
        <v>720</v>
      </c>
      <c r="HN38" s="7" t="s">
        <v>721</v>
      </c>
      <c r="HO38" s="7" t="s">
        <v>722</v>
      </c>
      <c r="HP38" s="7" t="s">
        <v>723</v>
      </c>
      <c r="HQ38" s="7" t="s">
        <v>724</v>
      </c>
      <c r="HR38" s="7" t="s">
        <v>725</v>
      </c>
      <c r="HS38" s="7" t="s">
        <v>726</v>
      </c>
      <c r="HT38" s="7" t="s">
        <v>727</v>
      </c>
      <c r="HU38" s="7" t="s">
        <v>728</v>
      </c>
      <c r="HV38" s="7" t="s">
        <v>729</v>
      </c>
      <c r="HW38" s="7" t="s">
        <v>730</v>
      </c>
      <c r="HX38" s="7" t="s">
        <v>282</v>
      </c>
      <c r="HY38" s="7" t="s">
        <v>312</v>
      </c>
      <c r="HZ38" s="7" t="s">
        <v>372</v>
      </c>
      <c r="IA38" s="7" t="s">
        <v>325</v>
      </c>
      <c r="IB38" s="7" t="s">
        <v>282</v>
      </c>
      <c r="IC38" s="7" t="s">
        <v>282</v>
      </c>
    </row>
    <row r="39" spans="1:237" x14ac:dyDescent="0.2">
      <c r="A39" s="6">
        <v>45748.44908564815</v>
      </c>
      <c r="B39" s="6">
        <v>45748.466331018521</v>
      </c>
      <c r="C39" s="7" t="s">
        <v>240</v>
      </c>
      <c r="D39" s="7" t="s">
        <v>731</v>
      </c>
      <c r="E39">
        <v>100</v>
      </c>
      <c r="F39">
        <v>1490</v>
      </c>
      <c r="G39" s="7" t="s">
        <v>280</v>
      </c>
      <c r="H39" s="6">
        <v>45748.466350509261</v>
      </c>
      <c r="I39" s="7" t="s">
        <v>732</v>
      </c>
      <c r="J39" s="7" t="s">
        <v>282</v>
      </c>
      <c r="K39" s="7" t="s">
        <v>282</v>
      </c>
      <c r="L39" s="7" t="s">
        <v>282</v>
      </c>
      <c r="M39" s="7" t="s">
        <v>282</v>
      </c>
      <c r="N39">
        <v>-38.022399999999998</v>
      </c>
      <c r="O39">
        <v>145.1018</v>
      </c>
      <c r="P39" s="7" t="s">
        <v>283</v>
      </c>
      <c r="Q39" s="7" t="s">
        <v>284</v>
      </c>
      <c r="R39">
        <v>1</v>
      </c>
      <c r="S39" s="7" t="s">
        <v>285</v>
      </c>
      <c r="T39" s="7" t="s">
        <v>285</v>
      </c>
      <c r="U39" s="7" t="s">
        <v>285</v>
      </c>
      <c r="V39" s="7" t="s">
        <v>285</v>
      </c>
      <c r="W39" s="7" t="s">
        <v>412</v>
      </c>
      <c r="X39" s="7" t="s">
        <v>375</v>
      </c>
      <c r="Y39" s="7" t="s">
        <v>288</v>
      </c>
      <c r="Z39" s="7" t="s">
        <v>289</v>
      </c>
      <c r="AA39" s="7" t="s">
        <v>289</v>
      </c>
      <c r="AB39" s="7" t="s">
        <v>317</v>
      </c>
      <c r="AC39" s="7" t="s">
        <v>291</v>
      </c>
      <c r="AD39" s="7" t="s">
        <v>292</v>
      </c>
      <c r="AE39">
        <v>10.755000000000001</v>
      </c>
      <c r="AF39">
        <v>13.853999999999999</v>
      </c>
      <c r="AG39">
        <v>14.768000000000001</v>
      </c>
      <c r="AH39">
        <v>2</v>
      </c>
      <c r="AI39" s="7" t="s">
        <v>293</v>
      </c>
      <c r="AJ39" s="7" t="s">
        <v>296</v>
      </c>
      <c r="AK39">
        <v>6.7809999999999997</v>
      </c>
      <c r="AL39">
        <v>12.273999999999999</v>
      </c>
      <c r="AM39">
        <v>12.917999999999999</v>
      </c>
      <c r="AN39">
        <v>3</v>
      </c>
      <c r="AO39" s="7" t="s">
        <v>293</v>
      </c>
      <c r="AP39" s="7" t="s">
        <v>292</v>
      </c>
      <c r="AQ39">
        <v>4.9029999999999996</v>
      </c>
      <c r="AR39">
        <v>12.45</v>
      </c>
      <c r="AS39">
        <v>14.071999999999999</v>
      </c>
      <c r="AT39">
        <v>2</v>
      </c>
      <c r="AU39" s="7" t="s">
        <v>295</v>
      </c>
      <c r="AV39" s="7" t="s">
        <v>296</v>
      </c>
      <c r="AW39">
        <v>7.774</v>
      </c>
      <c r="AX39">
        <v>10.371</v>
      </c>
      <c r="AY39">
        <v>11.85</v>
      </c>
      <c r="AZ39">
        <v>2</v>
      </c>
      <c r="BA39" s="7" t="s">
        <v>299</v>
      </c>
      <c r="BB39" s="7" t="s">
        <v>297</v>
      </c>
      <c r="BC39">
        <v>11.356999999999999</v>
      </c>
      <c r="BD39">
        <v>13.398</v>
      </c>
      <c r="BE39">
        <v>14.773</v>
      </c>
      <c r="BF39">
        <v>2</v>
      </c>
      <c r="BG39" s="7" t="s">
        <v>291</v>
      </c>
      <c r="BH39" s="7" t="s">
        <v>296</v>
      </c>
      <c r="BI39">
        <v>7.22</v>
      </c>
      <c r="BJ39">
        <v>9.0830000000000002</v>
      </c>
      <c r="BK39">
        <v>10.28</v>
      </c>
      <c r="BL39">
        <v>2</v>
      </c>
      <c r="BM39" s="7" t="s">
        <v>293</v>
      </c>
      <c r="BN39" s="7" t="s">
        <v>292</v>
      </c>
      <c r="BO39">
        <v>5.84</v>
      </c>
      <c r="BP39">
        <v>9.0289999999999999</v>
      </c>
      <c r="BQ39">
        <v>10.53</v>
      </c>
      <c r="BR39">
        <v>2</v>
      </c>
      <c r="BS39" s="7" t="s">
        <v>291</v>
      </c>
      <c r="BT39" s="7" t="s">
        <v>292</v>
      </c>
      <c r="BU39">
        <v>13.866</v>
      </c>
      <c r="BV39">
        <v>27.661000000000001</v>
      </c>
      <c r="BW39">
        <v>33.341999999999999</v>
      </c>
      <c r="BX39">
        <v>3</v>
      </c>
      <c r="BY39" s="7" t="s">
        <v>299</v>
      </c>
      <c r="BZ39" s="7" t="s">
        <v>296</v>
      </c>
      <c r="CA39">
        <v>7.2619999999999996</v>
      </c>
      <c r="CB39">
        <v>10.178000000000001</v>
      </c>
      <c r="CC39">
        <v>14.602</v>
      </c>
      <c r="CD39">
        <v>2</v>
      </c>
      <c r="CE39" s="7" t="s">
        <v>298</v>
      </c>
      <c r="CF39" s="7" t="s">
        <v>296</v>
      </c>
      <c r="CG39">
        <v>6.2910000000000004</v>
      </c>
      <c r="CH39">
        <v>7.8650000000000002</v>
      </c>
      <c r="CI39">
        <v>11.515000000000001</v>
      </c>
      <c r="CJ39">
        <v>2</v>
      </c>
      <c r="CK39" s="7" t="s">
        <v>291</v>
      </c>
      <c r="CL39" s="7" t="s">
        <v>292</v>
      </c>
      <c r="CM39">
        <v>5.1980000000000004</v>
      </c>
      <c r="CN39">
        <v>14.202999999999999</v>
      </c>
      <c r="CO39">
        <v>15.327</v>
      </c>
      <c r="CP39">
        <v>4</v>
      </c>
      <c r="CQ39" s="7" t="s">
        <v>293</v>
      </c>
      <c r="CR39" s="7" t="s">
        <v>296</v>
      </c>
      <c r="CS39">
        <v>5.1440000000000001</v>
      </c>
      <c r="CT39">
        <v>8.1300000000000008</v>
      </c>
      <c r="CU39">
        <v>11.346</v>
      </c>
      <c r="CV39">
        <v>2</v>
      </c>
      <c r="CW39" s="7" t="s">
        <v>291</v>
      </c>
      <c r="CX39" s="7" t="s">
        <v>292</v>
      </c>
      <c r="CY39">
        <v>21.855</v>
      </c>
      <c r="CZ39">
        <v>24.300999999999998</v>
      </c>
      <c r="DA39">
        <v>25.391999999999999</v>
      </c>
      <c r="DB39">
        <v>2</v>
      </c>
      <c r="DC39" s="7" t="s">
        <v>298</v>
      </c>
      <c r="DD39" s="7" t="s">
        <v>292</v>
      </c>
      <c r="DE39">
        <v>9.4700000000000006</v>
      </c>
      <c r="DF39">
        <v>11.794</v>
      </c>
      <c r="DG39">
        <v>13.214</v>
      </c>
      <c r="DH39">
        <v>2</v>
      </c>
      <c r="DI39" s="7" t="s">
        <v>298</v>
      </c>
      <c r="DJ39" s="7" t="s">
        <v>292</v>
      </c>
      <c r="DK39">
        <v>7.4009999999999998</v>
      </c>
      <c r="DL39">
        <v>19.213999999999999</v>
      </c>
      <c r="DM39">
        <v>21.091999999999999</v>
      </c>
      <c r="DN39">
        <v>4</v>
      </c>
      <c r="DO39" s="7" t="s">
        <v>291</v>
      </c>
      <c r="DP39" s="7" t="s">
        <v>296</v>
      </c>
      <c r="DQ39">
        <v>10.978</v>
      </c>
      <c r="DR39">
        <v>15.535</v>
      </c>
      <c r="DS39">
        <v>16.379000000000001</v>
      </c>
      <c r="DT39">
        <v>3</v>
      </c>
      <c r="DU39" s="7" t="s">
        <v>293</v>
      </c>
      <c r="DV39" s="7" t="s">
        <v>292</v>
      </c>
      <c r="DW39">
        <v>8.0180000000000007</v>
      </c>
      <c r="DX39">
        <v>11.589</v>
      </c>
      <c r="DY39">
        <v>13.25</v>
      </c>
      <c r="DZ39">
        <v>3</v>
      </c>
      <c r="EA39" s="7" t="s">
        <v>299</v>
      </c>
      <c r="EB39" s="7" t="s">
        <v>292</v>
      </c>
      <c r="EC39">
        <v>10.398999999999999</v>
      </c>
      <c r="ED39">
        <v>15.89</v>
      </c>
      <c r="EE39">
        <v>17.417999999999999</v>
      </c>
      <c r="EF39">
        <v>2</v>
      </c>
      <c r="EG39" s="7" t="s">
        <v>295</v>
      </c>
      <c r="EH39" s="7" t="s">
        <v>296</v>
      </c>
      <c r="EI39">
        <v>6.6349999999999998</v>
      </c>
      <c r="EJ39">
        <v>8.327</v>
      </c>
      <c r="EK39">
        <v>11.164999999999999</v>
      </c>
      <c r="EL39">
        <v>2</v>
      </c>
      <c r="EM39" s="7" t="s">
        <v>298</v>
      </c>
      <c r="EN39" s="7" t="s">
        <v>292</v>
      </c>
      <c r="EO39">
        <v>10.667999999999999</v>
      </c>
      <c r="EP39">
        <v>13.55</v>
      </c>
      <c r="EQ39">
        <v>14.492000000000001</v>
      </c>
      <c r="ER39">
        <v>2</v>
      </c>
      <c r="ES39" s="7" t="s">
        <v>291</v>
      </c>
      <c r="ET39" s="7" t="s">
        <v>296</v>
      </c>
      <c r="EU39">
        <v>6.02</v>
      </c>
      <c r="EV39">
        <v>8.4390000000000001</v>
      </c>
      <c r="EW39">
        <v>10.754</v>
      </c>
      <c r="EX39">
        <v>2</v>
      </c>
      <c r="EY39" s="7" t="s">
        <v>300</v>
      </c>
      <c r="EZ39" s="7" t="s">
        <v>294</v>
      </c>
      <c r="FA39">
        <v>2.681</v>
      </c>
      <c r="FB39">
        <v>3.53</v>
      </c>
      <c r="FC39">
        <v>9.9559999999999995</v>
      </c>
      <c r="FD39">
        <v>2</v>
      </c>
      <c r="FE39" s="7" t="s">
        <v>301</v>
      </c>
      <c r="FF39" s="7" t="s">
        <v>294</v>
      </c>
      <c r="FG39">
        <v>3.9540000000000002</v>
      </c>
      <c r="FH39">
        <v>4.8710000000000004</v>
      </c>
      <c r="FI39">
        <v>11.326000000000001</v>
      </c>
      <c r="FJ39">
        <v>2</v>
      </c>
      <c r="FK39" s="7" t="s">
        <v>291</v>
      </c>
      <c r="FL39" s="7" t="s">
        <v>294</v>
      </c>
      <c r="FM39">
        <v>3.919</v>
      </c>
      <c r="FN39">
        <v>4.9560000000000004</v>
      </c>
      <c r="FO39">
        <v>11.964</v>
      </c>
      <c r="FP39">
        <v>2</v>
      </c>
      <c r="FQ39" s="7" t="s">
        <v>300</v>
      </c>
      <c r="FR39" s="7" t="s">
        <v>294</v>
      </c>
      <c r="FS39">
        <v>5.46</v>
      </c>
      <c r="FT39">
        <v>6.8620000000000001</v>
      </c>
      <c r="FU39">
        <v>9.1829999999999998</v>
      </c>
      <c r="FV39">
        <v>2</v>
      </c>
      <c r="FW39" s="7" t="s">
        <v>301</v>
      </c>
      <c r="FX39" s="7" t="s">
        <v>294</v>
      </c>
      <c r="FY39">
        <v>3.8380000000000001</v>
      </c>
      <c r="FZ39">
        <v>5.2389999999999999</v>
      </c>
      <c r="GA39">
        <v>9.016</v>
      </c>
      <c r="GB39">
        <v>2</v>
      </c>
      <c r="GC39" s="7" t="s">
        <v>291</v>
      </c>
      <c r="GD39" s="7" t="s">
        <v>294</v>
      </c>
      <c r="GE39">
        <v>7.4690000000000003</v>
      </c>
      <c r="GF39">
        <v>8.6790000000000003</v>
      </c>
      <c r="GG39">
        <v>9.3510000000000009</v>
      </c>
      <c r="GH39">
        <v>2</v>
      </c>
      <c r="GI39" s="7" t="s">
        <v>300</v>
      </c>
      <c r="GJ39" s="7" t="s">
        <v>294</v>
      </c>
      <c r="GK39">
        <v>2.323</v>
      </c>
      <c r="GL39">
        <v>3.7639999999999998</v>
      </c>
      <c r="GM39">
        <v>9.6620000000000008</v>
      </c>
      <c r="GN39">
        <v>2</v>
      </c>
      <c r="GO39" s="7" t="s">
        <v>301</v>
      </c>
      <c r="GP39" s="7" t="s">
        <v>294</v>
      </c>
      <c r="GQ39">
        <v>5.0709999999999997</v>
      </c>
      <c r="GR39">
        <v>9.6530000000000005</v>
      </c>
      <c r="GS39">
        <v>13.022</v>
      </c>
      <c r="GT39">
        <v>2</v>
      </c>
      <c r="GU39" s="7" t="s">
        <v>291</v>
      </c>
      <c r="GV39" s="7" t="s">
        <v>294</v>
      </c>
      <c r="GW39">
        <v>5.2279999999999998</v>
      </c>
      <c r="GX39">
        <v>8.26</v>
      </c>
      <c r="GY39">
        <v>10.88</v>
      </c>
      <c r="GZ39">
        <v>3</v>
      </c>
      <c r="HA39" s="7" t="s">
        <v>300</v>
      </c>
      <c r="HB39" s="7" t="s">
        <v>294</v>
      </c>
      <c r="HC39">
        <v>2.4900000000000002</v>
      </c>
      <c r="HD39">
        <v>3.798</v>
      </c>
      <c r="HE39">
        <v>10.302</v>
      </c>
      <c r="HF39">
        <v>2</v>
      </c>
      <c r="HG39" s="7" t="s">
        <v>300</v>
      </c>
      <c r="HH39" s="7" t="s">
        <v>297</v>
      </c>
      <c r="HI39">
        <v>10.384</v>
      </c>
      <c r="HJ39">
        <v>20.902999999999999</v>
      </c>
      <c r="HK39">
        <v>22.893000000000001</v>
      </c>
      <c r="HL39">
        <v>3</v>
      </c>
      <c r="HM39" s="7" t="s">
        <v>733</v>
      </c>
      <c r="HN39" s="7" t="s">
        <v>734</v>
      </c>
      <c r="HO39" s="7" t="s">
        <v>735</v>
      </c>
      <c r="HP39" s="7" t="s">
        <v>735</v>
      </c>
      <c r="HQ39" s="7" t="s">
        <v>736</v>
      </c>
      <c r="HR39" s="7" t="s">
        <v>737</v>
      </c>
      <c r="HS39" s="7" t="s">
        <v>693</v>
      </c>
      <c r="HT39" s="7" t="s">
        <v>693</v>
      </c>
      <c r="HU39" s="7" t="s">
        <v>738</v>
      </c>
      <c r="HV39" s="7" t="s">
        <v>738</v>
      </c>
      <c r="HW39" s="7" t="s">
        <v>739</v>
      </c>
      <c r="HX39" s="7" t="s">
        <v>282</v>
      </c>
      <c r="HY39" s="7" t="s">
        <v>312</v>
      </c>
      <c r="HZ39" s="7" t="s">
        <v>372</v>
      </c>
      <c r="IA39" s="7" t="s">
        <v>325</v>
      </c>
      <c r="IB39" s="7" t="s">
        <v>282</v>
      </c>
      <c r="IC39" s="7" t="s">
        <v>282</v>
      </c>
    </row>
    <row r="40" spans="1:237" x14ac:dyDescent="0.2">
      <c r="A40" s="6">
        <v>45748.458368055559</v>
      </c>
      <c r="B40" s="6">
        <v>45748.468472222223</v>
      </c>
      <c r="C40" s="7" t="s">
        <v>240</v>
      </c>
      <c r="D40" s="7" t="s">
        <v>740</v>
      </c>
      <c r="E40">
        <v>100</v>
      </c>
      <c r="F40">
        <v>873</v>
      </c>
      <c r="G40" s="7" t="s">
        <v>280</v>
      </c>
      <c r="H40" s="6">
        <v>45748.468488229169</v>
      </c>
      <c r="I40" s="7" t="s">
        <v>741</v>
      </c>
      <c r="J40" s="7" t="s">
        <v>282</v>
      </c>
      <c r="K40" s="7" t="s">
        <v>282</v>
      </c>
      <c r="L40" s="7" t="s">
        <v>282</v>
      </c>
      <c r="M40" s="7" t="s">
        <v>282</v>
      </c>
      <c r="N40">
        <v>-37.8003</v>
      </c>
      <c r="O40">
        <v>144.97329999999999</v>
      </c>
      <c r="P40" s="7" t="s">
        <v>283</v>
      </c>
      <c r="Q40" s="7" t="s">
        <v>284</v>
      </c>
      <c r="R40">
        <v>1</v>
      </c>
      <c r="S40" s="7" t="s">
        <v>285</v>
      </c>
      <c r="T40" s="7" t="s">
        <v>285</v>
      </c>
      <c r="U40" s="7" t="s">
        <v>285</v>
      </c>
      <c r="V40" s="7" t="s">
        <v>285</v>
      </c>
      <c r="W40" s="7" t="s">
        <v>412</v>
      </c>
      <c r="X40" s="7" t="s">
        <v>375</v>
      </c>
      <c r="Y40" s="7" t="s">
        <v>288</v>
      </c>
      <c r="Z40" s="7" t="s">
        <v>317</v>
      </c>
      <c r="AA40" s="7" t="s">
        <v>290</v>
      </c>
      <c r="AB40" s="7" t="s">
        <v>329</v>
      </c>
      <c r="AC40" s="7" t="s">
        <v>291</v>
      </c>
      <c r="AD40" s="7" t="s">
        <v>292</v>
      </c>
      <c r="AE40">
        <v>9.5009999999999994</v>
      </c>
      <c r="AF40">
        <v>11.972</v>
      </c>
      <c r="AG40">
        <v>12.321</v>
      </c>
      <c r="AH40">
        <v>3</v>
      </c>
      <c r="AI40" s="7" t="s">
        <v>293</v>
      </c>
      <c r="AJ40" s="7" t="s">
        <v>296</v>
      </c>
      <c r="AK40">
        <v>8.1590000000000007</v>
      </c>
      <c r="AL40">
        <v>9.6</v>
      </c>
      <c r="AM40">
        <v>10.791</v>
      </c>
      <c r="AN40">
        <v>2</v>
      </c>
      <c r="AO40" s="7" t="s">
        <v>293</v>
      </c>
      <c r="AP40" s="7" t="s">
        <v>292</v>
      </c>
      <c r="AQ40">
        <v>7.3680000000000003</v>
      </c>
      <c r="AR40">
        <v>13.286</v>
      </c>
      <c r="AS40">
        <v>14.567</v>
      </c>
      <c r="AT40">
        <v>2</v>
      </c>
      <c r="AU40" s="7" t="s">
        <v>295</v>
      </c>
      <c r="AV40" s="7" t="s">
        <v>292</v>
      </c>
      <c r="AW40">
        <v>10.891999999999999</v>
      </c>
      <c r="AX40">
        <v>12.644</v>
      </c>
      <c r="AY40">
        <v>14.025</v>
      </c>
      <c r="AZ40">
        <v>2</v>
      </c>
      <c r="BA40" s="7" t="s">
        <v>295</v>
      </c>
      <c r="BB40" s="7" t="s">
        <v>297</v>
      </c>
      <c r="BC40">
        <v>10.348000000000001</v>
      </c>
      <c r="BD40">
        <v>13.398999999999999</v>
      </c>
      <c r="BE40">
        <v>13.72</v>
      </c>
      <c r="BF40">
        <v>4</v>
      </c>
      <c r="BG40" s="7" t="s">
        <v>291</v>
      </c>
      <c r="BH40" s="7" t="s">
        <v>292</v>
      </c>
      <c r="BI40">
        <v>8.9979999999999993</v>
      </c>
      <c r="BJ40">
        <v>11.911</v>
      </c>
      <c r="BK40">
        <v>12.483000000000001</v>
      </c>
      <c r="BL40">
        <v>3</v>
      </c>
      <c r="BM40" s="7" t="s">
        <v>293</v>
      </c>
      <c r="BN40" s="7" t="s">
        <v>296</v>
      </c>
      <c r="BO40">
        <v>6.2869999999999999</v>
      </c>
      <c r="BP40">
        <v>9.5039999999999996</v>
      </c>
      <c r="BQ40">
        <v>10.65</v>
      </c>
      <c r="BR40">
        <v>2</v>
      </c>
      <c r="BS40" s="7" t="s">
        <v>298</v>
      </c>
      <c r="BT40" s="7" t="s">
        <v>297</v>
      </c>
      <c r="BU40">
        <v>9.8879999999999999</v>
      </c>
      <c r="BV40">
        <v>11.246</v>
      </c>
      <c r="BW40">
        <v>12.101000000000001</v>
      </c>
      <c r="BX40">
        <v>2</v>
      </c>
      <c r="BY40" s="7" t="s">
        <v>295</v>
      </c>
      <c r="BZ40" s="7" t="s">
        <v>292</v>
      </c>
      <c r="CA40">
        <v>6.1139999999999999</v>
      </c>
      <c r="CB40">
        <v>8.641</v>
      </c>
      <c r="CC40">
        <v>9.9860000000000007</v>
      </c>
      <c r="CD40">
        <v>2</v>
      </c>
      <c r="CE40" s="7" t="s">
        <v>298</v>
      </c>
      <c r="CF40" s="7" t="s">
        <v>296</v>
      </c>
      <c r="CG40">
        <v>9.4770000000000003</v>
      </c>
      <c r="CH40">
        <v>11.183</v>
      </c>
      <c r="CI40">
        <v>14.375</v>
      </c>
      <c r="CJ40">
        <v>2</v>
      </c>
      <c r="CK40" s="7" t="s">
        <v>291</v>
      </c>
      <c r="CL40" s="7" t="s">
        <v>292</v>
      </c>
      <c r="CM40">
        <v>5.4269999999999996</v>
      </c>
      <c r="CN40">
        <v>13.595000000000001</v>
      </c>
      <c r="CO40">
        <v>14.669</v>
      </c>
      <c r="CP40">
        <v>2</v>
      </c>
      <c r="CQ40" s="7" t="s">
        <v>293</v>
      </c>
      <c r="CR40" s="7" t="s">
        <v>296</v>
      </c>
      <c r="CS40">
        <v>13.44</v>
      </c>
      <c r="CT40">
        <v>15.374000000000001</v>
      </c>
      <c r="CU40">
        <v>16.282</v>
      </c>
      <c r="CV40">
        <v>2</v>
      </c>
      <c r="CW40" s="7" t="s">
        <v>291</v>
      </c>
      <c r="CX40" s="7" t="s">
        <v>292</v>
      </c>
      <c r="CY40">
        <v>6.97</v>
      </c>
      <c r="CZ40">
        <v>9.7759999999999998</v>
      </c>
      <c r="DA40">
        <v>10.651999999999999</v>
      </c>
      <c r="DB40">
        <v>2</v>
      </c>
      <c r="DC40" s="7" t="s">
        <v>295</v>
      </c>
      <c r="DD40" s="7" t="s">
        <v>292</v>
      </c>
      <c r="DE40">
        <v>6.7190000000000003</v>
      </c>
      <c r="DF40">
        <v>8.4429999999999996</v>
      </c>
      <c r="DG40">
        <v>9.4689999999999994</v>
      </c>
      <c r="DH40">
        <v>2</v>
      </c>
      <c r="DI40" s="7" t="s">
        <v>298</v>
      </c>
      <c r="DJ40" s="7" t="s">
        <v>292</v>
      </c>
      <c r="DK40">
        <v>10.143000000000001</v>
      </c>
      <c r="DL40">
        <v>11.461</v>
      </c>
      <c r="DM40">
        <v>12.339</v>
      </c>
      <c r="DN40">
        <v>2</v>
      </c>
      <c r="DO40" s="7" t="s">
        <v>291</v>
      </c>
      <c r="DP40" s="7" t="s">
        <v>292</v>
      </c>
      <c r="DQ40">
        <v>9.8239999999999998</v>
      </c>
      <c r="DR40">
        <v>13.27</v>
      </c>
      <c r="DS40">
        <v>14.157</v>
      </c>
      <c r="DT40">
        <v>2</v>
      </c>
      <c r="DU40" s="7" t="s">
        <v>293</v>
      </c>
      <c r="DV40" s="7" t="s">
        <v>296</v>
      </c>
      <c r="DW40">
        <v>6.375</v>
      </c>
      <c r="DX40">
        <v>10.127000000000001</v>
      </c>
      <c r="DY40">
        <v>11.327999999999999</v>
      </c>
      <c r="DZ40">
        <v>2</v>
      </c>
      <c r="EA40" s="7" t="s">
        <v>299</v>
      </c>
      <c r="EB40" s="7" t="s">
        <v>296</v>
      </c>
      <c r="EC40">
        <v>6.1390000000000002</v>
      </c>
      <c r="ED40">
        <v>9.0909999999999993</v>
      </c>
      <c r="EE40">
        <v>10.837</v>
      </c>
      <c r="EF40">
        <v>2</v>
      </c>
      <c r="EG40" s="7" t="s">
        <v>298</v>
      </c>
      <c r="EH40" s="7" t="s">
        <v>292</v>
      </c>
      <c r="EI40">
        <v>6.7380000000000004</v>
      </c>
      <c r="EJ40">
        <v>9.3819999999999997</v>
      </c>
      <c r="EK40">
        <v>10.715</v>
      </c>
      <c r="EL40">
        <v>2</v>
      </c>
      <c r="EM40" s="7" t="s">
        <v>298</v>
      </c>
      <c r="EN40" s="7" t="s">
        <v>292</v>
      </c>
      <c r="EO40">
        <v>7.6719999999999997</v>
      </c>
      <c r="EP40">
        <v>9.5180000000000007</v>
      </c>
      <c r="EQ40">
        <v>10.335000000000001</v>
      </c>
      <c r="ER40">
        <v>2</v>
      </c>
      <c r="ES40" s="7" t="s">
        <v>291</v>
      </c>
      <c r="ET40" s="7" t="s">
        <v>292</v>
      </c>
      <c r="EU40">
        <v>12.855</v>
      </c>
      <c r="EV40">
        <v>14.127000000000001</v>
      </c>
      <c r="EW40">
        <v>16.108000000000001</v>
      </c>
      <c r="EX40">
        <v>2</v>
      </c>
      <c r="EY40" s="7" t="s">
        <v>300</v>
      </c>
      <c r="EZ40" s="7" t="s">
        <v>296</v>
      </c>
      <c r="FA40">
        <v>5.0190000000000001</v>
      </c>
      <c r="FB40">
        <v>23.562999999999999</v>
      </c>
      <c r="FC40">
        <v>24.268999999999998</v>
      </c>
      <c r="FD40">
        <v>2</v>
      </c>
      <c r="FE40" s="7" t="s">
        <v>301</v>
      </c>
      <c r="FF40" s="7" t="s">
        <v>292</v>
      </c>
      <c r="FG40">
        <v>5.399</v>
      </c>
      <c r="FH40">
        <v>12.981</v>
      </c>
      <c r="FI40">
        <v>14.067</v>
      </c>
      <c r="FJ40">
        <v>2</v>
      </c>
      <c r="FK40" s="7" t="s">
        <v>291</v>
      </c>
      <c r="FL40" s="7" t="s">
        <v>296</v>
      </c>
      <c r="FM40">
        <v>8.8030000000000008</v>
      </c>
      <c r="FN40">
        <v>12.372</v>
      </c>
      <c r="FO40">
        <v>13.545</v>
      </c>
      <c r="FP40">
        <v>2</v>
      </c>
      <c r="FQ40" s="7" t="s">
        <v>300</v>
      </c>
      <c r="FR40" s="7" t="s">
        <v>294</v>
      </c>
      <c r="FS40">
        <v>5.5090000000000003</v>
      </c>
      <c r="FT40">
        <v>7.0490000000000004</v>
      </c>
      <c r="FU40">
        <v>8.9410000000000007</v>
      </c>
      <c r="FV40">
        <v>2</v>
      </c>
      <c r="FW40" s="7" t="s">
        <v>301</v>
      </c>
      <c r="FX40" s="7" t="s">
        <v>292</v>
      </c>
      <c r="FY40">
        <v>9.9580000000000002</v>
      </c>
      <c r="FZ40">
        <v>11.628</v>
      </c>
      <c r="GA40">
        <v>12.75</v>
      </c>
      <c r="GB40">
        <v>2</v>
      </c>
      <c r="GC40" s="7" t="s">
        <v>291</v>
      </c>
      <c r="GD40" s="7" t="s">
        <v>296</v>
      </c>
      <c r="GE40">
        <v>8.6010000000000009</v>
      </c>
      <c r="GF40">
        <v>9.9160000000000004</v>
      </c>
      <c r="GG40">
        <v>10.958</v>
      </c>
      <c r="GH40">
        <v>2</v>
      </c>
      <c r="GI40" s="7" t="s">
        <v>300</v>
      </c>
      <c r="GJ40" s="7" t="s">
        <v>294</v>
      </c>
      <c r="GK40">
        <v>2.9590000000000001</v>
      </c>
      <c r="GL40">
        <v>5.0389999999999997</v>
      </c>
      <c r="GM40">
        <v>11.617000000000001</v>
      </c>
      <c r="GN40">
        <v>2</v>
      </c>
      <c r="GO40" s="7" t="s">
        <v>291</v>
      </c>
      <c r="GP40" s="7" t="s">
        <v>292</v>
      </c>
      <c r="GQ40">
        <v>13.510999999999999</v>
      </c>
      <c r="GR40">
        <v>15.305999999999999</v>
      </c>
      <c r="GS40">
        <v>16.442</v>
      </c>
      <c r="GT40">
        <v>2</v>
      </c>
      <c r="GU40" s="7" t="s">
        <v>291</v>
      </c>
      <c r="GV40" s="7" t="s">
        <v>294</v>
      </c>
      <c r="GW40">
        <v>7.3780000000000001</v>
      </c>
      <c r="GX40">
        <v>10.194000000000001</v>
      </c>
      <c r="GY40">
        <v>11.324</v>
      </c>
      <c r="GZ40">
        <v>2</v>
      </c>
      <c r="HA40" s="7" t="s">
        <v>300</v>
      </c>
      <c r="HB40" s="7" t="s">
        <v>296</v>
      </c>
      <c r="HC40">
        <v>4.2919999999999998</v>
      </c>
      <c r="HD40">
        <v>7.6150000000000002</v>
      </c>
      <c r="HE40">
        <v>12.225</v>
      </c>
      <c r="HF40">
        <v>2</v>
      </c>
      <c r="HG40" s="7" t="s">
        <v>291</v>
      </c>
      <c r="HH40" s="7" t="s">
        <v>292</v>
      </c>
      <c r="HI40">
        <v>12.417</v>
      </c>
      <c r="HJ40">
        <v>14.670999999999999</v>
      </c>
      <c r="HK40">
        <v>15.4</v>
      </c>
      <c r="HL40">
        <v>2</v>
      </c>
      <c r="HM40" s="7" t="s">
        <v>742</v>
      </c>
      <c r="HN40" s="7" t="s">
        <v>743</v>
      </c>
      <c r="HO40" s="7" t="s">
        <v>744</v>
      </c>
      <c r="HP40" s="7" t="s">
        <v>745</v>
      </c>
      <c r="HQ40" s="7" t="s">
        <v>746</v>
      </c>
      <c r="HR40" s="7" t="s">
        <v>747</v>
      </c>
      <c r="HS40" s="7" t="s">
        <v>748</v>
      </c>
      <c r="HT40" s="7" t="s">
        <v>749</v>
      </c>
      <c r="HU40" s="7" t="s">
        <v>750</v>
      </c>
      <c r="HV40" s="7" t="s">
        <v>751</v>
      </c>
      <c r="HW40" s="7" t="s">
        <v>752</v>
      </c>
      <c r="HX40" s="7" t="s">
        <v>282</v>
      </c>
      <c r="HY40" s="7" t="s">
        <v>312</v>
      </c>
      <c r="HZ40" s="7" t="s">
        <v>356</v>
      </c>
      <c r="IA40" s="7" t="s">
        <v>313</v>
      </c>
      <c r="IB40" s="7" t="s">
        <v>282</v>
      </c>
      <c r="IC40" s="7" t="s">
        <v>282</v>
      </c>
    </row>
    <row r="41" spans="1:237" x14ac:dyDescent="0.2">
      <c r="A41" s="6">
        <v>45748.476631944446</v>
      </c>
      <c r="B41" s="6">
        <v>45748.485115740739</v>
      </c>
      <c r="C41" s="7" t="s">
        <v>240</v>
      </c>
      <c r="D41" s="7" t="s">
        <v>753</v>
      </c>
      <c r="E41">
        <v>100</v>
      </c>
      <c r="F41">
        <v>733</v>
      </c>
      <c r="G41" s="7" t="s">
        <v>280</v>
      </c>
      <c r="H41" s="6">
        <v>45748.485129328707</v>
      </c>
      <c r="I41" s="7" t="s">
        <v>754</v>
      </c>
      <c r="J41" s="7" t="s">
        <v>282</v>
      </c>
      <c r="K41" s="7" t="s">
        <v>282</v>
      </c>
      <c r="L41" s="7" t="s">
        <v>282</v>
      </c>
      <c r="M41" s="7" t="s">
        <v>282</v>
      </c>
      <c r="N41">
        <v>49.463000000000001</v>
      </c>
      <c r="O41">
        <v>-112.66500000000001</v>
      </c>
      <c r="P41" s="7" t="s">
        <v>283</v>
      </c>
      <c r="Q41" s="7" t="s">
        <v>284</v>
      </c>
      <c r="R41">
        <v>1</v>
      </c>
      <c r="S41" s="7" t="s">
        <v>285</v>
      </c>
      <c r="T41" s="7" t="s">
        <v>285</v>
      </c>
      <c r="U41" s="7" t="s">
        <v>285</v>
      </c>
      <c r="V41" s="7" t="s">
        <v>285</v>
      </c>
      <c r="W41" s="7" t="s">
        <v>286</v>
      </c>
      <c r="X41" s="7" t="s">
        <v>402</v>
      </c>
      <c r="Y41" s="7" t="s">
        <v>288</v>
      </c>
      <c r="Z41" s="7" t="s">
        <v>288</v>
      </c>
      <c r="AA41" s="7" t="s">
        <v>289</v>
      </c>
      <c r="AB41" s="7" t="s">
        <v>289</v>
      </c>
      <c r="AC41" s="7" t="s">
        <v>291</v>
      </c>
      <c r="AD41" s="7" t="s">
        <v>292</v>
      </c>
      <c r="AE41">
        <v>5.7919999999999998</v>
      </c>
      <c r="AF41">
        <v>9.2609999999999992</v>
      </c>
      <c r="AG41">
        <v>9.9629999999999992</v>
      </c>
      <c r="AH41">
        <v>5</v>
      </c>
      <c r="AI41" s="7" t="s">
        <v>293</v>
      </c>
      <c r="AJ41" s="7" t="s">
        <v>296</v>
      </c>
      <c r="AK41">
        <v>5.64</v>
      </c>
      <c r="AL41">
        <v>9.3810000000000002</v>
      </c>
      <c r="AM41">
        <v>10.207000000000001</v>
      </c>
      <c r="AN41">
        <v>7</v>
      </c>
      <c r="AO41" s="7" t="s">
        <v>293</v>
      </c>
      <c r="AP41" s="7" t="s">
        <v>296</v>
      </c>
      <c r="AQ41">
        <v>2.855</v>
      </c>
      <c r="AR41">
        <v>10.41</v>
      </c>
      <c r="AS41">
        <v>10.9</v>
      </c>
      <c r="AT41">
        <v>9</v>
      </c>
      <c r="AU41" s="7" t="s">
        <v>299</v>
      </c>
      <c r="AV41" s="7" t="s">
        <v>292</v>
      </c>
      <c r="AW41">
        <v>1.5629999999999999</v>
      </c>
      <c r="AX41">
        <v>13.669</v>
      </c>
      <c r="AY41">
        <v>14.24</v>
      </c>
      <c r="AZ41">
        <v>8</v>
      </c>
      <c r="BA41" s="7" t="s">
        <v>299</v>
      </c>
      <c r="BB41" s="7" t="s">
        <v>296</v>
      </c>
      <c r="BC41">
        <v>1.56</v>
      </c>
      <c r="BD41">
        <v>12.052</v>
      </c>
      <c r="BE41">
        <v>12.678000000000001</v>
      </c>
      <c r="BF41">
        <v>8</v>
      </c>
      <c r="BG41" s="7" t="s">
        <v>291</v>
      </c>
      <c r="BH41" s="7" t="s">
        <v>296</v>
      </c>
      <c r="BI41">
        <v>4.0830000000000002</v>
      </c>
      <c r="BJ41">
        <v>19.827000000000002</v>
      </c>
      <c r="BK41">
        <v>20.542999999999999</v>
      </c>
      <c r="BL41">
        <v>13</v>
      </c>
      <c r="BM41" s="7" t="s">
        <v>293</v>
      </c>
      <c r="BN41" s="7" t="s">
        <v>296</v>
      </c>
      <c r="BO41">
        <v>7.8689999999999998</v>
      </c>
      <c r="BP41">
        <v>14.978</v>
      </c>
      <c r="BQ41">
        <v>15.871</v>
      </c>
      <c r="BR41">
        <v>12</v>
      </c>
      <c r="BS41" s="7" t="s">
        <v>293</v>
      </c>
      <c r="BT41" s="7" t="s">
        <v>292</v>
      </c>
      <c r="BU41">
        <v>1.617</v>
      </c>
      <c r="BV41">
        <v>11.811999999999999</v>
      </c>
      <c r="BW41">
        <v>12.207000000000001</v>
      </c>
      <c r="BX41">
        <v>8</v>
      </c>
      <c r="BY41" s="7" t="s">
        <v>299</v>
      </c>
      <c r="BZ41" s="7" t="s">
        <v>296</v>
      </c>
      <c r="CA41">
        <v>1.425</v>
      </c>
      <c r="CB41">
        <v>11.904</v>
      </c>
      <c r="CC41">
        <v>12.391</v>
      </c>
      <c r="CD41">
        <v>8</v>
      </c>
      <c r="CE41" s="7" t="s">
        <v>298</v>
      </c>
      <c r="CF41" s="7" t="s">
        <v>292</v>
      </c>
      <c r="CG41">
        <v>12.807</v>
      </c>
      <c r="CH41">
        <v>15.792999999999999</v>
      </c>
      <c r="CI41">
        <v>16.373999999999999</v>
      </c>
      <c r="CJ41">
        <v>8</v>
      </c>
      <c r="CK41" s="7" t="s">
        <v>291</v>
      </c>
      <c r="CL41" s="7" t="s">
        <v>296</v>
      </c>
      <c r="CM41">
        <v>2.48</v>
      </c>
      <c r="CN41">
        <v>13.247999999999999</v>
      </c>
      <c r="CO41">
        <v>13.641</v>
      </c>
      <c r="CP41">
        <v>11</v>
      </c>
      <c r="CQ41" s="7" t="s">
        <v>293</v>
      </c>
      <c r="CR41" s="7" t="s">
        <v>292</v>
      </c>
      <c r="CS41">
        <v>1.9490000000000001</v>
      </c>
      <c r="CT41">
        <v>17.218</v>
      </c>
      <c r="CU41">
        <v>17.75</v>
      </c>
      <c r="CV41">
        <v>9</v>
      </c>
      <c r="CW41" s="7" t="s">
        <v>299</v>
      </c>
      <c r="CX41" s="7" t="s">
        <v>292</v>
      </c>
      <c r="CY41">
        <v>7.17</v>
      </c>
      <c r="CZ41">
        <v>12.74</v>
      </c>
      <c r="DA41">
        <v>13.385999999999999</v>
      </c>
      <c r="DB41">
        <v>9</v>
      </c>
      <c r="DC41" s="7" t="s">
        <v>295</v>
      </c>
      <c r="DD41" s="7" t="s">
        <v>297</v>
      </c>
      <c r="DE41">
        <v>1.9350000000000001</v>
      </c>
      <c r="DF41">
        <v>11.173999999999999</v>
      </c>
      <c r="DG41">
        <v>12.074999999999999</v>
      </c>
      <c r="DH41">
        <v>11</v>
      </c>
      <c r="DI41" s="7" t="s">
        <v>298</v>
      </c>
      <c r="DJ41" s="7" t="s">
        <v>296</v>
      </c>
      <c r="DK41">
        <v>1.7010000000000001</v>
      </c>
      <c r="DL41">
        <v>12.081</v>
      </c>
      <c r="DM41">
        <v>12.68</v>
      </c>
      <c r="DN41">
        <v>11</v>
      </c>
      <c r="DO41" s="7" t="s">
        <v>291</v>
      </c>
      <c r="DP41" s="7" t="s">
        <v>292</v>
      </c>
      <c r="DQ41">
        <v>2.4790000000000001</v>
      </c>
      <c r="DR41">
        <v>11.353999999999999</v>
      </c>
      <c r="DS41">
        <v>11.84</v>
      </c>
      <c r="DT41">
        <v>9</v>
      </c>
      <c r="DU41" s="7" t="s">
        <v>293</v>
      </c>
      <c r="DV41" s="7" t="s">
        <v>296</v>
      </c>
      <c r="DW41">
        <v>6.5220000000000002</v>
      </c>
      <c r="DX41">
        <v>9.8089999999999993</v>
      </c>
      <c r="DY41">
        <v>10.37</v>
      </c>
      <c r="DZ41">
        <v>9</v>
      </c>
      <c r="EA41" s="7" t="s">
        <v>299</v>
      </c>
      <c r="EB41" s="7" t="s">
        <v>296</v>
      </c>
      <c r="EC41">
        <v>1.599</v>
      </c>
      <c r="ED41">
        <v>10.208</v>
      </c>
      <c r="EE41">
        <v>10.67</v>
      </c>
      <c r="EF41">
        <v>10</v>
      </c>
      <c r="EG41" s="7" t="s">
        <v>295</v>
      </c>
      <c r="EH41" s="7" t="s">
        <v>297</v>
      </c>
      <c r="EI41">
        <v>10.842000000000001</v>
      </c>
      <c r="EJ41">
        <v>14.983000000000001</v>
      </c>
      <c r="EK41">
        <v>15.444000000000001</v>
      </c>
      <c r="EL41">
        <v>8</v>
      </c>
      <c r="EM41" s="7" t="s">
        <v>298</v>
      </c>
      <c r="EN41" s="7" t="s">
        <v>296</v>
      </c>
      <c r="EO41">
        <v>3.2669999999999999</v>
      </c>
      <c r="EP41">
        <v>13.673999999999999</v>
      </c>
      <c r="EQ41">
        <v>14.045</v>
      </c>
      <c r="ER41">
        <v>10</v>
      </c>
      <c r="ES41" s="7" t="s">
        <v>291</v>
      </c>
      <c r="ET41" s="7" t="s">
        <v>296</v>
      </c>
      <c r="EU41">
        <v>3.2320000000000002</v>
      </c>
      <c r="EV41">
        <v>8.7650000000000006</v>
      </c>
      <c r="EW41">
        <v>9.657</v>
      </c>
      <c r="EX41">
        <v>7</v>
      </c>
      <c r="EY41" s="7" t="s">
        <v>300</v>
      </c>
      <c r="EZ41" s="7" t="s">
        <v>296</v>
      </c>
      <c r="FA41">
        <v>9.8089999999999993</v>
      </c>
      <c r="FB41">
        <v>12.887</v>
      </c>
      <c r="FC41">
        <v>13.798999999999999</v>
      </c>
      <c r="FD41">
        <v>7</v>
      </c>
      <c r="FE41" s="7" t="s">
        <v>300</v>
      </c>
      <c r="FF41" s="7" t="s">
        <v>296</v>
      </c>
      <c r="FG41">
        <v>3.4329999999999998</v>
      </c>
      <c r="FH41">
        <v>14.239000000000001</v>
      </c>
      <c r="FI41">
        <v>15.192</v>
      </c>
      <c r="FJ41">
        <v>12</v>
      </c>
      <c r="FK41" s="7" t="s">
        <v>291</v>
      </c>
      <c r="FL41" s="7" t="s">
        <v>292</v>
      </c>
      <c r="FM41">
        <v>2.58</v>
      </c>
      <c r="FN41">
        <v>12.813000000000001</v>
      </c>
      <c r="FO41">
        <v>13.478</v>
      </c>
      <c r="FP41">
        <v>11</v>
      </c>
      <c r="FQ41" s="7" t="s">
        <v>300</v>
      </c>
      <c r="FR41" s="7" t="s">
        <v>296</v>
      </c>
      <c r="FS41">
        <v>4.827</v>
      </c>
      <c r="FT41">
        <v>10.378</v>
      </c>
      <c r="FU41">
        <v>11.025</v>
      </c>
      <c r="FV41">
        <v>10</v>
      </c>
      <c r="FW41" s="7" t="s">
        <v>300</v>
      </c>
      <c r="FX41" s="7" t="s">
        <v>292</v>
      </c>
      <c r="FY41">
        <v>6.0789999999999997</v>
      </c>
      <c r="FZ41">
        <v>16.04</v>
      </c>
      <c r="GA41">
        <v>16.562999999999999</v>
      </c>
      <c r="GB41">
        <v>9</v>
      </c>
      <c r="GC41" s="7" t="s">
        <v>291</v>
      </c>
      <c r="GD41" s="7" t="s">
        <v>292</v>
      </c>
      <c r="GE41">
        <v>6.61</v>
      </c>
      <c r="GF41">
        <v>8.8130000000000006</v>
      </c>
      <c r="GG41">
        <v>9.5739999999999998</v>
      </c>
      <c r="GH41">
        <v>6</v>
      </c>
      <c r="GI41" s="7" t="s">
        <v>300</v>
      </c>
      <c r="GJ41" s="7" t="s">
        <v>296</v>
      </c>
      <c r="GK41">
        <v>4.7539999999999996</v>
      </c>
      <c r="GL41">
        <v>7.8390000000000004</v>
      </c>
      <c r="GM41">
        <v>8.85</v>
      </c>
      <c r="GN41">
        <v>8</v>
      </c>
      <c r="GO41" s="7" t="s">
        <v>301</v>
      </c>
      <c r="GP41" s="7" t="s">
        <v>296</v>
      </c>
      <c r="GQ41">
        <v>4.6449999999999996</v>
      </c>
      <c r="GR41">
        <v>8.7200000000000006</v>
      </c>
      <c r="GS41">
        <v>9.5190000000000001</v>
      </c>
      <c r="GT41">
        <v>8</v>
      </c>
      <c r="GU41" s="7" t="s">
        <v>291</v>
      </c>
      <c r="GV41" s="7" t="s">
        <v>292</v>
      </c>
      <c r="GW41">
        <v>2.3210000000000002</v>
      </c>
      <c r="GX41">
        <v>7.0739999999999998</v>
      </c>
      <c r="GY41">
        <v>8.69</v>
      </c>
      <c r="GZ41">
        <v>7</v>
      </c>
      <c r="HA41" s="7" t="s">
        <v>300</v>
      </c>
      <c r="HB41" s="7" t="s">
        <v>296</v>
      </c>
      <c r="HC41">
        <v>1.7989999999999999</v>
      </c>
      <c r="HD41">
        <v>7.7050000000000001</v>
      </c>
      <c r="HE41">
        <v>8.7040000000000006</v>
      </c>
      <c r="HF41">
        <v>9</v>
      </c>
      <c r="HG41" s="7" t="s">
        <v>301</v>
      </c>
      <c r="HH41" s="7" t="s">
        <v>292</v>
      </c>
      <c r="HI41">
        <v>2.3029999999999999</v>
      </c>
      <c r="HJ41">
        <v>10.089</v>
      </c>
      <c r="HK41">
        <v>10.878</v>
      </c>
      <c r="HL41">
        <v>10</v>
      </c>
      <c r="HM41" s="7" t="s">
        <v>755</v>
      </c>
      <c r="HN41" s="7" t="s">
        <v>756</v>
      </c>
      <c r="HO41" s="7" t="s">
        <v>757</v>
      </c>
      <c r="HP41" s="7" t="s">
        <v>758</v>
      </c>
      <c r="HQ41" s="7" t="s">
        <v>759</v>
      </c>
      <c r="HR41" s="7" t="s">
        <v>760</v>
      </c>
      <c r="HS41" s="7" t="s">
        <v>761</v>
      </c>
      <c r="HT41" s="7" t="s">
        <v>762</v>
      </c>
      <c r="HU41" s="7" t="s">
        <v>763</v>
      </c>
      <c r="HV41" s="7" t="s">
        <v>763</v>
      </c>
      <c r="HW41" s="7" t="s">
        <v>282</v>
      </c>
      <c r="HX41" s="7" t="s">
        <v>282</v>
      </c>
      <c r="HY41" s="7" t="s">
        <v>312</v>
      </c>
      <c r="HZ41" s="7" t="s">
        <v>372</v>
      </c>
      <c r="IA41" s="7" t="s">
        <v>325</v>
      </c>
      <c r="IB41" s="7" t="s">
        <v>282</v>
      </c>
      <c r="IC41" s="7" t="s">
        <v>282</v>
      </c>
    </row>
    <row r="42" spans="1:237" x14ac:dyDescent="0.2">
      <c r="A42" s="6">
        <v>45748.464768518519</v>
      </c>
      <c r="B42" s="6">
        <v>45748.485208333332</v>
      </c>
      <c r="C42" s="7" t="s">
        <v>240</v>
      </c>
      <c r="D42" s="7" t="s">
        <v>764</v>
      </c>
      <c r="E42">
        <v>100</v>
      </c>
      <c r="F42">
        <v>1766</v>
      </c>
      <c r="G42" s="7" t="s">
        <v>280</v>
      </c>
      <c r="H42" s="6">
        <v>45748.485223750002</v>
      </c>
      <c r="I42" s="7" t="s">
        <v>765</v>
      </c>
      <c r="J42" s="7" t="s">
        <v>282</v>
      </c>
      <c r="K42" s="7" t="s">
        <v>282</v>
      </c>
      <c r="L42" s="7" t="s">
        <v>282</v>
      </c>
      <c r="M42" s="7" t="s">
        <v>282</v>
      </c>
      <c r="N42">
        <v>49.235900000000001</v>
      </c>
      <c r="O42">
        <v>-123.15300000000001</v>
      </c>
      <c r="P42" s="7" t="s">
        <v>283</v>
      </c>
      <c r="Q42" s="7" t="s">
        <v>284</v>
      </c>
      <c r="R42">
        <v>1</v>
      </c>
      <c r="S42" s="7" t="s">
        <v>285</v>
      </c>
      <c r="T42" s="7" t="s">
        <v>285</v>
      </c>
      <c r="U42" s="7" t="s">
        <v>285</v>
      </c>
      <c r="V42" s="7" t="s">
        <v>285</v>
      </c>
      <c r="W42" s="7" t="s">
        <v>544</v>
      </c>
      <c r="X42" s="7" t="s">
        <v>558</v>
      </c>
      <c r="Y42" s="7" t="s">
        <v>288</v>
      </c>
      <c r="Z42" s="7" t="s">
        <v>289</v>
      </c>
      <c r="AA42" s="7" t="s">
        <v>289</v>
      </c>
      <c r="AB42" s="7" t="s">
        <v>317</v>
      </c>
      <c r="AC42" s="7" t="s">
        <v>291</v>
      </c>
      <c r="AD42" s="7" t="s">
        <v>292</v>
      </c>
      <c r="AE42">
        <v>7.0019999999999998</v>
      </c>
      <c r="AF42">
        <v>10.39</v>
      </c>
      <c r="AG42">
        <v>11.516999999999999</v>
      </c>
      <c r="AH42">
        <v>2</v>
      </c>
      <c r="AI42" s="7" t="s">
        <v>293</v>
      </c>
      <c r="AJ42" s="7" t="s">
        <v>297</v>
      </c>
      <c r="AK42">
        <v>9.5510000000000002</v>
      </c>
      <c r="AL42">
        <v>12.536</v>
      </c>
      <c r="AM42">
        <v>14.538</v>
      </c>
      <c r="AN42">
        <v>2</v>
      </c>
      <c r="AO42" s="7" t="s">
        <v>293</v>
      </c>
      <c r="AP42" s="7" t="s">
        <v>297</v>
      </c>
      <c r="AQ42">
        <v>9.0079999999999991</v>
      </c>
      <c r="AR42">
        <v>11.734999999999999</v>
      </c>
      <c r="AS42">
        <v>12.717000000000001</v>
      </c>
      <c r="AT42">
        <v>2</v>
      </c>
      <c r="AU42" s="7" t="s">
        <v>295</v>
      </c>
      <c r="AV42" s="7" t="s">
        <v>297</v>
      </c>
      <c r="AW42">
        <v>13.824</v>
      </c>
      <c r="AX42">
        <v>28.696000000000002</v>
      </c>
      <c r="AY42">
        <v>30.681000000000001</v>
      </c>
      <c r="AZ42">
        <v>3</v>
      </c>
      <c r="BA42" s="7" t="s">
        <v>299</v>
      </c>
      <c r="BB42" s="7" t="s">
        <v>296</v>
      </c>
      <c r="BC42">
        <v>10.064</v>
      </c>
      <c r="BD42">
        <v>15.956</v>
      </c>
      <c r="BE42">
        <v>17.129000000000001</v>
      </c>
      <c r="BF42">
        <v>2</v>
      </c>
      <c r="BG42" s="7" t="s">
        <v>291</v>
      </c>
      <c r="BH42" s="7" t="s">
        <v>296</v>
      </c>
      <c r="BI42">
        <v>12.336</v>
      </c>
      <c r="BJ42">
        <v>15.928000000000001</v>
      </c>
      <c r="BK42">
        <v>17.061</v>
      </c>
      <c r="BL42">
        <v>2</v>
      </c>
      <c r="BM42" s="7" t="s">
        <v>293</v>
      </c>
      <c r="BN42" s="7" t="s">
        <v>292</v>
      </c>
      <c r="BO42">
        <v>6.5330000000000004</v>
      </c>
      <c r="BP42">
        <v>11.821</v>
      </c>
      <c r="BQ42">
        <v>12.942</v>
      </c>
      <c r="BR42">
        <v>2</v>
      </c>
      <c r="BS42" s="7" t="s">
        <v>282</v>
      </c>
      <c r="BT42" s="7" t="s">
        <v>297</v>
      </c>
      <c r="BU42">
        <v>16.670000000000002</v>
      </c>
      <c r="BV42">
        <v>33.585000000000001</v>
      </c>
      <c r="BW42">
        <v>35.539000000000001</v>
      </c>
      <c r="BX42">
        <v>7</v>
      </c>
      <c r="BY42" s="7" t="s">
        <v>295</v>
      </c>
      <c r="BZ42" s="7" t="s">
        <v>330</v>
      </c>
      <c r="CA42">
        <v>10.733000000000001</v>
      </c>
      <c r="CB42">
        <v>13.079000000000001</v>
      </c>
      <c r="CC42">
        <v>14.134</v>
      </c>
      <c r="CD42">
        <v>2</v>
      </c>
      <c r="CE42" s="7" t="s">
        <v>293</v>
      </c>
      <c r="CF42" s="7" t="s">
        <v>292</v>
      </c>
      <c r="CG42">
        <v>12.581</v>
      </c>
      <c r="CH42">
        <v>16.727</v>
      </c>
      <c r="CI42">
        <v>17.814</v>
      </c>
      <c r="CJ42">
        <v>2</v>
      </c>
      <c r="CK42" s="7" t="s">
        <v>291</v>
      </c>
      <c r="CL42" s="7" t="s">
        <v>296</v>
      </c>
      <c r="CM42">
        <v>16.145</v>
      </c>
      <c r="CN42">
        <v>19.626000000000001</v>
      </c>
      <c r="CO42">
        <v>21.219000000000001</v>
      </c>
      <c r="CP42">
        <v>2</v>
      </c>
      <c r="CQ42" s="7" t="s">
        <v>293</v>
      </c>
      <c r="CR42" s="7" t="s">
        <v>296</v>
      </c>
      <c r="CS42">
        <v>9.8529999999999998</v>
      </c>
      <c r="CT42">
        <v>12.631</v>
      </c>
      <c r="CU42">
        <v>13.772</v>
      </c>
      <c r="CV42">
        <v>2</v>
      </c>
      <c r="CW42" s="7" t="s">
        <v>293</v>
      </c>
      <c r="CX42" s="7" t="s">
        <v>330</v>
      </c>
      <c r="CY42">
        <v>20.817</v>
      </c>
      <c r="CZ42">
        <v>24.940999999999999</v>
      </c>
      <c r="DA42">
        <v>26.196999999999999</v>
      </c>
      <c r="DB42">
        <v>2</v>
      </c>
      <c r="DC42" s="7" t="s">
        <v>298</v>
      </c>
      <c r="DD42" s="7" t="s">
        <v>330</v>
      </c>
      <c r="DE42">
        <v>49.86</v>
      </c>
      <c r="DF42">
        <v>52.741</v>
      </c>
      <c r="DG42">
        <v>53.877000000000002</v>
      </c>
      <c r="DH42">
        <v>2</v>
      </c>
      <c r="DI42" s="7" t="s">
        <v>298</v>
      </c>
      <c r="DJ42" s="7" t="s">
        <v>292</v>
      </c>
      <c r="DK42">
        <v>10.308999999999999</v>
      </c>
      <c r="DL42">
        <v>14.211</v>
      </c>
      <c r="DM42">
        <v>15.379</v>
      </c>
      <c r="DN42">
        <v>2</v>
      </c>
      <c r="DO42" s="7" t="s">
        <v>291</v>
      </c>
      <c r="DP42" s="7" t="s">
        <v>297</v>
      </c>
      <c r="DQ42">
        <v>8.6050000000000004</v>
      </c>
      <c r="DR42">
        <v>13.334</v>
      </c>
      <c r="DS42">
        <v>15</v>
      </c>
      <c r="DT42">
        <v>2</v>
      </c>
      <c r="DU42" s="7" t="s">
        <v>293</v>
      </c>
      <c r="DV42" s="7" t="s">
        <v>296</v>
      </c>
      <c r="DW42">
        <v>14.552</v>
      </c>
      <c r="DX42">
        <v>20.285</v>
      </c>
      <c r="DY42">
        <v>21.303999999999998</v>
      </c>
      <c r="DZ42">
        <v>4</v>
      </c>
      <c r="EA42" s="7" t="s">
        <v>299</v>
      </c>
      <c r="EB42" s="7" t="s">
        <v>297</v>
      </c>
      <c r="EC42">
        <v>18.381</v>
      </c>
      <c r="ED42">
        <v>23.568999999999999</v>
      </c>
      <c r="EE42">
        <v>24.741</v>
      </c>
      <c r="EF42">
        <v>2</v>
      </c>
      <c r="EG42" s="7" t="s">
        <v>298</v>
      </c>
      <c r="EH42" s="7" t="s">
        <v>297</v>
      </c>
      <c r="EI42">
        <v>27.152999999999999</v>
      </c>
      <c r="EJ42">
        <v>28.954999999999998</v>
      </c>
      <c r="EK42">
        <v>30.088999999999999</v>
      </c>
      <c r="EL42">
        <v>2</v>
      </c>
      <c r="EM42" s="7" t="s">
        <v>298</v>
      </c>
      <c r="EN42" s="7" t="s">
        <v>292</v>
      </c>
      <c r="EO42">
        <v>11.294</v>
      </c>
      <c r="EP42">
        <v>14.805</v>
      </c>
      <c r="EQ42">
        <v>16.675999999999998</v>
      </c>
      <c r="ER42">
        <v>2</v>
      </c>
      <c r="ES42" s="7" t="s">
        <v>291</v>
      </c>
      <c r="ET42" s="7" t="s">
        <v>296</v>
      </c>
      <c r="EU42">
        <v>6.52</v>
      </c>
      <c r="EV42">
        <v>8.7449999999999992</v>
      </c>
      <c r="EW42">
        <v>10.356999999999999</v>
      </c>
      <c r="EX42">
        <v>2</v>
      </c>
      <c r="EY42" s="7" t="s">
        <v>300</v>
      </c>
      <c r="EZ42" s="7" t="s">
        <v>296</v>
      </c>
      <c r="FA42">
        <v>6.74</v>
      </c>
      <c r="FB42">
        <v>10.319000000000001</v>
      </c>
      <c r="FC42">
        <v>11.451000000000001</v>
      </c>
      <c r="FD42">
        <v>2</v>
      </c>
      <c r="FE42" s="7" t="s">
        <v>301</v>
      </c>
      <c r="FF42" s="7" t="s">
        <v>297</v>
      </c>
      <c r="FG42">
        <v>8.4629999999999992</v>
      </c>
      <c r="FH42">
        <v>12.754</v>
      </c>
      <c r="FI42">
        <v>14.125</v>
      </c>
      <c r="FJ42">
        <v>2</v>
      </c>
      <c r="FK42" s="7" t="s">
        <v>291</v>
      </c>
      <c r="FL42" s="7" t="s">
        <v>292</v>
      </c>
      <c r="FM42">
        <v>5.5709999999999997</v>
      </c>
      <c r="FN42">
        <v>15.148</v>
      </c>
      <c r="FO42">
        <v>16.286000000000001</v>
      </c>
      <c r="FP42">
        <v>2</v>
      </c>
      <c r="FQ42" s="7" t="s">
        <v>300</v>
      </c>
      <c r="FR42" s="7" t="s">
        <v>296</v>
      </c>
      <c r="FS42">
        <v>9.532</v>
      </c>
      <c r="FT42">
        <v>13.494</v>
      </c>
      <c r="FU42">
        <v>14.348000000000001</v>
      </c>
      <c r="FV42">
        <v>4</v>
      </c>
      <c r="FW42" s="7" t="s">
        <v>301</v>
      </c>
      <c r="FX42" s="7" t="s">
        <v>296</v>
      </c>
      <c r="FY42">
        <v>7.0110000000000001</v>
      </c>
      <c r="FZ42">
        <v>11.335000000000001</v>
      </c>
      <c r="GA42">
        <v>12.398</v>
      </c>
      <c r="GB42">
        <v>3</v>
      </c>
      <c r="GC42" s="7" t="s">
        <v>291</v>
      </c>
      <c r="GD42" s="7" t="s">
        <v>292</v>
      </c>
      <c r="GE42">
        <v>5.1790000000000003</v>
      </c>
      <c r="GF42">
        <v>11.959</v>
      </c>
      <c r="GG42">
        <v>12.994</v>
      </c>
      <c r="GH42">
        <v>2</v>
      </c>
      <c r="GI42" s="7" t="s">
        <v>300</v>
      </c>
      <c r="GJ42" s="7" t="s">
        <v>296</v>
      </c>
      <c r="GK42">
        <v>8.4480000000000004</v>
      </c>
      <c r="GL42">
        <v>13.617000000000001</v>
      </c>
      <c r="GM42">
        <v>14.609</v>
      </c>
      <c r="GN42">
        <v>3</v>
      </c>
      <c r="GO42" s="7" t="s">
        <v>301</v>
      </c>
      <c r="GP42" s="7" t="s">
        <v>292</v>
      </c>
      <c r="GQ42">
        <v>8.093</v>
      </c>
      <c r="GR42">
        <v>11.5</v>
      </c>
      <c r="GS42">
        <v>12.635999999999999</v>
      </c>
      <c r="GT42">
        <v>2</v>
      </c>
      <c r="GU42" s="7" t="s">
        <v>291</v>
      </c>
      <c r="GV42" s="7" t="s">
        <v>292</v>
      </c>
      <c r="GW42">
        <v>6.2949999999999999</v>
      </c>
      <c r="GX42">
        <v>13.07</v>
      </c>
      <c r="GY42">
        <v>14.154</v>
      </c>
      <c r="GZ42">
        <v>2</v>
      </c>
      <c r="HA42" s="7" t="s">
        <v>300</v>
      </c>
      <c r="HB42" s="7" t="s">
        <v>296</v>
      </c>
      <c r="HC42">
        <v>6.0890000000000004</v>
      </c>
      <c r="HD42">
        <v>8.5380000000000003</v>
      </c>
      <c r="HE42">
        <v>9.6289999999999996</v>
      </c>
      <c r="HF42">
        <v>2</v>
      </c>
      <c r="HG42" s="7" t="s">
        <v>300</v>
      </c>
      <c r="HH42" s="7" t="s">
        <v>292</v>
      </c>
      <c r="HI42">
        <v>9.8480000000000008</v>
      </c>
      <c r="HJ42">
        <v>12.919</v>
      </c>
      <c r="HK42">
        <v>14.664</v>
      </c>
      <c r="HL42">
        <v>2</v>
      </c>
      <c r="HM42" s="7" t="s">
        <v>766</v>
      </c>
      <c r="HN42" s="7" t="s">
        <v>766</v>
      </c>
      <c r="HO42" s="7" t="s">
        <v>767</v>
      </c>
      <c r="HP42" s="7" t="s">
        <v>767</v>
      </c>
      <c r="HQ42" s="7" t="s">
        <v>768</v>
      </c>
      <c r="HR42" s="7" t="s">
        <v>769</v>
      </c>
      <c r="HS42" s="7" t="s">
        <v>770</v>
      </c>
      <c r="HT42" s="7" t="s">
        <v>770</v>
      </c>
      <c r="HU42" s="7" t="s">
        <v>771</v>
      </c>
      <c r="HV42" s="7" t="s">
        <v>772</v>
      </c>
      <c r="HW42" s="7" t="s">
        <v>773</v>
      </c>
      <c r="HX42" s="7" t="s">
        <v>282</v>
      </c>
      <c r="HY42" s="7" t="s">
        <v>312</v>
      </c>
      <c r="HZ42" s="7" t="s">
        <v>372</v>
      </c>
      <c r="IA42" s="7" t="s">
        <v>325</v>
      </c>
      <c r="IB42" s="7" t="s">
        <v>282</v>
      </c>
      <c r="IC42" s="7" t="s">
        <v>282</v>
      </c>
    </row>
    <row r="43" spans="1:237" x14ac:dyDescent="0.2">
      <c r="A43" s="6">
        <v>45748.466944444444</v>
      </c>
      <c r="B43" s="6">
        <v>45748.500324074077</v>
      </c>
      <c r="C43" s="7" t="s">
        <v>240</v>
      </c>
      <c r="D43" s="7" t="s">
        <v>774</v>
      </c>
      <c r="E43">
        <v>100</v>
      </c>
      <c r="F43">
        <v>2884</v>
      </c>
      <c r="G43" s="7" t="s">
        <v>280</v>
      </c>
      <c r="H43" s="6">
        <v>45748.500343217594</v>
      </c>
      <c r="I43" s="7" t="s">
        <v>775</v>
      </c>
      <c r="J43" s="7" t="s">
        <v>282</v>
      </c>
      <c r="K43" s="7" t="s">
        <v>282</v>
      </c>
      <c r="L43" s="7" t="s">
        <v>282</v>
      </c>
      <c r="M43" s="7" t="s">
        <v>282</v>
      </c>
      <c r="N43">
        <v>-37.8964</v>
      </c>
      <c r="O43">
        <v>145.07990000000001</v>
      </c>
      <c r="P43" s="7" t="s">
        <v>283</v>
      </c>
      <c r="Q43" s="7" t="s">
        <v>284</v>
      </c>
      <c r="R43">
        <v>0.89999997615814209</v>
      </c>
      <c r="S43" s="7" t="s">
        <v>285</v>
      </c>
      <c r="T43" s="7" t="s">
        <v>285</v>
      </c>
      <c r="U43" s="7" t="s">
        <v>285</v>
      </c>
      <c r="V43" s="7" t="s">
        <v>285</v>
      </c>
      <c r="W43" s="7" t="s">
        <v>412</v>
      </c>
      <c r="X43" s="7" t="s">
        <v>776</v>
      </c>
      <c r="Y43" s="7" t="s">
        <v>288</v>
      </c>
      <c r="Z43" s="7" t="s">
        <v>317</v>
      </c>
      <c r="AA43" s="7" t="s">
        <v>289</v>
      </c>
      <c r="AB43" s="7" t="s">
        <v>317</v>
      </c>
      <c r="AC43" s="7" t="s">
        <v>291</v>
      </c>
      <c r="AD43" s="7" t="s">
        <v>297</v>
      </c>
      <c r="AE43">
        <v>55.576999999999998</v>
      </c>
      <c r="AF43">
        <v>57.192999999999998</v>
      </c>
      <c r="AG43">
        <v>58.619</v>
      </c>
      <c r="AH43">
        <v>3</v>
      </c>
      <c r="AI43" s="7" t="s">
        <v>293</v>
      </c>
      <c r="AJ43" s="7" t="s">
        <v>292</v>
      </c>
      <c r="AK43">
        <v>10.86</v>
      </c>
      <c r="AL43">
        <v>20.102</v>
      </c>
      <c r="AM43">
        <v>20.940999999999999</v>
      </c>
      <c r="AN43">
        <v>3</v>
      </c>
      <c r="AO43" s="7" t="s">
        <v>293</v>
      </c>
      <c r="AP43" s="7" t="s">
        <v>292</v>
      </c>
      <c r="AQ43">
        <v>10.853</v>
      </c>
      <c r="AR43">
        <v>13.005000000000001</v>
      </c>
      <c r="AS43">
        <v>13.539</v>
      </c>
      <c r="AT43">
        <v>3</v>
      </c>
      <c r="AU43" s="7" t="s">
        <v>295</v>
      </c>
      <c r="AV43" s="7" t="s">
        <v>297</v>
      </c>
      <c r="AW43">
        <v>11.099</v>
      </c>
      <c r="AX43">
        <v>11.946999999999999</v>
      </c>
      <c r="AY43">
        <v>13.127000000000001</v>
      </c>
      <c r="AZ43">
        <v>2</v>
      </c>
      <c r="BA43" s="7" t="s">
        <v>295</v>
      </c>
      <c r="BB43" s="7" t="s">
        <v>297</v>
      </c>
      <c r="BC43">
        <v>8.2119999999999997</v>
      </c>
      <c r="BD43">
        <v>9.9570000000000007</v>
      </c>
      <c r="BE43">
        <v>10.714</v>
      </c>
      <c r="BF43">
        <v>3</v>
      </c>
      <c r="BG43" s="7" t="s">
        <v>291</v>
      </c>
      <c r="BH43" s="7" t="s">
        <v>297</v>
      </c>
      <c r="BI43">
        <v>8.1259999999999994</v>
      </c>
      <c r="BJ43">
        <v>10.007</v>
      </c>
      <c r="BK43">
        <v>11.000999999999999</v>
      </c>
      <c r="BL43">
        <v>3</v>
      </c>
      <c r="BM43" s="7" t="s">
        <v>293</v>
      </c>
      <c r="BN43" s="7" t="s">
        <v>292</v>
      </c>
      <c r="BO43">
        <v>7.7869999999999999</v>
      </c>
      <c r="BP43">
        <v>8.8350000000000009</v>
      </c>
      <c r="BQ43">
        <v>9.3490000000000002</v>
      </c>
      <c r="BR43">
        <v>2</v>
      </c>
      <c r="BS43" s="7" t="s">
        <v>291</v>
      </c>
      <c r="BT43" s="7" t="s">
        <v>297</v>
      </c>
      <c r="BU43">
        <v>5.9809999999999999</v>
      </c>
      <c r="BV43">
        <v>8.798</v>
      </c>
      <c r="BW43">
        <v>9.4619999999999997</v>
      </c>
      <c r="BX43">
        <v>3</v>
      </c>
      <c r="BY43" s="7" t="s">
        <v>295</v>
      </c>
      <c r="BZ43" s="7" t="s">
        <v>297</v>
      </c>
      <c r="CA43">
        <v>9.7040000000000006</v>
      </c>
      <c r="CB43">
        <v>13.186999999999999</v>
      </c>
      <c r="CC43">
        <v>13.718</v>
      </c>
      <c r="CD43">
        <v>3</v>
      </c>
      <c r="CE43" s="7" t="s">
        <v>299</v>
      </c>
      <c r="CF43" s="7" t="s">
        <v>292</v>
      </c>
      <c r="CG43">
        <v>8.6869999999999994</v>
      </c>
      <c r="CH43">
        <v>11.855</v>
      </c>
      <c r="CI43">
        <v>12.645</v>
      </c>
      <c r="CJ43">
        <v>4</v>
      </c>
      <c r="CK43" s="7" t="s">
        <v>291</v>
      </c>
      <c r="CL43" s="7" t="s">
        <v>292</v>
      </c>
      <c r="CM43">
        <v>8.141</v>
      </c>
      <c r="CN43">
        <v>10.15</v>
      </c>
      <c r="CO43">
        <v>12.114000000000001</v>
      </c>
      <c r="CP43">
        <v>2</v>
      </c>
      <c r="CQ43" s="7" t="s">
        <v>293</v>
      </c>
      <c r="CR43" s="7" t="s">
        <v>297</v>
      </c>
      <c r="CS43">
        <v>9.2110000000000003</v>
      </c>
      <c r="CT43">
        <v>10.317</v>
      </c>
      <c r="CU43">
        <v>11.12</v>
      </c>
      <c r="CV43">
        <v>2</v>
      </c>
      <c r="CW43" s="7" t="s">
        <v>291</v>
      </c>
      <c r="CX43" s="7" t="s">
        <v>297</v>
      </c>
      <c r="CY43">
        <v>6.5910000000000002</v>
      </c>
      <c r="CZ43">
        <v>7.7350000000000003</v>
      </c>
      <c r="DA43">
        <v>8.7149999999999999</v>
      </c>
      <c r="DB43">
        <v>2</v>
      </c>
      <c r="DC43" s="7" t="s">
        <v>295</v>
      </c>
      <c r="DD43" s="7" t="s">
        <v>297</v>
      </c>
      <c r="DE43">
        <v>13.342000000000001</v>
      </c>
      <c r="DF43">
        <v>20.844999999999999</v>
      </c>
      <c r="DG43">
        <v>21.58</v>
      </c>
      <c r="DH43">
        <v>4</v>
      </c>
      <c r="DI43" s="7" t="s">
        <v>299</v>
      </c>
      <c r="DJ43" s="7" t="s">
        <v>297</v>
      </c>
      <c r="DK43">
        <v>7.2069999999999999</v>
      </c>
      <c r="DL43">
        <v>64.98</v>
      </c>
      <c r="DM43">
        <v>65.748999999999995</v>
      </c>
      <c r="DN43">
        <v>13</v>
      </c>
      <c r="DO43" s="7" t="s">
        <v>291</v>
      </c>
      <c r="DP43" s="7" t="s">
        <v>297</v>
      </c>
      <c r="DQ43">
        <v>9.1679999999999993</v>
      </c>
      <c r="DR43">
        <v>12.734999999999999</v>
      </c>
      <c r="DS43">
        <v>13.46</v>
      </c>
      <c r="DT43">
        <v>2</v>
      </c>
      <c r="DU43" s="7" t="s">
        <v>293</v>
      </c>
      <c r="DV43" s="7" t="s">
        <v>297</v>
      </c>
      <c r="DW43">
        <v>6.4619999999999997</v>
      </c>
      <c r="DX43">
        <v>7.5330000000000004</v>
      </c>
      <c r="DY43">
        <v>8.8230000000000004</v>
      </c>
      <c r="DZ43">
        <v>2</v>
      </c>
      <c r="EA43" s="7" t="s">
        <v>298</v>
      </c>
      <c r="EB43" s="7" t="s">
        <v>297</v>
      </c>
      <c r="EC43">
        <v>11.503</v>
      </c>
      <c r="ED43">
        <v>13.179</v>
      </c>
      <c r="EE43">
        <v>13.773</v>
      </c>
      <c r="EF43">
        <v>2</v>
      </c>
      <c r="EG43" s="7" t="s">
        <v>298</v>
      </c>
      <c r="EH43" s="7" t="s">
        <v>297</v>
      </c>
      <c r="EI43">
        <v>11.39</v>
      </c>
      <c r="EJ43">
        <v>12.43</v>
      </c>
      <c r="EK43">
        <v>12.962</v>
      </c>
      <c r="EL43">
        <v>2</v>
      </c>
      <c r="EM43" s="7" t="s">
        <v>299</v>
      </c>
      <c r="EN43" s="7" t="s">
        <v>297</v>
      </c>
      <c r="EO43">
        <v>8.1910000000000007</v>
      </c>
      <c r="EP43">
        <v>9.0640000000000001</v>
      </c>
      <c r="EQ43">
        <v>9.8379999999999992</v>
      </c>
      <c r="ER43">
        <v>2</v>
      </c>
      <c r="ES43" s="7" t="s">
        <v>291</v>
      </c>
      <c r="ET43" s="7" t="s">
        <v>292</v>
      </c>
      <c r="EU43">
        <v>5.8529999999999998</v>
      </c>
      <c r="EV43">
        <v>7.74</v>
      </c>
      <c r="EW43">
        <v>9.1210000000000004</v>
      </c>
      <c r="EX43">
        <v>2</v>
      </c>
      <c r="EY43" s="7" t="s">
        <v>300</v>
      </c>
      <c r="EZ43" s="7" t="s">
        <v>292</v>
      </c>
      <c r="FA43">
        <v>5.3680000000000003</v>
      </c>
      <c r="FB43">
        <v>6.7990000000000004</v>
      </c>
      <c r="FC43">
        <v>10.491</v>
      </c>
      <c r="FD43">
        <v>2</v>
      </c>
      <c r="FE43" s="7" t="s">
        <v>301</v>
      </c>
      <c r="FF43" s="7" t="s">
        <v>292</v>
      </c>
      <c r="FG43">
        <v>4.6890000000000001</v>
      </c>
      <c r="FH43">
        <v>5.4450000000000003</v>
      </c>
      <c r="FI43">
        <v>10.77</v>
      </c>
      <c r="FJ43">
        <v>2</v>
      </c>
      <c r="FK43" s="7" t="s">
        <v>291</v>
      </c>
      <c r="FL43" s="7" t="s">
        <v>292</v>
      </c>
      <c r="FM43">
        <v>9.125</v>
      </c>
      <c r="FN43">
        <v>11.35</v>
      </c>
      <c r="FO43">
        <v>12.055</v>
      </c>
      <c r="FP43">
        <v>3</v>
      </c>
      <c r="FQ43" s="7" t="s">
        <v>300</v>
      </c>
      <c r="FR43" s="7" t="s">
        <v>292</v>
      </c>
      <c r="FS43">
        <v>4.9580000000000002</v>
      </c>
      <c r="FT43">
        <v>5.774</v>
      </c>
      <c r="FU43">
        <v>14.411</v>
      </c>
      <c r="FV43">
        <v>2</v>
      </c>
      <c r="FW43" s="7" t="s">
        <v>301</v>
      </c>
      <c r="FX43" s="7" t="s">
        <v>292</v>
      </c>
      <c r="FY43">
        <v>5.6619999999999999</v>
      </c>
      <c r="FZ43">
        <v>7.0469999999999997</v>
      </c>
      <c r="GA43">
        <v>9.4879999999999995</v>
      </c>
      <c r="GB43">
        <v>2</v>
      </c>
      <c r="GC43" s="7" t="s">
        <v>291</v>
      </c>
      <c r="GD43" s="7" t="s">
        <v>292</v>
      </c>
      <c r="GE43">
        <v>2.5169999999999999</v>
      </c>
      <c r="GF43">
        <v>14.651999999999999</v>
      </c>
      <c r="GG43">
        <v>16.015999999999998</v>
      </c>
      <c r="GH43">
        <v>5</v>
      </c>
      <c r="GI43" s="7" t="s">
        <v>300</v>
      </c>
      <c r="GJ43" s="7" t="s">
        <v>292</v>
      </c>
      <c r="GK43">
        <v>6.1769999999999996</v>
      </c>
      <c r="GL43">
        <v>7.5439999999999996</v>
      </c>
      <c r="GM43">
        <v>9.0510000000000002</v>
      </c>
      <c r="GN43">
        <v>2</v>
      </c>
      <c r="GO43" s="7" t="s">
        <v>301</v>
      </c>
      <c r="GP43" s="7" t="s">
        <v>292</v>
      </c>
      <c r="GQ43">
        <v>4.2510000000000003</v>
      </c>
      <c r="GR43">
        <v>5.3360000000000003</v>
      </c>
      <c r="GS43">
        <v>9.3970000000000002</v>
      </c>
      <c r="GT43">
        <v>2</v>
      </c>
      <c r="GU43" s="7" t="s">
        <v>291</v>
      </c>
      <c r="GV43" s="7" t="s">
        <v>292</v>
      </c>
      <c r="GW43">
        <v>74.257000000000005</v>
      </c>
      <c r="GX43">
        <v>76.866</v>
      </c>
      <c r="GY43">
        <v>78.227000000000004</v>
      </c>
      <c r="GZ43">
        <v>2</v>
      </c>
      <c r="HA43" s="7" t="s">
        <v>300</v>
      </c>
      <c r="HB43" s="7" t="s">
        <v>292</v>
      </c>
      <c r="HC43">
        <v>7.8079999999999998</v>
      </c>
      <c r="HD43">
        <v>9.1509999999999998</v>
      </c>
      <c r="HE43">
        <v>9.82</v>
      </c>
      <c r="HF43">
        <v>2</v>
      </c>
      <c r="HG43" s="7" t="s">
        <v>301</v>
      </c>
      <c r="HH43" s="7" t="s">
        <v>292</v>
      </c>
      <c r="HI43">
        <v>5.8929999999999998</v>
      </c>
      <c r="HJ43">
        <v>6.8140000000000001</v>
      </c>
      <c r="HK43">
        <v>9.0589999999999993</v>
      </c>
      <c r="HL43">
        <v>2</v>
      </c>
      <c r="HM43" s="7" t="s">
        <v>777</v>
      </c>
      <c r="HN43" s="7" t="s">
        <v>777</v>
      </c>
      <c r="HO43" s="7" t="s">
        <v>778</v>
      </c>
      <c r="HP43" s="7" t="s">
        <v>778</v>
      </c>
      <c r="HQ43" s="7" t="s">
        <v>779</v>
      </c>
      <c r="HR43" s="7" t="s">
        <v>779</v>
      </c>
      <c r="HS43" s="7" t="s">
        <v>780</v>
      </c>
      <c r="HT43" s="7" t="s">
        <v>780</v>
      </c>
      <c r="HU43" s="7" t="s">
        <v>780</v>
      </c>
      <c r="HV43" s="7" t="s">
        <v>781</v>
      </c>
      <c r="HW43" s="7" t="s">
        <v>282</v>
      </c>
      <c r="HX43" s="7" t="s">
        <v>282</v>
      </c>
      <c r="HY43" s="7" t="s">
        <v>312</v>
      </c>
      <c r="HZ43" s="7" t="s">
        <v>372</v>
      </c>
      <c r="IA43" s="7" t="s">
        <v>325</v>
      </c>
      <c r="IB43" s="7" t="s">
        <v>282</v>
      </c>
      <c r="IC43" s="7" t="s">
        <v>282</v>
      </c>
    </row>
    <row r="44" spans="1:237" x14ac:dyDescent="0.2">
      <c r="A44" s="6">
        <v>45748.487905092596</v>
      </c>
      <c r="B44" s="6">
        <v>45748.505810185183</v>
      </c>
      <c r="C44" s="7" t="s">
        <v>240</v>
      </c>
      <c r="D44" s="7" t="s">
        <v>782</v>
      </c>
      <c r="E44">
        <v>100</v>
      </c>
      <c r="F44">
        <v>1546</v>
      </c>
      <c r="G44" s="7" t="s">
        <v>280</v>
      </c>
      <c r="H44" s="6">
        <v>45748.505820497689</v>
      </c>
      <c r="I44" s="7" t="s">
        <v>783</v>
      </c>
      <c r="J44" s="7" t="s">
        <v>282</v>
      </c>
      <c r="K44" s="7" t="s">
        <v>282</v>
      </c>
      <c r="L44" s="7" t="s">
        <v>282</v>
      </c>
      <c r="M44" s="7" t="s">
        <v>282</v>
      </c>
      <c r="N44">
        <v>43.7012</v>
      </c>
      <c r="O44">
        <v>-79.387699999999995</v>
      </c>
      <c r="P44" s="7" t="s">
        <v>283</v>
      </c>
      <c r="Q44" s="7" t="s">
        <v>284</v>
      </c>
      <c r="R44">
        <v>0.89999997615814209</v>
      </c>
      <c r="S44" s="7" t="s">
        <v>285</v>
      </c>
      <c r="T44" s="7" t="s">
        <v>285</v>
      </c>
      <c r="U44" s="7" t="s">
        <v>285</v>
      </c>
      <c r="V44" s="7" t="s">
        <v>285</v>
      </c>
      <c r="W44" s="7" t="s">
        <v>359</v>
      </c>
      <c r="X44" s="7" t="s">
        <v>375</v>
      </c>
      <c r="Y44" s="7" t="s">
        <v>288</v>
      </c>
      <c r="Z44" s="7" t="s">
        <v>329</v>
      </c>
      <c r="AA44" s="7" t="s">
        <v>289</v>
      </c>
      <c r="AB44" s="7" t="s">
        <v>329</v>
      </c>
      <c r="AC44" s="7" t="s">
        <v>291</v>
      </c>
      <c r="AD44" s="7" t="s">
        <v>296</v>
      </c>
      <c r="AE44">
        <v>0.83299999999999996</v>
      </c>
      <c r="AF44">
        <v>11.885999999999999</v>
      </c>
      <c r="AG44">
        <v>12.433999999999999</v>
      </c>
      <c r="AH44">
        <v>5</v>
      </c>
      <c r="AI44" s="7" t="s">
        <v>293</v>
      </c>
      <c r="AJ44" s="7" t="s">
        <v>296</v>
      </c>
      <c r="AK44">
        <v>1.776</v>
      </c>
      <c r="AL44">
        <v>19.327999999999999</v>
      </c>
      <c r="AM44">
        <v>19.800999999999998</v>
      </c>
      <c r="AN44">
        <v>6</v>
      </c>
      <c r="AO44" s="7" t="s">
        <v>293</v>
      </c>
      <c r="AP44" s="7" t="s">
        <v>296</v>
      </c>
      <c r="AQ44">
        <v>0.76700000000000002</v>
      </c>
      <c r="AR44">
        <v>13.282999999999999</v>
      </c>
      <c r="AS44">
        <v>14.08</v>
      </c>
      <c r="AT44">
        <v>7</v>
      </c>
      <c r="AU44" s="7" t="s">
        <v>295</v>
      </c>
      <c r="AV44" s="7" t="s">
        <v>294</v>
      </c>
      <c r="AW44">
        <v>0.89600000000000002</v>
      </c>
      <c r="AX44">
        <v>12.627000000000001</v>
      </c>
      <c r="AY44">
        <v>13.175000000000001</v>
      </c>
      <c r="AZ44">
        <v>5</v>
      </c>
      <c r="BA44" s="7" t="s">
        <v>295</v>
      </c>
      <c r="BB44" s="7" t="s">
        <v>292</v>
      </c>
      <c r="BC44">
        <v>1.742</v>
      </c>
      <c r="BD44">
        <v>17.262</v>
      </c>
      <c r="BE44">
        <v>21.055</v>
      </c>
      <c r="BF44">
        <v>6</v>
      </c>
      <c r="BG44" s="7" t="s">
        <v>291</v>
      </c>
      <c r="BH44" s="7" t="s">
        <v>296</v>
      </c>
      <c r="BI44">
        <v>1.0549999999999999</v>
      </c>
      <c r="BJ44">
        <v>12.811</v>
      </c>
      <c r="BK44">
        <v>13.118</v>
      </c>
      <c r="BL44">
        <v>6</v>
      </c>
      <c r="BM44" s="7" t="s">
        <v>293</v>
      </c>
      <c r="BN44" s="7" t="s">
        <v>296</v>
      </c>
      <c r="BO44">
        <v>1.204</v>
      </c>
      <c r="BP44">
        <v>10.486000000000001</v>
      </c>
      <c r="BQ44">
        <v>10.7</v>
      </c>
      <c r="BR44">
        <v>6</v>
      </c>
      <c r="BS44" s="7" t="s">
        <v>291</v>
      </c>
      <c r="BT44" s="7" t="s">
        <v>294</v>
      </c>
      <c r="BU44">
        <v>1.5740000000000001</v>
      </c>
      <c r="BV44">
        <v>17.030999999999999</v>
      </c>
      <c r="BW44">
        <v>17.629000000000001</v>
      </c>
      <c r="BX44">
        <v>5</v>
      </c>
      <c r="BY44" s="7" t="s">
        <v>298</v>
      </c>
      <c r="BZ44" s="7" t="s">
        <v>296</v>
      </c>
      <c r="CA44">
        <v>0.79100000000000004</v>
      </c>
      <c r="CB44">
        <v>17.213000000000001</v>
      </c>
      <c r="CC44">
        <v>17.795000000000002</v>
      </c>
      <c r="CD44">
        <v>5</v>
      </c>
      <c r="CE44" s="7" t="s">
        <v>298</v>
      </c>
      <c r="CF44" s="7" t="s">
        <v>296</v>
      </c>
      <c r="CG44">
        <v>0.82599999999999996</v>
      </c>
      <c r="CH44">
        <v>10.413</v>
      </c>
      <c r="CI44">
        <v>11.119</v>
      </c>
      <c r="CJ44">
        <v>5</v>
      </c>
      <c r="CK44" s="7" t="s">
        <v>291</v>
      </c>
      <c r="CL44" s="7" t="s">
        <v>296</v>
      </c>
      <c r="CM44">
        <v>0.98499999999999999</v>
      </c>
      <c r="CN44">
        <v>12.103999999999999</v>
      </c>
      <c r="CO44">
        <v>12.526999999999999</v>
      </c>
      <c r="CP44">
        <v>6</v>
      </c>
      <c r="CQ44" s="7" t="s">
        <v>293</v>
      </c>
      <c r="CR44" s="7" t="s">
        <v>296</v>
      </c>
      <c r="CS44">
        <v>0.78700000000000003</v>
      </c>
      <c r="CT44">
        <v>16.201000000000001</v>
      </c>
      <c r="CU44">
        <v>16.716999999999999</v>
      </c>
      <c r="CV44">
        <v>5</v>
      </c>
      <c r="CW44" s="7" t="s">
        <v>291</v>
      </c>
      <c r="CX44" s="7" t="s">
        <v>292</v>
      </c>
      <c r="CY44">
        <v>0.89600000000000002</v>
      </c>
      <c r="CZ44">
        <v>12.847</v>
      </c>
      <c r="DA44">
        <v>13.396000000000001</v>
      </c>
      <c r="DB44">
        <v>7</v>
      </c>
      <c r="DC44" s="7" t="s">
        <v>299</v>
      </c>
      <c r="DD44" s="7" t="s">
        <v>292</v>
      </c>
      <c r="DE44">
        <v>0.91300000000000003</v>
      </c>
      <c r="DF44">
        <v>27.024000000000001</v>
      </c>
      <c r="DG44">
        <v>27.657</v>
      </c>
      <c r="DH44">
        <v>6</v>
      </c>
      <c r="DI44" s="7" t="s">
        <v>298</v>
      </c>
      <c r="DJ44" s="7" t="s">
        <v>294</v>
      </c>
      <c r="DK44">
        <v>0.82799999999999996</v>
      </c>
      <c r="DL44">
        <v>11.542</v>
      </c>
      <c r="DM44">
        <v>12.156000000000001</v>
      </c>
      <c r="DN44">
        <v>5</v>
      </c>
      <c r="DO44" s="7" t="s">
        <v>291</v>
      </c>
      <c r="DP44" s="7" t="s">
        <v>296</v>
      </c>
      <c r="DQ44">
        <v>1.032</v>
      </c>
      <c r="DR44">
        <v>13.574999999999999</v>
      </c>
      <c r="DS44">
        <v>13.9</v>
      </c>
      <c r="DT44">
        <v>6</v>
      </c>
      <c r="DU44" s="7" t="s">
        <v>293</v>
      </c>
      <c r="DV44" s="7" t="s">
        <v>294</v>
      </c>
      <c r="DW44">
        <v>1.2829999999999999</v>
      </c>
      <c r="DX44">
        <v>16.331</v>
      </c>
      <c r="DY44">
        <v>16.689</v>
      </c>
      <c r="DZ44">
        <v>6</v>
      </c>
      <c r="EA44" s="7" t="s">
        <v>299</v>
      </c>
      <c r="EB44" s="7" t="s">
        <v>292</v>
      </c>
      <c r="EC44">
        <v>0.88900000000000001</v>
      </c>
      <c r="ED44">
        <v>26.198</v>
      </c>
      <c r="EE44">
        <v>26.745000000000001</v>
      </c>
      <c r="EF44">
        <v>6</v>
      </c>
      <c r="EG44" s="7" t="s">
        <v>295</v>
      </c>
      <c r="EH44" s="7" t="s">
        <v>292</v>
      </c>
      <c r="EI44">
        <v>1.585</v>
      </c>
      <c r="EJ44">
        <v>33.116999999999997</v>
      </c>
      <c r="EK44">
        <v>33.531999999999996</v>
      </c>
      <c r="EL44">
        <v>7</v>
      </c>
      <c r="EM44" s="7" t="s">
        <v>298</v>
      </c>
      <c r="EN44" s="7" t="s">
        <v>296</v>
      </c>
      <c r="EO44">
        <v>0.82499999999999996</v>
      </c>
      <c r="EP44">
        <v>11.814</v>
      </c>
      <c r="EQ44">
        <v>12.516</v>
      </c>
      <c r="ER44">
        <v>7</v>
      </c>
      <c r="ES44" s="7" t="s">
        <v>291</v>
      </c>
      <c r="ET44" s="7" t="s">
        <v>292</v>
      </c>
      <c r="EU44">
        <v>1.071</v>
      </c>
      <c r="EV44">
        <v>19.481999999999999</v>
      </c>
      <c r="EW44">
        <v>20.062000000000001</v>
      </c>
      <c r="EX44">
        <v>5</v>
      </c>
      <c r="EY44" s="7" t="s">
        <v>619</v>
      </c>
      <c r="EZ44" s="7" t="s">
        <v>292</v>
      </c>
      <c r="FA44">
        <v>1.752</v>
      </c>
      <c r="FB44">
        <v>20.295999999999999</v>
      </c>
      <c r="FC44">
        <v>20.716999999999999</v>
      </c>
      <c r="FD44">
        <v>7</v>
      </c>
      <c r="FE44" s="7" t="s">
        <v>301</v>
      </c>
      <c r="FF44" s="7" t="s">
        <v>292</v>
      </c>
      <c r="FG44">
        <v>5.1509999999999998</v>
      </c>
      <c r="FH44">
        <v>39.860999999999997</v>
      </c>
      <c r="FI44">
        <v>40.5</v>
      </c>
      <c r="FJ44">
        <v>9</v>
      </c>
      <c r="FK44" s="7" t="s">
        <v>291</v>
      </c>
      <c r="FL44" s="7" t="s">
        <v>294</v>
      </c>
      <c r="FM44">
        <v>1.4319999999999999</v>
      </c>
      <c r="FN44">
        <v>17.513000000000002</v>
      </c>
      <c r="FO44">
        <v>17.986000000000001</v>
      </c>
      <c r="FP44">
        <v>8</v>
      </c>
      <c r="FQ44" s="7" t="s">
        <v>300</v>
      </c>
      <c r="FR44" s="7" t="s">
        <v>292</v>
      </c>
      <c r="FS44">
        <v>1.3080000000000001</v>
      </c>
      <c r="FT44">
        <v>14.981</v>
      </c>
      <c r="FU44">
        <v>15.369</v>
      </c>
      <c r="FV44">
        <v>6</v>
      </c>
      <c r="FW44" s="7" t="s">
        <v>301</v>
      </c>
      <c r="FX44" s="7" t="s">
        <v>294</v>
      </c>
      <c r="FY44">
        <v>0.95</v>
      </c>
      <c r="FZ44">
        <v>14.878</v>
      </c>
      <c r="GA44">
        <v>15.298999999999999</v>
      </c>
      <c r="GB44">
        <v>6</v>
      </c>
      <c r="GC44" s="7" t="s">
        <v>291</v>
      </c>
      <c r="GD44" s="7" t="s">
        <v>296</v>
      </c>
      <c r="GE44">
        <v>0.91800000000000004</v>
      </c>
      <c r="GF44">
        <v>17.768000000000001</v>
      </c>
      <c r="GG44">
        <v>18.155999999999999</v>
      </c>
      <c r="GH44">
        <v>7</v>
      </c>
      <c r="GI44" s="7" t="s">
        <v>300</v>
      </c>
      <c r="GJ44" s="7" t="s">
        <v>294</v>
      </c>
      <c r="GK44">
        <v>1.7190000000000001</v>
      </c>
      <c r="GL44">
        <v>19.053999999999998</v>
      </c>
      <c r="GM44">
        <v>19.425000000000001</v>
      </c>
      <c r="GN44">
        <v>8</v>
      </c>
      <c r="GO44" s="7" t="s">
        <v>291</v>
      </c>
      <c r="GP44" s="7" t="s">
        <v>296</v>
      </c>
      <c r="GQ44">
        <v>1.591</v>
      </c>
      <c r="GR44">
        <v>37.409999999999997</v>
      </c>
      <c r="GS44">
        <v>38.106000000000002</v>
      </c>
      <c r="GT44">
        <v>9</v>
      </c>
      <c r="GU44" s="7" t="s">
        <v>291</v>
      </c>
      <c r="GV44" s="7" t="s">
        <v>296</v>
      </c>
      <c r="GW44">
        <v>1.512</v>
      </c>
      <c r="GX44">
        <v>12.881</v>
      </c>
      <c r="GY44">
        <v>13.253</v>
      </c>
      <c r="GZ44">
        <v>7</v>
      </c>
      <c r="HA44" s="7" t="s">
        <v>291</v>
      </c>
      <c r="HB44" s="7" t="s">
        <v>292</v>
      </c>
      <c r="HC44">
        <v>2.677</v>
      </c>
      <c r="HD44">
        <v>24.463000000000001</v>
      </c>
      <c r="HE44">
        <v>24.835999999999999</v>
      </c>
      <c r="HF44">
        <v>7</v>
      </c>
      <c r="HG44" s="7" t="s">
        <v>291</v>
      </c>
      <c r="HH44" s="7" t="s">
        <v>296</v>
      </c>
      <c r="HI44">
        <v>1.06</v>
      </c>
      <c r="HJ44">
        <v>17.86</v>
      </c>
      <c r="HK44">
        <v>18.523</v>
      </c>
      <c r="HL44">
        <v>8</v>
      </c>
      <c r="HM44" s="7" t="s">
        <v>784</v>
      </c>
      <c r="HN44" s="7" t="s">
        <v>785</v>
      </c>
      <c r="HO44" s="7" t="s">
        <v>786</v>
      </c>
      <c r="HP44" s="7" t="s">
        <v>787</v>
      </c>
      <c r="HQ44" s="7" t="s">
        <v>788</v>
      </c>
      <c r="HR44" s="7" t="s">
        <v>789</v>
      </c>
      <c r="HS44" s="7" t="s">
        <v>790</v>
      </c>
      <c r="HT44" s="7" t="s">
        <v>791</v>
      </c>
      <c r="HU44" s="7" t="s">
        <v>792</v>
      </c>
      <c r="HV44" s="7" t="s">
        <v>793</v>
      </c>
      <c r="HW44" s="7" t="s">
        <v>794</v>
      </c>
      <c r="HX44" s="7" t="s">
        <v>282</v>
      </c>
      <c r="HY44" s="7" t="s">
        <v>312</v>
      </c>
      <c r="HZ44" s="7" t="s">
        <v>356</v>
      </c>
      <c r="IA44" s="7" t="s">
        <v>313</v>
      </c>
      <c r="IB44" s="7" t="s">
        <v>282</v>
      </c>
      <c r="IC44" s="7" t="s">
        <v>282</v>
      </c>
    </row>
    <row r="45" spans="1:237" x14ac:dyDescent="0.2">
      <c r="A45" s="6">
        <v>45748.460868055554</v>
      </c>
      <c r="B45" s="6">
        <v>45748.505937499998</v>
      </c>
      <c r="C45" s="7" t="s">
        <v>240</v>
      </c>
      <c r="D45" s="7" t="s">
        <v>795</v>
      </c>
      <c r="E45">
        <v>100</v>
      </c>
      <c r="F45">
        <v>3894</v>
      </c>
      <c r="G45" s="7" t="s">
        <v>280</v>
      </c>
      <c r="H45" s="6">
        <v>45748.505955451386</v>
      </c>
      <c r="I45" s="7" t="s">
        <v>796</v>
      </c>
      <c r="J45" s="7" t="s">
        <v>282</v>
      </c>
      <c r="K45" s="7" t="s">
        <v>282</v>
      </c>
      <c r="L45" s="7" t="s">
        <v>282</v>
      </c>
      <c r="M45" s="7" t="s">
        <v>282</v>
      </c>
      <c r="N45">
        <v>49.822099999999999</v>
      </c>
      <c r="O45">
        <v>-97.031499999999994</v>
      </c>
      <c r="P45" s="7" t="s">
        <v>283</v>
      </c>
      <c r="Q45" s="7" t="s">
        <v>284</v>
      </c>
      <c r="R45">
        <v>0.89999997615814209</v>
      </c>
      <c r="S45" s="7" t="s">
        <v>285</v>
      </c>
      <c r="T45" s="7" t="s">
        <v>285</v>
      </c>
      <c r="U45" s="7" t="s">
        <v>285</v>
      </c>
      <c r="V45" s="7" t="s">
        <v>285</v>
      </c>
      <c r="W45" s="7" t="s">
        <v>286</v>
      </c>
      <c r="X45" s="7" t="s">
        <v>797</v>
      </c>
      <c r="Y45" s="7" t="s">
        <v>288</v>
      </c>
      <c r="Z45" s="7" t="s">
        <v>289</v>
      </c>
      <c r="AA45" s="7" t="s">
        <v>289</v>
      </c>
      <c r="AB45" s="7" t="s">
        <v>317</v>
      </c>
      <c r="AC45" s="7" t="s">
        <v>295</v>
      </c>
      <c r="AD45" s="7" t="s">
        <v>297</v>
      </c>
      <c r="AE45">
        <v>12.528</v>
      </c>
      <c r="AF45">
        <v>24.646000000000001</v>
      </c>
      <c r="AG45">
        <v>25.977</v>
      </c>
      <c r="AH45">
        <v>10</v>
      </c>
      <c r="AI45" s="7" t="s">
        <v>299</v>
      </c>
      <c r="AJ45" s="7" t="s">
        <v>292</v>
      </c>
      <c r="AK45">
        <v>10.432</v>
      </c>
      <c r="AL45">
        <v>22.164999999999999</v>
      </c>
      <c r="AM45">
        <v>25.428999999999998</v>
      </c>
      <c r="AN45">
        <v>18</v>
      </c>
      <c r="AO45" s="7" t="s">
        <v>299</v>
      </c>
      <c r="AP45" s="7" t="s">
        <v>292</v>
      </c>
      <c r="AQ45">
        <v>17.582000000000001</v>
      </c>
      <c r="AR45">
        <v>27.606999999999999</v>
      </c>
      <c r="AS45">
        <v>28.834</v>
      </c>
      <c r="AT45">
        <v>11</v>
      </c>
      <c r="AU45" s="7" t="s">
        <v>293</v>
      </c>
      <c r="AV45" s="7" t="s">
        <v>292</v>
      </c>
      <c r="AW45">
        <v>20.003</v>
      </c>
      <c r="AX45">
        <v>29.952999999999999</v>
      </c>
      <c r="AY45">
        <v>31.135999999999999</v>
      </c>
      <c r="AZ45">
        <v>7</v>
      </c>
      <c r="BA45" s="7" t="s">
        <v>295</v>
      </c>
      <c r="BB45" s="7" t="s">
        <v>292</v>
      </c>
      <c r="BC45">
        <v>12.223000000000001</v>
      </c>
      <c r="BD45">
        <v>17.033999999999999</v>
      </c>
      <c r="BE45">
        <v>18.391999999999999</v>
      </c>
      <c r="BF45">
        <v>7</v>
      </c>
      <c r="BG45" s="7" t="s">
        <v>293</v>
      </c>
      <c r="BH45" s="7" t="s">
        <v>292</v>
      </c>
      <c r="BI45">
        <v>17.463000000000001</v>
      </c>
      <c r="BJ45">
        <v>33.087000000000003</v>
      </c>
      <c r="BK45">
        <v>34.415999999999997</v>
      </c>
      <c r="BL45">
        <v>10</v>
      </c>
      <c r="BM45" s="7" t="s">
        <v>293</v>
      </c>
      <c r="BN45" s="7" t="s">
        <v>292</v>
      </c>
      <c r="BO45">
        <v>6.9580000000000002</v>
      </c>
      <c r="BP45">
        <v>15.195</v>
      </c>
      <c r="BQ45">
        <v>16.859000000000002</v>
      </c>
      <c r="BR45">
        <v>9</v>
      </c>
      <c r="BS45" s="7" t="s">
        <v>291</v>
      </c>
      <c r="BT45" s="7" t="s">
        <v>297</v>
      </c>
      <c r="BU45">
        <v>51.1</v>
      </c>
      <c r="BV45">
        <v>58.637</v>
      </c>
      <c r="BW45">
        <v>59.936</v>
      </c>
      <c r="BX45">
        <v>8</v>
      </c>
      <c r="BY45" s="7" t="s">
        <v>295</v>
      </c>
      <c r="BZ45" s="7" t="s">
        <v>292</v>
      </c>
      <c r="CA45">
        <v>12.994999999999999</v>
      </c>
      <c r="CB45">
        <v>20.445</v>
      </c>
      <c r="CC45">
        <v>21.911999999999999</v>
      </c>
      <c r="CD45">
        <v>10</v>
      </c>
      <c r="CE45" s="7" t="s">
        <v>298</v>
      </c>
      <c r="CF45" s="7" t="s">
        <v>292</v>
      </c>
      <c r="CG45">
        <v>14.484999999999999</v>
      </c>
      <c r="CH45">
        <v>18.702999999999999</v>
      </c>
      <c r="CI45">
        <v>20.273</v>
      </c>
      <c r="CJ45">
        <v>7</v>
      </c>
      <c r="CK45" s="7" t="s">
        <v>291</v>
      </c>
      <c r="CL45" s="7" t="s">
        <v>292</v>
      </c>
      <c r="CM45">
        <v>7.3079999999999998</v>
      </c>
      <c r="CN45">
        <v>17.21</v>
      </c>
      <c r="CO45">
        <v>18.620999999999999</v>
      </c>
      <c r="CP45">
        <v>12</v>
      </c>
      <c r="CQ45" s="7" t="s">
        <v>293</v>
      </c>
      <c r="CR45" s="7" t="s">
        <v>297</v>
      </c>
      <c r="CS45">
        <v>13.041</v>
      </c>
      <c r="CT45">
        <v>26.960999999999999</v>
      </c>
      <c r="CU45">
        <v>28.395</v>
      </c>
      <c r="CV45">
        <v>12</v>
      </c>
      <c r="CW45" s="7" t="s">
        <v>291</v>
      </c>
      <c r="CX45" s="7" t="s">
        <v>297</v>
      </c>
      <c r="CY45">
        <v>20.004000000000001</v>
      </c>
      <c r="CZ45">
        <v>52.646999999999998</v>
      </c>
      <c r="DA45">
        <v>54.350999999999999</v>
      </c>
      <c r="DB45">
        <v>11</v>
      </c>
      <c r="DC45" s="7" t="s">
        <v>291</v>
      </c>
      <c r="DD45" s="7" t="s">
        <v>292</v>
      </c>
      <c r="DE45">
        <v>12.363</v>
      </c>
      <c r="DF45">
        <v>19.497</v>
      </c>
      <c r="DG45">
        <v>20.867999999999999</v>
      </c>
      <c r="DH45">
        <v>12</v>
      </c>
      <c r="DI45" s="7" t="s">
        <v>298</v>
      </c>
      <c r="DJ45" s="7" t="s">
        <v>292</v>
      </c>
      <c r="DK45">
        <v>21.76</v>
      </c>
      <c r="DL45">
        <v>27.257999999999999</v>
      </c>
      <c r="DM45">
        <v>28.762</v>
      </c>
      <c r="DN45">
        <v>8</v>
      </c>
      <c r="DO45" s="7" t="s">
        <v>291</v>
      </c>
      <c r="DP45" s="7" t="s">
        <v>292</v>
      </c>
      <c r="DQ45">
        <v>8.4570000000000007</v>
      </c>
      <c r="DR45">
        <v>14.250999999999999</v>
      </c>
      <c r="DS45">
        <v>16.349</v>
      </c>
      <c r="DT45">
        <v>8</v>
      </c>
      <c r="DU45" s="7" t="s">
        <v>293</v>
      </c>
      <c r="DV45" s="7" t="s">
        <v>292</v>
      </c>
      <c r="DW45">
        <v>9.5830000000000002</v>
      </c>
      <c r="DX45">
        <v>15.339</v>
      </c>
      <c r="DY45">
        <v>17.335999999999999</v>
      </c>
      <c r="DZ45">
        <v>8</v>
      </c>
      <c r="EA45" s="7" t="s">
        <v>299</v>
      </c>
      <c r="EB45" s="7" t="s">
        <v>297</v>
      </c>
      <c r="EC45">
        <v>10.573</v>
      </c>
      <c r="ED45">
        <v>20.556999999999999</v>
      </c>
      <c r="EE45">
        <v>22.155000000000001</v>
      </c>
      <c r="EF45">
        <v>8</v>
      </c>
      <c r="EG45" s="7" t="s">
        <v>295</v>
      </c>
      <c r="EH45" s="7" t="s">
        <v>292</v>
      </c>
      <c r="EI45">
        <v>14.215</v>
      </c>
      <c r="EJ45">
        <v>22.591000000000001</v>
      </c>
      <c r="EK45">
        <v>24.277999999999999</v>
      </c>
      <c r="EL45">
        <v>9</v>
      </c>
      <c r="EM45" s="7" t="s">
        <v>298</v>
      </c>
      <c r="EN45" s="7" t="s">
        <v>292</v>
      </c>
      <c r="EO45">
        <v>10.56</v>
      </c>
      <c r="EP45">
        <v>18.425999999999998</v>
      </c>
      <c r="EQ45">
        <v>19.97</v>
      </c>
      <c r="ER45">
        <v>10</v>
      </c>
      <c r="ES45" s="7" t="s">
        <v>291</v>
      </c>
      <c r="ET45" s="7" t="s">
        <v>292</v>
      </c>
      <c r="EU45">
        <v>3.839</v>
      </c>
      <c r="EV45">
        <v>12.329000000000001</v>
      </c>
      <c r="EW45">
        <v>12.968999999999999</v>
      </c>
      <c r="EX45">
        <v>6</v>
      </c>
      <c r="EY45" s="7" t="s">
        <v>300</v>
      </c>
      <c r="EZ45" s="7" t="s">
        <v>292</v>
      </c>
      <c r="FA45">
        <v>1.468</v>
      </c>
      <c r="FB45">
        <v>11.012</v>
      </c>
      <c r="FC45">
        <v>12.426</v>
      </c>
      <c r="FD45">
        <v>7</v>
      </c>
      <c r="FE45" s="7" t="s">
        <v>301</v>
      </c>
      <c r="FF45" s="7" t="s">
        <v>292</v>
      </c>
      <c r="FG45">
        <v>3.69</v>
      </c>
      <c r="FH45">
        <v>15.532999999999999</v>
      </c>
      <c r="FI45">
        <v>16.071999999999999</v>
      </c>
      <c r="FJ45">
        <v>9</v>
      </c>
      <c r="FK45" s="7" t="s">
        <v>291</v>
      </c>
      <c r="FL45" s="7" t="s">
        <v>292</v>
      </c>
      <c r="FM45">
        <v>1.423</v>
      </c>
      <c r="FN45">
        <v>11.475</v>
      </c>
      <c r="FO45">
        <v>12.134</v>
      </c>
      <c r="FP45">
        <v>7</v>
      </c>
      <c r="FQ45" s="7" t="s">
        <v>300</v>
      </c>
      <c r="FR45" s="7" t="s">
        <v>292</v>
      </c>
      <c r="FS45">
        <v>8.6959999999999997</v>
      </c>
      <c r="FT45">
        <v>12.756</v>
      </c>
      <c r="FU45">
        <v>13.244999999999999</v>
      </c>
      <c r="FV45">
        <v>6</v>
      </c>
      <c r="FW45" s="7" t="s">
        <v>301</v>
      </c>
      <c r="FX45" s="7" t="s">
        <v>292</v>
      </c>
      <c r="FY45">
        <v>4.0860000000000003</v>
      </c>
      <c r="FZ45">
        <v>8.7989999999999995</v>
      </c>
      <c r="GA45">
        <v>9.4760000000000009</v>
      </c>
      <c r="GB45">
        <v>6</v>
      </c>
      <c r="GC45" s="7" t="s">
        <v>291</v>
      </c>
      <c r="GD45" s="7" t="s">
        <v>292</v>
      </c>
      <c r="GE45">
        <v>6.4610000000000003</v>
      </c>
      <c r="GF45">
        <v>9.9339999999999993</v>
      </c>
      <c r="GG45">
        <v>10.375</v>
      </c>
      <c r="GH45">
        <v>5</v>
      </c>
      <c r="GI45" s="7" t="s">
        <v>300</v>
      </c>
      <c r="GJ45" s="7" t="s">
        <v>292</v>
      </c>
      <c r="GK45">
        <v>2.7269999999999999</v>
      </c>
      <c r="GL45">
        <v>9.8930000000000007</v>
      </c>
      <c r="GM45">
        <v>10.738</v>
      </c>
      <c r="GN45">
        <v>6</v>
      </c>
      <c r="GO45" s="7" t="s">
        <v>301</v>
      </c>
      <c r="GP45" s="7" t="s">
        <v>292</v>
      </c>
      <c r="GQ45">
        <v>2.649</v>
      </c>
      <c r="GR45">
        <v>10.201000000000001</v>
      </c>
      <c r="GS45">
        <v>11.082000000000001</v>
      </c>
      <c r="GT45">
        <v>6</v>
      </c>
      <c r="GU45" s="7" t="s">
        <v>291</v>
      </c>
      <c r="GV45" s="7" t="s">
        <v>292</v>
      </c>
      <c r="GW45">
        <v>3.7690000000000001</v>
      </c>
      <c r="GX45">
        <v>10.086</v>
      </c>
      <c r="GY45">
        <v>10.653</v>
      </c>
      <c r="GZ45">
        <v>8</v>
      </c>
      <c r="HA45" s="7" t="s">
        <v>300</v>
      </c>
      <c r="HB45" s="7" t="s">
        <v>292</v>
      </c>
      <c r="HC45">
        <v>2.2400000000000002</v>
      </c>
      <c r="HD45">
        <v>9.0950000000000006</v>
      </c>
      <c r="HE45">
        <v>11.093</v>
      </c>
      <c r="HF45">
        <v>8</v>
      </c>
      <c r="HG45" s="7" t="s">
        <v>282</v>
      </c>
      <c r="HH45" s="7" t="s">
        <v>292</v>
      </c>
      <c r="HI45">
        <v>12.061</v>
      </c>
      <c r="HJ45">
        <v>15.346</v>
      </c>
      <c r="HK45">
        <v>16.082999999999998</v>
      </c>
      <c r="HL45">
        <v>5</v>
      </c>
      <c r="HM45" s="7" t="s">
        <v>798</v>
      </c>
      <c r="HN45" s="7" t="s">
        <v>799</v>
      </c>
      <c r="HO45" s="7" t="s">
        <v>800</v>
      </c>
      <c r="HP45" s="7" t="s">
        <v>799</v>
      </c>
      <c r="HQ45" s="7" t="s">
        <v>801</v>
      </c>
      <c r="HR45" s="7" t="s">
        <v>802</v>
      </c>
      <c r="HS45" s="7" t="s">
        <v>803</v>
      </c>
      <c r="HT45" s="7" t="s">
        <v>799</v>
      </c>
      <c r="HU45" s="7" t="s">
        <v>804</v>
      </c>
      <c r="HV45" s="7" t="s">
        <v>799</v>
      </c>
      <c r="HW45" s="7" t="s">
        <v>282</v>
      </c>
      <c r="HX45" s="7" t="s">
        <v>282</v>
      </c>
      <c r="HY45" s="7" t="s">
        <v>312</v>
      </c>
      <c r="HZ45" s="7" t="s">
        <v>372</v>
      </c>
      <c r="IA45" s="7" t="s">
        <v>325</v>
      </c>
      <c r="IB45" s="7" t="s">
        <v>282</v>
      </c>
      <c r="IC45" s="7" t="s">
        <v>282</v>
      </c>
    </row>
    <row r="46" spans="1:237" x14ac:dyDescent="0.2">
      <c r="A46" s="6">
        <v>45748.491631944446</v>
      </c>
      <c r="B46" s="6">
        <v>45748.511087962965</v>
      </c>
      <c r="C46" s="7" t="s">
        <v>240</v>
      </c>
      <c r="D46" s="7" t="s">
        <v>805</v>
      </c>
      <c r="E46">
        <v>100</v>
      </c>
      <c r="F46">
        <v>1680</v>
      </c>
      <c r="G46" s="7" t="s">
        <v>280</v>
      </c>
      <c r="H46" s="6">
        <v>45748.511103333331</v>
      </c>
      <c r="I46" s="7" t="s">
        <v>806</v>
      </c>
      <c r="J46" s="7" t="s">
        <v>282</v>
      </c>
      <c r="K46" s="7" t="s">
        <v>282</v>
      </c>
      <c r="L46" s="7" t="s">
        <v>282</v>
      </c>
      <c r="M46" s="7" t="s">
        <v>282</v>
      </c>
      <c r="N46">
        <v>49.817900000000002</v>
      </c>
      <c r="O46">
        <v>-97.153499999999994</v>
      </c>
      <c r="P46" s="7" t="s">
        <v>283</v>
      </c>
      <c r="Q46" s="7" t="s">
        <v>284</v>
      </c>
      <c r="R46">
        <v>0.80000001192092896</v>
      </c>
      <c r="S46" s="7" t="s">
        <v>285</v>
      </c>
      <c r="T46" s="7" t="s">
        <v>285</v>
      </c>
      <c r="U46" s="7" t="s">
        <v>285</v>
      </c>
      <c r="V46" s="7" t="s">
        <v>285</v>
      </c>
      <c r="W46" s="7" t="s">
        <v>544</v>
      </c>
      <c r="X46" s="7" t="s">
        <v>402</v>
      </c>
      <c r="Y46" s="7" t="s">
        <v>288</v>
      </c>
      <c r="Z46" s="7" t="s">
        <v>289</v>
      </c>
      <c r="AA46" s="7" t="s">
        <v>289</v>
      </c>
      <c r="AB46" s="7" t="s">
        <v>317</v>
      </c>
      <c r="AC46" s="7" t="s">
        <v>291</v>
      </c>
      <c r="AD46" s="7" t="s">
        <v>292</v>
      </c>
      <c r="AE46">
        <v>11.231</v>
      </c>
      <c r="AF46">
        <v>14.31</v>
      </c>
      <c r="AG46">
        <v>15.353999999999999</v>
      </c>
      <c r="AH46">
        <v>5</v>
      </c>
      <c r="AI46" s="7" t="s">
        <v>293</v>
      </c>
      <c r="AJ46" s="7" t="s">
        <v>292</v>
      </c>
      <c r="AK46">
        <v>7.6630000000000003</v>
      </c>
      <c r="AL46">
        <v>10.347</v>
      </c>
      <c r="AM46">
        <v>11.122999999999999</v>
      </c>
      <c r="AN46">
        <v>6</v>
      </c>
      <c r="AO46" s="7" t="s">
        <v>293</v>
      </c>
      <c r="AP46" s="7" t="s">
        <v>292</v>
      </c>
      <c r="AQ46">
        <v>9.3140000000000001</v>
      </c>
      <c r="AR46">
        <v>12.935</v>
      </c>
      <c r="AS46">
        <v>13.849</v>
      </c>
      <c r="AT46">
        <v>5</v>
      </c>
      <c r="AU46" s="7" t="s">
        <v>295</v>
      </c>
      <c r="AV46" s="7" t="s">
        <v>296</v>
      </c>
      <c r="AW46">
        <v>0.29299999999999998</v>
      </c>
      <c r="AX46">
        <v>14.61</v>
      </c>
      <c r="AY46">
        <v>15.321999999999999</v>
      </c>
      <c r="AZ46">
        <v>8</v>
      </c>
      <c r="BA46" s="7" t="s">
        <v>295</v>
      </c>
      <c r="BB46" s="7" t="s">
        <v>292</v>
      </c>
      <c r="BC46">
        <v>5.7910000000000004</v>
      </c>
      <c r="BD46">
        <v>10.956</v>
      </c>
      <c r="BE46">
        <v>11.763999999999999</v>
      </c>
      <c r="BF46">
        <v>7</v>
      </c>
      <c r="BG46" s="7" t="s">
        <v>291</v>
      </c>
      <c r="BH46" s="7" t="s">
        <v>292</v>
      </c>
      <c r="BI46">
        <v>5.9249999999999998</v>
      </c>
      <c r="BJ46">
        <v>9.8840000000000003</v>
      </c>
      <c r="BK46">
        <v>10.615</v>
      </c>
      <c r="BL46">
        <v>6</v>
      </c>
      <c r="BM46" s="7" t="s">
        <v>293</v>
      </c>
      <c r="BN46" s="7" t="s">
        <v>292</v>
      </c>
      <c r="BO46">
        <v>5.391</v>
      </c>
      <c r="BP46">
        <v>9.4979999999999993</v>
      </c>
      <c r="BQ46">
        <v>10.185</v>
      </c>
      <c r="BR46">
        <v>5</v>
      </c>
      <c r="BS46" s="7" t="s">
        <v>291</v>
      </c>
      <c r="BT46" s="7" t="s">
        <v>292</v>
      </c>
      <c r="BU46">
        <v>95.274000000000001</v>
      </c>
      <c r="BV46">
        <v>99.132999999999996</v>
      </c>
      <c r="BW46">
        <v>99.632000000000005</v>
      </c>
      <c r="BX46">
        <v>7</v>
      </c>
      <c r="BY46" s="7" t="s">
        <v>295</v>
      </c>
      <c r="BZ46" s="7" t="s">
        <v>292</v>
      </c>
      <c r="CA46">
        <v>18.077000000000002</v>
      </c>
      <c r="CB46">
        <v>24.027999999999999</v>
      </c>
      <c r="CC46">
        <v>24.585999999999999</v>
      </c>
      <c r="CD46">
        <v>5</v>
      </c>
      <c r="CE46" s="7" t="s">
        <v>298</v>
      </c>
      <c r="CF46" s="7" t="s">
        <v>292</v>
      </c>
      <c r="CG46">
        <v>14.023999999999999</v>
      </c>
      <c r="CH46">
        <v>21.138000000000002</v>
      </c>
      <c r="CI46">
        <v>22.024999999999999</v>
      </c>
      <c r="CJ46">
        <v>6</v>
      </c>
      <c r="CK46" s="7" t="s">
        <v>291</v>
      </c>
      <c r="CL46" s="7" t="s">
        <v>292</v>
      </c>
      <c r="CM46">
        <v>7.8029999999999999</v>
      </c>
      <c r="CN46">
        <v>11.273999999999999</v>
      </c>
      <c r="CO46">
        <v>12.029</v>
      </c>
      <c r="CP46">
        <v>6</v>
      </c>
      <c r="CQ46" s="7" t="s">
        <v>293</v>
      </c>
      <c r="CR46" s="7" t="s">
        <v>292</v>
      </c>
      <c r="CS46">
        <v>6.9249999999999998</v>
      </c>
      <c r="CT46">
        <v>9.9090000000000007</v>
      </c>
      <c r="CU46">
        <v>10.627000000000001</v>
      </c>
      <c r="CV46">
        <v>7</v>
      </c>
      <c r="CW46" s="7" t="s">
        <v>298</v>
      </c>
      <c r="CX46" s="7" t="s">
        <v>297</v>
      </c>
      <c r="CY46">
        <v>8.5549999999999997</v>
      </c>
      <c r="CZ46">
        <v>14.843</v>
      </c>
      <c r="DA46">
        <v>15.513999999999999</v>
      </c>
      <c r="DB46">
        <v>8</v>
      </c>
      <c r="DC46" s="7" t="s">
        <v>295</v>
      </c>
      <c r="DD46" s="7" t="s">
        <v>292</v>
      </c>
      <c r="DE46">
        <v>7.484</v>
      </c>
      <c r="DF46">
        <v>16.390999999999998</v>
      </c>
      <c r="DG46">
        <v>17.37</v>
      </c>
      <c r="DH46">
        <v>6</v>
      </c>
      <c r="DI46" s="7" t="s">
        <v>291</v>
      </c>
      <c r="DJ46" s="7" t="s">
        <v>292</v>
      </c>
      <c r="DK46">
        <v>26.692</v>
      </c>
      <c r="DL46">
        <v>29.597000000000001</v>
      </c>
      <c r="DM46">
        <v>31.495000000000001</v>
      </c>
      <c r="DN46">
        <v>5</v>
      </c>
      <c r="DO46" s="7" t="s">
        <v>291</v>
      </c>
      <c r="DP46" s="7" t="s">
        <v>292</v>
      </c>
      <c r="DQ46">
        <v>10.561</v>
      </c>
      <c r="DR46">
        <v>14.454000000000001</v>
      </c>
      <c r="DS46">
        <v>15.449</v>
      </c>
      <c r="DT46">
        <v>7</v>
      </c>
      <c r="DU46" s="7" t="s">
        <v>293</v>
      </c>
      <c r="DV46" s="7" t="s">
        <v>292</v>
      </c>
      <c r="DW46">
        <v>5.3259999999999996</v>
      </c>
      <c r="DX46">
        <v>28.884</v>
      </c>
      <c r="DY46">
        <v>29.466999999999999</v>
      </c>
      <c r="DZ46">
        <v>8</v>
      </c>
      <c r="EA46" s="7" t="s">
        <v>299</v>
      </c>
      <c r="EB46" s="7" t="s">
        <v>292</v>
      </c>
      <c r="EC46">
        <v>9.8439999999999994</v>
      </c>
      <c r="ED46">
        <v>12.692</v>
      </c>
      <c r="EE46">
        <v>13.618</v>
      </c>
      <c r="EF46">
        <v>6</v>
      </c>
      <c r="EG46" s="7" t="s">
        <v>295</v>
      </c>
      <c r="EH46" s="7" t="s">
        <v>292</v>
      </c>
      <c r="EI46">
        <v>6.633</v>
      </c>
      <c r="EJ46">
        <v>11.348000000000001</v>
      </c>
      <c r="EK46">
        <v>22.600999999999999</v>
      </c>
      <c r="EL46">
        <v>7</v>
      </c>
      <c r="EM46" s="7" t="s">
        <v>291</v>
      </c>
      <c r="EN46" s="7" t="s">
        <v>292</v>
      </c>
      <c r="EO46">
        <v>5.0469999999999997</v>
      </c>
      <c r="EP46">
        <v>7.7350000000000003</v>
      </c>
      <c r="EQ46">
        <v>10.598000000000001</v>
      </c>
      <c r="ER46">
        <v>6</v>
      </c>
      <c r="ES46" s="7" t="s">
        <v>291</v>
      </c>
      <c r="ET46" s="7" t="s">
        <v>292</v>
      </c>
      <c r="EU46">
        <v>12.667</v>
      </c>
      <c r="EV46">
        <v>16.945</v>
      </c>
      <c r="EW46">
        <v>18.600999999999999</v>
      </c>
      <c r="EX46">
        <v>8</v>
      </c>
      <c r="EY46" s="7" t="s">
        <v>300</v>
      </c>
      <c r="EZ46" s="7" t="s">
        <v>296</v>
      </c>
      <c r="FA46">
        <v>12.696</v>
      </c>
      <c r="FB46">
        <v>15.795</v>
      </c>
      <c r="FC46">
        <v>16.646000000000001</v>
      </c>
      <c r="FD46">
        <v>4</v>
      </c>
      <c r="FE46" s="7" t="s">
        <v>301</v>
      </c>
      <c r="FF46" s="7" t="s">
        <v>292</v>
      </c>
      <c r="FG46">
        <v>6.4379999999999997</v>
      </c>
      <c r="FH46">
        <v>10.332000000000001</v>
      </c>
      <c r="FI46">
        <v>10.87</v>
      </c>
      <c r="FJ46">
        <v>7</v>
      </c>
      <c r="FK46" s="7" t="s">
        <v>291</v>
      </c>
      <c r="FL46" s="7" t="s">
        <v>292</v>
      </c>
      <c r="FM46">
        <v>6.1520000000000001</v>
      </c>
      <c r="FN46">
        <v>9.3719999999999999</v>
      </c>
      <c r="FO46">
        <v>9.8000000000000007</v>
      </c>
      <c r="FP46">
        <v>6</v>
      </c>
      <c r="FQ46" s="7" t="s">
        <v>300</v>
      </c>
      <c r="FR46" s="7" t="s">
        <v>292</v>
      </c>
      <c r="FS46">
        <v>4.4340000000000002</v>
      </c>
      <c r="FT46">
        <v>8.3670000000000009</v>
      </c>
      <c r="FU46">
        <v>9.1379999999999999</v>
      </c>
      <c r="FV46">
        <v>7</v>
      </c>
      <c r="FW46" s="7" t="s">
        <v>301</v>
      </c>
      <c r="FX46" s="7" t="s">
        <v>292</v>
      </c>
      <c r="FY46">
        <v>4.391</v>
      </c>
      <c r="FZ46">
        <v>9.3089999999999993</v>
      </c>
      <c r="GA46">
        <v>9.8469999999999995</v>
      </c>
      <c r="GB46">
        <v>7</v>
      </c>
      <c r="GC46" s="7" t="s">
        <v>291</v>
      </c>
      <c r="GD46" s="7" t="s">
        <v>292</v>
      </c>
      <c r="GE46">
        <v>16.847999999999999</v>
      </c>
      <c r="GF46">
        <v>19.216000000000001</v>
      </c>
      <c r="GG46">
        <v>19.821000000000002</v>
      </c>
      <c r="GH46">
        <v>5</v>
      </c>
      <c r="GI46" s="7" t="s">
        <v>300</v>
      </c>
      <c r="GJ46" s="7" t="s">
        <v>296</v>
      </c>
      <c r="GK46">
        <v>6.194</v>
      </c>
      <c r="GL46">
        <v>10.412000000000001</v>
      </c>
      <c r="GM46">
        <v>10.999000000000001</v>
      </c>
      <c r="GN46">
        <v>6</v>
      </c>
      <c r="GO46" s="7" t="s">
        <v>300</v>
      </c>
      <c r="GP46" s="7" t="s">
        <v>292</v>
      </c>
      <c r="GQ46">
        <v>12.943</v>
      </c>
      <c r="GR46">
        <v>22.04</v>
      </c>
      <c r="GS46">
        <v>23.233000000000001</v>
      </c>
      <c r="GT46">
        <v>7</v>
      </c>
      <c r="GU46" s="7" t="s">
        <v>291</v>
      </c>
      <c r="GV46" s="7" t="s">
        <v>292</v>
      </c>
      <c r="GW46">
        <v>7.5810000000000004</v>
      </c>
      <c r="GX46">
        <v>11.26</v>
      </c>
      <c r="GY46">
        <v>11.849</v>
      </c>
      <c r="GZ46">
        <v>6</v>
      </c>
      <c r="HA46" s="7" t="s">
        <v>300</v>
      </c>
      <c r="HB46" s="7" t="s">
        <v>296</v>
      </c>
      <c r="HC46">
        <v>5.0010000000000003</v>
      </c>
      <c r="HD46">
        <v>8.9740000000000002</v>
      </c>
      <c r="HE46">
        <v>9.6210000000000004</v>
      </c>
      <c r="HF46">
        <v>7</v>
      </c>
      <c r="HG46" s="7" t="s">
        <v>300</v>
      </c>
      <c r="HH46" s="7" t="s">
        <v>292</v>
      </c>
      <c r="HI46">
        <v>9.9169999999999998</v>
      </c>
      <c r="HJ46">
        <v>15.007</v>
      </c>
      <c r="HK46">
        <v>15.679</v>
      </c>
      <c r="HL46">
        <v>7</v>
      </c>
      <c r="HM46" s="7" t="s">
        <v>807</v>
      </c>
      <c r="HN46" s="7" t="s">
        <v>808</v>
      </c>
      <c r="HO46" s="7" t="s">
        <v>809</v>
      </c>
      <c r="HP46" s="7" t="s">
        <v>810</v>
      </c>
      <c r="HQ46" s="7" t="s">
        <v>811</v>
      </c>
      <c r="HR46" s="7" t="s">
        <v>812</v>
      </c>
      <c r="HS46" s="7" t="s">
        <v>308</v>
      </c>
      <c r="HT46" s="7" t="s">
        <v>813</v>
      </c>
      <c r="HU46" s="7" t="s">
        <v>814</v>
      </c>
      <c r="HV46" s="7" t="s">
        <v>815</v>
      </c>
      <c r="HW46" s="7" t="s">
        <v>282</v>
      </c>
      <c r="HX46" s="7" t="s">
        <v>282</v>
      </c>
      <c r="HY46" s="7" t="s">
        <v>312</v>
      </c>
      <c r="HZ46" s="7" t="s">
        <v>356</v>
      </c>
      <c r="IA46" s="7" t="s">
        <v>313</v>
      </c>
      <c r="IB46" s="7" t="s">
        <v>282</v>
      </c>
      <c r="IC46" s="7" t="s">
        <v>282</v>
      </c>
    </row>
    <row r="47" spans="1:237" x14ac:dyDescent="0.2">
      <c r="A47" s="6">
        <v>45748.529826388891</v>
      </c>
      <c r="B47" s="6">
        <v>45748.545729166668</v>
      </c>
      <c r="C47" s="7" t="s">
        <v>240</v>
      </c>
      <c r="D47" s="7" t="s">
        <v>816</v>
      </c>
      <c r="E47">
        <v>100</v>
      </c>
      <c r="F47">
        <v>1373</v>
      </c>
      <c r="G47" s="7" t="s">
        <v>280</v>
      </c>
      <c r="H47" s="6">
        <v>45748.545743252318</v>
      </c>
      <c r="I47" s="7" t="s">
        <v>817</v>
      </c>
      <c r="J47" s="7" t="s">
        <v>282</v>
      </c>
      <c r="K47" s="7" t="s">
        <v>282</v>
      </c>
      <c r="L47" s="7" t="s">
        <v>282</v>
      </c>
      <c r="M47" s="7" t="s">
        <v>282</v>
      </c>
      <c r="N47">
        <v>49.843200000000003</v>
      </c>
      <c r="O47">
        <v>-97.114099999999993</v>
      </c>
      <c r="P47" s="7" t="s">
        <v>283</v>
      </c>
      <c r="Q47" s="7" t="s">
        <v>284</v>
      </c>
      <c r="R47">
        <v>0.89999997615814209</v>
      </c>
      <c r="S47" s="7" t="s">
        <v>285</v>
      </c>
      <c r="T47" s="7" t="s">
        <v>285</v>
      </c>
      <c r="U47" s="7" t="s">
        <v>285</v>
      </c>
      <c r="V47" s="7" t="s">
        <v>285</v>
      </c>
      <c r="W47" s="7" t="s">
        <v>286</v>
      </c>
      <c r="X47" s="7" t="s">
        <v>818</v>
      </c>
      <c r="Y47" s="7" t="s">
        <v>288</v>
      </c>
      <c r="Z47" s="7" t="s">
        <v>329</v>
      </c>
      <c r="AA47" s="7" t="s">
        <v>329</v>
      </c>
      <c r="AB47" s="7" t="s">
        <v>290</v>
      </c>
      <c r="AC47" s="7" t="s">
        <v>291</v>
      </c>
      <c r="AD47" s="7" t="s">
        <v>296</v>
      </c>
      <c r="AE47">
        <v>0.73799999999999999</v>
      </c>
      <c r="AF47">
        <v>12.154999999999999</v>
      </c>
      <c r="AG47">
        <v>13.382999999999999</v>
      </c>
      <c r="AH47">
        <v>7</v>
      </c>
      <c r="AI47" s="7" t="s">
        <v>293</v>
      </c>
      <c r="AJ47" s="7" t="s">
        <v>296</v>
      </c>
      <c r="AK47">
        <v>1.1970000000000001</v>
      </c>
      <c r="AL47">
        <v>14.29</v>
      </c>
      <c r="AM47">
        <v>15.456</v>
      </c>
      <c r="AN47">
        <v>7</v>
      </c>
      <c r="AO47" s="7" t="s">
        <v>293</v>
      </c>
      <c r="AP47" s="7" t="s">
        <v>296</v>
      </c>
      <c r="AQ47">
        <v>1.6479999999999999</v>
      </c>
      <c r="AR47">
        <v>24.193999999999999</v>
      </c>
      <c r="AS47">
        <v>24.501000000000001</v>
      </c>
      <c r="AT47">
        <v>9</v>
      </c>
      <c r="AU47" s="7" t="s">
        <v>295</v>
      </c>
      <c r="AV47" s="7" t="s">
        <v>292</v>
      </c>
      <c r="AW47">
        <v>1.1619999999999999</v>
      </c>
      <c r="AX47">
        <v>24.463000000000001</v>
      </c>
      <c r="AY47">
        <v>25.643999999999998</v>
      </c>
      <c r="AZ47">
        <v>8</v>
      </c>
      <c r="BA47" s="7" t="s">
        <v>295</v>
      </c>
      <c r="BB47" s="7" t="s">
        <v>296</v>
      </c>
      <c r="BC47">
        <v>1.2090000000000001</v>
      </c>
      <c r="BD47">
        <v>14.206</v>
      </c>
      <c r="BE47">
        <v>14.675000000000001</v>
      </c>
      <c r="BF47">
        <v>6</v>
      </c>
      <c r="BG47" s="7" t="s">
        <v>291</v>
      </c>
      <c r="BH47" s="7" t="s">
        <v>292</v>
      </c>
      <c r="BI47">
        <v>1.3360000000000001</v>
      </c>
      <c r="BJ47">
        <v>20.661999999999999</v>
      </c>
      <c r="BK47">
        <v>21.765999999999998</v>
      </c>
      <c r="BL47">
        <v>10</v>
      </c>
      <c r="BM47" s="7" t="s">
        <v>293</v>
      </c>
      <c r="BN47" s="7" t="s">
        <v>296</v>
      </c>
      <c r="BO47">
        <v>1.1879999999999999</v>
      </c>
      <c r="BP47">
        <v>26.321999999999999</v>
      </c>
      <c r="BQ47">
        <v>27.433</v>
      </c>
      <c r="BR47">
        <v>13</v>
      </c>
      <c r="BS47" s="7" t="s">
        <v>291</v>
      </c>
      <c r="BT47" s="7" t="s">
        <v>296</v>
      </c>
      <c r="BU47">
        <v>3.9940000000000002</v>
      </c>
      <c r="BV47">
        <v>12.561</v>
      </c>
      <c r="BW47">
        <v>12.589</v>
      </c>
      <c r="BX47">
        <v>7</v>
      </c>
      <c r="BY47" s="7" t="s">
        <v>298</v>
      </c>
      <c r="BZ47" s="7" t="s">
        <v>297</v>
      </c>
      <c r="CA47">
        <v>0.96599999999999997</v>
      </c>
      <c r="CB47">
        <v>27.181000000000001</v>
      </c>
      <c r="CC47">
        <v>27.992999999999999</v>
      </c>
      <c r="CD47">
        <v>8</v>
      </c>
      <c r="CE47" s="7" t="s">
        <v>298</v>
      </c>
      <c r="CF47" s="7" t="s">
        <v>296</v>
      </c>
      <c r="CG47">
        <v>6.5350000000000001</v>
      </c>
      <c r="CH47">
        <v>22.388999999999999</v>
      </c>
      <c r="CI47">
        <v>24.689</v>
      </c>
      <c r="CJ47">
        <v>8</v>
      </c>
      <c r="CK47" s="7" t="s">
        <v>291</v>
      </c>
      <c r="CL47" s="7" t="s">
        <v>296</v>
      </c>
      <c r="CM47">
        <v>1.012</v>
      </c>
      <c r="CN47">
        <v>25.378</v>
      </c>
      <c r="CO47">
        <v>26.15</v>
      </c>
      <c r="CP47">
        <v>9</v>
      </c>
      <c r="CQ47" s="7" t="s">
        <v>293</v>
      </c>
      <c r="CR47" s="7" t="s">
        <v>296</v>
      </c>
      <c r="CS47">
        <v>2.0590000000000002</v>
      </c>
      <c r="CT47">
        <v>16.584</v>
      </c>
      <c r="CU47">
        <v>17.501000000000001</v>
      </c>
      <c r="CV47">
        <v>7</v>
      </c>
      <c r="CW47" s="7" t="s">
        <v>291</v>
      </c>
      <c r="CX47" s="7" t="s">
        <v>292</v>
      </c>
      <c r="CY47">
        <v>10.538</v>
      </c>
      <c r="CZ47">
        <v>23.254999999999999</v>
      </c>
      <c r="DA47">
        <v>24.388000000000002</v>
      </c>
      <c r="DB47">
        <v>6</v>
      </c>
      <c r="DC47" s="7" t="s">
        <v>295</v>
      </c>
      <c r="DD47" s="7" t="s">
        <v>292</v>
      </c>
      <c r="DE47">
        <v>2.3140000000000001</v>
      </c>
      <c r="DF47">
        <v>19.414999999999999</v>
      </c>
      <c r="DG47">
        <v>23.259</v>
      </c>
      <c r="DH47">
        <v>8</v>
      </c>
      <c r="DI47" s="7" t="s">
        <v>291</v>
      </c>
      <c r="DJ47" s="7" t="s">
        <v>296</v>
      </c>
      <c r="DK47">
        <v>14.28</v>
      </c>
      <c r="DL47">
        <v>47.872</v>
      </c>
      <c r="DM47">
        <v>48.613999999999997</v>
      </c>
      <c r="DN47">
        <v>10</v>
      </c>
      <c r="DO47" s="7" t="s">
        <v>291</v>
      </c>
      <c r="DP47" s="7" t="s">
        <v>296</v>
      </c>
      <c r="DQ47">
        <v>1.163</v>
      </c>
      <c r="DR47">
        <v>18.576000000000001</v>
      </c>
      <c r="DS47">
        <v>19.236999999999998</v>
      </c>
      <c r="DT47">
        <v>8</v>
      </c>
      <c r="DU47" s="7" t="s">
        <v>293</v>
      </c>
      <c r="DV47" s="7" t="s">
        <v>296</v>
      </c>
      <c r="DW47">
        <v>1.0149999999999999</v>
      </c>
      <c r="DX47">
        <v>20.233000000000001</v>
      </c>
      <c r="DY47">
        <v>20.893999999999998</v>
      </c>
      <c r="DZ47">
        <v>8</v>
      </c>
      <c r="EA47" s="7" t="s">
        <v>299</v>
      </c>
      <c r="EB47" s="7" t="s">
        <v>292</v>
      </c>
      <c r="EC47">
        <v>2.3809999999999998</v>
      </c>
      <c r="ED47">
        <v>17.131</v>
      </c>
      <c r="EE47">
        <v>18.212</v>
      </c>
      <c r="EF47">
        <v>6</v>
      </c>
      <c r="EG47" s="7" t="s">
        <v>295</v>
      </c>
      <c r="EH47" s="7" t="s">
        <v>292</v>
      </c>
      <c r="EI47">
        <v>0.77400000000000002</v>
      </c>
      <c r="EJ47">
        <v>17.379000000000001</v>
      </c>
      <c r="EK47">
        <v>18.088000000000001</v>
      </c>
      <c r="EL47">
        <v>8</v>
      </c>
      <c r="EM47" s="7" t="s">
        <v>291</v>
      </c>
      <c r="EN47" s="7" t="s">
        <v>296</v>
      </c>
      <c r="EO47">
        <v>1.24</v>
      </c>
      <c r="EP47">
        <v>16.852</v>
      </c>
      <c r="EQ47">
        <v>18.100999999999999</v>
      </c>
      <c r="ER47">
        <v>7</v>
      </c>
      <c r="ES47" s="7" t="s">
        <v>291</v>
      </c>
      <c r="ET47" s="7" t="s">
        <v>292</v>
      </c>
      <c r="EU47">
        <v>1.218</v>
      </c>
      <c r="EV47">
        <v>20.015000000000001</v>
      </c>
      <c r="EW47">
        <v>20.443000000000001</v>
      </c>
      <c r="EX47">
        <v>11</v>
      </c>
      <c r="EY47" s="7" t="s">
        <v>300</v>
      </c>
      <c r="EZ47" s="7" t="s">
        <v>296</v>
      </c>
      <c r="FA47">
        <v>2.4809999999999999</v>
      </c>
      <c r="FB47">
        <v>17.231999999999999</v>
      </c>
      <c r="FC47">
        <v>17.728999999999999</v>
      </c>
      <c r="FD47">
        <v>7</v>
      </c>
      <c r="FE47" s="7" t="s">
        <v>301</v>
      </c>
      <c r="FF47" s="7" t="s">
        <v>296</v>
      </c>
      <c r="FG47">
        <v>8.8179999999999996</v>
      </c>
      <c r="FH47">
        <v>27.138999999999999</v>
      </c>
      <c r="FI47">
        <v>27.869</v>
      </c>
      <c r="FJ47">
        <v>9</v>
      </c>
      <c r="FK47" s="7" t="s">
        <v>291</v>
      </c>
      <c r="FL47" s="7" t="s">
        <v>294</v>
      </c>
      <c r="FM47">
        <v>1.0860000000000001</v>
      </c>
      <c r="FN47">
        <v>15.355</v>
      </c>
      <c r="FO47">
        <v>16.079999999999998</v>
      </c>
      <c r="FP47">
        <v>9</v>
      </c>
      <c r="FQ47" s="7" t="s">
        <v>300</v>
      </c>
      <c r="FR47" s="7" t="s">
        <v>294</v>
      </c>
      <c r="FS47">
        <v>9.8230000000000004</v>
      </c>
      <c r="FT47">
        <v>14.805</v>
      </c>
      <c r="FU47">
        <v>16.5</v>
      </c>
      <c r="FV47">
        <v>5</v>
      </c>
      <c r="FW47" s="7" t="s">
        <v>301</v>
      </c>
      <c r="FX47" s="7" t="s">
        <v>292</v>
      </c>
      <c r="FY47">
        <v>1.1220000000000001</v>
      </c>
      <c r="FZ47">
        <v>17.172000000000001</v>
      </c>
      <c r="GA47">
        <v>17.773</v>
      </c>
      <c r="GB47">
        <v>6</v>
      </c>
      <c r="GC47" s="7" t="s">
        <v>291</v>
      </c>
      <c r="GD47" s="7" t="s">
        <v>292</v>
      </c>
      <c r="GE47">
        <v>1.365</v>
      </c>
      <c r="GF47">
        <v>23.795999999999999</v>
      </c>
      <c r="GG47">
        <v>24.850999999999999</v>
      </c>
      <c r="GH47">
        <v>13</v>
      </c>
      <c r="GI47" s="7" t="s">
        <v>300</v>
      </c>
      <c r="GJ47" s="7" t="s">
        <v>294</v>
      </c>
      <c r="GK47">
        <v>0.32300000000000001</v>
      </c>
      <c r="GL47">
        <v>21.381</v>
      </c>
      <c r="GM47">
        <v>21.978999999999999</v>
      </c>
      <c r="GN47">
        <v>12</v>
      </c>
      <c r="GO47" s="7" t="s">
        <v>301</v>
      </c>
      <c r="GP47" s="7" t="s">
        <v>292</v>
      </c>
      <c r="GQ47">
        <v>1.706</v>
      </c>
      <c r="GR47">
        <v>18.175999999999998</v>
      </c>
      <c r="GS47">
        <v>19.081</v>
      </c>
      <c r="GT47">
        <v>9</v>
      </c>
      <c r="GU47" s="7" t="s">
        <v>291</v>
      </c>
      <c r="GV47" s="7" t="s">
        <v>296</v>
      </c>
      <c r="GW47">
        <v>1.389</v>
      </c>
      <c r="GX47">
        <v>34.57</v>
      </c>
      <c r="GY47">
        <v>35.136000000000003</v>
      </c>
      <c r="GZ47">
        <v>7</v>
      </c>
      <c r="HA47" s="7" t="s">
        <v>300</v>
      </c>
      <c r="HB47" s="7" t="s">
        <v>296</v>
      </c>
      <c r="HC47">
        <v>1.6080000000000001</v>
      </c>
      <c r="HD47">
        <v>18.548999999999999</v>
      </c>
      <c r="HE47">
        <v>19.265999999999998</v>
      </c>
      <c r="HF47">
        <v>7</v>
      </c>
      <c r="HG47" s="7" t="s">
        <v>291</v>
      </c>
      <c r="HH47" s="7" t="s">
        <v>296</v>
      </c>
      <c r="HI47">
        <v>3.4020000000000001</v>
      </c>
      <c r="HJ47">
        <v>30.225999999999999</v>
      </c>
      <c r="HK47">
        <v>30.827999999999999</v>
      </c>
      <c r="HL47">
        <v>11</v>
      </c>
      <c r="HM47" s="7" t="s">
        <v>819</v>
      </c>
      <c r="HN47" s="7" t="s">
        <v>820</v>
      </c>
      <c r="HO47" s="7" t="s">
        <v>821</v>
      </c>
      <c r="HP47" s="7" t="s">
        <v>822</v>
      </c>
      <c r="HQ47" s="7" t="s">
        <v>823</v>
      </c>
      <c r="HR47" s="7" t="s">
        <v>824</v>
      </c>
      <c r="HS47" s="7" t="s">
        <v>825</v>
      </c>
      <c r="HT47" s="7" t="s">
        <v>826</v>
      </c>
      <c r="HU47" s="7" t="s">
        <v>827</v>
      </c>
      <c r="HV47" s="7" t="s">
        <v>828</v>
      </c>
      <c r="HW47" s="7" t="s">
        <v>282</v>
      </c>
      <c r="HX47" s="7" t="s">
        <v>282</v>
      </c>
      <c r="HY47" s="7" t="s">
        <v>312</v>
      </c>
      <c r="HZ47" s="7" t="s">
        <v>356</v>
      </c>
      <c r="IA47" s="7" t="s">
        <v>313</v>
      </c>
      <c r="IB47" s="7" t="s">
        <v>282</v>
      </c>
      <c r="IC47" s="7" t="s">
        <v>282</v>
      </c>
    </row>
    <row r="48" spans="1:237" x14ac:dyDescent="0.2">
      <c r="A48" s="6">
        <v>45748.527708333335</v>
      </c>
      <c r="B48" s="6">
        <v>45748.559224537035</v>
      </c>
      <c r="C48" s="7" t="s">
        <v>240</v>
      </c>
      <c r="D48" s="7" t="s">
        <v>829</v>
      </c>
      <c r="E48">
        <v>100</v>
      </c>
      <c r="F48">
        <v>2722</v>
      </c>
      <c r="G48" s="7" t="s">
        <v>280</v>
      </c>
      <c r="H48" s="6">
        <v>45748.559239050926</v>
      </c>
      <c r="I48" s="7" t="s">
        <v>830</v>
      </c>
      <c r="J48" s="7" t="s">
        <v>282</v>
      </c>
      <c r="K48" s="7" t="s">
        <v>282</v>
      </c>
      <c r="L48" s="7" t="s">
        <v>282</v>
      </c>
      <c r="M48" s="7" t="s">
        <v>282</v>
      </c>
      <c r="N48">
        <v>49.817900000000002</v>
      </c>
      <c r="O48">
        <v>-97.153499999999994</v>
      </c>
      <c r="P48" s="7" t="s">
        <v>283</v>
      </c>
      <c r="Q48" s="7" t="s">
        <v>284</v>
      </c>
      <c r="R48">
        <v>0.89999997615814209</v>
      </c>
      <c r="S48" s="7" t="s">
        <v>285</v>
      </c>
      <c r="T48" s="7" t="s">
        <v>285</v>
      </c>
      <c r="U48" s="7" t="s">
        <v>285</v>
      </c>
      <c r="V48" s="7" t="s">
        <v>285</v>
      </c>
      <c r="W48" s="7" t="s">
        <v>359</v>
      </c>
      <c r="X48" s="7" t="s">
        <v>818</v>
      </c>
      <c r="Y48" s="7" t="s">
        <v>288</v>
      </c>
      <c r="Z48" s="7" t="s">
        <v>329</v>
      </c>
      <c r="AA48" s="7" t="s">
        <v>289</v>
      </c>
      <c r="AB48" s="7" t="s">
        <v>289</v>
      </c>
      <c r="AC48" s="7" t="s">
        <v>282</v>
      </c>
      <c r="AD48" s="7" t="s">
        <v>292</v>
      </c>
      <c r="AE48">
        <v>27.196000000000002</v>
      </c>
      <c r="AF48">
        <v>30.582999999999998</v>
      </c>
      <c r="AG48">
        <v>32.448</v>
      </c>
      <c r="AH48">
        <v>4</v>
      </c>
      <c r="AI48" s="7" t="s">
        <v>282</v>
      </c>
      <c r="AJ48" s="7" t="s">
        <v>296</v>
      </c>
      <c r="AK48">
        <v>15.154</v>
      </c>
      <c r="AL48">
        <v>19.21</v>
      </c>
      <c r="AM48">
        <v>20.254999999999999</v>
      </c>
      <c r="AN48">
        <v>4</v>
      </c>
      <c r="AO48" s="7" t="s">
        <v>299</v>
      </c>
      <c r="AP48" s="7" t="s">
        <v>296</v>
      </c>
      <c r="AQ48">
        <v>29.170999999999999</v>
      </c>
      <c r="AR48">
        <v>52.256999999999998</v>
      </c>
      <c r="AS48">
        <v>53.826000000000001</v>
      </c>
      <c r="AT48">
        <v>5</v>
      </c>
      <c r="AU48" s="7" t="s">
        <v>295</v>
      </c>
      <c r="AV48" s="7" t="s">
        <v>296</v>
      </c>
      <c r="AW48">
        <v>14.635</v>
      </c>
      <c r="AX48">
        <v>23.309000000000001</v>
      </c>
      <c r="AY48">
        <v>24.640999999999998</v>
      </c>
      <c r="AZ48">
        <v>5</v>
      </c>
      <c r="BA48" s="7" t="s">
        <v>295</v>
      </c>
      <c r="BB48" s="7" t="s">
        <v>296</v>
      </c>
      <c r="BC48">
        <v>15.286</v>
      </c>
      <c r="BD48">
        <v>18.177</v>
      </c>
      <c r="BE48">
        <v>19.312999999999999</v>
      </c>
      <c r="BF48">
        <v>4</v>
      </c>
      <c r="BG48" s="7" t="s">
        <v>282</v>
      </c>
      <c r="BH48" s="7" t="s">
        <v>292</v>
      </c>
      <c r="BI48">
        <v>13.946999999999999</v>
      </c>
      <c r="BJ48">
        <v>20.367999999999999</v>
      </c>
      <c r="BK48">
        <v>21.241</v>
      </c>
      <c r="BL48">
        <v>5</v>
      </c>
      <c r="BM48" s="7" t="s">
        <v>293</v>
      </c>
      <c r="BN48" s="7" t="s">
        <v>296</v>
      </c>
      <c r="BO48">
        <v>44.656999999999996</v>
      </c>
      <c r="BP48">
        <v>76.710999999999999</v>
      </c>
      <c r="BQ48">
        <v>79.430000000000007</v>
      </c>
      <c r="BR48">
        <v>6</v>
      </c>
      <c r="BS48" s="7" t="s">
        <v>299</v>
      </c>
      <c r="BT48" s="7" t="s">
        <v>292</v>
      </c>
      <c r="BU48">
        <v>35.683</v>
      </c>
      <c r="BV48">
        <v>39.402000000000001</v>
      </c>
      <c r="BW48">
        <v>40.875999999999998</v>
      </c>
      <c r="BX48">
        <v>4</v>
      </c>
      <c r="BY48" s="7" t="s">
        <v>295</v>
      </c>
      <c r="BZ48" s="7" t="s">
        <v>296</v>
      </c>
      <c r="CA48">
        <v>15.138999999999999</v>
      </c>
      <c r="CB48">
        <v>17.289000000000001</v>
      </c>
      <c r="CC48">
        <v>18.106000000000002</v>
      </c>
      <c r="CD48">
        <v>4</v>
      </c>
      <c r="CE48" s="7" t="s">
        <v>298</v>
      </c>
      <c r="CF48" s="7" t="s">
        <v>296</v>
      </c>
      <c r="CG48">
        <v>29.125</v>
      </c>
      <c r="CH48">
        <v>35.768999999999998</v>
      </c>
      <c r="CI48">
        <v>37.161999999999999</v>
      </c>
      <c r="CJ48">
        <v>4</v>
      </c>
      <c r="CK48" s="7" t="s">
        <v>282</v>
      </c>
      <c r="CL48" s="7" t="s">
        <v>296</v>
      </c>
      <c r="CM48">
        <v>16.356999999999999</v>
      </c>
      <c r="CN48">
        <v>18.899999999999999</v>
      </c>
      <c r="CO48">
        <v>20.259</v>
      </c>
      <c r="CP48">
        <v>4</v>
      </c>
      <c r="CQ48" s="7" t="s">
        <v>299</v>
      </c>
      <c r="CR48" s="7" t="s">
        <v>292</v>
      </c>
      <c r="CS48">
        <v>12.593</v>
      </c>
      <c r="CT48">
        <v>18.657</v>
      </c>
      <c r="CU48">
        <v>19.835000000000001</v>
      </c>
      <c r="CV48">
        <v>5</v>
      </c>
      <c r="CW48" s="7" t="s">
        <v>299</v>
      </c>
      <c r="CX48" s="7" t="s">
        <v>296</v>
      </c>
      <c r="CY48">
        <v>16.721</v>
      </c>
      <c r="CZ48">
        <v>21.106000000000002</v>
      </c>
      <c r="DA48">
        <v>22.401</v>
      </c>
      <c r="DB48">
        <v>4</v>
      </c>
      <c r="DC48" s="7" t="s">
        <v>295</v>
      </c>
      <c r="DD48" s="7" t="s">
        <v>296</v>
      </c>
      <c r="DE48">
        <v>20.785</v>
      </c>
      <c r="DF48">
        <v>23.684999999999999</v>
      </c>
      <c r="DG48">
        <v>25.056000000000001</v>
      </c>
      <c r="DH48">
        <v>4</v>
      </c>
      <c r="DI48" s="7" t="s">
        <v>298</v>
      </c>
      <c r="DJ48" s="7" t="s">
        <v>294</v>
      </c>
      <c r="DK48">
        <v>12.644</v>
      </c>
      <c r="DL48">
        <v>20.516999999999999</v>
      </c>
      <c r="DM48">
        <v>21.904</v>
      </c>
      <c r="DN48">
        <v>6</v>
      </c>
      <c r="DO48" s="7" t="s">
        <v>282</v>
      </c>
      <c r="DP48" s="7" t="s">
        <v>294</v>
      </c>
      <c r="DQ48">
        <v>16.042999999999999</v>
      </c>
      <c r="DR48">
        <v>20.777000000000001</v>
      </c>
      <c r="DS48">
        <v>22.007999999999999</v>
      </c>
      <c r="DT48">
        <v>4</v>
      </c>
      <c r="DU48" s="7" t="s">
        <v>291</v>
      </c>
      <c r="DV48" s="7" t="s">
        <v>296</v>
      </c>
      <c r="DW48">
        <v>22.172999999999998</v>
      </c>
      <c r="DX48">
        <v>61.168999999999997</v>
      </c>
      <c r="DY48">
        <v>64.010000000000005</v>
      </c>
      <c r="DZ48">
        <v>6</v>
      </c>
      <c r="EA48" s="7" t="s">
        <v>291</v>
      </c>
      <c r="EB48" s="7" t="s">
        <v>296</v>
      </c>
      <c r="EC48">
        <v>24.773</v>
      </c>
      <c r="ED48">
        <v>57.892000000000003</v>
      </c>
      <c r="EE48">
        <v>58.89</v>
      </c>
      <c r="EF48">
        <v>5</v>
      </c>
      <c r="EG48" s="7" t="s">
        <v>298</v>
      </c>
      <c r="EH48" s="7" t="s">
        <v>296</v>
      </c>
      <c r="EI48">
        <v>15.093999999999999</v>
      </c>
      <c r="EJ48">
        <v>19.535</v>
      </c>
      <c r="EK48">
        <v>20.881</v>
      </c>
      <c r="EL48">
        <v>5</v>
      </c>
      <c r="EM48" s="7" t="s">
        <v>298</v>
      </c>
      <c r="EN48" s="7" t="s">
        <v>292</v>
      </c>
      <c r="EO48">
        <v>47.761000000000003</v>
      </c>
      <c r="EP48">
        <v>87.001000000000005</v>
      </c>
      <c r="EQ48">
        <v>90.08</v>
      </c>
      <c r="ER48">
        <v>11</v>
      </c>
      <c r="ES48" s="7" t="s">
        <v>282</v>
      </c>
      <c r="ET48" s="7" t="s">
        <v>294</v>
      </c>
      <c r="EU48">
        <v>19.689</v>
      </c>
      <c r="EV48">
        <v>30.349</v>
      </c>
      <c r="EW48">
        <v>31.190999999999999</v>
      </c>
      <c r="EX48">
        <v>5</v>
      </c>
      <c r="EY48" s="7" t="s">
        <v>300</v>
      </c>
      <c r="EZ48" s="7" t="s">
        <v>294</v>
      </c>
      <c r="FA48">
        <v>22.08</v>
      </c>
      <c r="FB48">
        <v>28.209</v>
      </c>
      <c r="FC48">
        <v>29.067</v>
      </c>
      <c r="FD48">
        <v>4</v>
      </c>
      <c r="FE48" s="7" t="s">
        <v>301</v>
      </c>
      <c r="FF48" s="7" t="s">
        <v>294</v>
      </c>
      <c r="FG48">
        <v>21.975000000000001</v>
      </c>
      <c r="FH48">
        <v>25.908999999999999</v>
      </c>
      <c r="FI48">
        <v>26.984000000000002</v>
      </c>
      <c r="FJ48">
        <v>4</v>
      </c>
      <c r="FK48" s="7" t="s">
        <v>282</v>
      </c>
      <c r="FL48" s="7" t="s">
        <v>294</v>
      </c>
      <c r="FM48">
        <v>31.361999999999998</v>
      </c>
      <c r="FN48">
        <v>51.917000000000002</v>
      </c>
      <c r="FO48">
        <v>53.055999999999997</v>
      </c>
      <c r="FP48">
        <v>10</v>
      </c>
      <c r="FQ48" s="7" t="s">
        <v>282</v>
      </c>
      <c r="FR48" s="7" t="s">
        <v>296</v>
      </c>
      <c r="FS48">
        <v>48.69</v>
      </c>
      <c r="FT48">
        <v>53.155000000000001</v>
      </c>
      <c r="FU48">
        <v>53.69</v>
      </c>
      <c r="FV48">
        <v>6</v>
      </c>
      <c r="FW48" s="7" t="s">
        <v>282</v>
      </c>
      <c r="FX48" s="7" t="s">
        <v>296</v>
      </c>
      <c r="FY48">
        <v>16.643000000000001</v>
      </c>
      <c r="FZ48">
        <v>24.638000000000002</v>
      </c>
      <c r="GA48">
        <v>25.658999999999999</v>
      </c>
      <c r="GB48">
        <v>5</v>
      </c>
      <c r="GC48" s="7" t="s">
        <v>291</v>
      </c>
      <c r="GD48" s="7" t="s">
        <v>296</v>
      </c>
      <c r="GE48">
        <v>27.108000000000001</v>
      </c>
      <c r="GF48">
        <v>42.05</v>
      </c>
      <c r="GG48">
        <v>43.253</v>
      </c>
      <c r="GH48">
        <v>7</v>
      </c>
      <c r="GI48" s="7" t="s">
        <v>282</v>
      </c>
      <c r="GJ48" s="7" t="s">
        <v>294</v>
      </c>
      <c r="GK48">
        <v>15.084</v>
      </c>
      <c r="GL48">
        <v>18.196000000000002</v>
      </c>
      <c r="GM48">
        <v>19.25</v>
      </c>
      <c r="GN48">
        <v>4</v>
      </c>
      <c r="GO48" s="7" t="s">
        <v>282</v>
      </c>
      <c r="GP48" s="7" t="s">
        <v>296</v>
      </c>
      <c r="GQ48">
        <v>36.042000000000002</v>
      </c>
      <c r="GR48">
        <v>49.058999999999997</v>
      </c>
      <c r="GS48">
        <v>50.277999999999999</v>
      </c>
      <c r="GT48">
        <v>5</v>
      </c>
      <c r="GU48" s="7" t="s">
        <v>282</v>
      </c>
      <c r="GV48" s="7" t="s">
        <v>296</v>
      </c>
      <c r="GW48">
        <v>20.013999999999999</v>
      </c>
      <c r="GX48">
        <v>26.741</v>
      </c>
      <c r="GY48">
        <v>28.177</v>
      </c>
      <c r="GZ48">
        <v>6</v>
      </c>
      <c r="HA48" s="7" t="s">
        <v>300</v>
      </c>
      <c r="HB48" s="7" t="s">
        <v>294</v>
      </c>
      <c r="HC48">
        <v>33.546999999999997</v>
      </c>
      <c r="HD48">
        <v>42.942999999999998</v>
      </c>
      <c r="HE48">
        <v>44.462000000000003</v>
      </c>
      <c r="HF48">
        <v>6</v>
      </c>
      <c r="HG48" s="7" t="s">
        <v>291</v>
      </c>
      <c r="HH48" s="7" t="s">
        <v>294</v>
      </c>
      <c r="HI48">
        <v>147.071</v>
      </c>
      <c r="HJ48">
        <v>250.685</v>
      </c>
      <c r="HK48">
        <v>251.886</v>
      </c>
      <c r="HL48">
        <v>5</v>
      </c>
      <c r="HM48" s="7" t="s">
        <v>831</v>
      </c>
      <c r="HN48" s="7" t="s">
        <v>832</v>
      </c>
      <c r="HO48" s="7" t="s">
        <v>833</v>
      </c>
      <c r="HP48" s="7" t="s">
        <v>834</v>
      </c>
      <c r="HQ48" s="7" t="s">
        <v>835</v>
      </c>
      <c r="HR48" s="7" t="s">
        <v>836</v>
      </c>
      <c r="HS48" s="7" t="s">
        <v>837</v>
      </c>
      <c r="HT48" s="7" t="s">
        <v>838</v>
      </c>
      <c r="HU48" s="7" t="s">
        <v>839</v>
      </c>
      <c r="HV48" s="7" t="s">
        <v>840</v>
      </c>
      <c r="HW48" s="7" t="s">
        <v>841</v>
      </c>
      <c r="HX48" s="7" t="s">
        <v>842</v>
      </c>
      <c r="HY48" s="7" t="s">
        <v>312</v>
      </c>
      <c r="HZ48" s="7" t="s">
        <v>372</v>
      </c>
      <c r="IA48" s="7" t="s">
        <v>325</v>
      </c>
      <c r="IB48" s="7" t="s">
        <v>282</v>
      </c>
      <c r="IC48" s="7" t="s">
        <v>282</v>
      </c>
    </row>
    <row r="49" spans="1:237" x14ac:dyDescent="0.2">
      <c r="A49" s="6">
        <v>45748.534479166665</v>
      </c>
      <c r="B49" s="6">
        <v>45748.567928240744</v>
      </c>
      <c r="C49" s="7" t="s">
        <v>240</v>
      </c>
      <c r="D49" s="7" t="s">
        <v>843</v>
      </c>
      <c r="E49">
        <v>100</v>
      </c>
      <c r="F49">
        <v>2889</v>
      </c>
      <c r="G49" s="7" t="s">
        <v>280</v>
      </c>
      <c r="H49" s="6">
        <v>45748.56794591435</v>
      </c>
      <c r="I49" s="7" t="s">
        <v>844</v>
      </c>
      <c r="J49" s="7" t="s">
        <v>282</v>
      </c>
      <c r="K49" s="7" t="s">
        <v>282</v>
      </c>
      <c r="L49" s="7" t="s">
        <v>282</v>
      </c>
      <c r="M49" s="7" t="s">
        <v>282</v>
      </c>
      <c r="N49">
        <v>-37.8964</v>
      </c>
      <c r="O49">
        <v>145.07990000000001</v>
      </c>
      <c r="P49" s="7" t="s">
        <v>283</v>
      </c>
      <c r="Q49" s="7" t="s">
        <v>284</v>
      </c>
      <c r="R49">
        <v>1</v>
      </c>
      <c r="S49" s="7" t="s">
        <v>285</v>
      </c>
      <c r="T49" s="7" t="s">
        <v>285</v>
      </c>
      <c r="U49" s="7" t="s">
        <v>285</v>
      </c>
      <c r="V49" s="7" t="s">
        <v>285</v>
      </c>
      <c r="W49" s="7" t="s">
        <v>845</v>
      </c>
      <c r="X49" s="7" t="s">
        <v>375</v>
      </c>
      <c r="Y49" s="7" t="s">
        <v>288</v>
      </c>
      <c r="Z49" s="7" t="s">
        <v>289</v>
      </c>
      <c r="AA49" s="7" t="s">
        <v>317</v>
      </c>
      <c r="AB49" s="7" t="s">
        <v>317</v>
      </c>
      <c r="AC49" s="7" t="s">
        <v>291</v>
      </c>
      <c r="AD49" s="7" t="s">
        <v>292</v>
      </c>
      <c r="AE49">
        <v>21.27</v>
      </c>
      <c r="AF49">
        <v>27.059000000000001</v>
      </c>
      <c r="AG49">
        <v>29.722000000000001</v>
      </c>
      <c r="AH49">
        <v>3</v>
      </c>
      <c r="AI49" s="7" t="s">
        <v>293</v>
      </c>
      <c r="AJ49" s="7" t="s">
        <v>296</v>
      </c>
      <c r="AK49">
        <v>10.766999999999999</v>
      </c>
      <c r="AL49">
        <v>15.007</v>
      </c>
      <c r="AM49">
        <v>16.925000000000001</v>
      </c>
      <c r="AN49">
        <v>2</v>
      </c>
      <c r="AO49" s="7" t="s">
        <v>293</v>
      </c>
      <c r="AP49" s="7" t="s">
        <v>294</v>
      </c>
      <c r="AQ49">
        <v>5.5460000000000003</v>
      </c>
      <c r="AR49">
        <v>8.01</v>
      </c>
      <c r="AS49">
        <v>9.2840000000000007</v>
      </c>
      <c r="AT49">
        <v>2</v>
      </c>
      <c r="AU49" s="7" t="s">
        <v>295</v>
      </c>
      <c r="AV49" s="7" t="s">
        <v>296</v>
      </c>
      <c r="AW49">
        <v>7.7969999999999997</v>
      </c>
      <c r="AX49">
        <v>8.7590000000000003</v>
      </c>
      <c r="AY49">
        <v>9.9</v>
      </c>
      <c r="AZ49">
        <v>2</v>
      </c>
      <c r="BA49" s="7" t="s">
        <v>295</v>
      </c>
      <c r="BB49" s="7" t="s">
        <v>296</v>
      </c>
      <c r="BC49">
        <v>8.3460000000000001</v>
      </c>
      <c r="BD49">
        <v>10.569000000000001</v>
      </c>
      <c r="BE49">
        <v>11.198</v>
      </c>
      <c r="BF49">
        <v>2</v>
      </c>
      <c r="BG49" s="7" t="s">
        <v>291</v>
      </c>
      <c r="BH49" s="7" t="s">
        <v>296</v>
      </c>
      <c r="BI49">
        <v>17.419</v>
      </c>
      <c r="BJ49">
        <v>22.518999999999998</v>
      </c>
      <c r="BK49">
        <v>24.780999999999999</v>
      </c>
      <c r="BL49">
        <v>2</v>
      </c>
      <c r="BM49" s="7" t="s">
        <v>293</v>
      </c>
      <c r="BN49" s="7" t="s">
        <v>296</v>
      </c>
      <c r="BO49">
        <v>1.8520000000000001</v>
      </c>
      <c r="BP49">
        <v>16.053999999999998</v>
      </c>
      <c r="BQ49">
        <v>17.047000000000001</v>
      </c>
      <c r="BR49">
        <v>3</v>
      </c>
      <c r="BS49" s="7" t="s">
        <v>291</v>
      </c>
      <c r="BT49" s="7" t="s">
        <v>292</v>
      </c>
      <c r="BU49">
        <v>19.183</v>
      </c>
      <c r="BV49">
        <v>32.548999999999999</v>
      </c>
      <c r="BW49">
        <v>33.549999999999997</v>
      </c>
      <c r="BX49">
        <v>3</v>
      </c>
      <c r="BY49" s="7" t="s">
        <v>295</v>
      </c>
      <c r="BZ49" s="7" t="s">
        <v>292</v>
      </c>
      <c r="CA49">
        <v>11.048999999999999</v>
      </c>
      <c r="CB49">
        <v>15.365</v>
      </c>
      <c r="CC49">
        <v>16.038</v>
      </c>
      <c r="CD49">
        <v>3</v>
      </c>
      <c r="CE49" s="7" t="s">
        <v>298</v>
      </c>
      <c r="CF49" s="7" t="s">
        <v>296</v>
      </c>
      <c r="CG49">
        <v>16.193999999999999</v>
      </c>
      <c r="CH49">
        <v>21.707999999999998</v>
      </c>
      <c r="CI49">
        <v>23.26</v>
      </c>
      <c r="CJ49">
        <v>2</v>
      </c>
      <c r="CK49" s="7" t="s">
        <v>291</v>
      </c>
      <c r="CL49" s="7" t="s">
        <v>297</v>
      </c>
      <c r="CM49">
        <v>17.443000000000001</v>
      </c>
      <c r="CN49">
        <v>18.312999999999999</v>
      </c>
      <c r="CO49">
        <v>32.529000000000003</v>
      </c>
      <c r="CP49">
        <v>2</v>
      </c>
      <c r="CQ49" s="7" t="s">
        <v>299</v>
      </c>
      <c r="CR49" s="7" t="s">
        <v>297</v>
      </c>
      <c r="CS49">
        <v>25.994</v>
      </c>
      <c r="CT49">
        <v>27.042999999999999</v>
      </c>
      <c r="CU49">
        <v>29.513000000000002</v>
      </c>
      <c r="CV49">
        <v>2</v>
      </c>
      <c r="CW49" s="7" t="s">
        <v>291</v>
      </c>
      <c r="CX49" s="7" t="s">
        <v>292</v>
      </c>
      <c r="CY49">
        <v>32.091999999999999</v>
      </c>
      <c r="CZ49">
        <v>33.497999999999998</v>
      </c>
      <c r="DA49">
        <v>34.968000000000004</v>
      </c>
      <c r="DB49">
        <v>2</v>
      </c>
      <c r="DC49" s="7" t="s">
        <v>295</v>
      </c>
      <c r="DD49" s="7" t="s">
        <v>292</v>
      </c>
      <c r="DE49">
        <v>11.454000000000001</v>
      </c>
      <c r="DF49">
        <v>12.677</v>
      </c>
      <c r="DG49">
        <v>17.013999999999999</v>
      </c>
      <c r="DH49">
        <v>2</v>
      </c>
      <c r="DI49" s="7" t="s">
        <v>298</v>
      </c>
      <c r="DJ49" s="7" t="s">
        <v>296</v>
      </c>
      <c r="DK49">
        <v>7.774</v>
      </c>
      <c r="DL49">
        <v>14.811999999999999</v>
      </c>
      <c r="DM49">
        <v>15.37</v>
      </c>
      <c r="DN49">
        <v>4</v>
      </c>
      <c r="DO49" s="7" t="s">
        <v>291</v>
      </c>
      <c r="DP49" s="7" t="s">
        <v>296</v>
      </c>
      <c r="DQ49">
        <v>3.786</v>
      </c>
      <c r="DR49">
        <v>21.102</v>
      </c>
      <c r="DS49">
        <v>22.358000000000001</v>
      </c>
      <c r="DT49">
        <v>3</v>
      </c>
      <c r="DU49" s="7" t="s">
        <v>299</v>
      </c>
      <c r="DV49" s="7" t="s">
        <v>296</v>
      </c>
      <c r="DW49">
        <v>6.5030000000000001</v>
      </c>
      <c r="DX49">
        <v>8.7319999999999993</v>
      </c>
      <c r="DY49">
        <v>10.874000000000001</v>
      </c>
      <c r="DZ49">
        <v>2</v>
      </c>
      <c r="EA49" s="7" t="s">
        <v>299</v>
      </c>
      <c r="EB49" s="7" t="s">
        <v>296</v>
      </c>
      <c r="EC49">
        <v>27.69</v>
      </c>
      <c r="ED49">
        <v>29.457999999999998</v>
      </c>
      <c r="EE49">
        <v>30.79</v>
      </c>
      <c r="EF49">
        <v>2</v>
      </c>
      <c r="EG49" s="7" t="s">
        <v>295</v>
      </c>
      <c r="EH49" s="7" t="s">
        <v>296</v>
      </c>
      <c r="EI49">
        <v>9.7669999999999995</v>
      </c>
      <c r="EJ49">
        <v>13.959</v>
      </c>
      <c r="EK49">
        <v>14.548</v>
      </c>
      <c r="EL49">
        <v>3</v>
      </c>
      <c r="EM49" s="7" t="s">
        <v>298</v>
      </c>
      <c r="EN49" s="7" t="s">
        <v>294</v>
      </c>
      <c r="EO49">
        <v>7.8929999999999998</v>
      </c>
      <c r="EP49">
        <v>11.574</v>
      </c>
      <c r="EQ49">
        <v>13.077</v>
      </c>
      <c r="ER49">
        <v>2</v>
      </c>
      <c r="ES49" s="7" t="s">
        <v>291</v>
      </c>
      <c r="ET49" s="7" t="s">
        <v>296</v>
      </c>
      <c r="EU49">
        <v>3.8079999999999998</v>
      </c>
      <c r="EV49">
        <v>5.4059999999999997</v>
      </c>
      <c r="EW49">
        <v>11.35</v>
      </c>
      <c r="EX49">
        <v>2</v>
      </c>
      <c r="EY49" s="7" t="s">
        <v>300</v>
      </c>
      <c r="EZ49" s="7" t="s">
        <v>294</v>
      </c>
      <c r="FA49">
        <v>10.191000000000001</v>
      </c>
      <c r="FB49">
        <v>11.996</v>
      </c>
      <c r="FC49">
        <v>15.31</v>
      </c>
      <c r="FD49">
        <v>2</v>
      </c>
      <c r="FE49" s="7" t="s">
        <v>301</v>
      </c>
      <c r="FF49" s="7" t="s">
        <v>292</v>
      </c>
      <c r="FG49">
        <v>4.9939999999999998</v>
      </c>
      <c r="FH49">
        <v>8.7370000000000001</v>
      </c>
      <c r="FI49">
        <v>11.641999999999999</v>
      </c>
      <c r="FJ49">
        <v>2</v>
      </c>
      <c r="FK49" s="7" t="s">
        <v>291</v>
      </c>
      <c r="FL49" s="7" t="s">
        <v>294</v>
      </c>
      <c r="FM49">
        <v>4.3099999999999996</v>
      </c>
      <c r="FN49">
        <v>15.833</v>
      </c>
      <c r="FO49">
        <v>16.959</v>
      </c>
      <c r="FP49">
        <v>5</v>
      </c>
      <c r="FQ49" s="7" t="s">
        <v>300</v>
      </c>
      <c r="FR49" s="7" t="s">
        <v>296</v>
      </c>
      <c r="FS49">
        <v>3.4359999999999999</v>
      </c>
      <c r="FT49">
        <v>5.9859999999999998</v>
      </c>
      <c r="FU49">
        <v>9.19</v>
      </c>
      <c r="FV49">
        <v>2</v>
      </c>
      <c r="FW49" s="7" t="s">
        <v>301</v>
      </c>
      <c r="FX49" s="7" t="s">
        <v>294</v>
      </c>
      <c r="FY49">
        <v>4.5350000000000001</v>
      </c>
      <c r="FZ49">
        <v>38.356000000000002</v>
      </c>
      <c r="GA49">
        <v>45.377000000000002</v>
      </c>
      <c r="GB49">
        <v>12</v>
      </c>
      <c r="GC49" s="7" t="s">
        <v>291</v>
      </c>
      <c r="GD49" s="7" t="s">
        <v>294</v>
      </c>
      <c r="GE49">
        <v>5.444</v>
      </c>
      <c r="GF49">
        <v>7.1390000000000002</v>
      </c>
      <c r="GG49">
        <v>10.933999999999999</v>
      </c>
      <c r="GH49">
        <v>2</v>
      </c>
      <c r="GI49" s="7" t="s">
        <v>300</v>
      </c>
      <c r="GJ49" s="7" t="s">
        <v>296</v>
      </c>
      <c r="GK49">
        <v>1.7310000000000001</v>
      </c>
      <c r="GL49">
        <v>18.591000000000001</v>
      </c>
      <c r="GM49">
        <v>19.771000000000001</v>
      </c>
      <c r="GN49">
        <v>3</v>
      </c>
      <c r="GO49" s="7" t="s">
        <v>301</v>
      </c>
      <c r="GP49" s="7" t="s">
        <v>292</v>
      </c>
      <c r="GQ49">
        <v>4.1420000000000003</v>
      </c>
      <c r="GR49">
        <v>8.6809999999999992</v>
      </c>
      <c r="GS49">
        <v>13.269</v>
      </c>
      <c r="GT49">
        <v>2</v>
      </c>
      <c r="GU49" s="7" t="s">
        <v>291</v>
      </c>
      <c r="GV49" s="7" t="s">
        <v>296</v>
      </c>
      <c r="GW49">
        <v>4.8570000000000002</v>
      </c>
      <c r="GX49">
        <v>9.2370000000000001</v>
      </c>
      <c r="GY49">
        <v>11.869</v>
      </c>
      <c r="GZ49">
        <v>2</v>
      </c>
      <c r="HA49" s="7" t="s">
        <v>300</v>
      </c>
      <c r="HB49" s="7" t="s">
        <v>296</v>
      </c>
      <c r="HC49">
        <v>6.5789999999999997</v>
      </c>
      <c r="HD49">
        <v>7.8330000000000002</v>
      </c>
      <c r="HE49">
        <v>8.93</v>
      </c>
      <c r="HF49">
        <v>2</v>
      </c>
      <c r="HG49" s="7" t="s">
        <v>291</v>
      </c>
      <c r="HH49" s="7" t="s">
        <v>292</v>
      </c>
      <c r="HI49">
        <v>7.319</v>
      </c>
      <c r="HJ49">
        <v>8.1780000000000008</v>
      </c>
      <c r="HK49">
        <v>12.023</v>
      </c>
      <c r="HL49">
        <v>2</v>
      </c>
      <c r="HM49" s="7" t="s">
        <v>846</v>
      </c>
      <c r="HN49" s="7" t="s">
        <v>847</v>
      </c>
      <c r="HO49" s="7" t="s">
        <v>848</v>
      </c>
      <c r="HP49" s="7" t="s">
        <v>849</v>
      </c>
      <c r="HQ49" s="7" t="s">
        <v>850</v>
      </c>
      <c r="HR49" s="7" t="s">
        <v>851</v>
      </c>
      <c r="HS49" s="7" t="s">
        <v>852</v>
      </c>
      <c r="HT49" s="7" t="s">
        <v>853</v>
      </c>
      <c r="HU49" s="7" t="s">
        <v>854</v>
      </c>
      <c r="HV49" s="7" t="s">
        <v>855</v>
      </c>
      <c r="HW49" s="7" t="s">
        <v>856</v>
      </c>
      <c r="HX49" s="7" t="s">
        <v>857</v>
      </c>
      <c r="HY49" s="7" t="s">
        <v>312</v>
      </c>
      <c r="HZ49" s="7" t="s">
        <v>372</v>
      </c>
      <c r="IA49" s="7" t="s">
        <v>325</v>
      </c>
      <c r="IB49" s="7" t="s">
        <v>282</v>
      </c>
      <c r="IC49" s="7" t="s">
        <v>282</v>
      </c>
    </row>
    <row r="50" spans="1:237" x14ac:dyDescent="0.2">
      <c r="A50" s="6">
        <v>45748.583599537036</v>
      </c>
      <c r="B50" s="6">
        <v>45748.592592592591</v>
      </c>
      <c r="C50" s="7" t="s">
        <v>240</v>
      </c>
      <c r="D50" s="7" t="s">
        <v>858</v>
      </c>
      <c r="E50">
        <v>100</v>
      </c>
      <c r="F50">
        <v>776</v>
      </c>
      <c r="G50" s="7" t="s">
        <v>280</v>
      </c>
      <c r="H50" s="6">
        <v>45748.592600682867</v>
      </c>
      <c r="I50" s="7" t="s">
        <v>859</v>
      </c>
      <c r="J50" s="7" t="s">
        <v>282</v>
      </c>
      <c r="K50" s="7" t="s">
        <v>282</v>
      </c>
      <c r="L50" s="7" t="s">
        <v>282</v>
      </c>
      <c r="M50" s="7" t="s">
        <v>282</v>
      </c>
      <c r="N50">
        <v>42.338799999999999</v>
      </c>
      <c r="O50">
        <v>-71.072599999999994</v>
      </c>
      <c r="P50" s="7" t="s">
        <v>283</v>
      </c>
      <c r="Q50" s="7" t="s">
        <v>284</v>
      </c>
      <c r="R50">
        <v>0.89999997615814209</v>
      </c>
      <c r="S50" s="7" t="s">
        <v>285</v>
      </c>
      <c r="T50" s="7" t="s">
        <v>285</v>
      </c>
      <c r="U50" s="7" t="s">
        <v>285</v>
      </c>
      <c r="V50" s="7" t="s">
        <v>285</v>
      </c>
      <c r="W50" s="7" t="s">
        <v>412</v>
      </c>
      <c r="X50" s="7" t="s">
        <v>860</v>
      </c>
      <c r="Y50" s="7" t="s">
        <v>288</v>
      </c>
      <c r="Z50" s="7" t="s">
        <v>289</v>
      </c>
      <c r="AA50" s="7" t="s">
        <v>288</v>
      </c>
      <c r="AB50" s="7" t="s">
        <v>317</v>
      </c>
      <c r="AC50" s="7" t="s">
        <v>282</v>
      </c>
      <c r="AD50" s="7" t="s">
        <v>292</v>
      </c>
      <c r="AE50">
        <v>10.622999999999999</v>
      </c>
      <c r="AF50">
        <v>13.131</v>
      </c>
      <c r="AG50">
        <v>14.275</v>
      </c>
      <c r="AH50">
        <v>2</v>
      </c>
      <c r="AI50" s="7" t="s">
        <v>293</v>
      </c>
      <c r="AJ50" s="7" t="s">
        <v>294</v>
      </c>
      <c r="AK50">
        <v>5.9859999999999998</v>
      </c>
      <c r="AL50">
        <v>7.1289999999999996</v>
      </c>
      <c r="AM50">
        <v>8.65</v>
      </c>
      <c r="AN50">
        <v>2</v>
      </c>
      <c r="AO50" s="7" t="s">
        <v>293</v>
      </c>
      <c r="AP50" s="7" t="s">
        <v>294</v>
      </c>
      <c r="AQ50">
        <v>8.5960000000000001</v>
      </c>
      <c r="AR50">
        <v>11.398999999999999</v>
      </c>
      <c r="AS50">
        <v>12.619</v>
      </c>
      <c r="AT50">
        <v>2</v>
      </c>
      <c r="AU50" s="7" t="s">
        <v>295</v>
      </c>
      <c r="AV50" s="7" t="s">
        <v>292</v>
      </c>
      <c r="AW50">
        <v>12.205</v>
      </c>
      <c r="AX50">
        <v>16.311</v>
      </c>
      <c r="AY50">
        <v>17.138999999999999</v>
      </c>
      <c r="AZ50">
        <v>3</v>
      </c>
      <c r="BA50" s="7" t="s">
        <v>295</v>
      </c>
      <c r="BB50" s="7" t="s">
        <v>294</v>
      </c>
      <c r="BC50">
        <v>7.23</v>
      </c>
      <c r="BD50">
        <v>9.9589999999999996</v>
      </c>
      <c r="BE50">
        <v>10.622</v>
      </c>
      <c r="BF50">
        <v>3</v>
      </c>
      <c r="BG50" s="7" t="s">
        <v>291</v>
      </c>
      <c r="BH50" s="7" t="s">
        <v>296</v>
      </c>
      <c r="BI50">
        <v>6.5990000000000002</v>
      </c>
      <c r="BJ50">
        <v>7.5890000000000004</v>
      </c>
      <c r="BK50">
        <v>8.5009999999999994</v>
      </c>
      <c r="BL50">
        <v>2</v>
      </c>
      <c r="BM50" s="7" t="s">
        <v>293</v>
      </c>
      <c r="BN50" s="7" t="s">
        <v>294</v>
      </c>
      <c r="BO50">
        <v>10.465</v>
      </c>
      <c r="BP50">
        <v>12.336</v>
      </c>
      <c r="BQ50">
        <v>13.045999999999999</v>
      </c>
      <c r="BR50">
        <v>3</v>
      </c>
      <c r="BS50" s="7" t="s">
        <v>298</v>
      </c>
      <c r="BT50" s="7" t="s">
        <v>296</v>
      </c>
      <c r="BU50">
        <v>10.523999999999999</v>
      </c>
      <c r="BV50">
        <v>14.122</v>
      </c>
      <c r="BW50">
        <v>15.003</v>
      </c>
      <c r="BX50">
        <v>2</v>
      </c>
      <c r="BY50" s="7" t="s">
        <v>295</v>
      </c>
      <c r="BZ50" s="7" t="s">
        <v>296</v>
      </c>
      <c r="CA50">
        <v>24.263999999999999</v>
      </c>
      <c r="CB50">
        <v>34.954999999999998</v>
      </c>
      <c r="CC50">
        <v>36.021000000000001</v>
      </c>
      <c r="CD50">
        <v>3</v>
      </c>
      <c r="CE50" s="7" t="s">
        <v>298</v>
      </c>
      <c r="CF50" s="7" t="s">
        <v>294</v>
      </c>
      <c r="CG50">
        <v>12.287000000000001</v>
      </c>
      <c r="CH50">
        <v>13.163</v>
      </c>
      <c r="CI50">
        <v>14.2</v>
      </c>
      <c r="CJ50">
        <v>2</v>
      </c>
      <c r="CK50" s="7" t="s">
        <v>291</v>
      </c>
      <c r="CL50" s="7" t="s">
        <v>296</v>
      </c>
      <c r="CM50">
        <v>10.218999999999999</v>
      </c>
      <c r="CN50">
        <v>11.676</v>
      </c>
      <c r="CO50">
        <v>12.752000000000001</v>
      </c>
      <c r="CP50">
        <v>2</v>
      </c>
      <c r="CQ50" s="7" t="s">
        <v>293</v>
      </c>
      <c r="CR50" s="7" t="s">
        <v>294</v>
      </c>
      <c r="CS50">
        <v>6.7889999999999997</v>
      </c>
      <c r="CT50">
        <v>9.0449999999999999</v>
      </c>
      <c r="CU50">
        <v>10.132999999999999</v>
      </c>
      <c r="CV50">
        <v>2</v>
      </c>
      <c r="CW50" s="7" t="s">
        <v>291</v>
      </c>
      <c r="CX50" s="7" t="s">
        <v>292</v>
      </c>
      <c r="CY50">
        <v>10.487</v>
      </c>
      <c r="CZ50">
        <v>11.823</v>
      </c>
      <c r="DA50">
        <v>12.499000000000001</v>
      </c>
      <c r="DB50">
        <v>2</v>
      </c>
      <c r="DC50" s="7" t="s">
        <v>298</v>
      </c>
      <c r="DD50" s="7" t="s">
        <v>296</v>
      </c>
      <c r="DE50">
        <v>9.6649999999999991</v>
      </c>
      <c r="DF50">
        <v>11.117000000000001</v>
      </c>
      <c r="DG50">
        <v>11.847</v>
      </c>
      <c r="DH50">
        <v>2</v>
      </c>
      <c r="DI50" s="7" t="s">
        <v>298</v>
      </c>
      <c r="DJ50" s="7" t="s">
        <v>294</v>
      </c>
      <c r="DK50">
        <v>8.2710000000000008</v>
      </c>
      <c r="DL50">
        <v>9.2829999999999995</v>
      </c>
      <c r="DM50">
        <v>10.476000000000001</v>
      </c>
      <c r="DN50">
        <v>2</v>
      </c>
      <c r="DO50" s="7" t="s">
        <v>291</v>
      </c>
      <c r="DP50" s="7" t="s">
        <v>296</v>
      </c>
      <c r="DQ50">
        <v>5.8940000000000001</v>
      </c>
      <c r="DR50">
        <v>7.7560000000000002</v>
      </c>
      <c r="DS50">
        <v>8.8309999999999995</v>
      </c>
      <c r="DT50">
        <v>2</v>
      </c>
      <c r="DU50" s="7" t="s">
        <v>293</v>
      </c>
      <c r="DV50" s="7" t="s">
        <v>294</v>
      </c>
      <c r="DW50">
        <v>9.9060000000000006</v>
      </c>
      <c r="DX50">
        <v>11.282999999999999</v>
      </c>
      <c r="DY50">
        <v>12.159000000000001</v>
      </c>
      <c r="DZ50">
        <v>2</v>
      </c>
      <c r="EA50" s="7" t="s">
        <v>299</v>
      </c>
      <c r="EB50" s="7" t="s">
        <v>294</v>
      </c>
      <c r="EC50">
        <v>6.7549999999999999</v>
      </c>
      <c r="ED50">
        <v>9.8550000000000004</v>
      </c>
      <c r="EE50">
        <v>10.4</v>
      </c>
      <c r="EF50">
        <v>3</v>
      </c>
      <c r="EG50" s="7" t="s">
        <v>298</v>
      </c>
      <c r="EH50" s="7" t="s">
        <v>294</v>
      </c>
      <c r="EI50">
        <v>9.0779999999999994</v>
      </c>
      <c r="EJ50">
        <v>10.055</v>
      </c>
      <c r="EK50">
        <v>10.773</v>
      </c>
      <c r="EL50">
        <v>2</v>
      </c>
      <c r="EM50" s="7" t="s">
        <v>298</v>
      </c>
      <c r="EN50" s="7" t="s">
        <v>294</v>
      </c>
      <c r="EO50">
        <v>7.952</v>
      </c>
      <c r="EP50">
        <v>9.2159999999999993</v>
      </c>
      <c r="EQ50">
        <v>10.95</v>
      </c>
      <c r="ER50">
        <v>2</v>
      </c>
      <c r="ES50" s="7" t="s">
        <v>291</v>
      </c>
      <c r="ET50" s="7" t="s">
        <v>297</v>
      </c>
      <c r="EU50">
        <v>25.853999999999999</v>
      </c>
      <c r="EV50">
        <v>40.069000000000003</v>
      </c>
      <c r="EW50">
        <v>41.052999999999997</v>
      </c>
      <c r="EX50">
        <v>4</v>
      </c>
      <c r="EY50" s="7" t="s">
        <v>300</v>
      </c>
      <c r="EZ50" s="7" t="s">
        <v>294</v>
      </c>
      <c r="FA50">
        <v>8.1080000000000005</v>
      </c>
      <c r="FB50">
        <v>10.680999999999999</v>
      </c>
      <c r="FC50">
        <v>11.476000000000001</v>
      </c>
      <c r="FD50">
        <v>2</v>
      </c>
      <c r="FE50" s="7" t="s">
        <v>301</v>
      </c>
      <c r="FF50" s="7" t="s">
        <v>292</v>
      </c>
      <c r="FG50">
        <v>8.327</v>
      </c>
      <c r="FH50">
        <v>11.118</v>
      </c>
      <c r="FI50">
        <v>11.475</v>
      </c>
      <c r="FJ50">
        <v>3</v>
      </c>
      <c r="FK50" s="7" t="s">
        <v>291</v>
      </c>
      <c r="FL50" s="7" t="s">
        <v>296</v>
      </c>
      <c r="FM50">
        <v>9.2170000000000005</v>
      </c>
      <c r="FN50">
        <v>10.824</v>
      </c>
      <c r="FO50">
        <v>11.58</v>
      </c>
      <c r="FP50">
        <v>2</v>
      </c>
      <c r="FQ50" s="7" t="s">
        <v>300</v>
      </c>
      <c r="FR50" s="7" t="s">
        <v>296</v>
      </c>
      <c r="FS50">
        <v>9.1489999999999991</v>
      </c>
      <c r="FT50">
        <v>10.59</v>
      </c>
      <c r="FU50">
        <v>11.749000000000001</v>
      </c>
      <c r="FV50">
        <v>2</v>
      </c>
      <c r="FW50" s="7" t="s">
        <v>301</v>
      </c>
      <c r="FX50" s="7" t="s">
        <v>294</v>
      </c>
      <c r="FY50">
        <v>9.9390000000000001</v>
      </c>
      <c r="FZ50">
        <v>11.446999999999999</v>
      </c>
      <c r="GA50">
        <v>12.16</v>
      </c>
      <c r="GB50">
        <v>2</v>
      </c>
      <c r="GC50" s="7" t="s">
        <v>291</v>
      </c>
      <c r="GD50" s="7" t="s">
        <v>296</v>
      </c>
      <c r="GE50">
        <v>10.861000000000001</v>
      </c>
      <c r="GF50">
        <v>12.483000000000001</v>
      </c>
      <c r="GG50">
        <v>13.8</v>
      </c>
      <c r="GH50">
        <v>2</v>
      </c>
      <c r="GI50" s="7" t="s">
        <v>300</v>
      </c>
      <c r="GJ50" s="7" t="s">
        <v>294</v>
      </c>
      <c r="GK50">
        <v>8.0449999999999999</v>
      </c>
      <c r="GL50">
        <v>8.9030000000000005</v>
      </c>
      <c r="GM50">
        <v>9.5850000000000009</v>
      </c>
      <c r="GN50">
        <v>2</v>
      </c>
      <c r="GO50" s="7" t="s">
        <v>301</v>
      </c>
      <c r="GP50" s="7" t="s">
        <v>292</v>
      </c>
      <c r="GQ50">
        <v>12.769</v>
      </c>
      <c r="GR50">
        <v>14.869</v>
      </c>
      <c r="GS50">
        <v>15.965</v>
      </c>
      <c r="GT50">
        <v>2</v>
      </c>
      <c r="GU50" s="7" t="s">
        <v>291</v>
      </c>
      <c r="GV50" s="7" t="s">
        <v>296</v>
      </c>
      <c r="GW50">
        <v>16.622</v>
      </c>
      <c r="GX50">
        <v>18.709</v>
      </c>
      <c r="GY50">
        <v>20.289000000000001</v>
      </c>
      <c r="GZ50">
        <v>2</v>
      </c>
      <c r="HA50" s="7" t="s">
        <v>300</v>
      </c>
      <c r="HB50" s="7" t="s">
        <v>294</v>
      </c>
      <c r="HC50">
        <v>6.6829999999999998</v>
      </c>
      <c r="HD50">
        <v>9.3149999999999995</v>
      </c>
      <c r="HE50">
        <v>10.129</v>
      </c>
      <c r="HF50">
        <v>2</v>
      </c>
      <c r="HG50" s="7" t="s">
        <v>291</v>
      </c>
      <c r="HH50" s="7" t="s">
        <v>292</v>
      </c>
      <c r="HI50">
        <v>8.9139999999999997</v>
      </c>
      <c r="HJ50">
        <v>16.492999999999999</v>
      </c>
      <c r="HK50">
        <v>16.934999999999999</v>
      </c>
      <c r="HL50">
        <v>3</v>
      </c>
      <c r="HM50" s="7" t="s">
        <v>861</v>
      </c>
      <c r="HN50" s="7" t="s">
        <v>862</v>
      </c>
      <c r="HO50" s="7" t="s">
        <v>863</v>
      </c>
      <c r="HP50" s="7" t="s">
        <v>863</v>
      </c>
      <c r="HQ50" s="7" t="s">
        <v>864</v>
      </c>
      <c r="HR50" s="7" t="s">
        <v>864</v>
      </c>
      <c r="HS50" s="7" t="s">
        <v>865</v>
      </c>
      <c r="HT50" s="7" t="s">
        <v>866</v>
      </c>
      <c r="HU50" s="7" t="s">
        <v>867</v>
      </c>
      <c r="HV50" s="7" t="s">
        <v>868</v>
      </c>
      <c r="HW50" s="7" t="s">
        <v>282</v>
      </c>
      <c r="HX50" s="7" t="s">
        <v>869</v>
      </c>
      <c r="HY50" s="7" t="s">
        <v>312</v>
      </c>
      <c r="HZ50" s="7" t="s">
        <v>356</v>
      </c>
      <c r="IA50" s="7" t="s">
        <v>313</v>
      </c>
      <c r="IB50" s="7" t="s">
        <v>282</v>
      </c>
      <c r="IC50" s="7" t="s">
        <v>282</v>
      </c>
    </row>
    <row r="51" spans="1:237" x14ac:dyDescent="0.2">
      <c r="A51" s="6">
        <v>45748.582314814812</v>
      </c>
      <c r="B51" s="6">
        <v>45748.596354166664</v>
      </c>
      <c r="C51" s="7" t="s">
        <v>240</v>
      </c>
      <c r="D51" s="7" t="s">
        <v>870</v>
      </c>
      <c r="E51">
        <v>100</v>
      </c>
      <c r="F51">
        <v>1213</v>
      </c>
      <c r="G51" s="7" t="s">
        <v>280</v>
      </c>
      <c r="H51" s="6">
        <v>45748.596369826388</v>
      </c>
      <c r="I51" s="7" t="s">
        <v>871</v>
      </c>
      <c r="J51" s="7" t="s">
        <v>282</v>
      </c>
      <c r="K51" s="7" t="s">
        <v>282</v>
      </c>
      <c r="L51" s="7" t="s">
        <v>282</v>
      </c>
      <c r="M51" s="7" t="s">
        <v>282</v>
      </c>
      <c r="N51">
        <v>51.109400000000001</v>
      </c>
      <c r="O51">
        <v>-114.0488</v>
      </c>
      <c r="P51" s="7" t="s">
        <v>283</v>
      </c>
      <c r="Q51" s="7" t="s">
        <v>284</v>
      </c>
      <c r="R51">
        <v>1</v>
      </c>
      <c r="S51" s="7" t="s">
        <v>285</v>
      </c>
      <c r="T51" s="7" t="s">
        <v>285</v>
      </c>
      <c r="U51" s="7" t="s">
        <v>285</v>
      </c>
      <c r="V51" s="7" t="s">
        <v>285</v>
      </c>
      <c r="W51" s="7" t="s">
        <v>359</v>
      </c>
      <c r="X51" s="7" t="s">
        <v>328</v>
      </c>
      <c r="Y51" s="7" t="s">
        <v>288</v>
      </c>
      <c r="Z51" s="7" t="s">
        <v>289</v>
      </c>
      <c r="AA51" s="7" t="s">
        <v>289</v>
      </c>
      <c r="AB51" s="7" t="s">
        <v>317</v>
      </c>
      <c r="AC51" s="7" t="s">
        <v>291</v>
      </c>
      <c r="AD51" s="7" t="s">
        <v>296</v>
      </c>
      <c r="AE51">
        <v>8.4789999999999992</v>
      </c>
      <c r="AF51">
        <v>15.563000000000001</v>
      </c>
      <c r="AG51">
        <v>16.350999999999999</v>
      </c>
      <c r="AH51">
        <v>7</v>
      </c>
      <c r="AI51" s="7" t="s">
        <v>299</v>
      </c>
      <c r="AJ51" s="7" t="s">
        <v>292</v>
      </c>
      <c r="AK51">
        <v>9.1319999999999997</v>
      </c>
      <c r="AL51">
        <v>15.266999999999999</v>
      </c>
      <c r="AM51">
        <v>16.041</v>
      </c>
      <c r="AN51">
        <v>9</v>
      </c>
      <c r="AO51" s="7" t="s">
        <v>293</v>
      </c>
      <c r="AP51" s="7" t="s">
        <v>292</v>
      </c>
      <c r="AQ51">
        <v>8.5289999999999999</v>
      </c>
      <c r="AR51">
        <v>16.308</v>
      </c>
      <c r="AS51">
        <v>17.033000000000001</v>
      </c>
      <c r="AT51">
        <v>7</v>
      </c>
      <c r="AU51" s="7" t="s">
        <v>295</v>
      </c>
      <c r="AV51" s="7" t="s">
        <v>296</v>
      </c>
      <c r="AW51">
        <v>10.044</v>
      </c>
      <c r="AX51">
        <v>14.346</v>
      </c>
      <c r="AY51">
        <v>15.019</v>
      </c>
      <c r="AZ51">
        <v>6</v>
      </c>
      <c r="BA51" s="7" t="s">
        <v>295</v>
      </c>
      <c r="BB51" s="7" t="s">
        <v>292</v>
      </c>
      <c r="BC51">
        <v>11.773</v>
      </c>
      <c r="BD51">
        <v>17.786000000000001</v>
      </c>
      <c r="BE51">
        <v>18.43</v>
      </c>
      <c r="BF51">
        <v>7</v>
      </c>
      <c r="BG51" s="7" t="s">
        <v>291</v>
      </c>
      <c r="BH51" s="7" t="s">
        <v>296</v>
      </c>
      <c r="BI51">
        <v>9.6839999999999993</v>
      </c>
      <c r="BJ51">
        <v>14.702999999999999</v>
      </c>
      <c r="BK51">
        <v>15.457000000000001</v>
      </c>
      <c r="BL51">
        <v>7</v>
      </c>
      <c r="BM51" s="7" t="s">
        <v>293</v>
      </c>
      <c r="BN51" s="7" t="s">
        <v>292</v>
      </c>
      <c r="BO51">
        <v>10.795999999999999</v>
      </c>
      <c r="BP51">
        <v>20.227</v>
      </c>
      <c r="BQ51">
        <v>20.925000000000001</v>
      </c>
      <c r="BR51">
        <v>7</v>
      </c>
      <c r="BS51" s="7" t="s">
        <v>291</v>
      </c>
      <c r="BT51" s="7" t="s">
        <v>292</v>
      </c>
      <c r="BU51">
        <v>7.9279999999999999</v>
      </c>
      <c r="BV51">
        <v>13.353999999999999</v>
      </c>
      <c r="BW51">
        <v>14.106</v>
      </c>
      <c r="BX51">
        <v>7</v>
      </c>
      <c r="BY51" s="7" t="s">
        <v>298</v>
      </c>
      <c r="BZ51" s="7" t="s">
        <v>292</v>
      </c>
      <c r="CA51">
        <v>14.515000000000001</v>
      </c>
      <c r="CB51">
        <v>44.604999999999997</v>
      </c>
      <c r="CC51">
        <v>45.612000000000002</v>
      </c>
      <c r="CD51">
        <v>12</v>
      </c>
      <c r="CE51" s="7" t="s">
        <v>293</v>
      </c>
      <c r="CF51" s="7" t="s">
        <v>292</v>
      </c>
      <c r="CG51">
        <v>10.028</v>
      </c>
      <c r="CH51">
        <v>22.626999999999999</v>
      </c>
      <c r="CI51">
        <v>23.356999999999999</v>
      </c>
      <c r="CJ51">
        <v>9</v>
      </c>
      <c r="CK51" s="7" t="s">
        <v>291</v>
      </c>
      <c r="CL51" s="7" t="s">
        <v>296</v>
      </c>
      <c r="CM51">
        <v>10.46</v>
      </c>
      <c r="CN51">
        <v>15.9</v>
      </c>
      <c r="CO51">
        <v>16.581</v>
      </c>
      <c r="CP51">
        <v>6</v>
      </c>
      <c r="CQ51" s="7" t="s">
        <v>293</v>
      </c>
      <c r="CR51" s="7" t="s">
        <v>292</v>
      </c>
      <c r="CS51">
        <v>8.8949999999999996</v>
      </c>
      <c r="CT51">
        <v>17.067</v>
      </c>
      <c r="CU51">
        <v>17.548999999999999</v>
      </c>
      <c r="CV51">
        <v>10</v>
      </c>
      <c r="CW51" s="7" t="s">
        <v>291</v>
      </c>
      <c r="CX51" s="7" t="s">
        <v>296</v>
      </c>
      <c r="CY51">
        <v>9.9640000000000004</v>
      </c>
      <c r="CZ51">
        <v>20.423999999999999</v>
      </c>
      <c r="DA51">
        <v>21.225000000000001</v>
      </c>
      <c r="DB51">
        <v>8</v>
      </c>
      <c r="DC51" s="7" t="s">
        <v>295</v>
      </c>
      <c r="DD51" s="7" t="s">
        <v>296</v>
      </c>
      <c r="DE51">
        <v>9.2829999999999995</v>
      </c>
      <c r="DF51">
        <v>13.563000000000001</v>
      </c>
      <c r="DG51">
        <v>14.311999999999999</v>
      </c>
      <c r="DH51">
        <v>7</v>
      </c>
      <c r="DI51" s="7" t="s">
        <v>291</v>
      </c>
      <c r="DJ51" s="7" t="s">
        <v>296</v>
      </c>
      <c r="DK51">
        <v>9.3710000000000004</v>
      </c>
      <c r="DL51">
        <v>15.601000000000001</v>
      </c>
      <c r="DM51">
        <v>16.279</v>
      </c>
      <c r="DN51">
        <v>8</v>
      </c>
      <c r="DO51" s="7" t="s">
        <v>291</v>
      </c>
      <c r="DP51" s="7" t="s">
        <v>296</v>
      </c>
      <c r="DQ51">
        <v>10.647</v>
      </c>
      <c r="DR51">
        <v>17.253</v>
      </c>
      <c r="DS51">
        <v>17.783000000000001</v>
      </c>
      <c r="DT51">
        <v>10</v>
      </c>
      <c r="DU51" s="7" t="s">
        <v>299</v>
      </c>
      <c r="DV51" s="7" t="s">
        <v>292</v>
      </c>
      <c r="DW51">
        <v>11.534000000000001</v>
      </c>
      <c r="DX51">
        <v>19.943999999999999</v>
      </c>
      <c r="DY51">
        <v>20.818999999999999</v>
      </c>
      <c r="DZ51">
        <v>7</v>
      </c>
      <c r="EA51" s="7" t="s">
        <v>282</v>
      </c>
      <c r="EB51" s="7" t="s">
        <v>296</v>
      </c>
      <c r="EC51">
        <v>9.4960000000000004</v>
      </c>
      <c r="ED51">
        <v>14.638</v>
      </c>
      <c r="EE51">
        <v>15.252000000000001</v>
      </c>
      <c r="EF51">
        <v>9</v>
      </c>
      <c r="EG51" s="7" t="s">
        <v>295</v>
      </c>
      <c r="EH51" s="7" t="s">
        <v>292</v>
      </c>
      <c r="EI51">
        <v>12.512</v>
      </c>
      <c r="EJ51">
        <v>20.382999999999999</v>
      </c>
      <c r="EK51">
        <v>21.263999999999999</v>
      </c>
      <c r="EL51">
        <v>9</v>
      </c>
      <c r="EM51" s="7" t="s">
        <v>291</v>
      </c>
      <c r="EN51" s="7" t="s">
        <v>296</v>
      </c>
      <c r="EO51">
        <v>9.2449999999999992</v>
      </c>
      <c r="EP51">
        <v>13.003</v>
      </c>
      <c r="EQ51">
        <v>13.837999999999999</v>
      </c>
      <c r="ER51">
        <v>5</v>
      </c>
      <c r="ES51" s="7" t="s">
        <v>291</v>
      </c>
      <c r="ET51" s="7" t="s">
        <v>296</v>
      </c>
      <c r="EU51">
        <v>8.3170000000000002</v>
      </c>
      <c r="EV51">
        <v>12.393000000000001</v>
      </c>
      <c r="EW51">
        <v>13.11</v>
      </c>
      <c r="EX51">
        <v>5</v>
      </c>
      <c r="EY51" s="7" t="s">
        <v>300</v>
      </c>
      <c r="EZ51" s="7" t="s">
        <v>294</v>
      </c>
      <c r="FA51">
        <v>11.47</v>
      </c>
      <c r="FB51">
        <v>14.502000000000001</v>
      </c>
      <c r="FC51">
        <v>15.164</v>
      </c>
      <c r="FD51">
        <v>5</v>
      </c>
      <c r="FE51" s="7" t="s">
        <v>301</v>
      </c>
      <c r="FF51" s="7" t="s">
        <v>296</v>
      </c>
      <c r="FG51">
        <v>11.058999999999999</v>
      </c>
      <c r="FH51">
        <v>15.061999999999999</v>
      </c>
      <c r="FI51">
        <v>15.803000000000001</v>
      </c>
      <c r="FJ51">
        <v>6</v>
      </c>
      <c r="FK51" s="7" t="s">
        <v>300</v>
      </c>
      <c r="FL51" s="7" t="s">
        <v>296</v>
      </c>
      <c r="FM51">
        <v>9.0640000000000001</v>
      </c>
      <c r="FN51">
        <v>13.73</v>
      </c>
      <c r="FO51">
        <v>14.456</v>
      </c>
      <c r="FP51">
        <v>4</v>
      </c>
      <c r="FQ51" s="7" t="s">
        <v>300</v>
      </c>
      <c r="FR51" s="7" t="s">
        <v>296</v>
      </c>
      <c r="FS51">
        <v>8.2669999999999995</v>
      </c>
      <c r="FT51">
        <v>14.708</v>
      </c>
      <c r="FU51">
        <v>15.631</v>
      </c>
      <c r="FV51">
        <v>8</v>
      </c>
      <c r="FW51" s="7" t="s">
        <v>301</v>
      </c>
      <c r="FX51" s="7" t="s">
        <v>292</v>
      </c>
      <c r="FY51">
        <v>9.3670000000000009</v>
      </c>
      <c r="FZ51">
        <v>17.812000000000001</v>
      </c>
      <c r="GA51">
        <v>18.504000000000001</v>
      </c>
      <c r="GB51">
        <v>6</v>
      </c>
      <c r="GC51" s="7" t="s">
        <v>291</v>
      </c>
      <c r="GD51" s="7" t="s">
        <v>294</v>
      </c>
      <c r="GE51">
        <v>9.65</v>
      </c>
      <c r="GF51">
        <v>13.404</v>
      </c>
      <c r="GG51">
        <v>14.231</v>
      </c>
      <c r="GH51">
        <v>5</v>
      </c>
      <c r="GI51" s="7" t="s">
        <v>300</v>
      </c>
      <c r="GJ51" s="7" t="s">
        <v>294</v>
      </c>
      <c r="GK51">
        <v>9.1969999999999992</v>
      </c>
      <c r="GL51">
        <v>13.07</v>
      </c>
      <c r="GM51">
        <v>13.885</v>
      </c>
      <c r="GN51">
        <v>5</v>
      </c>
      <c r="GO51" s="7" t="s">
        <v>301</v>
      </c>
      <c r="GP51" s="7" t="s">
        <v>296</v>
      </c>
      <c r="GQ51">
        <v>10.164</v>
      </c>
      <c r="GR51">
        <v>13.541</v>
      </c>
      <c r="GS51">
        <v>14.237</v>
      </c>
      <c r="GT51">
        <v>5</v>
      </c>
      <c r="GU51" s="7" t="s">
        <v>291</v>
      </c>
      <c r="GV51" s="7" t="s">
        <v>296</v>
      </c>
      <c r="GW51">
        <v>8.8610000000000007</v>
      </c>
      <c r="GX51">
        <v>12.497999999999999</v>
      </c>
      <c r="GY51">
        <v>13.257</v>
      </c>
      <c r="GZ51">
        <v>4</v>
      </c>
      <c r="HA51" s="7" t="s">
        <v>300</v>
      </c>
      <c r="HB51" s="7" t="s">
        <v>296</v>
      </c>
      <c r="HC51">
        <v>7.8449999999999998</v>
      </c>
      <c r="HD51">
        <v>13.571999999999999</v>
      </c>
      <c r="HE51">
        <v>14.194000000000001</v>
      </c>
      <c r="HF51">
        <v>6</v>
      </c>
      <c r="HG51" s="7" t="s">
        <v>291</v>
      </c>
      <c r="HH51" s="7" t="s">
        <v>292</v>
      </c>
      <c r="HI51">
        <v>10.281000000000001</v>
      </c>
      <c r="HJ51">
        <v>14.324</v>
      </c>
      <c r="HK51">
        <v>15.032999999999999</v>
      </c>
      <c r="HL51">
        <v>6</v>
      </c>
      <c r="HM51" s="7" t="s">
        <v>872</v>
      </c>
      <c r="HN51" s="7" t="s">
        <v>592</v>
      </c>
      <c r="HO51" s="7" t="s">
        <v>873</v>
      </c>
      <c r="HP51" s="7" t="s">
        <v>592</v>
      </c>
      <c r="HQ51" s="7" t="s">
        <v>874</v>
      </c>
      <c r="HR51" s="7" t="s">
        <v>875</v>
      </c>
      <c r="HS51" s="7" t="s">
        <v>693</v>
      </c>
      <c r="HT51" s="7" t="s">
        <v>592</v>
      </c>
      <c r="HU51" s="7" t="s">
        <v>876</v>
      </c>
      <c r="HV51" s="7" t="s">
        <v>592</v>
      </c>
      <c r="HW51" s="7" t="s">
        <v>282</v>
      </c>
      <c r="HX51" s="7" t="s">
        <v>282</v>
      </c>
      <c r="HY51" s="7" t="s">
        <v>312</v>
      </c>
      <c r="HZ51" s="7" t="s">
        <v>372</v>
      </c>
      <c r="IA51" s="7" t="s">
        <v>325</v>
      </c>
      <c r="IB51" s="7" t="s">
        <v>282</v>
      </c>
      <c r="IC51" s="7" t="s">
        <v>282</v>
      </c>
    </row>
    <row r="52" spans="1:237" x14ac:dyDescent="0.2">
      <c r="A52" s="6">
        <v>45748.603229166663</v>
      </c>
      <c r="B52" s="6">
        <v>45748.615682870368</v>
      </c>
      <c r="C52" s="7" t="s">
        <v>240</v>
      </c>
      <c r="D52" s="7" t="s">
        <v>877</v>
      </c>
      <c r="E52">
        <v>100</v>
      </c>
      <c r="F52">
        <v>1075</v>
      </c>
      <c r="G52" s="7" t="s">
        <v>280</v>
      </c>
      <c r="H52" s="6">
        <v>45748.615696817127</v>
      </c>
      <c r="I52" s="7" t="s">
        <v>878</v>
      </c>
      <c r="J52" s="7" t="s">
        <v>282</v>
      </c>
      <c r="K52" s="7" t="s">
        <v>282</v>
      </c>
      <c r="L52" s="7" t="s">
        <v>282</v>
      </c>
      <c r="M52" s="7" t="s">
        <v>282</v>
      </c>
      <c r="N52">
        <v>49.866599999999998</v>
      </c>
      <c r="O52">
        <v>-97.195700000000002</v>
      </c>
      <c r="P52" s="7" t="s">
        <v>283</v>
      </c>
      <c r="Q52" s="7" t="s">
        <v>284</v>
      </c>
      <c r="R52">
        <v>1</v>
      </c>
      <c r="S52" s="7" t="s">
        <v>285</v>
      </c>
      <c r="T52" s="7" t="s">
        <v>285</v>
      </c>
      <c r="U52" s="7" t="s">
        <v>285</v>
      </c>
      <c r="V52" s="7" t="s">
        <v>285</v>
      </c>
      <c r="W52" s="7" t="s">
        <v>544</v>
      </c>
      <c r="X52" s="7" t="s">
        <v>328</v>
      </c>
      <c r="Y52" s="7" t="s">
        <v>288</v>
      </c>
      <c r="Z52" s="7" t="s">
        <v>288</v>
      </c>
      <c r="AA52" s="7" t="s">
        <v>289</v>
      </c>
      <c r="AB52" s="7" t="s">
        <v>317</v>
      </c>
      <c r="AC52" s="7" t="s">
        <v>291</v>
      </c>
      <c r="AD52" s="7" t="s">
        <v>292</v>
      </c>
      <c r="AE52">
        <v>2.7480000000000002</v>
      </c>
      <c r="AF52">
        <v>18.760999999999999</v>
      </c>
      <c r="AG52">
        <v>19.286999999999999</v>
      </c>
      <c r="AH52">
        <v>11</v>
      </c>
      <c r="AI52" s="7" t="s">
        <v>293</v>
      </c>
      <c r="AJ52" s="7" t="s">
        <v>296</v>
      </c>
      <c r="AK52">
        <v>1.224</v>
      </c>
      <c r="AL52">
        <v>10.393000000000001</v>
      </c>
      <c r="AM52">
        <v>10.877000000000001</v>
      </c>
      <c r="AN52">
        <v>8</v>
      </c>
      <c r="AO52" s="7" t="s">
        <v>293</v>
      </c>
      <c r="AP52" s="7" t="s">
        <v>296</v>
      </c>
      <c r="AQ52">
        <v>1.167</v>
      </c>
      <c r="AR52">
        <v>13.82</v>
      </c>
      <c r="AS52">
        <v>14.53</v>
      </c>
      <c r="AT52">
        <v>9</v>
      </c>
      <c r="AU52" s="7" t="s">
        <v>298</v>
      </c>
      <c r="AV52" s="7" t="s">
        <v>296</v>
      </c>
      <c r="AW52">
        <v>1.161</v>
      </c>
      <c r="AX52">
        <v>24.045000000000002</v>
      </c>
      <c r="AY52">
        <v>24.603999999999999</v>
      </c>
      <c r="AZ52">
        <v>11</v>
      </c>
      <c r="BA52" s="7" t="s">
        <v>298</v>
      </c>
      <c r="BB52" s="7" t="s">
        <v>296</v>
      </c>
      <c r="BC52">
        <v>2.0070000000000001</v>
      </c>
      <c r="BD52">
        <v>17.484999999999999</v>
      </c>
      <c r="BE52">
        <v>18.14</v>
      </c>
      <c r="BF52">
        <v>9</v>
      </c>
      <c r="BG52" s="7" t="s">
        <v>291</v>
      </c>
      <c r="BH52" s="7" t="s">
        <v>296</v>
      </c>
      <c r="BI52">
        <v>1.1140000000000001</v>
      </c>
      <c r="BJ52">
        <v>12.66</v>
      </c>
      <c r="BK52">
        <v>13.157999999999999</v>
      </c>
      <c r="BL52">
        <v>9</v>
      </c>
      <c r="BM52" s="7" t="s">
        <v>293</v>
      </c>
      <c r="BN52" s="7" t="s">
        <v>296</v>
      </c>
      <c r="BO52">
        <v>1.2949999999999999</v>
      </c>
      <c r="BP52">
        <v>10.941000000000001</v>
      </c>
      <c r="BQ52">
        <v>11.33</v>
      </c>
      <c r="BR52">
        <v>8</v>
      </c>
      <c r="BS52" s="7" t="s">
        <v>295</v>
      </c>
      <c r="BT52" s="7" t="s">
        <v>297</v>
      </c>
      <c r="BU52">
        <v>0.96899999999999997</v>
      </c>
      <c r="BV52">
        <v>23.643999999999998</v>
      </c>
      <c r="BW52">
        <v>24.024999999999999</v>
      </c>
      <c r="BX52">
        <v>12</v>
      </c>
      <c r="BY52" s="7" t="s">
        <v>298</v>
      </c>
      <c r="BZ52" s="7" t="s">
        <v>296</v>
      </c>
      <c r="CA52">
        <v>1.3109999999999999</v>
      </c>
      <c r="CB52">
        <v>14.09</v>
      </c>
      <c r="CC52">
        <v>14.675000000000001</v>
      </c>
      <c r="CD52">
        <v>7</v>
      </c>
      <c r="CE52" s="7" t="s">
        <v>298</v>
      </c>
      <c r="CF52" s="7" t="s">
        <v>296</v>
      </c>
      <c r="CG52">
        <v>1.046</v>
      </c>
      <c r="CH52">
        <v>14.654</v>
      </c>
      <c r="CI52">
        <v>15.228</v>
      </c>
      <c r="CJ52">
        <v>8</v>
      </c>
      <c r="CK52" s="7" t="s">
        <v>291</v>
      </c>
      <c r="CL52" s="7" t="s">
        <v>296</v>
      </c>
      <c r="CM52">
        <v>1.1619999999999999</v>
      </c>
      <c r="CN52">
        <v>10.130000000000001</v>
      </c>
      <c r="CO52">
        <v>10.628</v>
      </c>
      <c r="CP52">
        <v>7</v>
      </c>
      <c r="CQ52" s="7" t="s">
        <v>293</v>
      </c>
      <c r="CR52" s="7" t="s">
        <v>296</v>
      </c>
      <c r="CS52">
        <v>8.907</v>
      </c>
      <c r="CT52">
        <v>13.381</v>
      </c>
      <c r="CU52">
        <v>13.881</v>
      </c>
      <c r="CV52">
        <v>7</v>
      </c>
      <c r="CW52" s="7" t="s">
        <v>295</v>
      </c>
      <c r="CX52" s="7" t="s">
        <v>297</v>
      </c>
      <c r="CY52">
        <v>1.0960000000000001</v>
      </c>
      <c r="CZ52">
        <v>15.195</v>
      </c>
      <c r="DA52">
        <v>15.795999999999999</v>
      </c>
      <c r="DB52">
        <v>11</v>
      </c>
      <c r="DC52" s="7" t="s">
        <v>298</v>
      </c>
      <c r="DD52" s="7" t="s">
        <v>296</v>
      </c>
      <c r="DE52">
        <v>1.2769999999999999</v>
      </c>
      <c r="DF52">
        <v>13.849</v>
      </c>
      <c r="DG52">
        <v>14.273</v>
      </c>
      <c r="DH52">
        <v>9</v>
      </c>
      <c r="DI52" s="7" t="s">
        <v>291</v>
      </c>
      <c r="DJ52" s="7" t="s">
        <v>292</v>
      </c>
      <c r="DK52">
        <v>8.2149999999999999</v>
      </c>
      <c r="DL52">
        <v>16.239000000000001</v>
      </c>
      <c r="DM52">
        <v>16.716999999999999</v>
      </c>
      <c r="DN52">
        <v>11</v>
      </c>
      <c r="DO52" s="7" t="s">
        <v>291</v>
      </c>
      <c r="DP52" s="7" t="s">
        <v>292</v>
      </c>
      <c r="DQ52">
        <v>1.141</v>
      </c>
      <c r="DR52">
        <v>11.116</v>
      </c>
      <c r="DS52">
        <v>12.282999999999999</v>
      </c>
      <c r="DT52">
        <v>7</v>
      </c>
      <c r="DU52" s="7" t="s">
        <v>293</v>
      </c>
      <c r="DV52" s="7" t="s">
        <v>296</v>
      </c>
      <c r="DW52">
        <v>1.173</v>
      </c>
      <c r="DX52">
        <v>14.3</v>
      </c>
      <c r="DY52">
        <v>14.788</v>
      </c>
      <c r="DZ52">
        <v>8</v>
      </c>
      <c r="EA52" s="7" t="s">
        <v>299</v>
      </c>
      <c r="EB52" s="7" t="s">
        <v>296</v>
      </c>
      <c r="EC52">
        <v>1.1519999999999999</v>
      </c>
      <c r="ED52">
        <v>16.954999999999998</v>
      </c>
      <c r="EE52">
        <v>17.850999999999999</v>
      </c>
      <c r="EF52">
        <v>7</v>
      </c>
      <c r="EG52" s="7" t="s">
        <v>298</v>
      </c>
      <c r="EH52" s="7" t="s">
        <v>296</v>
      </c>
      <c r="EI52">
        <v>1.6259999999999999</v>
      </c>
      <c r="EJ52">
        <v>12.037000000000001</v>
      </c>
      <c r="EK52">
        <v>12.648999999999999</v>
      </c>
      <c r="EL52">
        <v>7</v>
      </c>
      <c r="EM52" s="7" t="s">
        <v>291</v>
      </c>
      <c r="EN52" s="7" t="s">
        <v>292</v>
      </c>
      <c r="EO52">
        <v>1.1519999999999999</v>
      </c>
      <c r="EP52">
        <v>17.782</v>
      </c>
      <c r="EQ52">
        <v>18.37</v>
      </c>
      <c r="ER52">
        <v>10</v>
      </c>
      <c r="ES52" s="7" t="s">
        <v>291</v>
      </c>
      <c r="ET52" s="7" t="s">
        <v>297</v>
      </c>
      <c r="EU52">
        <v>1.2070000000000001</v>
      </c>
      <c r="EV52">
        <v>19.494</v>
      </c>
      <c r="EW52">
        <v>19.905999999999999</v>
      </c>
      <c r="EX52">
        <v>9</v>
      </c>
      <c r="EY52" s="7" t="s">
        <v>300</v>
      </c>
      <c r="EZ52" s="7" t="s">
        <v>294</v>
      </c>
      <c r="FA52">
        <v>1.2070000000000001</v>
      </c>
      <c r="FB52">
        <v>10.461</v>
      </c>
      <c r="FC52">
        <v>11.226000000000001</v>
      </c>
      <c r="FD52">
        <v>8</v>
      </c>
      <c r="FE52" s="7" t="s">
        <v>301</v>
      </c>
      <c r="FF52" s="7" t="s">
        <v>292</v>
      </c>
      <c r="FG52">
        <v>1.1839999999999999</v>
      </c>
      <c r="FH52">
        <v>13.494</v>
      </c>
      <c r="FI52">
        <v>14.02</v>
      </c>
      <c r="FJ52">
        <v>8</v>
      </c>
      <c r="FK52" s="7" t="s">
        <v>291</v>
      </c>
      <c r="FL52" s="7" t="s">
        <v>292</v>
      </c>
      <c r="FM52">
        <v>1.1910000000000001</v>
      </c>
      <c r="FN52">
        <v>13.132999999999999</v>
      </c>
      <c r="FO52">
        <v>13.814</v>
      </c>
      <c r="FP52">
        <v>8</v>
      </c>
      <c r="FQ52" s="7" t="s">
        <v>300</v>
      </c>
      <c r="FR52" s="7" t="s">
        <v>296</v>
      </c>
      <c r="FS52">
        <v>1.694</v>
      </c>
      <c r="FT52">
        <v>16.954999999999998</v>
      </c>
      <c r="FU52">
        <v>17.463999999999999</v>
      </c>
      <c r="FV52">
        <v>10</v>
      </c>
      <c r="FW52" s="7" t="s">
        <v>301</v>
      </c>
      <c r="FX52" s="7" t="s">
        <v>292</v>
      </c>
      <c r="FY52">
        <v>1.4850000000000001</v>
      </c>
      <c r="FZ52">
        <v>16.414000000000001</v>
      </c>
      <c r="GA52">
        <v>17.963000000000001</v>
      </c>
      <c r="GB52">
        <v>8</v>
      </c>
      <c r="GC52" s="7" t="s">
        <v>291</v>
      </c>
      <c r="GD52" s="7" t="s">
        <v>296</v>
      </c>
      <c r="GE52">
        <v>1.2090000000000001</v>
      </c>
      <c r="GF52">
        <v>14.515000000000001</v>
      </c>
      <c r="GG52">
        <v>15.212</v>
      </c>
      <c r="GH52">
        <v>8</v>
      </c>
      <c r="GI52" s="7" t="s">
        <v>300</v>
      </c>
      <c r="GJ52" s="7" t="s">
        <v>296</v>
      </c>
      <c r="GK52">
        <v>1.3049999999999999</v>
      </c>
      <c r="GL52">
        <v>11.398</v>
      </c>
      <c r="GM52">
        <v>12.07</v>
      </c>
      <c r="GN52">
        <v>9</v>
      </c>
      <c r="GO52" s="7" t="s">
        <v>301</v>
      </c>
      <c r="GP52" s="7" t="s">
        <v>296</v>
      </c>
      <c r="GQ52">
        <v>1.1439999999999999</v>
      </c>
      <c r="GR52">
        <v>10.602</v>
      </c>
      <c r="GS52">
        <v>11.117000000000001</v>
      </c>
      <c r="GT52">
        <v>8</v>
      </c>
      <c r="GU52" s="7" t="s">
        <v>291</v>
      </c>
      <c r="GV52" s="7" t="s">
        <v>292</v>
      </c>
      <c r="GW52">
        <v>2.0209999999999999</v>
      </c>
      <c r="GX52">
        <v>22.045999999999999</v>
      </c>
      <c r="GY52">
        <v>22.81</v>
      </c>
      <c r="GZ52">
        <v>10</v>
      </c>
      <c r="HA52" s="7" t="s">
        <v>300</v>
      </c>
      <c r="HB52" s="7" t="s">
        <v>294</v>
      </c>
      <c r="HC52">
        <v>1.3049999999999999</v>
      </c>
      <c r="HD52">
        <v>11.723000000000001</v>
      </c>
      <c r="HE52">
        <v>12.225</v>
      </c>
      <c r="HF52">
        <v>9</v>
      </c>
      <c r="HG52" s="7" t="s">
        <v>301</v>
      </c>
      <c r="HH52" s="7" t="s">
        <v>292</v>
      </c>
      <c r="HI52">
        <v>1.2430000000000001</v>
      </c>
      <c r="HJ52">
        <v>40.627000000000002</v>
      </c>
      <c r="HK52">
        <v>41.354999999999997</v>
      </c>
      <c r="HL52">
        <v>15</v>
      </c>
      <c r="HM52" s="7" t="s">
        <v>879</v>
      </c>
      <c r="HN52" s="7" t="s">
        <v>880</v>
      </c>
      <c r="HO52" s="7" t="s">
        <v>881</v>
      </c>
      <c r="HP52" s="7" t="s">
        <v>882</v>
      </c>
      <c r="HQ52" s="7" t="s">
        <v>883</v>
      </c>
      <c r="HR52" s="7" t="s">
        <v>884</v>
      </c>
      <c r="HS52" s="7" t="s">
        <v>885</v>
      </c>
      <c r="HT52" s="7" t="s">
        <v>886</v>
      </c>
      <c r="HU52" s="7" t="s">
        <v>887</v>
      </c>
      <c r="HV52" s="7" t="s">
        <v>888</v>
      </c>
      <c r="HW52" s="7" t="s">
        <v>282</v>
      </c>
      <c r="HX52" s="7" t="s">
        <v>889</v>
      </c>
      <c r="HY52" s="7" t="s">
        <v>312</v>
      </c>
      <c r="HZ52" s="7" t="s">
        <v>356</v>
      </c>
      <c r="IA52" s="7" t="s">
        <v>313</v>
      </c>
      <c r="IB52" s="7" t="s">
        <v>282</v>
      </c>
      <c r="IC52" s="7" t="s">
        <v>282</v>
      </c>
    </row>
    <row r="53" spans="1:237" x14ac:dyDescent="0.2">
      <c r="A53" s="6">
        <v>45748.599097222221</v>
      </c>
      <c r="B53" s="6">
        <v>45748.623078703706</v>
      </c>
      <c r="C53" s="7" t="s">
        <v>240</v>
      </c>
      <c r="D53" s="7" t="s">
        <v>890</v>
      </c>
      <c r="E53">
        <v>100</v>
      </c>
      <c r="F53">
        <v>2072</v>
      </c>
      <c r="G53" s="7" t="s">
        <v>280</v>
      </c>
      <c r="H53" s="6">
        <v>45748.623086273146</v>
      </c>
      <c r="I53" s="7" t="s">
        <v>891</v>
      </c>
      <c r="J53" s="7" t="s">
        <v>282</v>
      </c>
      <c r="K53" s="7" t="s">
        <v>282</v>
      </c>
      <c r="L53" s="7" t="s">
        <v>282</v>
      </c>
      <c r="M53" s="7" t="s">
        <v>282</v>
      </c>
      <c r="N53">
        <v>43.631900000000002</v>
      </c>
      <c r="O53">
        <v>-79.371600000000001</v>
      </c>
      <c r="P53" s="7" t="s">
        <v>283</v>
      </c>
      <c r="Q53" s="7" t="s">
        <v>284</v>
      </c>
      <c r="R53">
        <v>0.80000001192092896</v>
      </c>
      <c r="S53" s="7" t="s">
        <v>285</v>
      </c>
      <c r="T53" s="7" t="s">
        <v>285</v>
      </c>
      <c r="U53" s="7" t="s">
        <v>285</v>
      </c>
      <c r="V53" s="7" t="s">
        <v>285</v>
      </c>
      <c r="W53" s="7" t="s">
        <v>286</v>
      </c>
      <c r="X53" s="7" t="s">
        <v>287</v>
      </c>
      <c r="Y53" s="7" t="s">
        <v>288</v>
      </c>
      <c r="Z53" s="7" t="s">
        <v>289</v>
      </c>
      <c r="AA53" s="7" t="s">
        <v>317</v>
      </c>
      <c r="AB53" s="7" t="s">
        <v>289</v>
      </c>
      <c r="AC53" s="7" t="s">
        <v>291</v>
      </c>
      <c r="AD53" s="7" t="s">
        <v>292</v>
      </c>
      <c r="AE53">
        <v>13.111000000000001</v>
      </c>
      <c r="AF53">
        <v>20.817</v>
      </c>
      <c r="AG53">
        <v>21.483000000000001</v>
      </c>
      <c r="AH53">
        <v>7</v>
      </c>
      <c r="AI53" s="7" t="s">
        <v>299</v>
      </c>
      <c r="AJ53" s="7" t="s">
        <v>294</v>
      </c>
      <c r="AK53">
        <v>21.321000000000002</v>
      </c>
      <c r="AL53">
        <v>25.899000000000001</v>
      </c>
      <c r="AM53">
        <v>27.076000000000001</v>
      </c>
      <c r="AN53">
        <v>4</v>
      </c>
      <c r="AO53" s="7" t="s">
        <v>299</v>
      </c>
      <c r="AP53" s="7" t="s">
        <v>296</v>
      </c>
      <c r="AQ53">
        <v>19.754999999999999</v>
      </c>
      <c r="AR53">
        <v>25.048999999999999</v>
      </c>
      <c r="AS53">
        <v>25.928000000000001</v>
      </c>
      <c r="AT53">
        <v>5</v>
      </c>
      <c r="AU53" s="7" t="s">
        <v>295</v>
      </c>
      <c r="AV53" s="7" t="s">
        <v>294</v>
      </c>
      <c r="AW53">
        <v>17.343</v>
      </c>
      <c r="AX53">
        <v>22.402000000000001</v>
      </c>
      <c r="AY53">
        <v>23.93</v>
      </c>
      <c r="AZ53">
        <v>5</v>
      </c>
      <c r="BA53" s="7" t="s">
        <v>295</v>
      </c>
      <c r="BB53" s="7" t="s">
        <v>296</v>
      </c>
      <c r="BC53">
        <v>15.863</v>
      </c>
      <c r="BD53">
        <v>74.856999999999999</v>
      </c>
      <c r="BE53">
        <v>75.423000000000002</v>
      </c>
      <c r="BF53">
        <v>10</v>
      </c>
      <c r="BG53" s="7" t="s">
        <v>291</v>
      </c>
      <c r="BH53" s="7" t="s">
        <v>296</v>
      </c>
      <c r="BI53">
        <v>12.829000000000001</v>
      </c>
      <c r="BJ53">
        <v>18.486999999999998</v>
      </c>
      <c r="BK53">
        <v>19.565000000000001</v>
      </c>
      <c r="BL53">
        <v>6</v>
      </c>
      <c r="BM53" s="7" t="s">
        <v>299</v>
      </c>
      <c r="BN53" s="7" t="s">
        <v>294</v>
      </c>
      <c r="BO53">
        <v>11.846</v>
      </c>
      <c r="BP53">
        <v>20.963999999999999</v>
      </c>
      <c r="BQ53">
        <v>21.600999999999999</v>
      </c>
      <c r="BR53">
        <v>7</v>
      </c>
      <c r="BS53" s="7" t="s">
        <v>291</v>
      </c>
      <c r="BT53" s="7" t="s">
        <v>292</v>
      </c>
      <c r="BU53">
        <v>16.664000000000001</v>
      </c>
      <c r="BV53">
        <v>40.174999999999997</v>
      </c>
      <c r="BW53">
        <v>40.725000000000001</v>
      </c>
      <c r="BX53">
        <v>10</v>
      </c>
      <c r="BY53" s="7" t="s">
        <v>295</v>
      </c>
      <c r="BZ53" s="7" t="s">
        <v>296</v>
      </c>
      <c r="CA53">
        <v>14.704000000000001</v>
      </c>
      <c r="CB53">
        <v>28</v>
      </c>
      <c r="CC53">
        <v>33.238999999999997</v>
      </c>
      <c r="CD53">
        <v>9</v>
      </c>
      <c r="CE53" s="7" t="s">
        <v>293</v>
      </c>
      <c r="CF53" s="7" t="s">
        <v>292</v>
      </c>
      <c r="CG53">
        <v>28.95</v>
      </c>
      <c r="CH53">
        <v>50</v>
      </c>
      <c r="CI53">
        <v>51.612000000000002</v>
      </c>
      <c r="CJ53">
        <v>8</v>
      </c>
      <c r="CK53" s="7" t="s">
        <v>291</v>
      </c>
      <c r="CL53" s="7" t="s">
        <v>296</v>
      </c>
      <c r="CM53">
        <v>13.628</v>
      </c>
      <c r="CN53">
        <v>18.902000000000001</v>
      </c>
      <c r="CO53">
        <v>19.498999999999999</v>
      </c>
      <c r="CP53">
        <v>5</v>
      </c>
      <c r="CQ53" s="7" t="s">
        <v>299</v>
      </c>
      <c r="CR53" s="7" t="s">
        <v>294</v>
      </c>
      <c r="CS53">
        <v>16.798999999999999</v>
      </c>
      <c r="CT53">
        <v>23.904</v>
      </c>
      <c r="CU53">
        <v>24.731000000000002</v>
      </c>
      <c r="CV53">
        <v>5</v>
      </c>
      <c r="CW53" s="7" t="s">
        <v>291</v>
      </c>
      <c r="CX53" s="7" t="s">
        <v>297</v>
      </c>
      <c r="CY53">
        <v>17.879000000000001</v>
      </c>
      <c r="CZ53">
        <v>34.534999999999997</v>
      </c>
      <c r="DA53">
        <v>35.348999999999997</v>
      </c>
      <c r="DB53">
        <v>6</v>
      </c>
      <c r="DC53" s="7" t="s">
        <v>295</v>
      </c>
      <c r="DD53" s="7" t="s">
        <v>296</v>
      </c>
      <c r="DE53">
        <v>27.402999999999999</v>
      </c>
      <c r="DF53">
        <v>37.987000000000002</v>
      </c>
      <c r="DG53">
        <v>39.432000000000002</v>
      </c>
      <c r="DH53">
        <v>6</v>
      </c>
      <c r="DI53" s="7" t="s">
        <v>298</v>
      </c>
      <c r="DJ53" s="7" t="s">
        <v>292</v>
      </c>
      <c r="DK53">
        <v>10.664</v>
      </c>
      <c r="DL53">
        <v>19.936</v>
      </c>
      <c r="DM53">
        <v>20.780999999999999</v>
      </c>
      <c r="DN53">
        <v>7</v>
      </c>
      <c r="DO53" s="7" t="s">
        <v>291</v>
      </c>
      <c r="DP53" s="7" t="s">
        <v>296</v>
      </c>
      <c r="DQ53">
        <v>12.143000000000001</v>
      </c>
      <c r="DR53">
        <v>18.675000000000001</v>
      </c>
      <c r="DS53">
        <v>19.661999999999999</v>
      </c>
      <c r="DT53">
        <v>7</v>
      </c>
      <c r="DU53" s="7" t="s">
        <v>299</v>
      </c>
      <c r="DV53" s="7" t="s">
        <v>296</v>
      </c>
      <c r="DW53">
        <v>12.978999999999999</v>
      </c>
      <c r="DX53">
        <v>19.835000000000001</v>
      </c>
      <c r="DY53">
        <v>20.53</v>
      </c>
      <c r="DZ53">
        <v>6</v>
      </c>
      <c r="EA53" s="7" t="s">
        <v>291</v>
      </c>
      <c r="EB53" s="7" t="s">
        <v>296</v>
      </c>
      <c r="EC53">
        <v>12.317</v>
      </c>
      <c r="ED53">
        <v>17.457999999999998</v>
      </c>
      <c r="EE53">
        <v>18.539000000000001</v>
      </c>
      <c r="EF53">
        <v>5</v>
      </c>
      <c r="EG53" s="7" t="s">
        <v>295</v>
      </c>
      <c r="EH53" s="7" t="s">
        <v>296</v>
      </c>
      <c r="EI53">
        <v>31.027000000000001</v>
      </c>
      <c r="EJ53">
        <v>37.435000000000002</v>
      </c>
      <c r="EK53">
        <v>38.244999999999997</v>
      </c>
      <c r="EL53">
        <v>7</v>
      </c>
      <c r="EM53" s="7" t="s">
        <v>291</v>
      </c>
      <c r="EN53" s="7" t="s">
        <v>296</v>
      </c>
      <c r="EO53">
        <v>18.132999999999999</v>
      </c>
      <c r="EP53">
        <v>22.51</v>
      </c>
      <c r="EQ53">
        <v>23.271999999999998</v>
      </c>
      <c r="ER53">
        <v>4</v>
      </c>
      <c r="ES53" s="7" t="s">
        <v>291</v>
      </c>
      <c r="ET53" s="7" t="s">
        <v>294</v>
      </c>
      <c r="EU53">
        <v>14.486000000000001</v>
      </c>
      <c r="EV53">
        <v>20.161000000000001</v>
      </c>
      <c r="EW53">
        <v>20.957999999999998</v>
      </c>
      <c r="EX53">
        <v>7</v>
      </c>
      <c r="EY53" s="7" t="s">
        <v>300</v>
      </c>
      <c r="EZ53" s="7" t="s">
        <v>294</v>
      </c>
      <c r="FA53">
        <v>7.1390000000000002</v>
      </c>
      <c r="FB53">
        <v>12.430999999999999</v>
      </c>
      <c r="FC53">
        <v>13.161</v>
      </c>
      <c r="FD53">
        <v>5</v>
      </c>
      <c r="FE53" s="7" t="s">
        <v>301</v>
      </c>
      <c r="FF53" s="7" t="s">
        <v>296</v>
      </c>
      <c r="FG53">
        <v>16.863</v>
      </c>
      <c r="FH53">
        <v>26.048999999999999</v>
      </c>
      <c r="FI53">
        <v>26.4</v>
      </c>
      <c r="FJ53">
        <v>7</v>
      </c>
      <c r="FK53" s="7" t="s">
        <v>291</v>
      </c>
      <c r="FL53" s="7" t="s">
        <v>294</v>
      </c>
      <c r="FM53">
        <v>10.481999999999999</v>
      </c>
      <c r="FN53">
        <v>16.239000000000001</v>
      </c>
      <c r="FO53">
        <v>17.135999999999999</v>
      </c>
      <c r="FP53">
        <v>7</v>
      </c>
      <c r="FQ53" s="7" t="s">
        <v>300</v>
      </c>
      <c r="FR53" s="7" t="s">
        <v>294</v>
      </c>
      <c r="FS53">
        <v>31.291</v>
      </c>
      <c r="FT53">
        <v>38.180999999999997</v>
      </c>
      <c r="FU53">
        <v>38.944000000000003</v>
      </c>
      <c r="FV53">
        <v>7</v>
      </c>
      <c r="FW53" s="7" t="s">
        <v>301</v>
      </c>
      <c r="FX53" s="7" t="s">
        <v>296</v>
      </c>
      <c r="FY53">
        <v>13.266999999999999</v>
      </c>
      <c r="FZ53">
        <v>19.774000000000001</v>
      </c>
      <c r="GA53">
        <v>20.619</v>
      </c>
      <c r="GB53">
        <v>6</v>
      </c>
      <c r="GC53" s="7" t="s">
        <v>291</v>
      </c>
      <c r="GD53" s="7" t="s">
        <v>296</v>
      </c>
      <c r="GE53">
        <v>8.8940000000000001</v>
      </c>
      <c r="GF53">
        <v>20.018999999999998</v>
      </c>
      <c r="GG53">
        <v>20.768000000000001</v>
      </c>
      <c r="GH53">
        <v>8</v>
      </c>
      <c r="GI53" s="7" t="s">
        <v>300</v>
      </c>
      <c r="GJ53" s="7" t="s">
        <v>296</v>
      </c>
      <c r="GK53">
        <v>32.241</v>
      </c>
      <c r="GL53">
        <v>38.866999999999997</v>
      </c>
      <c r="GM53">
        <v>39.712000000000003</v>
      </c>
      <c r="GN53">
        <v>5</v>
      </c>
      <c r="GO53" s="7" t="s">
        <v>301</v>
      </c>
      <c r="GP53" s="7" t="s">
        <v>296</v>
      </c>
      <c r="GQ53">
        <v>14.252000000000001</v>
      </c>
      <c r="GR53">
        <v>22.89</v>
      </c>
      <c r="GS53">
        <v>24.100999999999999</v>
      </c>
      <c r="GT53">
        <v>8</v>
      </c>
      <c r="GU53" s="7" t="s">
        <v>291</v>
      </c>
      <c r="GV53" s="7" t="s">
        <v>294</v>
      </c>
      <c r="GW53">
        <v>14.255000000000001</v>
      </c>
      <c r="GX53">
        <v>18.234000000000002</v>
      </c>
      <c r="GY53">
        <v>19.013999999999999</v>
      </c>
      <c r="GZ53">
        <v>5</v>
      </c>
      <c r="HA53" s="7" t="s">
        <v>300</v>
      </c>
      <c r="HB53" s="7" t="s">
        <v>296</v>
      </c>
      <c r="HC53">
        <v>33.805999999999997</v>
      </c>
      <c r="HD53">
        <v>42.258000000000003</v>
      </c>
      <c r="HE53">
        <v>43.475000000000001</v>
      </c>
      <c r="HF53">
        <v>7</v>
      </c>
      <c r="HG53" s="7" t="s">
        <v>291</v>
      </c>
      <c r="HH53" s="7" t="s">
        <v>296</v>
      </c>
      <c r="HI53">
        <v>22.721</v>
      </c>
      <c r="HJ53">
        <v>35.279000000000003</v>
      </c>
      <c r="HK53">
        <v>36.226999999999997</v>
      </c>
      <c r="HL53">
        <v>6</v>
      </c>
      <c r="HM53" s="7" t="s">
        <v>892</v>
      </c>
      <c r="HN53" s="7" t="s">
        <v>893</v>
      </c>
      <c r="HO53" s="7" t="s">
        <v>894</v>
      </c>
      <c r="HP53" s="7" t="s">
        <v>895</v>
      </c>
      <c r="HQ53" s="7" t="s">
        <v>896</v>
      </c>
      <c r="HR53" s="7" t="s">
        <v>592</v>
      </c>
      <c r="HS53" s="7" t="s">
        <v>897</v>
      </c>
      <c r="HT53" s="7" t="s">
        <v>898</v>
      </c>
      <c r="HU53" s="7" t="s">
        <v>899</v>
      </c>
      <c r="HV53" s="7" t="s">
        <v>900</v>
      </c>
      <c r="HW53" s="7" t="s">
        <v>901</v>
      </c>
      <c r="HX53" s="7" t="s">
        <v>902</v>
      </c>
      <c r="HY53" s="7" t="s">
        <v>312</v>
      </c>
      <c r="HZ53" s="7" t="s">
        <v>372</v>
      </c>
      <c r="IA53" s="7" t="s">
        <v>325</v>
      </c>
      <c r="IB53" s="7" t="s">
        <v>282</v>
      </c>
      <c r="IC53" s="7" t="s">
        <v>282</v>
      </c>
    </row>
    <row r="54" spans="1:237" x14ac:dyDescent="0.2">
      <c r="A54" s="6">
        <v>45748.622604166667</v>
      </c>
      <c r="B54" s="6">
        <v>45748.640092592592</v>
      </c>
      <c r="C54" s="7" t="s">
        <v>240</v>
      </c>
      <c r="D54" s="7" t="s">
        <v>903</v>
      </c>
      <c r="E54">
        <v>100</v>
      </c>
      <c r="F54">
        <v>1510</v>
      </c>
      <c r="G54" s="7" t="s">
        <v>280</v>
      </c>
      <c r="H54" s="6">
        <v>45748.640103645834</v>
      </c>
      <c r="I54" s="7" t="s">
        <v>904</v>
      </c>
      <c r="J54" s="7" t="s">
        <v>282</v>
      </c>
      <c r="K54" s="7" t="s">
        <v>282</v>
      </c>
      <c r="L54" s="7" t="s">
        <v>282</v>
      </c>
      <c r="M54" s="7" t="s">
        <v>282</v>
      </c>
      <c r="N54">
        <v>49.7851</v>
      </c>
      <c r="O54">
        <v>-97.211699999999993</v>
      </c>
      <c r="P54" s="7" t="s">
        <v>283</v>
      </c>
      <c r="Q54" s="7" t="s">
        <v>284</v>
      </c>
      <c r="R54">
        <v>1</v>
      </c>
      <c r="S54" s="7" t="s">
        <v>285</v>
      </c>
      <c r="T54" s="7" t="s">
        <v>285</v>
      </c>
      <c r="U54" s="7" t="s">
        <v>285</v>
      </c>
      <c r="V54" s="7" t="s">
        <v>285</v>
      </c>
      <c r="W54" s="7" t="s">
        <v>905</v>
      </c>
      <c r="X54" s="7" t="s">
        <v>906</v>
      </c>
      <c r="Y54" s="7" t="s">
        <v>288</v>
      </c>
      <c r="Z54" s="7" t="s">
        <v>289</v>
      </c>
      <c r="AA54" s="7" t="s">
        <v>289</v>
      </c>
      <c r="AB54" s="7" t="s">
        <v>329</v>
      </c>
      <c r="AC54" s="7" t="s">
        <v>291</v>
      </c>
      <c r="AD54" s="7" t="s">
        <v>296</v>
      </c>
      <c r="AE54">
        <v>3.6190000000000002</v>
      </c>
      <c r="AF54">
        <v>30.257999999999999</v>
      </c>
      <c r="AG54">
        <v>30.8</v>
      </c>
      <c r="AH54">
        <v>10</v>
      </c>
      <c r="AI54" s="7" t="s">
        <v>299</v>
      </c>
      <c r="AJ54" s="7" t="s">
        <v>296</v>
      </c>
      <c r="AK54">
        <v>11.374000000000001</v>
      </c>
      <c r="AL54">
        <v>18.236999999999998</v>
      </c>
      <c r="AM54">
        <v>18.782</v>
      </c>
      <c r="AN54">
        <v>10</v>
      </c>
      <c r="AO54" s="7" t="s">
        <v>293</v>
      </c>
      <c r="AP54" s="7" t="s">
        <v>292</v>
      </c>
      <c r="AQ54">
        <v>14.318</v>
      </c>
      <c r="AR54">
        <v>38.192</v>
      </c>
      <c r="AS54">
        <v>38.616</v>
      </c>
      <c r="AT54">
        <v>23</v>
      </c>
      <c r="AU54" s="7" t="s">
        <v>295</v>
      </c>
      <c r="AV54" s="7" t="s">
        <v>296</v>
      </c>
      <c r="AW54">
        <v>11.217000000000001</v>
      </c>
      <c r="AX54">
        <v>32.090000000000003</v>
      </c>
      <c r="AY54">
        <v>32.500999999999998</v>
      </c>
      <c r="AZ54">
        <v>16</v>
      </c>
      <c r="BA54" s="7" t="s">
        <v>299</v>
      </c>
      <c r="BB54" s="7" t="s">
        <v>296</v>
      </c>
      <c r="BC54">
        <v>6.4180000000000001</v>
      </c>
      <c r="BD54">
        <v>12.627000000000001</v>
      </c>
      <c r="BE54">
        <v>13.343999999999999</v>
      </c>
      <c r="BF54">
        <v>10</v>
      </c>
      <c r="BG54" s="7" t="s">
        <v>291</v>
      </c>
      <c r="BH54" s="7" t="s">
        <v>296</v>
      </c>
      <c r="BI54">
        <v>7.6719999999999997</v>
      </c>
      <c r="BJ54">
        <v>27.815000000000001</v>
      </c>
      <c r="BK54">
        <v>28.481000000000002</v>
      </c>
      <c r="BL54">
        <v>18</v>
      </c>
      <c r="BM54" s="7" t="s">
        <v>293</v>
      </c>
      <c r="BN54" s="7" t="s">
        <v>296</v>
      </c>
      <c r="BO54">
        <v>6.8710000000000004</v>
      </c>
      <c r="BP54">
        <v>12.451000000000001</v>
      </c>
      <c r="BQ54">
        <v>12.956</v>
      </c>
      <c r="BR54">
        <v>11</v>
      </c>
      <c r="BS54" s="7" t="s">
        <v>293</v>
      </c>
      <c r="BT54" s="7" t="s">
        <v>296</v>
      </c>
      <c r="BU54">
        <v>6.6890000000000001</v>
      </c>
      <c r="BV54">
        <v>14.51</v>
      </c>
      <c r="BW54">
        <v>14.874000000000001</v>
      </c>
      <c r="BX54">
        <v>10</v>
      </c>
      <c r="BY54" s="7" t="s">
        <v>299</v>
      </c>
      <c r="BZ54" s="7" t="s">
        <v>294</v>
      </c>
      <c r="CA54">
        <v>8.3879999999999999</v>
      </c>
      <c r="CB54">
        <v>24.344000000000001</v>
      </c>
      <c r="CC54">
        <v>24.794</v>
      </c>
      <c r="CD54">
        <v>11</v>
      </c>
      <c r="CE54" s="7" t="s">
        <v>298</v>
      </c>
      <c r="CF54" s="7" t="s">
        <v>296</v>
      </c>
      <c r="CG54">
        <v>10.023999999999999</v>
      </c>
      <c r="CH54">
        <v>27.577999999999999</v>
      </c>
      <c r="CI54">
        <v>28.317</v>
      </c>
      <c r="CJ54">
        <v>11</v>
      </c>
      <c r="CK54" s="7" t="s">
        <v>291</v>
      </c>
      <c r="CL54" s="7" t="s">
        <v>292</v>
      </c>
      <c r="CM54">
        <v>14.409000000000001</v>
      </c>
      <c r="CN54">
        <v>31.616</v>
      </c>
      <c r="CO54">
        <v>32</v>
      </c>
      <c r="CP54">
        <v>10</v>
      </c>
      <c r="CQ54" s="7" t="s">
        <v>293</v>
      </c>
      <c r="CR54" s="7" t="s">
        <v>294</v>
      </c>
      <c r="CS54">
        <v>7.7089999999999996</v>
      </c>
      <c r="CT54">
        <v>37.064</v>
      </c>
      <c r="CU54">
        <v>38.148000000000003</v>
      </c>
      <c r="CV54">
        <v>14</v>
      </c>
      <c r="CW54" s="7" t="s">
        <v>293</v>
      </c>
      <c r="CX54" s="7" t="s">
        <v>292</v>
      </c>
      <c r="CY54">
        <v>18.579000000000001</v>
      </c>
      <c r="CZ54">
        <v>51.225000000000001</v>
      </c>
      <c r="DA54">
        <v>52.027999999999999</v>
      </c>
      <c r="DB54">
        <v>21</v>
      </c>
      <c r="DC54" s="7" t="s">
        <v>295</v>
      </c>
      <c r="DD54" s="7" t="s">
        <v>296</v>
      </c>
      <c r="DE54">
        <v>12.340999999999999</v>
      </c>
      <c r="DF54">
        <v>24.030999999999999</v>
      </c>
      <c r="DG54">
        <v>24.501000000000001</v>
      </c>
      <c r="DH54">
        <v>16</v>
      </c>
      <c r="DI54" s="7" t="s">
        <v>298</v>
      </c>
      <c r="DJ54" s="7" t="s">
        <v>296</v>
      </c>
      <c r="DK54">
        <v>9.4480000000000004</v>
      </c>
      <c r="DL54">
        <v>39.997</v>
      </c>
      <c r="DM54">
        <v>40.654000000000003</v>
      </c>
      <c r="DN54">
        <v>10</v>
      </c>
      <c r="DO54" s="7" t="s">
        <v>291</v>
      </c>
      <c r="DP54" s="7" t="s">
        <v>292</v>
      </c>
      <c r="DQ54">
        <v>9.5299999999999994</v>
      </c>
      <c r="DR54">
        <v>16.667999999999999</v>
      </c>
      <c r="DS54">
        <v>17</v>
      </c>
      <c r="DT54">
        <v>11</v>
      </c>
      <c r="DU54" s="7" t="s">
        <v>299</v>
      </c>
      <c r="DV54" s="7" t="s">
        <v>296</v>
      </c>
      <c r="DW54">
        <v>11.093</v>
      </c>
      <c r="DX54">
        <v>20.353000000000002</v>
      </c>
      <c r="DY54">
        <v>20.7</v>
      </c>
      <c r="DZ54">
        <v>11</v>
      </c>
      <c r="EA54" s="7" t="s">
        <v>295</v>
      </c>
      <c r="EB54" s="7" t="s">
        <v>292</v>
      </c>
      <c r="EC54">
        <v>24.834</v>
      </c>
      <c r="ED54">
        <v>37.659999999999997</v>
      </c>
      <c r="EE54">
        <v>38.411000000000001</v>
      </c>
      <c r="EF54">
        <v>7</v>
      </c>
      <c r="EG54" s="7" t="s">
        <v>295</v>
      </c>
      <c r="EH54" s="7" t="s">
        <v>296</v>
      </c>
      <c r="EI54">
        <v>9.4190000000000005</v>
      </c>
      <c r="EJ54">
        <v>14.827999999999999</v>
      </c>
      <c r="EK54">
        <v>15.298</v>
      </c>
      <c r="EL54">
        <v>9</v>
      </c>
      <c r="EM54" s="7" t="s">
        <v>298</v>
      </c>
      <c r="EN54" s="7" t="s">
        <v>296</v>
      </c>
      <c r="EO54">
        <v>10.353</v>
      </c>
      <c r="EP54">
        <v>16.664000000000001</v>
      </c>
      <c r="EQ54">
        <v>17.114999999999998</v>
      </c>
      <c r="ER54">
        <v>9</v>
      </c>
      <c r="ES54" s="7" t="s">
        <v>291</v>
      </c>
      <c r="ET54" s="7" t="s">
        <v>296</v>
      </c>
      <c r="EU54">
        <v>7.8940000000000001</v>
      </c>
      <c r="EV54">
        <v>16.439</v>
      </c>
      <c r="EW54">
        <v>17.145</v>
      </c>
      <c r="EX54">
        <v>13</v>
      </c>
      <c r="EY54" s="7" t="s">
        <v>300</v>
      </c>
      <c r="EZ54" s="7" t="s">
        <v>296</v>
      </c>
      <c r="FA54">
        <v>6.1970000000000001</v>
      </c>
      <c r="FB54">
        <v>11.74</v>
      </c>
      <c r="FC54">
        <v>12.121</v>
      </c>
      <c r="FD54">
        <v>8</v>
      </c>
      <c r="FE54" s="7" t="s">
        <v>301</v>
      </c>
      <c r="FF54" s="7" t="s">
        <v>294</v>
      </c>
      <c r="FG54">
        <v>5.1950000000000003</v>
      </c>
      <c r="FH54">
        <v>11.59</v>
      </c>
      <c r="FI54">
        <v>12.051</v>
      </c>
      <c r="FJ54">
        <v>8</v>
      </c>
      <c r="FK54" s="7" t="s">
        <v>291</v>
      </c>
      <c r="FL54" s="7" t="s">
        <v>294</v>
      </c>
      <c r="FM54">
        <v>5.69</v>
      </c>
      <c r="FN54">
        <v>9.4139999999999997</v>
      </c>
      <c r="FO54">
        <v>9.7870000000000008</v>
      </c>
      <c r="FP54">
        <v>7</v>
      </c>
      <c r="FQ54" s="7" t="s">
        <v>300</v>
      </c>
      <c r="FR54" s="7" t="s">
        <v>296</v>
      </c>
      <c r="FS54">
        <v>6.5</v>
      </c>
      <c r="FT54">
        <v>12.113</v>
      </c>
      <c r="FU54">
        <v>12.454000000000001</v>
      </c>
      <c r="FV54">
        <v>7</v>
      </c>
      <c r="FW54" s="7" t="s">
        <v>301</v>
      </c>
      <c r="FX54" s="7" t="s">
        <v>296</v>
      </c>
      <c r="FY54">
        <v>5.4669999999999996</v>
      </c>
      <c r="FZ54">
        <v>14.961</v>
      </c>
      <c r="GA54">
        <v>16.375</v>
      </c>
      <c r="GB54">
        <v>13</v>
      </c>
      <c r="GC54" s="7" t="s">
        <v>291</v>
      </c>
      <c r="GD54" s="7" t="s">
        <v>294</v>
      </c>
      <c r="GE54">
        <v>6.335</v>
      </c>
      <c r="GF54">
        <v>15.044</v>
      </c>
      <c r="GG54">
        <v>15.612</v>
      </c>
      <c r="GH54">
        <v>8</v>
      </c>
      <c r="GI54" s="7" t="s">
        <v>300</v>
      </c>
      <c r="GJ54" s="7" t="s">
        <v>296</v>
      </c>
      <c r="GK54">
        <v>7.4109999999999996</v>
      </c>
      <c r="GL54">
        <v>10.507999999999999</v>
      </c>
      <c r="GM54">
        <v>10.895</v>
      </c>
      <c r="GN54">
        <v>7</v>
      </c>
      <c r="GO54" s="7" t="s">
        <v>301</v>
      </c>
      <c r="GP54" s="7" t="s">
        <v>296</v>
      </c>
      <c r="GQ54">
        <v>6.3280000000000003</v>
      </c>
      <c r="GR54">
        <v>9.2360000000000007</v>
      </c>
      <c r="GS54">
        <v>9.5890000000000004</v>
      </c>
      <c r="GT54">
        <v>8</v>
      </c>
      <c r="GU54" s="7" t="s">
        <v>291</v>
      </c>
      <c r="GV54" s="7" t="s">
        <v>296</v>
      </c>
      <c r="GW54">
        <v>7.1609999999999996</v>
      </c>
      <c r="GX54">
        <v>11.763</v>
      </c>
      <c r="GY54">
        <v>12.163</v>
      </c>
      <c r="GZ54">
        <v>7</v>
      </c>
      <c r="HA54" s="7" t="s">
        <v>300</v>
      </c>
      <c r="HB54" s="7" t="s">
        <v>296</v>
      </c>
      <c r="HC54">
        <v>6.5789999999999997</v>
      </c>
      <c r="HD54">
        <v>20.803999999999998</v>
      </c>
      <c r="HE54">
        <v>21.158000000000001</v>
      </c>
      <c r="HF54">
        <v>11</v>
      </c>
      <c r="HG54" s="7" t="s">
        <v>291</v>
      </c>
      <c r="HH54" s="7" t="s">
        <v>292</v>
      </c>
      <c r="HI54">
        <v>5.0190000000000001</v>
      </c>
      <c r="HJ54">
        <v>8.6980000000000004</v>
      </c>
      <c r="HK54">
        <v>9.032</v>
      </c>
      <c r="HL54">
        <v>5</v>
      </c>
      <c r="HM54" s="7" t="s">
        <v>907</v>
      </c>
      <c r="HN54" s="7" t="s">
        <v>908</v>
      </c>
      <c r="HO54" s="7" t="s">
        <v>909</v>
      </c>
      <c r="HP54" s="7" t="s">
        <v>910</v>
      </c>
      <c r="HQ54" s="7" t="s">
        <v>911</v>
      </c>
      <c r="HR54" s="7" t="s">
        <v>912</v>
      </c>
      <c r="HS54" s="7" t="s">
        <v>396</v>
      </c>
      <c r="HT54" s="7" t="s">
        <v>913</v>
      </c>
      <c r="HU54" s="7" t="s">
        <v>914</v>
      </c>
      <c r="HV54" s="7" t="s">
        <v>592</v>
      </c>
      <c r="HW54" s="7" t="s">
        <v>282</v>
      </c>
      <c r="HX54" s="7" t="s">
        <v>915</v>
      </c>
      <c r="HY54" s="7" t="s">
        <v>312</v>
      </c>
      <c r="HZ54" s="7" t="s">
        <v>372</v>
      </c>
      <c r="IA54" s="7" t="s">
        <v>325</v>
      </c>
      <c r="IB54" s="7" t="s">
        <v>282</v>
      </c>
      <c r="IC54" s="7" t="s">
        <v>282</v>
      </c>
    </row>
    <row r="55" spans="1:237" x14ac:dyDescent="0.2">
      <c r="A55" s="6">
        <v>45748.610810185186</v>
      </c>
      <c r="B55" s="6">
        <v>45748.641273148147</v>
      </c>
      <c r="C55" s="7" t="s">
        <v>240</v>
      </c>
      <c r="D55" s="7" t="s">
        <v>916</v>
      </c>
      <c r="E55">
        <v>100</v>
      </c>
      <c r="F55">
        <v>2631</v>
      </c>
      <c r="G55" s="7" t="s">
        <v>280</v>
      </c>
      <c r="H55" s="6">
        <v>45748.641282638891</v>
      </c>
      <c r="I55" s="7" t="s">
        <v>917</v>
      </c>
      <c r="J55" s="7" t="s">
        <v>282</v>
      </c>
      <c r="K55" s="7" t="s">
        <v>282</v>
      </c>
      <c r="L55" s="7" t="s">
        <v>282</v>
      </c>
      <c r="M55" s="7" t="s">
        <v>282</v>
      </c>
      <c r="N55">
        <v>-37.918900000000001</v>
      </c>
      <c r="O55">
        <v>145.126</v>
      </c>
      <c r="P55" s="7" t="s">
        <v>283</v>
      </c>
      <c r="Q55" s="7" t="s">
        <v>284</v>
      </c>
      <c r="R55">
        <v>1</v>
      </c>
      <c r="S55" s="7" t="s">
        <v>285</v>
      </c>
      <c r="T55" s="7" t="s">
        <v>285</v>
      </c>
      <c r="U55" s="7" t="s">
        <v>285</v>
      </c>
      <c r="V55" s="7" t="s">
        <v>285</v>
      </c>
      <c r="W55" s="7" t="s">
        <v>501</v>
      </c>
      <c r="X55" s="7" t="s">
        <v>375</v>
      </c>
      <c r="Y55" s="7" t="s">
        <v>288</v>
      </c>
      <c r="Z55" s="7" t="s">
        <v>317</v>
      </c>
      <c r="AA55" s="7" t="s">
        <v>329</v>
      </c>
      <c r="AB55" s="7" t="s">
        <v>317</v>
      </c>
      <c r="AC55" s="7" t="s">
        <v>291</v>
      </c>
      <c r="AD55" s="7" t="s">
        <v>296</v>
      </c>
      <c r="AE55">
        <v>7.2880000000000003</v>
      </c>
      <c r="AF55">
        <v>8.6539999999999999</v>
      </c>
      <c r="AG55">
        <v>9.5039999999999996</v>
      </c>
      <c r="AH55">
        <v>2</v>
      </c>
      <c r="AI55" s="7" t="s">
        <v>299</v>
      </c>
      <c r="AJ55" s="7" t="s">
        <v>292</v>
      </c>
      <c r="AK55">
        <v>7.6689999999999996</v>
      </c>
      <c r="AL55">
        <v>9.8230000000000004</v>
      </c>
      <c r="AM55">
        <v>10.656000000000001</v>
      </c>
      <c r="AN55">
        <v>2</v>
      </c>
      <c r="AO55" s="7" t="s">
        <v>299</v>
      </c>
      <c r="AP55" s="7" t="s">
        <v>292</v>
      </c>
      <c r="AQ55">
        <v>7.9269999999999996</v>
      </c>
      <c r="AR55">
        <v>9.3780000000000001</v>
      </c>
      <c r="AS55">
        <v>10.209</v>
      </c>
      <c r="AT55">
        <v>2</v>
      </c>
      <c r="AU55" s="7" t="s">
        <v>295</v>
      </c>
      <c r="AV55" s="7" t="s">
        <v>296</v>
      </c>
      <c r="AW55">
        <v>7.9889999999999999</v>
      </c>
      <c r="AX55">
        <v>10.455</v>
      </c>
      <c r="AY55">
        <v>11.316000000000001</v>
      </c>
      <c r="AZ55">
        <v>2</v>
      </c>
      <c r="BA55" s="7" t="s">
        <v>299</v>
      </c>
      <c r="BB55" s="7" t="s">
        <v>292</v>
      </c>
      <c r="BC55">
        <v>11.423999999999999</v>
      </c>
      <c r="BD55">
        <v>14.002000000000001</v>
      </c>
      <c r="BE55">
        <v>14.920999999999999</v>
      </c>
      <c r="BF55">
        <v>2</v>
      </c>
      <c r="BG55" s="7" t="s">
        <v>291</v>
      </c>
      <c r="BH55" s="7" t="s">
        <v>296</v>
      </c>
      <c r="BI55">
        <v>5.0419999999999998</v>
      </c>
      <c r="BJ55">
        <v>7.4130000000000003</v>
      </c>
      <c r="BK55">
        <v>8.64</v>
      </c>
      <c r="BL55">
        <v>2</v>
      </c>
      <c r="BM55" s="7" t="s">
        <v>299</v>
      </c>
      <c r="BN55" s="7" t="s">
        <v>296</v>
      </c>
      <c r="BO55">
        <v>5.9669999999999996</v>
      </c>
      <c r="BP55">
        <v>13.798</v>
      </c>
      <c r="BQ55">
        <v>15.505000000000001</v>
      </c>
      <c r="BR55">
        <v>3</v>
      </c>
      <c r="BS55" s="7" t="s">
        <v>291</v>
      </c>
      <c r="BT55" s="7" t="s">
        <v>294</v>
      </c>
      <c r="BU55">
        <v>7.6310000000000002</v>
      </c>
      <c r="BV55">
        <v>9.3650000000000002</v>
      </c>
      <c r="BW55">
        <v>10.488</v>
      </c>
      <c r="BX55">
        <v>2</v>
      </c>
      <c r="BY55" s="7" t="s">
        <v>299</v>
      </c>
      <c r="BZ55" s="7" t="s">
        <v>292</v>
      </c>
      <c r="CA55">
        <v>28.678000000000001</v>
      </c>
      <c r="CB55">
        <v>32.996000000000002</v>
      </c>
      <c r="CC55">
        <v>34.143000000000001</v>
      </c>
      <c r="CD55">
        <v>2</v>
      </c>
      <c r="CE55" s="7" t="s">
        <v>298</v>
      </c>
      <c r="CF55" s="7" t="s">
        <v>292</v>
      </c>
      <c r="CG55">
        <v>7.9980000000000002</v>
      </c>
      <c r="CH55">
        <v>9.4719999999999995</v>
      </c>
      <c r="CI55">
        <v>10.676</v>
      </c>
      <c r="CJ55">
        <v>2</v>
      </c>
      <c r="CK55" s="7" t="s">
        <v>291</v>
      </c>
      <c r="CL55" s="7" t="s">
        <v>296</v>
      </c>
      <c r="CM55">
        <v>12.516</v>
      </c>
      <c r="CN55">
        <v>14.967000000000001</v>
      </c>
      <c r="CO55">
        <v>15.861000000000001</v>
      </c>
      <c r="CP55">
        <v>2</v>
      </c>
      <c r="CQ55" s="7" t="s">
        <v>293</v>
      </c>
      <c r="CR55" s="7" t="s">
        <v>292</v>
      </c>
      <c r="CS55">
        <v>9.6010000000000009</v>
      </c>
      <c r="CT55">
        <v>11.209</v>
      </c>
      <c r="CU55">
        <v>12.269</v>
      </c>
      <c r="CV55">
        <v>2</v>
      </c>
      <c r="CW55" s="7" t="s">
        <v>291</v>
      </c>
      <c r="CX55" s="7" t="s">
        <v>296</v>
      </c>
      <c r="CY55">
        <v>7.2839999999999998</v>
      </c>
      <c r="CZ55">
        <v>9.2769999999999992</v>
      </c>
      <c r="DA55">
        <v>10.465</v>
      </c>
      <c r="DB55">
        <v>2</v>
      </c>
      <c r="DC55" s="7" t="s">
        <v>298</v>
      </c>
      <c r="DD55" s="7" t="s">
        <v>292</v>
      </c>
      <c r="DE55">
        <v>11.098000000000001</v>
      </c>
      <c r="DF55">
        <v>19.437000000000001</v>
      </c>
      <c r="DG55">
        <v>20.138000000000002</v>
      </c>
      <c r="DH55">
        <v>3</v>
      </c>
      <c r="DI55" s="7" t="s">
        <v>291</v>
      </c>
      <c r="DJ55" s="7" t="s">
        <v>292</v>
      </c>
      <c r="DK55">
        <v>11.617000000000001</v>
      </c>
      <c r="DL55">
        <v>16.213999999999999</v>
      </c>
      <c r="DM55">
        <v>17.117000000000001</v>
      </c>
      <c r="DN55">
        <v>3</v>
      </c>
      <c r="DO55" s="7" t="s">
        <v>291</v>
      </c>
      <c r="DP55" s="7" t="s">
        <v>292</v>
      </c>
      <c r="DQ55">
        <v>6.2910000000000004</v>
      </c>
      <c r="DR55">
        <v>7.8630000000000004</v>
      </c>
      <c r="DS55">
        <v>9.1359999999999992</v>
      </c>
      <c r="DT55">
        <v>2</v>
      </c>
      <c r="DU55" s="7" t="s">
        <v>299</v>
      </c>
      <c r="DV55" s="7" t="s">
        <v>296</v>
      </c>
      <c r="DW55">
        <v>9.0640000000000001</v>
      </c>
      <c r="DX55">
        <v>10.525</v>
      </c>
      <c r="DY55">
        <v>11.843</v>
      </c>
      <c r="DZ55">
        <v>2</v>
      </c>
      <c r="EA55" s="7" t="s">
        <v>299</v>
      </c>
      <c r="EB55" s="7" t="s">
        <v>296</v>
      </c>
      <c r="EC55">
        <v>8.0169999999999995</v>
      </c>
      <c r="ED55">
        <v>9.798</v>
      </c>
      <c r="EE55">
        <v>10.759</v>
      </c>
      <c r="EF55">
        <v>2</v>
      </c>
      <c r="EG55" s="7" t="s">
        <v>295</v>
      </c>
      <c r="EH55" s="7" t="s">
        <v>292</v>
      </c>
      <c r="EI55">
        <v>11.346</v>
      </c>
      <c r="EJ55">
        <v>14.355</v>
      </c>
      <c r="EK55">
        <v>15.257</v>
      </c>
      <c r="EL55">
        <v>2</v>
      </c>
      <c r="EM55" s="7" t="s">
        <v>291</v>
      </c>
      <c r="EN55" s="7" t="s">
        <v>292</v>
      </c>
      <c r="EO55">
        <v>8.3889999999999993</v>
      </c>
      <c r="EP55">
        <v>12.743</v>
      </c>
      <c r="EQ55">
        <v>14.148999999999999</v>
      </c>
      <c r="ER55">
        <v>3</v>
      </c>
      <c r="ES55" s="7" t="s">
        <v>291</v>
      </c>
      <c r="ET55" s="7" t="s">
        <v>294</v>
      </c>
      <c r="EU55">
        <v>7.2050000000000001</v>
      </c>
      <c r="EV55">
        <v>9.24</v>
      </c>
      <c r="EW55">
        <v>11.2</v>
      </c>
      <c r="EX55">
        <v>2</v>
      </c>
      <c r="EY55" s="7" t="s">
        <v>619</v>
      </c>
      <c r="EZ55" s="7" t="s">
        <v>292</v>
      </c>
      <c r="FA55">
        <v>5.9829999999999997</v>
      </c>
      <c r="FB55">
        <v>11.712999999999999</v>
      </c>
      <c r="FC55">
        <v>12.869</v>
      </c>
      <c r="FD55">
        <v>4</v>
      </c>
      <c r="FE55" s="7" t="s">
        <v>301</v>
      </c>
      <c r="FF55" s="7" t="s">
        <v>292</v>
      </c>
      <c r="FG55">
        <v>11.941000000000001</v>
      </c>
      <c r="FH55">
        <v>25.146999999999998</v>
      </c>
      <c r="FI55">
        <v>26.503</v>
      </c>
      <c r="FJ55">
        <v>2</v>
      </c>
      <c r="FK55" s="7" t="s">
        <v>291</v>
      </c>
      <c r="FL55" s="7" t="s">
        <v>296</v>
      </c>
      <c r="FM55">
        <v>27.652000000000001</v>
      </c>
      <c r="FN55">
        <v>29.155999999999999</v>
      </c>
      <c r="FO55">
        <v>30.457000000000001</v>
      </c>
      <c r="FP55">
        <v>2</v>
      </c>
      <c r="FQ55" s="7" t="s">
        <v>300</v>
      </c>
      <c r="FR55" s="7" t="s">
        <v>294</v>
      </c>
      <c r="FS55">
        <v>6.5259999999999998</v>
      </c>
      <c r="FT55">
        <v>8.266</v>
      </c>
      <c r="FU55">
        <v>9.4700000000000006</v>
      </c>
      <c r="FV55">
        <v>2</v>
      </c>
      <c r="FW55" s="7" t="s">
        <v>301</v>
      </c>
      <c r="FX55" s="7" t="s">
        <v>292</v>
      </c>
      <c r="FY55">
        <v>42.459000000000003</v>
      </c>
      <c r="FZ55">
        <v>50.674999999999997</v>
      </c>
      <c r="GA55">
        <v>51.863999999999997</v>
      </c>
      <c r="GB55">
        <v>3</v>
      </c>
      <c r="GC55" s="7" t="s">
        <v>291</v>
      </c>
      <c r="GD55" s="7" t="s">
        <v>296</v>
      </c>
      <c r="GE55">
        <v>10.183</v>
      </c>
      <c r="GF55">
        <v>13.728999999999999</v>
      </c>
      <c r="GG55">
        <v>15.827999999999999</v>
      </c>
      <c r="GH55">
        <v>2</v>
      </c>
      <c r="GI55" s="7" t="s">
        <v>300</v>
      </c>
      <c r="GJ55" s="7" t="s">
        <v>294</v>
      </c>
      <c r="GK55">
        <v>7.6189999999999998</v>
      </c>
      <c r="GL55">
        <v>9.3010000000000002</v>
      </c>
      <c r="GM55">
        <v>10.741</v>
      </c>
      <c r="GN55">
        <v>2</v>
      </c>
      <c r="GO55" s="7" t="s">
        <v>291</v>
      </c>
      <c r="GP55" s="7" t="s">
        <v>292</v>
      </c>
      <c r="GQ55">
        <v>14.590999999999999</v>
      </c>
      <c r="GR55">
        <v>16.436</v>
      </c>
      <c r="GS55">
        <v>17.324000000000002</v>
      </c>
      <c r="GT55">
        <v>2</v>
      </c>
      <c r="GU55" s="7" t="s">
        <v>291</v>
      </c>
      <c r="GV55" s="7" t="s">
        <v>296</v>
      </c>
      <c r="GW55">
        <v>6.8109999999999999</v>
      </c>
      <c r="GX55">
        <v>8.5830000000000002</v>
      </c>
      <c r="GY55">
        <v>9.5609999999999999</v>
      </c>
      <c r="GZ55">
        <v>2</v>
      </c>
      <c r="HA55" s="7" t="s">
        <v>291</v>
      </c>
      <c r="HB55" s="7" t="s">
        <v>296</v>
      </c>
      <c r="HC55">
        <v>2.5859999999999999</v>
      </c>
      <c r="HD55">
        <v>10.57</v>
      </c>
      <c r="HE55">
        <v>12.016999999999999</v>
      </c>
      <c r="HF55">
        <v>3</v>
      </c>
      <c r="HG55" s="7" t="s">
        <v>291</v>
      </c>
      <c r="HH55" s="7" t="s">
        <v>292</v>
      </c>
      <c r="HI55">
        <v>7.202</v>
      </c>
      <c r="HJ55">
        <v>9.0709999999999997</v>
      </c>
      <c r="HK55">
        <v>9.9890000000000008</v>
      </c>
      <c r="HL55">
        <v>2</v>
      </c>
      <c r="HM55" s="7" t="s">
        <v>918</v>
      </c>
      <c r="HN55" s="7" t="s">
        <v>919</v>
      </c>
      <c r="HO55" s="7" t="s">
        <v>920</v>
      </c>
      <c r="HP55" s="7" t="s">
        <v>921</v>
      </c>
      <c r="HQ55" s="7" t="s">
        <v>922</v>
      </c>
      <c r="HR55" s="7" t="s">
        <v>923</v>
      </c>
      <c r="HS55" s="7" t="s">
        <v>924</v>
      </c>
      <c r="HT55" s="7" t="s">
        <v>925</v>
      </c>
      <c r="HU55" s="7" t="s">
        <v>926</v>
      </c>
      <c r="HV55" s="7" t="s">
        <v>927</v>
      </c>
      <c r="HW55" s="7" t="s">
        <v>282</v>
      </c>
      <c r="HX55" s="7" t="s">
        <v>282</v>
      </c>
      <c r="HY55" s="7" t="s">
        <v>312</v>
      </c>
      <c r="HZ55" s="7" t="s">
        <v>356</v>
      </c>
      <c r="IA55" s="7" t="s">
        <v>313</v>
      </c>
      <c r="IB55" s="7" t="s">
        <v>282</v>
      </c>
      <c r="IC55" s="7" t="s">
        <v>282</v>
      </c>
    </row>
    <row r="56" spans="1:237" x14ac:dyDescent="0.2">
      <c r="A56" s="6">
        <v>45748.624849537038</v>
      </c>
      <c r="B56" s="6">
        <v>45748.64271990741</v>
      </c>
      <c r="C56" s="7" t="s">
        <v>240</v>
      </c>
      <c r="D56" s="7" t="s">
        <v>928</v>
      </c>
      <c r="E56">
        <v>100</v>
      </c>
      <c r="F56">
        <v>1544</v>
      </c>
      <c r="G56" s="7" t="s">
        <v>280</v>
      </c>
      <c r="H56" s="6">
        <v>45748.642737488422</v>
      </c>
      <c r="I56" s="7" t="s">
        <v>929</v>
      </c>
      <c r="J56" s="7" t="s">
        <v>282</v>
      </c>
      <c r="K56" s="7" t="s">
        <v>282</v>
      </c>
      <c r="L56" s="7" t="s">
        <v>282</v>
      </c>
      <c r="M56" s="7" t="s">
        <v>282</v>
      </c>
      <c r="N56">
        <v>-37.871699999999997</v>
      </c>
      <c r="O56">
        <v>145.02520000000001</v>
      </c>
      <c r="P56" s="7" t="s">
        <v>283</v>
      </c>
      <c r="Q56" s="7" t="s">
        <v>284</v>
      </c>
      <c r="R56">
        <v>1</v>
      </c>
      <c r="S56" s="7" t="s">
        <v>285</v>
      </c>
      <c r="T56" s="7" t="s">
        <v>285</v>
      </c>
      <c r="U56" s="7" t="s">
        <v>285</v>
      </c>
      <c r="V56" s="7" t="s">
        <v>285</v>
      </c>
      <c r="W56" s="7" t="s">
        <v>286</v>
      </c>
      <c r="X56" s="7" t="s">
        <v>618</v>
      </c>
      <c r="Y56" s="7" t="s">
        <v>288</v>
      </c>
      <c r="Z56" s="7" t="s">
        <v>289</v>
      </c>
      <c r="AA56" s="7" t="s">
        <v>289</v>
      </c>
      <c r="AB56" s="7" t="s">
        <v>289</v>
      </c>
      <c r="AC56" s="7" t="s">
        <v>291</v>
      </c>
      <c r="AD56" s="7" t="s">
        <v>296</v>
      </c>
      <c r="AE56">
        <v>10.981</v>
      </c>
      <c r="AF56">
        <v>13.606</v>
      </c>
      <c r="AG56">
        <v>14.269</v>
      </c>
      <c r="AH56">
        <v>3</v>
      </c>
      <c r="AI56" s="7" t="s">
        <v>293</v>
      </c>
      <c r="AJ56" s="7" t="s">
        <v>296</v>
      </c>
      <c r="AK56">
        <v>10.032999999999999</v>
      </c>
      <c r="AL56">
        <v>13.99</v>
      </c>
      <c r="AM56">
        <v>14.736000000000001</v>
      </c>
      <c r="AN56">
        <v>6</v>
      </c>
      <c r="AO56" s="7" t="s">
        <v>293</v>
      </c>
      <c r="AP56" s="7" t="s">
        <v>296</v>
      </c>
      <c r="AQ56">
        <v>10.616</v>
      </c>
      <c r="AR56">
        <v>14.026999999999999</v>
      </c>
      <c r="AS56">
        <v>15.534000000000001</v>
      </c>
      <c r="AT56">
        <v>6</v>
      </c>
      <c r="AU56" s="7" t="s">
        <v>295</v>
      </c>
      <c r="AV56" s="7" t="s">
        <v>296</v>
      </c>
      <c r="AW56">
        <v>14.016</v>
      </c>
      <c r="AX56">
        <v>18.122</v>
      </c>
      <c r="AY56">
        <v>18.875</v>
      </c>
      <c r="AZ56">
        <v>5</v>
      </c>
      <c r="BA56" s="7" t="s">
        <v>295</v>
      </c>
      <c r="BB56" s="7" t="s">
        <v>296</v>
      </c>
      <c r="BC56">
        <v>13.904999999999999</v>
      </c>
      <c r="BD56">
        <v>17.033000000000001</v>
      </c>
      <c r="BE56">
        <v>17.673999999999999</v>
      </c>
      <c r="BF56">
        <v>6</v>
      </c>
      <c r="BG56" s="7" t="s">
        <v>291</v>
      </c>
      <c r="BH56" s="7" t="s">
        <v>296</v>
      </c>
      <c r="BI56">
        <v>11.878</v>
      </c>
      <c r="BJ56">
        <v>16.178999999999998</v>
      </c>
      <c r="BK56">
        <v>16.945</v>
      </c>
      <c r="BL56">
        <v>6</v>
      </c>
      <c r="BM56" s="7" t="s">
        <v>293</v>
      </c>
      <c r="BN56" s="7" t="s">
        <v>296</v>
      </c>
      <c r="BO56">
        <v>9.4529999999999994</v>
      </c>
      <c r="BP56">
        <v>12.493</v>
      </c>
      <c r="BQ56">
        <v>13.14</v>
      </c>
      <c r="BR56">
        <v>5</v>
      </c>
      <c r="BS56" s="7" t="s">
        <v>291</v>
      </c>
      <c r="BT56" s="7" t="s">
        <v>292</v>
      </c>
      <c r="BU56">
        <v>11.856999999999999</v>
      </c>
      <c r="BV56">
        <v>32.093000000000004</v>
      </c>
      <c r="BW56">
        <v>33.218000000000004</v>
      </c>
      <c r="BX56">
        <v>12</v>
      </c>
      <c r="BY56" s="7" t="s">
        <v>295</v>
      </c>
      <c r="BZ56" s="7" t="s">
        <v>296</v>
      </c>
      <c r="CA56">
        <v>11.664999999999999</v>
      </c>
      <c r="CB56">
        <v>16.093</v>
      </c>
      <c r="CC56">
        <v>16.591000000000001</v>
      </c>
      <c r="CD56">
        <v>6</v>
      </c>
      <c r="CE56" s="7" t="s">
        <v>298</v>
      </c>
      <c r="CF56" s="7" t="s">
        <v>292</v>
      </c>
      <c r="CG56">
        <v>13.634</v>
      </c>
      <c r="CH56">
        <v>24.864000000000001</v>
      </c>
      <c r="CI56">
        <v>25.594999999999999</v>
      </c>
      <c r="CJ56">
        <v>8</v>
      </c>
      <c r="CK56" s="7" t="s">
        <v>291</v>
      </c>
      <c r="CL56" s="7" t="s">
        <v>292</v>
      </c>
      <c r="CM56">
        <v>11.816000000000001</v>
      </c>
      <c r="CN56">
        <v>387.22800000000001</v>
      </c>
      <c r="CO56">
        <v>387.96600000000001</v>
      </c>
      <c r="CP56">
        <v>6</v>
      </c>
      <c r="CQ56" s="7" t="s">
        <v>293</v>
      </c>
      <c r="CR56" s="7" t="s">
        <v>292</v>
      </c>
      <c r="CS56">
        <v>31.853999999999999</v>
      </c>
      <c r="CT56">
        <v>49.356000000000002</v>
      </c>
      <c r="CU56">
        <v>50.197000000000003</v>
      </c>
      <c r="CV56">
        <v>7</v>
      </c>
      <c r="CW56" s="7" t="s">
        <v>291</v>
      </c>
      <c r="CX56" s="7" t="s">
        <v>292</v>
      </c>
      <c r="CY56">
        <v>8.8290000000000006</v>
      </c>
      <c r="CZ56">
        <v>12.814</v>
      </c>
      <c r="DA56">
        <v>13.361000000000001</v>
      </c>
      <c r="DB56">
        <v>4</v>
      </c>
      <c r="DC56" s="7" t="s">
        <v>295</v>
      </c>
      <c r="DD56" s="7" t="s">
        <v>292</v>
      </c>
      <c r="DE56">
        <v>11.920999999999999</v>
      </c>
      <c r="DF56">
        <v>16.47</v>
      </c>
      <c r="DG56">
        <v>17.201000000000001</v>
      </c>
      <c r="DH56">
        <v>7</v>
      </c>
      <c r="DI56" s="7" t="s">
        <v>291</v>
      </c>
      <c r="DJ56" s="7" t="s">
        <v>296</v>
      </c>
      <c r="DK56">
        <v>12.443</v>
      </c>
      <c r="DL56">
        <v>13.991</v>
      </c>
      <c r="DM56">
        <v>14.657</v>
      </c>
      <c r="DN56">
        <v>4</v>
      </c>
      <c r="DO56" s="7" t="s">
        <v>291</v>
      </c>
      <c r="DP56" s="7" t="s">
        <v>292</v>
      </c>
      <c r="DQ56">
        <v>72.337999999999994</v>
      </c>
      <c r="DR56">
        <v>129.87100000000001</v>
      </c>
      <c r="DS56">
        <v>131.80699999999999</v>
      </c>
      <c r="DT56">
        <v>5</v>
      </c>
      <c r="DU56" s="7" t="s">
        <v>293</v>
      </c>
      <c r="DV56" s="7" t="s">
        <v>292</v>
      </c>
      <c r="DW56">
        <v>21.059000000000001</v>
      </c>
      <c r="DX56">
        <v>24.85</v>
      </c>
      <c r="DY56">
        <v>25.579000000000001</v>
      </c>
      <c r="DZ56">
        <v>7</v>
      </c>
      <c r="EA56" s="7" t="s">
        <v>299</v>
      </c>
      <c r="EB56" s="7" t="s">
        <v>296</v>
      </c>
      <c r="EC56">
        <v>12.723000000000001</v>
      </c>
      <c r="ED56">
        <v>16.701000000000001</v>
      </c>
      <c r="EE56">
        <v>17.239999999999998</v>
      </c>
      <c r="EF56">
        <v>6</v>
      </c>
      <c r="EG56" s="7" t="s">
        <v>295</v>
      </c>
      <c r="EH56" s="7" t="s">
        <v>292</v>
      </c>
      <c r="EI56">
        <v>18.841999999999999</v>
      </c>
      <c r="EJ56">
        <v>26.989000000000001</v>
      </c>
      <c r="EK56">
        <v>27.934999999999999</v>
      </c>
      <c r="EL56">
        <v>8</v>
      </c>
      <c r="EM56" s="7" t="s">
        <v>291</v>
      </c>
      <c r="EN56" s="7" t="s">
        <v>296</v>
      </c>
      <c r="EO56">
        <v>11.279</v>
      </c>
      <c r="EP56">
        <v>13.722</v>
      </c>
      <c r="EQ56">
        <v>14.542</v>
      </c>
      <c r="ER56">
        <v>4</v>
      </c>
      <c r="ES56" s="7" t="s">
        <v>291</v>
      </c>
      <c r="ET56" s="7" t="s">
        <v>292</v>
      </c>
      <c r="EU56">
        <v>14.805999999999999</v>
      </c>
      <c r="EV56">
        <v>17.640999999999998</v>
      </c>
      <c r="EW56">
        <v>18.311</v>
      </c>
      <c r="EX56">
        <v>5</v>
      </c>
      <c r="EY56" s="7" t="s">
        <v>300</v>
      </c>
      <c r="EZ56" s="7" t="s">
        <v>296</v>
      </c>
      <c r="FA56">
        <v>7.2859999999999996</v>
      </c>
      <c r="FB56">
        <v>9.9879999999999995</v>
      </c>
      <c r="FC56">
        <v>10.701000000000001</v>
      </c>
      <c r="FD56">
        <v>5</v>
      </c>
      <c r="FE56" s="7" t="s">
        <v>301</v>
      </c>
      <c r="FF56" s="7" t="s">
        <v>296</v>
      </c>
      <c r="FG56">
        <v>17.366</v>
      </c>
      <c r="FH56">
        <v>19.927</v>
      </c>
      <c r="FI56">
        <v>21.187000000000001</v>
      </c>
      <c r="FJ56">
        <v>4</v>
      </c>
      <c r="FK56" s="7" t="s">
        <v>291</v>
      </c>
      <c r="FL56" s="7" t="s">
        <v>296</v>
      </c>
      <c r="FM56">
        <v>10.816000000000001</v>
      </c>
      <c r="FN56">
        <v>14.273</v>
      </c>
      <c r="FO56">
        <v>14.286</v>
      </c>
      <c r="FP56">
        <v>6</v>
      </c>
      <c r="FQ56" s="7" t="s">
        <v>300</v>
      </c>
      <c r="FR56" s="7" t="s">
        <v>296</v>
      </c>
      <c r="FS56">
        <v>7.7709999999999999</v>
      </c>
      <c r="FT56">
        <v>9.8970000000000002</v>
      </c>
      <c r="FU56">
        <v>10.627000000000001</v>
      </c>
      <c r="FV56">
        <v>4</v>
      </c>
      <c r="FW56" s="7" t="s">
        <v>301</v>
      </c>
      <c r="FX56" s="7" t="s">
        <v>296</v>
      </c>
      <c r="FY56">
        <v>9.2579999999999991</v>
      </c>
      <c r="FZ56">
        <v>11.846</v>
      </c>
      <c r="GA56">
        <v>13.131</v>
      </c>
      <c r="GB56">
        <v>4</v>
      </c>
      <c r="GC56" s="7" t="s">
        <v>291</v>
      </c>
      <c r="GD56" s="7" t="s">
        <v>294</v>
      </c>
      <c r="GE56">
        <v>7.7809999999999997</v>
      </c>
      <c r="GF56">
        <v>13.236000000000001</v>
      </c>
      <c r="GG56">
        <v>13.747999999999999</v>
      </c>
      <c r="GH56">
        <v>5</v>
      </c>
      <c r="GI56" s="7" t="s">
        <v>300</v>
      </c>
      <c r="GJ56" s="7" t="s">
        <v>294</v>
      </c>
      <c r="GK56">
        <v>10.234999999999999</v>
      </c>
      <c r="GL56">
        <v>12.968</v>
      </c>
      <c r="GM56">
        <v>13.563000000000001</v>
      </c>
      <c r="GN56">
        <v>4</v>
      </c>
      <c r="GO56" s="7" t="s">
        <v>301</v>
      </c>
      <c r="GP56" s="7" t="s">
        <v>296</v>
      </c>
      <c r="GQ56">
        <v>8.9809999999999999</v>
      </c>
      <c r="GR56">
        <v>11.526</v>
      </c>
      <c r="GS56">
        <v>12.14</v>
      </c>
      <c r="GT56">
        <v>5</v>
      </c>
      <c r="GU56" s="7" t="s">
        <v>291</v>
      </c>
      <c r="GV56" s="7" t="s">
        <v>296</v>
      </c>
      <c r="GW56">
        <v>23.623999999999999</v>
      </c>
      <c r="GX56">
        <v>27.885000000000002</v>
      </c>
      <c r="GY56">
        <v>28.625</v>
      </c>
      <c r="GZ56">
        <v>6</v>
      </c>
      <c r="HA56" s="7" t="s">
        <v>300</v>
      </c>
      <c r="HB56" s="7" t="s">
        <v>296</v>
      </c>
      <c r="HC56">
        <v>9.2080000000000002</v>
      </c>
      <c r="HD56">
        <v>19.815000000000001</v>
      </c>
      <c r="HE56">
        <v>20.872</v>
      </c>
      <c r="HF56">
        <v>10</v>
      </c>
      <c r="HG56" s="7" t="s">
        <v>300</v>
      </c>
      <c r="HH56" s="7" t="s">
        <v>292</v>
      </c>
      <c r="HI56">
        <v>12.721</v>
      </c>
      <c r="HJ56">
        <v>17.079999999999998</v>
      </c>
      <c r="HK56">
        <v>18.530999999999999</v>
      </c>
      <c r="HL56">
        <v>5</v>
      </c>
      <c r="HM56" s="7" t="s">
        <v>930</v>
      </c>
      <c r="HN56" s="7" t="s">
        <v>930</v>
      </c>
      <c r="HO56" s="7" t="s">
        <v>931</v>
      </c>
      <c r="HP56" s="7" t="s">
        <v>931</v>
      </c>
      <c r="HQ56" s="7" t="s">
        <v>932</v>
      </c>
      <c r="HR56" s="7" t="s">
        <v>933</v>
      </c>
      <c r="HS56" s="7" t="s">
        <v>934</v>
      </c>
      <c r="HT56" s="7" t="s">
        <v>935</v>
      </c>
      <c r="HU56" s="7" t="s">
        <v>936</v>
      </c>
      <c r="HV56" s="7" t="s">
        <v>937</v>
      </c>
      <c r="HW56" s="7" t="s">
        <v>282</v>
      </c>
      <c r="HX56" s="7" t="s">
        <v>282</v>
      </c>
      <c r="HY56" s="7" t="s">
        <v>312</v>
      </c>
      <c r="HZ56" s="7" t="s">
        <v>372</v>
      </c>
      <c r="IA56" s="7" t="s">
        <v>325</v>
      </c>
      <c r="IB56" s="7" t="s">
        <v>282</v>
      </c>
      <c r="IC56" s="7" t="s">
        <v>282</v>
      </c>
    </row>
    <row r="57" spans="1:237" x14ac:dyDescent="0.2">
      <c r="A57" s="6">
        <v>45748.627476851849</v>
      </c>
      <c r="B57" s="6">
        <v>45748.646863425929</v>
      </c>
      <c r="C57" s="7" t="s">
        <v>240</v>
      </c>
      <c r="D57" s="7" t="s">
        <v>938</v>
      </c>
      <c r="E57">
        <v>100</v>
      </c>
      <c r="F57">
        <v>1674</v>
      </c>
      <c r="G57" s="7" t="s">
        <v>280</v>
      </c>
      <c r="H57" s="6">
        <v>45748.646875706021</v>
      </c>
      <c r="I57" s="7" t="s">
        <v>939</v>
      </c>
      <c r="J57" s="7" t="s">
        <v>282</v>
      </c>
      <c r="K57" s="7" t="s">
        <v>282</v>
      </c>
      <c r="L57" s="7" t="s">
        <v>282</v>
      </c>
      <c r="M57" s="7" t="s">
        <v>282</v>
      </c>
      <c r="N57">
        <v>49.865699999999997</v>
      </c>
      <c r="O57">
        <v>-97.067099999999996</v>
      </c>
      <c r="P57" s="7" t="s">
        <v>283</v>
      </c>
      <c r="Q57" s="7" t="s">
        <v>284</v>
      </c>
      <c r="R57">
        <v>1</v>
      </c>
      <c r="S57" s="7" t="s">
        <v>285</v>
      </c>
      <c r="T57" s="7" t="s">
        <v>285</v>
      </c>
      <c r="U57" s="7" t="s">
        <v>285</v>
      </c>
      <c r="V57" s="7" t="s">
        <v>285</v>
      </c>
      <c r="W57" s="7" t="s">
        <v>544</v>
      </c>
      <c r="X57" s="7" t="s">
        <v>316</v>
      </c>
      <c r="Y57" s="7" t="s">
        <v>288</v>
      </c>
      <c r="Z57" s="7" t="s">
        <v>288</v>
      </c>
      <c r="AA57" s="7" t="s">
        <v>289</v>
      </c>
      <c r="AB57" s="7" t="s">
        <v>317</v>
      </c>
      <c r="AC57" s="7" t="s">
        <v>291</v>
      </c>
      <c r="AD57" s="7" t="s">
        <v>296</v>
      </c>
      <c r="AE57">
        <v>0.80300000000000005</v>
      </c>
      <c r="AF57">
        <v>14.452999999999999</v>
      </c>
      <c r="AG57">
        <v>15.026</v>
      </c>
      <c r="AH57">
        <v>7</v>
      </c>
      <c r="AI57" s="7" t="s">
        <v>293</v>
      </c>
      <c r="AJ57" s="7" t="s">
        <v>294</v>
      </c>
      <c r="AK57">
        <v>0.873</v>
      </c>
      <c r="AL57">
        <v>13.282999999999999</v>
      </c>
      <c r="AM57">
        <v>13.74</v>
      </c>
      <c r="AN57">
        <v>5</v>
      </c>
      <c r="AO57" s="7" t="s">
        <v>293</v>
      </c>
      <c r="AP57" s="7" t="s">
        <v>294</v>
      </c>
      <c r="AQ57">
        <v>0.69</v>
      </c>
      <c r="AR57">
        <v>14.557</v>
      </c>
      <c r="AS57">
        <v>14.571999999999999</v>
      </c>
      <c r="AT57">
        <v>9</v>
      </c>
      <c r="AU57" s="7" t="s">
        <v>295</v>
      </c>
      <c r="AV57" s="7" t="s">
        <v>296</v>
      </c>
      <c r="AW57">
        <v>0.72399999999999998</v>
      </c>
      <c r="AX57">
        <v>13.573</v>
      </c>
      <c r="AY57">
        <v>14.313000000000001</v>
      </c>
      <c r="AZ57">
        <v>8</v>
      </c>
      <c r="BA57" s="7" t="s">
        <v>299</v>
      </c>
      <c r="BB57" s="7" t="s">
        <v>297</v>
      </c>
      <c r="BC57">
        <v>0.9</v>
      </c>
      <c r="BD57">
        <v>14.391</v>
      </c>
      <c r="BE57">
        <v>16.218</v>
      </c>
      <c r="BF57">
        <v>5</v>
      </c>
      <c r="BG57" s="7" t="s">
        <v>291</v>
      </c>
      <c r="BH57" s="7" t="s">
        <v>296</v>
      </c>
      <c r="BI57">
        <v>0.79200000000000004</v>
      </c>
      <c r="BJ57">
        <v>15.217000000000001</v>
      </c>
      <c r="BK57">
        <v>15.569000000000001</v>
      </c>
      <c r="BL57">
        <v>6</v>
      </c>
      <c r="BM57" s="7" t="s">
        <v>293</v>
      </c>
      <c r="BN57" s="7" t="s">
        <v>294</v>
      </c>
      <c r="BO57">
        <v>0.625</v>
      </c>
      <c r="BP57">
        <v>14.311999999999999</v>
      </c>
      <c r="BQ57">
        <v>17.04</v>
      </c>
      <c r="BR57">
        <v>7</v>
      </c>
      <c r="BS57" s="7" t="s">
        <v>291</v>
      </c>
      <c r="BT57" s="7" t="s">
        <v>297</v>
      </c>
      <c r="BU57">
        <v>0.75900000000000001</v>
      </c>
      <c r="BV57">
        <v>21.184000000000001</v>
      </c>
      <c r="BW57">
        <v>22.475999999999999</v>
      </c>
      <c r="BX57">
        <v>13</v>
      </c>
      <c r="BY57" s="7" t="s">
        <v>299</v>
      </c>
      <c r="BZ57" s="7" t="s">
        <v>292</v>
      </c>
      <c r="CA57">
        <v>0.76600000000000001</v>
      </c>
      <c r="CB57">
        <v>22.007000000000001</v>
      </c>
      <c r="CC57">
        <v>21.911000000000001</v>
      </c>
      <c r="CD57">
        <v>10</v>
      </c>
      <c r="CE57" s="7" t="s">
        <v>298</v>
      </c>
      <c r="CF57" s="7" t="s">
        <v>296</v>
      </c>
      <c r="CG57">
        <v>1.597</v>
      </c>
      <c r="CH57">
        <v>21.885000000000002</v>
      </c>
      <c r="CI57">
        <v>23.407</v>
      </c>
      <c r="CJ57">
        <v>11</v>
      </c>
      <c r="CK57" s="7" t="s">
        <v>291</v>
      </c>
      <c r="CL57" s="7" t="s">
        <v>296</v>
      </c>
      <c r="CM57">
        <v>1.298</v>
      </c>
      <c r="CN57">
        <v>38.731999999999999</v>
      </c>
      <c r="CO57">
        <v>39.405000000000001</v>
      </c>
      <c r="CP57">
        <v>12</v>
      </c>
      <c r="CQ57" s="7" t="s">
        <v>293</v>
      </c>
      <c r="CR57" s="7" t="s">
        <v>294</v>
      </c>
      <c r="CS57">
        <v>0.30399999999999999</v>
      </c>
      <c r="CT57">
        <v>26.106999999999999</v>
      </c>
      <c r="CU57">
        <v>27.041</v>
      </c>
      <c r="CV57">
        <v>17</v>
      </c>
      <c r="CW57" s="7" t="s">
        <v>291</v>
      </c>
      <c r="CX57" s="7" t="s">
        <v>292</v>
      </c>
      <c r="CY57">
        <v>1.3859999999999999</v>
      </c>
      <c r="CZ57">
        <v>21.056000000000001</v>
      </c>
      <c r="DA57">
        <v>21.55</v>
      </c>
      <c r="DB57">
        <v>6</v>
      </c>
      <c r="DC57" s="7" t="s">
        <v>295</v>
      </c>
      <c r="DD57" s="7" t="s">
        <v>296</v>
      </c>
      <c r="DE57">
        <v>1.0089999999999999</v>
      </c>
      <c r="DF57">
        <v>14.21</v>
      </c>
      <c r="DG57">
        <v>15.077999999999999</v>
      </c>
      <c r="DH57">
        <v>7</v>
      </c>
      <c r="DI57" s="7" t="s">
        <v>298</v>
      </c>
      <c r="DJ57" s="7" t="s">
        <v>292</v>
      </c>
      <c r="DK57">
        <v>0.67300000000000004</v>
      </c>
      <c r="DL57">
        <v>51.737000000000002</v>
      </c>
      <c r="DM57">
        <v>52.323</v>
      </c>
      <c r="DN57">
        <v>33</v>
      </c>
      <c r="DO57" s="7" t="s">
        <v>291</v>
      </c>
      <c r="DP57" s="7" t="s">
        <v>296</v>
      </c>
      <c r="DQ57">
        <v>0.85499999999999998</v>
      </c>
      <c r="DR57">
        <v>19.838999999999999</v>
      </c>
      <c r="DS57">
        <v>19.859000000000002</v>
      </c>
      <c r="DT57">
        <v>9</v>
      </c>
      <c r="DU57" s="7" t="s">
        <v>293</v>
      </c>
      <c r="DV57" s="7" t="s">
        <v>294</v>
      </c>
      <c r="DW57">
        <v>0.82699999999999996</v>
      </c>
      <c r="DX57">
        <v>13.179</v>
      </c>
      <c r="DY57">
        <v>13.205</v>
      </c>
      <c r="DZ57">
        <v>7</v>
      </c>
      <c r="EA57" s="7" t="s">
        <v>299</v>
      </c>
      <c r="EB57" s="7" t="s">
        <v>292</v>
      </c>
      <c r="EC57">
        <v>0.63700000000000001</v>
      </c>
      <c r="ED57">
        <v>33.540999999999997</v>
      </c>
      <c r="EE57">
        <v>35.957999999999998</v>
      </c>
      <c r="EF57">
        <v>10</v>
      </c>
      <c r="EG57" s="7" t="s">
        <v>295</v>
      </c>
      <c r="EH57" s="7" t="s">
        <v>297</v>
      </c>
      <c r="EI57">
        <v>4.0609999999999999</v>
      </c>
      <c r="EJ57">
        <v>17.228999999999999</v>
      </c>
      <c r="EK57">
        <v>17.661000000000001</v>
      </c>
      <c r="EL57">
        <v>7</v>
      </c>
      <c r="EM57" s="7" t="s">
        <v>298</v>
      </c>
      <c r="EN57" s="7" t="s">
        <v>296</v>
      </c>
      <c r="EO57">
        <v>3.4129999999999998</v>
      </c>
      <c r="EP57">
        <v>22.521000000000001</v>
      </c>
      <c r="EQ57">
        <v>22.425999999999998</v>
      </c>
      <c r="ER57">
        <v>6</v>
      </c>
      <c r="ES57" s="7" t="s">
        <v>291</v>
      </c>
      <c r="ET57" s="7" t="s">
        <v>296</v>
      </c>
      <c r="EU57">
        <v>0.96599999999999997</v>
      </c>
      <c r="EV57">
        <v>17.102</v>
      </c>
      <c r="EW57">
        <v>17.677</v>
      </c>
      <c r="EX57">
        <v>9</v>
      </c>
      <c r="EY57" s="7" t="s">
        <v>300</v>
      </c>
      <c r="EZ57" s="7" t="s">
        <v>296</v>
      </c>
      <c r="FA57">
        <v>3.3130000000000002</v>
      </c>
      <c r="FB57">
        <v>28.172999999999998</v>
      </c>
      <c r="FC57">
        <v>28.890999999999998</v>
      </c>
      <c r="FD57">
        <v>8</v>
      </c>
      <c r="FE57" s="7" t="s">
        <v>301</v>
      </c>
      <c r="FF57" s="7" t="s">
        <v>292</v>
      </c>
      <c r="FG57">
        <v>0.85099999999999998</v>
      </c>
      <c r="FH57">
        <v>13.316000000000001</v>
      </c>
      <c r="FI57">
        <v>14.076000000000001</v>
      </c>
      <c r="FJ57">
        <v>7</v>
      </c>
      <c r="FK57" s="7" t="s">
        <v>291</v>
      </c>
      <c r="FL57" s="7" t="s">
        <v>294</v>
      </c>
      <c r="FM57">
        <v>1.5960000000000001</v>
      </c>
      <c r="FN57">
        <v>21.103000000000002</v>
      </c>
      <c r="FO57">
        <v>21.123999999999999</v>
      </c>
      <c r="FP57">
        <v>12</v>
      </c>
      <c r="FQ57" s="7" t="s">
        <v>300</v>
      </c>
      <c r="FR57" s="7" t="s">
        <v>296</v>
      </c>
      <c r="FS57">
        <v>0.92500000000000004</v>
      </c>
      <c r="FT57">
        <v>24.228000000000002</v>
      </c>
      <c r="FU57">
        <v>24.794</v>
      </c>
      <c r="FV57">
        <v>5</v>
      </c>
      <c r="FW57" s="7" t="s">
        <v>301</v>
      </c>
      <c r="FX57" s="7" t="s">
        <v>296</v>
      </c>
      <c r="FY57">
        <v>0.94199999999999995</v>
      </c>
      <c r="FZ57">
        <v>52.328000000000003</v>
      </c>
      <c r="GA57">
        <v>54.45</v>
      </c>
      <c r="GB57">
        <v>13</v>
      </c>
      <c r="GC57" s="7" t="s">
        <v>291</v>
      </c>
      <c r="GD57" s="7" t="s">
        <v>296</v>
      </c>
      <c r="GE57">
        <v>3.3849999999999998</v>
      </c>
      <c r="GF57">
        <v>20.152000000000001</v>
      </c>
      <c r="GG57">
        <v>22.141999999999999</v>
      </c>
      <c r="GH57">
        <v>8</v>
      </c>
      <c r="GI57" s="7" t="s">
        <v>300</v>
      </c>
      <c r="GJ57" s="7" t="s">
        <v>294</v>
      </c>
      <c r="GK57">
        <v>0.995</v>
      </c>
      <c r="GL57">
        <v>19.686</v>
      </c>
      <c r="GM57">
        <v>20.747</v>
      </c>
      <c r="GN57">
        <v>9</v>
      </c>
      <c r="GO57" s="7" t="s">
        <v>301</v>
      </c>
      <c r="GP57" s="7" t="s">
        <v>292</v>
      </c>
      <c r="GQ57">
        <v>1.012</v>
      </c>
      <c r="GR57">
        <v>18.155000000000001</v>
      </c>
      <c r="GS57">
        <v>18.943000000000001</v>
      </c>
      <c r="GT57">
        <v>8</v>
      </c>
      <c r="GU57" s="7" t="s">
        <v>291</v>
      </c>
      <c r="GV57" s="7" t="s">
        <v>296</v>
      </c>
      <c r="GW57">
        <v>7.1909999999999998</v>
      </c>
      <c r="GX57">
        <v>26.035</v>
      </c>
      <c r="GY57">
        <v>29.719000000000001</v>
      </c>
      <c r="GZ57">
        <v>7</v>
      </c>
      <c r="HA57" s="7" t="s">
        <v>300</v>
      </c>
      <c r="HB57" s="7" t="s">
        <v>296</v>
      </c>
      <c r="HC57">
        <v>3.2559999999999998</v>
      </c>
      <c r="HD57">
        <v>23.905999999999999</v>
      </c>
      <c r="HE57">
        <v>24.62</v>
      </c>
      <c r="HF57">
        <v>10</v>
      </c>
      <c r="HG57" s="7" t="s">
        <v>291</v>
      </c>
      <c r="HH57" s="7" t="s">
        <v>297</v>
      </c>
      <c r="HI57">
        <v>0.97699999999999998</v>
      </c>
      <c r="HJ57">
        <v>30.771999999999998</v>
      </c>
      <c r="HK57">
        <v>32.374000000000002</v>
      </c>
      <c r="HL57">
        <v>12</v>
      </c>
      <c r="HM57" s="7" t="s">
        <v>940</v>
      </c>
      <c r="HN57" s="7" t="s">
        <v>941</v>
      </c>
      <c r="HO57" s="7" t="s">
        <v>942</v>
      </c>
      <c r="HP57" s="7" t="s">
        <v>943</v>
      </c>
      <c r="HQ57" s="7" t="s">
        <v>944</v>
      </c>
      <c r="HR57" s="7" t="s">
        <v>945</v>
      </c>
      <c r="HS57" s="7" t="s">
        <v>946</v>
      </c>
      <c r="HT57" s="7" t="s">
        <v>947</v>
      </c>
      <c r="HU57" s="7" t="s">
        <v>948</v>
      </c>
      <c r="HV57" s="7" t="s">
        <v>949</v>
      </c>
      <c r="HW57" s="7" t="s">
        <v>282</v>
      </c>
      <c r="HX57" s="7" t="s">
        <v>282</v>
      </c>
      <c r="HY57" s="7" t="s">
        <v>312</v>
      </c>
      <c r="HZ57" s="7" t="s">
        <v>356</v>
      </c>
      <c r="IA57" s="7" t="s">
        <v>313</v>
      </c>
      <c r="IB57" s="7" t="s">
        <v>282</v>
      </c>
      <c r="IC57" s="7" t="s">
        <v>282</v>
      </c>
    </row>
    <row r="58" spans="1:237" x14ac:dyDescent="0.2">
      <c r="A58" s="6">
        <v>45748.644224537034</v>
      </c>
      <c r="B58" s="6">
        <v>45748.658206018517</v>
      </c>
      <c r="C58" s="7" t="s">
        <v>240</v>
      </c>
      <c r="D58" s="7" t="s">
        <v>950</v>
      </c>
      <c r="E58">
        <v>100</v>
      </c>
      <c r="F58">
        <v>1208</v>
      </c>
      <c r="G58" s="7" t="s">
        <v>280</v>
      </c>
      <c r="H58" s="6">
        <v>45748.658226770836</v>
      </c>
      <c r="I58" s="7" t="s">
        <v>951</v>
      </c>
      <c r="J58" s="7" t="s">
        <v>282</v>
      </c>
      <c r="K58" s="7" t="s">
        <v>282</v>
      </c>
      <c r="L58" s="7" t="s">
        <v>282</v>
      </c>
      <c r="M58" s="7" t="s">
        <v>282</v>
      </c>
      <c r="N58">
        <v>37.371699999999997</v>
      </c>
      <c r="O58">
        <v>126.9466</v>
      </c>
      <c r="P58" s="7" t="s">
        <v>283</v>
      </c>
      <c r="Q58" s="7" t="s">
        <v>284</v>
      </c>
      <c r="R58">
        <v>1</v>
      </c>
      <c r="S58" s="7" t="s">
        <v>285</v>
      </c>
      <c r="T58" s="7" t="s">
        <v>285</v>
      </c>
      <c r="U58" s="7" t="s">
        <v>285</v>
      </c>
      <c r="V58" s="7" t="s">
        <v>285</v>
      </c>
      <c r="W58" s="7" t="s">
        <v>412</v>
      </c>
      <c r="X58" s="7" t="s">
        <v>375</v>
      </c>
      <c r="Y58" s="7" t="s">
        <v>288</v>
      </c>
      <c r="Z58" s="7" t="s">
        <v>290</v>
      </c>
      <c r="AA58" s="7" t="s">
        <v>317</v>
      </c>
      <c r="AB58" s="7" t="s">
        <v>317</v>
      </c>
      <c r="AC58" s="7" t="s">
        <v>291</v>
      </c>
      <c r="AD58" s="7" t="s">
        <v>292</v>
      </c>
      <c r="AE58">
        <v>6.7350000000000003</v>
      </c>
      <c r="AF58">
        <v>8.3989999999999991</v>
      </c>
      <c r="AG58">
        <v>9.2309999999999999</v>
      </c>
      <c r="AH58">
        <v>2</v>
      </c>
      <c r="AI58" s="7" t="s">
        <v>293</v>
      </c>
      <c r="AJ58" s="7" t="s">
        <v>296</v>
      </c>
      <c r="AK58">
        <v>5.7089999999999996</v>
      </c>
      <c r="AL58">
        <v>7.5389999999999997</v>
      </c>
      <c r="AM58">
        <v>8.6479999999999997</v>
      </c>
      <c r="AN58">
        <v>3</v>
      </c>
      <c r="AO58" s="7" t="s">
        <v>293</v>
      </c>
      <c r="AP58" s="7" t="s">
        <v>292</v>
      </c>
      <c r="AQ58">
        <v>12.478</v>
      </c>
      <c r="AR58">
        <v>15.766</v>
      </c>
      <c r="AS58">
        <v>17.373999999999999</v>
      </c>
      <c r="AT58">
        <v>3</v>
      </c>
      <c r="AU58" s="7" t="s">
        <v>298</v>
      </c>
      <c r="AV58" s="7" t="s">
        <v>292</v>
      </c>
      <c r="AW58">
        <v>10.743</v>
      </c>
      <c r="AX58">
        <v>12.916</v>
      </c>
      <c r="AY58">
        <v>13.938000000000001</v>
      </c>
      <c r="AZ58">
        <v>2</v>
      </c>
      <c r="BA58" s="7" t="s">
        <v>298</v>
      </c>
      <c r="BB58" s="7" t="s">
        <v>296</v>
      </c>
      <c r="BC58">
        <v>5.6349999999999998</v>
      </c>
      <c r="BD58">
        <v>12.676</v>
      </c>
      <c r="BE58">
        <v>13.961</v>
      </c>
      <c r="BF58">
        <v>3</v>
      </c>
      <c r="BG58" s="7" t="s">
        <v>293</v>
      </c>
      <c r="BH58" s="7" t="s">
        <v>296</v>
      </c>
      <c r="BI58">
        <v>6.202</v>
      </c>
      <c r="BJ58">
        <v>8.5530000000000008</v>
      </c>
      <c r="BK58">
        <v>9.3789999999999996</v>
      </c>
      <c r="BL58">
        <v>2</v>
      </c>
      <c r="BM58" s="7" t="s">
        <v>299</v>
      </c>
      <c r="BN58" s="7" t="s">
        <v>292</v>
      </c>
      <c r="BO58">
        <v>7.1349999999999998</v>
      </c>
      <c r="BP58">
        <v>11.526999999999999</v>
      </c>
      <c r="BQ58">
        <v>12.483000000000001</v>
      </c>
      <c r="BR58">
        <v>2</v>
      </c>
      <c r="BS58" s="7" t="s">
        <v>293</v>
      </c>
      <c r="BT58" s="7" t="s">
        <v>296</v>
      </c>
      <c r="BU58">
        <v>14.185</v>
      </c>
      <c r="BV58">
        <v>15.455</v>
      </c>
      <c r="BW58">
        <v>16.608000000000001</v>
      </c>
      <c r="BX58">
        <v>2</v>
      </c>
      <c r="BY58" s="7" t="s">
        <v>295</v>
      </c>
      <c r="BZ58" s="7" t="s">
        <v>294</v>
      </c>
      <c r="CA58">
        <v>4.8899999999999997</v>
      </c>
      <c r="CB58">
        <v>6.8979999999999997</v>
      </c>
      <c r="CC58">
        <v>8.7669999999999995</v>
      </c>
      <c r="CD58">
        <v>3</v>
      </c>
      <c r="CE58" s="7" t="s">
        <v>298</v>
      </c>
      <c r="CF58" s="7" t="s">
        <v>296</v>
      </c>
      <c r="CG58">
        <v>9.3859999999999992</v>
      </c>
      <c r="CH58">
        <v>12.502000000000001</v>
      </c>
      <c r="CI58">
        <v>12.843999999999999</v>
      </c>
      <c r="CJ58">
        <v>3</v>
      </c>
      <c r="CK58" s="7" t="s">
        <v>293</v>
      </c>
      <c r="CL58" s="7" t="s">
        <v>296</v>
      </c>
      <c r="CM58">
        <v>8.5909999999999993</v>
      </c>
      <c r="CN58">
        <v>9.8119999999999994</v>
      </c>
      <c r="CO58">
        <v>10.976000000000001</v>
      </c>
      <c r="CP58">
        <v>2</v>
      </c>
      <c r="CQ58" s="7" t="s">
        <v>293</v>
      </c>
      <c r="CR58" s="7" t="s">
        <v>294</v>
      </c>
      <c r="CS58">
        <v>6.8550000000000004</v>
      </c>
      <c r="CT58">
        <v>8.6709999999999994</v>
      </c>
      <c r="CU58">
        <v>10.763999999999999</v>
      </c>
      <c r="CV58">
        <v>2</v>
      </c>
      <c r="CW58" s="7" t="s">
        <v>293</v>
      </c>
      <c r="CX58" s="7" t="s">
        <v>296</v>
      </c>
      <c r="CY58">
        <v>7.1920000000000002</v>
      </c>
      <c r="CZ58">
        <v>8.4060000000000006</v>
      </c>
      <c r="DA58">
        <v>9.2959999999999994</v>
      </c>
      <c r="DB58">
        <v>2</v>
      </c>
      <c r="DC58" s="7" t="s">
        <v>295</v>
      </c>
      <c r="DD58" s="7" t="s">
        <v>296</v>
      </c>
      <c r="DE58">
        <v>6.0739999999999998</v>
      </c>
      <c r="DF58">
        <v>7.1589999999999998</v>
      </c>
      <c r="DG58">
        <v>8.8309999999999995</v>
      </c>
      <c r="DH58">
        <v>2</v>
      </c>
      <c r="DI58" s="7" t="s">
        <v>298</v>
      </c>
      <c r="DJ58" s="7" t="s">
        <v>296</v>
      </c>
      <c r="DK58">
        <v>5.9710000000000001</v>
      </c>
      <c r="DL58">
        <v>9.3550000000000004</v>
      </c>
      <c r="DM58">
        <v>11.170999999999999</v>
      </c>
      <c r="DN58">
        <v>3</v>
      </c>
      <c r="DO58" s="7" t="s">
        <v>291</v>
      </c>
      <c r="DP58" s="7" t="s">
        <v>297</v>
      </c>
      <c r="DQ58">
        <v>8.1419999999999995</v>
      </c>
      <c r="DR58">
        <v>45.707999999999998</v>
      </c>
      <c r="DS58">
        <v>47.228000000000002</v>
      </c>
      <c r="DT58">
        <v>9</v>
      </c>
      <c r="DU58" s="7" t="s">
        <v>293</v>
      </c>
      <c r="DV58" s="7" t="s">
        <v>296</v>
      </c>
      <c r="DW58">
        <v>7.633</v>
      </c>
      <c r="DX58">
        <v>8.7040000000000006</v>
      </c>
      <c r="DY58">
        <v>9.8689999999999998</v>
      </c>
      <c r="DZ58">
        <v>2</v>
      </c>
      <c r="EA58" s="7" t="s">
        <v>299</v>
      </c>
      <c r="EB58" s="7" t="s">
        <v>292</v>
      </c>
      <c r="EC58">
        <v>8.35</v>
      </c>
      <c r="ED58">
        <v>11.214</v>
      </c>
      <c r="EE58">
        <v>11.544</v>
      </c>
      <c r="EF58">
        <v>3</v>
      </c>
      <c r="EG58" s="7" t="s">
        <v>298</v>
      </c>
      <c r="EH58" s="7" t="s">
        <v>296</v>
      </c>
      <c r="EI58">
        <v>8.25</v>
      </c>
      <c r="EJ58">
        <v>9.798</v>
      </c>
      <c r="EK58">
        <v>10.58</v>
      </c>
      <c r="EL58">
        <v>2</v>
      </c>
      <c r="EM58" s="7" t="s">
        <v>291</v>
      </c>
      <c r="EN58" s="7" t="s">
        <v>292</v>
      </c>
      <c r="EO58">
        <v>19.149999999999999</v>
      </c>
      <c r="EP58">
        <v>20.643999999999998</v>
      </c>
      <c r="EQ58">
        <v>21.484000000000002</v>
      </c>
      <c r="ER58">
        <v>2</v>
      </c>
      <c r="ES58" s="7" t="s">
        <v>291</v>
      </c>
      <c r="ET58" s="7" t="s">
        <v>292</v>
      </c>
      <c r="EU58">
        <v>9.3239999999999998</v>
      </c>
      <c r="EV58">
        <v>14.14</v>
      </c>
      <c r="EW58">
        <v>15.874000000000001</v>
      </c>
      <c r="EX58">
        <v>2</v>
      </c>
      <c r="EY58" s="7" t="s">
        <v>300</v>
      </c>
      <c r="EZ58" s="7" t="s">
        <v>296</v>
      </c>
      <c r="FA58">
        <v>5.54</v>
      </c>
      <c r="FB58">
        <v>6.5640000000000001</v>
      </c>
      <c r="FC58">
        <v>8.6839999999999993</v>
      </c>
      <c r="FD58">
        <v>2</v>
      </c>
      <c r="FE58" s="7" t="s">
        <v>301</v>
      </c>
      <c r="FF58" s="7" t="s">
        <v>292</v>
      </c>
      <c r="FG58">
        <v>6.9210000000000003</v>
      </c>
      <c r="FH58">
        <v>10.457000000000001</v>
      </c>
      <c r="FI58">
        <v>10.845000000000001</v>
      </c>
      <c r="FJ58">
        <v>3</v>
      </c>
      <c r="FK58" s="7" t="s">
        <v>291</v>
      </c>
      <c r="FL58" s="7" t="s">
        <v>296</v>
      </c>
      <c r="FM58">
        <v>6.7549999999999999</v>
      </c>
      <c r="FN58">
        <v>8.1890000000000001</v>
      </c>
      <c r="FO58">
        <v>9.0169999999999995</v>
      </c>
      <c r="FP58">
        <v>2</v>
      </c>
      <c r="FQ58" s="7" t="s">
        <v>300</v>
      </c>
      <c r="FR58" s="7" t="s">
        <v>292</v>
      </c>
      <c r="FS58">
        <v>13.595000000000001</v>
      </c>
      <c r="FT58">
        <v>17.529</v>
      </c>
      <c r="FU58">
        <v>18.649000000000001</v>
      </c>
      <c r="FV58">
        <v>2</v>
      </c>
      <c r="FW58" s="7" t="s">
        <v>301</v>
      </c>
      <c r="FX58" s="7" t="s">
        <v>296</v>
      </c>
      <c r="FY58">
        <v>5.3810000000000002</v>
      </c>
      <c r="FZ58">
        <v>6.601</v>
      </c>
      <c r="GA58">
        <v>9.0530000000000008</v>
      </c>
      <c r="GB58">
        <v>2</v>
      </c>
      <c r="GC58" s="7" t="s">
        <v>291</v>
      </c>
      <c r="GD58" s="7" t="s">
        <v>296</v>
      </c>
      <c r="GE58">
        <v>5.4710000000000001</v>
      </c>
      <c r="GF58">
        <v>6.6349999999999998</v>
      </c>
      <c r="GG58">
        <v>8.8089999999999993</v>
      </c>
      <c r="GH58">
        <v>2</v>
      </c>
      <c r="GI58" s="7" t="s">
        <v>300</v>
      </c>
      <c r="GJ58" s="7" t="s">
        <v>292</v>
      </c>
      <c r="GK58">
        <v>8.5960000000000001</v>
      </c>
      <c r="GL58">
        <v>10.234</v>
      </c>
      <c r="GM58">
        <v>11.455</v>
      </c>
      <c r="GN58">
        <v>2</v>
      </c>
      <c r="GO58" s="7" t="s">
        <v>301</v>
      </c>
      <c r="GP58" s="7" t="s">
        <v>296</v>
      </c>
      <c r="GQ58">
        <v>6.7130000000000001</v>
      </c>
      <c r="GR58">
        <v>10.3</v>
      </c>
      <c r="GS58">
        <v>11.563000000000001</v>
      </c>
      <c r="GT58">
        <v>2</v>
      </c>
      <c r="GU58" s="7" t="s">
        <v>291</v>
      </c>
      <c r="GV58" s="7" t="s">
        <v>296</v>
      </c>
      <c r="GW58">
        <v>5.8620000000000001</v>
      </c>
      <c r="GX58">
        <v>7.3940000000000001</v>
      </c>
      <c r="GY58">
        <v>8.84</v>
      </c>
      <c r="GZ58">
        <v>2</v>
      </c>
      <c r="HA58" s="7" t="s">
        <v>300</v>
      </c>
      <c r="HB58" s="7" t="s">
        <v>292</v>
      </c>
      <c r="HC58">
        <v>7.4660000000000002</v>
      </c>
      <c r="HD58">
        <v>15.212999999999999</v>
      </c>
      <c r="HE58">
        <v>16.396000000000001</v>
      </c>
      <c r="HF58">
        <v>3</v>
      </c>
      <c r="HG58" s="7" t="s">
        <v>291</v>
      </c>
      <c r="HH58" s="7" t="s">
        <v>296</v>
      </c>
      <c r="HI58">
        <v>6.6070000000000002</v>
      </c>
      <c r="HJ58">
        <v>7.7329999999999997</v>
      </c>
      <c r="HK58">
        <v>9.1229999999999993</v>
      </c>
      <c r="HL58">
        <v>2</v>
      </c>
      <c r="HM58" s="7" t="s">
        <v>952</v>
      </c>
      <c r="HN58" s="7" t="s">
        <v>953</v>
      </c>
      <c r="HO58" s="7" t="s">
        <v>954</v>
      </c>
      <c r="HP58" s="7" t="s">
        <v>954</v>
      </c>
      <c r="HQ58" s="7" t="s">
        <v>955</v>
      </c>
      <c r="HR58" s="7" t="s">
        <v>956</v>
      </c>
      <c r="HS58" s="7" t="s">
        <v>957</v>
      </c>
      <c r="HT58" s="7" t="s">
        <v>958</v>
      </c>
      <c r="HU58" s="7" t="s">
        <v>959</v>
      </c>
      <c r="HV58" s="7" t="s">
        <v>959</v>
      </c>
      <c r="HW58" s="7" t="s">
        <v>282</v>
      </c>
      <c r="HX58" s="7" t="s">
        <v>960</v>
      </c>
      <c r="HY58" s="7" t="s">
        <v>312</v>
      </c>
      <c r="HZ58" s="7" t="s">
        <v>356</v>
      </c>
      <c r="IA58" s="7" t="s">
        <v>313</v>
      </c>
      <c r="IB58" s="7" t="s">
        <v>282</v>
      </c>
      <c r="IC58" s="7" t="s">
        <v>282</v>
      </c>
    </row>
    <row r="59" spans="1:237" x14ac:dyDescent="0.2">
      <c r="A59" s="6">
        <v>45748.656990740739</v>
      </c>
      <c r="B59" s="6">
        <v>45748.668668981481</v>
      </c>
      <c r="C59" s="7" t="s">
        <v>240</v>
      </c>
      <c r="D59" s="7" t="s">
        <v>961</v>
      </c>
      <c r="E59">
        <v>100</v>
      </c>
      <c r="F59">
        <v>1009</v>
      </c>
      <c r="G59" s="7" t="s">
        <v>280</v>
      </c>
      <c r="H59" s="6">
        <v>45748.668682048614</v>
      </c>
      <c r="I59" s="7" t="s">
        <v>962</v>
      </c>
      <c r="J59" s="7" t="s">
        <v>282</v>
      </c>
      <c r="K59" s="7" t="s">
        <v>282</v>
      </c>
      <c r="L59" s="7" t="s">
        <v>282</v>
      </c>
      <c r="M59" s="7" t="s">
        <v>282</v>
      </c>
      <c r="N59">
        <v>49.7851</v>
      </c>
      <c r="O59">
        <v>-97.211699999999993</v>
      </c>
      <c r="P59" s="7" t="s">
        <v>283</v>
      </c>
      <c r="Q59" s="7" t="s">
        <v>284</v>
      </c>
      <c r="R59">
        <v>0.89999997615814209</v>
      </c>
      <c r="S59" s="7" t="s">
        <v>285</v>
      </c>
      <c r="T59" s="7" t="s">
        <v>285</v>
      </c>
      <c r="U59" s="7" t="s">
        <v>285</v>
      </c>
      <c r="V59" s="7" t="s">
        <v>285</v>
      </c>
      <c r="W59" s="7" t="s">
        <v>544</v>
      </c>
      <c r="X59" s="7" t="s">
        <v>375</v>
      </c>
      <c r="Y59" s="7" t="s">
        <v>288</v>
      </c>
      <c r="Z59" s="7" t="s">
        <v>289</v>
      </c>
      <c r="AA59" s="7" t="s">
        <v>289</v>
      </c>
      <c r="AB59" s="7" t="s">
        <v>317</v>
      </c>
      <c r="AC59" s="7" t="s">
        <v>291</v>
      </c>
      <c r="AD59" s="7" t="s">
        <v>292</v>
      </c>
      <c r="AE59">
        <v>13.476000000000001</v>
      </c>
      <c r="AF59">
        <v>24.814</v>
      </c>
      <c r="AG59">
        <v>25.95</v>
      </c>
      <c r="AH59">
        <v>6</v>
      </c>
      <c r="AI59" s="7" t="s">
        <v>293</v>
      </c>
      <c r="AJ59" s="7" t="s">
        <v>292</v>
      </c>
      <c r="AK59">
        <v>12.978</v>
      </c>
      <c r="AL59">
        <v>16.773</v>
      </c>
      <c r="AM59">
        <v>17.675000000000001</v>
      </c>
      <c r="AN59">
        <v>5</v>
      </c>
      <c r="AO59" s="7" t="s">
        <v>293</v>
      </c>
      <c r="AP59" s="7" t="s">
        <v>292</v>
      </c>
      <c r="AQ59">
        <v>13.29</v>
      </c>
      <c r="AR59">
        <v>16.602</v>
      </c>
      <c r="AS59">
        <v>17.547999999999998</v>
      </c>
      <c r="AT59">
        <v>6</v>
      </c>
      <c r="AU59" s="7" t="s">
        <v>295</v>
      </c>
      <c r="AV59" s="7" t="s">
        <v>297</v>
      </c>
      <c r="AW59">
        <v>8.6419999999999995</v>
      </c>
      <c r="AX59">
        <v>12.304</v>
      </c>
      <c r="AY59">
        <v>13.323</v>
      </c>
      <c r="AZ59">
        <v>6</v>
      </c>
      <c r="BA59" s="7" t="s">
        <v>295</v>
      </c>
      <c r="BB59" s="7" t="s">
        <v>297</v>
      </c>
      <c r="BC59">
        <v>11.837</v>
      </c>
      <c r="BD59">
        <v>16.481999999999999</v>
      </c>
      <c r="BE59">
        <v>17.501999999999999</v>
      </c>
      <c r="BF59">
        <v>6</v>
      </c>
      <c r="BG59" s="7" t="s">
        <v>291</v>
      </c>
      <c r="BH59" s="7" t="s">
        <v>292</v>
      </c>
      <c r="BI59">
        <v>22.893999999999998</v>
      </c>
      <c r="BJ59">
        <v>28.654</v>
      </c>
      <c r="BK59">
        <v>28.672999999999998</v>
      </c>
      <c r="BL59">
        <v>6</v>
      </c>
      <c r="BM59" s="7" t="s">
        <v>293</v>
      </c>
      <c r="BN59" s="7" t="s">
        <v>292</v>
      </c>
      <c r="BO59">
        <v>12.414</v>
      </c>
      <c r="BP59">
        <v>16.355</v>
      </c>
      <c r="BQ59">
        <v>16.373999999999999</v>
      </c>
      <c r="BR59">
        <v>7</v>
      </c>
      <c r="BS59" s="7" t="s">
        <v>293</v>
      </c>
      <c r="BT59" s="7" t="s">
        <v>292</v>
      </c>
      <c r="BU59">
        <v>18.161999999999999</v>
      </c>
      <c r="BV59">
        <v>31.539000000000001</v>
      </c>
      <c r="BW59">
        <v>32.840000000000003</v>
      </c>
      <c r="BX59">
        <v>7</v>
      </c>
      <c r="BY59" s="7" t="s">
        <v>293</v>
      </c>
      <c r="BZ59" s="7" t="s">
        <v>292</v>
      </c>
      <c r="CA59">
        <v>3.8639999999999999</v>
      </c>
      <c r="CB59">
        <v>20.89</v>
      </c>
      <c r="CC59">
        <v>21.774999999999999</v>
      </c>
      <c r="CD59">
        <v>8</v>
      </c>
      <c r="CE59" s="7" t="s">
        <v>295</v>
      </c>
      <c r="CF59" s="7" t="s">
        <v>297</v>
      </c>
      <c r="CG59">
        <v>12.627000000000001</v>
      </c>
      <c r="CH59">
        <v>18.920999999999999</v>
      </c>
      <c r="CI59">
        <v>19.919</v>
      </c>
      <c r="CJ59">
        <v>8</v>
      </c>
      <c r="CK59" s="7" t="s">
        <v>291</v>
      </c>
      <c r="CL59" s="7" t="s">
        <v>292</v>
      </c>
      <c r="CM59">
        <v>13.789</v>
      </c>
      <c r="CN59">
        <v>17.466000000000001</v>
      </c>
      <c r="CO59">
        <v>18.434000000000001</v>
      </c>
      <c r="CP59">
        <v>3</v>
      </c>
      <c r="CQ59" s="7" t="s">
        <v>293</v>
      </c>
      <c r="CR59" s="7" t="s">
        <v>292</v>
      </c>
      <c r="CS59">
        <v>10.407</v>
      </c>
      <c r="CT59">
        <v>15.269</v>
      </c>
      <c r="CU59">
        <v>16.619</v>
      </c>
      <c r="CV59">
        <v>6</v>
      </c>
      <c r="CW59" s="7" t="s">
        <v>291</v>
      </c>
      <c r="CX59" s="7" t="s">
        <v>292</v>
      </c>
      <c r="CY59">
        <v>4.6529999999999996</v>
      </c>
      <c r="CZ59">
        <v>22.881</v>
      </c>
      <c r="DA59">
        <v>23.664999999999999</v>
      </c>
      <c r="DB59">
        <v>9</v>
      </c>
      <c r="DC59" s="7" t="s">
        <v>295</v>
      </c>
      <c r="DD59" s="7" t="s">
        <v>292</v>
      </c>
      <c r="DE59">
        <v>10.038</v>
      </c>
      <c r="DF59">
        <v>15.715</v>
      </c>
      <c r="DG59">
        <v>16.600999999999999</v>
      </c>
      <c r="DH59">
        <v>7</v>
      </c>
      <c r="DI59" s="7" t="s">
        <v>298</v>
      </c>
      <c r="DJ59" s="7" t="s">
        <v>292</v>
      </c>
      <c r="DK59">
        <v>13.628</v>
      </c>
      <c r="DL59">
        <v>15.712</v>
      </c>
      <c r="DM59">
        <v>16.727</v>
      </c>
      <c r="DN59">
        <v>5</v>
      </c>
      <c r="DO59" s="7" t="s">
        <v>291</v>
      </c>
      <c r="DP59" s="7" t="s">
        <v>292</v>
      </c>
      <c r="DQ59">
        <v>22.224</v>
      </c>
      <c r="DR59">
        <v>26.384</v>
      </c>
      <c r="DS59">
        <v>27.619</v>
      </c>
      <c r="DT59">
        <v>5</v>
      </c>
      <c r="DU59" s="7" t="s">
        <v>293</v>
      </c>
      <c r="DV59" s="7" t="s">
        <v>292</v>
      </c>
      <c r="DW59">
        <v>12.173999999999999</v>
      </c>
      <c r="DX59">
        <v>15.787000000000001</v>
      </c>
      <c r="DY59">
        <v>16.901</v>
      </c>
      <c r="DZ59">
        <v>6</v>
      </c>
      <c r="EA59" s="7" t="s">
        <v>299</v>
      </c>
      <c r="EB59" s="7" t="s">
        <v>292</v>
      </c>
      <c r="EC59">
        <v>19.085000000000001</v>
      </c>
      <c r="ED59">
        <v>21.414999999999999</v>
      </c>
      <c r="EE59">
        <v>22.495000000000001</v>
      </c>
      <c r="EF59">
        <v>4</v>
      </c>
      <c r="EG59" s="7" t="s">
        <v>298</v>
      </c>
      <c r="EH59" s="7" t="s">
        <v>292</v>
      </c>
      <c r="EI59">
        <v>5.1479999999999997</v>
      </c>
      <c r="EJ59">
        <v>18.981000000000002</v>
      </c>
      <c r="EK59">
        <v>19.783000000000001</v>
      </c>
      <c r="EL59">
        <v>7</v>
      </c>
      <c r="EM59" s="7" t="s">
        <v>298</v>
      </c>
      <c r="EN59" s="7" t="s">
        <v>292</v>
      </c>
      <c r="EO59">
        <v>12.510999999999999</v>
      </c>
      <c r="EP59">
        <v>15.459</v>
      </c>
      <c r="EQ59">
        <v>16.459</v>
      </c>
      <c r="ER59">
        <v>3</v>
      </c>
      <c r="ES59" s="7" t="s">
        <v>291</v>
      </c>
      <c r="ET59" s="7" t="s">
        <v>292</v>
      </c>
      <c r="EU59">
        <v>9.5079999999999991</v>
      </c>
      <c r="EV59">
        <v>11.877000000000001</v>
      </c>
      <c r="EW59">
        <v>12.9</v>
      </c>
      <c r="EX59">
        <v>4</v>
      </c>
      <c r="EY59" s="7" t="s">
        <v>300</v>
      </c>
      <c r="EZ59" s="7" t="s">
        <v>292</v>
      </c>
      <c r="FA59">
        <v>8.5030000000000001</v>
      </c>
      <c r="FB59">
        <v>11.75</v>
      </c>
      <c r="FC59">
        <v>12.667</v>
      </c>
      <c r="FD59">
        <v>5</v>
      </c>
      <c r="FE59" s="7" t="s">
        <v>301</v>
      </c>
      <c r="FF59" s="7" t="s">
        <v>292</v>
      </c>
      <c r="FG59">
        <v>14.875</v>
      </c>
      <c r="FH59">
        <v>19.187000000000001</v>
      </c>
      <c r="FI59">
        <v>20.201000000000001</v>
      </c>
      <c r="FJ59">
        <v>5</v>
      </c>
      <c r="FK59" s="7" t="s">
        <v>291</v>
      </c>
      <c r="FL59" s="7" t="s">
        <v>292</v>
      </c>
      <c r="FM59">
        <v>11.349</v>
      </c>
      <c r="FN59">
        <v>14.363</v>
      </c>
      <c r="FO59">
        <v>15.026999999999999</v>
      </c>
      <c r="FP59">
        <v>6</v>
      </c>
      <c r="FQ59" s="7" t="s">
        <v>300</v>
      </c>
      <c r="FR59" s="7" t="s">
        <v>292</v>
      </c>
      <c r="FS59">
        <v>12.683999999999999</v>
      </c>
      <c r="FT59">
        <v>16.446000000000002</v>
      </c>
      <c r="FU59">
        <v>17.646999999999998</v>
      </c>
      <c r="FV59">
        <v>4</v>
      </c>
      <c r="FW59" s="7" t="s">
        <v>282</v>
      </c>
      <c r="FX59" s="7" t="s">
        <v>292</v>
      </c>
      <c r="FY59">
        <v>8.44</v>
      </c>
      <c r="FZ59">
        <v>14.999000000000001</v>
      </c>
      <c r="GA59">
        <v>15.933999999999999</v>
      </c>
      <c r="GB59">
        <v>6</v>
      </c>
      <c r="GC59" s="7" t="s">
        <v>291</v>
      </c>
      <c r="GD59" s="7" t="s">
        <v>292</v>
      </c>
      <c r="GE59">
        <v>14.242000000000001</v>
      </c>
      <c r="GF59">
        <v>16.452999999999999</v>
      </c>
      <c r="GG59">
        <v>17.405000000000001</v>
      </c>
      <c r="GH59">
        <v>5</v>
      </c>
      <c r="GI59" s="7" t="s">
        <v>300</v>
      </c>
      <c r="GJ59" s="7" t="s">
        <v>292</v>
      </c>
      <c r="GK59">
        <v>9.6170000000000009</v>
      </c>
      <c r="GL59">
        <v>14.29</v>
      </c>
      <c r="GM59">
        <v>15.756</v>
      </c>
      <c r="GN59">
        <v>5</v>
      </c>
      <c r="GO59" s="7" t="s">
        <v>301</v>
      </c>
      <c r="GP59" s="7" t="s">
        <v>292</v>
      </c>
      <c r="GQ59">
        <v>7.4009999999999998</v>
      </c>
      <c r="GR59">
        <v>9.3480000000000008</v>
      </c>
      <c r="GS59">
        <v>10.569000000000001</v>
      </c>
      <c r="GT59">
        <v>4</v>
      </c>
      <c r="GU59" s="7" t="s">
        <v>291</v>
      </c>
      <c r="GV59" s="7" t="s">
        <v>292</v>
      </c>
      <c r="GW59">
        <v>8.5039999999999996</v>
      </c>
      <c r="GX59">
        <v>11.901999999999999</v>
      </c>
      <c r="GY59">
        <v>13.625</v>
      </c>
      <c r="GZ59">
        <v>5</v>
      </c>
      <c r="HA59" s="7" t="s">
        <v>300</v>
      </c>
      <c r="HB59" s="7" t="s">
        <v>292</v>
      </c>
      <c r="HC59">
        <v>6.657</v>
      </c>
      <c r="HD59">
        <v>8.7739999999999991</v>
      </c>
      <c r="HE59">
        <v>10.061999999999999</v>
      </c>
      <c r="HF59">
        <v>4</v>
      </c>
      <c r="HG59" s="7" t="s">
        <v>301</v>
      </c>
      <c r="HH59" s="7" t="s">
        <v>292</v>
      </c>
      <c r="HI59">
        <v>9.3580000000000005</v>
      </c>
      <c r="HJ59">
        <v>37.040999999999997</v>
      </c>
      <c r="HK59">
        <v>37.792000000000002</v>
      </c>
      <c r="HL59">
        <v>6</v>
      </c>
      <c r="HM59" s="7" t="s">
        <v>963</v>
      </c>
      <c r="HN59" s="7" t="s">
        <v>964</v>
      </c>
      <c r="HO59" s="7" t="s">
        <v>965</v>
      </c>
      <c r="HP59" s="7" t="s">
        <v>966</v>
      </c>
      <c r="HQ59" s="7" t="s">
        <v>967</v>
      </c>
      <c r="HR59" s="7" t="s">
        <v>968</v>
      </c>
      <c r="HS59" s="7" t="s">
        <v>969</v>
      </c>
      <c r="HT59" s="7" t="s">
        <v>970</v>
      </c>
      <c r="HU59" s="7" t="s">
        <v>434</v>
      </c>
      <c r="HV59" s="7" t="s">
        <v>434</v>
      </c>
      <c r="HW59" s="7" t="s">
        <v>282</v>
      </c>
      <c r="HX59" s="7" t="s">
        <v>282</v>
      </c>
      <c r="HY59" s="7" t="s">
        <v>312</v>
      </c>
      <c r="HZ59" s="7" t="s">
        <v>372</v>
      </c>
      <c r="IA59" s="7" t="s">
        <v>325</v>
      </c>
      <c r="IB59" s="7" t="s">
        <v>282</v>
      </c>
      <c r="IC59" s="7" t="s">
        <v>282</v>
      </c>
    </row>
    <row r="60" spans="1:237" x14ac:dyDescent="0.2">
      <c r="A60" s="6">
        <v>45748.696388888886</v>
      </c>
      <c r="B60" s="6">
        <v>45748.714479166665</v>
      </c>
      <c r="C60" s="7" t="s">
        <v>240</v>
      </c>
      <c r="D60" s="7" t="s">
        <v>971</v>
      </c>
      <c r="E60">
        <v>100</v>
      </c>
      <c r="F60">
        <v>1562</v>
      </c>
      <c r="G60" s="7" t="s">
        <v>280</v>
      </c>
      <c r="H60" s="6">
        <v>45748.714488645834</v>
      </c>
      <c r="I60" s="7" t="s">
        <v>972</v>
      </c>
      <c r="J60" s="7" t="s">
        <v>282</v>
      </c>
      <c r="K60" s="7" t="s">
        <v>282</v>
      </c>
      <c r="L60" s="7" t="s">
        <v>282</v>
      </c>
      <c r="M60" s="7" t="s">
        <v>282</v>
      </c>
      <c r="N60">
        <v>-37.918900000000001</v>
      </c>
      <c r="O60">
        <v>145.126</v>
      </c>
      <c r="P60" s="7" t="s">
        <v>283</v>
      </c>
      <c r="Q60" s="7" t="s">
        <v>284</v>
      </c>
      <c r="R60">
        <v>1</v>
      </c>
      <c r="S60" s="7" t="s">
        <v>285</v>
      </c>
      <c r="T60" s="7" t="s">
        <v>285</v>
      </c>
      <c r="U60" s="7" t="s">
        <v>285</v>
      </c>
      <c r="V60" s="7" t="s">
        <v>285</v>
      </c>
      <c r="W60" s="7" t="s">
        <v>286</v>
      </c>
      <c r="X60" s="7" t="s">
        <v>375</v>
      </c>
      <c r="Y60" s="7" t="s">
        <v>288</v>
      </c>
      <c r="Z60" s="7" t="s">
        <v>289</v>
      </c>
      <c r="AA60" s="7" t="s">
        <v>329</v>
      </c>
      <c r="AB60" s="7" t="s">
        <v>317</v>
      </c>
      <c r="AC60" s="7" t="s">
        <v>291</v>
      </c>
      <c r="AD60" s="7" t="s">
        <v>292</v>
      </c>
      <c r="AE60">
        <v>7.54</v>
      </c>
      <c r="AF60">
        <v>12.212999999999999</v>
      </c>
      <c r="AG60">
        <v>13.427</v>
      </c>
      <c r="AH60">
        <v>3</v>
      </c>
      <c r="AI60" s="7" t="s">
        <v>293</v>
      </c>
      <c r="AJ60" s="7" t="s">
        <v>296</v>
      </c>
      <c r="AK60">
        <v>6.8730000000000002</v>
      </c>
      <c r="AL60">
        <v>12.093</v>
      </c>
      <c r="AM60">
        <v>12.971</v>
      </c>
      <c r="AN60">
        <v>2</v>
      </c>
      <c r="AO60" s="7" t="s">
        <v>293</v>
      </c>
      <c r="AP60" s="7" t="s">
        <v>294</v>
      </c>
      <c r="AQ60">
        <v>4.1829999999999998</v>
      </c>
      <c r="AR60">
        <v>6.7779999999999996</v>
      </c>
      <c r="AS60">
        <v>10.379</v>
      </c>
      <c r="AT60">
        <v>2</v>
      </c>
      <c r="AU60" s="7" t="s">
        <v>295</v>
      </c>
      <c r="AV60" s="7" t="s">
        <v>292</v>
      </c>
      <c r="AW60">
        <v>7.2770000000000001</v>
      </c>
      <c r="AX60">
        <v>8.1170000000000009</v>
      </c>
      <c r="AY60">
        <v>9.1920000000000002</v>
      </c>
      <c r="AZ60">
        <v>2</v>
      </c>
      <c r="BA60" s="7" t="s">
        <v>295</v>
      </c>
      <c r="BB60" s="7" t="s">
        <v>296</v>
      </c>
      <c r="BC60">
        <v>7.9580000000000002</v>
      </c>
      <c r="BD60">
        <v>9.6449999999999996</v>
      </c>
      <c r="BE60">
        <v>10.426</v>
      </c>
      <c r="BF60">
        <v>2</v>
      </c>
      <c r="BG60" s="7" t="s">
        <v>291</v>
      </c>
      <c r="BH60" s="7" t="s">
        <v>297</v>
      </c>
      <c r="BI60">
        <v>8.1549999999999994</v>
      </c>
      <c r="BJ60">
        <v>15.957000000000001</v>
      </c>
      <c r="BK60">
        <v>16.279</v>
      </c>
      <c r="BL60">
        <v>3</v>
      </c>
      <c r="BM60" s="7" t="s">
        <v>293</v>
      </c>
      <c r="BN60" s="7" t="s">
        <v>294</v>
      </c>
      <c r="BO60">
        <v>2.91</v>
      </c>
      <c r="BP60">
        <v>22.201000000000001</v>
      </c>
      <c r="BQ60">
        <v>22.545000000000002</v>
      </c>
      <c r="BR60">
        <v>10</v>
      </c>
      <c r="BS60" s="7" t="s">
        <v>291</v>
      </c>
      <c r="BT60" s="7" t="s">
        <v>330</v>
      </c>
      <c r="BU60">
        <v>11.76</v>
      </c>
      <c r="BV60">
        <v>13.823</v>
      </c>
      <c r="BW60">
        <v>14.656000000000001</v>
      </c>
      <c r="BX60">
        <v>3</v>
      </c>
      <c r="BY60" s="7" t="s">
        <v>295</v>
      </c>
      <c r="BZ60" s="7" t="s">
        <v>292</v>
      </c>
      <c r="CA60">
        <v>9.048</v>
      </c>
      <c r="CB60">
        <v>10.263999999999999</v>
      </c>
      <c r="CC60">
        <v>11.246</v>
      </c>
      <c r="CD60">
        <v>2</v>
      </c>
      <c r="CE60" s="7" t="s">
        <v>298</v>
      </c>
      <c r="CF60" s="7" t="s">
        <v>330</v>
      </c>
      <c r="CG60">
        <v>9.8689999999999998</v>
      </c>
      <c r="CH60">
        <v>11.37</v>
      </c>
      <c r="CI60">
        <v>12.457000000000001</v>
      </c>
      <c r="CJ60">
        <v>2</v>
      </c>
      <c r="CK60" s="7" t="s">
        <v>291</v>
      </c>
      <c r="CL60" s="7" t="s">
        <v>297</v>
      </c>
      <c r="CM60">
        <v>9.2609999999999992</v>
      </c>
      <c r="CN60">
        <v>10.348000000000001</v>
      </c>
      <c r="CO60">
        <v>10.987</v>
      </c>
      <c r="CP60">
        <v>2</v>
      </c>
      <c r="CQ60" s="7" t="s">
        <v>293</v>
      </c>
      <c r="CR60" s="7" t="s">
        <v>296</v>
      </c>
      <c r="CS60">
        <v>6.633</v>
      </c>
      <c r="CT60">
        <v>11.259</v>
      </c>
      <c r="CU60">
        <v>11.848000000000001</v>
      </c>
      <c r="CV60">
        <v>2</v>
      </c>
      <c r="CW60" s="7" t="s">
        <v>291</v>
      </c>
      <c r="CX60" s="7" t="s">
        <v>297</v>
      </c>
      <c r="CY60">
        <v>5.8479999999999999</v>
      </c>
      <c r="CZ60">
        <v>9.8539999999999992</v>
      </c>
      <c r="DA60">
        <v>11.09</v>
      </c>
      <c r="DB60">
        <v>2</v>
      </c>
      <c r="DC60" s="7" t="s">
        <v>298</v>
      </c>
      <c r="DD60" s="7" t="s">
        <v>297</v>
      </c>
      <c r="DE60">
        <v>8.4770000000000003</v>
      </c>
      <c r="DF60">
        <v>10.013999999999999</v>
      </c>
      <c r="DG60">
        <v>10.795</v>
      </c>
      <c r="DH60">
        <v>2</v>
      </c>
      <c r="DI60" s="7" t="s">
        <v>299</v>
      </c>
      <c r="DJ60" s="7" t="s">
        <v>297</v>
      </c>
      <c r="DK60">
        <v>9.5</v>
      </c>
      <c r="DL60">
        <v>11.817</v>
      </c>
      <c r="DM60">
        <v>12.537000000000001</v>
      </c>
      <c r="DN60">
        <v>2</v>
      </c>
      <c r="DO60" s="7" t="s">
        <v>291</v>
      </c>
      <c r="DP60" s="7" t="s">
        <v>292</v>
      </c>
      <c r="DQ60">
        <v>8.7449999999999992</v>
      </c>
      <c r="DR60">
        <v>11.49</v>
      </c>
      <c r="DS60">
        <v>13.958</v>
      </c>
      <c r="DT60">
        <v>2</v>
      </c>
      <c r="DU60" s="7" t="s">
        <v>293</v>
      </c>
      <c r="DV60" s="7" t="s">
        <v>294</v>
      </c>
      <c r="DW60">
        <v>3.9790000000000001</v>
      </c>
      <c r="DX60">
        <v>17.672000000000001</v>
      </c>
      <c r="DY60">
        <v>17.846</v>
      </c>
      <c r="DZ60">
        <v>3</v>
      </c>
      <c r="EA60" s="7" t="s">
        <v>299</v>
      </c>
      <c r="EB60" s="7" t="s">
        <v>292</v>
      </c>
      <c r="EC60">
        <v>9.2119999999999997</v>
      </c>
      <c r="ED60">
        <v>11.417</v>
      </c>
      <c r="EE60">
        <v>12.579000000000001</v>
      </c>
      <c r="EF60">
        <v>2</v>
      </c>
      <c r="EG60" s="7" t="s">
        <v>298</v>
      </c>
      <c r="EH60" s="7" t="s">
        <v>297</v>
      </c>
      <c r="EI60">
        <v>9.7439999999999998</v>
      </c>
      <c r="EJ60">
        <v>12.856999999999999</v>
      </c>
      <c r="EK60">
        <v>14.169</v>
      </c>
      <c r="EL60">
        <v>2</v>
      </c>
      <c r="EM60" s="7" t="s">
        <v>299</v>
      </c>
      <c r="EN60" s="7" t="s">
        <v>297</v>
      </c>
      <c r="EO60">
        <v>6.665</v>
      </c>
      <c r="EP60">
        <v>10.452</v>
      </c>
      <c r="EQ60">
        <v>12.952</v>
      </c>
      <c r="ER60">
        <v>2</v>
      </c>
      <c r="ES60" s="7" t="s">
        <v>291</v>
      </c>
      <c r="ET60" s="7" t="s">
        <v>297</v>
      </c>
      <c r="EU60">
        <v>7.7640000000000002</v>
      </c>
      <c r="EV60">
        <v>9.8789999999999996</v>
      </c>
      <c r="EW60">
        <v>14.922000000000001</v>
      </c>
      <c r="EX60">
        <v>2</v>
      </c>
      <c r="EY60" s="7" t="s">
        <v>300</v>
      </c>
      <c r="EZ60" s="7" t="s">
        <v>292</v>
      </c>
      <c r="FA60">
        <v>15.539</v>
      </c>
      <c r="FB60">
        <v>37.972000000000001</v>
      </c>
      <c r="FC60">
        <v>38.9</v>
      </c>
      <c r="FD60">
        <v>3</v>
      </c>
      <c r="FE60" s="7" t="s">
        <v>301</v>
      </c>
      <c r="FF60" s="7" t="s">
        <v>296</v>
      </c>
      <c r="FG60">
        <v>8.3719999999999999</v>
      </c>
      <c r="FH60">
        <v>11.718</v>
      </c>
      <c r="FI60">
        <v>12.724</v>
      </c>
      <c r="FJ60">
        <v>2</v>
      </c>
      <c r="FK60" s="7" t="s">
        <v>291</v>
      </c>
      <c r="FL60" s="7" t="s">
        <v>296</v>
      </c>
      <c r="FM60">
        <v>6.9459999999999997</v>
      </c>
      <c r="FN60">
        <v>8.0250000000000004</v>
      </c>
      <c r="FO60">
        <v>10.72</v>
      </c>
      <c r="FP60">
        <v>2</v>
      </c>
      <c r="FQ60" s="7" t="s">
        <v>300</v>
      </c>
      <c r="FR60" s="7" t="s">
        <v>296</v>
      </c>
      <c r="FS60">
        <v>6.7229999999999999</v>
      </c>
      <c r="FT60">
        <v>8.4260000000000002</v>
      </c>
      <c r="FU60">
        <v>9.0549999999999997</v>
      </c>
      <c r="FV60">
        <v>2</v>
      </c>
      <c r="FW60" s="7" t="s">
        <v>301</v>
      </c>
      <c r="FX60" s="7" t="s">
        <v>294</v>
      </c>
      <c r="FY60">
        <v>7.9409999999999998</v>
      </c>
      <c r="FZ60">
        <v>15.539</v>
      </c>
      <c r="GA60">
        <v>17.571999999999999</v>
      </c>
      <c r="GB60">
        <v>3</v>
      </c>
      <c r="GC60" s="7" t="s">
        <v>291</v>
      </c>
      <c r="GD60" s="7" t="s">
        <v>292</v>
      </c>
      <c r="GE60">
        <v>7.4390000000000001</v>
      </c>
      <c r="GF60">
        <v>18.952000000000002</v>
      </c>
      <c r="GG60">
        <v>19.852</v>
      </c>
      <c r="GH60">
        <v>3</v>
      </c>
      <c r="GI60" s="7" t="s">
        <v>300</v>
      </c>
      <c r="GJ60" s="7" t="s">
        <v>296</v>
      </c>
      <c r="GK60">
        <v>6.8719999999999999</v>
      </c>
      <c r="GL60">
        <v>8.8369999999999997</v>
      </c>
      <c r="GM60">
        <v>10.592000000000001</v>
      </c>
      <c r="GN60">
        <v>2</v>
      </c>
      <c r="GO60" s="7" t="s">
        <v>301</v>
      </c>
      <c r="GP60" s="7" t="s">
        <v>294</v>
      </c>
      <c r="GQ60">
        <v>4.492</v>
      </c>
      <c r="GR60">
        <v>12.802</v>
      </c>
      <c r="GS60">
        <v>13.371</v>
      </c>
      <c r="GT60">
        <v>3</v>
      </c>
      <c r="GU60" s="7" t="s">
        <v>291</v>
      </c>
      <c r="GV60" s="7" t="s">
        <v>296</v>
      </c>
      <c r="GW60">
        <v>8.7870000000000008</v>
      </c>
      <c r="GX60">
        <v>10.804</v>
      </c>
      <c r="GY60">
        <v>11.763999999999999</v>
      </c>
      <c r="GZ60">
        <v>2</v>
      </c>
      <c r="HA60" s="7" t="s">
        <v>300</v>
      </c>
      <c r="HB60" s="7" t="s">
        <v>292</v>
      </c>
      <c r="HC60">
        <v>12.523</v>
      </c>
      <c r="HD60">
        <v>13.372</v>
      </c>
      <c r="HE60">
        <v>14.5</v>
      </c>
      <c r="HF60">
        <v>2</v>
      </c>
      <c r="HG60" s="7" t="s">
        <v>291</v>
      </c>
      <c r="HH60" s="7" t="s">
        <v>292</v>
      </c>
      <c r="HI60">
        <v>10.515000000000001</v>
      </c>
      <c r="HJ60">
        <v>11.721</v>
      </c>
      <c r="HK60">
        <v>12.411</v>
      </c>
      <c r="HL60">
        <v>2</v>
      </c>
      <c r="HM60" s="7" t="s">
        <v>973</v>
      </c>
      <c r="HN60" s="7" t="s">
        <v>974</v>
      </c>
      <c r="HO60" s="7" t="s">
        <v>975</v>
      </c>
      <c r="HP60" s="7" t="s">
        <v>976</v>
      </c>
      <c r="HQ60" s="7" t="s">
        <v>977</v>
      </c>
      <c r="HR60" s="7" t="s">
        <v>978</v>
      </c>
      <c r="HS60" s="7" t="s">
        <v>566</v>
      </c>
      <c r="HT60" s="7" t="s">
        <v>979</v>
      </c>
      <c r="HU60" s="7" t="s">
        <v>980</v>
      </c>
      <c r="HV60" s="7" t="s">
        <v>981</v>
      </c>
      <c r="HW60" s="7" t="s">
        <v>282</v>
      </c>
      <c r="HX60" s="7" t="s">
        <v>282</v>
      </c>
      <c r="HY60" s="7" t="s">
        <v>312</v>
      </c>
      <c r="HZ60" s="7" t="s">
        <v>356</v>
      </c>
      <c r="IA60" s="7" t="s">
        <v>313</v>
      </c>
      <c r="IB60" s="7" t="s">
        <v>282</v>
      </c>
      <c r="IC60" s="7" t="s">
        <v>282</v>
      </c>
    </row>
    <row r="61" spans="1:237" x14ac:dyDescent="0.2">
      <c r="A61" s="6">
        <v>45748.725462962961</v>
      </c>
      <c r="B61" s="6">
        <v>45748.737337962964</v>
      </c>
      <c r="C61" s="7" t="s">
        <v>240</v>
      </c>
      <c r="D61" s="7" t="s">
        <v>982</v>
      </c>
      <c r="E61">
        <v>100</v>
      </c>
      <c r="F61">
        <v>1026</v>
      </c>
      <c r="G61" s="7" t="s">
        <v>280</v>
      </c>
      <c r="H61" s="6">
        <v>45748.737355902776</v>
      </c>
      <c r="I61" s="7" t="s">
        <v>983</v>
      </c>
      <c r="J61" s="7" t="s">
        <v>282</v>
      </c>
      <c r="K61" s="7" t="s">
        <v>282</v>
      </c>
      <c r="L61" s="7" t="s">
        <v>282</v>
      </c>
      <c r="M61" s="7" t="s">
        <v>282</v>
      </c>
      <c r="N61">
        <v>48.479700000000001</v>
      </c>
      <c r="O61">
        <v>-123.53189999999999</v>
      </c>
      <c r="P61" s="7" t="s">
        <v>283</v>
      </c>
      <c r="Q61" s="7" t="s">
        <v>284</v>
      </c>
      <c r="R61">
        <v>1</v>
      </c>
      <c r="S61" s="7" t="s">
        <v>285</v>
      </c>
      <c r="T61" s="7" t="s">
        <v>285</v>
      </c>
      <c r="U61" s="7" t="s">
        <v>285</v>
      </c>
      <c r="V61" s="7" t="s">
        <v>285</v>
      </c>
      <c r="W61" s="7" t="s">
        <v>286</v>
      </c>
      <c r="X61" s="7" t="s">
        <v>402</v>
      </c>
      <c r="Y61" s="7" t="s">
        <v>288</v>
      </c>
      <c r="Z61" s="7" t="s">
        <v>289</v>
      </c>
      <c r="AA61" s="7" t="s">
        <v>289</v>
      </c>
      <c r="AB61" s="7" t="s">
        <v>289</v>
      </c>
      <c r="AC61" s="7" t="s">
        <v>291</v>
      </c>
      <c r="AD61" s="7" t="s">
        <v>292</v>
      </c>
      <c r="AE61">
        <v>8.4039999999999999</v>
      </c>
      <c r="AF61">
        <v>13.430999999999999</v>
      </c>
      <c r="AG61">
        <v>13.987</v>
      </c>
      <c r="AH61">
        <v>6</v>
      </c>
      <c r="AI61" s="7" t="s">
        <v>293</v>
      </c>
      <c r="AJ61" s="7" t="s">
        <v>296</v>
      </c>
      <c r="AK61">
        <v>6.1189999999999998</v>
      </c>
      <c r="AL61">
        <v>10.148</v>
      </c>
      <c r="AM61">
        <v>10.984</v>
      </c>
      <c r="AN61">
        <v>4</v>
      </c>
      <c r="AO61" s="7" t="s">
        <v>293</v>
      </c>
      <c r="AP61" s="7" t="s">
        <v>296</v>
      </c>
      <c r="AQ61">
        <v>13.564</v>
      </c>
      <c r="AR61">
        <v>16.448</v>
      </c>
      <c r="AS61">
        <v>17.369</v>
      </c>
      <c r="AT61">
        <v>3</v>
      </c>
      <c r="AU61" s="7" t="s">
        <v>295</v>
      </c>
      <c r="AV61" s="7" t="s">
        <v>296</v>
      </c>
      <c r="AW61">
        <v>9.5419999999999998</v>
      </c>
      <c r="AX61">
        <v>18.068999999999999</v>
      </c>
      <c r="AY61">
        <v>18.675000000000001</v>
      </c>
      <c r="AZ61">
        <v>7</v>
      </c>
      <c r="BA61" s="7" t="s">
        <v>295</v>
      </c>
      <c r="BB61" s="7" t="s">
        <v>296</v>
      </c>
      <c r="BC61">
        <v>8.5860000000000003</v>
      </c>
      <c r="BD61">
        <v>12.007</v>
      </c>
      <c r="BE61">
        <v>13.036</v>
      </c>
      <c r="BF61">
        <v>4</v>
      </c>
      <c r="BG61" s="7" t="s">
        <v>291</v>
      </c>
      <c r="BH61" s="7" t="s">
        <v>296</v>
      </c>
      <c r="BI61">
        <v>9.5180000000000007</v>
      </c>
      <c r="BJ61">
        <v>14.705</v>
      </c>
      <c r="BK61">
        <v>15.22</v>
      </c>
      <c r="BL61">
        <v>5</v>
      </c>
      <c r="BM61" s="7" t="s">
        <v>293</v>
      </c>
      <c r="BN61" s="7" t="s">
        <v>296</v>
      </c>
      <c r="BO61">
        <v>13.554</v>
      </c>
      <c r="BP61">
        <v>21.143999999999998</v>
      </c>
      <c r="BQ61">
        <v>21.78</v>
      </c>
      <c r="BR61">
        <v>6</v>
      </c>
      <c r="BS61" s="7" t="s">
        <v>282</v>
      </c>
      <c r="BT61" s="7" t="s">
        <v>330</v>
      </c>
      <c r="BU61">
        <v>9.4030000000000005</v>
      </c>
      <c r="BV61">
        <v>16.152999999999999</v>
      </c>
      <c r="BW61">
        <v>17.561</v>
      </c>
      <c r="BX61">
        <v>5</v>
      </c>
      <c r="BY61" s="7" t="s">
        <v>295</v>
      </c>
      <c r="BZ61" s="7" t="s">
        <v>292</v>
      </c>
      <c r="CA61">
        <v>13.048</v>
      </c>
      <c r="CB61">
        <v>28.538</v>
      </c>
      <c r="CC61">
        <v>29.22</v>
      </c>
      <c r="CD61">
        <v>7</v>
      </c>
      <c r="CE61" s="7" t="s">
        <v>298</v>
      </c>
      <c r="CF61" s="7" t="s">
        <v>297</v>
      </c>
      <c r="CG61">
        <v>9.7850000000000001</v>
      </c>
      <c r="CH61">
        <v>16.725999999999999</v>
      </c>
      <c r="CI61">
        <v>17.442</v>
      </c>
      <c r="CJ61">
        <v>6</v>
      </c>
      <c r="CK61" s="7" t="s">
        <v>291</v>
      </c>
      <c r="CL61" s="7" t="s">
        <v>292</v>
      </c>
      <c r="CM61">
        <v>9.1910000000000007</v>
      </c>
      <c r="CN61">
        <v>16.745999999999999</v>
      </c>
      <c r="CO61">
        <v>17.673999999999999</v>
      </c>
      <c r="CP61">
        <v>7</v>
      </c>
      <c r="CQ61" s="7" t="s">
        <v>293</v>
      </c>
      <c r="CR61" s="7" t="s">
        <v>296</v>
      </c>
      <c r="CS61">
        <v>15.42</v>
      </c>
      <c r="CT61">
        <v>23.654</v>
      </c>
      <c r="CU61">
        <v>24.259</v>
      </c>
      <c r="CV61">
        <v>7</v>
      </c>
      <c r="CW61" s="7" t="s">
        <v>282</v>
      </c>
      <c r="CX61" s="7" t="s">
        <v>330</v>
      </c>
      <c r="CY61">
        <v>11.622999999999999</v>
      </c>
      <c r="CZ61">
        <v>27.882999999999999</v>
      </c>
      <c r="DA61">
        <v>28.763000000000002</v>
      </c>
      <c r="DB61">
        <v>6</v>
      </c>
      <c r="DC61" s="7" t="s">
        <v>299</v>
      </c>
      <c r="DD61" s="7" t="s">
        <v>292</v>
      </c>
      <c r="DE61">
        <v>11.939</v>
      </c>
      <c r="DF61">
        <v>17.786999999999999</v>
      </c>
      <c r="DG61">
        <v>18.373999999999999</v>
      </c>
      <c r="DH61">
        <v>7</v>
      </c>
      <c r="DI61" s="7" t="s">
        <v>291</v>
      </c>
      <c r="DJ61" s="7" t="s">
        <v>297</v>
      </c>
      <c r="DK61">
        <v>11.212999999999999</v>
      </c>
      <c r="DL61">
        <v>20.309999999999999</v>
      </c>
      <c r="DM61">
        <v>21.63</v>
      </c>
      <c r="DN61">
        <v>5</v>
      </c>
      <c r="DO61" s="7" t="s">
        <v>291</v>
      </c>
      <c r="DP61" s="7" t="s">
        <v>296</v>
      </c>
      <c r="DQ61">
        <v>15.36</v>
      </c>
      <c r="DR61">
        <v>31.617000000000001</v>
      </c>
      <c r="DS61">
        <v>32.277999999999999</v>
      </c>
      <c r="DT61">
        <v>6</v>
      </c>
      <c r="DU61" s="7" t="s">
        <v>293</v>
      </c>
      <c r="DV61" s="7" t="s">
        <v>296</v>
      </c>
      <c r="DW61">
        <v>7.5</v>
      </c>
      <c r="DX61">
        <v>15.295999999999999</v>
      </c>
      <c r="DY61">
        <v>15.893000000000001</v>
      </c>
      <c r="DZ61">
        <v>7</v>
      </c>
      <c r="EA61" s="7" t="s">
        <v>299</v>
      </c>
      <c r="EB61" s="7" t="s">
        <v>292</v>
      </c>
      <c r="EC61">
        <v>13.564</v>
      </c>
      <c r="ED61">
        <v>18.942</v>
      </c>
      <c r="EE61">
        <v>19.751000000000001</v>
      </c>
      <c r="EF61">
        <v>10</v>
      </c>
      <c r="EG61" s="7" t="s">
        <v>299</v>
      </c>
      <c r="EH61" s="7" t="s">
        <v>292</v>
      </c>
      <c r="EI61">
        <v>12.115</v>
      </c>
      <c r="EJ61">
        <v>16.248000000000001</v>
      </c>
      <c r="EK61">
        <v>16.952000000000002</v>
      </c>
      <c r="EL61">
        <v>5</v>
      </c>
      <c r="EM61" s="7" t="s">
        <v>298</v>
      </c>
      <c r="EN61" s="7" t="s">
        <v>297</v>
      </c>
      <c r="EO61">
        <v>17.905999999999999</v>
      </c>
      <c r="EP61">
        <v>39.000999999999998</v>
      </c>
      <c r="EQ61">
        <v>42.139000000000003</v>
      </c>
      <c r="ER61">
        <v>7</v>
      </c>
      <c r="ES61" s="7" t="s">
        <v>291</v>
      </c>
      <c r="ET61" s="7" t="s">
        <v>296</v>
      </c>
      <c r="EU61">
        <v>7.6420000000000003</v>
      </c>
      <c r="EV61">
        <v>11.581</v>
      </c>
      <c r="EW61">
        <v>12.718999999999999</v>
      </c>
      <c r="EX61">
        <v>4</v>
      </c>
      <c r="EY61" s="7" t="s">
        <v>300</v>
      </c>
      <c r="EZ61" s="7" t="s">
        <v>292</v>
      </c>
      <c r="FA61">
        <v>5.9160000000000004</v>
      </c>
      <c r="FB61">
        <v>8.1519999999999992</v>
      </c>
      <c r="FC61">
        <v>9.4740000000000002</v>
      </c>
      <c r="FD61">
        <v>4</v>
      </c>
      <c r="FE61" s="7" t="s">
        <v>301</v>
      </c>
      <c r="FF61" s="7" t="s">
        <v>292</v>
      </c>
      <c r="FG61">
        <v>6.2439999999999998</v>
      </c>
      <c r="FH61">
        <v>10.98</v>
      </c>
      <c r="FI61">
        <v>11.664</v>
      </c>
      <c r="FJ61">
        <v>6</v>
      </c>
      <c r="FK61" s="7" t="s">
        <v>291</v>
      </c>
      <c r="FL61" s="7" t="s">
        <v>296</v>
      </c>
      <c r="FM61">
        <v>12.208</v>
      </c>
      <c r="FN61">
        <v>18.457999999999998</v>
      </c>
      <c r="FO61">
        <v>19.518000000000001</v>
      </c>
      <c r="FP61">
        <v>4</v>
      </c>
      <c r="FQ61" s="7" t="s">
        <v>300</v>
      </c>
      <c r="FR61" s="7" t="s">
        <v>292</v>
      </c>
      <c r="FS61">
        <v>4.8019999999999996</v>
      </c>
      <c r="FT61">
        <v>14.03</v>
      </c>
      <c r="FU61">
        <v>14.6</v>
      </c>
      <c r="FV61">
        <v>7</v>
      </c>
      <c r="FW61" s="7" t="s">
        <v>301</v>
      </c>
      <c r="FX61" s="7" t="s">
        <v>292</v>
      </c>
      <c r="FY61">
        <v>1.321</v>
      </c>
      <c r="FZ61">
        <v>9.39</v>
      </c>
      <c r="GA61">
        <v>10.429</v>
      </c>
      <c r="GB61">
        <v>6</v>
      </c>
      <c r="GC61" s="7" t="s">
        <v>291</v>
      </c>
      <c r="GD61" s="7" t="s">
        <v>292</v>
      </c>
      <c r="GE61">
        <v>6.2089999999999996</v>
      </c>
      <c r="GF61">
        <v>9.8170000000000002</v>
      </c>
      <c r="GG61">
        <v>10.545</v>
      </c>
      <c r="GH61">
        <v>5</v>
      </c>
      <c r="GI61" s="7" t="s">
        <v>300</v>
      </c>
      <c r="GJ61" s="7" t="s">
        <v>297</v>
      </c>
      <c r="GK61">
        <v>18.965</v>
      </c>
      <c r="GL61">
        <v>22.946999999999999</v>
      </c>
      <c r="GM61">
        <v>23.852</v>
      </c>
      <c r="GN61">
        <v>5</v>
      </c>
      <c r="GO61" s="7" t="s">
        <v>301</v>
      </c>
      <c r="GP61" s="7" t="s">
        <v>297</v>
      </c>
      <c r="GQ61">
        <v>10.71</v>
      </c>
      <c r="GR61">
        <v>14.548999999999999</v>
      </c>
      <c r="GS61">
        <v>15.609</v>
      </c>
      <c r="GT61">
        <v>4</v>
      </c>
      <c r="GU61" s="7" t="s">
        <v>291</v>
      </c>
      <c r="GV61" s="7" t="s">
        <v>296</v>
      </c>
      <c r="GW61">
        <v>7.5</v>
      </c>
      <c r="GX61">
        <v>11.036</v>
      </c>
      <c r="GY61">
        <v>11.891</v>
      </c>
      <c r="GZ61">
        <v>3</v>
      </c>
      <c r="HA61" s="7" t="s">
        <v>300</v>
      </c>
      <c r="HB61" s="7" t="s">
        <v>297</v>
      </c>
      <c r="HC61">
        <v>11.933</v>
      </c>
      <c r="HD61">
        <v>14.795</v>
      </c>
      <c r="HE61">
        <v>19.861000000000001</v>
      </c>
      <c r="HF61">
        <v>5</v>
      </c>
      <c r="HG61" s="7" t="s">
        <v>282</v>
      </c>
      <c r="HH61" s="7" t="s">
        <v>292</v>
      </c>
      <c r="HI61">
        <v>3.419</v>
      </c>
      <c r="HJ61">
        <v>11.117000000000001</v>
      </c>
      <c r="HK61">
        <v>11.701000000000001</v>
      </c>
      <c r="HL61">
        <v>6</v>
      </c>
      <c r="HM61" s="7" t="s">
        <v>984</v>
      </c>
      <c r="HN61" s="7" t="s">
        <v>985</v>
      </c>
      <c r="HO61" s="7" t="s">
        <v>986</v>
      </c>
      <c r="HP61" s="7" t="s">
        <v>987</v>
      </c>
      <c r="HQ61" s="7" t="s">
        <v>988</v>
      </c>
      <c r="HR61" s="7" t="s">
        <v>989</v>
      </c>
      <c r="HS61" s="7" t="s">
        <v>693</v>
      </c>
      <c r="HT61" s="7" t="s">
        <v>990</v>
      </c>
      <c r="HU61" s="7" t="s">
        <v>991</v>
      </c>
      <c r="HV61" s="7" t="s">
        <v>992</v>
      </c>
      <c r="HW61" s="7" t="s">
        <v>993</v>
      </c>
      <c r="HX61" s="7" t="s">
        <v>282</v>
      </c>
      <c r="HY61" s="7" t="s">
        <v>312</v>
      </c>
      <c r="HZ61" s="7" t="s">
        <v>372</v>
      </c>
      <c r="IA61" s="7" t="s">
        <v>325</v>
      </c>
      <c r="IB61" s="7" t="s">
        <v>282</v>
      </c>
      <c r="IC61" s="7" t="s">
        <v>282</v>
      </c>
    </row>
    <row r="62" spans="1:237" x14ac:dyDescent="0.2">
      <c r="A62" s="6">
        <v>45748.833935185183</v>
      </c>
      <c r="B62" s="6">
        <v>45748.842997685184</v>
      </c>
      <c r="C62" s="7" t="s">
        <v>240</v>
      </c>
      <c r="D62" s="7" t="s">
        <v>994</v>
      </c>
      <c r="E62">
        <v>100</v>
      </c>
      <c r="F62">
        <v>782</v>
      </c>
      <c r="G62" s="7" t="s">
        <v>280</v>
      </c>
      <c r="H62" s="6">
        <v>45748.843009201388</v>
      </c>
      <c r="I62" s="7" t="s">
        <v>995</v>
      </c>
      <c r="J62" s="7" t="s">
        <v>282</v>
      </c>
      <c r="K62" s="7" t="s">
        <v>282</v>
      </c>
      <c r="L62" s="7" t="s">
        <v>282</v>
      </c>
      <c r="M62" s="7" t="s">
        <v>282</v>
      </c>
      <c r="N62">
        <v>55.874600000000001</v>
      </c>
      <c r="O62">
        <v>-3.1032999999999999</v>
      </c>
      <c r="P62" s="7" t="s">
        <v>283</v>
      </c>
      <c r="Q62" s="7" t="s">
        <v>284</v>
      </c>
      <c r="R62">
        <v>1</v>
      </c>
      <c r="S62" s="7" t="s">
        <v>285</v>
      </c>
      <c r="T62" s="7" t="s">
        <v>285</v>
      </c>
      <c r="U62" s="7" t="s">
        <v>285</v>
      </c>
      <c r="V62" s="7" t="s">
        <v>285</v>
      </c>
      <c r="W62" s="7" t="s">
        <v>359</v>
      </c>
      <c r="X62" s="7" t="s">
        <v>287</v>
      </c>
      <c r="Y62" s="7" t="s">
        <v>288</v>
      </c>
      <c r="Z62" s="7" t="s">
        <v>289</v>
      </c>
      <c r="AA62" s="7" t="s">
        <v>289</v>
      </c>
      <c r="AB62" s="7" t="s">
        <v>289</v>
      </c>
      <c r="AC62" s="7" t="s">
        <v>291</v>
      </c>
      <c r="AD62" s="7" t="s">
        <v>292</v>
      </c>
      <c r="AE62">
        <v>6.6289999999999996</v>
      </c>
      <c r="AF62">
        <v>16.356999999999999</v>
      </c>
      <c r="AG62">
        <v>16.986000000000001</v>
      </c>
      <c r="AH62">
        <v>8</v>
      </c>
      <c r="AI62" s="7" t="s">
        <v>299</v>
      </c>
      <c r="AJ62" s="7" t="s">
        <v>296</v>
      </c>
      <c r="AK62">
        <v>12.971</v>
      </c>
      <c r="AL62">
        <v>15.78</v>
      </c>
      <c r="AM62">
        <v>16.422999999999998</v>
      </c>
      <c r="AN62">
        <v>5</v>
      </c>
      <c r="AO62" s="7" t="s">
        <v>299</v>
      </c>
      <c r="AP62" s="7" t="s">
        <v>296</v>
      </c>
      <c r="AQ62">
        <v>10.317</v>
      </c>
      <c r="AR62">
        <v>13.301</v>
      </c>
      <c r="AS62">
        <v>13.882999999999999</v>
      </c>
      <c r="AT62">
        <v>7</v>
      </c>
      <c r="AU62" s="7" t="s">
        <v>295</v>
      </c>
      <c r="AV62" s="7" t="s">
        <v>296</v>
      </c>
      <c r="AW62">
        <v>6.1109999999999998</v>
      </c>
      <c r="AX62">
        <v>8.8520000000000003</v>
      </c>
      <c r="AY62">
        <v>9.4600000000000009</v>
      </c>
      <c r="AZ62">
        <v>5</v>
      </c>
      <c r="BA62" s="7" t="s">
        <v>295</v>
      </c>
      <c r="BB62" s="7" t="s">
        <v>296</v>
      </c>
      <c r="BC62">
        <v>6.06</v>
      </c>
      <c r="BD62">
        <v>7.9589999999999996</v>
      </c>
      <c r="BE62">
        <v>8.4510000000000005</v>
      </c>
      <c r="BF62">
        <v>5</v>
      </c>
      <c r="BG62" s="7" t="s">
        <v>291</v>
      </c>
      <c r="BH62" s="7" t="s">
        <v>296</v>
      </c>
      <c r="BI62">
        <v>6.4569999999999999</v>
      </c>
      <c r="BJ62">
        <v>8.5890000000000004</v>
      </c>
      <c r="BK62">
        <v>9.1579999999999995</v>
      </c>
      <c r="BL62">
        <v>5</v>
      </c>
      <c r="BM62" s="7" t="s">
        <v>293</v>
      </c>
      <c r="BN62" s="7" t="s">
        <v>297</v>
      </c>
      <c r="BO62">
        <v>12.32</v>
      </c>
      <c r="BP62">
        <v>14.778</v>
      </c>
      <c r="BQ62">
        <v>16.792000000000002</v>
      </c>
      <c r="BR62">
        <v>5</v>
      </c>
      <c r="BS62" s="7" t="s">
        <v>291</v>
      </c>
      <c r="BT62" s="7" t="s">
        <v>297</v>
      </c>
      <c r="BU62">
        <v>10.836</v>
      </c>
      <c r="BV62">
        <v>24.451000000000001</v>
      </c>
      <c r="BW62">
        <v>26.265000000000001</v>
      </c>
      <c r="BX62">
        <v>7</v>
      </c>
      <c r="BY62" s="7" t="s">
        <v>295</v>
      </c>
      <c r="BZ62" s="7" t="s">
        <v>292</v>
      </c>
      <c r="CA62">
        <v>5.4989999999999997</v>
      </c>
      <c r="CB62">
        <v>10.117000000000001</v>
      </c>
      <c r="CC62">
        <v>11.837</v>
      </c>
      <c r="CD62">
        <v>7</v>
      </c>
      <c r="CE62" s="7" t="s">
        <v>295</v>
      </c>
      <c r="CF62" s="7" t="s">
        <v>292</v>
      </c>
      <c r="CG62">
        <v>7.202</v>
      </c>
      <c r="CH62">
        <v>11.486000000000001</v>
      </c>
      <c r="CI62">
        <v>12.146000000000001</v>
      </c>
      <c r="CJ62">
        <v>5</v>
      </c>
      <c r="CK62" s="7" t="s">
        <v>291</v>
      </c>
      <c r="CL62" s="7" t="s">
        <v>296</v>
      </c>
      <c r="CM62">
        <v>6.2460000000000004</v>
      </c>
      <c r="CN62">
        <v>8.5969999999999995</v>
      </c>
      <c r="CO62">
        <v>10.282</v>
      </c>
      <c r="CP62">
        <v>5</v>
      </c>
      <c r="CQ62" s="7" t="s">
        <v>299</v>
      </c>
      <c r="CR62" s="7" t="s">
        <v>292</v>
      </c>
      <c r="CS62">
        <v>14.02</v>
      </c>
      <c r="CT62">
        <v>17.108000000000001</v>
      </c>
      <c r="CU62">
        <v>17.875</v>
      </c>
      <c r="CV62">
        <v>6</v>
      </c>
      <c r="CW62" s="7" t="s">
        <v>291</v>
      </c>
      <c r="CX62" s="7" t="s">
        <v>292</v>
      </c>
      <c r="CY62">
        <v>7.1609999999999996</v>
      </c>
      <c r="CZ62">
        <v>10.095000000000001</v>
      </c>
      <c r="DA62">
        <v>11.731</v>
      </c>
      <c r="DB62">
        <v>5</v>
      </c>
      <c r="DC62" s="7" t="s">
        <v>295</v>
      </c>
      <c r="DD62" s="7" t="s">
        <v>292</v>
      </c>
      <c r="DE62">
        <v>8.2110000000000003</v>
      </c>
      <c r="DF62">
        <v>10.46</v>
      </c>
      <c r="DG62">
        <v>11.045</v>
      </c>
      <c r="DH62">
        <v>5</v>
      </c>
      <c r="DI62" s="7" t="s">
        <v>298</v>
      </c>
      <c r="DJ62" s="7" t="s">
        <v>292</v>
      </c>
      <c r="DK62">
        <v>6.8360000000000003</v>
      </c>
      <c r="DL62">
        <v>11.926</v>
      </c>
      <c r="DM62">
        <v>12.561999999999999</v>
      </c>
      <c r="DN62">
        <v>5</v>
      </c>
      <c r="DO62" s="7" t="s">
        <v>291</v>
      </c>
      <c r="DP62" s="7" t="s">
        <v>296</v>
      </c>
      <c r="DQ62">
        <v>6.032</v>
      </c>
      <c r="DR62">
        <v>9.6980000000000004</v>
      </c>
      <c r="DS62">
        <v>10.249000000000001</v>
      </c>
      <c r="DT62">
        <v>7</v>
      </c>
      <c r="DU62" s="7" t="s">
        <v>299</v>
      </c>
      <c r="DV62" s="7" t="s">
        <v>292</v>
      </c>
      <c r="DW62">
        <v>12.193</v>
      </c>
      <c r="DX62">
        <v>15.4</v>
      </c>
      <c r="DY62">
        <v>16.2</v>
      </c>
      <c r="DZ62">
        <v>6</v>
      </c>
      <c r="EA62" s="7" t="s">
        <v>299</v>
      </c>
      <c r="EB62" s="7" t="s">
        <v>292</v>
      </c>
      <c r="EC62">
        <v>13.867000000000001</v>
      </c>
      <c r="ED62">
        <v>15.983000000000001</v>
      </c>
      <c r="EE62">
        <v>16.573</v>
      </c>
      <c r="EF62">
        <v>5</v>
      </c>
      <c r="EG62" s="7" t="s">
        <v>298</v>
      </c>
      <c r="EH62" s="7" t="s">
        <v>296</v>
      </c>
      <c r="EI62">
        <v>7.95</v>
      </c>
      <c r="EJ62">
        <v>9.6679999999999993</v>
      </c>
      <c r="EK62">
        <v>10.315</v>
      </c>
      <c r="EL62">
        <v>4</v>
      </c>
      <c r="EM62" s="7" t="s">
        <v>298</v>
      </c>
      <c r="EN62" s="7" t="s">
        <v>296</v>
      </c>
      <c r="EO62">
        <v>7.548</v>
      </c>
      <c r="EP62">
        <v>9.8979999999999997</v>
      </c>
      <c r="EQ62">
        <v>10.515000000000001</v>
      </c>
      <c r="ER62">
        <v>6</v>
      </c>
      <c r="ES62" s="7" t="s">
        <v>291</v>
      </c>
      <c r="ET62" s="7" t="s">
        <v>292</v>
      </c>
      <c r="EU62">
        <v>7.3810000000000002</v>
      </c>
      <c r="EV62">
        <v>12.484999999999999</v>
      </c>
      <c r="EW62">
        <v>13.145</v>
      </c>
      <c r="EX62">
        <v>7</v>
      </c>
      <c r="EY62" s="7" t="s">
        <v>300</v>
      </c>
      <c r="EZ62" s="7" t="s">
        <v>294</v>
      </c>
      <c r="FA62">
        <v>4.2709999999999999</v>
      </c>
      <c r="FB62">
        <v>11.965999999999999</v>
      </c>
      <c r="FC62">
        <v>12.614000000000001</v>
      </c>
      <c r="FD62">
        <v>9</v>
      </c>
      <c r="FE62" s="7" t="s">
        <v>300</v>
      </c>
      <c r="FF62" s="7" t="s">
        <v>296</v>
      </c>
      <c r="FG62">
        <v>8.6760000000000002</v>
      </c>
      <c r="FH62">
        <v>11.038</v>
      </c>
      <c r="FI62">
        <v>11.667999999999999</v>
      </c>
      <c r="FJ62">
        <v>5</v>
      </c>
      <c r="FK62" s="7" t="s">
        <v>291</v>
      </c>
      <c r="FL62" s="7" t="s">
        <v>292</v>
      </c>
      <c r="FM62">
        <v>6.3470000000000004</v>
      </c>
      <c r="FN62">
        <v>9.7460000000000004</v>
      </c>
      <c r="FO62">
        <v>11.786</v>
      </c>
      <c r="FP62">
        <v>6</v>
      </c>
      <c r="FQ62" s="7" t="s">
        <v>300</v>
      </c>
      <c r="FR62" s="7" t="s">
        <v>294</v>
      </c>
      <c r="FS62">
        <v>3.96</v>
      </c>
      <c r="FT62">
        <v>10.811999999999999</v>
      </c>
      <c r="FU62">
        <v>11.052</v>
      </c>
      <c r="FV62">
        <v>8</v>
      </c>
      <c r="FW62" s="7" t="s">
        <v>282</v>
      </c>
      <c r="FX62" s="7" t="s">
        <v>297</v>
      </c>
      <c r="FY62">
        <v>13.388999999999999</v>
      </c>
      <c r="FZ62">
        <v>18.878</v>
      </c>
      <c r="GA62">
        <v>19.474</v>
      </c>
      <c r="GB62">
        <v>8</v>
      </c>
      <c r="GC62" s="7" t="s">
        <v>291</v>
      </c>
      <c r="GD62" s="7" t="s">
        <v>297</v>
      </c>
      <c r="GE62">
        <v>6.3689999999999998</v>
      </c>
      <c r="GF62">
        <v>14.481999999999999</v>
      </c>
      <c r="GG62">
        <v>15.090999999999999</v>
      </c>
      <c r="GH62">
        <v>7</v>
      </c>
      <c r="GI62" s="7" t="s">
        <v>300</v>
      </c>
      <c r="GJ62" s="7" t="s">
        <v>294</v>
      </c>
      <c r="GK62">
        <v>15.997999999999999</v>
      </c>
      <c r="GL62">
        <v>17.695</v>
      </c>
      <c r="GM62">
        <v>18.312000000000001</v>
      </c>
      <c r="GN62">
        <v>3</v>
      </c>
      <c r="GO62" s="7" t="s">
        <v>301</v>
      </c>
      <c r="GP62" s="7" t="s">
        <v>297</v>
      </c>
      <c r="GQ62">
        <v>8.6180000000000003</v>
      </c>
      <c r="GR62">
        <v>17.196000000000002</v>
      </c>
      <c r="GS62">
        <v>17.917999999999999</v>
      </c>
      <c r="GT62">
        <v>8</v>
      </c>
      <c r="GU62" s="7" t="s">
        <v>291</v>
      </c>
      <c r="GV62" s="7" t="s">
        <v>292</v>
      </c>
      <c r="GW62">
        <v>8.1080000000000005</v>
      </c>
      <c r="GX62">
        <v>12.446</v>
      </c>
      <c r="GY62">
        <v>13.035</v>
      </c>
      <c r="GZ62">
        <v>7</v>
      </c>
      <c r="HA62" s="7" t="s">
        <v>300</v>
      </c>
      <c r="HB62" s="7" t="s">
        <v>296</v>
      </c>
      <c r="HC62">
        <v>7.0030000000000001</v>
      </c>
      <c r="HD62">
        <v>9.42</v>
      </c>
      <c r="HE62">
        <v>11.32</v>
      </c>
      <c r="HF62">
        <v>6</v>
      </c>
      <c r="HG62" s="7" t="s">
        <v>300</v>
      </c>
      <c r="HH62" s="7" t="s">
        <v>296</v>
      </c>
      <c r="HI62">
        <v>32.883000000000003</v>
      </c>
      <c r="HJ62">
        <v>40.262999999999998</v>
      </c>
      <c r="HK62">
        <v>41.030999999999999</v>
      </c>
      <c r="HL62">
        <v>6</v>
      </c>
      <c r="HM62" s="7" t="s">
        <v>996</v>
      </c>
      <c r="HN62" s="7" t="s">
        <v>997</v>
      </c>
      <c r="HO62" s="7" t="s">
        <v>998</v>
      </c>
      <c r="HP62" s="7" t="s">
        <v>999</v>
      </c>
      <c r="HQ62" s="7" t="s">
        <v>1000</v>
      </c>
      <c r="HR62" s="7" t="s">
        <v>1001</v>
      </c>
      <c r="HS62" s="7" t="s">
        <v>1002</v>
      </c>
      <c r="HT62" s="7" t="s">
        <v>1003</v>
      </c>
      <c r="HU62" s="7" t="s">
        <v>1004</v>
      </c>
      <c r="HV62" s="7" t="s">
        <v>1005</v>
      </c>
      <c r="HW62" s="7" t="s">
        <v>282</v>
      </c>
      <c r="HX62" s="7" t="s">
        <v>282</v>
      </c>
      <c r="HY62" s="7" t="s">
        <v>312</v>
      </c>
      <c r="HZ62" s="7" t="s">
        <v>356</v>
      </c>
      <c r="IA62" s="7" t="s">
        <v>313</v>
      </c>
      <c r="IB62" s="7" t="s">
        <v>282</v>
      </c>
      <c r="IC62" s="7" t="s">
        <v>282</v>
      </c>
    </row>
    <row r="63" spans="1:237" x14ac:dyDescent="0.2">
      <c r="A63" s="6">
        <v>45749.011087962965</v>
      </c>
      <c r="B63" s="6">
        <v>45749.030104166668</v>
      </c>
      <c r="C63" s="7" t="s">
        <v>240</v>
      </c>
      <c r="D63" s="7" t="s">
        <v>1006</v>
      </c>
      <c r="E63">
        <v>100</v>
      </c>
      <c r="F63">
        <v>1642</v>
      </c>
      <c r="G63" s="7" t="s">
        <v>280</v>
      </c>
      <c r="H63" s="6">
        <v>45749.030116215275</v>
      </c>
      <c r="I63" s="7" t="s">
        <v>1007</v>
      </c>
      <c r="J63" s="7" t="s">
        <v>282</v>
      </c>
      <c r="K63" s="7" t="s">
        <v>282</v>
      </c>
      <c r="L63" s="7" t="s">
        <v>282</v>
      </c>
      <c r="M63" s="7" t="s">
        <v>282</v>
      </c>
      <c r="N63">
        <v>49.817900000000002</v>
      </c>
      <c r="O63">
        <v>-97.153499999999994</v>
      </c>
      <c r="P63" s="7" t="s">
        <v>283</v>
      </c>
      <c r="Q63" s="7" t="s">
        <v>284</v>
      </c>
      <c r="R63">
        <v>0.89999997615814209</v>
      </c>
      <c r="S63" s="7" t="s">
        <v>285</v>
      </c>
      <c r="T63" s="7" t="s">
        <v>285</v>
      </c>
      <c r="U63" s="7" t="s">
        <v>285</v>
      </c>
      <c r="V63" s="7" t="s">
        <v>285</v>
      </c>
      <c r="W63" s="7" t="s">
        <v>387</v>
      </c>
      <c r="X63" s="7" t="s">
        <v>287</v>
      </c>
      <c r="Y63" s="7" t="s">
        <v>288</v>
      </c>
      <c r="Z63" s="7" t="s">
        <v>290</v>
      </c>
      <c r="AA63" s="7" t="s">
        <v>289</v>
      </c>
      <c r="AB63" s="7" t="s">
        <v>289</v>
      </c>
      <c r="AC63" s="7" t="s">
        <v>291</v>
      </c>
      <c r="AD63" s="7" t="s">
        <v>294</v>
      </c>
      <c r="AE63">
        <v>9.67</v>
      </c>
      <c r="AF63">
        <v>18.321000000000002</v>
      </c>
      <c r="AG63">
        <v>19.757999999999999</v>
      </c>
      <c r="AH63">
        <v>7</v>
      </c>
      <c r="AI63" s="7" t="s">
        <v>299</v>
      </c>
      <c r="AJ63" s="7" t="s">
        <v>296</v>
      </c>
      <c r="AK63">
        <v>14.753</v>
      </c>
      <c r="AL63">
        <v>19.638000000000002</v>
      </c>
      <c r="AM63">
        <v>20.625</v>
      </c>
      <c r="AN63">
        <v>5</v>
      </c>
      <c r="AO63" s="7" t="s">
        <v>293</v>
      </c>
      <c r="AP63" s="7" t="s">
        <v>292</v>
      </c>
      <c r="AQ63">
        <v>17.451000000000001</v>
      </c>
      <c r="AR63">
        <v>42.735999999999997</v>
      </c>
      <c r="AS63">
        <v>44.121000000000002</v>
      </c>
      <c r="AT63">
        <v>8</v>
      </c>
      <c r="AU63" s="7" t="s">
        <v>293</v>
      </c>
      <c r="AV63" s="7" t="s">
        <v>296</v>
      </c>
      <c r="AW63">
        <v>22.064</v>
      </c>
      <c r="AX63">
        <v>34.859000000000002</v>
      </c>
      <c r="AY63">
        <v>36.03</v>
      </c>
      <c r="AZ63">
        <v>8</v>
      </c>
      <c r="BA63" s="7" t="s">
        <v>298</v>
      </c>
      <c r="BB63" s="7" t="s">
        <v>296</v>
      </c>
      <c r="BC63">
        <v>18.991</v>
      </c>
      <c r="BD63">
        <v>26.309000000000001</v>
      </c>
      <c r="BE63">
        <v>27.021000000000001</v>
      </c>
      <c r="BF63">
        <v>6</v>
      </c>
      <c r="BG63" s="7" t="s">
        <v>291</v>
      </c>
      <c r="BH63" s="7" t="s">
        <v>296</v>
      </c>
      <c r="BI63">
        <v>17.204999999999998</v>
      </c>
      <c r="BJ63">
        <v>25.721</v>
      </c>
      <c r="BK63">
        <v>27.001999999999999</v>
      </c>
      <c r="BL63">
        <v>7</v>
      </c>
      <c r="BM63" s="7" t="s">
        <v>299</v>
      </c>
      <c r="BN63" s="7" t="s">
        <v>294</v>
      </c>
      <c r="BO63">
        <v>11.332000000000001</v>
      </c>
      <c r="BP63">
        <v>18.411999999999999</v>
      </c>
      <c r="BQ63">
        <v>19.402999999999999</v>
      </c>
      <c r="BR63">
        <v>6</v>
      </c>
      <c r="BS63" s="7" t="s">
        <v>291</v>
      </c>
      <c r="BT63" s="7" t="s">
        <v>294</v>
      </c>
      <c r="BU63">
        <v>9.7140000000000004</v>
      </c>
      <c r="BV63">
        <v>14.763</v>
      </c>
      <c r="BW63">
        <v>15.461</v>
      </c>
      <c r="BX63">
        <v>5</v>
      </c>
      <c r="BY63" s="7" t="s">
        <v>293</v>
      </c>
      <c r="BZ63" s="7" t="s">
        <v>296</v>
      </c>
      <c r="CA63">
        <v>21.184000000000001</v>
      </c>
      <c r="CB63">
        <v>34.204999999999998</v>
      </c>
      <c r="CC63">
        <v>35.353000000000002</v>
      </c>
      <c r="CD63">
        <v>7</v>
      </c>
      <c r="CE63" s="7" t="s">
        <v>299</v>
      </c>
      <c r="CF63" s="7" t="s">
        <v>297</v>
      </c>
      <c r="CG63">
        <v>31.934000000000001</v>
      </c>
      <c r="CH63">
        <v>39.363999999999997</v>
      </c>
      <c r="CI63">
        <v>39.938000000000002</v>
      </c>
      <c r="CJ63">
        <v>6</v>
      </c>
      <c r="CK63" s="7" t="s">
        <v>291</v>
      </c>
      <c r="CL63" s="7" t="s">
        <v>292</v>
      </c>
      <c r="CM63">
        <v>22.545999999999999</v>
      </c>
      <c r="CN63">
        <v>25.896999999999998</v>
      </c>
      <c r="CO63">
        <v>26.53</v>
      </c>
      <c r="CP63">
        <v>4</v>
      </c>
      <c r="CQ63" s="7" t="s">
        <v>299</v>
      </c>
      <c r="CR63" s="7" t="s">
        <v>294</v>
      </c>
      <c r="CS63">
        <v>12.316000000000001</v>
      </c>
      <c r="CT63">
        <v>17.117999999999999</v>
      </c>
      <c r="CU63">
        <v>18.030999999999999</v>
      </c>
      <c r="CV63">
        <v>5</v>
      </c>
      <c r="CW63" s="7" t="s">
        <v>291</v>
      </c>
      <c r="CX63" s="7" t="s">
        <v>294</v>
      </c>
      <c r="CY63">
        <v>18.68</v>
      </c>
      <c r="CZ63">
        <v>22.312999999999999</v>
      </c>
      <c r="DA63">
        <v>23.183</v>
      </c>
      <c r="DB63">
        <v>3</v>
      </c>
      <c r="DC63" s="7" t="s">
        <v>295</v>
      </c>
      <c r="DD63" s="7" t="s">
        <v>294</v>
      </c>
      <c r="DE63">
        <v>11.478</v>
      </c>
      <c r="DF63">
        <v>16.311</v>
      </c>
      <c r="DG63">
        <v>17.170999999999999</v>
      </c>
      <c r="DH63">
        <v>6</v>
      </c>
      <c r="DI63" s="7" t="s">
        <v>291</v>
      </c>
      <c r="DJ63" s="7" t="s">
        <v>294</v>
      </c>
      <c r="DK63">
        <v>20.890999999999998</v>
      </c>
      <c r="DL63">
        <v>26.395</v>
      </c>
      <c r="DM63">
        <v>27.382000000000001</v>
      </c>
      <c r="DN63">
        <v>5</v>
      </c>
      <c r="DO63" s="7" t="s">
        <v>291</v>
      </c>
      <c r="DP63" s="7" t="s">
        <v>292</v>
      </c>
      <c r="DQ63">
        <v>17.702000000000002</v>
      </c>
      <c r="DR63">
        <v>43.198</v>
      </c>
      <c r="DS63">
        <v>44.256999999999998</v>
      </c>
      <c r="DT63">
        <v>9</v>
      </c>
      <c r="DU63" s="7" t="s">
        <v>299</v>
      </c>
      <c r="DV63" s="7" t="s">
        <v>296</v>
      </c>
      <c r="DW63">
        <v>14.098000000000001</v>
      </c>
      <c r="DX63">
        <v>19.219000000000001</v>
      </c>
      <c r="DY63">
        <v>23.994</v>
      </c>
      <c r="DZ63">
        <v>6</v>
      </c>
      <c r="EA63" s="7" t="s">
        <v>299</v>
      </c>
      <c r="EB63" s="7" t="s">
        <v>292</v>
      </c>
      <c r="EC63">
        <v>29.463999999999999</v>
      </c>
      <c r="ED63">
        <v>67.641000000000005</v>
      </c>
      <c r="EE63">
        <v>70.370999999999995</v>
      </c>
      <c r="EF63">
        <v>13</v>
      </c>
      <c r="EG63" s="7" t="s">
        <v>295</v>
      </c>
      <c r="EH63" s="7" t="s">
        <v>294</v>
      </c>
      <c r="EI63">
        <v>17.907</v>
      </c>
      <c r="EJ63">
        <v>20.356000000000002</v>
      </c>
      <c r="EK63">
        <v>21.315999999999999</v>
      </c>
      <c r="EL63">
        <v>3</v>
      </c>
      <c r="EM63" s="7" t="s">
        <v>298</v>
      </c>
      <c r="EN63" s="7" t="s">
        <v>294</v>
      </c>
      <c r="EO63">
        <v>24.114999999999998</v>
      </c>
      <c r="EP63">
        <v>26.681999999999999</v>
      </c>
      <c r="EQ63">
        <v>27.588999999999999</v>
      </c>
      <c r="ER63">
        <v>4</v>
      </c>
      <c r="ES63" s="7" t="s">
        <v>291</v>
      </c>
      <c r="ET63" s="7" t="s">
        <v>294</v>
      </c>
      <c r="EU63">
        <v>13.583</v>
      </c>
      <c r="EV63">
        <v>16.957000000000001</v>
      </c>
      <c r="EW63">
        <v>17.827999999999999</v>
      </c>
      <c r="EX63">
        <v>4</v>
      </c>
      <c r="EY63" s="7" t="s">
        <v>300</v>
      </c>
      <c r="EZ63" s="7" t="s">
        <v>294</v>
      </c>
      <c r="FA63">
        <v>8.0310000000000006</v>
      </c>
      <c r="FB63">
        <v>12.846</v>
      </c>
      <c r="FC63">
        <v>13.278</v>
      </c>
      <c r="FD63">
        <v>6</v>
      </c>
      <c r="FE63" s="7" t="s">
        <v>301</v>
      </c>
      <c r="FF63" s="7" t="s">
        <v>294</v>
      </c>
      <c r="FG63">
        <v>9.3840000000000003</v>
      </c>
      <c r="FH63">
        <v>13.414999999999999</v>
      </c>
      <c r="FI63">
        <v>14.218999999999999</v>
      </c>
      <c r="FJ63">
        <v>5</v>
      </c>
      <c r="FK63" s="7" t="s">
        <v>291</v>
      </c>
      <c r="FL63" s="7" t="s">
        <v>294</v>
      </c>
      <c r="FM63">
        <v>15.385999999999999</v>
      </c>
      <c r="FN63">
        <v>19.431999999999999</v>
      </c>
      <c r="FO63">
        <v>20.111999999999998</v>
      </c>
      <c r="FP63">
        <v>5</v>
      </c>
      <c r="FQ63" s="7" t="s">
        <v>300</v>
      </c>
      <c r="FR63" s="7" t="s">
        <v>294</v>
      </c>
      <c r="FS63">
        <v>14.532</v>
      </c>
      <c r="FT63">
        <v>19.506</v>
      </c>
      <c r="FU63">
        <v>20.323</v>
      </c>
      <c r="FV63">
        <v>5</v>
      </c>
      <c r="FW63" s="7" t="s">
        <v>301</v>
      </c>
      <c r="FX63" s="7" t="s">
        <v>294</v>
      </c>
      <c r="FY63">
        <v>8.42</v>
      </c>
      <c r="FZ63">
        <v>23.64</v>
      </c>
      <c r="GA63">
        <v>26.22</v>
      </c>
      <c r="GB63">
        <v>7</v>
      </c>
      <c r="GC63" s="7" t="s">
        <v>291</v>
      </c>
      <c r="GD63" s="7" t="s">
        <v>294</v>
      </c>
      <c r="GE63">
        <v>15.648999999999999</v>
      </c>
      <c r="GF63">
        <v>21.135999999999999</v>
      </c>
      <c r="GG63">
        <v>21.89</v>
      </c>
      <c r="GH63">
        <v>5</v>
      </c>
      <c r="GI63" s="7" t="s">
        <v>282</v>
      </c>
      <c r="GJ63" s="7" t="s">
        <v>294</v>
      </c>
      <c r="GK63">
        <v>7.3730000000000002</v>
      </c>
      <c r="GL63">
        <v>18.806999999999999</v>
      </c>
      <c r="GM63">
        <v>19.550999999999998</v>
      </c>
      <c r="GN63">
        <v>6</v>
      </c>
      <c r="GO63" s="7" t="s">
        <v>300</v>
      </c>
      <c r="GP63" s="7" t="s">
        <v>294</v>
      </c>
      <c r="GQ63">
        <v>14.874000000000001</v>
      </c>
      <c r="GR63">
        <v>30.623999999999999</v>
      </c>
      <c r="GS63">
        <v>31.658999999999999</v>
      </c>
      <c r="GT63">
        <v>5</v>
      </c>
      <c r="GU63" s="7" t="s">
        <v>291</v>
      </c>
      <c r="GV63" s="7" t="s">
        <v>294</v>
      </c>
      <c r="GW63">
        <v>9.4130000000000003</v>
      </c>
      <c r="GX63">
        <v>15.404</v>
      </c>
      <c r="GY63">
        <v>15.909000000000001</v>
      </c>
      <c r="GZ63">
        <v>6</v>
      </c>
      <c r="HA63" s="7" t="s">
        <v>300</v>
      </c>
      <c r="HB63" s="7" t="s">
        <v>294</v>
      </c>
      <c r="HC63">
        <v>8.7579999999999991</v>
      </c>
      <c r="HD63">
        <v>13.26</v>
      </c>
      <c r="HE63">
        <v>14.029</v>
      </c>
      <c r="HF63">
        <v>6</v>
      </c>
      <c r="HG63" s="7" t="s">
        <v>282</v>
      </c>
      <c r="HH63" s="7" t="s">
        <v>294</v>
      </c>
      <c r="HI63">
        <v>24.544</v>
      </c>
      <c r="HJ63">
        <v>27.646999999999998</v>
      </c>
      <c r="HK63">
        <v>28.401</v>
      </c>
      <c r="HL63">
        <v>4</v>
      </c>
      <c r="HM63" s="7" t="s">
        <v>1008</v>
      </c>
      <c r="HN63" s="7" t="s">
        <v>592</v>
      </c>
      <c r="HO63" s="7" t="s">
        <v>1009</v>
      </c>
      <c r="HP63" s="7" t="s">
        <v>1010</v>
      </c>
      <c r="HQ63" s="7" t="s">
        <v>1011</v>
      </c>
      <c r="HR63" s="7" t="s">
        <v>592</v>
      </c>
      <c r="HS63" s="7" t="s">
        <v>1012</v>
      </c>
      <c r="HT63" s="7" t="s">
        <v>1013</v>
      </c>
      <c r="HU63" s="7" t="s">
        <v>1014</v>
      </c>
      <c r="HV63" s="7" t="s">
        <v>1015</v>
      </c>
      <c r="HW63" s="7" t="s">
        <v>1016</v>
      </c>
      <c r="HX63" s="7" t="s">
        <v>282</v>
      </c>
      <c r="HY63" s="7" t="s">
        <v>312</v>
      </c>
      <c r="HZ63" s="7" t="s">
        <v>372</v>
      </c>
      <c r="IA63" s="7" t="s">
        <v>325</v>
      </c>
      <c r="IB63" s="7" t="s">
        <v>282</v>
      </c>
      <c r="IC63" s="7" t="s">
        <v>282</v>
      </c>
    </row>
    <row r="64" spans="1:237" x14ac:dyDescent="0.2">
      <c r="A64" s="6">
        <v>45749.118842592594</v>
      </c>
      <c r="B64" s="6">
        <v>45749.133425925924</v>
      </c>
      <c r="C64" s="7" t="s">
        <v>240</v>
      </c>
      <c r="D64" s="7" t="s">
        <v>1017</v>
      </c>
      <c r="E64">
        <v>100</v>
      </c>
      <c r="F64">
        <v>1259</v>
      </c>
      <c r="G64" s="7" t="s">
        <v>280</v>
      </c>
      <c r="H64" s="6">
        <v>45749.133445381944</v>
      </c>
      <c r="I64" s="7" t="s">
        <v>1018</v>
      </c>
      <c r="J64" s="7" t="s">
        <v>282</v>
      </c>
      <c r="K64" s="7" t="s">
        <v>282</v>
      </c>
      <c r="L64" s="7" t="s">
        <v>282</v>
      </c>
      <c r="M64" s="7" t="s">
        <v>282</v>
      </c>
      <c r="N64">
        <v>53.518500000000003</v>
      </c>
      <c r="O64">
        <v>-113.6579</v>
      </c>
      <c r="P64" s="7" t="s">
        <v>283</v>
      </c>
      <c r="Q64" s="7" t="s">
        <v>284</v>
      </c>
      <c r="R64">
        <v>1</v>
      </c>
      <c r="S64" s="7" t="s">
        <v>285</v>
      </c>
      <c r="T64" s="7" t="s">
        <v>285</v>
      </c>
      <c r="U64" s="7" t="s">
        <v>285</v>
      </c>
      <c r="V64" s="7" t="s">
        <v>285</v>
      </c>
      <c r="W64" s="7" t="s">
        <v>1019</v>
      </c>
      <c r="X64" s="7" t="s">
        <v>1020</v>
      </c>
      <c r="Y64" s="7" t="s">
        <v>288</v>
      </c>
      <c r="Z64" s="7" t="s">
        <v>317</v>
      </c>
      <c r="AA64" s="7" t="s">
        <v>288</v>
      </c>
      <c r="AB64" s="7" t="s">
        <v>288</v>
      </c>
      <c r="AC64" s="7" t="s">
        <v>298</v>
      </c>
      <c r="AD64" s="7" t="s">
        <v>292</v>
      </c>
      <c r="AE64">
        <v>8.8490000000000002</v>
      </c>
      <c r="AF64">
        <v>12.92</v>
      </c>
      <c r="AG64">
        <v>13.202</v>
      </c>
      <c r="AH64">
        <v>8</v>
      </c>
      <c r="AI64" s="7" t="s">
        <v>299</v>
      </c>
      <c r="AJ64" s="7" t="s">
        <v>296</v>
      </c>
      <c r="AK64">
        <v>6.218</v>
      </c>
      <c r="AL64">
        <v>10.289</v>
      </c>
      <c r="AM64">
        <v>10.676</v>
      </c>
      <c r="AN64">
        <v>6</v>
      </c>
      <c r="AO64" s="7" t="s">
        <v>293</v>
      </c>
      <c r="AP64" s="7" t="s">
        <v>296</v>
      </c>
      <c r="AQ64">
        <v>8.4019999999999992</v>
      </c>
      <c r="AR64">
        <v>21.332999999999998</v>
      </c>
      <c r="AS64">
        <v>21.779</v>
      </c>
      <c r="AT64">
        <v>14</v>
      </c>
      <c r="AU64" s="7" t="s">
        <v>295</v>
      </c>
      <c r="AV64" s="7" t="s">
        <v>296</v>
      </c>
      <c r="AW64">
        <v>6.2640000000000002</v>
      </c>
      <c r="AX64">
        <v>11.234999999999999</v>
      </c>
      <c r="AY64">
        <v>12.852</v>
      </c>
      <c r="AZ64">
        <v>10</v>
      </c>
      <c r="BA64" s="7" t="s">
        <v>295</v>
      </c>
      <c r="BB64" s="7" t="s">
        <v>296</v>
      </c>
      <c r="BC64">
        <v>11.436999999999999</v>
      </c>
      <c r="BD64">
        <v>16.135000000000002</v>
      </c>
      <c r="BE64">
        <v>16.623000000000001</v>
      </c>
      <c r="BF64">
        <v>8</v>
      </c>
      <c r="BG64" s="7" t="s">
        <v>291</v>
      </c>
      <c r="BH64" s="7" t="s">
        <v>296</v>
      </c>
      <c r="BI64">
        <v>14.425000000000001</v>
      </c>
      <c r="BJ64">
        <v>18.094999999999999</v>
      </c>
      <c r="BK64">
        <v>18.620999999999999</v>
      </c>
      <c r="BL64">
        <v>9</v>
      </c>
      <c r="BM64" s="7" t="s">
        <v>293</v>
      </c>
      <c r="BN64" s="7" t="s">
        <v>296</v>
      </c>
      <c r="BO64">
        <v>9.1170000000000009</v>
      </c>
      <c r="BP64">
        <v>12.551</v>
      </c>
      <c r="BQ64">
        <v>12.964</v>
      </c>
      <c r="BR64">
        <v>7</v>
      </c>
      <c r="BS64" s="7" t="s">
        <v>291</v>
      </c>
      <c r="BT64" s="7" t="s">
        <v>296</v>
      </c>
      <c r="BU64">
        <v>24.609000000000002</v>
      </c>
      <c r="BV64">
        <v>27.638000000000002</v>
      </c>
      <c r="BW64">
        <v>28.7</v>
      </c>
      <c r="BX64">
        <v>6</v>
      </c>
      <c r="BY64" s="7" t="s">
        <v>298</v>
      </c>
      <c r="BZ64" s="7" t="s">
        <v>292</v>
      </c>
      <c r="CA64">
        <v>5.9489999999999998</v>
      </c>
      <c r="CB64">
        <v>10.971</v>
      </c>
      <c r="CC64">
        <v>11.375</v>
      </c>
      <c r="CD64">
        <v>9</v>
      </c>
      <c r="CE64" s="7" t="s">
        <v>298</v>
      </c>
      <c r="CF64" s="7" t="s">
        <v>296</v>
      </c>
      <c r="CG64">
        <v>20.329999999999998</v>
      </c>
      <c r="CH64">
        <v>23.683</v>
      </c>
      <c r="CI64">
        <v>24.029</v>
      </c>
      <c r="CJ64">
        <v>8</v>
      </c>
      <c r="CK64" s="7" t="s">
        <v>291</v>
      </c>
      <c r="CL64" s="7" t="s">
        <v>296</v>
      </c>
      <c r="CM64">
        <v>7.1749999999999998</v>
      </c>
      <c r="CN64">
        <v>9.2200000000000006</v>
      </c>
      <c r="CO64">
        <v>9.4979999999999993</v>
      </c>
      <c r="CP64">
        <v>6</v>
      </c>
      <c r="CQ64" s="7" t="s">
        <v>293</v>
      </c>
      <c r="CR64" s="7" t="s">
        <v>297</v>
      </c>
      <c r="CS64">
        <v>7.6829999999999998</v>
      </c>
      <c r="CT64">
        <v>12.653</v>
      </c>
      <c r="CU64">
        <v>13.157</v>
      </c>
      <c r="CV64">
        <v>8</v>
      </c>
      <c r="CW64" s="7" t="s">
        <v>291</v>
      </c>
      <c r="CX64" s="7" t="s">
        <v>296</v>
      </c>
      <c r="CY64">
        <v>7.3970000000000002</v>
      </c>
      <c r="CZ64">
        <v>11.702</v>
      </c>
      <c r="DA64">
        <v>12.590999999999999</v>
      </c>
      <c r="DB64">
        <v>10</v>
      </c>
      <c r="DC64" s="7" t="s">
        <v>298</v>
      </c>
      <c r="DD64" s="7" t="s">
        <v>296</v>
      </c>
      <c r="DE64">
        <v>7.819</v>
      </c>
      <c r="DF64">
        <v>13.952</v>
      </c>
      <c r="DG64">
        <v>14.288</v>
      </c>
      <c r="DH64">
        <v>12</v>
      </c>
      <c r="DI64" s="7" t="s">
        <v>298</v>
      </c>
      <c r="DJ64" s="7" t="s">
        <v>296</v>
      </c>
      <c r="DK64">
        <v>8.42</v>
      </c>
      <c r="DL64">
        <v>17.963999999999999</v>
      </c>
      <c r="DM64">
        <v>18.460999999999999</v>
      </c>
      <c r="DN64">
        <v>8</v>
      </c>
      <c r="DO64" s="7" t="s">
        <v>291</v>
      </c>
      <c r="DP64" s="7" t="s">
        <v>292</v>
      </c>
      <c r="DQ64">
        <v>24.161000000000001</v>
      </c>
      <c r="DR64">
        <v>27.916</v>
      </c>
      <c r="DS64">
        <v>28.43</v>
      </c>
      <c r="DT64">
        <v>8</v>
      </c>
      <c r="DU64" s="7" t="s">
        <v>299</v>
      </c>
      <c r="DV64" s="7" t="s">
        <v>292</v>
      </c>
      <c r="DW64">
        <v>6.2949999999999999</v>
      </c>
      <c r="DX64">
        <v>10.307</v>
      </c>
      <c r="DY64">
        <v>10.585000000000001</v>
      </c>
      <c r="DZ64">
        <v>8</v>
      </c>
      <c r="EA64" s="7" t="s">
        <v>291</v>
      </c>
      <c r="EB64" s="7" t="s">
        <v>292</v>
      </c>
      <c r="EC64">
        <v>17.893999999999998</v>
      </c>
      <c r="ED64">
        <v>21.866</v>
      </c>
      <c r="EE64">
        <v>22.346</v>
      </c>
      <c r="EF64">
        <v>9</v>
      </c>
      <c r="EG64" s="7" t="s">
        <v>295</v>
      </c>
      <c r="EH64" s="7" t="s">
        <v>296</v>
      </c>
      <c r="EI64">
        <v>8.7330000000000005</v>
      </c>
      <c r="EJ64">
        <v>17.402000000000001</v>
      </c>
      <c r="EK64">
        <v>17.716999999999999</v>
      </c>
      <c r="EL64">
        <v>11</v>
      </c>
      <c r="EM64" s="7" t="s">
        <v>298</v>
      </c>
      <c r="EN64" s="7" t="s">
        <v>292</v>
      </c>
      <c r="EO64">
        <v>7.7670000000000003</v>
      </c>
      <c r="EP64">
        <v>15.692</v>
      </c>
      <c r="EQ64">
        <v>15.984999999999999</v>
      </c>
      <c r="ER64">
        <v>10</v>
      </c>
      <c r="ES64" s="7" t="s">
        <v>291</v>
      </c>
      <c r="ET64" s="7" t="s">
        <v>292</v>
      </c>
      <c r="EU64">
        <v>20.567</v>
      </c>
      <c r="EV64">
        <v>26.99</v>
      </c>
      <c r="EW64">
        <v>27.335999999999999</v>
      </c>
      <c r="EX64">
        <v>8</v>
      </c>
      <c r="EY64" s="7" t="s">
        <v>300</v>
      </c>
      <c r="EZ64" s="7" t="s">
        <v>296</v>
      </c>
      <c r="FA64">
        <v>24.538</v>
      </c>
      <c r="FB64">
        <v>37.970999999999997</v>
      </c>
      <c r="FC64">
        <v>38.427999999999997</v>
      </c>
      <c r="FD64">
        <v>11</v>
      </c>
      <c r="FE64" s="7" t="s">
        <v>301</v>
      </c>
      <c r="FF64" s="7" t="s">
        <v>294</v>
      </c>
      <c r="FG64">
        <v>9.952</v>
      </c>
      <c r="FH64">
        <v>14.282999999999999</v>
      </c>
      <c r="FI64">
        <v>14.5</v>
      </c>
      <c r="FJ64">
        <v>8</v>
      </c>
      <c r="FK64" s="7" t="s">
        <v>291</v>
      </c>
      <c r="FL64" s="7" t="s">
        <v>294</v>
      </c>
      <c r="FM64">
        <v>8.4250000000000007</v>
      </c>
      <c r="FN64">
        <v>12.295</v>
      </c>
      <c r="FO64">
        <v>12.608000000000001</v>
      </c>
      <c r="FP64">
        <v>9</v>
      </c>
      <c r="FQ64" s="7" t="s">
        <v>300</v>
      </c>
      <c r="FR64" s="7" t="s">
        <v>292</v>
      </c>
      <c r="FS64">
        <v>8.6449999999999996</v>
      </c>
      <c r="FT64">
        <v>17.954999999999998</v>
      </c>
      <c r="FU64">
        <v>18.321000000000002</v>
      </c>
      <c r="FV64">
        <v>14</v>
      </c>
      <c r="FW64" s="7" t="s">
        <v>301</v>
      </c>
      <c r="FX64" s="7" t="s">
        <v>294</v>
      </c>
      <c r="FY64">
        <v>9.8379999999999992</v>
      </c>
      <c r="FZ64">
        <v>14.475</v>
      </c>
      <c r="GA64">
        <v>14.901</v>
      </c>
      <c r="GB64">
        <v>10</v>
      </c>
      <c r="GC64" s="7" t="s">
        <v>291</v>
      </c>
      <c r="GD64" s="7" t="s">
        <v>292</v>
      </c>
      <c r="GE64">
        <v>9.93</v>
      </c>
      <c r="GF64">
        <v>22.577999999999999</v>
      </c>
      <c r="GG64">
        <v>22.891999999999999</v>
      </c>
      <c r="GH64">
        <v>15</v>
      </c>
      <c r="GI64" s="7" t="s">
        <v>300</v>
      </c>
      <c r="GJ64" s="7" t="s">
        <v>292</v>
      </c>
      <c r="GK64">
        <v>8.0370000000000008</v>
      </c>
      <c r="GL64">
        <v>16.312000000000001</v>
      </c>
      <c r="GM64">
        <v>16.635000000000002</v>
      </c>
      <c r="GN64">
        <v>14</v>
      </c>
      <c r="GO64" s="7" t="s">
        <v>301</v>
      </c>
      <c r="GP64" s="7" t="s">
        <v>294</v>
      </c>
      <c r="GQ64">
        <v>11.092000000000001</v>
      </c>
      <c r="GR64">
        <v>18.899999999999999</v>
      </c>
      <c r="GS64">
        <v>19.390999999999998</v>
      </c>
      <c r="GT64">
        <v>11</v>
      </c>
      <c r="GU64" s="7" t="s">
        <v>291</v>
      </c>
      <c r="GV64" s="7" t="s">
        <v>296</v>
      </c>
      <c r="GW64">
        <v>22.140999999999998</v>
      </c>
      <c r="GX64">
        <v>27.462</v>
      </c>
      <c r="GY64">
        <v>27.890999999999998</v>
      </c>
      <c r="GZ64">
        <v>8</v>
      </c>
      <c r="HA64" s="7" t="s">
        <v>300</v>
      </c>
      <c r="HB64" s="7" t="s">
        <v>294</v>
      </c>
      <c r="HC64">
        <v>7.8529999999999998</v>
      </c>
      <c r="HD64">
        <v>12.382</v>
      </c>
      <c r="HE64">
        <v>12.6</v>
      </c>
      <c r="HF64">
        <v>7</v>
      </c>
      <c r="HG64" s="7" t="s">
        <v>301</v>
      </c>
      <c r="HH64" s="7" t="s">
        <v>292</v>
      </c>
      <c r="HI64">
        <v>27.931000000000001</v>
      </c>
      <c r="HJ64">
        <v>46.951999999999998</v>
      </c>
      <c r="HK64">
        <v>48.243000000000002</v>
      </c>
      <c r="HL64">
        <v>16</v>
      </c>
      <c r="HM64" s="7" t="s">
        <v>1021</v>
      </c>
      <c r="HN64" s="7" t="s">
        <v>1022</v>
      </c>
      <c r="HO64" s="7" t="s">
        <v>1023</v>
      </c>
      <c r="HP64" s="7" t="s">
        <v>1024</v>
      </c>
      <c r="HQ64" s="7" t="s">
        <v>1025</v>
      </c>
      <c r="HR64" s="7" t="s">
        <v>1026</v>
      </c>
      <c r="HS64" s="7" t="s">
        <v>1027</v>
      </c>
      <c r="HT64" s="7" t="s">
        <v>1028</v>
      </c>
      <c r="HU64" s="7" t="s">
        <v>1029</v>
      </c>
      <c r="HV64" s="7" t="s">
        <v>1030</v>
      </c>
      <c r="HW64" s="7" t="s">
        <v>282</v>
      </c>
      <c r="HX64" s="7" t="s">
        <v>282</v>
      </c>
      <c r="HY64" s="7" t="s">
        <v>312</v>
      </c>
      <c r="HZ64" s="7" t="s">
        <v>356</v>
      </c>
      <c r="IA64" s="7" t="s">
        <v>313</v>
      </c>
      <c r="IB64" s="7" t="s">
        <v>282</v>
      </c>
      <c r="IC64" s="7" t="s">
        <v>282</v>
      </c>
    </row>
    <row r="65" spans="1:237" x14ac:dyDescent="0.2">
      <c r="A65" s="6">
        <v>45749.118842592594</v>
      </c>
      <c r="B65" s="6">
        <v>45749.139791666668</v>
      </c>
      <c r="C65" s="7" t="s">
        <v>240</v>
      </c>
      <c r="D65" s="7" t="s">
        <v>1031</v>
      </c>
      <c r="E65">
        <v>100</v>
      </c>
      <c r="F65">
        <v>1809</v>
      </c>
      <c r="G65" s="7" t="s">
        <v>280</v>
      </c>
      <c r="H65" s="6">
        <v>45749.139803206017</v>
      </c>
      <c r="I65" s="7" t="s">
        <v>1032</v>
      </c>
      <c r="J65" s="7" t="s">
        <v>282</v>
      </c>
      <c r="K65" s="7" t="s">
        <v>282</v>
      </c>
      <c r="L65" s="7" t="s">
        <v>282</v>
      </c>
      <c r="M65" s="7" t="s">
        <v>282</v>
      </c>
      <c r="N65">
        <v>49.884</v>
      </c>
      <c r="O65">
        <v>-97.128799999999998</v>
      </c>
      <c r="P65" s="7" t="s">
        <v>283</v>
      </c>
      <c r="Q65" s="7" t="s">
        <v>284</v>
      </c>
      <c r="R65">
        <v>0.80000001192092896</v>
      </c>
      <c r="S65" s="7" t="s">
        <v>285</v>
      </c>
      <c r="T65" s="7" t="s">
        <v>285</v>
      </c>
      <c r="U65" s="7" t="s">
        <v>285</v>
      </c>
      <c r="V65" s="7" t="s">
        <v>285</v>
      </c>
      <c r="W65" s="7" t="s">
        <v>544</v>
      </c>
      <c r="X65" s="7" t="s">
        <v>375</v>
      </c>
      <c r="Y65" s="7" t="s">
        <v>288</v>
      </c>
      <c r="Z65" s="7" t="s">
        <v>289</v>
      </c>
      <c r="AA65" s="7" t="s">
        <v>289</v>
      </c>
      <c r="AB65" s="7" t="s">
        <v>289</v>
      </c>
      <c r="AC65" s="7" t="s">
        <v>298</v>
      </c>
      <c r="AD65" s="7" t="s">
        <v>294</v>
      </c>
      <c r="AE65">
        <v>20.696000000000002</v>
      </c>
      <c r="AF65">
        <v>34.234999999999999</v>
      </c>
      <c r="AG65">
        <v>34.988999999999997</v>
      </c>
      <c r="AH65">
        <v>5</v>
      </c>
      <c r="AI65" s="7" t="s">
        <v>293</v>
      </c>
      <c r="AJ65" s="7" t="s">
        <v>296</v>
      </c>
      <c r="AK65">
        <v>18.13</v>
      </c>
      <c r="AL65">
        <v>23.463000000000001</v>
      </c>
      <c r="AM65">
        <v>24.701000000000001</v>
      </c>
      <c r="AN65">
        <v>6</v>
      </c>
      <c r="AO65" s="7" t="s">
        <v>282</v>
      </c>
      <c r="AP65" s="7" t="s">
        <v>294</v>
      </c>
      <c r="AQ65">
        <v>12.609</v>
      </c>
      <c r="AR65">
        <v>24.369</v>
      </c>
      <c r="AS65">
        <v>25.866</v>
      </c>
      <c r="AT65">
        <v>7</v>
      </c>
      <c r="AU65" s="7" t="s">
        <v>298</v>
      </c>
      <c r="AV65" s="7" t="s">
        <v>296</v>
      </c>
      <c r="AW65">
        <v>12.874000000000001</v>
      </c>
      <c r="AX65">
        <v>24.966999999999999</v>
      </c>
      <c r="AY65">
        <v>25.797000000000001</v>
      </c>
      <c r="AZ65">
        <v>7</v>
      </c>
      <c r="BA65" s="7" t="s">
        <v>298</v>
      </c>
      <c r="BB65" s="7" t="s">
        <v>292</v>
      </c>
      <c r="BC65">
        <v>27.026</v>
      </c>
      <c r="BD65">
        <v>62.189</v>
      </c>
      <c r="BE65">
        <v>63.381</v>
      </c>
      <c r="BF65">
        <v>5</v>
      </c>
      <c r="BG65" s="7" t="s">
        <v>298</v>
      </c>
      <c r="BH65" s="7" t="s">
        <v>292</v>
      </c>
      <c r="BI65">
        <v>38.988</v>
      </c>
      <c r="BJ65">
        <v>46.679000000000002</v>
      </c>
      <c r="BK65">
        <v>47.994</v>
      </c>
      <c r="BL65">
        <v>5</v>
      </c>
      <c r="BM65" s="7" t="s">
        <v>299</v>
      </c>
      <c r="BN65" s="7" t="s">
        <v>296</v>
      </c>
      <c r="BO65">
        <v>25.753</v>
      </c>
      <c r="BP65">
        <v>41.042000000000002</v>
      </c>
      <c r="BQ65">
        <v>41.872</v>
      </c>
      <c r="BR65">
        <v>5</v>
      </c>
      <c r="BS65" s="7" t="s">
        <v>291</v>
      </c>
      <c r="BT65" s="7" t="s">
        <v>294</v>
      </c>
      <c r="BU65">
        <v>13.548</v>
      </c>
      <c r="BV65">
        <v>17.334</v>
      </c>
      <c r="BW65">
        <v>17.344000000000001</v>
      </c>
      <c r="BX65">
        <v>4</v>
      </c>
      <c r="BY65" s="7" t="s">
        <v>298</v>
      </c>
      <c r="BZ65" s="7" t="s">
        <v>292</v>
      </c>
      <c r="CA65">
        <v>23.015999999999998</v>
      </c>
      <c r="CB65">
        <v>28.29</v>
      </c>
      <c r="CC65">
        <v>29.199000000000002</v>
      </c>
      <c r="CD65">
        <v>4</v>
      </c>
      <c r="CE65" s="7" t="s">
        <v>293</v>
      </c>
      <c r="CF65" s="7" t="s">
        <v>294</v>
      </c>
      <c r="CG65">
        <v>28.9</v>
      </c>
      <c r="CH65">
        <v>56.164000000000001</v>
      </c>
      <c r="CI65">
        <v>57.473999999999997</v>
      </c>
      <c r="CJ65">
        <v>7</v>
      </c>
      <c r="CK65" s="7" t="s">
        <v>291</v>
      </c>
      <c r="CL65" s="7" t="s">
        <v>292</v>
      </c>
      <c r="CM65">
        <v>18.231000000000002</v>
      </c>
      <c r="CN65">
        <v>45.256</v>
      </c>
      <c r="CO65">
        <v>46.6</v>
      </c>
      <c r="CP65">
        <v>9</v>
      </c>
      <c r="CQ65" s="7" t="s">
        <v>293</v>
      </c>
      <c r="CR65" s="7" t="s">
        <v>292</v>
      </c>
      <c r="CS65">
        <v>10.701000000000001</v>
      </c>
      <c r="CT65">
        <v>19.556999999999999</v>
      </c>
      <c r="CU65">
        <v>20.960999999999999</v>
      </c>
      <c r="CV65">
        <v>6</v>
      </c>
      <c r="CW65" s="7" t="s">
        <v>282</v>
      </c>
      <c r="CX65" s="7" t="s">
        <v>294</v>
      </c>
      <c r="CY65">
        <v>15.401</v>
      </c>
      <c r="CZ65">
        <v>34.64</v>
      </c>
      <c r="DA65">
        <v>37.100999999999999</v>
      </c>
      <c r="DB65">
        <v>7</v>
      </c>
      <c r="DC65" s="7" t="s">
        <v>298</v>
      </c>
      <c r="DD65" s="7" t="s">
        <v>292</v>
      </c>
      <c r="DE65">
        <v>25.184000000000001</v>
      </c>
      <c r="DF65">
        <v>30.122</v>
      </c>
      <c r="DG65">
        <v>31.186</v>
      </c>
      <c r="DH65">
        <v>5</v>
      </c>
      <c r="DI65" s="7" t="s">
        <v>291</v>
      </c>
      <c r="DJ65" s="7" t="s">
        <v>292</v>
      </c>
      <c r="DK65">
        <v>13.756</v>
      </c>
      <c r="DL65">
        <v>18.494</v>
      </c>
      <c r="DM65">
        <v>22.111999999999998</v>
      </c>
      <c r="DN65">
        <v>4</v>
      </c>
      <c r="DO65" s="7" t="s">
        <v>295</v>
      </c>
      <c r="DP65" s="7" t="s">
        <v>292</v>
      </c>
      <c r="DQ65">
        <v>20.3</v>
      </c>
      <c r="DR65">
        <v>31.239000000000001</v>
      </c>
      <c r="DS65">
        <v>34.061999999999998</v>
      </c>
      <c r="DT65">
        <v>7</v>
      </c>
      <c r="DU65" s="7" t="s">
        <v>299</v>
      </c>
      <c r="DV65" s="7" t="s">
        <v>294</v>
      </c>
      <c r="DW65">
        <v>14.355</v>
      </c>
      <c r="DX65">
        <v>27.899000000000001</v>
      </c>
      <c r="DY65">
        <v>29.071000000000002</v>
      </c>
      <c r="DZ65">
        <v>6</v>
      </c>
      <c r="EA65" s="7" t="s">
        <v>282</v>
      </c>
      <c r="EB65" s="7" t="s">
        <v>292</v>
      </c>
      <c r="EC65">
        <v>64.73</v>
      </c>
      <c r="ED65">
        <v>82.384</v>
      </c>
      <c r="EE65">
        <v>84.320999999999998</v>
      </c>
      <c r="EF65">
        <v>5</v>
      </c>
      <c r="EG65" s="7" t="s">
        <v>291</v>
      </c>
      <c r="EH65" s="7" t="s">
        <v>296</v>
      </c>
      <c r="EI65">
        <v>22.024999999999999</v>
      </c>
      <c r="EJ65">
        <v>27.128</v>
      </c>
      <c r="EK65">
        <v>27.827999999999999</v>
      </c>
      <c r="EL65">
        <v>4</v>
      </c>
      <c r="EM65" s="7" t="s">
        <v>291</v>
      </c>
      <c r="EN65" s="7" t="s">
        <v>296</v>
      </c>
      <c r="EO65">
        <v>10.394</v>
      </c>
      <c r="EP65">
        <v>15.599</v>
      </c>
      <c r="EQ65">
        <v>16.638999999999999</v>
      </c>
      <c r="ER65">
        <v>2</v>
      </c>
      <c r="ES65" s="7" t="s">
        <v>301</v>
      </c>
      <c r="ET65" s="7" t="s">
        <v>292</v>
      </c>
      <c r="EU65">
        <v>10.599</v>
      </c>
      <c r="EV65">
        <v>18.024000000000001</v>
      </c>
      <c r="EW65">
        <v>19.265999999999998</v>
      </c>
      <c r="EX65">
        <v>6</v>
      </c>
      <c r="EY65" s="7" t="s">
        <v>300</v>
      </c>
      <c r="EZ65" s="7" t="s">
        <v>296</v>
      </c>
      <c r="FA65">
        <v>9.0139999999999993</v>
      </c>
      <c r="FB65">
        <v>17.87</v>
      </c>
      <c r="FC65">
        <v>19.096</v>
      </c>
      <c r="FD65">
        <v>6</v>
      </c>
      <c r="FE65" s="7" t="s">
        <v>282</v>
      </c>
      <c r="FF65" s="7" t="s">
        <v>292</v>
      </c>
      <c r="FG65">
        <v>16.135999999999999</v>
      </c>
      <c r="FH65">
        <v>35.006999999999998</v>
      </c>
      <c r="FI65">
        <v>35.033000000000001</v>
      </c>
      <c r="FJ65">
        <v>5</v>
      </c>
      <c r="FK65" s="7" t="s">
        <v>291</v>
      </c>
      <c r="FL65" s="7" t="s">
        <v>296</v>
      </c>
      <c r="FM65">
        <v>7.2110000000000003</v>
      </c>
      <c r="FN65">
        <v>10.816000000000001</v>
      </c>
      <c r="FO65">
        <v>11.804</v>
      </c>
      <c r="FP65">
        <v>3</v>
      </c>
      <c r="FQ65" s="7" t="s">
        <v>282</v>
      </c>
      <c r="FR65" s="7" t="s">
        <v>296</v>
      </c>
      <c r="FS65">
        <v>14.955</v>
      </c>
      <c r="FT65">
        <v>26.143999999999998</v>
      </c>
      <c r="FU65">
        <v>26.716000000000001</v>
      </c>
      <c r="FV65">
        <v>4</v>
      </c>
      <c r="FW65" s="7" t="s">
        <v>300</v>
      </c>
      <c r="FX65" s="7" t="s">
        <v>292</v>
      </c>
      <c r="FY65">
        <v>44.640999999999998</v>
      </c>
      <c r="FZ65">
        <v>51.783999999999999</v>
      </c>
      <c r="GA65">
        <v>52.7</v>
      </c>
      <c r="GB65">
        <v>8</v>
      </c>
      <c r="GC65" s="7" t="s">
        <v>291</v>
      </c>
      <c r="GD65" s="7" t="s">
        <v>296</v>
      </c>
      <c r="GE65">
        <v>23.896000000000001</v>
      </c>
      <c r="GF65">
        <v>63.317999999999998</v>
      </c>
      <c r="GG65">
        <v>67.144999999999996</v>
      </c>
      <c r="GH65">
        <v>8</v>
      </c>
      <c r="GI65" s="7" t="s">
        <v>300</v>
      </c>
      <c r="GJ65" s="7" t="s">
        <v>292</v>
      </c>
      <c r="GK65">
        <v>4.5039999999999996</v>
      </c>
      <c r="GL65">
        <v>26.753</v>
      </c>
      <c r="GM65">
        <v>28.523</v>
      </c>
      <c r="GN65">
        <v>5</v>
      </c>
      <c r="GO65" s="7" t="s">
        <v>300</v>
      </c>
      <c r="GP65" s="7" t="s">
        <v>296</v>
      </c>
      <c r="GQ65">
        <v>11.54</v>
      </c>
      <c r="GR65">
        <v>26.356000000000002</v>
      </c>
      <c r="GS65">
        <v>27.242999999999999</v>
      </c>
      <c r="GT65">
        <v>9</v>
      </c>
      <c r="GU65" s="7" t="s">
        <v>291</v>
      </c>
      <c r="GV65" s="7" t="s">
        <v>296</v>
      </c>
      <c r="GW65">
        <v>9.8209999999999997</v>
      </c>
      <c r="GX65">
        <v>18.492999999999999</v>
      </c>
      <c r="GY65">
        <v>19.762</v>
      </c>
      <c r="GZ65">
        <v>5</v>
      </c>
      <c r="HA65" s="7" t="s">
        <v>300</v>
      </c>
      <c r="HB65" s="7" t="s">
        <v>296</v>
      </c>
      <c r="HC65">
        <v>12.326000000000001</v>
      </c>
      <c r="HD65">
        <v>20.381</v>
      </c>
      <c r="HE65">
        <v>21.513999999999999</v>
      </c>
      <c r="HF65">
        <v>4</v>
      </c>
      <c r="HG65" s="7" t="s">
        <v>282</v>
      </c>
      <c r="HH65" s="7" t="s">
        <v>296</v>
      </c>
      <c r="HI65">
        <v>11.464</v>
      </c>
      <c r="HJ65">
        <v>19.352</v>
      </c>
      <c r="HK65">
        <v>20.366</v>
      </c>
      <c r="HL65">
        <v>6</v>
      </c>
      <c r="HM65" s="7" t="s">
        <v>1033</v>
      </c>
      <c r="HN65" s="7" t="s">
        <v>1034</v>
      </c>
      <c r="HO65" s="7" t="s">
        <v>1035</v>
      </c>
      <c r="HP65" s="7" t="s">
        <v>1036</v>
      </c>
      <c r="HQ65" s="7" t="s">
        <v>1037</v>
      </c>
      <c r="HR65" s="7" t="s">
        <v>1038</v>
      </c>
      <c r="HS65" s="7" t="s">
        <v>1039</v>
      </c>
      <c r="HT65" s="7" t="s">
        <v>434</v>
      </c>
      <c r="HU65" s="7" t="s">
        <v>1040</v>
      </c>
      <c r="HV65" s="7" t="s">
        <v>1041</v>
      </c>
      <c r="HW65" s="7" t="s">
        <v>282</v>
      </c>
      <c r="HX65" s="7" t="s">
        <v>282</v>
      </c>
      <c r="HY65" s="7" t="s">
        <v>312</v>
      </c>
      <c r="HZ65" s="7" t="s">
        <v>372</v>
      </c>
      <c r="IA65" s="7" t="s">
        <v>325</v>
      </c>
      <c r="IB65" s="7" t="s">
        <v>282</v>
      </c>
      <c r="IC65" s="7" t="s">
        <v>282</v>
      </c>
    </row>
    <row r="66" spans="1:237" x14ac:dyDescent="0.2">
      <c r="A66" s="6">
        <v>45749.181539351855</v>
      </c>
      <c r="B66" s="6">
        <v>45749.192233796297</v>
      </c>
      <c r="C66" s="7" t="s">
        <v>240</v>
      </c>
      <c r="D66" s="7" t="s">
        <v>1042</v>
      </c>
      <c r="E66">
        <v>100</v>
      </c>
      <c r="F66">
        <v>924</v>
      </c>
      <c r="G66" s="7" t="s">
        <v>280</v>
      </c>
      <c r="H66" s="6">
        <v>45749.192245520833</v>
      </c>
      <c r="I66" s="7" t="s">
        <v>1043</v>
      </c>
      <c r="J66" s="7" t="s">
        <v>282</v>
      </c>
      <c r="K66" s="7" t="s">
        <v>282</v>
      </c>
      <c r="L66" s="7" t="s">
        <v>282</v>
      </c>
      <c r="M66" s="7" t="s">
        <v>282</v>
      </c>
      <c r="N66">
        <v>53.518500000000003</v>
      </c>
      <c r="O66">
        <v>-113.6579</v>
      </c>
      <c r="P66" s="7" t="s">
        <v>283</v>
      </c>
      <c r="Q66" s="7" t="s">
        <v>284</v>
      </c>
      <c r="R66">
        <v>0.89999997615814209</v>
      </c>
      <c r="S66" s="7" t="s">
        <v>285</v>
      </c>
      <c r="T66" s="7" t="s">
        <v>285</v>
      </c>
      <c r="U66" s="7" t="s">
        <v>285</v>
      </c>
      <c r="V66" s="7" t="s">
        <v>285</v>
      </c>
      <c r="W66" s="7" t="s">
        <v>905</v>
      </c>
      <c r="X66" s="7" t="s">
        <v>1044</v>
      </c>
      <c r="Y66" s="7" t="s">
        <v>288</v>
      </c>
      <c r="Z66" s="7" t="s">
        <v>288</v>
      </c>
      <c r="AA66" s="7" t="s">
        <v>289</v>
      </c>
      <c r="AB66" s="7" t="s">
        <v>289</v>
      </c>
      <c r="AC66" s="7" t="s">
        <v>291</v>
      </c>
      <c r="AD66" s="7" t="s">
        <v>294</v>
      </c>
      <c r="AE66">
        <v>7.6070000000000002</v>
      </c>
      <c r="AF66">
        <v>10.941000000000001</v>
      </c>
      <c r="AG66">
        <v>11.641</v>
      </c>
      <c r="AH66">
        <v>4</v>
      </c>
      <c r="AI66" s="7" t="s">
        <v>299</v>
      </c>
      <c r="AJ66" s="7" t="s">
        <v>296</v>
      </c>
      <c r="AK66">
        <v>5.9640000000000004</v>
      </c>
      <c r="AL66">
        <v>9.3979999999999997</v>
      </c>
      <c r="AM66">
        <v>9.9499999999999993</v>
      </c>
      <c r="AN66">
        <v>6</v>
      </c>
      <c r="AO66" s="7" t="s">
        <v>299</v>
      </c>
      <c r="AP66" s="7" t="s">
        <v>296</v>
      </c>
      <c r="AQ66">
        <v>7.7960000000000003</v>
      </c>
      <c r="AR66">
        <v>13.015000000000001</v>
      </c>
      <c r="AS66">
        <v>13.978999999999999</v>
      </c>
      <c r="AT66">
        <v>7</v>
      </c>
      <c r="AU66" s="7" t="s">
        <v>295</v>
      </c>
      <c r="AV66" s="7" t="s">
        <v>296</v>
      </c>
      <c r="AW66">
        <v>10.683</v>
      </c>
      <c r="AX66">
        <v>14.837</v>
      </c>
      <c r="AY66">
        <v>15.648999999999999</v>
      </c>
      <c r="AZ66">
        <v>6</v>
      </c>
      <c r="BA66" s="7" t="s">
        <v>295</v>
      </c>
      <c r="BB66" s="7" t="s">
        <v>297</v>
      </c>
      <c r="BC66">
        <v>11.894</v>
      </c>
      <c r="BD66">
        <v>24.997</v>
      </c>
      <c r="BE66">
        <v>25.797000000000001</v>
      </c>
      <c r="BF66">
        <v>5</v>
      </c>
      <c r="BG66" s="7" t="s">
        <v>291</v>
      </c>
      <c r="BH66" s="7" t="s">
        <v>292</v>
      </c>
      <c r="BI66">
        <v>7.6150000000000002</v>
      </c>
      <c r="BJ66">
        <v>23.280999999999999</v>
      </c>
      <c r="BK66">
        <v>23.952999999999999</v>
      </c>
      <c r="BL66">
        <v>9</v>
      </c>
      <c r="BM66" s="7" t="s">
        <v>293</v>
      </c>
      <c r="BN66" s="7" t="s">
        <v>296</v>
      </c>
      <c r="BO66">
        <v>7.649</v>
      </c>
      <c r="BP66">
        <v>11.815</v>
      </c>
      <c r="BQ66">
        <v>12.446999999999999</v>
      </c>
      <c r="BR66">
        <v>4</v>
      </c>
      <c r="BS66" s="7" t="s">
        <v>293</v>
      </c>
      <c r="BT66" s="7" t="s">
        <v>292</v>
      </c>
      <c r="BU66">
        <v>11.792</v>
      </c>
      <c r="BV66">
        <v>23.542999999999999</v>
      </c>
      <c r="BW66">
        <v>24.358000000000001</v>
      </c>
      <c r="BX66">
        <v>6</v>
      </c>
      <c r="BY66" s="7" t="s">
        <v>295</v>
      </c>
      <c r="BZ66" s="7" t="s">
        <v>292</v>
      </c>
      <c r="CA66">
        <v>6.8620000000000001</v>
      </c>
      <c r="CB66">
        <v>15.144</v>
      </c>
      <c r="CC66">
        <v>16.067</v>
      </c>
      <c r="CD66">
        <v>6</v>
      </c>
      <c r="CE66" s="7" t="s">
        <v>298</v>
      </c>
      <c r="CF66" s="7" t="s">
        <v>294</v>
      </c>
      <c r="CG66">
        <v>10.201000000000001</v>
      </c>
      <c r="CH66">
        <v>14.786</v>
      </c>
      <c r="CI66">
        <v>16.635999999999999</v>
      </c>
      <c r="CJ66">
        <v>6</v>
      </c>
      <c r="CK66" s="7" t="s">
        <v>291</v>
      </c>
      <c r="CL66" s="7" t="s">
        <v>296</v>
      </c>
      <c r="CM66">
        <v>7.4749999999999996</v>
      </c>
      <c r="CN66">
        <v>12.39</v>
      </c>
      <c r="CO66">
        <v>13.446</v>
      </c>
      <c r="CP66">
        <v>6</v>
      </c>
      <c r="CQ66" s="7" t="s">
        <v>299</v>
      </c>
      <c r="CR66" s="7" t="s">
        <v>294</v>
      </c>
      <c r="CS66">
        <v>6.3650000000000002</v>
      </c>
      <c r="CT66">
        <v>12.417999999999999</v>
      </c>
      <c r="CU66">
        <v>13.282999999999999</v>
      </c>
      <c r="CV66">
        <v>6</v>
      </c>
      <c r="CW66" s="7" t="s">
        <v>293</v>
      </c>
      <c r="CX66" s="7" t="s">
        <v>294</v>
      </c>
      <c r="CY66">
        <v>7.3259999999999996</v>
      </c>
      <c r="CZ66">
        <v>19.794</v>
      </c>
      <c r="DA66">
        <v>20.626000000000001</v>
      </c>
      <c r="DB66">
        <v>7</v>
      </c>
      <c r="DC66" s="7" t="s">
        <v>295</v>
      </c>
      <c r="DD66" s="7" t="s">
        <v>294</v>
      </c>
      <c r="DE66">
        <v>6.5659999999999998</v>
      </c>
      <c r="DF66">
        <v>10.099</v>
      </c>
      <c r="DG66">
        <v>10.972</v>
      </c>
      <c r="DH66">
        <v>6</v>
      </c>
      <c r="DI66" s="7" t="s">
        <v>298</v>
      </c>
      <c r="DJ66" s="7" t="s">
        <v>294</v>
      </c>
      <c r="DK66">
        <v>7.0279999999999996</v>
      </c>
      <c r="DL66">
        <v>9.8290000000000006</v>
      </c>
      <c r="DM66">
        <v>10.62</v>
      </c>
      <c r="DN66">
        <v>5</v>
      </c>
      <c r="DO66" s="7" t="s">
        <v>291</v>
      </c>
      <c r="DP66" s="7" t="s">
        <v>296</v>
      </c>
      <c r="DQ66">
        <v>7.8250000000000002</v>
      </c>
      <c r="DR66">
        <v>10.525</v>
      </c>
      <c r="DS66">
        <v>11.201000000000001</v>
      </c>
      <c r="DT66">
        <v>4</v>
      </c>
      <c r="DU66" s="7" t="s">
        <v>299</v>
      </c>
      <c r="DV66" s="7" t="s">
        <v>296</v>
      </c>
      <c r="DW66">
        <v>5.9829999999999997</v>
      </c>
      <c r="DX66">
        <v>11.067</v>
      </c>
      <c r="DY66">
        <v>11.789</v>
      </c>
      <c r="DZ66">
        <v>5</v>
      </c>
      <c r="EA66" s="7" t="s">
        <v>291</v>
      </c>
      <c r="EB66" s="7" t="s">
        <v>292</v>
      </c>
      <c r="EC66">
        <v>8.2789999999999999</v>
      </c>
      <c r="ED66">
        <v>16.629000000000001</v>
      </c>
      <c r="EE66">
        <v>17.734999999999999</v>
      </c>
      <c r="EF66">
        <v>6</v>
      </c>
      <c r="EG66" s="7" t="s">
        <v>298</v>
      </c>
      <c r="EH66" s="7" t="s">
        <v>292</v>
      </c>
      <c r="EI66">
        <v>9.9269999999999996</v>
      </c>
      <c r="EJ66">
        <v>20.012</v>
      </c>
      <c r="EK66">
        <v>21.727</v>
      </c>
      <c r="EL66">
        <v>5</v>
      </c>
      <c r="EM66" s="7" t="s">
        <v>298</v>
      </c>
      <c r="EN66" s="7" t="s">
        <v>294</v>
      </c>
      <c r="EO66">
        <v>8.7149999999999999</v>
      </c>
      <c r="EP66">
        <v>11.448</v>
      </c>
      <c r="EQ66">
        <v>12.263999999999999</v>
      </c>
      <c r="ER66">
        <v>5</v>
      </c>
      <c r="ES66" s="7" t="s">
        <v>291</v>
      </c>
      <c r="ET66" s="7" t="s">
        <v>294</v>
      </c>
      <c r="EU66">
        <v>6.6660000000000004</v>
      </c>
      <c r="EV66">
        <v>9.7059999999999995</v>
      </c>
      <c r="EW66">
        <v>10.462</v>
      </c>
      <c r="EX66">
        <v>6</v>
      </c>
      <c r="EY66" s="7" t="s">
        <v>300</v>
      </c>
      <c r="EZ66" s="7" t="s">
        <v>294</v>
      </c>
      <c r="FA66">
        <v>6.9009999999999998</v>
      </c>
      <c r="FB66">
        <v>9.1679999999999993</v>
      </c>
      <c r="FC66">
        <v>10.387</v>
      </c>
      <c r="FD66">
        <v>2</v>
      </c>
      <c r="FE66" s="7" t="s">
        <v>301</v>
      </c>
      <c r="FF66" s="7" t="s">
        <v>294</v>
      </c>
      <c r="FG66">
        <v>5.6139999999999999</v>
      </c>
      <c r="FH66">
        <v>9.6980000000000004</v>
      </c>
      <c r="FI66">
        <v>10.855</v>
      </c>
      <c r="FJ66">
        <v>6</v>
      </c>
      <c r="FK66" s="7" t="s">
        <v>291</v>
      </c>
      <c r="FL66" s="7" t="s">
        <v>294</v>
      </c>
      <c r="FM66">
        <v>5.524</v>
      </c>
      <c r="FN66">
        <v>9.5220000000000002</v>
      </c>
      <c r="FO66">
        <v>9.9009999999999998</v>
      </c>
      <c r="FP66">
        <v>6</v>
      </c>
      <c r="FQ66" s="7" t="s">
        <v>300</v>
      </c>
      <c r="FR66" s="7" t="s">
        <v>294</v>
      </c>
      <c r="FS66">
        <v>5.835</v>
      </c>
      <c r="FT66">
        <v>8.5790000000000006</v>
      </c>
      <c r="FU66">
        <v>9.3160000000000007</v>
      </c>
      <c r="FV66">
        <v>2</v>
      </c>
      <c r="FW66" s="7" t="s">
        <v>301</v>
      </c>
      <c r="FX66" s="7" t="s">
        <v>294</v>
      </c>
      <c r="FY66">
        <v>5.3630000000000004</v>
      </c>
      <c r="FZ66">
        <v>8.08</v>
      </c>
      <c r="GA66">
        <v>9.3010000000000002</v>
      </c>
      <c r="GB66">
        <v>5</v>
      </c>
      <c r="GC66" s="7" t="s">
        <v>291</v>
      </c>
      <c r="GD66" s="7" t="s">
        <v>294</v>
      </c>
      <c r="GE66">
        <v>7</v>
      </c>
      <c r="GF66">
        <v>9.0709999999999997</v>
      </c>
      <c r="GG66">
        <v>9.7579999999999991</v>
      </c>
      <c r="GH66">
        <v>4</v>
      </c>
      <c r="GI66" s="7" t="s">
        <v>300</v>
      </c>
      <c r="GJ66" s="7" t="s">
        <v>294</v>
      </c>
      <c r="GK66">
        <v>8.6669999999999998</v>
      </c>
      <c r="GL66">
        <v>14.000999999999999</v>
      </c>
      <c r="GM66">
        <v>14.792</v>
      </c>
      <c r="GN66">
        <v>4</v>
      </c>
      <c r="GO66" s="7" t="s">
        <v>301</v>
      </c>
      <c r="GP66" s="7" t="s">
        <v>294</v>
      </c>
      <c r="GQ66">
        <v>4.4420000000000002</v>
      </c>
      <c r="GR66">
        <v>6.694</v>
      </c>
      <c r="GS66">
        <v>8.7449999999999992</v>
      </c>
      <c r="GT66">
        <v>4</v>
      </c>
      <c r="GU66" s="7" t="s">
        <v>291</v>
      </c>
      <c r="GV66" s="7" t="s">
        <v>294</v>
      </c>
      <c r="GW66">
        <v>5.4260000000000002</v>
      </c>
      <c r="GX66">
        <v>7.5970000000000004</v>
      </c>
      <c r="GY66">
        <v>8.8179999999999996</v>
      </c>
      <c r="GZ66">
        <v>5</v>
      </c>
      <c r="HA66" s="7" t="s">
        <v>300</v>
      </c>
      <c r="HB66" s="7" t="s">
        <v>294</v>
      </c>
      <c r="HC66">
        <v>6.8289999999999997</v>
      </c>
      <c r="HD66">
        <v>12.445</v>
      </c>
      <c r="HE66">
        <v>12.986000000000001</v>
      </c>
      <c r="HF66">
        <v>6</v>
      </c>
      <c r="HG66" s="7" t="s">
        <v>291</v>
      </c>
      <c r="HH66" s="7" t="s">
        <v>294</v>
      </c>
      <c r="HI66">
        <v>5.9269999999999996</v>
      </c>
      <c r="HJ66">
        <v>9.2810000000000006</v>
      </c>
      <c r="HK66">
        <v>10.6</v>
      </c>
      <c r="HL66">
        <v>3</v>
      </c>
      <c r="HM66" s="7" t="s">
        <v>1045</v>
      </c>
      <c r="HN66" s="7" t="s">
        <v>1046</v>
      </c>
      <c r="HO66" s="7" t="s">
        <v>1047</v>
      </c>
      <c r="HP66" s="7" t="s">
        <v>1048</v>
      </c>
      <c r="HQ66" s="7" t="s">
        <v>1049</v>
      </c>
      <c r="HR66" s="7" t="s">
        <v>1050</v>
      </c>
      <c r="HS66" s="7" t="s">
        <v>1051</v>
      </c>
      <c r="HT66" s="7" t="s">
        <v>1052</v>
      </c>
      <c r="HU66" s="7" t="s">
        <v>1053</v>
      </c>
      <c r="HV66" s="7" t="s">
        <v>1054</v>
      </c>
      <c r="HW66" s="7" t="s">
        <v>282</v>
      </c>
      <c r="HX66" s="7" t="s">
        <v>282</v>
      </c>
      <c r="HY66" s="7" t="s">
        <v>312</v>
      </c>
      <c r="HZ66" s="7" t="s">
        <v>372</v>
      </c>
      <c r="IA66" s="7" t="s">
        <v>325</v>
      </c>
      <c r="IB66" s="7" t="s">
        <v>282</v>
      </c>
      <c r="IC66" s="7" t="s">
        <v>282</v>
      </c>
    </row>
    <row r="67" spans="1:237" x14ac:dyDescent="0.2">
      <c r="A67" s="6">
        <v>45749.180405092593</v>
      </c>
      <c r="B67" s="6">
        <v>45749.192812499998</v>
      </c>
      <c r="C67" s="7" t="s">
        <v>240</v>
      </c>
      <c r="D67" s="7" t="s">
        <v>1055</v>
      </c>
      <c r="E67">
        <v>100</v>
      </c>
      <c r="F67">
        <v>1072</v>
      </c>
      <c r="G67" s="7" t="s">
        <v>280</v>
      </c>
      <c r="H67" s="6">
        <v>45749.19282527778</v>
      </c>
      <c r="I67" s="7" t="s">
        <v>1056</v>
      </c>
      <c r="J67" s="7" t="s">
        <v>282</v>
      </c>
      <c r="K67" s="7" t="s">
        <v>282</v>
      </c>
      <c r="L67" s="7" t="s">
        <v>282</v>
      </c>
      <c r="M67" s="7" t="s">
        <v>282</v>
      </c>
      <c r="N67">
        <v>-33.494</v>
      </c>
      <c r="O67">
        <v>143.21039999999999</v>
      </c>
      <c r="P67" s="7" t="s">
        <v>283</v>
      </c>
      <c r="Q67" s="7" t="s">
        <v>284</v>
      </c>
      <c r="R67">
        <v>0.89999997615814209</v>
      </c>
      <c r="S67" s="7" t="s">
        <v>285</v>
      </c>
      <c r="T67" s="7" t="s">
        <v>285</v>
      </c>
      <c r="U67" s="7" t="s">
        <v>285</v>
      </c>
      <c r="V67" s="7" t="s">
        <v>285</v>
      </c>
      <c r="W67" s="7" t="s">
        <v>412</v>
      </c>
      <c r="X67" s="7" t="s">
        <v>375</v>
      </c>
      <c r="Y67" s="7" t="s">
        <v>288</v>
      </c>
      <c r="Z67" s="7" t="s">
        <v>317</v>
      </c>
      <c r="AA67" s="7" t="s">
        <v>317</v>
      </c>
      <c r="AB67" s="7" t="s">
        <v>317</v>
      </c>
      <c r="AC67" s="7" t="s">
        <v>291</v>
      </c>
      <c r="AD67" s="7" t="s">
        <v>296</v>
      </c>
      <c r="AE67">
        <v>7.6029999999999998</v>
      </c>
      <c r="AF67">
        <v>9.2140000000000004</v>
      </c>
      <c r="AG67">
        <v>10.321999999999999</v>
      </c>
      <c r="AH67">
        <v>2</v>
      </c>
      <c r="AI67" s="7" t="s">
        <v>293</v>
      </c>
      <c r="AJ67" s="7" t="s">
        <v>296</v>
      </c>
      <c r="AK67">
        <v>9.4489999999999998</v>
      </c>
      <c r="AL67">
        <v>11.558999999999999</v>
      </c>
      <c r="AM67">
        <v>12.678000000000001</v>
      </c>
      <c r="AN67">
        <v>2</v>
      </c>
      <c r="AO67" s="7" t="s">
        <v>293</v>
      </c>
      <c r="AP67" s="7" t="s">
        <v>296</v>
      </c>
      <c r="AQ67">
        <v>7.3529999999999998</v>
      </c>
      <c r="AR67">
        <v>9.9440000000000008</v>
      </c>
      <c r="AS67">
        <v>11.090999999999999</v>
      </c>
      <c r="AT67">
        <v>3</v>
      </c>
      <c r="AU67" s="7" t="s">
        <v>295</v>
      </c>
      <c r="AV67" s="7" t="s">
        <v>296</v>
      </c>
      <c r="AW67">
        <v>9.8539999999999992</v>
      </c>
      <c r="AX67">
        <v>12.207000000000001</v>
      </c>
      <c r="AY67">
        <v>13.337999999999999</v>
      </c>
      <c r="AZ67">
        <v>2</v>
      </c>
      <c r="BA67" s="7" t="s">
        <v>295</v>
      </c>
      <c r="BB67" s="7" t="s">
        <v>292</v>
      </c>
      <c r="BC67">
        <v>6.7990000000000004</v>
      </c>
      <c r="BD67">
        <v>11.611000000000001</v>
      </c>
      <c r="BE67">
        <v>12.721</v>
      </c>
      <c r="BF67">
        <v>3</v>
      </c>
      <c r="BG67" s="7" t="s">
        <v>291</v>
      </c>
      <c r="BH67" s="7" t="s">
        <v>292</v>
      </c>
      <c r="BI67">
        <v>9.734</v>
      </c>
      <c r="BJ67">
        <v>11.455</v>
      </c>
      <c r="BK67">
        <v>12.432</v>
      </c>
      <c r="BL67">
        <v>2</v>
      </c>
      <c r="BM67" s="7" t="s">
        <v>293</v>
      </c>
      <c r="BN67" s="7" t="s">
        <v>294</v>
      </c>
      <c r="BO67">
        <v>7.41</v>
      </c>
      <c r="BP67">
        <v>8.8740000000000006</v>
      </c>
      <c r="BQ67">
        <v>9.8650000000000002</v>
      </c>
      <c r="BR67">
        <v>2</v>
      </c>
      <c r="BS67" s="7" t="s">
        <v>299</v>
      </c>
      <c r="BT67" s="7" t="s">
        <v>292</v>
      </c>
      <c r="BU67">
        <v>7.093</v>
      </c>
      <c r="BV67">
        <v>8.6790000000000003</v>
      </c>
      <c r="BW67">
        <v>9.7910000000000004</v>
      </c>
      <c r="BX67">
        <v>2</v>
      </c>
      <c r="BY67" s="7" t="s">
        <v>295</v>
      </c>
      <c r="BZ67" s="7" t="s">
        <v>296</v>
      </c>
      <c r="CA67">
        <v>8.32</v>
      </c>
      <c r="CB67">
        <v>10.78</v>
      </c>
      <c r="CC67">
        <v>11.959</v>
      </c>
      <c r="CD67">
        <v>2</v>
      </c>
      <c r="CE67" s="7" t="s">
        <v>298</v>
      </c>
      <c r="CF67" s="7" t="s">
        <v>296</v>
      </c>
      <c r="CG67">
        <v>6.8550000000000004</v>
      </c>
      <c r="CH67">
        <v>8.6999999999999993</v>
      </c>
      <c r="CI67">
        <v>9.6880000000000006</v>
      </c>
      <c r="CJ67">
        <v>2</v>
      </c>
      <c r="CK67" s="7" t="s">
        <v>291</v>
      </c>
      <c r="CL67" s="7" t="s">
        <v>296</v>
      </c>
      <c r="CM67">
        <v>7.492</v>
      </c>
      <c r="CN67">
        <v>8.9120000000000008</v>
      </c>
      <c r="CO67">
        <v>10.07</v>
      </c>
      <c r="CP67">
        <v>2</v>
      </c>
      <c r="CQ67" s="7" t="s">
        <v>293</v>
      </c>
      <c r="CR67" s="7" t="s">
        <v>296</v>
      </c>
      <c r="CS67">
        <v>12.926</v>
      </c>
      <c r="CT67">
        <v>14.464</v>
      </c>
      <c r="CU67">
        <v>15.637</v>
      </c>
      <c r="CV67">
        <v>2</v>
      </c>
      <c r="CW67" s="7" t="s">
        <v>282</v>
      </c>
      <c r="CX67" s="7" t="s">
        <v>297</v>
      </c>
      <c r="CY67">
        <v>14.427</v>
      </c>
      <c r="CZ67">
        <v>16.364000000000001</v>
      </c>
      <c r="DA67">
        <v>18.866</v>
      </c>
      <c r="DB67">
        <v>2</v>
      </c>
      <c r="DC67" s="7" t="s">
        <v>295</v>
      </c>
      <c r="DD67" s="7" t="s">
        <v>292</v>
      </c>
      <c r="DE67">
        <v>9.4860000000000007</v>
      </c>
      <c r="DF67">
        <v>10.734</v>
      </c>
      <c r="DG67">
        <v>11.884</v>
      </c>
      <c r="DH67">
        <v>2</v>
      </c>
      <c r="DI67" s="7" t="s">
        <v>298</v>
      </c>
      <c r="DJ67" s="7" t="s">
        <v>296</v>
      </c>
      <c r="DK67">
        <v>8.1649999999999991</v>
      </c>
      <c r="DL67">
        <v>12.476000000000001</v>
      </c>
      <c r="DM67">
        <v>13.512</v>
      </c>
      <c r="DN67">
        <v>3</v>
      </c>
      <c r="DO67" s="7" t="s">
        <v>291</v>
      </c>
      <c r="DP67" s="7" t="s">
        <v>296</v>
      </c>
      <c r="DQ67">
        <v>1.302</v>
      </c>
      <c r="DR67">
        <v>12.811</v>
      </c>
      <c r="DS67">
        <v>13.929</v>
      </c>
      <c r="DT67">
        <v>4</v>
      </c>
      <c r="DU67" s="7" t="s">
        <v>293</v>
      </c>
      <c r="DV67" s="7" t="s">
        <v>294</v>
      </c>
      <c r="DW67">
        <v>8.9320000000000004</v>
      </c>
      <c r="DX67">
        <v>10.782</v>
      </c>
      <c r="DY67">
        <v>12.301</v>
      </c>
      <c r="DZ67">
        <v>2</v>
      </c>
      <c r="EA67" s="7" t="s">
        <v>299</v>
      </c>
      <c r="EB67" s="7" t="s">
        <v>297</v>
      </c>
      <c r="EC67">
        <v>21.588000000000001</v>
      </c>
      <c r="ED67">
        <v>25.628</v>
      </c>
      <c r="EE67">
        <v>26.803000000000001</v>
      </c>
      <c r="EF67">
        <v>3</v>
      </c>
      <c r="EG67" s="7" t="s">
        <v>295</v>
      </c>
      <c r="EH67" s="7" t="s">
        <v>292</v>
      </c>
      <c r="EI67">
        <v>9.8219999999999992</v>
      </c>
      <c r="EJ67">
        <v>10.878</v>
      </c>
      <c r="EK67">
        <v>12.045</v>
      </c>
      <c r="EL67">
        <v>2</v>
      </c>
      <c r="EM67" s="7" t="s">
        <v>291</v>
      </c>
      <c r="EN67" s="7" t="s">
        <v>292</v>
      </c>
      <c r="EO67">
        <v>12.212</v>
      </c>
      <c r="EP67">
        <v>13.603</v>
      </c>
      <c r="EQ67">
        <v>14.503</v>
      </c>
      <c r="ER67">
        <v>2</v>
      </c>
      <c r="ES67" s="7" t="s">
        <v>291</v>
      </c>
      <c r="ET67" s="7" t="s">
        <v>292</v>
      </c>
      <c r="EU67">
        <v>8.5350000000000001</v>
      </c>
      <c r="EV67">
        <v>12.096</v>
      </c>
      <c r="EW67">
        <v>13.273999999999999</v>
      </c>
      <c r="EX67">
        <v>2</v>
      </c>
      <c r="EY67" s="7" t="s">
        <v>300</v>
      </c>
      <c r="EZ67" s="7" t="s">
        <v>296</v>
      </c>
      <c r="FA67">
        <v>9.3680000000000003</v>
      </c>
      <c r="FB67">
        <v>11.128</v>
      </c>
      <c r="FC67">
        <v>12.156000000000001</v>
      </c>
      <c r="FD67">
        <v>2</v>
      </c>
      <c r="FE67" s="7" t="s">
        <v>301</v>
      </c>
      <c r="FF67" s="7" t="s">
        <v>294</v>
      </c>
      <c r="FG67">
        <v>10.927</v>
      </c>
      <c r="FH67">
        <v>12.497999999999999</v>
      </c>
      <c r="FI67">
        <v>14.801</v>
      </c>
      <c r="FJ67">
        <v>2</v>
      </c>
      <c r="FK67" s="7" t="s">
        <v>291</v>
      </c>
      <c r="FL67" s="7" t="s">
        <v>294</v>
      </c>
      <c r="FM67">
        <v>6.12</v>
      </c>
      <c r="FN67">
        <v>9.0549999999999997</v>
      </c>
      <c r="FO67">
        <v>10.166</v>
      </c>
      <c r="FP67">
        <v>2</v>
      </c>
      <c r="FQ67" s="7" t="s">
        <v>300</v>
      </c>
      <c r="FR67" s="7" t="s">
        <v>296</v>
      </c>
      <c r="FS67">
        <v>7.383</v>
      </c>
      <c r="FT67">
        <v>9.5549999999999997</v>
      </c>
      <c r="FU67">
        <v>11.010999999999999</v>
      </c>
      <c r="FV67">
        <v>2</v>
      </c>
      <c r="FW67" s="7" t="s">
        <v>301</v>
      </c>
      <c r="FX67" s="7" t="s">
        <v>294</v>
      </c>
      <c r="FY67">
        <v>10.786</v>
      </c>
      <c r="FZ67">
        <v>13.138</v>
      </c>
      <c r="GA67">
        <v>14.082000000000001</v>
      </c>
      <c r="GB67">
        <v>2</v>
      </c>
      <c r="GC67" s="7" t="s">
        <v>291</v>
      </c>
      <c r="GD67" s="7" t="s">
        <v>296</v>
      </c>
      <c r="GE67">
        <v>10.066000000000001</v>
      </c>
      <c r="GF67">
        <v>18.09</v>
      </c>
      <c r="GG67">
        <v>19.295999999999999</v>
      </c>
      <c r="GH67">
        <v>5</v>
      </c>
      <c r="GI67" s="7" t="s">
        <v>300</v>
      </c>
      <c r="GJ67" s="7" t="s">
        <v>296</v>
      </c>
      <c r="GK67">
        <v>8.5779999999999994</v>
      </c>
      <c r="GL67">
        <v>10.807</v>
      </c>
      <c r="GM67">
        <v>12.231</v>
      </c>
      <c r="GN67">
        <v>2</v>
      </c>
      <c r="GO67" s="7" t="s">
        <v>301</v>
      </c>
      <c r="GP67" s="7" t="s">
        <v>296</v>
      </c>
      <c r="GQ67">
        <v>7.24</v>
      </c>
      <c r="GR67">
        <v>12.746</v>
      </c>
      <c r="GS67">
        <v>13.846</v>
      </c>
      <c r="GT67">
        <v>2</v>
      </c>
      <c r="GU67" s="7" t="s">
        <v>291</v>
      </c>
      <c r="GV67" s="7" t="s">
        <v>292</v>
      </c>
      <c r="GW67">
        <v>8.9830000000000005</v>
      </c>
      <c r="GX67">
        <v>10.609</v>
      </c>
      <c r="GY67">
        <v>13.311999999999999</v>
      </c>
      <c r="GZ67">
        <v>2</v>
      </c>
      <c r="HA67" s="7" t="s">
        <v>300</v>
      </c>
      <c r="HB67" s="7" t="s">
        <v>296</v>
      </c>
      <c r="HC67">
        <v>8.4610000000000003</v>
      </c>
      <c r="HD67">
        <v>11.823</v>
      </c>
      <c r="HE67">
        <v>13.066000000000001</v>
      </c>
      <c r="HF67">
        <v>2</v>
      </c>
      <c r="HG67" s="7" t="s">
        <v>301</v>
      </c>
      <c r="HH67" s="7" t="s">
        <v>296</v>
      </c>
      <c r="HI67">
        <v>8.9849999999999994</v>
      </c>
      <c r="HJ67">
        <v>13.635</v>
      </c>
      <c r="HK67">
        <v>14.771000000000001</v>
      </c>
      <c r="HL67">
        <v>2</v>
      </c>
      <c r="HM67" s="7" t="s">
        <v>1057</v>
      </c>
      <c r="HN67" s="7" t="s">
        <v>1058</v>
      </c>
      <c r="HO67" s="7" t="s">
        <v>1059</v>
      </c>
      <c r="HP67" s="7" t="s">
        <v>1058</v>
      </c>
      <c r="HQ67" s="7" t="s">
        <v>1060</v>
      </c>
      <c r="HR67" s="7" t="s">
        <v>1061</v>
      </c>
      <c r="HS67" s="7" t="s">
        <v>1062</v>
      </c>
      <c r="HT67" s="7" t="s">
        <v>1058</v>
      </c>
      <c r="HU67" s="7" t="s">
        <v>1063</v>
      </c>
      <c r="HV67" s="7" t="s">
        <v>1058</v>
      </c>
      <c r="HW67" s="7" t="s">
        <v>1064</v>
      </c>
      <c r="HX67" s="7" t="s">
        <v>1065</v>
      </c>
      <c r="HY67" s="7" t="s">
        <v>312</v>
      </c>
      <c r="HZ67" s="7" t="s">
        <v>356</v>
      </c>
      <c r="IA67" s="7" t="s">
        <v>313</v>
      </c>
      <c r="IB67" s="7" t="s">
        <v>282</v>
      </c>
      <c r="IC67" s="7" t="s">
        <v>282</v>
      </c>
    </row>
    <row r="68" spans="1:237" x14ac:dyDescent="0.2">
      <c r="A68" s="6">
        <v>45749.190613425926</v>
      </c>
      <c r="B68" s="6">
        <v>45749.208240740743</v>
      </c>
      <c r="C68" s="7" t="s">
        <v>240</v>
      </c>
      <c r="D68" s="7" t="s">
        <v>616</v>
      </c>
      <c r="E68">
        <v>100</v>
      </c>
      <c r="F68">
        <v>1522</v>
      </c>
      <c r="G68" s="7" t="s">
        <v>280</v>
      </c>
      <c r="H68" s="6">
        <v>45749.208258935185</v>
      </c>
      <c r="I68" s="7" t="s">
        <v>1066</v>
      </c>
      <c r="J68" s="7" t="s">
        <v>282</v>
      </c>
      <c r="K68" s="7" t="s">
        <v>282</v>
      </c>
      <c r="L68" s="7" t="s">
        <v>282</v>
      </c>
      <c r="M68" s="7" t="s">
        <v>282</v>
      </c>
      <c r="N68">
        <v>50.926499999999997</v>
      </c>
      <c r="O68">
        <v>-113.9725</v>
      </c>
      <c r="P68" s="7" t="s">
        <v>283</v>
      </c>
      <c r="Q68" s="7" t="s">
        <v>284</v>
      </c>
      <c r="R68">
        <v>0.89999997615814209</v>
      </c>
      <c r="S68" s="7" t="s">
        <v>285</v>
      </c>
      <c r="T68" s="7" t="s">
        <v>285</v>
      </c>
      <c r="U68" s="7" t="s">
        <v>285</v>
      </c>
      <c r="V68" s="7" t="s">
        <v>285</v>
      </c>
      <c r="W68" s="7" t="s">
        <v>544</v>
      </c>
      <c r="X68" s="7" t="s">
        <v>1067</v>
      </c>
      <c r="Y68" s="7" t="s">
        <v>288</v>
      </c>
      <c r="Z68" s="7" t="s">
        <v>289</v>
      </c>
      <c r="AA68" s="7" t="s">
        <v>317</v>
      </c>
      <c r="AB68" s="7" t="s">
        <v>317</v>
      </c>
      <c r="AC68" s="7" t="s">
        <v>291</v>
      </c>
      <c r="AD68" s="7" t="s">
        <v>292</v>
      </c>
      <c r="AE68">
        <v>11.297000000000001</v>
      </c>
      <c r="AF68">
        <v>13.773</v>
      </c>
      <c r="AG68">
        <v>15.297000000000001</v>
      </c>
      <c r="AH68">
        <v>2</v>
      </c>
      <c r="AI68" s="7" t="s">
        <v>299</v>
      </c>
      <c r="AJ68" s="7" t="s">
        <v>292</v>
      </c>
      <c r="AK68">
        <v>17.648</v>
      </c>
      <c r="AL68">
        <v>19.026</v>
      </c>
      <c r="AM68">
        <v>20.454000000000001</v>
      </c>
      <c r="AN68">
        <v>2</v>
      </c>
      <c r="AO68" s="7" t="s">
        <v>299</v>
      </c>
      <c r="AP68" s="7" t="s">
        <v>296</v>
      </c>
      <c r="AQ68">
        <v>10.507999999999999</v>
      </c>
      <c r="AR68">
        <v>14.112</v>
      </c>
      <c r="AS68">
        <v>14.86</v>
      </c>
      <c r="AT68">
        <v>2</v>
      </c>
      <c r="AU68" s="7" t="s">
        <v>295</v>
      </c>
      <c r="AV68" s="7" t="s">
        <v>292</v>
      </c>
      <c r="AW68">
        <v>11.473000000000001</v>
      </c>
      <c r="AX68">
        <v>13.736000000000001</v>
      </c>
      <c r="AY68">
        <v>15.276</v>
      </c>
      <c r="AZ68">
        <v>2</v>
      </c>
      <c r="BA68" s="7" t="s">
        <v>295</v>
      </c>
      <c r="BB68" s="7" t="s">
        <v>296</v>
      </c>
      <c r="BC68">
        <v>13.827999999999999</v>
      </c>
      <c r="BD68">
        <v>16.68</v>
      </c>
      <c r="BE68">
        <v>18.878</v>
      </c>
      <c r="BF68">
        <v>3</v>
      </c>
      <c r="BG68" s="7" t="s">
        <v>291</v>
      </c>
      <c r="BH68" s="7" t="s">
        <v>292</v>
      </c>
      <c r="BI68">
        <v>31.385000000000002</v>
      </c>
      <c r="BJ68">
        <v>34.625</v>
      </c>
      <c r="BK68">
        <v>35.896999999999998</v>
      </c>
      <c r="BL68">
        <v>2</v>
      </c>
      <c r="BM68" s="7" t="s">
        <v>293</v>
      </c>
      <c r="BN68" s="7" t="s">
        <v>297</v>
      </c>
      <c r="BO68">
        <v>13.978999999999999</v>
      </c>
      <c r="BP68">
        <v>17.035</v>
      </c>
      <c r="BQ68">
        <v>18.440999999999999</v>
      </c>
      <c r="BR68">
        <v>2</v>
      </c>
      <c r="BS68" s="7" t="s">
        <v>298</v>
      </c>
      <c r="BT68" s="7" t="s">
        <v>330</v>
      </c>
      <c r="BU68">
        <v>34.308</v>
      </c>
      <c r="BV68">
        <v>35.706000000000003</v>
      </c>
      <c r="BW68">
        <v>37.043999999999997</v>
      </c>
      <c r="BX68">
        <v>2</v>
      </c>
      <c r="BY68" s="7" t="s">
        <v>295</v>
      </c>
      <c r="BZ68" s="7" t="s">
        <v>292</v>
      </c>
      <c r="CA68">
        <v>12.45</v>
      </c>
      <c r="CB68">
        <v>13.964</v>
      </c>
      <c r="CC68">
        <v>17.788</v>
      </c>
      <c r="CD68">
        <v>2</v>
      </c>
      <c r="CE68" s="7" t="s">
        <v>298</v>
      </c>
      <c r="CF68" s="7" t="s">
        <v>292</v>
      </c>
      <c r="CG68">
        <v>17.100999999999999</v>
      </c>
      <c r="CH68">
        <v>30.838000000000001</v>
      </c>
      <c r="CI68">
        <v>32.398000000000003</v>
      </c>
      <c r="CJ68">
        <v>2</v>
      </c>
      <c r="CK68" s="7" t="s">
        <v>291</v>
      </c>
      <c r="CL68" s="7" t="s">
        <v>296</v>
      </c>
      <c r="CM68">
        <v>11.106</v>
      </c>
      <c r="CN68">
        <v>13.169</v>
      </c>
      <c r="CO68">
        <v>16.875</v>
      </c>
      <c r="CP68">
        <v>2</v>
      </c>
      <c r="CQ68" s="7" t="s">
        <v>299</v>
      </c>
      <c r="CR68" s="7" t="s">
        <v>292</v>
      </c>
      <c r="CS68">
        <v>12.345000000000001</v>
      </c>
      <c r="CT68">
        <v>17.466999999999999</v>
      </c>
      <c r="CU68">
        <v>18.619</v>
      </c>
      <c r="CV68">
        <v>3</v>
      </c>
      <c r="CW68" s="7" t="s">
        <v>298</v>
      </c>
      <c r="CX68" s="7" t="s">
        <v>330</v>
      </c>
      <c r="CY68">
        <v>18.07</v>
      </c>
      <c r="CZ68">
        <v>20.11</v>
      </c>
      <c r="DA68">
        <v>21.628</v>
      </c>
      <c r="DB68">
        <v>2</v>
      </c>
      <c r="DC68" s="7" t="s">
        <v>295</v>
      </c>
      <c r="DD68" s="7" t="s">
        <v>296</v>
      </c>
      <c r="DE68">
        <v>11.759</v>
      </c>
      <c r="DF68">
        <v>17.983000000000001</v>
      </c>
      <c r="DG68">
        <v>20.832999999999998</v>
      </c>
      <c r="DH68">
        <v>3</v>
      </c>
      <c r="DI68" s="7" t="s">
        <v>291</v>
      </c>
      <c r="DJ68" s="7" t="s">
        <v>296</v>
      </c>
      <c r="DK68">
        <v>10.667</v>
      </c>
      <c r="DL68">
        <v>13.859</v>
      </c>
      <c r="DM68">
        <v>15.347</v>
      </c>
      <c r="DN68">
        <v>2</v>
      </c>
      <c r="DO68" s="7" t="s">
        <v>291</v>
      </c>
      <c r="DP68" s="7" t="s">
        <v>292</v>
      </c>
      <c r="DQ68">
        <v>11.329000000000001</v>
      </c>
      <c r="DR68">
        <v>14.951000000000001</v>
      </c>
      <c r="DS68">
        <v>15.794</v>
      </c>
      <c r="DT68">
        <v>2</v>
      </c>
      <c r="DU68" s="7" t="s">
        <v>293</v>
      </c>
      <c r="DV68" s="7" t="s">
        <v>297</v>
      </c>
      <c r="DW68">
        <v>11.663</v>
      </c>
      <c r="DX68">
        <v>14.662000000000001</v>
      </c>
      <c r="DY68">
        <v>16.094999999999999</v>
      </c>
      <c r="DZ68">
        <v>3</v>
      </c>
      <c r="EA68" s="7" t="s">
        <v>293</v>
      </c>
      <c r="EB68" s="7" t="s">
        <v>297</v>
      </c>
      <c r="EC68">
        <v>36.823</v>
      </c>
      <c r="ED68">
        <v>47.191000000000003</v>
      </c>
      <c r="EE68">
        <v>49.268999999999998</v>
      </c>
      <c r="EF68">
        <v>2</v>
      </c>
      <c r="EG68" s="7" t="s">
        <v>295</v>
      </c>
      <c r="EH68" s="7" t="s">
        <v>296</v>
      </c>
      <c r="EI68">
        <v>12.731999999999999</v>
      </c>
      <c r="EJ68">
        <v>15.327999999999999</v>
      </c>
      <c r="EK68">
        <v>16.834</v>
      </c>
      <c r="EL68">
        <v>2</v>
      </c>
      <c r="EM68" s="7" t="s">
        <v>298</v>
      </c>
      <c r="EN68" s="7" t="s">
        <v>292</v>
      </c>
      <c r="EO68">
        <v>15.842000000000001</v>
      </c>
      <c r="EP68">
        <v>17.948</v>
      </c>
      <c r="EQ68">
        <v>20.446000000000002</v>
      </c>
      <c r="ER68">
        <v>2</v>
      </c>
      <c r="ES68" s="7" t="s">
        <v>291</v>
      </c>
      <c r="ET68" s="7" t="s">
        <v>292</v>
      </c>
      <c r="EU68">
        <v>13.843999999999999</v>
      </c>
      <c r="EV68">
        <v>25.245000000000001</v>
      </c>
      <c r="EW68">
        <v>25.65</v>
      </c>
      <c r="EX68">
        <v>5</v>
      </c>
      <c r="EY68" s="7" t="s">
        <v>300</v>
      </c>
      <c r="EZ68" s="7" t="s">
        <v>294</v>
      </c>
      <c r="FA68">
        <v>24.446999999999999</v>
      </c>
      <c r="FB68">
        <v>26.35</v>
      </c>
      <c r="FC68">
        <v>27.667000000000002</v>
      </c>
      <c r="FD68">
        <v>2</v>
      </c>
      <c r="FE68" s="7" t="s">
        <v>301</v>
      </c>
      <c r="FF68" s="7" t="s">
        <v>296</v>
      </c>
      <c r="FG68">
        <v>12.63</v>
      </c>
      <c r="FH68">
        <v>14.114000000000001</v>
      </c>
      <c r="FI68">
        <v>15.4</v>
      </c>
      <c r="FJ68">
        <v>2</v>
      </c>
      <c r="FK68" s="7" t="s">
        <v>291</v>
      </c>
      <c r="FL68" s="7" t="s">
        <v>294</v>
      </c>
      <c r="FM68">
        <v>12.444000000000001</v>
      </c>
      <c r="FN68">
        <v>14.055999999999999</v>
      </c>
      <c r="FO68">
        <v>14.973000000000001</v>
      </c>
      <c r="FP68">
        <v>2</v>
      </c>
      <c r="FQ68" s="7" t="s">
        <v>300</v>
      </c>
      <c r="FR68" s="7" t="s">
        <v>296</v>
      </c>
      <c r="FS68">
        <v>10.45</v>
      </c>
      <c r="FT68">
        <v>12.762</v>
      </c>
      <c r="FU68">
        <v>15.952</v>
      </c>
      <c r="FV68">
        <v>3</v>
      </c>
      <c r="FW68" s="7" t="s">
        <v>301</v>
      </c>
      <c r="FX68" s="7" t="s">
        <v>294</v>
      </c>
      <c r="FY68">
        <v>14.28</v>
      </c>
      <c r="FZ68">
        <v>20.216999999999999</v>
      </c>
      <c r="GA68">
        <v>26.35</v>
      </c>
      <c r="GB68">
        <v>2</v>
      </c>
      <c r="GC68" s="7" t="s">
        <v>291</v>
      </c>
      <c r="GD68" s="7" t="s">
        <v>296</v>
      </c>
      <c r="GE68">
        <v>10.795</v>
      </c>
      <c r="GF68">
        <v>13.430999999999999</v>
      </c>
      <c r="GG68">
        <v>15.051</v>
      </c>
      <c r="GH68">
        <v>2</v>
      </c>
      <c r="GI68" s="7" t="s">
        <v>300</v>
      </c>
      <c r="GJ68" s="7" t="s">
        <v>292</v>
      </c>
      <c r="GK68">
        <v>11.967000000000001</v>
      </c>
      <c r="GL68">
        <v>14.061</v>
      </c>
      <c r="GM68">
        <v>15.750999999999999</v>
      </c>
      <c r="GN68">
        <v>2</v>
      </c>
      <c r="GO68" s="7" t="s">
        <v>301</v>
      </c>
      <c r="GP68" s="7" t="s">
        <v>296</v>
      </c>
      <c r="GQ68">
        <v>12.473000000000001</v>
      </c>
      <c r="GR68">
        <v>14.686999999999999</v>
      </c>
      <c r="GS68">
        <v>16.61</v>
      </c>
      <c r="GT68">
        <v>2</v>
      </c>
      <c r="GU68" s="7" t="s">
        <v>291</v>
      </c>
      <c r="GV68" s="7" t="s">
        <v>296</v>
      </c>
      <c r="GW68">
        <v>15.233000000000001</v>
      </c>
      <c r="GX68">
        <v>22.172000000000001</v>
      </c>
      <c r="GY68">
        <v>23.341999999999999</v>
      </c>
      <c r="GZ68">
        <v>2</v>
      </c>
      <c r="HA68" s="7" t="s">
        <v>300</v>
      </c>
      <c r="HB68" s="7" t="s">
        <v>296</v>
      </c>
      <c r="HC68">
        <v>14.19</v>
      </c>
      <c r="HD68">
        <v>21.544</v>
      </c>
      <c r="HE68">
        <v>23.265000000000001</v>
      </c>
      <c r="HF68">
        <v>2</v>
      </c>
      <c r="HG68" s="7" t="s">
        <v>291</v>
      </c>
      <c r="HH68" s="7" t="s">
        <v>297</v>
      </c>
      <c r="HI68">
        <v>11.54</v>
      </c>
      <c r="HJ68">
        <v>14.8</v>
      </c>
      <c r="HK68">
        <v>18.713999999999999</v>
      </c>
      <c r="HL68">
        <v>2</v>
      </c>
      <c r="HM68" s="7" t="s">
        <v>1068</v>
      </c>
      <c r="HN68" s="7" t="s">
        <v>1069</v>
      </c>
      <c r="HO68" s="7" t="s">
        <v>1070</v>
      </c>
      <c r="HP68" s="7" t="s">
        <v>1071</v>
      </c>
      <c r="HQ68" s="7" t="s">
        <v>1070</v>
      </c>
      <c r="HR68" s="7" t="s">
        <v>1072</v>
      </c>
      <c r="HS68" s="7" t="s">
        <v>693</v>
      </c>
      <c r="HT68" s="7" t="s">
        <v>1073</v>
      </c>
      <c r="HU68" s="7" t="s">
        <v>1074</v>
      </c>
      <c r="HV68" s="7" t="s">
        <v>1075</v>
      </c>
      <c r="HW68" s="7" t="s">
        <v>1076</v>
      </c>
      <c r="HX68" s="7" t="s">
        <v>1077</v>
      </c>
      <c r="HY68" s="7" t="s">
        <v>312</v>
      </c>
      <c r="HZ68" s="7" t="s">
        <v>356</v>
      </c>
      <c r="IA68" s="7" t="s">
        <v>313</v>
      </c>
      <c r="IB68" s="7" t="s">
        <v>282</v>
      </c>
      <c r="IC68" s="7" t="s">
        <v>282</v>
      </c>
    </row>
    <row r="69" spans="1:237" x14ac:dyDescent="0.2">
      <c r="A69" s="6">
        <v>45749.191458333335</v>
      </c>
      <c r="B69" s="6">
        <v>45749.219027777777</v>
      </c>
      <c r="C69" s="7" t="s">
        <v>240</v>
      </c>
      <c r="D69" s="7" t="s">
        <v>1078</v>
      </c>
      <c r="E69">
        <v>100</v>
      </c>
      <c r="F69">
        <v>2381</v>
      </c>
      <c r="G69" s="7" t="s">
        <v>280</v>
      </c>
      <c r="H69" s="6">
        <v>45749.21903641204</v>
      </c>
      <c r="I69" s="7" t="s">
        <v>1079</v>
      </c>
      <c r="J69" s="7" t="s">
        <v>282</v>
      </c>
      <c r="K69" s="7" t="s">
        <v>282</v>
      </c>
      <c r="L69" s="7" t="s">
        <v>282</v>
      </c>
      <c r="M69" s="7" t="s">
        <v>282</v>
      </c>
      <c r="N69">
        <v>51.156399999999998</v>
      </c>
      <c r="O69">
        <v>-114.0566</v>
      </c>
      <c r="P69" s="7" t="s">
        <v>283</v>
      </c>
      <c r="Q69" s="7" t="s">
        <v>284</v>
      </c>
      <c r="R69">
        <v>0.89999997615814209</v>
      </c>
      <c r="S69" s="7" t="s">
        <v>285</v>
      </c>
      <c r="T69" s="7" t="s">
        <v>285</v>
      </c>
      <c r="U69" s="7" t="s">
        <v>285</v>
      </c>
      <c r="V69" s="7" t="s">
        <v>285</v>
      </c>
      <c r="W69" s="7" t="s">
        <v>845</v>
      </c>
      <c r="X69" s="7" t="s">
        <v>860</v>
      </c>
      <c r="Y69" s="7" t="s">
        <v>288</v>
      </c>
      <c r="Z69" s="7" t="s">
        <v>289</v>
      </c>
      <c r="AA69" s="7" t="s">
        <v>289</v>
      </c>
      <c r="AB69" s="7" t="s">
        <v>289</v>
      </c>
      <c r="AC69" s="7" t="s">
        <v>291</v>
      </c>
      <c r="AD69" s="7" t="s">
        <v>294</v>
      </c>
      <c r="AE69">
        <v>9.6910000000000007</v>
      </c>
      <c r="AF69">
        <v>11.875</v>
      </c>
      <c r="AG69">
        <v>13.061999999999999</v>
      </c>
      <c r="AH69">
        <v>2</v>
      </c>
      <c r="AI69" s="7" t="s">
        <v>299</v>
      </c>
      <c r="AJ69" s="7" t="s">
        <v>294</v>
      </c>
      <c r="AK69">
        <v>9.8919999999999995</v>
      </c>
      <c r="AL69">
        <v>11.699</v>
      </c>
      <c r="AM69">
        <v>13.196999999999999</v>
      </c>
      <c r="AN69">
        <v>2</v>
      </c>
      <c r="AO69" s="7" t="s">
        <v>299</v>
      </c>
      <c r="AP69" s="7" t="s">
        <v>294</v>
      </c>
      <c r="AQ69">
        <v>5.4</v>
      </c>
      <c r="AR69">
        <v>6.8179999999999996</v>
      </c>
      <c r="AS69">
        <v>11.247999999999999</v>
      </c>
      <c r="AT69">
        <v>2</v>
      </c>
      <c r="AU69" s="7" t="s">
        <v>295</v>
      </c>
      <c r="AV69" s="7" t="s">
        <v>294</v>
      </c>
      <c r="AW69">
        <v>5.2350000000000003</v>
      </c>
      <c r="AX69">
        <v>8.6890000000000001</v>
      </c>
      <c r="AY69">
        <v>9.6470000000000002</v>
      </c>
      <c r="AZ69">
        <v>2</v>
      </c>
      <c r="BA69" s="7" t="s">
        <v>295</v>
      </c>
      <c r="BB69" s="7" t="s">
        <v>294</v>
      </c>
      <c r="BC69">
        <v>7.0620000000000003</v>
      </c>
      <c r="BD69">
        <v>9.73</v>
      </c>
      <c r="BE69">
        <v>11.407</v>
      </c>
      <c r="BF69">
        <v>2</v>
      </c>
      <c r="BG69" s="7" t="s">
        <v>291</v>
      </c>
      <c r="BH69" s="7" t="s">
        <v>296</v>
      </c>
      <c r="BI69">
        <v>12.347</v>
      </c>
      <c r="BJ69">
        <v>37.527000000000001</v>
      </c>
      <c r="BK69">
        <v>39.622</v>
      </c>
      <c r="BL69">
        <v>6</v>
      </c>
      <c r="BM69" s="7" t="s">
        <v>293</v>
      </c>
      <c r="BN69" s="7" t="s">
        <v>296</v>
      </c>
      <c r="BO69">
        <v>15.603</v>
      </c>
      <c r="BP69">
        <v>29.5</v>
      </c>
      <c r="BQ69">
        <v>31.599</v>
      </c>
      <c r="BR69">
        <v>2</v>
      </c>
      <c r="BS69" s="7" t="s">
        <v>298</v>
      </c>
      <c r="BT69" s="7" t="s">
        <v>296</v>
      </c>
      <c r="BU69">
        <v>20.420000000000002</v>
      </c>
      <c r="BV69">
        <v>26.585999999999999</v>
      </c>
      <c r="BW69">
        <v>69.924999999999997</v>
      </c>
      <c r="BX69">
        <v>2</v>
      </c>
      <c r="BY69" s="7" t="s">
        <v>295</v>
      </c>
      <c r="BZ69" s="7" t="s">
        <v>294</v>
      </c>
      <c r="CA69">
        <v>6.1859999999999999</v>
      </c>
      <c r="CB69">
        <v>7.4580000000000002</v>
      </c>
      <c r="CC69">
        <v>9.8510000000000009</v>
      </c>
      <c r="CD69">
        <v>2</v>
      </c>
      <c r="CE69" s="7" t="s">
        <v>298</v>
      </c>
      <c r="CF69" s="7" t="s">
        <v>294</v>
      </c>
      <c r="CG69">
        <v>14.819000000000001</v>
      </c>
      <c r="CH69">
        <v>24.05</v>
      </c>
      <c r="CI69">
        <v>28.55</v>
      </c>
      <c r="CJ69">
        <v>2</v>
      </c>
      <c r="CK69" s="7" t="s">
        <v>291</v>
      </c>
      <c r="CL69" s="7" t="s">
        <v>294</v>
      </c>
      <c r="CM69">
        <v>7.8840000000000003</v>
      </c>
      <c r="CN69">
        <v>10.358000000000001</v>
      </c>
      <c r="CO69">
        <v>11.255000000000001</v>
      </c>
      <c r="CP69">
        <v>2</v>
      </c>
      <c r="CQ69" s="7" t="s">
        <v>299</v>
      </c>
      <c r="CR69" s="7" t="s">
        <v>296</v>
      </c>
      <c r="CS69">
        <v>12.329000000000001</v>
      </c>
      <c r="CT69">
        <v>52.639000000000003</v>
      </c>
      <c r="CU69">
        <v>54.545999999999999</v>
      </c>
      <c r="CV69">
        <v>3</v>
      </c>
      <c r="CW69" s="7" t="s">
        <v>291</v>
      </c>
      <c r="CX69" s="7" t="s">
        <v>296</v>
      </c>
      <c r="CY69">
        <v>15.147</v>
      </c>
      <c r="CZ69">
        <v>16.888000000000002</v>
      </c>
      <c r="DA69">
        <v>20.475000000000001</v>
      </c>
      <c r="DB69">
        <v>2</v>
      </c>
      <c r="DC69" s="7" t="s">
        <v>295</v>
      </c>
      <c r="DD69" s="7" t="s">
        <v>294</v>
      </c>
      <c r="DE69">
        <v>7.7850000000000001</v>
      </c>
      <c r="DF69">
        <v>9.3699999999999992</v>
      </c>
      <c r="DG69">
        <v>12.012</v>
      </c>
      <c r="DH69">
        <v>2</v>
      </c>
      <c r="DI69" s="7" t="s">
        <v>295</v>
      </c>
      <c r="DJ69" s="7" t="s">
        <v>296</v>
      </c>
      <c r="DK69">
        <v>11.601000000000001</v>
      </c>
      <c r="DL69">
        <v>20.218</v>
      </c>
      <c r="DM69">
        <v>23.106000000000002</v>
      </c>
      <c r="DN69">
        <v>2</v>
      </c>
      <c r="DO69" s="7" t="s">
        <v>291</v>
      </c>
      <c r="DP69" s="7" t="s">
        <v>294</v>
      </c>
      <c r="DQ69">
        <v>5.5270000000000001</v>
      </c>
      <c r="DR69">
        <v>7.9939999999999998</v>
      </c>
      <c r="DS69">
        <v>9.3190000000000008</v>
      </c>
      <c r="DT69">
        <v>2</v>
      </c>
      <c r="DU69" s="7" t="s">
        <v>299</v>
      </c>
      <c r="DV69" s="7" t="s">
        <v>294</v>
      </c>
      <c r="DW69">
        <v>56.103999999999999</v>
      </c>
      <c r="DX69">
        <v>56.996000000000002</v>
      </c>
      <c r="DY69">
        <v>58.811999999999998</v>
      </c>
      <c r="DZ69">
        <v>2</v>
      </c>
      <c r="EA69" s="7" t="s">
        <v>282</v>
      </c>
      <c r="EB69" s="7" t="s">
        <v>297</v>
      </c>
      <c r="EC69">
        <v>45.77</v>
      </c>
      <c r="ED69">
        <v>51.664000000000001</v>
      </c>
      <c r="EE69">
        <v>53.75</v>
      </c>
      <c r="EF69">
        <v>2</v>
      </c>
      <c r="EG69" s="7" t="s">
        <v>295</v>
      </c>
      <c r="EH69" s="7" t="s">
        <v>296</v>
      </c>
      <c r="EI69">
        <v>12.436999999999999</v>
      </c>
      <c r="EJ69">
        <v>17.373999999999999</v>
      </c>
      <c r="EK69">
        <v>18.449000000000002</v>
      </c>
      <c r="EL69">
        <v>3</v>
      </c>
      <c r="EM69" s="7" t="s">
        <v>295</v>
      </c>
      <c r="EN69" s="7" t="s">
        <v>292</v>
      </c>
      <c r="EO69">
        <v>37.273000000000003</v>
      </c>
      <c r="EP69">
        <v>40.174999999999997</v>
      </c>
      <c r="EQ69">
        <v>42.709000000000003</v>
      </c>
      <c r="ER69">
        <v>2</v>
      </c>
      <c r="ES69" s="7" t="s">
        <v>291</v>
      </c>
      <c r="ET69" s="7" t="s">
        <v>292</v>
      </c>
      <c r="EU69">
        <v>6.984</v>
      </c>
      <c r="EV69">
        <v>10.903</v>
      </c>
      <c r="EW69">
        <v>12.154</v>
      </c>
      <c r="EX69">
        <v>2</v>
      </c>
      <c r="EY69" s="7" t="s">
        <v>282</v>
      </c>
      <c r="EZ69" s="7" t="s">
        <v>292</v>
      </c>
      <c r="FA69">
        <v>9.18</v>
      </c>
      <c r="FB69">
        <v>10.249000000000001</v>
      </c>
      <c r="FC69">
        <v>11.438000000000001</v>
      </c>
      <c r="FD69">
        <v>2</v>
      </c>
      <c r="FE69" s="7" t="s">
        <v>282</v>
      </c>
      <c r="FF69" s="7" t="s">
        <v>296</v>
      </c>
      <c r="FG69">
        <v>5.7960000000000003</v>
      </c>
      <c r="FH69">
        <v>10.183</v>
      </c>
      <c r="FI69">
        <v>11.3</v>
      </c>
      <c r="FJ69">
        <v>2</v>
      </c>
      <c r="FK69" s="7" t="s">
        <v>301</v>
      </c>
      <c r="FL69" s="7" t="s">
        <v>296</v>
      </c>
      <c r="FM69">
        <v>6.9550000000000001</v>
      </c>
      <c r="FN69">
        <v>8.7319999999999993</v>
      </c>
      <c r="FO69">
        <v>10.131</v>
      </c>
      <c r="FP69">
        <v>2</v>
      </c>
      <c r="FQ69" s="7" t="s">
        <v>300</v>
      </c>
      <c r="FR69" s="7" t="s">
        <v>292</v>
      </c>
      <c r="FS69">
        <v>8.4</v>
      </c>
      <c r="FT69">
        <v>13.086</v>
      </c>
      <c r="FU69">
        <v>15.462</v>
      </c>
      <c r="FV69">
        <v>2</v>
      </c>
      <c r="FW69" s="7" t="s">
        <v>282</v>
      </c>
      <c r="FX69" s="7" t="s">
        <v>292</v>
      </c>
      <c r="FY69">
        <v>11.166</v>
      </c>
      <c r="FZ69">
        <v>14.99</v>
      </c>
      <c r="GA69">
        <v>16.628</v>
      </c>
      <c r="GB69">
        <v>3</v>
      </c>
      <c r="GC69" s="7" t="s">
        <v>291</v>
      </c>
      <c r="GD69" s="7" t="s">
        <v>296</v>
      </c>
      <c r="GE69">
        <v>19.913</v>
      </c>
      <c r="GF69">
        <v>21.289000000000001</v>
      </c>
      <c r="GG69">
        <v>22.274000000000001</v>
      </c>
      <c r="GH69">
        <v>2</v>
      </c>
      <c r="GI69" s="7" t="s">
        <v>300</v>
      </c>
      <c r="GJ69" s="7" t="s">
        <v>292</v>
      </c>
      <c r="GK69">
        <v>17.594000000000001</v>
      </c>
      <c r="GL69">
        <v>20.134</v>
      </c>
      <c r="GM69">
        <v>21.448</v>
      </c>
      <c r="GN69">
        <v>2</v>
      </c>
      <c r="GO69" s="7" t="s">
        <v>301</v>
      </c>
      <c r="GP69" s="7" t="s">
        <v>292</v>
      </c>
      <c r="GQ69">
        <v>14.487</v>
      </c>
      <c r="GR69">
        <v>16.225999999999999</v>
      </c>
      <c r="GS69">
        <v>18.297999999999998</v>
      </c>
      <c r="GT69">
        <v>2</v>
      </c>
      <c r="GU69" s="7" t="s">
        <v>291</v>
      </c>
      <c r="GV69" s="7" t="s">
        <v>296</v>
      </c>
      <c r="GW69">
        <v>7.8630000000000004</v>
      </c>
      <c r="GX69">
        <v>9.9649999999999999</v>
      </c>
      <c r="GY69">
        <v>11.041</v>
      </c>
      <c r="GZ69">
        <v>2</v>
      </c>
      <c r="HA69" s="7" t="s">
        <v>282</v>
      </c>
      <c r="HB69" s="7" t="s">
        <v>292</v>
      </c>
      <c r="HC69">
        <v>8.5449999999999999</v>
      </c>
      <c r="HD69">
        <v>75.774000000000001</v>
      </c>
      <c r="HE69">
        <v>77.122</v>
      </c>
      <c r="HF69">
        <v>3</v>
      </c>
      <c r="HG69" s="7" t="s">
        <v>291</v>
      </c>
      <c r="HH69" s="7" t="s">
        <v>296</v>
      </c>
      <c r="HI69">
        <v>12.151999999999999</v>
      </c>
      <c r="HJ69">
        <v>16.856000000000002</v>
      </c>
      <c r="HK69">
        <v>17.298999999999999</v>
      </c>
      <c r="HL69">
        <v>3</v>
      </c>
      <c r="HM69" s="7" t="s">
        <v>1080</v>
      </c>
      <c r="HN69" s="7" t="s">
        <v>1081</v>
      </c>
      <c r="HO69" s="7" t="s">
        <v>1082</v>
      </c>
      <c r="HP69" s="7" t="s">
        <v>1082</v>
      </c>
      <c r="HQ69" s="7" t="s">
        <v>1083</v>
      </c>
      <c r="HR69" s="7" t="s">
        <v>1084</v>
      </c>
      <c r="HS69" s="7" t="s">
        <v>1085</v>
      </c>
      <c r="HT69" s="7" t="s">
        <v>1086</v>
      </c>
      <c r="HU69" s="7" t="s">
        <v>1087</v>
      </c>
      <c r="HV69" s="7" t="s">
        <v>1088</v>
      </c>
      <c r="HW69" s="7" t="s">
        <v>282</v>
      </c>
      <c r="HX69" s="7" t="s">
        <v>1089</v>
      </c>
      <c r="HY69" s="7" t="s">
        <v>312</v>
      </c>
      <c r="HZ69" s="7" t="s">
        <v>372</v>
      </c>
      <c r="IA69" s="7" t="s">
        <v>325</v>
      </c>
      <c r="IB69" s="7" t="s">
        <v>282</v>
      </c>
      <c r="IC69" s="7" t="s">
        <v>282</v>
      </c>
    </row>
    <row r="70" spans="1:237" x14ac:dyDescent="0.2">
      <c r="A70" s="6">
        <v>45749.257291666669</v>
      </c>
      <c r="B70" s="6">
        <v>45749.279675925929</v>
      </c>
      <c r="C70" s="7" t="s">
        <v>240</v>
      </c>
      <c r="D70" s="7" t="s">
        <v>1090</v>
      </c>
      <c r="E70">
        <v>100</v>
      </c>
      <c r="F70">
        <v>1934</v>
      </c>
      <c r="G70" s="7" t="s">
        <v>280</v>
      </c>
      <c r="H70" s="6">
        <v>45749.27969127315</v>
      </c>
      <c r="I70" s="7" t="s">
        <v>1091</v>
      </c>
      <c r="J70" s="7" t="s">
        <v>282</v>
      </c>
      <c r="K70" s="7" t="s">
        <v>282</v>
      </c>
      <c r="L70" s="7" t="s">
        <v>282</v>
      </c>
      <c r="M70" s="7" t="s">
        <v>282</v>
      </c>
      <c r="N70">
        <v>49.939900000000002</v>
      </c>
      <c r="O70">
        <v>-97.216800000000006</v>
      </c>
      <c r="P70" s="7" t="s">
        <v>283</v>
      </c>
      <c r="Q70" s="7" t="s">
        <v>284</v>
      </c>
      <c r="R70">
        <v>0.89999997615814209</v>
      </c>
      <c r="S70" s="7" t="s">
        <v>285</v>
      </c>
      <c r="T70" s="7" t="s">
        <v>285</v>
      </c>
      <c r="U70" s="7" t="s">
        <v>285</v>
      </c>
      <c r="V70" s="7" t="s">
        <v>285</v>
      </c>
      <c r="W70" s="7" t="s">
        <v>359</v>
      </c>
      <c r="X70" s="7" t="s">
        <v>328</v>
      </c>
      <c r="Y70" s="7" t="s">
        <v>288</v>
      </c>
      <c r="Z70" s="7" t="s">
        <v>289</v>
      </c>
      <c r="AA70" s="7" t="s">
        <v>317</v>
      </c>
      <c r="AB70" s="7" t="s">
        <v>289</v>
      </c>
      <c r="AC70" s="7" t="s">
        <v>291</v>
      </c>
      <c r="AD70" s="7" t="s">
        <v>292</v>
      </c>
      <c r="AE70">
        <v>12.878</v>
      </c>
      <c r="AF70">
        <v>24.120999999999999</v>
      </c>
      <c r="AG70">
        <v>24.802</v>
      </c>
      <c r="AH70">
        <v>10</v>
      </c>
      <c r="AI70" s="7" t="s">
        <v>293</v>
      </c>
      <c r="AJ70" s="7" t="s">
        <v>292</v>
      </c>
      <c r="AK70">
        <v>7.9640000000000004</v>
      </c>
      <c r="AL70">
        <v>13.079000000000001</v>
      </c>
      <c r="AM70">
        <v>13.709</v>
      </c>
      <c r="AN70">
        <v>8</v>
      </c>
      <c r="AO70" s="7" t="s">
        <v>293</v>
      </c>
      <c r="AP70" s="7" t="s">
        <v>294</v>
      </c>
      <c r="AQ70">
        <v>10.599</v>
      </c>
      <c r="AR70">
        <v>15.43</v>
      </c>
      <c r="AS70">
        <v>16.161999999999999</v>
      </c>
      <c r="AT70">
        <v>7</v>
      </c>
      <c r="AU70" s="7" t="s">
        <v>295</v>
      </c>
      <c r="AV70" s="7" t="s">
        <v>294</v>
      </c>
      <c r="AW70">
        <v>13.500999999999999</v>
      </c>
      <c r="AX70">
        <v>17.516999999999999</v>
      </c>
      <c r="AY70">
        <v>17.905999999999999</v>
      </c>
      <c r="AZ70">
        <v>6</v>
      </c>
      <c r="BA70" s="7" t="s">
        <v>299</v>
      </c>
      <c r="BB70" s="7" t="s">
        <v>294</v>
      </c>
      <c r="BC70">
        <v>19.045999999999999</v>
      </c>
      <c r="BD70">
        <v>46.420999999999999</v>
      </c>
      <c r="BE70">
        <v>47.307000000000002</v>
      </c>
      <c r="BF70">
        <v>11</v>
      </c>
      <c r="BG70" s="7" t="s">
        <v>291</v>
      </c>
      <c r="BH70" s="7" t="s">
        <v>296</v>
      </c>
      <c r="BI70">
        <v>7.0949999999999998</v>
      </c>
      <c r="BJ70">
        <v>13.488</v>
      </c>
      <c r="BK70">
        <v>13.897</v>
      </c>
      <c r="BL70">
        <v>5</v>
      </c>
      <c r="BM70" s="7" t="s">
        <v>293</v>
      </c>
      <c r="BN70" s="7" t="s">
        <v>294</v>
      </c>
      <c r="BO70">
        <v>12.182</v>
      </c>
      <c r="BP70">
        <v>17.28</v>
      </c>
      <c r="BQ70">
        <v>17.745999999999999</v>
      </c>
      <c r="BR70">
        <v>6</v>
      </c>
      <c r="BS70" s="7" t="s">
        <v>295</v>
      </c>
      <c r="BT70" s="7" t="s">
        <v>296</v>
      </c>
      <c r="BU70">
        <v>8.0839999999999996</v>
      </c>
      <c r="BV70">
        <v>14.228999999999999</v>
      </c>
      <c r="BW70">
        <v>14.821</v>
      </c>
      <c r="BX70">
        <v>7</v>
      </c>
      <c r="BY70" s="7" t="s">
        <v>295</v>
      </c>
      <c r="BZ70" s="7" t="s">
        <v>296</v>
      </c>
      <c r="CA70">
        <v>15.420999999999999</v>
      </c>
      <c r="CB70">
        <v>18.414000000000001</v>
      </c>
      <c r="CC70">
        <v>19.321999999999999</v>
      </c>
      <c r="CD70">
        <v>6</v>
      </c>
      <c r="CE70" s="7" t="s">
        <v>298</v>
      </c>
      <c r="CF70" s="7" t="s">
        <v>296</v>
      </c>
      <c r="CG70">
        <v>18.565999999999999</v>
      </c>
      <c r="CH70">
        <v>35.96</v>
      </c>
      <c r="CI70">
        <v>36.918999999999997</v>
      </c>
      <c r="CJ70">
        <v>13</v>
      </c>
      <c r="CK70" s="7" t="s">
        <v>291</v>
      </c>
      <c r="CL70" s="7" t="s">
        <v>294</v>
      </c>
      <c r="CM70">
        <v>11.525</v>
      </c>
      <c r="CN70">
        <v>14.566000000000001</v>
      </c>
      <c r="CO70">
        <v>15.412000000000001</v>
      </c>
      <c r="CP70">
        <v>5</v>
      </c>
      <c r="CQ70" s="7" t="s">
        <v>293</v>
      </c>
      <c r="CR70" s="7" t="s">
        <v>294</v>
      </c>
      <c r="CS70">
        <v>16.27</v>
      </c>
      <c r="CT70">
        <v>42.713000000000001</v>
      </c>
      <c r="CU70">
        <v>43.628999999999998</v>
      </c>
      <c r="CV70">
        <v>12</v>
      </c>
      <c r="CW70" s="7" t="s">
        <v>295</v>
      </c>
      <c r="CX70" s="7" t="s">
        <v>292</v>
      </c>
      <c r="CY70">
        <v>12.945</v>
      </c>
      <c r="CZ70">
        <v>58.076000000000001</v>
      </c>
      <c r="DA70">
        <v>58.610999999999997</v>
      </c>
      <c r="DB70">
        <v>15</v>
      </c>
      <c r="DC70" s="7" t="s">
        <v>298</v>
      </c>
      <c r="DD70" s="7" t="s">
        <v>296</v>
      </c>
      <c r="DE70">
        <v>11.574999999999999</v>
      </c>
      <c r="DF70">
        <v>15.791</v>
      </c>
      <c r="DG70">
        <v>16.584</v>
      </c>
      <c r="DH70">
        <v>6</v>
      </c>
      <c r="DI70" s="7" t="s">
        <v>291</v>
      </c>
      <c r="DJ70" s="7" t="s">
        <v>296</v>
      </c>
      <c r="DK70">
        <v>13.981</v>
      </c>
      <c r="DL70">
        <v>25.094999999999999</v>
      </c>
      <c r="DM70">
        <v>25.529</v>
      </c>
      <c r="DN70">
        <v>7</v>
      </c>
      <c r="DO70" s="7" t="s">
        <v>291</v>
      </c>
      <c r="DP70" s="7" t="s">
        <v>296</v>
      </c>
      <c r="DQ70">
        <v>9.2889999999999997</v>
      </c>
      <c r="DR70">
        <v>27.353999999999999</v>
      </c>
      <c r="DS70">
        <v>27.542000000000002</v>
      </c>
      <c r="DT70">
        <v>10</v>
      </c>
      <c r="DU70" s="7" t="s">
        <v>299</v>
      </c>
      <c r="DV70" s="7" t="s">
        <v>292</v>
      </c>
      <c r="DW70">
        <v>12.833</v>
      </c>
      <c r="DX70">
        <v>23.032</v>
      </c>
      <c r="DY70">
        <v>23.637</v>
      </c>
      <c r="DZ70">
        <v>7</v>
      </c>
      <c r="EA70" s="7" t="s">
        <v>299</v>
      </c>
      <c r="EB70" s="7" t="s">
        <v>296</v>
      </c>
      <c r="EC70">
        <v>13.221</v>
      </c>
      <c r="ED70">
        <v>32.244</v>
      </c>
      <c r="EE70">
        <v>32.715000000000003</v>
      </c>
      <c r="EF70">
        <v>9</v>
      </c>
      <c r="EG70" s="7" t="s">
        <v>298</v>
      </c>
      <c r="EH70" s="7" t="s">
        <v>292</v>
      </c>
      <c r="EI70">
        <v>13.233000000000001</v>
      </c>
      <c r="EJ70">
        <v>21.710999999999999</v>
      </c>
      <c r="EK70">
        <v>22.440999999999999</v>
      </c>
      <c r="EL70">
        <v>10</v>
      </c>
      <c r="EM70" s="7" t="s">
        <v>291</v>
      </c>
      <c r="EN70" s="7" t="s">
        <v>296</v>
      </c>
      <c r="EO70">
        <v>13.183999999999999</v>
      </c>
      <c r="EP70">
        <v>18.47</v>
      </c>
      <c r="EQ70">
        <v>19.388000000000002</v>
      </c>
      <c r="ER70">
        <v>4</v>
      </c>
      <c r="ES70" s="7" t="s">
        <v>291</v>
      </c>
      <c r="ET70" s="7" t="s">
        <v>296</v>
      </c>
      <c r="EU70">
        <v>13.646000000000001</v>
      </c>
      <c r="EV70">
        <v>19.876999999999999</v>
      </c>
      <c r="EW70">
        <v>20.344000000000001</v>
      </c>
      <c r="EX70">
        <v>7</v>
      </c>
      <c r="EY70" s="7" t="s">
        <v>300</v>
      </c>
      <c r="EZ70" s="7" t="s">
        <v>294</v>
      </c>
      <c r="FA70">
        <v>6.9580000000000002</v>
      </c>
      <c r="FB70">
        <v>13.814</v>
      </c>
      <c r="FC70">
        <v>14.499000000000001</v>
      </c>
      <c r="FD70">
        <v>8</v>
      </c>
      <c r="FE70" s="7" t="s">
        <v>301</v>
      </c>
      <c r="FF70" s="7" t="s">
        <v>296</v>
      </c>
      <c r="FG70">
        <v>12.571999999999999</v>
      </c>
      <c r="FH70">
        <v>19.513999999999999</v>
      </c>
      <c r="FI70">
        <v>19.943000000000001</v>
      </c>
      <c r="FJ70">
        <v>6</v>
      </c>
      <c r="FK70" s="7" t="s">
        <v>291</v>
      </c>
      <c r="FL70" s="7" t="s">
        <v>294</v>
      </c>
      <c r="FM70">
        <v>7.1970000000000001</v>
      </c>
      <c r="FN70">
        <v>12.51</v>
      </c>
      <c r="FO70">
        <v>12.997999999999999</v>
      </c>
      <c r="FP70">
        <v>5</v>
      </c>
      <c r="FQ70" s="7" t="s">
        <v>300</v>
      </c>
      <c r="FR70" s="7" t="s">
        <v>294</v>
      </c>
      <c r="FS70">
        <v>9.65</v>
      </c>
      <c r="FT70">
        <v>15.581</v>
      </c>
      <c r="FU70">
        <v>16.056000000000001</v>
      </c>
      <c r="FV70">
        <v>6</v>
      </c>
      <c r="FW70" s="7" t="s">
        <v>301</v>
      </c>
      <c r="FX70" s="7" t="s">
        <v>294</v>
      </c>
      <c r="FY70">
        <v>13.106</v>
      </c>
      <c r="FZ70">
        <v>17.602</v>
      </c>
      <c r="GA70">
        <v>17.992000000000001</v>
      </c>
      <c r="GB70">
        <v>8</v>
      </c>
      <c r="GC70" s="7" t="s">
        <v>291</v>
      </c>
      <c r="GD70" s="7" t="s">
        <v>294</v>
      </c>
      <c r="GE70">
        <v>5.5229999999999997</v>
      </c>
      <c r="GF70">
        <v>21.123000000000001</v>
      </c>
      <c r="GG70">
        <v>21.64</v>
      </c>
      <c r="GH70">
        <v>7</v>
      </c>
      <c r="GI70" s="7" t="s">
        <v>300</v>
      </c>
      <c r="GJ70" s="7" t="s">
        <v>294</v>
      </c>
      <c r="GK70">
        <v>28.669</v>
      </c>
      <c r="GL70">
        <v>42.924999999999997</v>
      </c>
      <c r="GM70">
        <v>43.387999999999998</v>
      </c>
      <c r="GN70">
        <v>7</v>
      </c>
      <c r="GO70" s="7" t="s">
        <v>301</v>
      </c>
      <c r="GP70" s="7" t="s">
        <v>296</v>
      </c>
      <c r="GQ70">
        <v>15.637</v>
      </c>
      <c r="GR70">
        <v>24.446000000000002</v>
      </c>
      <c r="GS70">
        <v>25.114000000000001</v>
      </c>
      <c r="GT70">
        <v>10</v>
      </c>
      <c r="GU70" s="7" t="s">
        <v>291</v>
      </c>
      <c r="GV70" s="7" t="s">
        <v>294</v>
      </c>
      <c r="GW70">
        <v>8.1790000000000003</v>
      </c>
      <c r="GX70">
        <v>13.805999999999999</v>
      </c>
      <c r="GY70">
        <v>14.425000000000001</v>
      </c>
      <c r="GZ70">
        <v>7</v>
      </c>
      <c r="HA70" s="7" t="s">
        <v>300</v>
      </c>
      <c r="HB70" s="7" t="s">
        <v>294</v>
      </c>
      <c r="HC70">
        <v>31.013000000000002</v>
      </c>
      <c r="HD70">
        <v>45.212000000000003</v>
      </c>
      <c r="HE70">
        <v>45.923999999999999</v>
      </c>
      <c r="HF70">
        <v>11</v>
      </c>
      <c r="HG70" s="7" t="s">
        <v>300</v>
      </c>
      <c r="HH70" s="7" t="s">
        <v>296</v>
      </c>
      <c r="HI70">
        <v>6.9850000000000003</v>
      </c>
      <c r="HJ70">
        <v>11.439</v>
      </c>
      <c r="HK70">
        <v>12.093</v>
      </c>
      <c r="HL70">
        <v>5</v>
      </c>
      <c r="HM70" s="7" t="s">
        <v>1092</v>
      </c>
      <c r="HN70" s="7" t="s">
        <v>1093</v>
      </c>
      <c r="HO70" s="7" t="s">
        <v>1094</v>
      </c>
      <c r="HP70" s="7" t="s">
        <v>1095</v>
      </c>
      <c r="HQ70" s="7" t="s">
        <v>1096</v>
      </c>
      <c r="HR70" s="7" t="s">
        <v>1097</v>
      </c>
      <c r="HS70" s="7" t="s">
        <v>1098</v>
      </c>
      <c r="HT70" s="7" t="s">
        <v>1099</v>
      </c>
      <c r="HU70" s="7" t="s">
        <v>1100</v>
      </c>
      <c r="HV70" s="7" t="s">
        <v>1101</v>
      </c>
      <c r="HW70" s="7" t="s">
        <v>1102</v>
      </c>
      <c r="HX70" s="7" t="s">
        <v>282</v>
      </c>
      <c r="HY70" s="7" t="s">
        <v>312</v>
      </c>
      <c r="HZ70" s="7" t="s">
        <v>372</v>
      </c>
      <c r="IA70" s="7" t="s">
        <v>325</v>
      </c>
      <c r="IB70" s="7" t="s">
        <v>282</v>
      </c>
      <c r="IC70" s="7" t="s">
        <v>282</v>
      </c>
    </row>
    <row r="71" spans="1:237" x14ac:dyDescent="0.2">
      <c r="A71" s="6">
        <v>45749.312685185185</v>
      </c>
      <c r="B71" s="6">
        <v>45749.33289351852</v>
      </c>
      <c r="C71" s="7" t="s">
        <v>240</v>
      </c>
      <c r="D71" s="7" t="s">
        <v>1103</v>
      </c>
      <c r="E71">
        <v>100</v>
      </c>
      <c r="F71">
        <v>1746</v>
      </c>
      <c r="G71" s="7" t="s">
        <v>280</v>
      </c>
      <c r="H71" s="6">
        <v>45749.332909710647</v>
      </c>
      <c r="I71" s="7" t="s">
        <v>1104</v>
      </c>
      <c r="J71" s="7" t="s">
        <v>282</v>
      </c>
      <c r="K71" s="7" t="s">
        <v>282</v>
      </c>
      <c r="L71" s="7" t="s">
        <v>282</v>
      </c>
      <c r="M71" s="7" t="s">
        <v>282</v>
      </c>
      <c r="N71">
        <v>39.018000000000001</v>
      </c>
      <c r="O71">
        <v>-77.539000000000001</v>
      </c>
      <c r="P71" s="7" t="s">
        <v>283</v>
      </c>
      <c r="Q71" s="7" t="s">
        <v>284</v>
      </c>
      <c r="R71">
        <v>1</v>
      </c>
      <c r="S71" s="7" t="s">
        <v>285</v>
      </c>
      <c r="T71" s="7" t="s">
        <v>285</v>
      </c>
      <c r="U71" s="7" t="s">
        <v>285</v>
      </c>
      <c r="V71" s="7" t="s">
        <v>285</v>
      </c>
      <c r="W71" s="7" t="s">
        <v>286</v>
      </c>
      <c r="X71" s="7" t="s">
        <v>375</v>
      </c>
      <c r="Y71" s="7" t="s">
        <v>288</v>
      </c>
      <c r="Z71" s="7" t="s">
        <v>289</v>
      </c>
      <c r="AA71" s="7" t="s">
        <v>289</v>
      </c>
      <c r="AB71" s="7" t="s">
        <v>317</v>
      </c>
      <c r="AC71" s="7" t="s">
        <v>295</v>
      </c>
      <c r="AD71" s="7" t="s">
        <v>292</v>
      </c>
      <c r="AE71">
        <v>3.2869999999999999</v>
      </c>
      <c r="AF71">
        <v>29.634</v>
      </c>
      <c r="AG71">
        <v>30.984000000000002</v>
      </c>
      <c r="AH71">
        <v>11</v>
      </c>
      <c r="AI71" s="7" t="s">
        <v>299</v>
      </c>
      <c r="AJ71" s="7" t="s">
        <v>292</v>
      </c>
      <c r="AK71">
        <v>2.7639999999999998</v>
      </c>
      <c r="AL71">
        <v>17.721</v>
      </c>
      <c r="AM71">
        <v>18.155999999999999</v>
      </c>
      <c r="AN71">
        <v>10</v>
      </c>
      <c r="AO71" s="7" t="s">
        <v>299</v>
      </c>
      <c r="AP71" s="7" t="s">
        <v>294</v>
      </c>
      <c r="AQ71">
        <v>1.532</v>
      </c>
      <c r="AR71">
        <v>15.653</v>
      </c>
      <c r="AS71">
        <v>16.303999999999998</v>
      </c>
      <c r="AT71">
        <v>10</v>
      </c>
      <c r="AU71" s="7" t="s">
        <v>295</v>
      </c>
      <c r="AV71" s="7" t="s">
        <v>296</v>
      </c>
      <c r="AW71">
        <v>6.0220000000000002</v>
      </c>
      <c r="AX71">
        <v>24.858000000000001</v>
      </c>
      <c r="AY71">
        <v>25.306000000000001</v>
      </c>
      <c r="AZ71">
        <v>8</v>
      </c>
      <c r="BA71" s="7" t="s">
        <v>295</v>
      </c>
      <c r="BB71" s="7" t="s">
        <v>294</v>
      </c>
      <c r="BC71">
        <v>1.9430000000000001</v>
      </c>
      <c r="BD71">
        <v>20.855</v>
      </c>
      <c r="BE71">
        <v>21.454000000000001</v>
      </c>
      <c r="BF71">
        <v>11</v>
      </c>
      <c r="BG71" s="7" t="s">
        <v>291</v>
      </c>
      <c r="BH71" s="7" t="s">
        <v>294</v>
      </c>
      <c r="BI71">
        <v>0.68300000000000005</v>
      </c>
      <c r="BJ71">
        <v>16.988</v>
      </c>
      <c r="BK71">
        <v>17.344000000000001</v>
      </c>
      <c r="BL71">
        <v>11</v>
      </c>
      <c r="BM71" s="7" t="s">
        <v>293</v>
      </c>
      <c r="BN71" s="7" t="s">
        <v>296</v>
      </c>
      <c r="BO71">
        <v>3.7269999999999999</v>
      </c>
      <c r="BP71">
        <v>18.550999999999998</v>
      </c>
      <c r="BQ71">
        <v>19.350000000000001</v>
      </c>
      <c r="BR71">
        <v>8</v>
      </c>
      <c r="BS71" s="7" t="s">
        <v>291</v>
      </c>
      <c r="BT71" s="7" t="s">
        <v>294</v>
      </c>
      <c r="BU71">
        <v>2.8370000000000002</v>
      </c>
      <c r="BV71">
        <v>18.370999999999999</v>
      </c>
      <c r="BW71">
        <v>19.355</v>
      </c>
      <c r="BX71">
        <v>12</v>
      </c>
      <c r="BY71" s="7" t="s">
        <v>295</v>
      </c>
      <c r="BZ71" s="7" t="s">
        <v>292</v>
      </c>
      <c r="CA71">
        <v>2.5409999999999999</v>
      </c>
      <c r="CB71">
        <v>33.034999999999997</v>
      </c>
      <c r="CC71">
        <v>33.737000000000002</v>
      </c>
      <c r="CD71">
        <v>16</v>
      </c>
      <c r="CE71" s="7" t="s">
        <v>298</v>
      </c>
      <c r="CF71" s="7" t="s">
        <v>296</v>
      </c>
      <c r="CG71">
        <v>4.3609999999999998</v>
      </c>
      <c r="CH71">
        <v>25.164999999999999</v>
      </c>
      <c r="CI71">
        <v>25.713000000000001</v>
      </c>
      <c r="CJ71">
        <v>11</v>
      </c>
      <c r="CK71" s="7" t="s">
        <v>291</v>
      </c>
      <c r="CL71" s="7" t="s">
        <v>294</v>
      </c>
      <c r="CM71">
        <v>5.4610000000000003</v>
      </c>
      <c r="CN71">
        <v>22.233000000000001</v>
      </c>
      <c r="CO71">
        <v>22.637</v>
      </c>
      <c r="CP71">
        <v>9</v>
      </c>
      <c r="CQ71" s="7" t="s">
        <v>293</v>
      </c>
      <c r="CR71" s="7" t="s">
        <v>292</v>
      </c>
      <c r="CS71">
        <v>1.04</v>
      </c>
      <c r="CT71">
        <v>20.39</v>
      </c>
      <c r="CU71">
        <v>21.044</v>
      </c>
      <c r="CV71">
        <v>10</v>
      </c>
      <c r="CW71" s="7" t="s">
        <v>291</v>
      </c>
      <c r="CX71" s="7" t="s">
        <v>297</v>
      </c>
      <c r="CY71">
        <v>4.0330000000000004</v>
      </c>
      <c r="CZ71">
        <v>25.135999999999999</v>
      </c>
      <c r="DA71">
        <v>25.486000000000001</v>
      </c>
      <c r="DB71">
        <v>11</v>
      </c>
      <c r="DC71" s="7" t="s">
        <v>298</v>
      </c>
      <c r="DD71" s="7" t="s">
        <v>296</v>
      </c>
      <c r="DE71">
        <v>2.3370000000000002</v>
      </c>
      <c r="DF71">
        <v>28.927</v>
      </c>
      <c r="DG71">
        <v>29.338000000000001</v>
      </c>
      <c r="DH71">
        <v>11</v>
      </c>
      <c r="DI71" s="7" t="s">
        <v>298</v>
      </c>
      <c r="DJ71" s="7" t="s">
        <v>296</v>
      </c>
      <c r="DK71">
        <v>1.9490000000000001</v>
      </c>
      <c r="DL71">
        <v>19.832000000000001</v>
      </c>
      <c r="DM71">
        <v>20.436</v>
      </c>
      <c r="DN71">
        <v>9</v>
      </c>
      <c r="DO71" s="7" t="s">
        <v>291</v>
      </c>
      <c r="DP71" s="7" t="s">
        <v>294</v>
      </c>
      <c r="DQ71">
        <v>1.897</v>
      </c>
      <c r="DR71">
        <v>18.449000000000002</v>
      </c>
      <c r="DS71">
        <v>18.649999999999999</v>
      </c>
      <c r="DT71">
        <v>11</v>
      </c>
      <c r="DU71" s="7" t="s">
        <v>299</v>
      </c>
      <c r="DV71" s="7" t="s">
        <v>292</v>
      </c>
      <c r="DW71">
        <v>1.583</v>
      </c>
      <c r="DX71">
        <v>25.291</v>
      </c>
      <c r="DY71">
        <v>25.838999999999999</v>
      </c>
      <c r="DZ71">
        <v>13</v>
      </c>
      <c r="EA71" s="7" t="s">
        <v>299</v>
      </c>
      <c r="EB71" s="7" t="s">
        <v>292</v>
      </c>
      <c r="EC71">
        <v>3.6240000000000001</v>
      </c>
      <c r="ED71">
        <v>27.036999999999999</v>
      </c>
      <c r="EE71">
        <v>27.971</v>
      </c>
      <c r="EF71">
        <v>13</v>
      </c>
      <c r="EG71" s="7" t="s">
        <v>295</v>
      </c>
      <c r="EH71" s="7" t="s">
        <v>292</v>
      </c>
      <c r="EI71">
        <v>4.3280000000000003</v>
      </c>
      <c r="EJ71">
        <v>28.622</v>
      </c>
      <c r="EK71">
        <v>29.190999999999999</v>
      </c>
      <c r="EL71">
        <v>15</v>
      </c>
      <c r="EM71" s="7" t="s">
        <v>298</v>
      </c>
      <c r="EN71" s="7" t="s">
        <v>296</v>
      </c>
      <c r="EO71">
        <v>5.7590000000000003</v>
      </c>
      <c r="EP71">
        <v>17.265999999999998</v>
      </c>
      <c r="EQ71">
        <v>17.638000000000002</v>
      </c>
      <c r="ER71">
        <v>5</v>
      </c>
      <c r="ES71" s="7" t="s">
        <v>291</v>
      </c>
      <c r="ET71" s="7" t="s">
        <v>292</v>
      </c>
      <c r="EU71">
        <v>5.5529999999999999</v>
      </c>
      <c r="EV71">
        <v>36.33</v>
      </c>
      <c r="EW71">
        <v>36.847000000000001</v>
      </c>
      <c r="EX71">
        <v>13</v>
      </c>
      <c r="EY71" s="7" t="s">
        <v>301</v>
      </c>
      <c r="EZ71" s="7" t="s">
        <v>292</v>
      </c>
      <c r="FA71">
        <v>1.601</v>
      </c>
      <c r="FB71">
        <v>25.564</v>
      </c>
      <c r="FC71">
        <v>26.074000000000002</v>
      </c>
      <c r="FD71">
        <v>10</v>
      </c>
      <c r="FE71" s="7" t="s">
        <v>301</v>
      </c>
      <c r="FF71" s="7" t="s">
        <v>294</v>
      </c>
      <c r="FG71">
        <v>3.3919999999999999</v>
      </c>
      <c r="FH71">
        <v>21.762</v>
      </c>
      <c r="FI71">
        <v>22.166</v>
      </c>
      <c r="FJ71">
        <v>7</v>
      </c>
      <c r="FK71" s="7" t="s">
        <v>291</v>
      </c>
      <c r="FL71" s="7" t="s">
        <v>296</v>
      </c>
      <c r="FM71">
        <v>2.7639999999999998</v>
      </c>
      <c r="FN71">
        <v>20.363</v>
      </c>
      <c r="FO71">
        <v>20.59</v>
      </c>
      <c r="FP71">
        <v>13</v>
      </c>
      <c r="FQ71" s="7" t="s">
        <v>300</v>
      </c>
      <c r="FR71" s="7" t="s">
        <v>296</v>
      </c>
      <c r="FS71">
        <v>3.786</v>
      </c>
      <c r="FT71">
        <v>28.018000000000001</v>
      </c>
      <c r="FU71">
        <v>28.905999999999999</v>
      </c>
      <c r="FV71">
        <v>8</v>
      </c>
      <c r="FW71" s="7" t="s">
        <v>301</v>
      </c>
      <c r="FX71" s="7" t="s">
        <v>294</v>
      </c>
      <c r="FY71">
        <v>2.4820000000000002</v>
      </c>
      <c r="FZ71">
        <v>16.22</v>
      </c>
      <c r="GA71">
        <v>16.991</v>
      </c>
      <c r="GB71">
        <v>14</v>
      </c>
      <c r="GC71" s="7" t="s">
        <v>291</v>
      </c>
      <c r="GD71" s="7" t="s">
        <v>294</v>
      </c>
      <c r="GE71">
        <v>1.7969999999999999</v>
      </c>
      <c r="GF71">
        <v>24.997</v>
      </c>
      <c r="GG71">
        <v>25.448</v>
      </c>
      <c r="GH71">
        <v>7</v>
      </c>
      <c r="GI71" s="7" t="s">
        <v>300</v>
      </c>
      <c r="GJ71" s="7" t="s">
        <v>294</v>
      </c>
      <c r="GK71">
        <v>7.3929999999999998</v>
      </c>
      <c r="GL71">
        <v>39.981999999999999</v>
      </c>
      <c r="GM71">
        <v>41.033000000000001</v>
      </c>
      <c r="GN71">
        <v>10</v>
      </c>
      <c r="GO71" s="7" t="s">
        <v>301</v>
      </c>
      <c r="GP71" s="7" t="s">
        <v>294</v>
      </c>
      <c r="GQ71">
        <v>5.6559999999999997</v>
      </c>
      <c r="GR71">
        <v>18.18</v>
      </c>
      <c r="GS71">
        <v>18.797000000000001</v>
      </c>
      <c r="GT71">
        <v>7</v>
      </c>
      <c r="GU71" s="7" t="s">
        <v>291</v>
      </c>
      <c r="GV71" s="7" t="s">
        <v>296</v>
      </c>
      <c r="GW71">
        <v>3.6659999999999999</v>
      </c>
      <c r="GX71">
        <v>18.687999999999999</v>
      </c>
      <c r="GY71">
        <v>19.489999999999998</v>
      </c>
      <c r="GZ71">
        <v>10</v>
      </c>
      <c r="HA71" s="7" t="s">
        <v>301</v>
      </c>
      <c r="HB71" s="7" t="s">
        <v>292</v>
      </c>
      <c r="HC71">
        <v>5.6269999999999998</v>
      </c>
      <c r="HD71">
        <v>31.076000000000001</v>
      </c>
      <c r="HE71">
        <v>31.591000000000001</v>
      </c>
      <c r="HF71">
        <v>10</v>
      </c>
      <c r="HG71" s="7" t="s">
        <v>291</v>
      </c>
      <c r="HH71" s="7" t="s">
        <v>292</v>
      </c>
      <c r="HI71">
        <v>2.444</v>
      </c>
      <c r="HJ71">
        <v>27.388999999999999</v>
      </c>
      <c r="HK71">
        <v>27.89</v>
      </c>
      <c r="HL71">
        <v>8</v>
      </c>
      <c r="HM71" s="7" t="s">
        <v>1105</v>
      </c>
      <c r="HN71" s="7" t="s">
        <v>1106</v>
      </c>
      <c r="HO71" s="7" t="s">
        <v>1107</v>
      </c>
      <c r="HP71" s="7" t="s">
        <v>1108</v>
      </c>
      <c r="HQ71" s="7" t="s">
        <v>1109</v>
      </c>
      <c r="HR71" s="7" t="s">
        <v>1110</v>
      </c>
      <c r="HS71" s="7" t="s">
        <v>1111</v>
      </c>
      <c r="HT71" s="7" t="s">
        <v>1112</v>
      </c>
      <c r="HU71" s="7" t="s">
        <v>1113</v>
      </c>
      <c r="HV71" s="7" t="s">
        <v>1114</v>
      </c>
      <c r="HW71" s="7" t="s">
        <v>282</v>
      </c>
      <c r="HX71" s="7" t="s">
        <v>1115</v>
      </c>
      <c r="HY71" s="7" t="s">
        <v>312</v>
      </c>
      <c r="HZ71" s="7" t="s">
        <v>356</v>
      </c>
      <c r="IA71" s="7" t="s">
        <v>313</v>
      </c>
      <c r="IB71" s="7" t="s">
        <v>282</v>
      </c>
      <c r="IC71" s="7" t="s">
        <v>282</v>
      </c>
    </row>
    <row r="72" spans="1:237" x14ac:dyDescent="0.2">
      <c r="A72" s="6">
        <v>45749.327013888891</v>
      </c>
      <c r="B72" s="6">
        <v>45749.336516203701</v>
      </c>
      <c r="C72" s="7" t="s">
        <v>240</v>
      </c>
      <c r="D72" s="7" t="s">
        <v>1116</v>
      </c>
      <c r="E72">
        <v>100</v>
      </c>
      <c r="F72">
        <v>820</v>
      </c>
      <c r="G72" s="7" t="s">
        <v>280</v>
      </c>
      <c r="H72" s="6">
        <v>45749.336532337962</v>
      </c>
      <c r="I72" s="7" t="s">
        <v>1117</v>
      </c>
      <c r="J72" s="7" t="s">
        <v>282</v>
      </c>
      <c r="K72" s="7" t="s">
        <v>282</v>
      </c>
      <c r="L72" s="7" t="s">
        <v>282</v>
      </c>
      <c r="M72" s="7" t="s">
        <v>282</v>
      </c>
      <c r="N72">
        <v>49.463500000000003</v>
      </c>
      <c r="O72">
        <v>-122.822</v>
      </c>
      <c r="P72" s="7" t="s">
        <v>283</v>
      </c>
      <c r="Q72" s="7" t="s">
        <v>284</v>
      </c>
      <c r="R72">
        <v>1</v>
      </c>
      <c r="S72" s="7" t="s">
        <v>285</v>
      </c>
      <c r="T72" s="7" t="s">
        <v>285</v>
      </c>
      <c r="U72" s="7" t="s">
        <v>285</v>
      </c>
      <c r="V72" s="7" t="s">
        <v>285</v>
      </c>
      <c r="W72" s="7" t="s">
        <v>286</v>
      </c>
      <c r="X72" s="7" t="s">
        <v>1118</v>
      </c>
      <c r="Y72" s="7" t="s">
        <v>288</v>
      </c>
      <c r="Z72" s="7" t="s">
        <v>289</v>
      </c>
      <c r="AA72" s="7" t="s">
        <v>289</v>
      </c>
      <c r="AB72" s="7" t="s">
        <v>317</v>
      </c>
      <c r="AC72" s="7" t="s">
        <v>291</v>
      </c>
      <c r="AD72" s="7" t="s">
        <v>292</v>
      </c>
      <c r="AE72">
        <v>10.028</v>
      </c>
      <c r="AF72">
        <v>11.506</v>
      </c>
      <c r="AG72">
        <v>12.567</v>
      </c>
      <c r="AH72">
        <v>2</v>
      </c>
      <c r="AI72" s="7" t="s">
        <v>299</v>
      </c>
      <c r="AJ72" s="7" t="s">
        <v>296</v>
      </c>
      <c r="AK72">
        <v>15.664999999999999</v>
      </c>
      <c r="AL72">
        <v>16.881</v>
      </c>
      <c r="AM72">
        <v>17.553000000000001</v>
      </c>
      <c r="AN72">
        <v>2</v>
      </c>
      <c r="AO72" s="7" t="s">
        <v>293</v>
      </c>
      <c r="AP72" s="7" t="s">
        <v>294</v>
      </c>
      <c r="AQ72">
        <v>8.9649999999999999</v>
      </c>
      <c r="AR72">
        <v>10.481</v>
      </c>
      <c r="AS72">
        <v>11.407</v>
      </c>
      <c r="AT72">
        <v>2</v>
      </c>
      <c r="AU72" s="7" t="s">
        <v>298</v>
      </c>
      <c r="AV72" s="7" t="s">
        <v>297</v>
      </c>
      <c r="AW72">
        <v>12.146000000000001</v>
      </c>
      <c r="AX72">
        <v>14.013</v>
      </c>
      <c r="AY72">
        <v>15.082000000000001</v>
      </c>
      <c r="AZ72">
        <v>2</v>
      </c>
      <c r="BA72" s="7" t="s">
        <v>299</v>
      </c>
      <c r="BB72" s="7" t="s">
        <v>296</v>
      </c>
      <c r="BC72">
        <v>11.5</v>
      </c>
      <c r="BD72">
        <v>13.3</v>
      </c>
      <c r="BE72">
        <v>14.387</v>
      </c>
      <c r="BF72">
        <v>2</v>
      </c>
      <c r="BG72" s="7" t="s">
        <v>291</v>
      </c>
      <c r="BH72" s="7" t="s">
        <v>294</v>
      </c>
      <c r="BI72">
        <v>10.436999999999999</v>
      </c>
      <c r="BJ72">
        <v>11.741</v>
      </c>
      <c r="BK72">
        <v>12.356999999999999</v>
      </c>
      <c r="BL72">
        <v>2</v>
      </c>
      <c r="BM72" s="7" t="s">
        <v>293</v>
      </c>
      <c r="BN72" s="7" t="s">
        <v>296</v>
      </c>
      <c r="BO72">
        <v>7.48</v>
      </c>
      <c r="BP72">
        <v>8.6470000000000002</v>
      </c>
      <c r="BQ72">
        <v>9.8670000000000009</v>
      </c>
      <c r="BR72">
        <v>2</v>
      </c>
      <c r="BS72" s="7" t="s">
        <v>299</v>
      </c>
      <c r="BT72" s="7" t="s">
        <v>292</v>
      </c>
      <c r="BU72">
        <v>18.09</v>
      </c>
      <c r="BV72">
        <v>19.672999999999998</v>
      </c>
      <c r="BW72">
        <v>20.398</v>
      </c>
      <c r="BX72">
        <v>2</v>
      </c>
      <c r="BY72" s="7" t="s">
        <v>298</v>
      </c>
      <c r="BZ72" s="7" t="s">
        <v>297</v>
      </c>
      <c r="CA72">
        <v>16.175999999999998</v>
      </c>
      <c r="CB72">
        <v>25.625</v>
      </c>
      <c r="CC72">
        <v>26.530999999999999</v>
      </c>
      <c r="CD72">
        <v>3</v>
      </c>
      <c r="CE72" s="7" t="s">
        <v>298</v>
      </c>
      <c r="CF72" s="7" t="s">
        <v>296</v>
      </c>
      <c r="CG72">
        <v>5.9969999999999999</v>
      </c>
      <c r="CH72">
        <v>7.7640000000000002</v>
      </c>
      <c r="CI72">
        <v>9.0009999999999994</v>
      </c>
      <c r="CJ72">
        <v>2</v>
      </c>
      <c r="CK72" s="7" t="s">
        <v>291</v>
      </c>
      <c r="CL72" s="7" t="s">
        <v>296</v>
      </c>
      <c r="CM72">
        <v>8.0500000000000007</v>
      </c>
      <c r="CN72">
        <v>9.3859999999999992</v>
      </c>
      <c r="CO72">
        <v>10.776999999999999</v>
      </c>
      <c r="CP72">
        <v>2</v>
      </c>
      <c r="CQ72" s="7" t="s">
        <v>293</v>
      </c>
      <c r="CR72" s="7" t="s">
        <v>294</v>
      </c>
      <c r="CS72">
        <v>11.539</v>
      </c>
      <c r="CT72">
        <v>13.205</v>
      </c>
      <c r="CU72">
        <v>14.827</v>
      </c>
      <c r="CV72">
        <v>2</v>
      </c>
      <c r="CW72" s="7" t="s">
        <v>299</v>
      </c>
      <c r="CX72" s="7" t="s">
        <v>292</v>
      </c>
      <c r="CY72">
        <v>17.744</v>
      </c>
      <c r="CZ72">
        <v>20.021999999999998</v>
      </c>
      <c r="DA72">
        <v>20.844000000000001</v>
      </c>
      <c r="DB72">
        <v>3</v>
      </c>
      <c r="DC72" s="7" t="s">
        <v>298</v>
      </c>
      <c r="DD72" s="7" t="s">
        <v>292</v>
      </c>
      <c r="DE72">
        <v>51.71</v>
      </c>
      <c r="DF72">
        <v>56.472000000000001</v>
      </c>
      <c r="DG72">
        <v>57.545000000000002</v>
      </c>
      <c r="DH72">
        <v>3</v>
      </c>
      <c r="DI72" s="7" t="s">
        <v>298</v>
      </c>
      <c r="DJ72" s="7" t="s">
        <v>296</v>
      </c>
      <c r="DK72">
        <v>8.5679999999999996</v>
      </c>
      <c r="DL72">
        <v>10.196999999999999</v>
      </c>
      <c r="DM72">
        <v>11.468</v>
      </c>
      <c r="DN72">
        <v>2</v>
      </c>
      <c r="DO72" s="7" t="s">
        <v>291</v>
      </c>
      <c r="DP72" s="7" t="s">
        <v>296</v>
      </c>
      <c r="DQ72">
        <v>7.6509999999999998</v>
      </c>
      <c r="DR72">
        <v>9.7840000000000007</v>
      </c>
      <c r="DS72">
        <v>14.241</v>
      </c>
      <c r="DT72">
        <v>2</v>
      </c>
      <c r="DU72" s="7" t="s">
        <v>299</v>
      </c>
      <c r="DV72" s="7" t="s">
        <v>292</v>
      </c>
      <c r="DW72">
        <v>7.867</v>
      </c>
      <c r="DX72">
        <v>17.018999999999998</v>
      </c>
      <c r="DY72">
        <v>19.806000000000001</v>
      </c>
      <c r="DZ72">
        <v>4</v>
      </c>
      <c r="EA72" s="7" t="s">
        <v>291</v>
      </c>
      <c r="EB72" s="7" t="s">
        <v>296</v>
      </c>
      <c r="EC72">
        <v>9.6180000000000003</v>
      </c>
      <c r="ED72">
        <v>10.629</v>
      </c>
      <c r="EE72">
        <v>12.27</v>
      </c>
      <c r="EF72">
        <v>2</v>
      </c>
      <c r="EG72" s="7" t="s">
        <v>291</v>
      </c>
      <c r="EH72" s="7" t="s">
        <v>296</v>
      </c>
      <c r="EI72">
        <v>10.96</v>
      </c>
      <c r="EJ72">
        <v>13.209</v>
      </c>
      <c r="EK72">
        <v>14.163</v>
      </c>
      <c r="EL72">
        <v>2</v>
      </c>
      <c r="EM72" s="7" t="s">
        <v>291</v>
      </c>
      <c r="EN72" s="7" t="s">
        <v>292</v>
      </c>
      <c r="EO72">
        <v>19.981999999999999</v>
      </c>
      <c r="EP72">
        <v>24.081</v>
      </c>
      <c r="EQ72">
        <v>25.484999999999999</v>
      </c>
      <c r="ER72">
        <v>2</v>
      </c>
      <c r="ES72" s="7" t="s">
        <v>291</v>
      </c>
      <c r="ET72" s="7" t="s">
        <v>296</v>
      </c>
      <c r="EU72">
        <v>7.6619999999999999</v>
      </c>
      <c r="EV72">
        <v>10.6</v>
      </c>
      <c r="EW72">
        <v>12.199</v>
      </c>
      <c r="EX72">
        <v>3</v>
      </c>
      <c r="EY72" s="7" t="s">
        <v>300</v>
      </c>
      <c r="EZ72" s="7" t="s">
        <v>296</v>
      </c>
      <c r="FA72">
        <v>6.5110000000000001</v>
      </c>
      <c r="FB72">
        <v>7.0759999999999996</v>
      </c>
      <c r="FC72">
        <v>9.2309999999999999</v>
      </c>
      <c r="FD72">
        <v>2</v>
      </c>
      <c r="FE72" s="7" t="s">
        <v>300</v>
      </c>
      <c r="FF72" s="7" t="s">
        <v>296</v>
      </c>
      <c r="FG72">
        <v>8.0760000000000005</v>
      </c>
      <c r="FH72">
        <v>9.9600000000000009</v>
      </c>
      <c r="FI72">
        <v>10.831</v>
      </c>
      <c r="FJ72">
        <v>2</v>
      </c>
      <c r="FK72" s="7" t="s">
        <v>291</v>
      </c>
      <c r="FL72" s="7" t="s">
        <v>296</v>
      </c>
      <c r="FM72">
        <v>11.433</v>
      </c>
      <c r="FN72">
        <v>12.984999999999999</v>
      </c>
      <c r="FO72">
        <v>14.951000000000001</v>
      </c>
      <c r="FP72">
        <v>2</v>
      </c>
      <c r="FQ72" s="7" t="s">
        <v>300</v>
      </c>
      <c r="FR72" s="7" t="s">
        <v>296</v>
      </c>
      <c r="FS72">
        <v>3.355</v>
      </c>
      <c r="FT72">
        <v>7.2050000000000001</v>
      </c>
      <c r="FU72">
        <v>8.8089999999999993</v>
      </c>
      <c r="FV72">
        <v>2</v>
      </c>
      <c r="FW72" s="7" t="s">
        <v>300</v>
      </c>
      <c r="FX72" s="7" t="s">
        <v>296</v>
      </c>
      <c r="FY72">
        <v>4.6319999999999997</v>
      </c>
      <c r="FZ72">
        <v>5.3540000000000001</v>
      </c>
      <c r="GA72">
        <v>9.7899999999999991</v>
      </c>
      <c r="GB72">
        <v>2</v>
      </c>
      <c r="GC72" s="7" t="s">
        <v>301</v>
      </c>
      <c r="GD72" s="7" t="s">
        <v>296</v>
      </c>
      <c r="GE72">
        <v>6.4470000000000001</v>
      </c>
      <c r="GF72">
        <v>8.0180000000000007</v>
      </c>
      <c r="GG72">
        <v>9.7010000000000005</v>
      </c>
      <c r="GH72">
        <v>2</v>
      </c>
      <c r="GI72" s="7" t="s">
        <v>300</v>
      </c>
      <c r="GJ72" s="7" t="s">
        <v>296</v>
      </c>
      <c r="GK72">
        <v>5.617</v>
      </c>
      <c r="GL72">
        <v>6.6710000000000003</v>
      </c>
      <c r="GM72">
        <v>9.4719999999999995</v>
      </c>
      <c r="GN72">
        <v>2</v>
      </c>
      <c r="GO72" s="7" t="s">
        <v>301</v>
      </c>
      <c r="GP72" s="7" t="s">
        <v>296</v>
      </c>
      <c r="GQ72">
        <v>5.125</v>
      </c>
      <c r="GR72">
        <v>6.141</v>
      </c>
      <c r="GS72">
        <v>9.1620000000000008</v>
      </c>
      <c r="GT72">
        <v>2</v>
      </c>
      <c r="GU72" s="7" t="s">
        <v>301</v>
      </c>
      <c r="GV72" s="7" t="s">
        <v>296</v>
      </c>
      <c r="GW72">
        <v>5.1970000000000001</v>
      </c>
      <c r="GX72">
        <v>6.2640000000000002</v>
      </c>
      <c r="GY72">
        <v>9.6329999999999991</v>
      </c>
      <c r="GZ72">
        <v>2</v>
      </c>
      <c r="HA72" s="7" t="s">
        <v>300</v>
      </c>
      <c r="HB72" s="7" t="s">
        <v>296</v>
      </c>
      <c r="HC72">
        <v>5.5679999999999996</v>
      </c>
      <c r="HD72">
        <v>6.7160000000000002</v>
      </c>
      <c r="HE72">
        <v>9.4179999999999993</v>
      </c>
      <c r="HF72">
        <v>2</v>
      </c>
      <c r="HG72" s="7" t="s">
        <v>291</v>
      </c>
      <c r="HH72" s="7" t="s">
        <v>296</v>
      </c>
      <c r="HI72">
        <v>7.7770000000000001</v>
      </c>
      <c r="HJ72">
        <v>11.461</v>
      </c>
      <c r="HK72">
        <v>12.353999999999999</v>
      </c>
      <c r="HL72">
        <v>3</v>
      </c>
      <c r="HM72" s="7" t="s">
        <v>1119</v>
      </c>
      <c r="HN72" s="7" t="s">
        <v>1120</v>
      </c>
      <c r="HO72" s="7" t="s">
        <v>1121</v>
      </c>
      <c r="HP72" s="7" t="s">
        <v>1122</v>
      </c>
      <c r="HQ72" s="7" t="s">
        <v>1123</v>
      </c>
      <c r="HR72" s="7" t="s">
        <v>1124</v>
      </c>
      <c r="HS72" s="7" t="s">
        <v>1125</v>
      </c>
      <c r="HT72" s="7" t="s">
        <v>1126</v>
      </c>
      <c r="HU72" s="7" t="s">
        <v>1127</v>
      </c>
      <c r="HV72" s="7" t="s">
        <v>1127</v>
      </c>
      <c r="HW72" s="7" t="s">
        <v>282</v>
      </c>
      <c r="HX72" s="7" t="s">
        <v>282</v>
      </c>
      <c r="HY72" s="7" t="s">
        <v>312</v>
      </c>
      <c r="HZ72" s="7" t="s">
        <v>372</v>
      </c>
      <c r="IA72" s="7" t="s">
        <v>325</v>
      </c>
      <c r="IB72" s="7" t="s">
        <v>282</v>
      </c>
      <c r="IC72" s="7" t="s">
        <v>282</v>
      </c>
    </row>
    <row r="73" spans="1:237" x14ac:dyDescent="0.2">
      <c r="A73" s="6">
        <v>45749.460451388892</v>
      </c>
      <c r="B73" s="6">
        <v>45749.486168981479</v>
      </c>
      <c r="C73" s="7" t="s">
        <v>240</v>
      </c>
      <c r="D73" s="7" t="s">
        <v>1128</v>
      </c>
      <c r="E73">
        <v>100</v>
      </c>
      <c r="F73">
        <v>2221</v>
      </c>
      <c r="G73" s="7" t="s">
        <v>280</v>
      </c>
      <c r="H73" s="6">
        <v>45749.486180138891</v>
      </c>
      <c r="I73" s="7" t="s">
        <v>1129</v>
      </c>
      <c r="J73" s="7" t="s">
        <v>282</v>
      </c>
      <c r="K73" s="7" t="s">
        <v>282</v>
      </c>
      <c r="L73" s="7" t="s">
        <v>282</v>
      </c>
      <c r="M73" s="7" t="s">
        <v>282</v>
      </c>
      <c r="N73">
        <v>-37.918900000000001</v>
      </c>
      <c r="O73">
        <v>145.126</v>
      </c>
      <c r="P73" s="7" t="s">
        <v>283</v>
      </c>
      <c r="Q73" s="7" t="s">
        <v>284</v>
      </c>
      <c r="R73">
        <v>0.5</v>
      </c>
      <c r="S73" s="7" t="s">
        <v>285</v>
      </c>
      <c r="T73" s="7" t="s">
        <v>285</v>
      </c>
      <c r="U73" s="7" t="s">
        <v>285</v>
      </c>
      <c r="V73" s="7" t="s">
        <v>285</v>
      </c>
      <c r="W73" s="7" t="s">
        <v>286</v>
      </c>
      <c r="X73" s="7" t="s">
        <v>287</v>
      </c>
      <c r="Y73" s="7" t="s">
        <v>288</v>
      </c>
      <c r="Z73" s="7" t="s">
        <v>329</v>
      </c>
      <c r="AA73" s="7" t="s">
        <v>290</v>
      </c>
      <c r="AB73" s="7" t="s">
        <v>317</v>
      </c>
      <c r="AC73" s="7" t="s">
        <v>291</v>
      </c>
      <c r="AD73" s="7" t="s">
        <v>296</v>
      </c>
      <c r="AE73">
        <v>6.6520000000000001</v>
      </c>
      <c r="AF73">
        <v>9.4039999999999999</v>
      </c>
      <c r="AG73">
        <v>10.442</v>
      </c>
      <c r="AH73">
        <v>2</v>
      </c>
      <c r="AI73" s="7" t="s">
        <v>293</v>
      </c>
      <c r="AJ73" s="7" t="s">
        <v>296</v>
      </c>
      <c r="AK73">
        <v>8.9819999999999993</v>
      </c>
      <c r="AL73">
        <v>11.06</v>
      </c>
      <c r="AM73">
        <v>12.269</v>
      </c>
      <c r="AN73">
        <v>2</v>
      </c>
      <c r="AO73" s="7" t="s">
        <v>293</v>
      </c>
      <c r="AP73" s="7" t="s">
        <v>296</v>
      </c>
      <c r="AQ73">
        <v>7.282</v>
      </c>
      <c r="AR73">
        <v>11.407</v>
      </c>
      <c r="AS73">
        <v>12.85</v>
      </c>
      <c r="AT73">
        <v>2</v>
      </c>
      <c r="AU73" s="7" t="s">
        <v>299</v>
      </c>
      <c r="AV73" s="7" t="s">
        <v>292</v>
      </c>
      <c r="AW73">
        <v>9.5050000000000008</v>
      </c>
      <c r="AX73">
        <v>11.545999999999999</v>
      </c>
      <c r="AY73">
        <v>14.315</v>
      </c>
      <c r="AZ73">
        <v>2</v>
      </c>
      <c r="BA73" s="7" t="s">
        <v>299</v>
      </c>
      <c r="BB73" s="7" t="s">
        <v>294</v>
      </c>
      <c r="BC73">
        <v>6.1479999999999997</v>
      </c>
      <c r="BD73">
        <v>10.335000000000001</v>
      </c>
      <c r="BE73">
        <v>11.941000000000001</v>
      </c>
      <c r="BF73">
        <v>3</v>
      </c>
      <c r="BG73" s="7" t="s">
        <v>291</v>
      </c>
      <c r="BH73" s="7" t="s">
        <v>292</v>
      </c>
      <c r="BI73">
        <v>8.6929999999999996</v>
      </c>
      <c r="BJ73">
        <v>10.592000000000001</v>
      </c>
      <c r="BK73">
        <v>11.471</v>
      </c>
      <c r="BL73">
        <v>2</v>
      </c>
      <c r="BM73" s="7" t="s">
        <v>293</v>
      </c>
      <c r="BN73" s="7" t="s">
        <v>296</v>
      </c>
      <c r="BO73">
        <v>5.9459999999999997</v>
      </c>
      <c r="BP73">
        <v>7.2210000000000001</v>
      </c>
      <c r="BQ73">
        <v>9.0679999999999996</v>
      </c>
      <c r="BR73">
        <v>2</v>
      </c>
      <c r="BS73" s="7" t="s">
        <v>291</v>
      </c>
      <c r="BT73" s="7" t="s">
        <v>292</v>
      </c>
      <c r="BU73">
        <v>24.928000000000001</v>
      </c>
      <c r="BV73">
        <v>26.12</v>
      </c>
      <c r="BW73">
        <v>26.872</v>
      </c>
      <c r="BX73">
        <v>2</v>
      </c>
      <c r="BY73" s="7" t="s">
        <v>299</v>
      </c>
      <c r="BZ73" s="7" t="s">
        <v>292</v>
      </c>
      <c r="CA73">
        <v>9.9770000000000003</v>
      </c>
      <c r="CB73">
        <v>11.635</v>
      </c>
      <c r="CC73">
        <v>12.679</v>
      </c>
      <c r="CD73">
        <v>2</v>
      </c>
      <c r="CE73" s="7" t="s">
        <v>298</v>
      </c>
      <c r="CF73" s="7" t="s">
        <v>296</v>
      </c>
      <c r="CG73">
        <v>6.593</v>
      </c>
      <c r="CH73">
        <v>8.5739999999999998</v>
      </c>
      <c r="CI73">
        <v>9.9930000000000003</v>
      </c>
      <c r="CJ73">
        <v>2</v>
      </c>
      <c r="CK73" s="7" t="s">
        <v>291</v>
      </c>
      <c r="CL73" s="7" t="s">
        <v>296</v>
      </c>
      <c r="CM73">
        <v>8.5660000000000007</v>
      </c>
      <c r="CN73">
        <v>10.538</v>
      </c>
      <c r="CO73">
        <v>12.032999999999999</v>
      </c>
      <c r="CP73">
        <v>2</v>
      </c>
      <c r="CQ73" s="7" t="s">
        <v>293</v>
      </c>
      <c r="CR73" s="7" t="s">
        <v>296</v>
      </c>
      <c r="CS73">
        <v>10.212999999999999</v>
      </c>
      <c r="CT73">
        <v>12.426</v>
      </c>
      <c r="CU73">
        <v>13.32</v>
      </c>
      <c r="CV73">
        <v>2</v>
      </c>
      <c r="CW73" s="7" t="s">
        <v>291</v>
      </c>
      <c r="CX73" s="7" t="s">
        <v>296</v>
      </c>
      <c r="CY73">
        <v>5.9219999999999997</v>
      </c>
      <c r="CZ73">
        <v>9.4849999999999994</v>
      </c>
      <c r="DA73">
        <v>10.432</v>
      </c>
      <c r="DB73">
        <v>2</v>
      </c>
      <c r="DC73" s="7" t="s">
        <v>295</v>
      </c>
      <c r="DD73" s="7" t="s">
        <v>296</v>
      </c>
      <c r="DE73">
        <v>7.43</v>
      </c>
      <c r="DF73">
        <v>12.403</v>
      </c>
      <c r="DG73">
        <v>13.252000000000001</v>
      </c>
      <c r="DH73">
        <v>2</v>
      </c>
      <c r="DI73" s="7" t="s">
        <v>298</v>
      </c>
      <c r="DJ73" s="7" t="s">
        <v>292</v>
      </c>
      <c r="DK73">
        <v>12.079000000000001</v>
      </c>
      <c r="DL73">
        <v>17.920999999999999</v>
      </c>
      <c r="DM73">
        <v>18.620999999999999</v>
      </c>
      <c r="DN73">
        <v>2</v>
      </c>
      <c r="DO73" s="7" t="s">
        <v>291</v>
      </c>
      <c r="DP73" s="7" t="s">
        <v>296</v>
      </c>
      <c r="DQ73">
        <v>6.9820000000000002</v>
      </c>
      <c r="DR73">
        <v>10.558999999999999</v>
      </c>
      <c r="DS73">
        <v>11.275</v>
      </c>
      <c r="DT73">
        <v>2</v>
      </c>
      <c r="DU73" s="7" t="s">
        <v>293</v>
      </c>
      <c r="DV73" s="7" t="s">
        <v>296</v>
      </c>
      <c r="DW73">
        <v>5.4409999999999998</v>
      </c>
      <c r="DX73">
        <v>6.7990000000000004</v>
      </c>
      <c r="DY73">
        <v>8.9600000000000009</v>
      </c>
      <c r="DZ73">
        <v>2</v>
      </c>
      <c r="EA73" s="7" t="s">
        <v>291</v>
      </c>
      <c r="EB73" s="7" t="s">
        <v>296</v>
      </c>
      <c r="EC73">
        <v>5.9210000000000003</v>
      </c>
      <c r="ED73">
        <v>10.069000000000001</v>
      </c>
      <c r="EE73">
        <v>11.098000000000001</v>
      </c>
      <c r="EF73">
        <v>2</v>
      </c>
      <c r="EG73" s="7" t="s">
        <v>295</v>
      </c>
      <c r="EH73" s="7" t="s">
        <v>296</v>
      </c>
      <c r="EI73">
        <v>11.238</v>
      </c>
      <c r="EJ73">
        <v>12.971</v>
      </c>
      <c r="EK73">
        <v>14.795</v>
      </c>
      <c r="EL73">
        <v>2</v>
      </c>
      <c r="EM73" s="7" t="s">
        <v>298</v>
      </c>
      <c r="EN73" s="7" t="s">
        <v>292</v>
      </c>
      <c r="EO73">
        <v>9.2360000000000007</v>
      </c>
      <c r="EP73">
        <v>12.679</v>
      </c>
      <c r="EQ73">
        <v>13.581</v>
      </c>
      <c r="ER73">
        <v>2</v>
      </c>
      <c r="ES73" s="7" t="s">
        <v>282</v>
      </c>
      <c r="ET73" s="7" t="s">
        <v>292</v>
      </c>
      <c r="EU73">
        <v>11.829000000000001</v>
      </c>
      <c r="EV73">
        <v>17.747</v>
      </c>
      <c r="EW73">
        <v>19.067</v>
      </c>
      <c r="EX73">
        <v>2</v>
      </c>
      <c r="EY73" s="7" t="s">
        <v>300</v>
      </c>
      <c r="EZ73" s="7" t="s">
        <v>294</v>
      </c>
      <c r="FA73">
        <v>14.826000000000001</v>
      </c>
      <c r="FB73">
        <v>26.128</v>
      </c>
      <c r="FC73">
        <v>27.172000000000001</v>
      </c>
      <c r="FD73">
        <v>2</v>
      </c>
      <c r="FE73" s="7" t="s">
        <v>301</v>
      </c>
      <c r="FF73" s="7" t="s">
        <v>292</v>
      </c>
      <c r="FG73">
        <v>8.5820000000000007</v>
      </c>
      <c r="FH73">
        <v>11.762</v>
      </c>
      <c r="FI73">
        <v>12.611000000000001</v>
      </c>
      <c r="FJ73">
        <v>3</v>
      </c>
      <c r="FK73" s="7" t="s">
        <v>291</v>
      </c>
      <c r="FL73" s="7" t="s">
        <v>294</v>
      </c>
      <c r="FM73">
        <v>8.6229999999999993</v>
      </c>
      <c r="FN73">
        <v>11.622999999999999</v>
      </c>
      <c r="FO73">
        <v>13.214</v>
      </c>
      <c r="FP73">
        <v>2</v>
      </c>
      <c r="FQ73" s="7" t="s">
        <v>300</v>
      </c>
      <c r="FR73" s="7" t="s">
        <v>296</v>
      </c>
      <c r="FS73">
        <v>7.3440000000000003</v>
      </c>
      <c r="FT73">
        <v>9.6690000000000005</v>
      </c>
      <c r="FU73">
        <v>10.263</v>
      </c>
      <c r="FV73">
        <v>2</v>
      </c>
      <c r="FW73" s="7" t="s">
        <v>282</v>
      </c>
      <c r="FX73" s="7" t="s">
        <v>292</v>
      </c>
      <c r="FY73">
        <v>35.799999999999997</v>
      </c>
      <c r="FZ73">
        <v>46.997999999999998</v>
      </c>
      <c r="GA73">
        <v>47.981999999999999</v>
      </c>
      <c r="GB73">
        <v>2</v>
      </c>
      <c r="GC73" s="7" t="s">
        <v>291</v>
      </c>
      <c r="GD73" s="7" t="s">
        <v>296</v>
      </c>
      <c r="GE73">
        <v>11.271000000000001</v>
      </c>
      <c r="GF73">
        <v>12.583</v>
      </c>
      <c r="GG73">
        <v>13.5</v>
      </c>
      <c r="GH73">
        <v>2</v>
      </c>
      <c r="GI73" s="7" t="s">
        <v>300</v>
      </c>
      <c r="GJ73" s="7" t="s">
        <v>296</v>
      </c>
      <c r="GK73">
        <v>16.268000000000001</v>
      </c>
      <c r="GL73">
        <v>18.239999999999998</v>
      </c>
      <c r="GM73">
        <v>19.981999999999999</v>
      </c>
      <c r="GN73">
        <v>2</v>
      </c>
      <c r="GO73" s="7" t="s">
        <v>301</v>
      </c>
      <c r="GP73" s="7" t="s">
        <v>292</v>
      </c>
      <c r="GQ73">
        <v>12.91</v>
      </c>
      <c r="GR73">
        <v>14.5</v>
      </c>
      <c r="GS73">
        <v>15.56</v>
      </c>
      <c r="GT73">
        <v>2</v>
      </c>
      <c r="GU73" s="7" t="s">
        <v>291</v>
      </c>
      <c r="GV73" s="7" t="s">
        <v>294</v>
      </c>
      <c r="GW73">
        <v>10.179</v>
      </c>
      <c r="GX73">
        <v>15.542</v>
      </c>
      <c r="GY73">
        <v>16.795999999999999</v>
      </c>
      <c r="GZ73">
        <v>2</v>
      </c>
      <c r="HA73" s="7" t="s">
        <v>300</v>
      </c>
      <c r="HB73" s="7" t="s">
        <v>294</v>
      </c>
      <c r="HC73">
        <v>5.766</v>
      </c>
      <c r="HD73">
        <v>8.2479999999999993</v>
      </c>
      <c r="HE73">
        <v>10.132999999999999</v>
      </c>
      <c r="HF73">
        <v>3</v>
      </c>
      <c r="HG73" s="7" t="s">
        <v>291</v>
      </c>
      <c r="HH73" s="7" t="s">
        <v>296</v>
      </c>
      <c r="HI73">
        <v>29.855</v>
      </c>
      <c r="HJ73">
        <v>32.405000000000001</v>
      </c>
      <c r="HK73">
        <v>33.171999999999997</v>
      </c>
      <c r="HL73">
        <v>2</v>
      </c>
      <c r="HM73" s="7" t="s">
        <v>1130</v>
      </c>
      <c r="HN73" s="7" t="s">
        <v>1131</v>
      </c>
      <c r="HO73" s="7" t="s">
        <v>1132</v>
      </c>
      <c r="HP73" s="7" t="s">
        <v>1133</v>
      </c>
      <c r="HQ73" s="7" t="s">
        <v>1134</v>
      </c>
      <c r="HR73" s="7" t="s">
        <v>1135</v>
      </c>
      <c r="HS73" s="7" t="s">
        <v>1136</v>
      </c>
      <c r="HT73" s="7" t="s">
        <v>1137</v>
      </c>
      <c r="HU73" s="7" t="s">
        <v>1138</v>
      </c>
      <c r="HV73" s="7" t="s">
        <v>1139</v>
      </c>
      <c r="HW73" s="7" t="s">
        <v>1140</v>
      </c>
      <c r="HX73" s="7" t="s">
        <v>282</v>
      </c>
      <c r="HY73" s="7" t="s">
        <v>312</v>
      </c>
      <c r="HZ73" s="7" t="s">
        <v>356</v>
      </c>
      <c r="IA73" s="7" t="s">
        <v>313</v>
      </c>
      <c r="IB73" s="7" t="s">
        <v>282</v>
      </c>
      <c r="IC73" s="7" t="s">
        <v>282</v>
      </c>
    </row>
    <row r="74" spans="1:237" x14ac:dyDescent="0.2">
      <c r="A74" s="6">
        <v>45749.543113425927</v>
      </c>
      <c r="B74" s="6">
        <v>45749.554131944446</v>
      </c>
      <c r="C74" s="7" t="s">
        <v>240</v>
      </c>
      <c r="D74" s="7" t="s">
        <v>1141</v>
      </c>
      <c r="E74">
        <v>100</v>
      </c>
      <c r="F74">
        <v>951</v>
      </c>
      <c r="G74" s="7" t="s">
        <v>280</v>
      </c>
      <c r="H74" s="6">
        <v>45749.554143738424</v>
      </c>
      <c r="I74" s="7" t="s">
        <v>1142</v>
      </c>
      <c r="J74" s="7" t="s">
        <v>282</v>
      </c>
      <c r="K74" s="7" t="s">
        <v>282</v>
      </c>
      <c r="L74" s="7" t="s">
        <v>282</v>
      </c>
      <c r="M74" s="7" t="s">
        <v>282</v>
      </c>
      <c r="N74">
        <v>-37.815899999999999</v>
      </c>
      <c r="O74">
        <v>144.96690000000001</v>
      </c>
      <c r="P74" s="7" t="s">
        <v>283</v>
      </c>
      <c r="Q74" s="7" t="s">
        <v>284</v>
      </c>
      <c r="R74">
        <v>0.89999997615814209</v>
      </c>
      <c r="S74" s="7" t="s">
        <v>285</v>
      </c>
      <c r="T74" s="7" t="s">
        <v>285</v>
      </c>
      <c r="U74" s="7" t="s">
        <v>285</v>
      </c>
      <c r="V74" s="7" t="s">
        <v>285</v>
      </c>
      <c r="W74" s="7" t="s">
        <v>412</v>
      </c>
      <c r="X74" s="7" t="s">
        <v>402</v>
      </c>
      <c r="Y74" s="7" t="s">
        <v>288</v>
      </c>
      <c r="Z74" s="7" t="s">
        <v>289</v>
      </c>
      <c r="AA74" s="7" t="s">
        <v>289</v>
      </c>
      <c r="AB74" s="7" t="s">
        <v>317</v>
      </c>
      <c r="AC74" s="7" t="s">
        <v>291</v>
      </c>
      <c r="AD74" s="7" t="s">
        <v>292</v>
      </c>
      <c r="AE74">
        <v>6.5960000000000001</v>
      </c>
      <c r="AF74">
        <v>10.141999999999999</v>
      </c>
      <c r="AG74">
        <v>10.747999999999999</v>
      </c>
      <c r="AH74">
        <v>6</v>
      </c>
      <c r="AI74" s="7" t="s">
        <v>293</v>
      </c>
      <c r="AJ74" s="7" t="s">
        <v>296</v>
      </c>
      <c r="AK74">
        <v>2.7970000000000002</v>
      </c>
      <c r="AL74">
        <v>9.1050000000000004</v>
      </c>
      <c r="AM74">
        <v>9.9</v>
      </c>
      <c r="AN74">
        <v>7</v>
      </c>
      <c r="AO74" s="7" t="s">
        <v>293</v>
      </c>
      <c r="AP74" s="7" t="s">
        <v>296</v>
      </c>
      <c r="AQ74">
        <v>5.6669999999999998</v>
      </c>
      <c r="AR74">
        <v>9.593</v>
      </c>
      <c r="AS74">
        <v>12.504</v>
      </c>
      <c r="AT74">
        <v>6</v>
      </c>
      <c r="AU74" s="7" t="s">
        <v>295</v>
      </c>
      <c r="AV74" s="7" t="s">
        <v>292</v>
      </c>
      <c r="AW74">
        <v>3.8759999999999999</v>
      </c>
      <c r="AX74">
        <v>10.166</v>
      </c>
      <c r="AY74">
        <v>10.763</v>
      </c>
      <c r="AZ74">
        <v>7</v>
      </c>
      <c r="BA74" s="7" t="s">
        <v>295</v>
      </c>
      <c r="BB74" s="7" t="s">
        <v>292</v>
      </c>
      <c r="BC74">
        <v>1.831</v>
      </c>
      <c r="BD74">
        <v>11.217000000000001</v>
      </c>
      <c r="BE74">
        <v>11.646000000000001</v>
      </c>
      <c r="BF74">
        <v>9</v>
      </c>
      <c r="BG74" s="7" t="s">
        <v>298</v>
      </c>
      <c r="BH74" s="7" t="s">
        <v>292</v>
      </c>
      <c r="BI74">
        <v>3.056</v>
      </c>
      <c r="BJ74">
        <v>17.882000000000001</v>
      </c>
      <c r="BK74">
        <v>18.331</v>
      </c>
      <c r="BL74">
        <v>13</v>
      </c>
      <c r="BM74" s="7" t="s">
        <v>293</v>
      </c>
      <c r="BN74" s="7" t="s">
        <v>292</v>
      </c>
      <c r="BO74">
        <v>14.936999999999999</v>
      </c>
      <c r="BP74">
        <v>21.225999999999999</v>
      </c>
      <c r="BQ74">
        <v>22.004999999999999</v>
      </c>
      <c r="BR74">
        <v>11</v>
      </c>
      <c r="BS74" s="7" t="s">
        <v>298</v>
      </c>
      <c r="BT74" s="7" t="s">
        <v>296</v>
      </c>
      <c r="BU74">
        <v>7.6539999999999999</v>
      </c>
      <c r="BV74">
        <v>15.903</v>
      </c>
      <c r="BW74">
        <v>16.498999999999999</v>
      </c>
      <c r="BX74">
        <v>7</v>
      </c>
      <c r="BY74" s="7" t="s">
        <v>295</v>
      </c>
      <c r="BZ74" s="7" t="s">
        <v>296</v>
      </c>
      <c r="CA74">
        <v>2.3439999999999999</v>
      </c>
      <c r="CB74">
        <v>10.199</v>
      </c>
      <c r="CC74">
        <v>10.778</v>
      </c>
      <c r="CD74">
        <v>8</v>
      </c>
      <c r="CE74" s="7" t="s">
        <v>298</v>
      </c>
      <c r="CF74" s="7" t="s">
        <v>292</v>
      </c>
      <c r="CG74">
        <v>9.5909999999999993</v>
      </c>
      <c r="CH74">
        <v>13.336</v>
      </c>
      <c r="CI74">
        <v>13.781000000000001</v>
      </c>
      <c r="CJ74">
        <v>7</v>
      </c>
      <c r="CK74" s="7" t="s">
        <v>291</v>
      </c>
      <c r="CL74" s="7" t="s">
        <v>292</v>
      </c>
      <c r="CM74">
        <v>9.5269999999999992</v>
      </c>
      <c r="CN74">
        <v>14.151999999999999</v>
      </c>
      <c r="CO74">
        <v>15.098000000000001</v>
      </c>
      <c r="CP74">
        <v>8</v>
      </c>
      <c r="CQ74" s="7" t="s">
        <v>293</v>
      </c>
      <c r="CR74" s="7" t="s">
        <v>296</v>
      </c>
      <c r="CS74">
        <v>4.87</v>
      </c>
      <c r="CT74">
        <v>11.042999999999999</v>
      </c>
      <c r="CU74">
        <v>11.436999999999999</v>
      </c>
      <c r="CV74">
        <v>8</v>
      </c>
      <c r="CW74" s="7" t="s">
        <v>298</v>
      </c>
      <c r="CX74" s="7" t="s">
        <v>292</v>
      </c>
      <c r="CY74">
        <v>2.5750000000000002</v>
      </c>
      <c r="CZ74">
        <v>15.12</v>
      </c>
      <c r="DA74">
        <v>15.733000000000001</v>
      </c>
      <c r="DB74">
        <v>14</v>
      </c>
      <c r="DC74" s="7" t="s">
        <v>295</v>
      </c>
      <c r="DD74" s="7" t="s">
        <v>292</v>
      </c>
      <c r="DE74">
        <v>5.7089999999999996</v>
      </c>
      <c r="DF74">
        <v>13.798</v>
      </c>
      <c r="DG74">
        <v>14.143000000000001</v>
      </c>
      <c r="DH74">
        <v>8</v>
      </c>
      <c r="DI74" s="7" t="s">
        <v>291</v>
      </c>
      <c r="DJ74" s="7" t="s">
        <v>296</v>
      </c>
      <c r="DK74">
        <v>17.222000000000001</v>
      </c>
      <c r="DL74">
        <v>19.666</v>
      </c>
      <c r="DM74">
        <v>20.027000000000001</v>
      </c>
      <c r="DN74">
        <v>5</v>
      </c>
      <c r="DO74" s="7" t="s">
        <v>298</v>
      </c>
      <c r="DP74" s="7" t="s">
        <v>292</v>
      </c>
      <c r="DQ74">
        <v>4.2439999999999998</v>
      </c>
      <c r="DR74">
        <v>15.279</v>
      </c>
      <c r="DS74">
        <v>16.123000000000001</v>
      </c>
      <c r="DT74">
        <v>8</v>
      </c>
      <c r="DU74" s="7" t="s">
        <v>293</v>
      </c>
      <c r="DV74" s="7" t="s">
        <v>296</v>
      </c>
      <c r="DW74">
        <v>4.6820000000000004</v>
      </c>
      <c r="DX74">
        <v>9.49</v>
      </c>
      <c r="DY74">
        <v>9.8019999999999996</v>
      </c>
      <c r="DZ74">
        <v>5</v>
      </c>
      <c r="EA74" s="7" t="s">
        <v>299</v>
      </c>
      <c r="EB74" s="7" t="s">
        <v>296</v>
      </c>
      <c r="EC74">
        <v>2.4750000000000001</v>
      </c>
      <c r="ED74">
        <v>8.69</v>
      </c>
      <c r="EE74">
        <v>9.4190000000000005</v>
      </c>
      <c r="EF74">
        <v>8</v>
      </c>
      <c r="EG74" s="7" t="s">
        <v>298</v>
      </c>
      <c r="EH74" s="7" t="s">
        <v>292</v>
      </c>
      <c r="EI74">
        <v>3.0009999999999999</v>
      </c>
      <c r="EJ74">
        <v>23.687999999999999</v>
      </c>
      <c r="EK74">
        <v>24.966000000000001</v>
      </c>
      <c r="EL74">
        <v>15</v>
      </c>
      <c r="EM74" s="7" t="s">
        <v>291</v>
      </c>
      <c r="EN74" s="7" t="s">
        <v>296</v>
      </c>
      <c r="EO74">
        <v>42.392000000000003</v>
      </c>
      <c r="EP74">
        <v>45.137</v>
      </c>
      <c r="EQ74">
        <v>45.5</v>
      </c>
      <c r="ER74">
        <v>6</v>
      </c>
      <c r="ES74" s="7" t="s">
        <v>301</v>
      </c>
      <c r="ET74" s="7" t="s">
        <v>292</v>
      </c>
      <c r="EU74">
        <v>1.9710000000000001</v>
      </c>
      <c r="EV74">
        <v>13.589</v>
      </c>
      <c r="EW74">
        <v>14.183</v>
      </c>
      <c r="EX74">
        <v>10</v>
      </c>
      <c r="EY74" s="7" t="s">
        <v>300</v>
      </c>
      <c r="EZ74" s="7" t="s">
        <v>292</v>
      </c>
      <c r="FA74">
        <v>2.1989999999999998</v>
      </c>
      <c r="FB74">
        <v>13.497</v>
      </c>
      <c r="FC74">
        <v>14.044</v>
      </c>
      <c r="FD74">
        <v>8</v>
      </c>
      <c r="FE74" s="7" t="s">
        <v>301</v>
      </c>
      <c r="FF74" s="7" t="s">
        <v>296</v>
      </c>
      <c r="FG74">
        <v>2.552</v>
      </c>
      <c r="FH74">
        <v>11.765000000000001</v>
      </c>
      <c r="FI74">
        <v>13.956</v>
      </c>
      <c r="FJ74">
        <v>7</v>
      </c>
      <c r="FK74" s="7" t="s">
        <v>291</v>
      </c>
      <c r="FL74" s="7" t="s">
        <v>296</v>
      </c>
      <c r="FM74">
        <v>8.4459999999999997</v>
      </c>
      <c r="FN74">
        <v>13.141</v>
      </c>
      <c r="FO74">
        <v>13.651999999999999</v>
      </c>
      <c r="FP74">
        <v>8</v>
      </c>
      <c r="FQ74" s="7" t="s">
        <v>300</v>
      </c>
      <c r="FR74" s="7" t="s">
        <v>292</v>
      </c>
      <c r="FS74">
        <v>2.8980000000000001</v>
      </c>
      <c r="FT74">
        <v>19.126999999999999</v>
      </c>
      <c r="FU74">
        <v>20.882000000000001</v>
      </c>
      <c r="FV74">
        <v>10</v>
      </c>
      <c r="FW74" s="7" t="s">
        <v>291</v>
      </c>
      <c r="FX74" s="7" t="s">
        <v>296</v>
      </c>
      <c r="FY74">
        <v>4.3019999999999996</v>
      </c>
      <c r="FZ74">
        <v>16.234000000000002</v>
      </c>
      <c r="GA74">
        <v>16.777999999999999</v>
      </c>
      <c r="GB74">
        <v>7</v>
      </c>
      <c r="GC74" s="7" t="s">
        <v>291</v>
      </c>
      <c r="GD74" s="7" t="s">
        <v>292</v>
      </c>
      <c r="GE74">
        <v>2.7919999999999998</v>
      </c>
      <c r="GF74">
        <v>19.417000000000002</v>
      </c>
      <c r="GG74">
        <v>19.945</v>
      </c>
      <c r="GH74">
        <v>12</v>
      </c>
      <c r="GI74" s="7" t="s">
        <v>300</v>
      </c>
      <c r="GJ74" s="7" t="s">
        <v>292</v>
      </c>
      <c r="GK74">
        <v>8.7490000000000006</v>
      </c>
      <c r="GL74">
        <v>18.2</v>
      </c>
      <c r="GM74">
        <v>19.643999999999998</v>
      </c>
      <c r="GN74">
        <v>9</v>
      </c>
      <c r="GO74" s="7" t="s">
        <v>301</v>
      </c>
      <c r="GP74" s="7" t="s">
        <v>292</v>
      </c>
      <c r="GQ74">
        <v>2.4769999999999999</v>
      </c>
      <c r="GR74">
        <v>11.914</v>
      </c>
      <c r="GS74">
        <v>12.324999999999999</v>
      </c>
      <c r="GT74">
        <v>8</v>
      </c>
      <c r="GU74" s="7" t="s">
        <v>291</v>
      </c>
      <c r="GV74" s="7" t="s">
        <v>296</v>
      </c>
      <c r="GW74">
        <v>2.7959999999999998</v>
      </c>
      <c r="GX74">
        <v>15.773999999999999</v>
      </c>
      <c r="GY74">
        <v>16.169</v>
      </c>
      <c r="GZ74">
        <v>9</v>
      </c>
      <c r="HA74" s="7" t="s">
        <v>300</v>
      </c>
      <c r="HB74" s="7" t="s">
        <v>292</v>
      </c>
      <c r="HC74">
        <v>2.5739999999999998</v>
      </c>
      <c r="HD74">
        <v>14.154999999999999</v>
      </c>
      <c r="HE74">
        <v>15.534000000000001</v>
      </c>
      <c r="HF74">
        <v>7</v>
      </c>
      <c r="HG74" s="7" t="s">
        <v>301</v>
      </c>
      <c r="HH74" s="7" t="s">
        <v>292</v>
      </c>
      <c r="HI74">
        <v>2.5</v>
      </c>
      <c r="HJ74">
        <v>10.263</v>
      </c>
      <c r="HK74">
        <v>11.21</v>
      </c>
      <c r="HL74">
        <v>8</v>
      </c>
      <c r="HM74" s="7" t="s">
        <v>1143</v>
      </c>
      <c r="HN74" s="7" t="s">
        <v>1144</v>
      </c>
      <c r="HO74" s="7" t="s">
        <v>1145</v>
      </c>
      <c r="HP74" s="7" t="s">
        <v>1145</v>
      </c>
      <c r="HQ74" s="7" t="s">
        <v>1146</v>
      </c>
      <c r="HR74" s="7" t="s">
        <v>1147</v>
      </c>
      <c r="HS74" s="7" t="s">
        <v>1148</v>
      </c>
      <c r="HT74" s="7" t="s">
        <v>1149</v>
      </c>
      <c r="HU74" s="7" t="s">
        <v>1150</v>
      </c>
      <c r="HV74" s="7" t="s">
        <v>1151</v>
      </c>
      <c r="HW74" s="7" t="s">
        <v>282</v>
      </c>
      <c r="HX74" s="7" t="s">
        <v>1152</v>
      </c>
      <c r="HY74" s="7" t="s">
        <v>312</v>
      </c>
      <c r="HZ74" s="7" t="s">
        <v>356</v>
      </c>
      <c r="IA74" s="7" t="s">
        <v>313</v>
      </c>
      <c r="IB74" s="7" t="s">
        <v>282</v>
      </c>
      <c r="IC74" s="7" t="s">
        <v>282</v>
      </c>
    </row>
    <row r="75" spans="1:237" x14ac:dyDescent="0.2">
      <c r="A75" s="6">
        <v>45749.648877314816</v>
      </c>
      <c r="B75" s="6">
        <v>45749.665902777779</v>
      </c>
      <c r="C75" s="7" t="s">
        <v>240</v>
      </c>
      <c r="D75" s="7" t="s">
        <v>1153</v>
      </c>
      <c r="E75">
        <v>100</v>
      </c>
      <c r="F75">
        <v>1470</v>
      </c>
      <c r="G75" s="7" t="s">
        <v>280</v>
      </c>
      <c r="H75" s="6">
        <v>45749.665912719909</v>
      </c>
      <c r="I75" s="7" t="s">
        <v>1154</v>
      </c>
      <c r="J75" s="7" t="s">
        <v>282</v>
      </c>
      <c r="K75" s="7" t="s">
        <v>282</v>
      </c>
      <c r="L75" s="7" t="s">
        <v>282</v>
      </c>
      <c r="M75" s="7" t="s">
        <v>282</v>
      </c>
      <c r="N75">
        <v>-37.918900000000001</v>
      </c>
      <c r="O75">
        <v>145.126</v>
      </c>
      <c r="P75" s="7" t="s">
        <v>283</v>
      </c>
      <c r="Q75" s="7" t="s">
        <v>284</v>
      </c>
      <c r="R75">
        <v>1</v>
      </c>
      <c r="S75" s="7" t="s">
        <v>285</v>
      </c>
      <c r="T75" s="7" t="s">
        <v>285</v>
      </c>
      <c r="U75" s="7" t="s">
        <v>285</v>
      </c>
      <c r="V75" s="7" t="s">
        <v>285</v>
      </c>
      <c r="W75" s="7" t="s">
        <v>286</v>
      </c>
      <c r="X75" s="7" t="s">
        <v>375</v>
      </c>
      <c r="Y75" s="7" t="s">
        <v>288</v>
      </c>
      <c r="Z75" s="7" t="s">
        <v>290</v>
      </c>
      <c r="AA75" s="7" t="s">
        <v>290</v>
      </c>
      <c r="AB75" s="7" t="s">
        <v>289</v>
      </c>
      <c r="AC75" s="7" t="s">
        <v>298</v>
      </c>
      <c r="AD75" s="7" t="s">
        <v>296</v>
      </c>
      <c r="AE75">
        <v>6.5970000000000004</v>
      </c>
      <c r="AF75">
        <v>13.109</v>
      </c>
      <c r="AG75">
        <v>14.393000000000001</v>
      </c>
      <c r="AH75">
        <v>5</v>
      </c>
      <c r="AI75" s="7" t="s">
        <v>293</v>
      </c>
      <c r="AJ75" s="7" t="s">
        <v>296</v>
      </c>
      <c r="AK75">
        <v>7.4210000000000003</v>
      </c>
      <c r="AL75">
        <v>10.647</v>
      </c>
      <c r="AM75">
        <v>12.49</v>
      </c>
      <c r="AN75">
        <v>2</v>
      </c>
      <c r="AO75" s="7" t="s">
        <v>299</v>
      </c>
      <c r="AP75" s="7" t="s">
        <v>297</v>
      </c>
      <c r="AQ75">
        <v>21.797999999999998</v>
      </c>
      <c r="AR75">
        <v>23.331</v>
      </c>
      <c r="AS75">
        <v>24.867000000000001</v>
      </c>
      <c r="AT75">
        <v>2</v>
      </c>
      <c r="AU75" s="7" t="s">
        <v>295</v>
      </c>
      <c r="AV75" s="7" t="s">
        <v>296</v>
      </c>
      <c r="AW75">
        <v>8.2360000000000007</v>
      </c>
      <c r="AX75">
        <v>9.2040000000000006</v>
      </c>
      <c r="AY75">
        <v>10.564</v>
      </c>
      <c r="AZ75">
        <v>2</v>
      </c>
      <c r="BA75" s="7" t="s">
        <v>295</v>
      </c>
      <c r="BB75" s="7" t="s">
        <v>294</v>
      </c>
      <c r="BC75">
        <v>10.587</v>
      </c>
      <c r="BD75">
        <v>12.644</v>
      </c>
      <c r="BE75">
        <v>13.617000000000001</v>
      </c>
      <c r="BF75">
        <v>2</v>
      </c>
      <c r="BG75" s="7" t="s">
        <v>291</v>
      </c>
      <c r="BH75" s="7" t="s">
        <v>292</v>
      </c>
      <c r="BI75">
        <v>19.082999999999998</v>
      </c>
      <c r="BJ75">
        <v>20.652999999999999</v>
      </c>
      <c r="BK75">
        <v>22.158000000000001</v>
      </c>
      <c r="BL75">
        <v>2</v>
      </c>
      <c r="BM75" s="7" t="s">
        <v>293</v>
      </c>
      <c r="BN75" s="7" t="s">
        <v>297</v>
      </c>
      <c r="BO75">
        <v>163.98699999999999</v>
      </c>
      <c r="BP75">
        <v>169.042</v>
      </c>
      <c r="BQ75">
        <v>170.97300000000001</v>
      </c>
      <c r="BR75">
        <v>2</v>
      </c>
      <c r="BS75" s="7" t="s">
        <v>291</v>
      </c>
      <c r="BT75" s="7" t="s">
        <v>296</v>
      </c>
      <c r="BU75">
        <v>7.9669999999999996</v>
      </c>
      <c r="BV75">
        <v>10.254</v>
      </c>
      <c r="BW75">
        <v>11.244</v>
      </c>
      <c r="BX75">
        <v>2</v>
      </c>
      <c r="BY75" s="7" t="s">
        <v>295</v>
      </c>
      <c r="BZ75" s="7" t="s">
        <v>294</v>
      </c>
      <c r="CA75">
        <v>7.3460000000000001</v>
      </c>
      <c r="CB75">
        <v>9.6449999999999996</v>
      </c>
      <c r="CC75">
        <v>10.872999999999999</v>
      </c>
      <c r="CD75">
        <v>2</v>
      </c>
      <c r="CE75" s="7" t="s">
        <v>298</v>
      </c>
      <c r="CF75" s="7" t="s">
        <v>292</v>
      </c>
      <c r="CG75">
        <v>13.228</v>
      </c>
      <c r="CH75">
        <v>29.236999999999998</v>
      </c>
      <c r="CI75">
        <v>30.835000000000001</v>
      </c>
      <c r="CJ75">
        <v>4</v>
      </c>
      <c r="CK75" s="7" t="s">
        <v>298</v>
      </c>
      <c r="CL75" s="7" t="s">
        <v>296</v>
      </c>
      <c r="CM75">
        <v>3.5430000000000001</v>
      </c>
      <c r="CN75">
        <v>9.0549999999999997</v>
      </c>
      <c r="CO75">
        <v>10.532</v>
      </c>
      <c r="CP75">
        <v>3</v>
      </c>
      <c r="CQ75" s="7" t="s">
        <v>293</v>
      </c>
      <c r="CR75" s="7" t="s">
        <v>297</v>
      </c>
      <c r="CS75">
        <v>12.816000000000001</v>
      </c>
      <c r="CT75">
        <v>14.691000000000001</v>
      </c>
      <c r="CU75">
        <v>16.172000000000001</v>
      </c>
      <c r="CV75">
        <v>2</v>
      </c>
      <c r="CW75" s="7" t="s">
        <v>291</v>
      </c>
      <c r="CX75" s="7" t="s">
        <v>296</v>
      </c>
      <c r="CY75">
        <v>10.436</v>
      </c>
      <c r="CZ75">
        <v>11.932</v>
      </c>
      <c r="DA75">
        <v>13.057</v>
      </c>
      <c r="DB75">
        <v>2</v>
      </c>
      <c r="DC75" s="7" t="s">
        <v>298</v>
      </c>
      <c r="DD75" s="7" t="s">
        <v>296</v>
      </c>
      <c r="DE75">
        <v>7.0910000000000002</v>
      </c>
      <c r="DF75">
        <v>8.202</v>
      </c>
      <c r="DG75">
        <v>9.5180000000000007</v>
      </c>
      <c r="DH75">
        <v>2</v>
      </c>
      <c r="DI75" s="7" t="s">
        <v>291</v>
      </c>
      <c r="DJ75" s="7" t="s">
        <v>296</v>
      </c>
      <c r="DK75">
        <v>10.743</v>
      </c>
      <c r="DL75">
        <v>12.209</v>
      </c>
      <c r="DM75">
        <v>13.282</v>
      </c>
      <c r="DN75">
        <v>2</v>
      </c>
      <c r="DO75" s="7" t="s">
        <v>291</v>
      </c>
      <c r="DP75" s="7" t="s">
        <v>296</v>
      </c>
      <c r="DQ75">
        <v>6.7610000000000001</v>
      </c>
      <c r="DR75">
        <v>9.2750000000000004</v>
      </c>
      <c r="DS75">
        <v>10.749000000000001</v>
      </c>
      <c r="DT75">
        <v>2</v>
      </c>
      <c r="DU75" s="7" t="s">
        <v>293</v>
      </c>
      <c r="DV75" s="7" t="s">
        <v>296</v>
      </c>
      <c r="DW75">
        <v>10.099</v>
      </c>
      <c r="DX75">
        <v>13.597</v>
      </c>
      <c r="DY75">
        <v>14.614000000000001</v>
      </c>
      <c r="DZ75">
        <v>2</v>
      </c>
      <c r="EA75" s="7" t="s">
        <v>291</v>
      </c>
      <c r="EB75" s="7" t="s">
        <v>297</v>
      </c>
      <c r="EC75">
        <v>9.782</v>
      </c>
      <c r="ED75">
        <v>12.78</v>
      </c>
      <c r="EE75">
        <v>16.193999999999999</v>
      </c>
      <c r="EF75">
        <v>2</v>
      </c>
      <c r="EG75" s="7" t="s">
        <v>298</v>
      </c>
      <c r="EH75" s="7" t="s">
        <v>292</v>
      </c>
      <c r="EI75">
        <v>14.413</v>
      </c>
      <c r="EJ75">
        <v>16.698</v>
      </c>
      <c r="EK75">
        <v>17.754000000000001</v>
      </c>
      <c r="EL75">
        <v>2</v>
      </c>
      <c r="EM75" s="7" t="s">
        <v>291</v>
      </c>
      <c r="EN75" s="7" t="s">
        <v>296</v>
      </c>
      <c r="EO75">
        <v>9.5429999999999993</v>
      </c>
      <c r="EP75">
        <v>12.497</v>
      </c>
      <c r="EQ75">
        <v>13.773999999999999</v>
      </c>
      <c r="ER75">
        <v>2</v>
      </c>
      <c r="ES75" s="7" t="s">
        <v>301</v>
      </c>
      <c r="ET75" s="7" t="s">
        <v>292</v>
      </c>
      <c r="EU75">
        <v>23.727</v>
      </c>
      <c r="EV75">
        <v>42.548999999999999</v>
      </c>
      <c r="EW75">
        <v>43.503</v>
      </c>
      <c r="EX75">
        <v>9</v>
      </c>
      <c r="EY75" s="7" t="s">
        <v>300</v>
      </c>
      <c r="EZ75" s="7" t="s">
        <v>294</v>
      </c>
      <c r="FA75">
        <v>5.97</v>
      </c>
      <c r="FB75">
        <v>7.0110000000000001</v>
      </c>
      <c r="FC75">
        <v>9.0760000000000005</v>
      </c>
      <c r="FD75">
        <v>2</v>
      </c>
      <c r="FE75" s="7" t="s">
        <v>301</v>
      </c>
      <c r="FF75" s="7" t="s">
        <v>294</v>
      </c>
      <c r="FG75">
        <v>6.359</v>
      </c>
      <c r="FH75">
        <v>9.0090000000000003</v>
      </c>
      <c r="FI75">
        <v>11.214</v>
      </c>
      <c r="FJ75">
        <v>2</v>
      </c>
      <c r="FK75" s="7" t="s">
        <v>291</v>
      </c>
      <c r="FL75" s="7" t="s">
        <v>294</v>
      </c>
      <c r="FM75">
        <v>20.012</v>
      </c>
      <c r="FN75">
        <v>21.983000000000001</v>
      </c>
      <c r="FO75">
        <v>22.8</v>
      </c>
      <c r="FP75">
        <v>2</v>
      </c>
      <c r="FQ75" s="7" t="s">
        <v>300</v>
      </c>
      <c r="FR75" s="7" t="s">
        <v>294</v>
      </c>
      <c r="FS75">
        <v>6.5129999999999999</v>
      </c>
      <c r="FT75">
        <v>7.7240000000000002</v>
      </c>
      <c r="FU75">
        <v>9.1</v>
      </c>
      <c r="FV75">
        <v>2</v>
      </c>
      <c r="FW75" s="7" t="s">
        <v>301</v>
      </c>
      <c r="FX75" s="7" t="s">
        <v>294</v>
      </c>
      <c r="FY75">
        <v>6.3810000000000002</v>
      </c>
      <c r="FZ75">
        <v>8.3309999999999995</v>
      </c>
      <c r="GA75">
        <v>9.0459999999999994</v>
      </c>
      <c r="GB75">
        <v>4</v>
      </c>
      <c r="GC75" s="7" t="s">
        <v>291</v>
      </c>
      <c r="GD75" s="7" t="s">
        <v>296</v>
      </c>
      <c r="GE75">
        <v>70.736000000000004</v>
      </c>
      <c r="GF75">
        <v>72.424999999999997</v>
      </c>
      <c r="GG75">
        <v>73.736000000000004</v>
      </c>
      <c r="GH75">
        <v>2</v>
      </c>
      <c r="GI75" s="7" t="s">
        <v>300</v>
      </c>
      <c r="GJ75" s="7" t="s">
        <v>294</v>
      </c>
      <c r="GK75">
        <v>5.8739999999999997</v>
      </c>
      <c r="GL75">
        <v>9.2650000000000006</v>
      </c>
      <c r="GM75">
        <v>10.327</v>
      </c>
      <c r="GN75">
        <v>3</v>
      </c>
      <c r="GO75" s="7" t="s">
        <v>291</v>
      </c>
      <c r="GP75" s="7" t="s">
        <v>296</v>
      </c>
      <c r="GQ75">
        <v>6.2569999999999997</v>
      </c>
      <c r="GR75">
        <v>26.372</v>
      </c>
      <c r="GS75">
        <v>29.344999999999999</v>
      </c>
      <c r="GT75">
        <v>2</v>
      </c>
      <c r="GU75" s="7" t="s">
        <v>291</v>
      </c>
      <c r="GV75" s="7" t="s">
        <v>296</v>
      </c>
      <c r="GW75">
        <v>4.6070000000000002</v>
      </c>
      <c r="GX75">
        <v>8.4469999999999992</v>
      </c>
      <c r="GY75">
        <v>9.1850000000000005</v>
      </c>
      <c r="GZ75">
        <v>4</v>
      </c>
      <c r="HA75" s="7" t="s">
        <v>300</v>
      </c>
      <c r="HB75" s="7" t="s">
        <v>294</v>
      </c>
      <c r="HC75">
        <v>6.98</v>
      </c>
      <c r="HD75">
        <v>8.2390000000000008</v>
      </c>
      <c r="HE75">
        <v>9.4909999999999997</v>
      </c>
      <c r="HF75">
        <v>2</v>
      </c>
      <c r="HG75" s="7" t="s">
        <v>291</v>
      </c>
      <c r="HH75" s="7" t="s">
        <v>292</v>
      </c>
      <c r="HI75">
        <v>8.9740000000000002</v>
      </c>
      <c r="HJ75">
        <v>11.372999999999999</v>
      </c>
      <c r="HK75">
        <v>12.935</v>
      </c>
      <c r="HL75">
        <v>2</v>
      </c>
      <c r="HM75" s="7" t="s">
        <v>1155</v>
      </c>
      <c r="HN75" s="7" t="s">
        <v>1156</v>
      </c>
      <c r="HO75" s="7" t="s">
        <v>1157</v>
      </c>
      <c r="HP75" s="7" t="s">
        <v>1158</v>
      </c>
      <c r="HQ75" s="7" t="s">
        <v>1159</v>
      </c>
      <c r="HR75" s="7" t="s">
        <v>1160</v>
      </c>
      <c r="HS75" s="7" t="s">
        <v>1161</v>
      </c>
      <c r="HT75" s="7" t="s">
        <v>1162</v>
      </c>
      <c r="HU75" s="7" t="s">
        <v>1163</v>
      </c>
      <c r="HV75" s="7" t="s">
        <v>1164</v>
      </c>
      <c r="HW75" s="7" t="s">
        <v>282</v>
      </c>
      <c r="HX75" s="7" t="s">
        <v>1165</v>
      </c>
      <c r="HY75" s="7" t="s">
        <v>312</v>
      </c>
      <c r="HZ75" s="7" t="s">
        <v>372</v>
      </c>
      <c r="IA75" s="7" t="s">
        <v>325</v>
      </c>
      <c r="IB75" s="7" t="s">
        <v>282</v>
      </c>
      <c r="IC75" s="7" t="s">
        <v>282</v>
      </c>
    </row>
    <row r="76" spans="1:237" x14ac:dyDescent="0.2">
      <c r="A76" s="6">
        <v>45750.087870370371</v>
      </c>
      <c r="B76" s="6">
        <v>45750.101759259262</v>
      </c>
      <c r="C76" s="7" t="s">
        <v>240</v>
      </c>
      <c r="D76" s="7" t="s">
        <v>1166</v>
      </c>
      <c r="E76">
        <v>100</v>
      </c>
      <c r="F76">
        <v>1199</v>
      </c>
      <c r="G76" s="7" t="s">
        <v>280</v>
      </c>
      <c r="H76" s="6">
        <v>45750.101775000003</v>
      </c>
      <c r="I76" s="7" t="s">
        <v>1167</v>
      </c>
      <c r="J76" s="7" t="s">
        <v>282</v>
      </c>
      <c r="K76" s="7" t="s">
        <v>282</v>
      </c>
      <c r="L76" s="7" t="s">
        <v>282</v>
      </c>
      <c r="M76" s="7" t="s">
        <v>282</v>
      </c>
      <c r="N76">
        <v>-37.918900000000001</v>
      </c>
      <c r="O76">
        <v>145.126</v>
      </c>
      <c r="P76" s="7" t="s">
        <v>283</v>
      </c>
      <c r="Q76" s="7" t="s">
        <v>284</v>
      </c>
      <c r="R76">
        <v>0.89999997615814209</v>
      </c>
      <c r="S76" s="7" t="s">
        <v>285</v>
      </c>
      <c r="T76" s="7" t="s">
        <v>285</v>
      </c>
      <c r="U76" s="7" t="s">
        <v>285</v>
      </c>
      <c r="V76" s="7" t="s">
        <v>285</v>
      </c>
      <c r="W76" s="7" t="s">
        <v>501</v>
      </c>
      <c r="X76" s="7" t="s">
        <v>375</v>
      </c>
      <c r="Y76" s="7" t="s">
        <v>288</v>
      </c>
      <c r="Z76" s="7" t="s">
        <v>289</v>
      </c>
      <c r="AA76" s="7" t="s">
        <v>329</v>
      </c>
      <c r="AB76" s="7" t="s">
        <v>289</v>
      </c>
      <c r="AC76" s="7" t="s">
        <v>291</v>
      </c>
      <c r="AD76" s="7" t="s">
        <v>292</v>
      </c>
      <c r="AE76">
        <v>0.83199999999999996</v>
      </c>
      <c r="AF76">
        <v>20.369</v>
      </c>
      <c r="AG76">
        <v>20.887</v>
      </c>
      <c r="AH76">
        <v>7</v>
      </c>
      <c r="AI76" s="7" t="s">
        <v>293</v>
      </c>
      <c r="AJ76" s="7" t="s">
        <v>296</v>
      </c>
      <c r="AK76">
        <v>1.0329999999999999</v>
      </c>
      <c r="AL76">
        <v>15.494999999999999</v>
      </c>
      <c r="AM76">
        <v>15.945</v>
      </c>
      <c r="AN76">
        <v>8</v>
      </c>
      <c r="AO76" s="7" t="s">
        <v>293</v>
      </c>
      <c r="AP76" s="7" t="s">
        <v>294</v>
      </c>
      <c r="AQ76">
        <v>0.68799999999999994</v>
      </c>
      <c r="AR76">
        <v>13.472</v>
      </c>
      <c r="AS76">
        <v>14.228999999999999</v>
      </c>
      <c r="AT76">
        <v>12</v>
      </c>
      <c r="AU76" s="7" t="s">
        <v>295</v>
      </c>
      <c r="AV76" s="7" t="s">
        <v>294</v>
      </c>
      <c r="AW76">
        <v>13.051</v>
      </c>
      <c r="AX76">
        <v>21.202999999999999</v>
      </c>
      <c r="AY76">
        <v>25.183</v>
      </c>
      <c r="AZ76">
        <v>8</v>
      </c>
      <c r="BA76" s="7" t="s">
        <v>295</v>
      </c>
      <c r="BB76" s="7" t="s">
        <v>292</v>
      </c>
      <c r="BC76">
        <v>2.2469999999999999</v>
      </c>
      <c r="BD76">
        <v>38.871000000000002</v>
      </c>
      <c r="BE76">
        <v>41.63</v>
      </c>
      <c r="BF76">
        <v>11</v>
      </c>
      <c r="BG76" s="7" t="s">
        <v>298</v>
      </c>
      <c r="BH76" s="7" t="s">
        <v>297</v>
      </c>
      <c r="BI76">
        <v>0.74399999999999999</v>
      </c>
      <c r="BJ76">
        <v>15.988</v>
      </c>
      <c r="BK76">
        <v>15.901</v>
      </c>
      <c r="BL76">
        <v>9</v>
      </c>
      <c r="BM76" s="7" t="s">
        <v>293</v>
      </c>
      <c r="BN76" s="7" t="s">
        <v>296</v>
      </c>
      <c r="BO76">
        <v>1.05</v>
      </c>
      <c r="BP76">
        <v>16.693000000000001</v>
      </c>
      <c r="BQ76">
        <v>17.058</v>
      </c>
      <c r="BR76">
        <v>6</v>
      </c>
      <c r="BS76" s="7" t="s">
        <v>298</v>
      </c>
      <c r="BT76" s="7" t="s">
        <v>292</v>
      </c>
      <c r="BU76">
        <v>0.85099999999999998</v>
      </c>
      <c r="BV76">
        <v>18.242999999999999</v>
      </c>
      <c r="BW76">
        <v>18.643000000000001</v>
      </c>
      <c r="BX76">
        <v>10</v>
      </c>
      <c r="BY76" s="7" t="s">
        <v>295</v>
      </c>
      <c r="BZ76" s="7" t="s">
        <v>297</v>
      </c>
      <c r="CA76">
        <v>2.4849999999999999</v>
      </c>
      <c r="CB76">
        <v>16.366</v>
      </c>
      <c r="CC76">
        <v>16.7</v>
      </c>
      <c r="CD76">
        <v>11</v>
      </c>
      <c r="CE76" s="7" t="s">
        <v>291</v>
      </c>
      <c r="CF76" s="7" t="s">
        <v>297</v>
      </c>
      <c r="CG76">
        <v>0.71899999999999997</v>
      </c>
      <c r="CH76">
        <v>20.459</v>
      </c>
      <c r="CI76">
        <v>20.853999999999999</v>
      </c>
      <c r="CJ76">
        <v>7</v>
      </c>
      <c r="CK76" s="7" t="s">
        <v>291</v>
      </c>
      <c r="CL76" s="7" t="s">
        <v>296</v>
      </c>
      <c r="CM76">
        <v>0.66</v>
      </c>
      <c r="CN76">
        <v>13.515000000000001</v>
      </c>
      <c r="CO76">
        <v>13.868</v>
      </c>
      <c r="CP76">
        <v>9</v>
      </c>
      <c r="CQ76" s="7" t="s">
        <v>293</v>
      </c>
      <c r="CR76" s="7" t="s">
        <v>294</v>
      </c>
      <c r="CS76">
        <v>1.1120000000000001</v>
      </c>
      <c r="CT76">
        <v>22.663</v>
      </c>
      <c r="CU76">
        <v>23.46</v>
      </c>
      <c r="CV76">
        <v>7</v>
      </c>
      <c r="CW76" s="7" t="s">
        <v>298</v>
      </c>
      <c r="CX76" s="7" t="s">
        <v>292</v>
      </c>
      <c r="CY76">
        <v>6.5049999999999999</v>
      </c>
      <c r="CZ76">
        <v>29.24</v>
      </c>
      <c r="DA76">
        <v>29.256</v>
      </c>
      <c r="DB76">
        <v>10</v>
      </c>
      <c r="DC76" s="7" t="s">
        <v>295</v>
      </c>
      <c r="DD76" s="7" t="s">
        <v>292</v>
      </c>
      <c r="DE76">
        <v>0.82399999999999995</v>
      </c>
      <c r="DF76">
        <v>17.097999999999999</v>
      </c>
      <c r="DG76">
        <v>18.542000000000002</v>
      </c>
      <c r="DH76">
        <v>7</v>
      </c>
      <c r="DI76" s="7" t="s">
        <v>291</v>
      </c>
      <c r="DJ76" s="7" t="s">
        <v>294</v>
      </c>
      <c r="DK76">
        <v>7.6280000000000001</v>
      </c>
      <c r="DL76">
        <v>12.135999999999999</v>
      </c>
      <c r="DM76">
        <v>12.888</v>
      </c>
      <c r="DN76">
        <v>6</v>
      </c>
      <c r="DO76" s="7" t="s">
        <v>298</v>
      </c>
      <c r="DP76" s="7" t="s">
        <v>297</v>
      </c>
      <c r="DQ76">
        <v>0.72199999999999998</v>
      </c>
      <c r="DR76">
        <v>20.344999999999999</v>
      </c>
      <c r="DS76">
        <v>20.745000000000001</v>
      </c>
      <c r="DT76">
        <v>8</v>
      </c>
      <c r="DU76" s="7" t="s">
        <v>299</v>
      </c>
      <c r="DV76" s="7" t="s">
        <v>296</v>
      </c>
      <c r="DW76">
        <v>0.94399999999999995</v>
      </c>
      <c r="DX76">
        <v>18.766999999999999</v>
      </c>
      <c r="DY76">
        <v>19.13</v>
      </c>
      <c r="DZ76">
        <v>8</v>
      </c>
      <c r="EA76" s="7" t="s">
        <v>293</v>
      </c>
      <c r="EB76" s="7" t="s">
        <v>296</v>
      </c>
      <c r="EC76">
        <v>1.3819999999999999</v>
      </c>
      <c r="ED76">
        <v>24.844999999999999</v>
      </c>
      <c r="EE76">
        <v>25.812000000000001</v>
      </c>
      <c r="EF76">
        <v>13</v>
      </c>
      <c r="EG76" s="7" t="s">
        <v>298</v>
      </c>
      <c r="EH76" s="7" t="s">
        <v>296</v>
      </c>
      <c r="EI76">
        <v>6.6289999999999996</v>
      </c>
      <c r="EJ76">
        <v>19.010000000000002</v>
      </c>
      <c r="EK76">
        <v>19.785</v>
      </c>
      <c r="EL76">
        <v>8</v>
      </c>
      <c r="EM76" s="7" t="s">
        <v>291</v>
      </c>
      <c r="EN76" s="7" t="s">
        <v>297</v>
      </c>
      <c r="EO76">
        <v>8.4169999999999998</v>
      </c>
      <c r="EP76">
        <v>20.166</v>
      </c>
      <c r="EQ76">
        <v>20.815000000000001</v>
      </c>
      <c r="ER76">
        <v>10</v>
      </c>
      <c r="ES76" s="7" t="s">
        <v>301</v>
      </c>
      <c r="ET76" s="7" t="s">
        <v>294</v>
      </c>
      <c r="EU76">
        <v>6.7830000000000004</v>
      </c>
      <c r="EV76">
        <v>10.275</v>
      </c>
      <c r="EW76">
        <v>11.644</v>
      </c>
      <c r="EX76">
        <v>5</v>
      </c>
      <c r="EY76" s="7" t="s">
        <v>300</v>
      </c>
      <c r="EZ76" s="7" t="s">
        <v>294</v>
      </c>
      <c r="FA76">
        <v>8.8279999999999994</v>
      </c>
      <c r="FB76">
        <v>11.593999999999999</v>
      </c>
      <c r="FC76">
        <v>12.101000000000001</v>
      </c>
      <c r="FD76">
        <v>5</v>
      </c>
      <c r="FE76" s="7" t="s">
        <v>301</v>
      </c>
      <c r="FF76" s="7" t="s">
        <v>294</v>
      </c>
      <c r="FG76">
        <v>0.79800000000000004</v>
      </c>
      <c r="FH76">
        <v>10.718</v>
      </c>
      <c r="FI76">
        <v>11.535</v>
      </c>
      <c r="FJ76">
        <v>8</v>
      </c>
      <c r="FK76" s="7" t="s">
        <v>291</v>
      </c>
      <c r="FL76" s="7" t="s">
        <v>294</v>
      </c>
      <c r="FM76">
        <v>1.444</v>
      </c>
      <c r="FN76">
        <v>11.946</v>
      </c>
      <c r="FO76">
        <v>13.196999999999999</v>
      </c>
      <c r="FP76">
        <v>7</v>
      </c>
      <c r="FQ76" s="7" t="s">
        <v>300</v>
      </c>
      <c r="FR76" s="7" t="s">
        <v>296</v>
      </c>
      <c r="FS76">
        <v>10.747999999999999</v>
      </c>
      <c r="FT76">
        <v>13.843</v>
      </c>
      <c r="FU76">
        <v>14.391999999999999</v>
      </c>
      <c r="FV76">
        <v>4</v>
      </c>
      <c r="FW76" s="7" t="s">
        <v>301</v>
      </c>
      <c r="FX76" s="7" t="s">
        <v>294</v>
      </c>
      <c r="FY76">
        <v>0.72099999999999997</v>
      </c>
      <c r="FZ76">
        <v>10.284000000000001</v>
      </c>
      <c r="GA76">
        <v>11.326000000000001</v>
      </c>
      <c r="GB76">
        <v>8</v>
      </c>
      <c r="GC76" s="7" t="s">
        <v>291</v>
      </c>
      <c r="GD76" s="7" t="s">
        <v>294</v>
      </c>
      <c r="GE76">
        <v>8.032</v>
      </c>
      <c r="GF76">
        <v>13.805999999999999</v>
      </c>
      <c r="GG76">
        <v>14.29</v>
      </c>
      <c r="GH76">
        <v>6</v>
      </c>
      <c r="GI76" s="7" t="s">
        <v>300</v>
      </c>
      <c r="GJ76" s="7" t="s">
        <v>296</v>
      </c>
      <c r="GK76">
        <v>0.67600000000000005</v>
      </c>
      <c r="GL76">
        <v>15.089</v>
      </c>
      <c r="GM76">
        <v>15.590999999999999</v>
      </c>
      <c r="GN76">
        <v>6</v>
      </c>
      <c r="GO76" s="7" t="s">
        <v>301</v>
      </c>
      <c r="GP76" s="7" t="s">
        <v>294</v>
      </c>
      <c r="GQ76">
        <v>1.6879999999999999</v>
      </c>
      <c r="GR76">
        <v>24.667999999999999</v>
      </c>
      <c r="GS76">
        <v>25.048999999999999</v>
      </c>
      <c r="GT76">
        <v>8</v>
      </c>
      <c r="GU76" s="7" t="s">
        <v>291</v>
      </c>
      <c r="GV76" s="7" t="s">
        <v>294</v>
      </c>
      <c r="GW76">
        <v>0.69399999999999995</v>
      </c>
      <c r="GX76">
        <v>30.725000000000001</v>
      </c>
      <c r="GY76">
        <v>31.178000000000001</v>
      </c>
      <c r="GZ76">
        <v>7</v>
      </c>
      <c r="HA76" s="7" t="s">
        <v>300</v>
      </c>
      <c r="HB76" s="7" t="s">
        <v>296</v>
      </c>
      <c r="HC76">
        <v>8.7140000000000004</v>
      </c>
      <c r="HD76">
        <v>12.587999999999999</v>
      </c>
      <c r="HE76">
        <v>13.24</v>
      </c>
      <c r="HF76">
        <v>6</v>
      </c>
      <c r="HG76" s="7" t="s">
        <v>291</v>
      </c>
      <c r="HH76" s="7" t="s">
        <v>294</v>
      </c>
      <c r="HI76">
        <v>0.9</v>
      </c>
      <c r="HJ76">
        <v>11.885</v>
      </c>
      <c r="HK76">
        <v>12.670999999999999</v>
      </c>
      <c r="HL76">
        <v>10</v>
      </c>
      <c r="HM76" s="7" t="s">
        <v>1168</v>
      </c>
      <c r="HN76" s="7" t="s">
        <v>1169</v>
      </c>
      <c r="HO76" s="7" t="s">
        <v>1170</v>
      </c>
      <c r="HP76" s="7" t="s">
        <v>1171</v>
      </c>
      <c r="HQ76" s="7" t="s">
        <v>1172</v>
      </c>
      <c r="HR76" s="7" t="s">
        <v>1173</v>
      </c>
      <c r="HS76" s="7" t="s">
        <v>1174</v>
      </c>
      <c r="HT76" s="7" t="s">
        <v>1175</v>
      </c>
      <c r="HU76" s="7" t="s">
        <v>1176</v>
      </c>
      <c r="HV76" s="7" t="s">
        <v>1177</v>
      </c>
      <c r="HW76" s="7" t="s">
        <v>282</v>
      </c>
      <c r="HX76" s="7" t="s">
        <v>1178</v>
      </c>
      <c r="HY76" s="7" t="s">
        <v>312</v>
      </c>
      <c r="HZ76" s="7" t="s">
        <v>372</v>
      </c>
      <c r="IA76" s="7" t="s">
        <v>325</v>
      </c>
      <c r="IB76" s="7" t="s">
        <v>282</v>
      </c>
      <c r="IC76" s="7" t="s">
        <v>282</v>
      </c>
    </row>
    <row r="77" spans="1:237" x14ac:dyDescent="0.2">
      <c r="A77" s="6">
        <v>45750.184525462966</v>
      </c>
      <c r="B77" s="6">
        <v>45750.198055555556</v>
      </c>
      <c r="C77" s="7" t="s">
        <v>240</v>
      </c>
      <c r="D77" s="7" t="s">
        <v>1179</v>
      </c>
      <c r="E77">
        <v>100</v>
      </c>
      <c r="F77">
        <v>1169</v>
      </c>
      <c r="G77" s="7" t="s">
        <v>280</v>
      </c>
      <c r="H77" s="6">
        <v>45750.198065937497</v>
      </c>
      <c r="I77" s="7" t="s">
        <v>1180</v>
      </c>
      <c r="J77" s="7" t="s">
        <v>282</v>
      </c>
      <c r="K77" s="7" t="s">
        <v>282</v>
      </c>
      <c r="L77" s="7" t="s">
        <v>282</v>
      </c>
      <c r="M77" s="7" t="s">
        <v>282</v>
      </c>
      <c r="N77">
        <v>49.500500000000002</v>
      </c>
      <c r="O77">
        <v>-117.2864</v>
      </c>
      <c r="P77" s="7" t="s">
        <v>283</v>
      </c>
      <c r="Q77" s="7" t="s">
        <v>284</v>
      </c>
      <c r="R77">
        <v>0.89999997615814209</v>
      </c>
      <c r="S77" s="7" t="s">
        <v>285</v>
      </c>
      <c r="T77" s="7" t="s">
        <v>285</v>
      </c>
      <c r="U77" s="7" t="s">
        <v>285</v>
      </c>
      <c r="V77" s="7" t="s">
        <v>285</v>
      </c>
      <c r="W77" s="7" t="s">
        <v>412</v>
      </c>
      <c r="X77" s="7" t="s">
        <v>1181</v>
      </c>
      <c r="Y77" s="7" t="s">
        <v>288</v>
      </c>
      <c r="Z77" s="7" t="s">
        <v>289</v>
      </c>
      <c r="AA77" s="7" t="s">
        <v>289</v>
      </c>
      <c r="AB77" s="7" t="s">
        <v>289</v>
      </c>
      <c r="AC77" s="7" t="s">
        <v>291</v>
      </c>
      <c r="AD77" s="7" t="s">
        <v>292</v>
      </c>
      <c r="AE77">
        <v>8.15</v>
      </c>
      <c r="AF77">
        <v>13.048</v>
      </c>
      <c r="AG77">
        <v>14.069000000000001</v>
      </c>
      <c r="AH77">
        <v>2</v>
      </c>
      <c r="AI77" s="7" t="s">
        <v>293</v>
      </c>
      <c r="AJ77" s="7" t="s">
        <v>296</v>
      </c>
      <c r="AK77">
        <v>7.3970000000000002</v>
      </c>
      <c r="AL77">
        <v>9.0470000000000006</v>
      </c>
      <c r="AM77">
        <v>9.7319999999999993</v>
      </c>
      <c r="AN77">
        <v>2</v>
      </c>
      <c r="AO77" s="7" t="s">
        <v>293</v>
      </c>
      <c r="AP77" s="7" t="s">
        <v>296</v>
      </c>
      <c r="AQ77">
        <v>7.556</v>
      </c>
      <c r="AR77">
        <v>9.0180000000000007</v>
      </c>
      <c r="AS77">
        <v>9.8219999999999992</v>
      </c>
      <c r="AT77">
        <v>2</v>
      </c>
      <c r="AU77" s="7" t="s">
        <v>295</v>
      </c>
      <c r="AV77" s="7" t="s">
        <v>292</v>
      </c>
      <c r="AW77">
        <v>8.6880000000000006</v>
      </c>
      <c r="AX77">
        <v>10.811</v>
      </c>
      <c r="AY77">
        <v>11.667999999999999</v>
      </c>
      <c r="AZ77">
        <v>2</v>
      </c>
      <c r="BA77" s="7" t="s">
        <v>295</v>
      </c>
      <c r="BB77" s="7" t="s">
        <v>292</v>
      </c>
      <c r="BC77">
        <v>7.8390000000000004</v>
      </c>
      <c r="BD77">
        <v>9.9030000000000005</v>
      </c>
      <c r="BE77">
        <v>10.894</v>
      </c>
      <c r="BF77">
        <v>2</v>
      </c>
      <c r="BG77" s="7" t="s">
        <v>291</v>
      </c>
      <c r="BH77" s="7" t="s">
        <v>292</v>
      </c>
      <c r="BI77">
        <v>7.0190000000000001</v>
      </c>
      <c r="BJ77">
        <v>9.5090000000000003</v>
      </c>
      <c r="BK77">
        <v>10.637</v>
      </c>
      <c r="BL77">
        <v>3</v>
      </c>
      <c r="BM77" s="7" t="s">
        <v>293</v>
      </c>
      <c r="BN77" s="7" t="s">
        <v>296</v>
      </c>
      <c r="BO77">
        <v>8.6240000000000006</v>
      </c>
      <c r="BP77">
        <v>10.281000000000001</v>
      </c>
      <c r="BQ77">
        <v>11.2</v>
      </c>
      <c r="BR77">
        <v>2</v>
      </c>
      <c r="BS77" s="7" t="s">
        <v>293</v>
      </c>
      <c r="BT77" s="7" t="s">
        <v>292</v>
      </c>
      <c r="BU77">
        <v>11.048999999999999</v>
      </c>
      <c r="BV77">
        <v>13.119</v>
      </c>
      <c r="BW77">
        <v>13.992000000000001</v>
      </c>
      <c r="BX77">
        <v>2</v>
      </c>
      <c r="BY77" s="7" t="s">
        <v>298</v>
      </c>
      <c r="BZ77" s="7" t="s">
        <v>292</v>
      </c>
      <c r="CA77">
        <v>20.998999999999999</v>
      </c>
      <c r="CB77">
        <v>23.387</v>
      </c>
      <c r="CC77">
        <v>24.396999999999998</v>
      </c>
      <c r="CD77">
        <v>2</v>
      </c>
      <c r="CE77" s="7" t="s">
        <v>298</v>
      </c>
      <c r="CF77" s="7" t="s">
        <v>297</v>
      </c>
      <c r="CG77">
        <v>11.313000000000001</v>
      </c>
      <c r="CH77">
        <v>13.885</v>
      </c>
      <c r="CI77">
        <v>15.403</v>
      </c>
      <c r="CJ77">
        <v>3</v>
      </c>
      <c r="CK77" s="7" t="s">
        <v>291</v>
      </c>
      <c r="CL77" s="7" t="s">
        <v>292</v>
      </c>
      <c r="CM77">
        <v>6.9130000000000003</v>
      </c>
      <c r="CN77">
        <v>8.4030000000000005</v>
      </c>
      <c r="CO77">
        <v>9.2769999999999992</v>
      </c>
      <c r="CP77">
        <v>2</v>
      </c>
      <c r="CQ77" s="7" t="s">
        <v>293</v>
      </c>
      <c r="CR77" s="7" t="s">
        <v>296</v>
      </c>
      <c r="CS77">
        <v>8.1509999999999998</v>
      </c>
      <c r="CT77">
        <v>9.6590000000000007</v>
      </c>
      <c r="CU77">
        <v>11.206</v>
      </c>
      <c r="CV77">
        <v>2</v>
      </c>
      <c r="CW77" s="7" t="s">
        <v>293</v>
      </c>
      <c r="CX77" s="7" t="s">
        <v>292</v>
      </c>
      <c r="CY77">
        <v>7.1130000000000004</v>
      </c>
      <c r="CZ77">
        <v>9.6329999999999991</v>
      </c>
      <c r="DA77">
        <v>10.782999999999999</v>
      </c>
      <c r="DB77">
        <v>2</v>
      </c>
      <c r="DC77" s="7" t="s">
        <v>295</v>
      </c>
      <c r="DD77" s="7" t="s">
        <v>292</v>
      </c>
      <c r="DE77">
        <v>7.827</v>
      </c>
      <c r="DF77">
        <v>9.8879999999999999</v>
      </c>
      <c r="DG77">
        <v>10.763999999999999</v>
      </c>
      <c r="DH77">
        <v>2</v>
      </c>
      <c r="DI77" s="7" t="s">
        <v>298</v>
      </c>
      <c r="DJ77" s="7" t="s">
        <v>296</v>
      </c>
      <c r="DK77">
        <v>9.3119999999999994</v>
      </c>
      <c r="DL77">
        <v>11.000999999999999</v>
      </c>
      <c r="DM77">
        <v>12.727</v>
      </c>
      <c r="DN77">
        <v>2</v>
      </c>
      <c r="DO77" s="7" t="s">
        <v>291</v>
      </c>
      <c r="DP77" s="7" t="s">
        <v>292</v>
      </c>
      <c r="DQ77">
        <v>6.9960000000000004</v>
      </c>
      <c r="DR77">
        <v>9.2989999999999995</v>
      </c>
      <c r="DS77">
        <v>10.127000000000001</v>
      </c>
      <c r="DT77">
        <v>2</v>
      </c>
      <c r="DU77" s="7" t="s">
        <v>293</v>
      </c>
      <c r="DV77" s="7" t="s">
        <v>296</v>
      </c>
      <c r="DW77">
        <v>6.6879999999999997</v>
      </c>
      <c r="DX77">
        <v>9.0660000000000007</v>
      </c>
      <c r="DY77">
        <v>10.545</v>
      </c>
      <c r="DZ77">
        <v>2</v>
      </c>
      <c r="EA77" s="7" t="s">
        <v>291</v>
      </c>
      <c r="EB77" s="7" t="s">
        <v>292</v>
      </c>
      <c r="EC77">
        <v>11.327999999999999</v>
      </c>
      <c r="ED77">
        <v>13.121</v>
      </c>
      <c r="EE77">
        <v>14.256</v>
      </c>
      <c r="EF77">
        <v>2</v>
      </c>
      <c r="EG77" s="7" t="s">
        <v>295</v>
      </c>
      <c r="EH77" s="7" t="s">
        <v>296</v>
      </c>
      <c r="EI77">
        <v>8.4570000000000007</v>
      </c>
      <c r="EJ77">
        <v>11.577</v>
      </c>
      <c r="EK77">
        <v>12.509</v>
      </c>
      <c r="EL77">
        <v>2</v>
      </c>
      <c r="EM77" s="7" t="s">
        <v>298</v>
      </c>
      <c r="EN77" s="7" t="s">
        <v>292</v>
      </c>
      <c r="EO77">
        <v>9.9420000000000002</v>
      </c>
      <c r="EP77">
        <v>12.192</v>
      </c>
      <c r="EQ77">
        <v>13.26</v>
      </c>
      <c r="ER77">
        <v>2</v>
      </c>
      <c r="ES77" s="7" t="s">
        <v>291</v>
      </c>
      <c r="ET77" s="7" t="s">
        <v>292</v>
      </c>
      <c r="EU77">
        <v>9.6560000000000006</v>
      </c>
      <c r="EV77">
        <v>10.759</v>
      </c>
      <c r="EW77">
        <v>12.563000000000001</v>
      </c>
      <c r="EX77">
        <v>2</v>
      </c>
      <c r="EY77" s="7" t="s">
        <v>300</v>
      </c>
      <c r="EZ77" s="7" t="s">
        <v>296</v>
      </c>
      <c r="FA77">
        <v>8.6180000000000003</v>
      </c>
      <c r="FB77">
        <v>9.6980000000000004</v>
      </c>
      <c r="FC77">
        <v>11.353999999999999</v>
      </c>
      <c r="FD77">
        <v>2</v>
      </c>
      <c r="FE77" s="7" t="s">
        <v>301</v>
      </c>
      <c r="FF77" s="7" t="s">
        <v>292</v>
      </c>
      <c r="FG77">
        <v>11.727</v>
      </c>
      <c r="FH77">
        <v>14.083</v>
      </c>
      <c r="FI77">
        <v>15.023</v>
      </c>
      <c r="FJ77">
        <v>2</v>
      </c>
      <c r="FK77" s="7" t="s">
        <v>291</v>
      </c>
      <c r="FL77" s="7" t="s">
        <v>292</v>
      </c>
      <c r="FM77">
        <v>30.193999999999999</v>
      </c>
      <c r="FN77">
        <v>35.197000000000003</v>
      </c>
      <c r="FO77">
        <v>36.353000000000002</v>
      </c>
      <c r="FP77">
        <v>2</v>
      </c>
      <c r="FQ77" s="7" t="s">
        <v>300</v>
      </c>
      <c r="FR77" s="7" t="s">
        <v>296</v>
      </c>
      <c r="FS77">
        <v>13.801</v>
      </c>
      <c r="FT77">
        <v>18.343</v>
      </c>
      <c r="FU77">
        <v>19.454999999999998</v>
      </c>
      <c r="FV77">
        <v>2</v>
      </c>
      <c r="FW77" s="7" t="s">
        <v>301</v>
      </c>
      <c r="FX77" s="7" t="s">
        <v>292</v>
      </c>
      <c r="FY77">
        <v>18.190000000000001</v>
      </c>
      <c r="FZ77">
        <v>21.288</v>
      </c>
      <c r="GA77">
        <v>22.483000000000001</v>
      </c>
      <c r="GB77">
        <v>2</v>
      </c>
      <c r="GC77" s="7" t="s">
        <v>291</v>
      </c>
      <c r="GD77" s="7" t="s">
        <v>296</v>
      </c>
      <c r="GE77">
        <v>8.1460000000000008</v>
      </c>
      <c r="GF77">
        <v>9.7739999999999991</v>
      </c>
      <c r="GG77">
        <v>11.419</v>
      </c>
      <c r="GH77">
        <v>2</v>
      </c>
      <c r="GI77" s="7" t="s">
        <v>300</v>
      </c>
      <c r="GJ77" s="7" t="s">
        <v>296</v>
      </c>
      <c r="GK77">
        <v>8.6199999999999992</v>
      </c>
      <c r="GL77">
        <v>10.63</v>
      </c>
      <c r="GM77">
        <v>12.208</v>
      </c>
      <c r="GN77">
        <v>2</v>
      </c>
      <c r="GO77" s="7" t="s">
        <v>301</v>
      </c>
      <c r="GP77" s="7" t="s">
        <v>292</v>
      </c>
      <c r="GQ77">
        <v>23.885999999999999</v>
      </c>
      <c r="GR77">
        <v>26.428000000000001</v>
      </c>
      <c r="GS77">
        <v>27.614999999999998</v>
      </c>
      <c r="GT77">
        <v>2</v>
      </c>
      <c r="GU77" s="7" t="s">
        <v>291</v>
      </c>
      <c r="GV77" s="7" t="s">
        <v>292</v>
      </c>
      <c r="GW77">
        <v>8.3119999999999994</v>
      </c>
      <c r="GX77">
        <v>9.1959999999999997</v>
      </c>
      <c r="GY77">
        <v>11.215</v>
      </c>
      <c r="GZ77">
        <v>2</v>
      </c>
      <c r="HA77" s="7" t="s">
        <v>300</v>
      </c>
      <c r="HB77" s="7" t="s">
        <v>296</v>
      </c>
      <c r="HC77">
        <v>7.7960000000000003</v>
      </c>
      <c r="HD77">
        <v>9.7910000000000004</v>
      </c>
      <c r="HE77">
        <v>10.618</v>
      </c>
      <c r="HF77">
        <v>2</v>
      </c>
      <c r="HG77" s="7" t="s">
        <v>291</v>
      </c>
      <c r="HH77" s="7" t="s">
        <v>292</v>
      </c>
      <c r="HI77">
        <v>9.4339999999999993</v>
      </c>
      <c r="HJ77">
        <v>11.481999999999999</v>
      </c>
      <c r="HK77">
        <v>12.422000000000001</v>
      </c>
      <c r="HL77">
        <v>2</v>
      </c>
      <c r="HM77" s="7" t="s">
        <v>1182</v>
      </c>
      <c r="HN77" s="7" t="s">
        <v>1183</v>
      </c>
      <c r="HO77" s="7" t="s">
        <v>1184</v>
      </c>
      <c r="HP77" s="7" t="s">
        <v>1183</v>
      </c>
      <c r="HQ77" s="7" t="s">
        <v>1185</v>
      </c>
      <c r="HR77" s="7" t="s">
        <v>1183</v>
      </c>
      <c r="HS77" s="7" t="s">
        <v>1186</v>
      </c>
      <c r="HT77" s="7" t="s">
        <v>1183</v>
      </c>
      <c r="HU77" s="7" t="s">
        <v>1187</v>
      </c>
      <c r="HV77" s="7" t="s">
        <v>1183</v>
      </c>
      <c r="HW77" s="7" t="s">
        <v>282</v>
      </c>
      <c r="HX77" s="7" t="s">
        <v>282</v>
      </c>
      <c r="HY77" s="7" t="s">
        <v>312</v>
      </c>
      <c r="HZ77" s="7" t="s">
        <v>356</v>
      </c>
      <c r="IA77" s="7" t="s">
        <v>313</v>
      </c>
      <c r="IB77" s="7" t="s">
        <v>282</v>
      </c>
      <c r="IC77" s="7" t="s">
        <v>282</v>
      </c>
    </row>
    <row r="78" spans="1:237" x14ac:dyDescent="0.2">
      <c r="A78" s="6">
        <v>45750.295127314814</v>
      </c>
      <c r="B78" s="6">
        <v>45750.306481481479</v>
      </c>
      <c r="C78" s="7" t="s">
        <v>240</v>
      </c>
      <c r="D78" s="7" t="s">
        <v>1188</v>
      </c>
      <c r="E78">
        <v>100</v>
      </c>
      <c r="F78">
        <v>981</v>
      </c>
      <c r="G78" s="7" t="s">
        <v>280</v>
      </c>
      <c r="H78" s="6">
        <v>45750.306500810184</v>
      </c>
      <c r="I78" s="7" t="s">
        <v>1189</v>
      </c>
      <c r="J78" s="7" t="s">
        <v>282</v>
      </c>
      <c r="K78" s="7" t="s">
        <v>282</v>
      </c>
      <c r="L78" s="7" t="s">
        <v>282</v>
      </c>
      <c r="M78" s="7" t="s">
        <v>282</v>
      </c>
      <c r="N78">
        <v>46.614899999999999</v>
      </c>
      <c r="O78">
        <v>6.5111999999999997</v>
      </c>
      <c r="P78" s="7" t="s">
        <v>283</v>
      </c>
      <c r="Q78" s="7" t="s">
        <v>284</v>
      </c>
      <c r="R78">
        <v>1</v>
      </c>
      <c r="S78" s="7" t="s">
        <v>285</v>
      </c>
      <c r="T78" s="7" t="s">
        <v>285</v>
      </c>
      <c r="U78" s="7" t="s">
        <v>285</v>
      </c>
      <c r="V78" s="7" t="s">
        <v>285</v>
      </c>
      <c r="W78" s="7" t="s">
        <v>412</v>
      </c>
      <c r="X78" s="7" t="s">
        <v>375</v>
      </c>
      <c r="Y78" s="7" t="s">
        <v>288</v>
      </c>
      <c r="Z78" s="7" t="s">
        <v>290</v>
      </c>
      <c r="AA78" s="7" t="s">
        <v>290</v>
      </c>
      <c r="AB78" s="7" t="s">
        <v>329</v>
      </c>
      <c r="AC78" s="7" t="s">
        <v>282</v>
      </c>
      <c r="AD78" s="7" t="s">
        <v>292</v>
      </c>
      <c r="AE78">
        <v>10.122</v>
      </c>
      <c r="AF78">
        <v>11.733000000000001</v>
      </c>
      <c r="AG78">
        <v>12.481</v>
      </c>
      <c r="AH78">
        <v>2</v>
      </c>
      <c r="AI78" s="7" t="s">
        <v>293</v>
      </c>
      <c r="AJ78" s="7" t="s">
        <v>296</v>
      </c>
      <c r="AK78">
        <v>5.8380000000000001</v>
      </c>
      <c r="AL78">
        <v>9.827</v>
      </c>
      <c r="AM78">
        <v>10.236000000000001</v>
      </c>
      <c r="AN78">
        <v>3</v>
      </c>
      <c r="AO78" s="7" t="s">
        <v>293</v>
      </c>
      <c r="AP78" s="7" t="s">
        <v>292</v>
      </c>
      <c r="AQ78">
        <v>7.6310000000000002</v>
      </c>
      <c r="AR78">
        <v>13.023999999999999</v>
      </c>
      <c r="AS78">
        <v>14.101000000000001</v>
      </c>
      <c r="AT78">
        <v>4</v>
      </c>
      <c r="AU78" s="7" t="s">
        <v>295</v>
      </c>
      <c r="AV78" s="7" t="s">
        <v>292</v>
      </c>
      <c r="AW78">
        <v>7.8159999999999998</v>
      </c>
      <c r="AX78">
        <v>10.087999999999999</v>
      </c>
      <c r="AY78">
        <v>10.837</v>
      </c>
      <c r="AZ78">
        <v>2</v>
      </c>
      <c r="BA78" s="7" t="s">
        <v>298</v>
      </c>
      <c r="BB78" s="7" t="s">
        <v>297</v>
      </c>
      <c r="BC78">
        <v>10.816000000000001</v>
      </c>
      <c r="BD78">
        <v>18.472999999999999</v>
      </c>
      <c r="BE78">
        <v>19.155999999999999</v>
      </c>
      <c r="BF78">
        <v>5</v>
      </c>
      <c r="BG78" s="7" t="s">
        <v>291</v>
      </c>
      <c r="BH78" s="7" t="s">
        <v>292</v>
      </c>
      <c r="BI78">
        <v>8.5820000000000007</v>
      </c>
      <c r="BJ78">
        <v>10.426</v>
      </c>
      <c r="BK78">
        <v>13.4</v>
      </c>
      <c r="BL78">
        <v>2</v>
      </c>
      <c r="BM78" s="7" t="s">
        <v>293</v>
      </c>
      <c r="BN78" s="7" t="s">
        <v>292</v>
      </c>
      <c r="BO78">
        <v>8.0419999999999998</v>
      </c>
      <c r="BP78">
        <v>11.374000000000001</v>
      </c>
      <c r="BQ78">
        <v>11.615</v>
      </c>
      <c r="BR78">
        <v>4</v>
      </c>
      <c r="BS78" s="7" t="s">
        <v>298</v>
      </c>
      <c r="BT78" s="7" t="s">
        <v>292</v>
      </c>
      <c r="BU78">
        <v>11.503</v>
      </c>
      <c r="BV78">
        <v>13.003</v>
      </c>
      <c r="BW78">
        <v>13.909000000000001</v>
      </c>
      <c r="BX78">
        <v>2</v>
      </c>
      <c r="BY78" s="7" t="s">
        <v>298</v>
      </c>
      <c r="BZ78" s="7" t="s">
        <v>296</v>
      </c>
      <c r="CA78">
        <v>6.38</v>
      </c>
      <c r="CB78">
        <v>10.603999999999999</v>
      </c>
      <c r="CC78">
        <v>11.680999999999999</v>
      </c>
      <c r="CD78">
        <v>2</v>
      </c>
      <c r="CE78" s="7" t="s">
        <v>298</v>
      </c>
      <c r="CF78" s="7" t="s">
        <v>296</v>
      </c>
      <c r="CG78">
        <v>7.2619999999999996</v>
      </c>
      <c r="CH78">
        <v>8.4629999999999992</v>
      </c>
      <c r="CI78">
        <v>9.5310000000000006</v>
      </c>
      <c r="CJ78">
        <v>2</v>
      </c>
      <c r="CK78" s="7" t="s">
        <v>293</v>
      </c>
      <c r="CL78" s="7" t="s">
        <v>292</v>
      </c>
      <c r="CM78">
        <v>10.058999999999999</v>
      </c>
      <c r="CN78">
        <v>11.83</v>
      </c>
      <c r="CO78">
        <v>12.791</v>
      </c>
      <c r="CP78">
        <v>2</v>
      </c>
      <c r="CQ78" s="7" t="s">
        <v>293</v>
      </c>
      <c r="CR78" s="7" t="s">
        <v>296</v>
      </c>
      <c r="CS78">
        <v>8.6560000000000006</v>
      </c>
      <c r="CT78">
        <v>12.925000000000001</v>
      </c>
      <c r="CU78">
        <v>13.872</v>
      </c>
      <c r="CV78">
        <v>2</v>
      </c>
      <c r="CW78" s="7" t="s">
        <v>282</v>
      </c>
      <c r="CX78" s="7" t="s">
        <v>292</v>
      </c>
      <c r="CY78">
        <v>7.7619999999999996</v>
      </c>
      <c r="CZ78">
        <v>12.794</v>
      </c>
      <c r="DA78">
        <v>14.18</v>
      </c>
      <c r="DB78">
        <v>3</v>
      </c>
      <c r="DC78" s="7" t="s">
        <v>295</v>
      </c>
      <c r="DD78" s="7" t="s">
        <v>297</v>
      </c>
      <c r="DE78">
        <v>6.5439999999999996</v>
      </c>
      <c r="DF78">
        <v>10.728999999999999</v>
      </c>
      <c r="DG78">
        <v>11.895</v>
      </c>
      <c r="DH78">
        <v>2</v>
      </c>
      <c r="DI78" s="7" t="s">
        <v>298</v>
      </c>
      <c r="DJ78" s="7" t="s">
        <v>297</v>
      </c>
      <c r="DK78">
        <v>10.845000000000001</v>
      </c>
      <c r="DL78">
        <v>15.39</v>
      </c>
      <c r="DM78">
        <v>16.294</v>
      </c>
      <c r="DN78">
        <v>2</v>
      </c>
      <c r="DO78" s="7" t="s">
        <v>282</v>
      </c>
      <c r="DP78" s="7" t="s">
        <v>297</v>
      </c>
      <c r="DQ78">
        <v>6.1639999999999997</v>
      </c>
      <c r="DR78">
        <v>10.602</v>
      </c>
      <c r="DS78">
        <v>11.552</v>
      </c>
      <c r="DT78">
        <v>2</v>
      </c>
      <c r="DU78" s="7" t="s">
        <v>293</v>
      </c>
      <c r="DV78" s="7" t="s">
        <v>296</v>
      </c>
      <c r="DW78">
        <v>7.6349999999999998</v>
      </c>
      <c r="DX78">
        <v>12.413</v>
      </c>
      <c r="DY78">
        <v>12.734</v>
      </c>
      <c r="DZ78">
        <v>3</v>
      </c>
      <c r="EA78" s="7" t="s">
        <v>291</v>
      </c>
      <c r="EB78" s="7" t="s">
        <v>296</v>
      </c>
      <c r="EC78">
        <v>4.7699999999999996</v>
      </c>
      <c r="ED78">
        <v>6.9809999999999999</v>
      </c>
      <c r="EE78">
        <v>9.2810000000000006</v>
      </c>
      <c r="EF78">
        <v>2</v>
      </c>
      <c r="EG78" s="7" t="s">
        <v>295</v>
      </c>
      <c r="EH78" s="7" t="s">
        <v>296</v>
      </c>
      <c r="EI78">
        <v>13.682</v>
      </c>
      <c r="EJ78">
        <v>18.872</v>
      </c>
      <c r="EK78">
        <v>19.73</v>
      </c>
      <c r="EL78">
        <v>3</v>
      </c>
      <c r="EM78" s="7" t="s">
        <v>298</v>
      </c>
      <c r="EN78" s="7" t="s">
        <v>296</v>
      </c>
      <c r="EO78">
        <v>8.3510000000000009</v>
      </c>
      <c r="EP78">
        <v>10.762</v>
      </c>
      <c r="EQ78">
        <v>11.62</v>
      </c>
      <c r="ER78">
        <v>2</v>
      </c>
      <c r="ES78" s="7" t="s">
        <v>282</v>
      </c>
      <c r="ET78" s="7" t="s">
        <v>297</v>
      </c>
      <c r="EU78">
        <v>11.167999999999999</v>
      </c>
      <c r="EV78">
        <v>15.087</v>
      </c>
      <c r="EW78">
        <v>15.647</v>
      </c>
      <c r="EX78">
        <v>3</v>
      </c>
      <c r="EY78" s="7" t="s">
        <v>619</v>
      </c>
      <c r="EZ78" s="7" t="s">
        <v>292</v>
      </c>
      <c r="FA78">
        <v>19.03</v>
      </c>
      <c r="FB78">
        <v>22.206</v>
      </c>
      <c r="FC78">
        <v>23.957999999999998</v>
      </c>
      <c r="FD78">
        <v>2</v>
      </c>
      <c r="FE78" s="7" t="s">
        <v>301</v>
      </c>
      <c r="FF78" s="7" t="s">
        <v>296</v>
      </c>
      <c r="FG78">
        <v>7.4219999999999997</v>
      </c>
      <c r="FH78">
        <v>10.912000000000001</v>
      </c>
      <c r="FI78">
        <v>12.101000000000001</v>
      </c>
      <c r="FJ78">
        <v>2</v>
      </c>
      <c r="FK78" s="7" t="s">
        <v>291</v>
      </c>
      <c r="FL78" s="7" t="s">
        <v>292</v>
      </c>
      <c r="FM78">
        <v>4.6680000000000001</v>
      </c>
      <c r="FN78">
        <v>7.8860000000000001</v>
      </c>
      <c r="FO78">
        <v>9.8239999999999998</v>
      </c>
      <c r="FP78">
        <v>2</v>
      </c>
      <c r="FQ78" s="7" t="s">
        <v>300</v>
      </c>
      <c r="FR78" s="7" t="s">
        <v>296</v>
      </c>
      <c r="FS78">
        <v>7.1559999999999997</v>
      </c>
      <c r="FT78">
        <v>9.0449999999999999</v>
      </c>
      <c r="FU78">
        <v>10.016</v>
      </c>
      <c r="FV78">
        <v>2</v>
      </c>
      <c r="FW78" s="7" t="s">
        <v>300</v>
      </c>
      <c r="FX78" s="7" t="s">
        <v>292</v>
      </c>
      <c r="FY78">
        <v>9.7260000000000009</v>
      </c>
      <c r="FZ78">
        <v>12.164</v>
      </c>
      <c r="GA78">
        <v>13.601000000000001</v>
      </c>
      <c r="GB78">
        <v>3</v>
      </c>
      <c r="GC78" s="7" t="s">
        <v>291</v>
      </c>
      <c r="GD78" s="7" t="s">
        <v>296</v>
      </c>
      <c r="GE78">
        <v>19.120999999999999</v>
      </c>
      <c r="GF78">
        <v>26.68</v>
      </c>
      <c r="GG78">
        <v>27.922999999999998</v>
      </c>
      <c r="GH78">
        <v>2</v>
      </c>
      <c r="GI78" s="7" t="s">
        <v>300</v>
      </c>
      <c r="GJ78" s="7" t="s">
        <v>296</v>
      </c>
      <c r="GK78">
        <v>10.664999999999999</v>
      </c>
      <c r="GL78">
        <v>13.032999999999999</v>
      </c>
      <c r="GM78">
        <v>15.137</v>
      </c>
      <c r="GN78">
        <v>2</v>
      </c>
      <c r="GO78" s="7" t="s">
        <v>301</v>
      </c>
      <c r="GP78" s="7" t="s">
        <v>296</v>
      </c>
      <c r="GQ78">
        <v>10.34</v>
      </c>
      <c r="GR78">
        <v>12.962</v>
      </c>
      <c r="GS78">
        <v>13.859</v>
      </c>
      <c r="GT78">
        <v>2</v>
      </c>
      <c r="GU78" s="7" t="s">
        <v>291</v>
      </c>
      <c r="GV78" s="7" t="s">
        <v>296</v>
      </c>
      <c r="GW78">
        <v>7.6239999999999997</v>
      </c>
      <c r="GX78">
        <v>9.4689999999999994</v>
      </c>
      <c r="GY78">
        <v>10.759</v>
      </c>
      <c r="GZ78">
        <v>2</v>
      </c>
      <c r="HA78" s="7" t="s">
        <v>300</v>
      </c>
      <c r="HB78" s="7" t="s">
        <v>292</v>
      </c>
      <c r="HC78">
        <v>6.9660000000000002</v>
      </c>
      <c r="HD78">
        <v>11.196</v>
      </c>
      <c r="HE78">
        <v>11.519</v>
      </c>
      <c r="HF78">
        <v>3</v>
      </c>
      <c r="HG78" s="7" t="s">
        <v>291</v>
      </c>
      <c r="HH78" s="7" t="s">
        <v>296</v>
      </c>
      <c r="HI78">
        <v>6.1760000000000002</v>
      </c>
      <c r="HJ78">
        <v>8.9499999999999993</v>
      </c>
      <c r="HK78">
        <v>10.333</v>
      </c>
      <c r="HL78">
        <v>2</v>
      </c>
      <c r="HM78" s="7" t="s">
        <v>1190</v>
      </c>
      <c r="HN78" s="7" t="s">
        <v>1191</v>
      </c>
      <c r="HO78" s="7" t="s">
        <v>1192</v>
      </c>
      <c r="HP78" s="7" t="s">
        <v>1193</v>
      </c>
      <c r="HQ78" s="7" t="s">
        <v>1194</v>
      </c>
      <c r="HR78" s="7" t="s">
        <v>1195</v>
      </c>
      <c r="HS78" s="7" t="s">
        <v>308</v>
      </c>
      <c r="HT78" s="7" t="s">
        <v>566</v>
      </c>
      <c r="HU78" s="7" t="s">
        <v>1196</v>
      </c>
      <c r="HV78" s="7" t="s">
        <v>1197</v>
      </c>
      <c r="HW78" s="7" t="s">
        <v>282</v>
      </c>
      <c r="HX78" s="7" t="s">
        <v>282</v>
      </c>
      <c r="HY78" s="7" t="s">
        <v>312</v>
      </c>
      <c r="HZ78" s="7" t="s">
        <v>356</v>
      </c>
      <c r="IA78" s="7" t="s">
        <v>313</v>
      </c>
      <c r="IB78" s="7" t="s">
        <v>282</v>
      </c>
      <c r="IC78" s="7" t="s">
        <v>282</v>
      </c>
    </row>
    <row r="79" spans="1:237" x14ac:dyDescent="0.2">
      <c r="A79" s="6">
        <v>45750.346712962964</v>
      </c>
      <c r="B79" s="6">
        <v>45750.368668981479</v>
      </c>
      <c r="C79" s="7" t="s">
        <v>240</v>
      </c>
      <c r="D79" s="7" t="s">
        <v>1198</v>
      </c>
      <c r="E79">
        <v>100</v>
      </c>
      <c r="F79">
        <v>1896</v>
      </c>
      <c r="G79" s="7" t="s">
        <v>280</v>
      </c>
      <c r="H79" s="6">
        <v>45750.368676747683</v>
      </c>
      <c r="I79" s="7" t="s">
        <v>1199</v>
      </c>
      <c r="J79" s="7" t="s">
        <v>282</v>
      </c>
      <c r="K79" s="7" t="s">
        <v>282</v>
      </c>
      <c r="L79" s="7" t="s">
        <v>282</v>
      </c>
      <c r="M79" s="7" t="s">
        <v>282</v>
      </c>
      <c r="N79">
        <v>51.060499999999998</v>
      </c>
      <c r="O79">
        <v>-114.11020000000001</v>
      </c>
      <c r="P79" s="7" t="s">
        <v>283</v>
      </c>
      <c r="Q79" s="7" t="s">
        <v>284</v>
      </c>
      <c r="R79">
        <v>1</v>
      </c>
      <c r="S79" s="7" t="s">
        <v>285</v>
      </c>
      <c r="T79" s="7" t="s">
        <v>285</v>
      </c>
      <c r="U79" s="7" t="s">
        <v>285</v>
      </c>
      <c r="V79" s="7" t="s">
        <v>285</v>
      </c>
      <c r="W79" s="7" t="s">
        <v>286</v>
      </c>
      <c r="X79" s="7" t="s">
        <v>402</v>
      </c>
      <c r="Y79" s="7" t="s">
        <v>288</v>
      </c>
      <c r="Z79" s="7" t="s">
        <v>329</v>
      </c>
      <c r="AA79" s="7" t="s">
        <v>288</v>
      </c>
      <c r="AB79" s="7" t="s">
        <v>317</v>
      </c>
      <c r="AC79" s="7" t="s">
        <v>298</v>
      </c>
      <c r="AD79" s="7" t="s">
        <v>330</v>
      </c>
      <c r="AE79">
        <v>13.35</v>
      </c>
      <c r="AF79">
        <v>16.745000000000001</v>
      </c>
      <c r="AG79">
        <v>17.741</v>
      </c>
      <c r="AH79">
        <v>6</v>
      </c>
      <c r="AI79" s="7" t="s">
        <v>293</v>
      </c>
      <c r="AJ79" s="7" t="s">
        <v>292</v>
      </c>
      <c r="AK79">
        <v>7.8470000000000004</v>
      </c>
      <c r="AL79">
        <v>12.103999999999999</v>
      </c>
      <c r="AM79">
        <v>12.544</v>
      </c>
      <c r="AN79">
        <v>8</v>
      </c>
      <c r="AO79" s="7" t="s">
        <v>293</v>
      </c>
      <c r="AP79" s="7" t="s">
        <v>292</v>
      </c>
      <c r="AQ79">
        <v>8.2970000000000006</v>
      </c>
      <c r="AR79">
        <v>15.329000000000001</v>
      </c>
      <c r="AS79">
        <v>15.932</v>
      </c>
      <c r="AT79">
        <v>7</v>
      </c>
      <c r="AU79" s="7" t="s">
        <v>298</v>
      </c>
      <c r="AV79" s="7" t="s">
        <v>330</v>
      </c>
      <c r="AW79">
        <v>10.64</v>
      </c>
      <c r="AX79">
        <v>19.091999999999999</v>
      </c>
      <c r="AY79">
        <v>19.475000000000001</v>
      </c>
      <c r="AZ79">
        <v>6</v>
      </c>
      <c r="BA79" s="7" t="s">
        <v>295</v>
      </c>
      <c r="BB79" s="7" t="s">
        <v>297</v>
      </c>
      <c r="BC79">
        <v>11.048</v>
      </c>
      <c r="BD79">
        <v>61.735999999999997</v>
      </c>
      <c r="BE79">
        <v>62.04</v>
      </c>
      <c r="BF79">
        <v>18</v>
      </c>
      <c r="BG79" s="7" t="s">
        <v>291</v>
      </c>
      <c r="BH79" s="7" t="s">
        <v>292</v>
      </c>
      <c r="BI79">
        <v>12.997</v>
      </c>
      <c r="BJ79">
        <v>25.033999999999999</v>
      </c>
      <c r="BK79">
        <v>25.797999999999998</v>
      </c>
      <c r="BL79">
        <v>7</v>
      </c>
      <c r="BM79" s="7" t="s">
        <v>293</v>
      </c>
      <c r="BN79" s="7" t="s">
        <v>297</v>
      </c>
      <c r="BO79">
        <v>12.295999999999999</v>
      </c>
      <c r="BP79">
        <v>21.093</v>
      </c>
      <c r="BQ79">
        <v>21.638999999999999</v>
      </c>
      <c r="BR79">
        <v>5</v>
      </c>
      <c r="BS79" s="7" t="s">
        <v>299</v>
      </c>
      <c r="BT79" s="7" t="s">
        <v>297</v>
      </c>
      <c r="BU79">
        <v>10.661</v>
      </c>
      <c r="BV79">
        <v>22.649000000000001</v>
      </c>
      <c r="BW79">
        <v>23.094999999999999</v>
      </c>
      <c r="BX79">
        <v>14</v>
      </c>
      <c r="BY79" s="7" t="s">
        <v>299</v>
      </c>
      <c r="BZ79" s="7" t="s">
        <v>297</v>
      </c>
      <c r="CA79">
        <v>5.6459999999999999</v>
      </c>
      <c r="CB79">
        <v>9.2029999999999994</v>
      </c>
      <c r="CC79">
        <v>9.4789999999999992</v>
      </c>
      <c r="CD79">
        <v>7</v>
      </c>
      <c r="CE79" s="7" t="s">
        <v>298</v>
      </c>
      <c r="CF79" s="7" t="s">
        <v>292</v>
      </c>
      <c r="CG79">
        <v>10.766</v>
      </c>
      <c r="CH79">
        <v>15.128</v>
      </c>
      <c r="CI79">
        <v>15.500999999999999</v>
      </c>
      <c r="CJ79">
        <v>7</v>
      </c>
      <c r="CK79" s="7" t="s">
        <v>291</v>
      </c>
      <c r="CL79" s="7" t="s">
        <v>297</v>
      </c>
      <c r="CM79">
        <v>5.1950000000000003</v>
      </c>
      <c r="CN79">
        <v>653.33100000000002</v>
      </c>
      <c r="CO79">
        <v>653.70699999999999</v>
      </c>
      <c r="CP79">
        <v>6</v>
      </c>
      <c r="CQ79" s="7" t="s">
        <v>293</v>
      </c>
      <c r="CR79" s="7" t="s">
        <v>292</v>
      </c>
      <c r="CS79">
        <v>10.805</v>
      </c>
      <c r="CT79">
        <v>12.746</v>
      </c>
      <c r="CU79">
        <v>13.492000000000001</v>
      </c>
      <c r="CV79">
        <v>5</v>
      </c>
      <c r="CW79" s="7" t="s">
        <v>299</v>
      </c>
      <c r="CX79" s="7" t="s">
        <v>330</v>
      </c>
      <c r="CY79">
        <v>10.256</v>
      </c>
      <c r="CZ79">
        <v>16.109000000000002</v>
      </c>
      <c r="DA79">
        <v>16.477</v>
      </c>
      <c r="DB79">
        <v>6</v>
      </c>
      <c r="DC79" s="7" t="s">
        <v>299</v>
      </c>
      <c r="DD79" s="7" t="s">
        <v>297</v>
      </c>
      <c r="DE79">
        <v>8.0530000000000008</v>
      </c>
      <c r="DF79">
        <v>16.486000000000001</v>
      </c>
      <c r="DG79">
        <v>17.045000000000002</v>
      </c>
      <c r="DH79">
        <v>10</v>
      </c>
      <c r="DI79" s="7" t="s">
        <v>291</v>
      </c>
      <c r="DJ79" s="7" t="s">
        <v>297</v>
      </c>
      <c r="DK79">
        <v>8.6980000000000004</v>
      </c>
      <c r="DL79">
        <v>27.923999999999999</v>
      </c>
      <c r="DM79">
        <v>28.248000000000001</v>
      </c>
      <c r="DN79">
        <v>9</v>
      </c>
      <c r="DO79" s="7" t="s">
        <v>291</v>
      </c>
      <c r="DP79" s="7" t="s">
        <v>297</v>
      </c>
      <c r="DQ79">
        <v>9.2349999999999994</v>
      </c>
      <c r="DR79">
        <v>12.36</v>
      </c>
      <c r="DS79">
        <v>12.692</v>
      </c>
      <c r="DT79">
        <v>5</v>
      </c>
      <c r="DU79" s="7" t="s">
        <v>293</v>
      </c>
      <c r="DV79" s="7" t="s">
        <v>297</v>
      </c>
      <c r="DW79">
        <v>6.7850000000000001</v>
      </c>
      <c r="DX79">
        <v>9.032</v>
      </c>
      <c r="DY79">
        <v>9.3049999999999997</v>
      </c>
      <c r="DZ79">
        <v>5</v>
      </c>
      <c r="EA79" s="7" t="s">
        <v>299</v>
      </c>
      <c r="EB79" s="7" t="s">
        <v>292</v>
      </c>
      <c r="EC79">
        <v>17.613</v>
      </c>
      <c r="ED79">
        <v>20.140999999999998</v>
      </c>
      <c r="EE79">
        <v>20.756</v>
      </c>
      <c r="EF79">
        <v>6</v>
      </c>
      <c r="EG79" s="7" t="s">
        <v>298</v>
      </c>
      <c r="EH79" s="7" t="s">
        <v>330</v>
      </c>
      <c r="EI79">
        <v>11.676</v>
      </c>
      <c r="EJ79">
        <v>18.728999999999999</v>
      </c>
      <c r="EK79">
        <v>18.899999999999999</v>
      </c>
      <c r="EL79">
        <v>7</v>
      </c>
      <c r="EM79" s="7" t="s">
        <v>291</v>
      </c>
      <c r="EN79" s="7" t="s">
        <v>297</v>
      </c>
      <c r="EO79">
        <v>11.199</v>
      </c>
      <c r="EP79">
        <v>32.139000000000003</v>
      </c>
      <c r="EQ79">
        <v>32.584000000000003</v>
      </c>
      <c r="ER79">
        <v>17</v>
      </c>
      <c r="ES79" s="7" t="s">
        <v>291</v>
      </c>
      <c r="ET79" s="7" t="s">
        <v>297</v>
      </c>
      <c r="EU79">
        <v>8.1430000000000007</v>
      </c>
      <c r="EV79">
        <v>12.363</v>
      </c>
      <c r="EW79">
        <v>12.666</v>
      </c>
      <c r="EX79">
        <v>7</v>
      </c>
      <c r="EY79" s="7" t="s">
        <v>300</v>
      </c>
      <c r="EZ79" s="7" t="s">
        <v>292</v>
      </c>
      <c r="FA79">
        <v>4.242</v>
      </c>
      <c r="FB79">
        <v>7.327</v>
      </c>
      <c r="FC79">
        <v>8.58</v>
      </c>
      <c r="FD79">
        <v>6</v>
      </c>
      <c r="FE79" s="7" t="s">
        <v>301</v>
      </c>
      <c r="FF79" s="7" t="s">
        <v>297</v>
      </c>
      <c r="FG79">
        <v>6.2160000000000002</v>
      </c>
      <c r="FH79">
        <v>11.61</v>
      </c>
      <c r="FI79">
        <v>12.164</v>
      </c>
      <c r="FJ79">
        <v>8</v>
      </c>
      <c r="FK79" s="7" t="s">
        <v>291</v>
      </c>
      <c r="FL79" s="7" t="s">
        <v>292</v>
      </c>
      <c r="FM79">
        <v>4.4320000000000004</v>
      </c>
      <c r="FN79">
        <v>8.4390000000000001</v>
      </c>
      <c r="FO79">
        <v>8.7690000000000001</v>
      </c>
      <c r="FP79">
        <v>7</v>
      </c>
      <c r="FQ79" s="7" t="s">
        <v>300</v>
      </c>
      <c r="FR79" s="7" t="s">
        <v>292</v>
      </c>
      <c r="FS79">
        <v>6.0730000000000004</v>
      </c>
      <c r="FT79">
        <v>10.757999999999999</v>
      </c>
      <c r="FU79">
        <v>11.375999999999999</v>
      </c>
      <c r="FV79">
        <v>4</v>
      </c>
      <c r="FW79" s="7" t="s">
        <v>301</v>
      </c>
      <c r="FX79" s="7" t="s">
        <v>297</v>
      </c>
      <c r="FY79">
        <v>5.6109999999999998</v>
      </c>
      <c r="FZ79">
        <v>9.718</v>
      </c>
      <c r="GA79">
        <v>10.29</v>
      </c>
      <c r="GB79">
        <v>6</v>
      </c>
      <c r="GC79" s="7" t="s">
        <v>291</v>
      </c>
      <c r="GD79" s="7" t="s">
        <v>292</v>
      </c>
      <c r="GE79">
        <v>5.1820000000000004</v>
      </c>
      <c r="GF79">
        <v>7.7889999999999997</v>
      </c>
      <c r="GG79">
        <v>8.4700000000000006</v>
      </c>
      <c r="GH79">
        <v>6</v>
      </c>
      <c r="GI79" s="7" t="s">
        <v>300</v>
      </c>
      <c r="GJ79" s="7" t="s">
        <v>292</v>
      </c>
      <c r="GK79">
        <v>4.0720000000000001</v>
      </c>
      <c r="GL79">
        <v>8.6449999999999996</v>
      </c>
      <c r="GM79">
        <v>9.3379999999999992</v>
      </c>
      <c r="GN79">
        <v>7</v>
      </c>
      <c r="GO79" s="7" t="s">
        <v>291</v>
      </c>
      <c r="GP79" s="7" t="s">
        <v>292</v>
      </c>
      <c r="GQ79">
        <v>8.8840000000000003</v>
      </c>
      <c r="GR79">
        <v>21.297000000000001</v>
      </c>
      <c r="GS79">
        <v>21.702000000000002</v>
      </c>
      <c r="GT79">
        <v>4</v>
      </c>
      <c r="GU79" s="7" t="s">
        <v>291</v>
      </c>
      <c r="GV79" s="7" t="s">
        <v>292</v>
      </c>
      <c r="GW79">
        <v>6.2939999999999996</v>
      </c>
      <c r="GX79">
        <v>8.5609999999999999</v>
      </c>
      <c r="GY79">
        <v>8.9469999999999992</v>
      </c>
      <c r="GZ79">
        <v>6</v>
      </c>
      <c r="HA79" s="7" t="s">
        <v>300</v>
      </c>
      <c r="HB79" s="7" t="s">
        <v>292</v>
      </c>
      <c r="HC79">
        <v>5.9240000000000004</v>
      </c>
      <c r="HD79">
        <v>8.7110000000000003</v>
      </c>
      <c r="HE79">
        <v>9.0549999999999997</v>
      </c>
      <c r="HF79">
        <v>7</v>
      </c>
      <c r="HG79" s="7" t="s">
        <v>301</v>
      </c>
      <c r="HH79" s="7" t="s">
        <v>292</v>
      </c>
      <c r="HI79">
        <v>10.824999999999999</v>
      </c>
      <c r="HJ79">
        <v>14.19</v>
      </c>
      <c r="HK79">
        <v>14.535</v>
      </c>
      <c r="HL79">
        <v>5</v>
      </c>
      <c r="HM79" s="7" t="s">
        <v>1200</v>
      </c>
      <c r="HN79" s="7" t="s">
        <v>1201</v>
      </c>
      <c r="HO79" s="7" t="s">
        <v>1202</v>
      </c>
      <c r="HP79" s="7" t="s">
        <v>1203</v>
      </c>
      <c r="HQ79" s="7" t="s">
        <v>1202</v>
      </c>
      <c r="HR79" s="7" t="s">
        <v>1204</v>
      </c>
      <c r="HS79" s="7" t="s">
        <v>1203</v>
      </c>
      <c r="HT79" s="7" t="s">
        <v>1203</v>
      </c>
      <c r="HU79" s="7" t="s">
        <v>1205</v>
      </c>
      <c r="HV79" s="7" t="s">
        <v>1206</v>
      </c>
      <c r="HW79" s="7" t="s">
        <v>282</v>
      </c>
      <c r="HX79" s="7" t="s">
        <v>282</v>
      </c>
      <c r="HY79" s="7" t="s">
        <v>312</v>
      </c>
      <c r="HZ79" s="7" t="s">
        <v>372</v>
      </c>
      <c r="IA79" s="7" t="s">
        <v>325</v>
      </c>
      <c r="IB79" s="7" t="s">
        <v>282</v>
      </c>
      <c r="IC79" s="7" t="s">
        <v>282</v>
      </c>
    </row>
    <row r="80" spans="1:237" x14ac:dyDescent="0.2">
      <c r="A80" s="6">
        <v>45750.559386574074</v>
      </c>
      <c r="B80" s="6">
        <v>45750.577777777777</v>
      </c>
      <c r="C80" s="7" t="s">
        <v>240</v>
      </c>
      <c r="D80" s="7" t="s">
        <v>1207</v>
      </c>
      <c r="E80">
        <v>100</v>
      </c>
      <c r="F80">
        <v>1589</v>
      </c>
      <c r="G80" s="7" t="s">
        <v>280</v>
      </c>
      <c r="H80" s="6">
        <v>45750.577794328703</v>
      </c>
      <c r="I80" s="7" t="s">
        <v>1208</v>
      </c>
      <c r="J80" s="7" t="s">
        <v>282</v>
      </c>
      <c r="K80" s="7" t="s">
        <v>282</v>
      </c>
      <c r="L80" s="7" t="s">
        <v>282</v>
      </c>
      <c r="M80" s="7" t="s">
        <v>282</v>
      </c>
      <c r="N80">
        <v>51.085700000000003</v>
      </c>
      <c r="O80">
        <v>-114.0234</v>
      </c>
      <c r="P80" s="7" t="s">
        <v>283</v>
      </c>
      <c r="Q80" s="7" t="s">
        <v>284</v>
      </c>
      <c r="R80">
        <v>0.89999997615814209</v>
      </c>
      <c r="S80" s="7" t="s">
        <v>285</v>
      </c>
      <c r="T80" s="7" t="s">
        <v>285</v>
      </c>
      <c r="U80" s="7" t="s">
        <v>285</v>
      </c>
      <c r="V80" s="7" t="s">
        <v>285</v>
      </c>
      <c r="W80" s="7" t="s">
        <v>544</v>
      </c>
      <c r="X80" s="7" t="s">
        <v>402</v>
      </c>
      <c r="Y80" s="7" t="s">
        <v>288</v>
      </c>
      <c r="Z80" s="7" t="s">
        <v>317</v>
      </c>
      <c r="AA80" s="7" t="s">
        <v>290</v>
      </c>
      <c r="AB80" s="7" t="s">
        <v>317</v>
      </c>
      <c r="AC80" s="7" t="s">
        <v>291</v>
      </c>
      <c r="AD80" s="7" t="s">
        <v>296</v>
      </c>
      <c r="AE80">
        <v>8.0310000000000006</v>
      </c>
      <c r="AF80">
        <v>20.88</v>
      </c>
      <c r="AG80">
        <v>22.375</v>
      </c>
      <c r="AH80">
        <v>10</v>
      </c>
      <c r="AI80" s="7" t="s">
        <v>293</v>
      </c>
      <c r="AJ80" s="7" t="s">
        <v>296</v>
      </c>
      <c r="AK80">
        <v>16.731999999999999</v>
      </c>
      <c r="AL80">
        <v>22.751000000000001</v>
      </c>
      <c r="AM80">
        <v>23.364000000000001</v>
      </c>
      <c r="AN80">
        <v>9</v>
      </c>
      <c r="AO80" s="7" t="s">
        <v>293</v>
      </c>
      <c r="AP80" s="7" t="s">
        <v>296</v>
      </c>
      <c r="AQ80">
        <v>9.0009999999999994</v>
      </c>
      <c r="AR80">
        <v>15.811</v>
      </c>
      <c r="AS80">
        <v>16.439</v>
      </c>
      <c r="AT80">
        <v>6</v>
      </c>
      <c r="AU80" s="7" t="s">
        <v>295</v>
      </c>
      <c r="AV80" s="7" t="s">
        <v>292</v>
      </c>
      <c r="AW80">
        <v>5.968</v>
      </c>
      <c r="AX80">
        <v>16.672000000000001</v>
      </c>
      <c r="AY80">
        <v>38.615000000000002</v>
      </c>
      <c r="AZ80">
        <v>10</v>
      </c>
      <c r="BA80" s="7" t="s">
        <v>295</v>
      </c>
      <c r="BB80" s="7" t="s">
        <v>292</v>
      </c>
      <c r="BC80">
        <v>52.017000000000003</v>
      </c>
      <c r="BD80">
        <v>76.239999999999995</v>
      </c>
      <c r="BE80">
        <v>76.715999999999994</v>
      </c>
      <c r="BF80">
        <v>7</v>
      </c>
      <c r="BG80" s="7" t="s">
        <v>291</v>
      </c>
      <c r="BH80" s="7" t="s">
        <v>296</v>
      </c>
      <c r="BI80">
        <v>67.674000000000007</v>
      </c>
      <c r="BJ80">
        <v>71.736000000000004</v>
      </c>
      <c r="BK80">
        <v>72.210999999999999</v>
      </c>
      <c r="BL80">
        <v>5</v>
      </c>
      <c r="BM80" s="7" t="s">
        <v>293</v>
      </c>
      <c r="BN80" s="7" t="s">
        <v>296</v>
      </c>
      <c r="BO80">
        <v>4.5060000000000002</v>
      </c>
      <c r="BP80">
        <v>14.385</v>
      </c>
      <c r="BQ80">
        <v>14.936</v>
      </c>
      <c r="BR80">
        <v>12</v>
      </c>
      <c r="BS80" s="7" t="s">
        <v>298</v>
      </c>
      <c r="BT80" s="7" t="s">
        <v>297</v>
      </c>
      <c r="BU80">
        <v>32.523000000000003</v>
      </c>
      <c r="BV80">
        <v>38.948</v>
      </c>
      <c r="BW80">
        <v>39.530999999999999</v>
      </c>
      <c r="BX80">
        <v>6</v>
      </c>
      <c r="BY80" s="7" t="s">
        <v>295</v>
      </c>
      <c r="BZ80" s="7" t="s">
        <v>292</v>
      </c>
      <c r="CA80">
        <v>15.069000000000001</v>
      </c>
      <c r="CB80">
        <v>72.587000000000003</v>
      </c>
      <c r="CC80">
        <v>73.084000000000003</v>
      </c>
      <c r="CD80">
        <v>8</v>
      </c>
      <c r="CE80" s="7" t="s">
        <v>298</v>
      </c>
      <c r="CF80" s="7" t="s">
        <v>292</v>
      </c>
      <c r="CG80">
        <v>6.6120000000000001</v>
      </c>
      <c r="CH80">
        <v>10.254</v>
      </c>
      <c r="CI80">
        <v>10.874000000000001</v>
      </c>
      <c r="CJ80">
        <v>5</v>
      </c>
      <c r="CK80" s="7" t="s">
        <v>291</v>
      </c>
      <c r="CL80" s="7" t="s">
        <v>296</v>
      </c>
      <c r="CM80">
        <v>3.9470000000000001</v>
      </c>
      <c r="CN80">
        <v>29.294</v>
      </c>
      <c r="CO80">
        <v>29.756</v>
      </c>
      <c r="CP80">
        <v>13</v>
      </c>
      <c r="CQ80" s="7" t="s">
        <v>293</v>
      </c>
      <c r="CR80" s="7" t="s">
        <v>297</v>
      </c>
      <c r="CS80">
        <v>40.457000000000001</v>
      </c>
      <c r="CT80">
        <v>53.066000000000003</v>
      </c>
      <c r="CU80">
        <v>53.475000000000001</v>
      </c>
      <c r="CV80">
        <v>8</v>
      </c>
      <c r="CW80" s="7" t="s">
        <v>298</v>
      </c>
      <c r="CX80" s="7" t="s">
        <v>330</v>
      </c>
      <c r="CY80">
        <v>18.632000000000001</v>
      </c>
      <c r="CZ80">
        <v>52.28</v>
      </c>
      <c r="DA80">
        <v>52.734999999999999</v>
      </c>
      <c r="DB80">
        <v>13</v>
      </c>
      <c r="DC80" s="7" t="s">
        <v>295</v>
      </c>
      <c r="DD80" s="7" t="s">
        <v>292</v>
      </c>
      <c r="DE80">
        <v>7.2110000000000003</v>
      </c>
      <c r="DF80">
        <v>11.067</v>
      </c>
      <c r="DG80">
        <v>11.984999999999999</v>
      </c>
      <c r="DH80">
        <v>5</v>
      </c>
      <c r="DI80" s="7" t="s">
        <v>298</v>
      </c>
      <c r="DJ80" s="7" t="s">
        <v>330</v>
      </c>
      <c r="DK80">
        <v>6.4580000000000002</v>
      </c>
      <c r="DL80">
        <v>17.384</v>
      </c>
      <c r="DM80">
        <v>17.901</v>
      </c>
      <c r="DN80">
        <v>11</v>
      </c>
      <c r="DO80" s="7" t="s">
        <v>291</v>
      </c>
      <c r="DP80" s="7" t="s">
        <v>296</v>
      </c>
      <c r="DQ80">
        <v>8.6980000000000004</v>
      </c>
      <c r="DR80">
        <v>11.379</v>
      </c>
      <c r="DS80">
        <v>12.025</v>
      </c>
      <c r="DT80">
        <v>3</v>
      </c>
      <c r="DU80" s="7" t="s">
        <v>293</v>
      </c>
      <c r="DV80" s="7" t="s">
        <v>296</v>
      </c>
      <c r="DW80">
        <v>9.577</v>
      </c>
      <c r="DX80">
        <v>17.564</v>
      </c>
      <c r="DY80">
        <v>18.074999999999999</v>
      </c>
      <c r="DZ80">
        <v>10</v>
      </c>
      <c r="EA80" s="7" t="s">
        <v>298</v>
      </c>
      <c r="EB80" s="7" t="s">
        <v>330</v>
      </c>
      <c r="EC80">
        <v>39.003</v>
      </c>
      <c r="ED80">
        <v>43.524999999999999</v>
      </c>
      <c r="EE80">
        <v>44.215000000000003</v>
      </c>
      <c r="EF80">
        <v>5</v>
      </c>
      <c r="EG80" s="7" t="s">
        <v>295</v>
      </c>
      <c r="EH80" s="7" t="s">
        <v>292</v>
      </c>
      <c r="EI80">
        <v>15.608000000000001</v>
      </c>
      <c r="EJ80">
        <v>20.867999999999999</v>
      </c>
      <c r="EK80">
        <v>20.881</v>
      </c>
      <c r="EL80">
        <v>7</v>
      </c>
      <c r="EM80" s="7" t="s">
        <v>298</v>
      </c>
      <c r="EN80" s="7" t="s">
        <v>292</v>
      </c>
      <c r="EO80">
        <v>33.481999999999999</v>
      </c>
      <c r="EP80">
        <v>37.92</v>
      </c>
      <c r="EQ80">
        <v>38.383000000000003</v>
      </c>
      <c r="ER80">
        <v>5</v>
      </c>
      <c r="ES80" s="7" t="s">
        <v>291</v>
      </c>
      <c r="ET80" s="7" t="s">
        <v>296</v>
      </c>
      <c r="EU80">
        <v>7.01</v>
      </c>
      <c r="EV80">
        <v>14.414999999999999</v>
      </c>
      <c r="EW80">
        <v>15.093999999999999</v>
      </c>
      <c r="EX80">
        <v>6</v>
      </c>
      <c r="EY80" s="7" t="s">
        <v>300</v>
      </c>
      <c r="EZ80" s="7" t="s">
        <v>296</v>
      </c>
      <c r="FA80">
        <v>9.0289999999999999</v>
      </c>
      <c r="FB80">
        <v>13.122</v>
      </c>
      <c r="FC80">
        <v>13.728999999999999</v>
      </c>
      <c r="FD80">
        <v>5</v>
      </c>
      <c r="FE80" s="7" t="s">
        <v>282</v>
      </c>
      <c r="FF80" s="7" t="s">
        <v>330</v>
      </c>
      <c r="FG80">
        <v>1.331</v>
      </c>
      <c r="FH80">
        <v>31.704999999999998</v>
      </c>
      <c r="FI80">
        <v>33.470999999999997</v>
      </c>
      <c r="FJ80">
        <v>12</v>
      </c>
      <c r="FK80" s="7" t="s">
        <v>291</v>
      </c>
      <c r="FL80" s="7" t="s">
        <v>292</v>
      </c>
      <c r="FM80">
        <v>8.2449999999999992</v>
      </c>
      <c r="FN80">
        <v>15.513</v>
      </c>
      <c r="FO80">
        <v>15.904999999999999</v>
      </c>
      <c r="FP80">
        <v>6</v>
      </c>
      <c r="FQ80" s="7" t="s">
        <v>300</v>
      </c>
      <c r="FR80" s="7" t="s">
        <v>296</v>
      </c>
      <c r="FS80">
        <v>4.1719999999999997</v>
      </c>
      <c r="FT80">
        <v>57.335000000000001</v>
      </c>
      <c r="FU80">
        <v>57.811999999999998</v>
      </c>
      <c r="FV80">
        <v>13</v>
      </c>
      <c r="FW80" s="7" t="s">
        <v>282</v>
      </c>
      <c r="FX80" s="7" t="s">
        <v>330</v>
      </c>
      <c r="FY80">
        <v>10.706</v>
      </c>
      <c r="FZ80">
        <v>20.498000000000001</v>
      </c>
      <c r="GA80">
        <v>21.015000000000001</v>
      </c>
      <c r="GB80">
        <v>7</v>
      </c>
      <c r="GC80" s="7" t="s">
        <v>291</v>
      </c>
      <c r="GD80" s="7" t="s">
        <v>296</v>
      </c>
      <c r="GE80">
        <v>3.5870000000000002</v>
      </c>
      <c r="GF80">
        <v>18.158000000000001</v>
      </c>
      <c r="GG80">
        <v>18.942</v>
      </c>
      <c r="GH80">
        <v>6</v>
      </c>
      <c r="GI80" s="7" t="s">
        <v>300</v>
      </c>
      <c r="GJ80" s="7" t="s">
        <v>292</v>
      </c>
      <c r="GK80">
        <v>8.2379999999999995</v>
      </c>
      <c r="GL80">
        <v>12.881</v>
      </c>
      <c r="GM80">
        <v>13.882</v>
      </c>
      <c r="GN80">
        <v>6</v>
      </c>
      <c r="GO80" s="7" t="s">
        <v>301</v>
      </c>
      <c r="GP80" s="7" t="s">
        <v>297</v>
      </c>
      <c r="GQ80">
        <v>6.9470000000000001</v>
      </c>
      <c r="GR80">
        <v>16.169</v>
      </c>
      <c r="GS80">
        <v>16.795999999999999</v>
      </c>
      <c r="GT80">
        <v>8</v>
      </c>
      <c r="GU80" s="7" t="s">
        <v>291</v>
      </c>
      <c r="GV80" s="7" t="s">
        <v>292</v>
      </c>
      <c r="GW80">
        <v>8.0820000000000007</v>
      </c>
      <c r="GX80">
        <v>16.988</v>
      </c>
      <c r="GY80">
        <v>17.649999999999999</v>
      </c>
      <c r="GZ80">
        <v>5</v>
      </c>
      <c r="HA80" s="7" t="s">
        <v>300</v>
      </c>
      <c r="HB80" s="7" t="s">
        <v>294</v>
      </c>
      <c r="HC80">
        <v>1.978</v>
      </c>
      <c r="HD80">
        <v>15.773999999999999</v>
      </c>
      <c r="HE80">
        <v>15.792</v>
      </c>
      <c r="HF80">
        <v>7</v>
      </c>
      <c r="HG80" s="7" t="s">
        <v>301</v>
      </c>
      <c r="HH80" s="7" t="s">
        <v>297</v>
      </c>
      <c r="HI80">
        <v>8.3770000000000007</v>
      </c>
      <c r="HJ80">
        <v>15.926</v>
      </c>
      <c r="HK80">
        <v>16.719000000000001</v>
      </c>
      <c r="HL80">
        <v>6</v>
      </c>
      <c r="HM80" s="7" t="s">
        <v>1209</v>
      </c>
      <c r="HN80" s="7" t="s">
        <v>1210</v>
      </c>
      <c r="HO80" s="7" t="s">
        <v>1211</v>
      </c>
      <c r="HP80" s="7" t="s">
        <v>1212</v>
      </c>
      <c r="HQ80" s="7" t="s">
        <v>1213</v>
      </c>
      <c r="HR80" s="7" t="s">
        <v>1214</v>
      </c>
      <c r="HS80" s="7" t="s">
        <v>693</v>
      </c>
      <c r="HT80" s="7" t="s">
        <v>693</v>
      </c>
      <c r="HU80" s="7" t="s">
        <v>1215</v>
      </c>
      <c r="HV80" s="7" t="s">
        <v>1216</v>
      </c>
      <c r="HW80" s="7" t="s">
        <v>1217</v>
      </c>
      <c r="HX80" s="7" t="s">
        <v>282</v>
      </c>
      <c r="HY80" s="7" t="s">
        <v>312</v>
      </c>
      <c r="HZ80" s="7" t="s">
        <v>356</v>
      </c>
      <c r="IA80" s="7" t="s">
        <v>313</v>
      </c>
      <c r="IB80" s="7" t="s">
        <v>282</v>
      </c>
      <c r="IC80" s="7" t="s">
        <v>282</v>
      </c>
    </row>
    <row r="81" spans="1:237" x14ac:dyDescent="0.2">
      <c r="A81" s="6">
        <v>45744.431145833332</v>
      </c>
      <c r="B81" s="6">
        <v>45744.431342592594</v>
      </c>
      <c r="C81" s="7" t="s">
        <v>240</v>
      </c>
      <c r="D81" s="7" t="s">
        <v>1218</v>
      </c>
      <c r="E81">
        <v>0</v>
      </c>
      <c r="F81">
        <v>17</v>
      </c>
      <c r="G81" s="7" t="s">
        <v>495</v>
      </c>
      <c r="H81" s="6">
        <v>45751.431374907406</v>
      </c>
      <c r="I81" s="7" t="s">
        <v>1219</v>
      </c>
      <c r="J81" s="7" t="s">
        <v>282</v>
      </c>
      <c r="K81" s="7" t="s">
        <v>282</v>
      </c>
      <c r="L81" s="7" t="s">
        <v>282</v>
      </c>
      <c r="M81" s="7" t="s">
        <v>282</v>
      </c>
      <c r="N81">
        <v>51.060499999999998</v>
      </c>
      <c r="O81">
        <v>-114.11020000000001</v>
      </c>
      <c r="P81" s="7" t="s">
        <v>283</v>
      </c>
      <c r="Q81" s="7" t="s">
        <v>284</v>
      </c>
      <c r="R81">
        <v>0.89999997615814209</v>
      </c>
      <c r="S81" s="7" t="s">
        <v>282</v>
      </c>
      <c r="T81" s="7" t="s">
        <v>282</v>
      </c>
      <c r="U81" s="7" t="s">
        <v>282</v>
      </c>
      <c r="V81" s="7" t="s">
        <v>282</v>
      </c>
      <c r="W81" s="7" t="s">
        <v>282</v>
      </c>
      <c r="X81" s="7" t="s">
        <v>282</v>
      </c>
      <c r="Y81" s="7" t="s">
        <v>282</v>
      </c>
      <c r="Z81" s="7" t="s">
        <v>282</v>
      </c>
      <c r="AA81" s="7" t="s">
        <v>282</v>
      </c>
      <c r="AB81" s="7" t="s">
        <v>282</v>
      </c>
      <c r="AC81" s="7" t="s">
        <v>282</v>
      </c>
      <c r="AD81" s="7" t="s">
        <v>282</v>
      </c>
      <c r="AE81" s="7" t="s">
        <v>282</v>
      </c>
      <c r="AF81" s="7" t="s">
        <v>282</v>
      </c>
      <c r="AG81" s="7" t="s">
        <v>282</v>
      </c>
      <c r="AH81" s="7" t="s">
        <v>282</v>
      </c>
      <c r="AI81" s="7" t="s">
        <v>282</v>
      </c>
      <c r="AJ81" s="7" t="s">
        <v>282</v>
      </c>
      <c r="AK81" s="7" t="s">
        <v>282</v>
      </c>
      <c r="AL81" s="7" t="s">
        <v>282</v>
      </c>
      <c r="AM81" s="7" t="s">
        <v>282</v>
      </c>
      <c r="AN81" s="7" t="s">
        <v>282</v>
      </c>
      <c r="AO81" s="7" t="s">
        <v>282</v>
      </c>
      <c r="AP81" s="7" t="s">
        <v>282</v>
      </c>
      <c r="AQ81" s="7" t="s">
        <v>282</v>
      </c>
      <c r="AR81" s="7" t="s">
        <v>282</v>
      </c>
      <c r="AS81" s="7" t="s">
        <v>282</v>
      </c>
      <c r="AT81" s="7" t="s">
        <v>282</v>
      </c>
      <c r="AU81" s="7" t="s">
        <v>282</v>
      </c>
      <c r="AV81" s="7" t="s">
        <v>282</v>
      </c>
      <c r="AW81" s="7" t="s">
        <v>282</v>
      </c>
      <c r="AX81" s="7" t="s">
        <v>282</v>
      </c>
      <c r="AY81" s="7" t="s">
        <v>282</v>
      </c>
      <c r="AZ81" s="7" t="s">
        <v>282</v>
      </c>
      <c r="BA81" s="7" t="s">
        <v>282</v>
      </c>
      <c r="BB81" s="7" t="s">
        <v>282</v>
      </c>
      <c r="BC81" s="7" t="s">
        <v>282</v>
      </c>
      <c r="BD81" s="7" t="s">
        <v>282</v>
      </c>
      <c r="BE81" s="7" t="s">
        <v>282</v>
      </c>
      <c r="BF81" s="7" t="s">
        <v>282</v>
      </c>
      <c r="BG81" s="7" t="s">
        <v>282</v>
      </c>
      <c r="BH81" s="7" t="s">
        <v>282</v>
      </c>
      <c r="BI81" s="7" t="s">
        <v>282</v>
      </c>
      <c r="BJ81" s="7" t="s">
        <v>282</v>
      </c>
      <c r="BK81" s="7" t="s">
        <v>282</v>
      </c>
      <c r="BL81" s="7" t="s">
        <v>282</v>
      </c>
      <c r="BM81" s="7" t="s">
        <v>282</v>
      </c>
      <c r="BN81" s="7" t="s">
        <v>282</v>
      </c>
      <c r="BO81" s="7" t="s">
        <v>282</v>
      </c>
      <c r="BP81" s="7" t="s">
        <v>282</v>
      </c>
      <c r="BQ81" s="7" t="s">
        <v>282</v>
      </c>
      <c r="BR81" s="7" t="s">
        <v>282</v>
      </c>
      <c r="BS81" s="7" t="s">
        <v>282</v>
      </c>
      <c r="BT81" s="7" t="s">
        <v>282</v>
      </c>
      <c r="BU81" s="7" t="s">
        <v>282</v>
      </c>
      <c r="BV81" s="7" t="s">
        <v>282</v>
      </c>
      <c r="BW81" s="7" t="s">
        <v>282</v>
      </c>
      <c r="BX81" s="7" t="s">
        <v>282</v>
      </c>
      <c r="BY81" s="7" t="s">
        <v>282</v>
      </c>
      <c r="BZ81" s="7" t="s">
        <v>282</v>
      </c>
      <c r="CA81" s="7" t="s">
        <v>282</v>
      </c>
      <c r="CB81" s="7" t="s">
        <v>282</v>
      </c>
      <c r="CC81" s="7" t="s">
        <v>282</v>
      </c>
      <c r="CD81" s="7" t="s">
        <v>282</v>
      </c>
      <c r="CE81" s="7" t="s">
        <v>282</v>
      </c>
      <c r="CF81" s="7" t="s">
        <v>282</v>
      </c>
      <c r="CG81" s="7" t="s">
        <v>282</v>
      </c>
      <c r="CH81" s="7" t="s">
        <v>282</v>
      </c>
      <c r="CI81" s="7" t="s">
        <v>282</v>
      </c>
      <c r="CJ81" s="7" t="s">
        <v>282</v>
      </c>
      <c r="CK81" s="7" t="s">
        <v>282</v>
      </c>
      <c r="CL81" s="7" t="s">
        <v>282</v>
      </c>
      <c r="CM81" s="7" t="s">
        <v>282</v>
      </c>
      <c r="CN81" s="7" t="s">
        <v>282</v>
      </c>
      <c r="CO81" s="7" t="s">
        <v>282</v>
      </c>
      <c r="CP81" s="7" t="s">
        <v>282</v>
      </c>
      <c r="CQ81" s="7" t="s">
        <v>282</v>
      </c>
      <c r="CR81" s="7" t="s">
        <v>282</v>
      </c>
      <c r="CS81" s="7" t="s">
        <v>282</v>
      </c>
      <c r="CT81" s="7" t="s">
        <v>282</v>
      </c>
      <c r="CU81" s="7" t="s">
        <v>282</v>
      </c>
      <c r="CV81" s="7" t="s">
        <v>282</v>
      </c>
      <c r="CW81" s="7" t="s">
        <v>282</v>
      </c>
      <c r="CX81" s="7" t="s">
        <v>282</v>
      </c>
      <c r="CY81" s="7" t="s">
        <v>282</v>
      </c>
      <c r="CZ81" s="7" t="s">
        <v>282</v>
      </c>
      <c r="DA81" s="7" t="s">
        <v>282</v>
      </c>
      <c r="DB81" s="7" t="s">
        <v>282</v>
      </c>
      <c r="DC81" s="7" t="s">
        <v>282</v>
      </c>
      <c r="DD81" s="7" t="s">
        <v>282</v>
      </c>
      <c r="DE81" s="7" t="s">
        <v>282</v>
      </c>
      <c r="DF81" s="7" t="s">
        <v>282</v>
      </c>
      <c r="DG81" s="7" t="s">
        <v>282</v>
      </c>
      <c r="DH81" s="7" t="s">
        <v>282</v>
      </c>
      <c r="DI81" s="7" t="s">
        <v>282</v>
      </c>
      <c r="DJ81" s="7" t="s">
        <v>282</v>
      </c>
      <c r="DK81" s="7" t="s">
        <v>282</v>
      </c>
      <c r="DL81" s="7" t="s">
        <v>282</v>
      </c>
      <c r="DM81" s="7" t="s">
        <v>282</v>
      </c>
      <c r="DN81" s="7" t="s">
        <v>282</v>
      </c>
      <c r="DO81" s="7" t="s">
        <v>282</v>
      </c>
      <c r="DP81" s="7" t="s">
        <v>282</v>
      </c>
      <c r="DQ81" s="7" t="s">
        <v>282</v>
      </c>
      <c r="DR81" s="7" t="s">
        <v>282</v>
      </c>
      <c r="DS81" s="7" t="s">
        <v>282</v>
      </c>
      <c r="DT81" s="7" t="s">
        <v>282</v>
      </c>
      <c r="DU81" s="7" t="s">
        <v>282</v>
      </c>
      <c r="DV81" s="7" t="s">
        <v>282</v>
      </c>
      <c r="DW81" s="7" t="s">
        <v>282</v>
      </c>
      <c r="DX81" s="7" t="s">
        <v>282</v>
      </c>
      <c r="DY81" s="7" t="s">
        <v>282</v>
      </c>
      <c r="DZ81" s="7" t="s">
        <v>282</v>
      </c>
      <c r="EA81" s="7" t="s">
        <v>282</v>
      </c>
      <c r="EB81" s="7" t="s">
        <v>282</v>
      </c>
      <c r="EC81" s="7" t="s">
        <v>282</v>
      </c>
      <c r="ED81" s="7" t="s">
        <v>282</v>
      </c>
      <c r="EE81" s="7" t="s">
        <v>282</v>
      </c>
      <c r="EF81" s="7" t="s">
        <v>282</v>
      </c>
      <c r="EG81" s="7" t="s">
        <v>282</v>
      </c>
      <c r="EH81" s="7" t="s">
        <v>282</v>
      </c>
      <c r="EI81" s="7" t="s">
        <v>282</v>
      </c>
      <c r="EJ81" s="7" t="s">
        <v>282</v>
      </c>
      <c r="EK81" s="7" t="s">
        <v>282</v>
      </c>
      <c r="EL81" s="7" t="s">
        <v>282</v>
      </c>
      <c r="EM81" s="7" t="s">
        <v>282</v>
      </c>
      <c r="EN81" s="7" t="s">
        <v>282</v>
      </c>
      <c r="EO81" s="7" t="s">
        <v>282</v>
      </c>
      <c r="EP81" s="7" t="s">
        <v>282</v>
      </c>
      <c r="EQ81" s="7" t="s">
        <v>282</v>
      </c>
      <c r="ER81" s="7" t="s">
        <v>282</v>
      </c>
      <c r="ES81" s="7" t="s">
        <v>282</v>
      </c>
      <c r="ET81" s="7" t="s">
        <v>282</v>
      </c>
      <c r="EU81" s="7" t="s">
        <v>282</v>
      </c>
      <c r="EV81" s="7" t="s">
        <v>282</v>
      </c>
      <c r="EW81" s="7" t="s">
        <v>282</v>
      </c>
      <c r="EX81" s="7" t="s">
        <v>282</v>
      </c>
      <c r="EY81" s="7" t="s">
        <v>282</v>
      </c>
      <c r="EZ81" s="7" t="s">
        <v>282</v>
      </c>
      <c r="FA81" s="7" t="s">
        <v>282</v>
      </c>
      <c r="FB81" s="7" t="s">
        <v>282</v>
      </c>
      <c r="FC81" s="7" t="s">
        <v>282</v>
      </c>
      <c r="FD81" s="7" t="s">
        <v>282</v>
      </c>
      <c r="FE81" s="7" t="s">
        <v>282</v>
      </c>
      <c r="FF81" s="7" t="s">
        <v>282</v>
      </c>
      <c r="FG81" s="7" t="s">
        <v>282</v>
      </c>
      <c r="FH81" s="7" t="s">
        <v>282</v>
      </c>
      <c r="FI81" s="7" t="s">
        <v>282</v>
      </c>
      <c r="FJ81" s="7" t="s">
        <v>282</v>
      </c>
      <c r="FK81" s="7" t="s">
        <v>282</v>
      </c>
      <c r="FL81" s="7" t="s">
        <v>282</v>
      </c>
      <c r="FM81" s="7" t="s">
        <v>282</v>
      </c>
      <c r="FN81" s="7" t="s">
        <v>282</v>
      </c>
      <c r="FO81" s="7" t="s">
        <v>282</v>
      </c>
      <c r="FP81" s="7" t="s">
        <v>282</v>
      </c>
      <c r="FQ81" s="7" t="s">
        <v>282</v>
      </c>
      <c r="FR81" s="7" t="s">
        <v>282</v>
      </c>
      <c r="FS81" s="7" t="s">
        <v>282</v>
      </c>
      <c r="FT81" s="7" t="s">
        <v>282</v>
      </c>
      <c r="FU81" s="7" t="s">
        <v>282</v>
      </c>
      <c r="FV81" s="7" t="s">
        <v>282</v>
      </c>
      <c r="FW81" s="7" t="s">
        <v>282</v>
      </c>
      <c r="FX81" s="7" t="s">
        <v>282</v>
      </c>
      <c r="FY81" s="7" t="s">
        <v>282</v>
      </c>
      <c r="FZ81" s="7" t="s">
        <v>282</v>
      </c>
      <c r="GA81" s="7" t="s">
        <v>282</v>
      </c>
      <c r="GB81" s="7" t="s">
        <v>282</v>
      </c>
      <c r="GC81" s="7" t="s">
        <v>282</v>
      </c>
      <c r="GD81" s="7" t="s">
        <v>282</v>
      </c>
      <c r="GE81" s="7" t="s">
        <v>282</v>
      </c>
      <c r="GF81" s="7" t="s">
        <v>282</v>
      </c>
      <c r="GG81" s="7" t="s">
        <v>282</v>
      </c>
      <c r="GH81" s="7" t="s">
        <v>282</v>
      </c>
      <c r="GI81" s="7" t="s">
        <v>282</v>
      </c>
      <c r="GJ81" s="7" t="s">
        <v>282</v>
      </c>
      <c r="GK81" s="7" t="s">
        <v>282</v>
      </c>
      <c r="GL81" s="7" t="s">
        <v>282</v>
      </c>
      <c r="GM81" s="7" t="s">
        <v>282</v>
      </c>
      <c r="GN81" s="7" t="s">
        <v>282</v>
      </c>
      <c r="GO81" s="7" t="s">
        <v>282</v>
      </c>
      <c r="GP81" s="7" t="s">
        <v>282</v>
      </c>
      <c r="GQ81" s="7" t="s">
        <v>282</v>
      </c>
      <c r="GR81" s="7" t="s">
        <v>282</v>
      </c>
      <c r="GS81" s="7" t="s">
        <v>282</v>
      </c>
      <c r="GT81" s="7" t="s">
        <v>282</v>
      </c>
      <c r="GU81" s="7" t="s">
        <v>282</v>
      </c>
      <c r="GV81" s="7" t="s">
        <v>282</v>
      </c>
      <c r="GW81" s="7" t="s">
        <v>282</v>
      </c>
      <c r="GX81" s="7" t="s">
        <v>282</v>
      </c>
      <c r="GY81" s="7" t="s">
        <v>282</v>
      </c>
      <c r="GZ81" s="7" t="s">
        <v>282</v>
      </c>
      <c r="HA81" s="7" t="s">
        <v>282</v>
      </c>
      <c r="HB81" s="7" t="s">
        <v>282</v>
      </c>
      <c r="HC81" s="7" t="s">
        <v>282</v>
      </c>
      <c r="HD81" s="7" t="s">
        <v>282</v>
      </c>
      <c r="HE81" s="7" t="s">
        <v>282</v>
      </c>
      <c r="HF81" s="7" t="s">
        <v>282</v>
      </c>
      <c r="HG81" s="7" t="s">
        <v>282</v>
      </c>
      <c r="HH81" s="7" t="s">
        <v>282</v>
      </c>
      <c r="HI81" s="7" t="s">
        <v>282</v>
      </c>
      <c r="HJ81" s="7" t="s">
        <v>282</v>
      </c>
      <c r="HK81" s="7" t="s">
        <v>282</v>
      </c>
      <c r="HL81" s="7" t="s">
        <v>282</v>
      </c>
      <c r="HM81" s="7" t="s">
        <v>282</v>
      </c>
      <c r="HN81" s="7" t="s">
        <v>282</v>
      </c>
      <c r="HO81" s="7" t="s">
        <v>282</v>
      </c>
      <c r="HP81" s="7" t="s">
        <v>282</v>
      </c>
      <c r="HQ81" s="7" t="s">
        <v>282</v>
      </c>
      <c r="HR81" s="7" t="s">
        <v>282</v>
      </c>
      <c r="HS81" s="7" t="s">
        <v>282</v>
      </c>
      <c r="HT81" s="7" t="s">
        <v>282</v>
      </c>
      <c r="HU81" s="7" t="s">
        <v>282</v>
      </c>
      <c r="HV81" s="7" t="s">
        <v>282</v>
      </c>
      <c r="HW81" s="7" t="s">
        <v>282</v>
      </c>
      <c r="HX81" s="7" t="s">
        <v>282</v>
      </c>
      <c r="HY81" s="7" t="s">
        <v>282</v>
      </c>
      <c r="HZ81" s="7" t="s">
        <v>282</v>
      </c>
      <c r="IA81" s="7" t="s">
        <v>282</v>
      </c>
      <c r="IB81" s="7" t="s">
        <v>282</v>
      </c>
      <c r="IC81" s="7" t="s">
        <v>282</v>
      </c>
    </row>
    <row r="82" spans="1:237" x14ac:dyDescent="0.2">
      <c r="A82" s="6">
        <v>45744.429930555554</v>
      </c>
      <c r="B82" s="6">
        <v>45744.432789351849</v>
      </c>
      <c r="C82" s="7" t="s">
        <v>240</v>
      </c>
      <c r="D82" s="7" t="s">
        <v>1220</v>
      </c>
      <c r="E82">
        <v>53</v>
      </c>
      <c r="F82">
        <v>246</v>
      </c>
      <c r="G82" s="7" t="s">
        <v>495</v>
      </c>
      <c r="H82" s="6">
        <v>45751.432817696761</v>
      </c>
      <c r="I82" s="7" t="s">
        <v>1221</v>
      </c>
      <c r="J82" s="7" t="s">
        <v>282</v>
      </c>
      <c r="K82" s="7" t="s">
        <v>282</v>
      </c>
      <c r="L82" s="7" t="s">
        <v>282</v>
      </c>
      <c r="M82" s="7" t="s">
        <v>282</v>
      </c>
      <c r="N82">
        <v>49.817900000000002</v>
      </c>
      <c r="O82">
        <v>-97.153499999999994</v>
      </c>
      <c r="P82" s="7" t="s">
        <v>283</v>
      </c>
      <c r="Q82" s="7" t="s">
        <v>284</v>
      </c>
      <c r="R82">
        <v>0.5</v>
      </c>
      <c r="S82" s="7" t="s">
        <v>285</v>
      </c>
      <c r="T82" s="7" t="s">
        <v>285</v>
      </c>
      <c r="U82" s="7" t="s">
        <v>285</v>
      </c>
      <c r="V82" s="7" t="s">
        <v>285</v>
      </c>
      <c r="W82" s="7" t="s">
        <v>286</v>
      </c>
      <c r="X82" s="7" t="s">
        <v>375</v>
      </c>
      <c r="Y82" s="7" t="s">
        <v>288</v>
      </c>
      <c r="Z82" s="7" t="s">
        <v>317</v>
      </c>
      <c r="AA82" s="7" t="s">
        <v>289</v>
      </c>
      <c r="AB82" s="7" t="s">
        <v>289</v>
      </c>
      <c r="AC82" s="7" t="s">
        <v>282</v>
      </c>
      <c r="AD82" s="7" t="s">
        <v>282</v>
      </c>
      <c r="AE82" s="7" t="s">
        <v>282</v>
      </c>
      <c r="AF82" s="7" t="s">
        <v>282</v>
      </c>
      <c r="AG82" s="7" t="s">
        <v>282</v>
      </c>
      <c r="AH82" s="7" t="s">
        <v>282</v>
      </c>
      <c r="AI82" s="7" t="s">
        <v>282</v>
      </c>
      <c r="AJ82" s="7" t="s">
        <v>282</v>
      </c>
      <c r="AK82" s="7" t="s">
        <v>282</v>
      </c>
      <c r="AL82" s="7" t="s">
        <v>282</v>
      </c>
      <c r="AM82" s="7" t="s">
        <v>282</v>
      </c>
      <c r="AN82" s="7" t="s">
        <v>282</v>
      </c>
      <c r="AO82" s="7" t="s">
        <v>282</v>
      </c>
      <c r="AP82" s="7" t="s">
        <v>282</v>
      </c>
      <c r="AQ82" s="7" t="s">
        <v>282</v>
      </c>
      <c r="AR82" s="7" t="s">
        <v>282</v>
      </c>
      <c r="AS82" s="7" t="s">
        <v>282</v>
      </c>
      <c r="AT82" s="7" t="s">
        <v>282</v>
      </c>
      <c r="AU82" s="7" t="s">
        <v>282</v>
      </c>
      <c r="AV82" s="7" t="s">
        <v>282</v>
      </c>
      <c r="AW82" s="7" t="s">
        <v>282</v>
      </c>
      <c r="AX82" s="7" t="s">
        <v>282</v>
      </c>
      <c r="AY82" s="7" t="s">
        <v>282</v>
      </c>
      <c r="AZ82" s="7" t="s">
        <v>282</v>
      </c>
      <c r="BA82" s="7" t="s">
        <v>282</v>
      </c>
      <c r="BB82" s="7" t="s">
        <v>282</v>
      </c>
      <c r="BC82" s="7" t="s">
        <v>282</v>
      </c>
      <c r="BD82" s="7" t="s">
        <v>282</v>
      </c>
      <c r="BE82" s="7" t="s">
        <v>282</v>
      </c>
      <c r="BF82" s="7" t="s">
        <v>282</v>
      </c>
      <c r="BG82" s="7" t="s">
        <v>282</v>
      </c>
      <c r="BH82" s="7" t="s">
        <v>282</v>
      </c>
      <c r="BI82" s="7" t="s">
        <v>282</v>
      </c>
      <c r="BJ82" s="7" t="s">
        <v>282</v>
      </c>
      <c r="BK82" s="7" t="s">
        <v>282</v>
      </c>
      <c r="BL82" s="7" t="s">
        <v>282</v>
      </c>
      <c r="BM82" s="7" t="s">
        <v>282</v>
      </c>
      <c r="BN82" s="7" t="s">
        <v>282</v>
      </c>
      <c r="BO82" s="7" t="s">
        <v>282</v>
      </c>
      <c r="BP82" s="7" t="s">
        <v>282</v>
      </c>
      <c r="BQ82" s="7" t="s">
        <v>282</v>
      </c>
      <c r="BR82" s="7" t="s">
        <v>282</v>
      </c>
      <c r="BS82" s="7" t="s">
        <v>282</v>
      </c>
      <c r="BT82" s="7" t="s">
        <v>282</v>
      </c>
      <c r="BU82" s="7" t="s">
        <v>282</v>
      </c>
      <c r="BV82" s="7" t="s">
        <v>282</v>
      </c>
      <c r="BW82" s="7" t="s">
        <v>282</v>
      </c>
      <c r="BX82" s="7" t="s">
        <v>282</v>
      </c>
      <c r="BY82" s="7" t="s">
        <v>282</v>
      </c>
      <c r="BZ82" s="7" t="s">
        <v>282</v>
      </c>
      <c r="CA82" s="7" t="s">
        <v>282</v>
      </c>
      <c r="CB82" s="7" t="s">
        <v>282</v>
      </c>
      <c r="CC82" s="7" t="s">
        <v>282</v>
      </c>
      <c r="CD82" s="7" t="s">
        <v>282</v>
      </c>
      <c r="CE82" s="7" t="s">
        <v>282</v>
      </c>
      <c r="CF82" s="7" t="s">
        <v>282</v>
      </c>
      <c r="CG82" s="7" t="s">
        <v>282</v>
      </c>
      <c r="CH82" s="7" t="s">
        <v>282</v>
      </c>
      <c r="CI82" s="7" t="s">
        <v>282</v>
      </c>
      <c r="CJ82" s="7" t="s">
        <v>282</v>
      </c>
      <c r="CK82" s="7" t="s">
        <v>282</v>
      </c>
      <c r="CL82" s="7" t="s">
        <v>282</v>
      </c>
      <c r="CM82" s="7" t="s">
        <v>282</v>
      </c>
      <c r="CN82" s="7" t="s">
        <v>282</v>
      </c>
      <c r="CO82" s="7" t="s">
        <v>282</v>
      </c>
      <c r="CP82" s="7" t="s">
        <v>282</v>
      </c>
      <c r="CQ82" s="7" t="s">
        <v>282</v>
      </c>
      <c r="CR82" s="7" t="s">
        <v>282</v>
      </c>
      <c r="CS82" s="7" t="s">
        <v>282</v>
      </c>
      <c r="CT82" s="7" t="s">
        <v>282</v>
      </c>
      <c r="CU82" s="7" t="s">
        <v>282</v>
      </c>
      <c r="CV82" s="7" t="s">
        <v>282</v>
      </c>
      <c r="CW82" s="7" t="s">
        <v>282</v>
      </c>
      <c r="CX82" s="7" t="s">
        <v>282</v>
      </c>
      <c r="CY82" s="7" t="s">
        <v>282</v>
      </c>
      <c r="CZ82" s="7" t="s">
        <v>282</v>
      </c>
      <c r="DA82" s="7" t="s">
        <v>282</v>
      </c>
      <c r="DB82" s="7" t="s">
        <v>282</v>
      </c>
      <c r="DC82" s="7" t="s">
        <v>282</v>
      </c>
      <c r="DD82" s="7" t="s">
        <v>282</v>
      </c>
      <c r="DE82" s="7" t="s">
        <v>282</v>
      </c>
      <c r="DF82" s="7" t="s">
        <v>282</v>
      </c>
      <c r="DG82" s="7" t="s">
        <v>282</v>
      </c>
      <c r="DH82" s="7" t="s">
        <v>282</v>
      </c>
      <c r="DI82" s="7" t="s">
        <v>282</v>
      </c>
      <c r="DJ82" s="7" t="s">
        <v>282</v>
      </c>
      <c r="DK82" s="7" t="s">
        <v>282</v>
      </c>
      <c r="DL82" s="7" t="s">
        <v>282</v>
      </c>
      <c r="DM82" s="7" t="s">
        <v>282</v>
      </c>
      <c r="DN82" s="7" t="s">
        <v>282</v>
      </c>
      <c r="DO82" s="7" t="s">
        <v>282</v>
      </c>
      <c r="DP82" s="7" t="s">
        <v>282</v>
      </c>
      <c r="DQ82" s="7" t="s">
        <v>282</v>
      </c>
      <c r="DR82" s="7" t="s">
        <v>282</v>
      </c>
      <c r="DS82" s="7" t="s">
        <v>282</v>
      </c>
      <c r="DT82" s="7" t="s">
        <v>282</v>
      </c>
      <c r="DU82" s="7" t="s">
        <v>282</v>
      </c>
      <c r="DV82" s="7" t="s">
        <v>282</v>
      </c>
      <c r="DW82" s="7" t="s">
        <v>282</v>
      </c>
      <c r="DX82" s="7" t="s">
        <v>282</v>
      </c>
      <c r="DY82" s="7" t="s">
        <v>282</v>
      </c>
      <c r="DZ82" s="7" t="s">
        <v>282</v>
      </c>
      <c r="EA82" s="7" t="s">
        <v>282</v>
      </c>
      <c r="EB82" s="7" t="s">
        <v>282</v>
      </c>
      <c r="EC82" s="7" t="s">
        <v>282</v>
      </c>
      <c r="ED82" s="7" t="s">
        <v>282</v>
      </c>
      <c r="EE82" s="7" t="s">
        <v>282</v>
      </c>
      <c r="EF82" s="7" t="s">
        <v>282</v>
      </c>
      <c r="EG82" s="7" t="s">
        <v>282</v>
      </c>
      <c r="EH82" s="7" t="s">
        <v>282</v>
      </c>
      <c r="EI82" s="7" t="s">
        <v>282</v>
      </c>
      <c r="EJ82" s="7" t="s">
        <v>282</v>
      </c>
      <c r="EK82" s="7" t="s">
        <v>282</v>
      </c>
      <c r="EL82" s="7" t="s">
        <v>282</v>
      </c>
      <c r="EM82" s="7" t="s">
        <v>282</v>
      </c>
      <c r="EN82" s="7" t="s">
        <v>282</v>
      </c>
      <c r="EO82" s="7" t="s">
        <v>282</v>
      </c>
      <c r="EP82" s="7" t="s">
        <v>282</v>
      </c>
      <c r="EQ82" s="7" t="s">
        <v>282</v>
      </c>
      <c r="ER82" s="7" t="s">
        <v>282</v>
      </c>
      <c r="ES82" s="7" t="s">
        <v>282</v>
      </c>
      <c r="ET82" s="7" t="s">
        <v>282</v>
      </c>
      <c r="EU82" s="7" t="s">
        <v>282</v>
      </c>
      <c r="EV82" s="7" t="s">
        <v>282</v>
      </c>
      <c r="EW82" s="7" t="s">
        <v>282</v>
      </c>
      <c r="EX82" s="7" t="s">
        <v>282</v>
      </c>
      <c r="EY82" s="7" t="s">
        <v>282</v>
      </c>
      <c r="EZ82" s="7" t="s">
        <v>282</v>
      </c>
      <c r="FA82" s="7" t="s">
        <v>282</v>
      </c>
      <c r="FB82" s="7" t="s">
        <v>282</v>
      </c>
      <c r="FC82" s="7" t="s">
        <v>282</v>
      </c>
      <c r="FD82" s="7" t="s">
        <v>282</v>
      </c>
      <c r="FE82" s="7" t="s">
        <v>291</v>
      </c>
      <c r="FF82" s="7" t="s">
        <v>292</v>
      </c>
      <c r="FG82">
        <v>14.023999999999999</v>
      </c>
      <c r="FH82">
        <v>18.22</v>
      </c>
      <c r="FI82">
        <v>18.919</v>
      </c>
      <c r="FJ82">
        <v>4</v>
      </c>
      <c r="FK82" s="7" t="s">
        <v>282</v>
      </c>
      <c r="FL82" s="7" t="s">
        <v>282</v>
      </c>
      <c r="FM82" s="7" t="s">
        <v>282</v>
      </c>
      <c r="FN82" s="7" t="s">
        <v>282</v>
      </c>
      <c r="FO82" s="7" t="s">
        <v>282</v>
      </c>
      <c r="FP82" s="7" t="s">
        <v>282</v>
      </c>
      <c r="FQ82" s="7" t="s">
        <v>282</v>
      </c>
      <c r="FR82" s="7" t="s">
        <v>282</v>
      </c>
      <c r="FS82" s="7" t="s">
        <v>282</v>
      </c>
      <c r="FT82" s="7" t="s">
        <v>282</v>
      </c>
      <c r="FU82" s="7" t="s">
        <v>282</v>
      </c>
      <c r="FV82" s="7" t="s">
        <v>282</v>
      </c>
      <c r="FW82" s="7" t="s">
        <v>282</v>
      </c>
      <c r="FX82" s="7" t="s">
        <v>282</v>
      </c>
      <c r="FY82" s="7" t="s">
        <v>282</v>
      </c>
      <c r="FZ82" s="7" t="s">
        <v>282</v>
      </c>
      <c r="GA82" s="7" t="s">
        <v>282</v>
      </c>
      <c r="GB82" s="7" t="s">
        <v>282</v>
      </c>
      <c r="GC82" s="7" t="s">
        <v>282</v>
      </c>
      <c r="GD82" s="7" t="s">
        <v>282</v>
      </c>
      <c r="GE82" s="7" t="s">
        <v>282</v>
      </c>
      <c r="GF82" s="7" t="s">
        <v>282</v>
      </c>
      <c r="GG82" s="7" t="s">
        <v>282</v>
      </c>
      <c r="GH82" s="7" t="s">
        <v>282</v>
      </c>
      <c r="GI82" s="7" t="s">
        <v>282</v>
      </c>
      <c r="GJ82" s="7" t="s">
        <v>282</v>
      </c>
      <c r="GK82" s="7" t="s">
        <v>282</v>
      </c>
      <c r="GL82" s="7" t="s">
        <v>282</v>
      </c>
      <c r="GM82" s="7" t="s">
        <v>282</v>
      </c>
      <c r="GN82" s="7" t="s">
        <v>282</v>
      </c>
      <c r="GO82" s="7" t="s">
        <v>282</v>
      </c>
      <c r="GP82" s="7" t="s">
        <v>282</v>
      </c>
      <c r="GQ82" s="7" t="s">
        <v>282</v>
      </c>
      <c r="GR82" s="7" t="s">
        <v>282</v>
      </c>
      <c r="GS82" s="7" t="s">
        <v>282</v>
      </c>
      <c r="GT82" s="7" t="s">
        <v>282</v>
      </c>
      <c r="GU82" s="7" t="s">
        <v>282</v>
      </c>
      <c r="GV82" s="7" t="s">
        <v>282</v>
      </c>
      <c r="GW82" s="7" t="s">
        <v>282</v>
      </c>
      <c r="GX82" s="7" t="s">
        <v>282</v>
      </c>
      <c r="GY82" s="7" t="s">
        <v>282</v>
      </c>
      <c r="GZ82" s="7" t="s">
        <v>282</v>
      </c>
      <c r="HA82" s="7" t="s">
        <v>282</v>
      </c>
      <c r="HB82" s="7" t="s">
        <v>282</v>
      </c>
      <c r="HC82" s="7" t="s">
        <v>282</v>
      </c>
      <c r="HD82" s="7" t="s">
        <v>282</v>
      </c>
      <c r="HE82" s="7" t="s">
        <v>282</v>
      </c>
      <c r="HF82" s="7" t="s">
        <v>282</v>
      </c>
      <c r="HG82" s="7" t="s">
        <v>301</v>
      </c>
      <c r="HH82" s="7" t="s">
        <v>292</v>
      </c>
      <c r="HI82">
        <v>29.571999999999999</v>
      </c>
      <c r="HJ82">
        <v>35.332000000000001</v>
      </c>
      <c r="HK82">
        <v>36.216999999999999</v>
      </c>
      <c r="HL82">
        <v>4</v>
      </c>
      <c r="HM82" s="7" t="s">
        <v>282</v>
      </c>
      <c r="HN82" s="7" t="s">
        <v>282</v>
      </c>
      <c r="HO82" s="7" t="s">
        <v>282</v>
      </c>
      <c r="HP82" s="7" t="s">
        <v>282</v>
      </c>
      <c r="HQ82" s="7" t="s">
        <v>282</v>
      </c>
      <c r="HR82" s="7" t="s">
        <v>282</v>
      </c>
      <c r="HS82" s="7" t="s">
        <v>282</v>
      </c>
      <c r="HT82" s="7" t="s">
        <v>282</v>
      </c>
      <c r="HU82" s="7" t="s">
        <v>282</v>
      </c>
      <c r="HV82" s="7" t="s">
        <v>282</v>
      </c>
      <c r="HW82" s="7" t="s">
        <v>282</v>
      </c>
      <c r="HX82" s="7" t="s">
        <v>282</v>
      </c>
      <c r="HY82" s="7" t="s">
        <v>497</v>
      </c>
      <c r="HZ82" s="7" t="s">
        <v>356</v>
      </c>
      <c r="IA82" s="7" t="s">
        <v>1222</v>
      </c>
      <c r="IB82" s="7" t="s">
        <v>282</v>
      </c>
      <c r="IC82" s="7" t="s">
        <v>282</v>
      </c>
    </row>
    <row r="83" spans="1:237" x14ac:dyDescent="0.2">
      <c r="A83" s="6">
        <v>45744.444930555554</v>
      </c>
      <c r="B83" s="6">
        <v>45744.445254629631</v>
      </c>
      <c r="C83" s="7" t="s">
        <v>240</v>
      </c>
      <c r="D83" s="7" t="s">
        <v>385</v>
      </c>
      <c r="E83">
        <v>1</v>
      </c>
      <c r="F83">
        <v>28</v>
      </c>
      <c r="G83" s="7" t="s">
        <v>495</v>
      </c>
      <c r="H83" s="6">
        <v>45751.445279756947</v>
      </c>
      <c r="I83" s="7" t="s">
        <v>1223</v>
      </c>
      <c r="J83" s="7" t="s">
        <v>282</v>
      </c>
      <c r="K83" s="7" t="s">
        <v>282</v>
      </c>
      <c r="L83" s="7" t="s">
        <v>282</v>
      </c>
      <c r="M83" s="7" t="s">
        <v>282</v>
      </c>
      <c r="N83">
        <v>49.8538</v>
      </c>
      <c r="O83">
        <v>-97.290300000000002</v>
      </c>
      <c r="P83" s="7" t="s">
        <v>283</v>
      </c>
      <c r="Q83" s="7" t="s">
        <v>284</v>
      </c>
      <c r="R83">
        <v>0.89999997615814209</v>
      </c>
      <c r="S83" s="7" t="s">
        <v>282</v>
      </c>
      <c r="T83" s="7" t="s">
        <v>282</v>
      </c>
      <c r="U83" s="7" t="s">
        <v>282</v>
      </c>
      <c r="V83" s="7" t="s">
        <v>282</v>
      </c>
      <c r="W83" s="7" t="s">
        <v>282</v>
      </c>
      <c r="X83" s="7" t="s">
        <v>282</v>
      </c>
      <c r="Y83" s="7" t="s">
        <v>282</v>
      </c>
      <c r="Z83" s="7" t="s">
        <v>282</v>
      </c>
      <c r="AA83" s="7" t="s">
        <v>282</v>
      </c>
      <c r="AB83" s="7" t="s">
        <v>282</v>
      </c>
      <c r="AC83" s="7" t="s">
        <v>282</v>
      </c>
      <c r="AD83" s="7" t="s">
        <v>282</v>
      </c>
      <c r="AE83" s="7" t="s">
        <v>282</v>
      </c>
      <c r="AF83" s="7" t="s">
        <v>282</v>
      </c>
      <c r="AG83" s="7" t="s">
        <v>282</v>
      </c>
      <c r="AH83" s="7" t="s">
        <v>282</v>
      </c>
      <c r="AI83" s="7" t="s">
        <v>282</v>
      </c>
      <c r="AJ83" s="7" t="s">
        <v>282</v>
      </c>
      <c r="AK83" s="7" t="s">
        <v>282</v>
      </c>
      <c r="AL83" s="7" t="s">
        <v>282</v>
      </c>
      <c r="AM83" s="7" t="s">
        <v>282</v>
      </c>
      <c r="AN83" s="7" t="s">
        <v>282</v>
      </c>
      <c r="AO83" s="7" t="s">
        <v>282</v>
      </c>
      <c r="AP83" s="7" t="s">
        <v>282</v>
      </c>
      <c r="AQ83" s="7" t="s">
        <v>282</v>
      </c>
      <c r="AR83" s="7" t="s">
        <v>282</v>
      </c>
      <c r="AS83" s="7" t="s">
        <v>282</v>
      </c>
      <c r="AT83" s="7" t="s">
        <v>282</v>
      </c>
      <c r="AU83" s="7" t="s">
        <v>282</v>
      </c>
      <c r="AV83" s="7" t="s">
        <v>282</v>
      </c>
      <c r="AW83" s="7" t="s">
        <v>282</v>
      </c>
      <c r="AX83" s="7" t="s">
        <v>282</v>
      </c>
      <c r="AY83" s="7" t="s">
        <v>282</v>
      </c>
      <c r="AZ83" s="7" t="s">
        <v>282</v>
      </c>
      <c r="BA83" s="7" t="s">
        <v>282</v>
      </c>
      <c r="BB83" s="7" t="s">
        <v>282</v>
      </c>
      <c r="BC83" s="7" t="s">
        <v>282</v>
      </c>
      <c r="BD83" s="7" t="s">
        <v>282</v>
      </c>
      <c r="BE83" s="7" t="s">
        <v>282</v>
      </c>
      <c r="BF83" s="7" t="s">
        <v>282</v>
      </c>
      <c r="BG83" s="7" t="s">
        <v>282</v>
      </c>
      <c r="BH83" s="7" t="s">
        <v>282</v>
      </c>
      <c r="BI83" s="7" t="s">
        <v>282</v>
      </c>
      <c r="BJ83" s="7" t="s">
        <v>282</v>
      </c>
      <c r="BK83" s="7" t="s">
        <v>282</v>
      </c>
      <c r="BL83" s="7" t="s">
        <v>282</v>
      </c>
      <c r="BM83" s="7" t="s">
        <v>282</v>
      </c>
      <c r="BN83" s="7" t="s">
        <v>282</v>
      </c>
      <c r="BO83" s="7" t="s">
        <v>282</v>
      </c>
      <c r="BP83" s="7" t="s">
        <v>282</v>
      </c>
      <c r="BQ83" s="7" t="s">
        <v>282</v>
      </c>
      <c r="BR83" s="7" t="s">
        <v>282</v>
      </c>
      <c r="BS83" s="7" t="s">
        <v>282</v>
      </c>
      <c r="BT83" s="7" t="s">
        <v>282</v>
      </c>
      <c r="BU83" s="7" t="s">
        <v>282</v>
      </c>
      <c r="BV83" s="7" t="s">
        <v>282</v>
      </c>
      <c r="BW83" s="7" t="s">
        <v>282</v>
      </c>
      <c r="BX83" s="7" t="s">
        <v>282</v>
      </c>
      <c r="BY83" s="7" t="s">
        <v>282</v>
      </c>
      <c r="BZ83" s="7" t="s">
        <v>282</v>
      </c>
      <c r="CA83" s="7" t="s">
        <v>282</v>
      </c>
      <c r="CB83" s="7" t="s">
        <v>282</v>
      </c>
      <c r="CC83" s="7" t="s">
        <v>282</v>
      </c>
      <c r="CD83" s="7" t="s">
        <v>282</v>
      </c>
      <c r="CE83" s="7" t="s">
        <v>282</v>
      </c>
      <c r="CF83" s="7" t="s">
        <v>282</v>
      </c>
      <c r="CG83" s="7" t="s">
        <v>282</v>
      </c>
      <c r="CH83" s="7" t="s">
        <v>282</v>
      </c>
      <c r="CI83" s="7" t="s">
        <v>282</v>
      </c>
      <c r="CJ83" s="7" t="s">
        <v>282</v>
      </c>
      <c r="CK83" s="7" t="s">
        <v>282</v>
      </c>
      <c r="CL83" s="7" t="s">
        <v>282</v>
      </c>
      <c r="CM83" s="7" t="s">
        <v>282</v>
      </c>
      <c r="CN83" s="7" t="s">
        <v>282</v>
      </c>
      <c r="CO83" s="7" t="s">
        <v>282</v>
      </c>
      <c r="CP83" s="7" t="s">
        <v>282</v>
      </c>
      <c r="CQ83" s="7" t="s">
        <v>282</v>
      </c>
      <c r="CR83" s="7" t="s">
        <v>282</v>
      </c>
      <c r="CS83" s="7" t="s">
        <v>282</v>
      </c>
      <c r="CT83" s="7" t="s">
        <v>282</v>
      </c>
      <c r="CU83" s="7" t="s">
        <v>282</v>
      </c>
      <c r="CV83" s="7" t="s">
        <v>282</v>
      </c>
      <c r="CW83" s="7" t="s">
        <v>282</v>
      </c>
      <c r="CX83" s="7" t="s">
        <v>282</v>
      </c>
      <c r="CY83" s="7" t="s">
        <v>282</v>
      </c>
      <c r="CZ83" s="7" t="s">
        <v>282</v>
      </c>
      <c r="DA83" s="7" t="s">
        <v>282</v>
      </c>
      <c r="DB83" s="7" t="s">
        <v>282</v>
      </c>
      <c r="DC83" s="7" t="s">
        <v>282</v>
      </c>
      <c r="DD83" s="7" t="s">
        <v>282</v>
      </c>
      <c r="DE83" s="7" t="s">
        <v>282</v>
      </c>
      <c r="DF83" s="7" t="s">
        <v>282</v>
      </c>
      <c r="DG83" s="7" t="s">
        <v>282</v>
      </c>
      <c r="DH83" s="7" t="s">
        <v>282</v>
      </c>
      <c r="DI83" s="7" t="s">
        <v>282</v>
      </c>
      <c r="DJ83" s="7" t="s">
        <v>282</v>
      </c>
      <c r="DK83" s="7" t="s">
        <v>282</v>
      </c>
      <c r="DL83" s="7" t="s">
        <v>282</v>
      </c>
      <c r="DM83" s="7" t="s">
        <v>282</v>
      </c>
      <c r="DN83" s="7" t="s">
        <v>282</v>
      </c>
      <c r="DO83" s="7" t="s">
        <v>282</v>
      </c>
      <c r="DP83" s="7" t="s">
        <v>282</v>
      </c>
      <c r="DQ83" s="7" t="s">
        <v>282</v>
      </c>
      <c r="DR83" s="7" t="s">
        <v>282</v>
      </c>
      <c r="DS83" s="7" t="s">
        <v>282</v>
      </c>
      <c r="DT83" s="7" t="s">
        <v>282</v>
      </c>
      <c r="DU83" s="7" t="s">
        <v>282</v>
      </c>
      <c r="DV83" s="7" t="s">
        <v>282</v>
      </c>
      <c r="DW83" s="7" t="s">
        <v>282</v>
      </c>
      <c r="DX83" s="7" t="s">
        <v>282</v>
      </c>
      <c r="DY83" s="7" t="s">
        <v>282</v>
      </c>
      <c r="DZ83" s="7" t="s">
        <v>282</v>
      </c>
      <c r="EA83" s="7" t="s">
        <v>282</v>
      </c>
      <c r="EB83" s="7" t="s">
        <v>282</v>
      </c>
      <c r="EC83" s="7" t="s">
        <v>282</v>
      </c>
      <c r="ED83" s="7" t="s">
        <v>282</v>
      </c>
      <c r="EE83" s="7" t="s">
        <v>282</v>
      </c>
      <c r="EF83" s="7" t="s">
        <v>282</v>
      </c>
      <c r="EG83" s="7" t="s">
        <v>282</v>
      </c>
      <c r="EH83" s="7" t="s">
        <v>282</v>
      </c>
      <c r="EI83" s="7" t="s">
        <v>282</v>
      </c>
      <c r="EJ83" s="7" t="s">
        <v>282</v>
      </c>
      <c r="EK83" s="7" t="s">
        <v>282</v>
      </c>
      <c r="EL83" s="7" t="s">
        <v>282</v>
      </c>
      <c r="EM83" s="7" t="s">
        <v>282</v>
      </c>
      <c r="EN83" s="7" t="s">
        <v>282</v>
      </c>
      <c r="EO83" s="7" t="s">
        <v>282</v>
      </c>
      <c r="EP83" s="7" t="s">
        <v>282</v>
      </c>
      <c r="EQ83" s="7" t="s">
        <v>282</v>
      </c>
      <c r="ER83" s="7" t="s">
        <v>282</v>
      </c>
      <c r="ES83" s="7" t="s">
        <v>282</v>
      </c>
      <c r="ET83" s="7" t="s">
        <v>282</v>
      </c>
      <c r="EU83" s="7" t="s">
        <v>282</v>
      </c>
      <c r="EV83" s="7" t="s">
        <v>282</v>
      </c>
      <c r="EW83" s="7" t="s">
        <v>282</v>
      </c>
      <c r="EX83" s="7" t="s">
        <v>282</v>
      </c>
      <c r="EY83" s="7" t="s">
        <v>282</v>
      </c>
      <c r="EZ83" s="7" t="s">
        <v>282</v>
      </c>
      <c r="FA83" s="7" t="s">
        <v>282</v>
      </c>
      <c r="FB83" s="7" t="s">
        <v>282</v>
      </c>
      <c r="FC83" s="7" t="s">
        <v>282</v>
      </c>
      <c r="FD83" s="7" t="s">
        <v>282</v>
      </c>
      <c r="FE83" s="7" t="s">
        <v>282</v>
      </c>
      <c r="FF83" s="7" t="s">
        <v>282</v>
      </c>
      <c r="FG83" s="7" t="s">
        <v>282</v>
      </c>
      <c r="FH83" s="7" t="s">
        <v>282</v>
      </c>
      <c r="FI83" s="7" t="s">
        <v>282</v>
      </c>
      <c r="FJ83" s="7" t="s">
        <v>282</v>
      </c>
      <c r="FK83" s="7" t="s">
        <v>282</v>
      </c>
      <c r="FL83" s="7" t="s">
        <v>282</v>
      </c>
      <c r="FM83" s="7" t="s">
        <v>282</v>
      </c>
      <c r="FN83" s="7" t="s">
        <v>282</v>
      </c>
      <c r="FO83" s="7" t="s">
        <v>282</v>
      </c>
      <c r="FP83" s="7" t="s">
        <v>282</v>
      </c>
      <c r="FQ83" s="7" t="s">
        <v>282</v>
      </c>
      <c r="FR83" s="7" t="s">
        <v>282</v>
      </c>
      <c r="FS83" s="7" t="s">
        <v>282</v>
      </c>
      <c r="FT83" s="7" t="s">
        <v>282</v>
      </c>
      <c r="FU83" s="7" t="s">
        <v>282</v>
      </c>
      <c r="FV83" s="7" t="s">
        <v>282</v>
      </c>
      <c r="FW83" s="7" t="s">
        <v>282</v>
      </c>
      <c r="FX83" s="7" t="s">
        <v>282</v>
      </c>
      <c r="FY83" s="7" t="s">
        <v>282</v>
      </c>
      <c r="FZ83" s="7" t="s">
        <v>282</v>
      </c>
      <c r="GA83" s="7" t="s">
        <v>282</v>
      </c>
      <c r="GB83" s="7" t="s">
        <v>282</v>
      </c>
      <c r="GC83" s="7" t="s">
        <v>282</v>
      </c>
      <c r="GD83" s="7" t="s">
        <v>282</v>
      </c>
      <c r="GE83" s="7" t="s">
        <v>282</v>
      </c>
      <c r="GF83" s="7" t="s">
        <v>282</v>
      </c>
      <c r="GG83" s="7" t="s">
        <v>282</v>
      </c>
      <c r="GH83" s="7" t="s">
        <v>282</v>
      </c>
      <c r="GI83" s="7" t="s">
        <v>282</v>
      </c>
      <c r="GJ83" s="7" t="s">
        <v>282</v>
      </c>
      <c r="GK83" s="7" t="s">
        <v>282</v>
      </c>
      <c r="GL83" s="7" t="s">
        <v>282</v>
      </c>
      <c r="GM83" s="7" t="s">
        <v>282</v>
      </c>
      <c r="GN83" s="7" t="s">
        <v>282</v>
      </c>
      <c r="GO83" s="7" t="s">
        <v>282</v>
      </c>
      <c r="GP83" s="7" t="s">
        <v>282</v>
      </c>
      <c r="GQ83" s="7" t="s">
        <v>282</v>
      </c>
      <c r="GR83" s="7" t="s">
        <v>282</v>
      </c>
      <c r="GS83" s="7" t="s">
        <v>282</v>
      </c>
      <c r="GT83" s="7" t="s">
        <v>282</v>
      </c>
      <c r="GU83" s="7" t="s">
        <v>282</v>
      </c>
      <c r="GV83" s="7" t="s">
        <v>282</v>
      </c>
      <c r="GW83" s="7" t="s">
        <v>282</v>
      </c>
      <c r="GX83" s="7" t="s">
        <v>282</v>
      </c>
      <c r="GY83" s="7" t="s">
        <v>282</v>
      </c>
      <c r="GZ83" s="7" t="s">
        <v>282</v>
      </c>
      <c r="HA83" s="7" t="s">
        <v>282</v>
      </c>
      <c r="HB83" s="7" t="s">
        <v>282</v>
      </c>
      <c r="HC83" s="7" t="s">
        <v>282</v>
      </c>
      <c r="HD83" s="7" t="s">
        <v>282</v>
      </c>
      <c r="HE83" s="7" t="s">
        <v>282</v>
      </c>
      <c r="HF83" s="7" t="s">
        <v>282</v>
      </c>
      <c r="HG83" s="7" t="s">
        <v>282</v>
      </c>
      <c r="HH83" s="7" t="s">
        <v>282</v>
      </c>
      <c r="HI83" s="7" t="s">
        <v>282</v>
      </c>
      <c r="HJ83" s="7" t="s">
        <v>282</v>
      </c>
      <c r="HK83" s="7" t="s">
        <v>282</v>
      </c>
      <c r="HL83" s="7" t="s">
        <v>282</v>
      </c>
      <c r="HM83" s="7" t="s">
        <v>282</v>
      </c>
      <c r="HN83" s="7" t="s">
        <v>282</v>
      </c>
      <c r="HO83" s="7" t="s">
        <v>282</v>
      </c>
      <c r="HP83" s="7" t="s">
        <v>282</v>
      </c>
      <c r="HQ83" s="7" t="s">
        <v>282</v>
      </c>
      <c r="HR83" s="7" t="s">
        <v>282</v>
      </c>
      <c r="HS83" s="7" t="s">
        <v>282</v>
      </c>
      <c r="HT83" s="7" t="s">
        <v>282</v>
      </c>
      <c r="HU83" s="7" t="s">
        <v>282</v>
      </c>
      <c r="HV83" s="7" t="s">
        <v>282</v>
      </c>
      <c r="HW83" s="7" t="s">
        <v>282</v>
      </c>
      <c r="HX83" s="7" t="s">
        <v>282</v>
      </c>
      <c r="HY83" s="7" t="s">
        <v>282</v>
      </c>
      <c r="HZ83" s="7" t="s">
        <v>282</v>
      </c>
      <c r="IA83" s="7" t="s">
        <v>282</v>
      </c>
      <c r="IB83" s="7" t="s">
        <v>282</v>
      </c>
      <c r="IC83" s="7" t="s">
        <v>282</v>
      </c>
    </row>
    <row r="84" spans="1:237" x14ac:dyDescent="0.2">
      <c r="A84" s="6">
        <v>45744.498067129629</v>
      </c>
      <c r="B84" s="6">
        <v>45744.498159722221</v>
      </c>
      <c r="C84" s="7" t="s">
        <v>240</v>
      </c>
      <c r="D84" s="7" t="s">
        <v>425</v>
      </c>
      <c r="E84">
        <v>0</v>
      </c>
      <c r="F84">
        <v>8</v>
      </c>
      <c r="G84" s="7" t="s">
        <v>495</v>
      </c>
      <c r="H84" s="6">
        <v>45751.498179224538</v>
      </c>
      <c r="I84" s="7" t="s">
        <v>1224</v>
      </c>
      <c r="J84" s="7" t="s">
        <v>282</v>
      </c>
      <c r="K84" s="7" t="s">
        <v>282</v>
      </c>
      <c r="L84" s="7" t="s">
        <v>282</v>
      </c>
      <c r="M84" s="7" t="s">
        <v>282</v>
      </c>
      <c r="N84">
        <v>-37.8964</v>
      </c>
      <c r="O84">
        <v>145.07990000000001</v>
      </c>
      <c r="P84" s="7" t="s">
        <v>283</v>
      </c>
      <c r="Q84" s="7" t="s">
        <v>284</v>
      </c>
      <c r="R84">
        <v>0.89999997615814209</v>
      </c>
      <c r="S84" s="7" t="s">
        <v>282</v>
      </c>
      <c r="T84" s="7" t="s">
        <v>282</v>
      </c>
      <c r="U84" s="7" t="s">
        <v>282</v>
      </c>
      <c r="V84" s="7" t="s">
        <v>282</v>
      </c>
      <c r="W84" s="7" t="s">
        <v>282</v>
      </c>
      <c r="X84" s="7" t="s">
        <v>282</v>
      </c>
      <c r="Y84" s="7" t="s">
        <v>282</v>
      </c>
      <c r="Z84" s="7" t="s">
        <v>282</v>
      </c>
      <c r="AA84" s="7" t="s">
        <v>282</v>
      </c>
      <c r="AB84" s="7" t="s">
        <v>282</v>
      </c>
      <c r="AC84" s="7" t="s">
        <v>282</v>
      </c>
      <c r="AD84" s="7" t="s">
        <v>282</v>
      </c>
      <c r="AE84" s="7" t="s">
        <v>282</v>
      </c>
      <c r="AF84" s="7" t="s">
        <v>282</v>
      </c>
      <c r="AG84" s="7" t="s">
        <v>282</v>
      </c>
      <c r="AH84" s="7" t="s">
        <v>282</v>
      </c>
      <c r="AI84" s="7" t="s">
        <v>282</v>
      </c>
      <c r="AJ84" s="7" t="s">
        <v>282</v>
      </c>
      <c r="AK84" s="7" t="s">
        <v>282</v>
      </c>
      <c r="AL84" s="7" t="s">
        <v>282</v>
      </c>
      <c r="AM84" s="7" t="s">
        <v>282</v>
      </c>
      <c r="AN84" s="7" t="s">
        <v>282</v>
      </c>
      <c r="AO84" s="7" t="s">
        <v>282</v>
      </c>
      <c r="AP84" s="7" t="s">
        <v>282</v>
      </c>
      <c r="AQ84" s="7" t="s">
        <v>282</v>
      </c>
      <c r="AR84" s="7" t="s">
        <v>282</v>
      </c>
      <c r="AS84" s="7" t="s">
        <v>282</v>
      </c>
      <c r="AT84" s="7" t="s">
        <v>282</v>
      </c>
      <c r="AU84" s="7" t="s">
        <v>282</v>
      </c>
      <c r="AV84" s="7" t="s">
        <v>282</v>
      </c>
      <c r="AW84" s="7" t="s">
        <v>282</v>
      </c>
      <c r="AX84" s="7" t="s">
        <v>282</v>
      </c>
      <c r="AY84" s="7" t="s">
        <v>282</v>
      </c>
      <c r="AZ84" s="7" t="s">
        <v>282</v>
      </c>
      <c r="BA84" s="7" t="s">
        <v>282</v>
      </c>
      <c r="BB84" s="7" t="s">
        <v>282</v>
      </c>
      <c r="BC84" s="7" t="s">
        <v>282</v>
      </c>
      <c r="BD84" s="7" t="s">
        <v>282</v>
      </c>
      <c r="BE84" s="7" t="s">
        <v>282</v>
      </c>
      <c r="BF84" s="7" t="s">
        <v>282</v>
      </c>
      <c r="BG84" s="7" t="s">
        <v>282</v>
      </c>
      <c r="BH84" s="7" t="s">
        <v>282</v>
      </c>
      <c r="BI84" s="7" t="s">
        <v>282</v>
      </c>
      <c r="BJ84" s="7" t="s">
        <v>282</v>
      </c>
      <c r="BK84" s="7" t="s">
        <v>282</v>
      </c>
      <c r="BL84" s="7" t="s">
        <v>282</v>
      </c>
      <c r="BM84" s="7" t="s">
        <v>282</v>
      </c>
      <c r="BN84" s="7" t="s">
        <v>282</v>
      </c>
      <c r="BO84" s="7" t="s">
        <v>282</v>
      </c>
      <c r="BP84" s="7" t="s">
        <v>282</v>
      </c>
      <c r="BQ84" s="7" t="s">
        <v>282</v>
      </c>
      <c r="BR84" s="7" t="s">
        <v>282</v>
      </c>
      <c r="BS84" s="7" t="s">
        <v>282</v>
      </c>
      <c r="BT84" s="7" t="s">
        <v>282</v>
      </c>
      <c r="BU84" s="7" t="s">
        <v>282</v>
      </c>
      <c r="BV84" s="7" t="s">
        <v>282</v>
      </c>
      <c r="BW84" s="7" t="s">
        <v>282</v>
      </c>
      <c r="BX84" s="7" t="s">
        <v>282</v>
      </c>
      <c r="BY84" s="7" t="s">
        <v>282</v>
      </c>
      <c r="BZ84" s="7" t="s">
        <v>282</v>
      </c>
      <c r="CA84" s="7" t="s">
        <v>282</v>
      </c>
      <c r="CB84" s="7" t="s">
        <v>282</v>
      </c>
      <c r="CC84" s="7" t="s">
        <v>282</v>
      </c>
      <c r="CD84" s="7" t="s">
        <v>282</v>
      </c>
      <c r="CE84" s="7" t="s">
        <v>282</v>
      </c>
      <c r="CF84" s="7" t="s">
        <v>282</v>
      </c>
      <c r="CG84" s="7" t="s">
        <v>282</v>
      </c>
      <c r="CH84" s="7" t="s">
        <v>282</v>
      </c>
      <c r="CI84" s="7" t="s">
        <v>282</v>
      </c>
      <c r="CJ84" s="7" t="s">
        <v>282</v>
      </c>
      <c r="CK84" s="7" t="s">
        <v>282</v>
      </c>
      <c r="CL84" s="7" t="s">
        <v>282</v>
      </c>
      <c r="CM84" s="7" t="s">
        <v>282</v>
      </c>
      <c r="CN84" s="7" t="s">
        <v>282</v>
      </c>
      <c r="CO84" s="7" t="s">
        <v>282</v>
      </c>
      <c r="CP84" s="7" t="s">
        <v>282</v>
      </c>
      <c r="CQ84" s="7" t="s">
        <v>282</v>
      </c>
      <c r="CR84" s="7" t="s">
        <v>282</v>
      </c>
      <c r="CS84" s="7" t="s">
        <v>282</v>
      </c>
      <c r="CT84" s="7" t="s">
        <v>282</v>
      </c>
      <c r="CU84" s="7" t="s">
        <v>282</v>
      </c>
      <c r="CV84" s="7" t="s">
        <v>282</v>
      </c>
      <c r="CW84" s="7" t="s">
        <v>282</v>
      </c>
      <c r="CX84" s="7" t="s">
        <v>282</v>
      </c>
      <c r="CY84" s="7" t="s">
        <v>282</v>
      </c>
      <c r="CZ84" s="7" t="s">
        <v>282</v>
      </c>
      <c r="DA84" s="7" t="s">
        <v>282</v>
      </c>
      <c r="DB84" s="7" t="s">
        <v>282</v>
      </c>
      <c r="DC84" s="7" t="s">
        <v>282</v>
      </c>
      <c r="DD84" s="7" t="s">
        <v>282</v>
      </c>
      <c r="DE84" s="7" t="s">
        <v>282</v>
      </c>
      <c r="DF84" s="7" t="s">
        <v>282</v>
      </c>
      <c r="DG84" s="7" t="s">
        <v>282</v>
      </c>
      <c r="DH84" s="7" t="s">
        <v>282</v>
      </c>
      <c r="DI84" s="7" t="s">
        <v>282</v>
      </c>
      <c r="DJ84" s="7" t="s">
        <v>282</v>
      </c>
      <c r="DK84" s="7" t="s">
        <v>282</v>
      </c>
      <c r="DL84" s="7" t="s">
        <v>282</v>
      </c>
      <c r="DM84" s="7" t="s">
        <v>282</v>
      </c>
      <c r="DN84" s="7" t="s">
        <v>282</v>
      </c>
      <c r="DO84" s="7" t="s">
        <v>282</v>
      </c>
      <c r="DP84" s="7" t="s">
        <v>282</v>
      </c>
      <c r="DQ84" s="7" t="s">
        <v>282</v>
      </c>
      <c r="DR84" s="7" t="s">
        <v>282</v>
      </c>
      <c r="DS84" s="7" t="s">
        <v>282</v>
      </c>
      <c r="DT84" s="7" t="s">
        <v>282</v>
      </c>
      <c r="DU84" s="7" t="s">
        <v>282</v>
      </c>
      <c r="DV84" s="7" t="s">
        <v>282</v>
      </c>
      <c r="DW84" s="7" t="s">
        <v>282</v>
      </c>
      <c r="DX84" s="7" t="s">
        <v>282</v>
      </c>
      <c r="DY84" s="7" t="s">
        <v>282</v>
      </c>
      <c r="DZ84" s="7" t="s">
        <v>282</v>
      </c>
      <c r="EA84" s="7" t="s">
        <v>282</v>
      </c>
      <c r="EB84" s="7" t="s">
        <v>282</v>
      </c>
      <c r="EC84" s="7" t="s">
        <v>282</v>
      </c>
      <c r="ED84" s="7" t="s">
        <v>282</v>
      </c>
      <c r="EE84" s="7" t="s">
        <v>282</v>
      </c>
      <c r="EF84" s="7" t="s">
        <v>282</v>
      </c>
      <c r="EG84" s="7" t="s">
        <v>282</v>
      </c>
      <c r="EH84" s="7" t="s">
        <v>282</v>
      </c>
      <c r="EI84" s="7" t="s">
        <v>282</v>
      </c>
      <c r="EJ84" s="7" t="s">
        <v>282</v>
      </c>
      <c r="EK84" s="7" t="s">
        <v>282</v>
      </c>
      <c r="EL84" s="7" t="s">
        <v>282</v>
      </c>
      <c r="EM84" s="7" t="s">
        <v>282</v>
      </c>
      <c r="EN84" s="7" t="s">
        <v>282</v>
      </c>
      <c r="EO84" s="7" t="s">
        <v>282</v>
      </c>
      <c r="EP84" s="7" t="s">
        <v>282</v>
      </c>
      <c r="EQ84" s="7" t="s">
        <v>282</v>
      </c>
      <c r="ER84" s="7" t="s">
        <v>282</v>
      </c>
      <c r="ES84" s="7" t="s">
        <v>282</v>
      </c>
      <c r="ET84" s="7" t="s">
        <v>282</v>
      </c>
      <c r="EU84" s="7" t="s">
        <v>282</v>
      </c>
      <c r="EV84" s="7" t="s">
        <v>282</v>
      </c>
      <c r="EW84" s="7" t="s">
        <v>282</v>
      </c>
      <c r="EX84" s="7" t="s">
        <v>282</v>
      </c>
      <c r="EY84" s="7" t="s">
        <v>282</v>
      </c>
      <c r="EZ84" s="7" t="s">
        <v>282</v>
      </c>
      <c r="FA84" s="7" t="s">
        <v>282</v>
      </c>
      <c r="FB84" s="7" t="s">
        <v>282</v>
      </c>
      <c r="FC84" s="7" t="s">
        <v>282</v>
      </c>
      <c r="FD84" s="7" t="s">
        <v>282</v>
      </c>
      <c r="FE84" s="7" t="s">
        <v>282</v>
      </c>
      <c r="FF84" s="7" t="s">
        <v>282</v>
      </c>
      <c r="FG84" s="7" t="s">
        <v>282</v>
      </c>
      <c r="FH84" s="7" t="s">
        <v>282</v>
      </c>
      <c r="FI84" s="7" t="s">
        <v>282</v>
      </c>
      <c r="FJ84" s="7" t="s">
        <v>282</v>
      </c>
      <c r="FK84" s="7" t="s">
        <v>282</v>
      </c>
      <c r="FL84" s="7" t="s">
        <v>282</v>
      </c>
      <c r="FM84" s="7" t="s">
        <v>282</v>
      </c>
      <c r="FN84" s="7" t="s">
        <v>282</v>
      </c>
      <c r="FO84" s="7" t="s">
        <v>282</v>
      </c>
      <c r="FP84" s="7" t="s">
        <v>282</v>
      </c>
      <c r="FQ84" s="7" t="s">
        <v>282</v>
      </c>
      <c r="FR84" s="7" t="s">
        <v>282</v>
      </c>
      <c r="FS84" s="7" t="s">
        <v>282</v>
      </c>
      <c r="FT84" s="7" t="s">
        <v>282</v>
      </c>
      <c r="FU84" s="7" t="s">
        <v>282</v>
      </c>
      <c r="FV84" s="7" t="s">
        <v>282</v>
      </c>
      <c r="FW84" s="7" t="s">
        <v>282</v>
      </c>
      <c r="FX84" s="7" t="s">
        <v>282</v>
      </c>
      <c r="FY84" s="7" t="s">
        <v>282</v>
      </c>
      <c r="FZ84" s="7" t="s">
        <v>282</v>
      </c>
      <c r="GA84" s="7" t="s">
        <v>282</v>
      </c>
      <c r="GB84" s="7" t="s">
        <v>282</v>
      </c>
      <c r="GC84" s="7" t="s">
        <v>282</v>
      </c>
      <c r="GD84" s="7" t="s">
        <v>282</v>
      </c>
      <c r="GE84" s="7" t="s">
        <v>282</v>
      </c>
      <c r="GF84" s="7" t="s">
        <v>282</v>
      </c>
      <c r="GG84" s="7" t="s">
        <v>282</v>
      </c>
      <c r="GH84" s="7" t="s">
        <v>282</v>
      </c>
      <c r="GI84" s="7" t="s">
        <v>282</v>
      </c>
      <c r="GJ84" s="7" t="s">
        <v>282</v>
      </c>
      <c r="GK84" s="7" t="s">
        <v>282</v>
      </c>
      <c r="GL84" s="7" t="s">
        <v>282</v>
      </c>
      <c r="GM84" s="7" t="s">
        <v>282</v>
      </c>
      <c r="GN84" s="7" t="s">
        <v>282</v>
      </c>
      <c r="GO84" s="7" t="s">
        <v>282</v>
      </c>
      <c r="GP84" s="7" t="s">
        <v>282</v>
      </c>
      <c r="GQ84" s="7" t="s">
        <v>282</v>
      </c>
      <c r="GR84" s="7" t="s">
        <v>282</v>
      </c>
      <c r="GS84" s="7" t="s">
        <v>282</v>
      </c>
      <c r="GT84" s="7" t="s">
        <v>282</v>
      </c>
      <c r="GU84" s="7" t="s">
        <v>282</v>
      </c>
      <c r="GV84" s="7" t="s">
        <v>282</v>
      </c>
      <c r="GW84" s="7" t="s">
        <v>282</v>
      </c>
      <c r="GX84" s="7" t="s">
        <v>282</v>
      </c>
      <c r="GY84" s="7" t="s">
        <v>282</v>
      </c>
      <c r="GZ84" s="7" t="s">
        <v>282</v>
      </c>
      <c r="HA84" s="7" t="s">
        <v>282</v>
      </c>
      <c r="HB84" s="7" t="s">
        <v>282</v>
      </c>
      <c r="HC84" s="7" t="s">
        <v>282</v>
      </c>
      <c r="HD84" s="7" t="s">
        <v>282</v>
      </c>
      <c r="HE84" s="7" t="s">
        <v>282</v>
      </c>
      <c r="HF84" s="7" t="s">
        <v>282</v>
      </c>
      <c r="HG84" s="7" t="s">
        <v>282</v>
      </c>
      <c r="HH84" s="7" t="s">
        <v>282</v>
      </c>
      <c r="HI84" s="7" t="s">
        <v>282</v>
      </c>
      <c r="HJ84" s="7" t="s">
        <v>282</v>
      </c>
      <c r="HK84" s="7" t="s">
        <v>282</v>
      </c>
      <c r="HL84" s="7" t="s">
        <v>282</v>
      </c>
      <c r="HM84" s="7" t="s">
        <v>282</v>
      </c>
      <c r="HN84" s="7" t="s">
        <v>282</v>
      </c>
      <c r="HO84" s="7" t="s">
        <v>282</v>
      </c>
      <c r="HP84" s="7" t="s">
        <v>282</v>
      </c>
      <c r="HQ84" s="7" t="s">
        <v>282</v>
      </c>
      <c r="HR84" s="7" t="s">
        <v>282</v>
      </c>
      <c r="HS84" s="7" t="s">
        <v>282</v>
      </c>
      <c r="HT84" s="7" t="s">
        <v>282</v>
      </c>
      <c r="HU84" s="7" t="s">
        <v>282</v>
      </c>
      <c r="HV84" s="7" t="s">
        <v>282</v>
      </c>
      <c r="HW84" s="7" t="s">
        <v>282</v>
      </c>
      <c r="HX84" s="7" t="s">
        <v>282</v>
      </c>
      <c r="HY84" s="7" t="s">
        <v>282</v>
      </c>
      <c r="HZ84" s="7" t="s">
        <v>282</v>
      </c>
      <c r="IA84" s="7" t="s">
        <v>282</v>
      </c>
      <c r="IB84" s="7" t="s">
        <v>282</v>
      </c>
      <c r="IC84" s="7" t="s">
        <v>282</v>
      </c>
    </row>
    <row r="85" spans="1:237" x14ac:dyDescent="0.2">
      <c r="A85" s="6">
        <v>45744.500081018516</v>
      </c>
      <c r="B85" s="6">
        <v>45744.500231481485</v>
      </c>
      <c r="C85" s="7" t="s">
        <v>240</v>
      </c>
      <c r="D85" s="7" t="s">
        <v>435</v>
      </c>
      <c r="E85">
        <v>0</v>
      </c>
      <c r="F85">
        <v>12</v>
      </c>
      <c r="G85" s="7" t="s">
        <v>495</v>
      </c>
      <c r="H85" s="6">
        <v>45751.500251377314</v>
      </c>
      <c r="I85" s="7" t="s">
        <v>1225</v>
      </c>
      <c r="J85" s="7" t="s">
        <v>282</v>
      </c>
      <c r="K85" s="7" t="s">
        <v>282</v>
      </c>
      <c r="L85" s="7" t="s">
        <v>282</v>
      </c>
      <c r="M85" s="7" t="s">
        <v>282</v>
      </c>
      <c r="N85">
        <v>-37.815899999999999</v>
      </c>
      <c r="O85">
        <v>144.96690000000001</v>
      </c>
      <c r="P85" s="7" t="s">
        <v>283</v>
      </c>
      <c r="Q85" s="7" t="s">
        <v>284</v>
      </c>
      <c r="R85">
        <v>0.89999997615814209</v>
      </c>
      <c r="S85" s="7" t="s">
        <v>282</v>
      </c>
      <c r="T85" s="7" t="s">
        <v>282</v>
      </c>
      <c r="U85" s="7" t="s">
        <v>282</v>
      </c>
      <c r="V85" s="7" t="s">
        <v>282</v>
      </c>
      <c r="W85" s="7" t="s">
        <v>282</v>
      </c>
      <c r="X85" s="7" t="s">
        <v>282</v>
      </c>
      <c r="Y85" s="7" t="s">
        <v>282</v>
      </c>
      <c r="Z85" s="7" t="s">
        <v>282</v>
      </c>
      <c r="AA85" s="7" t="s">
        <v>282</v>
      </c>
      <c r="AB85" s="7" t="s">
        <v>282</v>
      </c>
      <c r="AC85" s="7" t="s">
        <v>282</v>
      </c>
      <c r="AD85" s="7" t="s">
        <v>282</v>
      </c>
      <c r="AE85" s="7" t="s">
        <v>282</v>
      </c>
      <c r="AF85" s="7" t="s">
        <v>282</v>
      </c>
      <c r="AG85" s="7" t="s">
        <v>282</v>
      </c>
      <c r="AH85" s="7" t="s">
        <v>282</v>
      </c>
      <c r="AI85" s="7" t="s">
        <v>282</v>
      </c>
      <c r="AJ85" s="7" t="s">
        <v>282</v>
      </c>
      <c r="AK85" s="7" t="s">
        <v>282</v>
      </c>
      <c r="AL85" s="7" t="s">
        <v>282</v>
      </c>
      <c r="AM85" s="7" t="s">
        <v>282</v>
      </c>
      <c r="AN85" s="7" t="s">
        <v>282</v>
      </c>
      <c r="AO85" s="7" t="s">
        <v>282</v>
      </c>
      <c r="AP85" s="7" t="s">
        <v>282</v>
      </c>
      <c r="AQ85" s="7" t="s">
        <v>282</v>
      </c>
      <c r="AR85" s="7" t="s">
        <v>282</v>
      </c>
      <c r="AS85" s="7" t="s">
        <v>282</v>
      </c>
      <c r="AT85" s="7" t="s">
        <v>282</v>
      </c>
      <c r="AU85" s="7" t="s">
        <v>282</v>
      </c>
      <c r="AV85" s="7" t="s">
        <v>282</v>
      </c>
      <c r="AW85" s="7" t="s">
        <v>282</v>
      </c>
      <c r="AX85" s="7" t="s">
        <v>282</v>
      </c>
      <c r="AY85" s="7" t="s">
        <v>282</v>
      </c>
      <c r="AZ85" s="7" t="s">
        <v>282</v>
      </c>
      <c r="BA85" s="7" t="s">
        <v>282</v>
      </c>
      <c r="BB85" s="7" t="s">
        <v>282</v>
      </c>
      <c r="BC85" s="7" t="s">
        <v>282</v>
      </c>
      <c r="BD85" s="7" t="s">
        <v>282</v>
      </c>
      <c r="BE85" s="7" t="s">
        <v>282</v>
      </c>
      <c r="BF85" s="7" t="s">
        <v>282</v>
      </c>
      <c r="BG85" s="7" t="s">
        <v>282</v>
      </c>
      <c r="BH85" s="7" t="s">
        <v>282</v>
      </c>
      <c r="BI85" s="7" t="s">
        <v>282</v>
      </c>
      <c r="BJ85" s="7" t="s">
        <v>282</v>
      </c>
      <c r="BK85" s="7" t="s">
        <v>282</v>
      </c>
      <c r="BL85" s="7" t="s">
        <v>282</v>
      </c>
      <c r="BM85" s="7" t="s">
        <v>282</v>
      </c>
      <c r="BN85" s="7" t="s">
        <v>282</v>
      </c>
      <c r="BO85" s="7" t="s">
        <v>282</v>
      </c>
      <c r="BP85" s="7" t="s">
        <v>282</v>
      </c>
      <c r="BQ85" s="7" t="s">
        <v>282</v>
      </c>
      <c r="BR85" s="7" t="s">
        <v>282</v>
      </c>
      <c r="BS85" s="7" t="s">
        <v>282</v>
      </c>
      <c r="BT85" s="7" t="s">
        <v>282</v>
      </c>
      <c r="BU85" s="7" t="s">
        <v>282</v>
      </c>
      <c r="BV85" s="7" t="s">
        <v>282</v>
      </c>
      <c r="BW85" s="7" t="s">
        <v>282</v>
      </c>
      <c r="BX85" s="7" t="s">
        <v>282</v>
      </c>
      <c r="BY85" s="7" t="s">
        <v>282</v>
      </c>
      <c r="BZ85" s="7" t="s">
        <v>282</v>
      </c>
      <c r="CA85" s="7" t="s">
        <v>282</v>
      </c>
      <c r="CB85" s="7" t="s">
        <v>282</v>
      </c>
      <c r="CC85" s="7" t="s">
        <v>282</v>
      </c>
      <c r="CD85" s="7" t="s">
        <v>282</v>
      </c>
      <c r="CE85" s="7" t="s">
        <v>282</v>
      </c>
      <c r="CF85" s="7" t="s">
        <v>282</v>
      </c>
      <c r="CG85" s="7" t="s">
        <v>282</v>
      </c>
      <c r="CH85" s="7" t="s">
        <v>282</v>
      </c>
      <c r="CI85" s="7" t="s">
        <v>282</v>
      </c>
      <c r="CJ85" s="7" t="s">
        <v>282</v>
      </c>
      <c r="CK85" s="7" t="s">
        <v>282</v>
      </c>
      <c r="CL85" s="7" t="s">
        <v>282</v>
      </c>
      <c r="CM85" s="7" t="s">
        <v>282</v>
      </c>
      <c r="CN85" s="7" t="s">
        <v>282</v>
      </c>
      <c r="CO85" s="7" t="s">
        <v>282</v>
      </c>
      <c r="CP85" s="7" t="s">
        <v>282</v>
      </c>
      <c r="CQ85" s="7" t="s">
        <v>282</v>
      </c>
      <c r="CR85" s="7" t="s">
        <v>282</v>
      </c>
      <c r="CS85" s="7" t="s">
        <v>282</v>
      </c>
      <c r="CT85" s="7" t="s">
        <v>282</v>
      </c>
      <c r="CU85" s="7" t="s">
        <v>282</v>
      </c>
      <c r="CV85" s="7" t="s">
        <v>282</v>
      </c>
      <c r="CW85" s="7" t="s">
        <v>282</v>
      </c>
      <c r="CX85" s="7" t="s">
        <v>282</v>
      </c>
      <c r="CY85" s="7" t="s">
        <v>282</v>
      </c>
      <c r="CZ85" s="7" t="s">
        <v>282</v>
      </c>
      <c r="DA85" s="7" t="s">
        <v>282</v>
      </c>
      <c r="DB85" s="7" t="s">
        <v>282</v>
      </c>
      <c r="DC85" s="7" t="s">
        <v>282</v>
      </c>
      <c r="DD85" s="7" t="s">
        <v>282</v>
      </c>
      <c r="DE85" s="7" t="s">
        <v>282</v>
      </c>
      <c r="DF85" s="7" t="s">
        <v>282</v>
      </c>
      <c r="DG85" s="7" t="s">
        <v>282</v>
      </c>
      <c r="DH85" s="7" t="s">
        <v>282</v>
      </c>
      <c r="DI85" s="7" t="s">
        <v>282</v>
      </c>
      <c r="DJ85" s="7" t="s">
        <v>282</v>
      </c>
      <c r="DK85" s="7" t="s">
        <v>282</v>
      </c>
      <c r="DL85" s="7" t="s">
        <v>282</v>
      </c>
      <c r="DM85" s="7" t="s">
        <v>282</v>
      </c>
      <c r="DN85" s="7" t="s">
        <v>282</v>
      </c>
      <c r="DO85" s="7" t="s">
        <v>282</v>
      </c>
      <c r="DP85" s="7" t="s">
        <v>282</v>
      </c>
      <c r="DQ85" s="7" t="s">
        <v>282</v>
      </c>
      <c r="DR85" s="7" t="s">
        <v>282</v>
      </c>
      <c r="DS85" s="7" t="s">
        <v>282</v>
      </c>
      <c r="DT85" s="7" t="s">
        <v>282</v>
      </c>
      <c r="DU85" s="7" t="s">
        <v>282</v>
      </c>
      <c r="DV85" s="7" t="s">
        <v>282</v>
      </c>
      <c r="DW85" s="7" t="s">
        <v>282</v>
      </c>
      <c r="DX85" s="7" t="s">
        <v>282</v>
      </c>
      <c r="DY85" s="7" t="s">
        <v>282</v>
      </c>
      <c r="DZ85" s="7" t="s">
        <v>282</v>
      </c>
      <c r="EA85" s="7" t="s">
        <v>282</v>
      </c>
      <c r="EB85" s="7" t="s">
        <v>282</v>
      </c>
      <c r="EC85" s="7" t="s">
        <v>282</v>
      </c>
      <c r="ED85" s="7" t="s">
        <v>282</v>
      </c>
      <c r="EE85" s="7" t="s">
        <v>282</v>
      </c>
      <c r="EF85" s="7" t="s">
        <v>282</v>
      </c>
      <c r="EG85" s="7" t="s">
        <v>282</v>
      </c>
      <c r="EH85" s="7" t="s">
        <v>282</v>
      </c>
      <c r="EI85" s="7" t="s">
        <v>282</v>
      </c>
      <c r="EJ85" s="7" t="s">
        <v>282</v>
      </c>
      <c r="EK85" s="7" t="s">
        <v>282</v>
      </c>
      <c r="EL85" s="7" t="s">
        <v>282</v>
      </c>
      <c r="EM85" s="7" t="s">
        <v>282</v>
      </c>
      <c r="EN85" s="7" t="s">
        <v>282</v>
      </c>
      <c r="EO85" s="7" t="s">
        <v>282</v>
      </c>
      <c r="EP85" s="7" t="s">
        <v>282</v>
      </c>
      <c r="EQ85" s="7" t="s">
        <v>282</v>
      </c>
      <c r="ER85" s="7" t="s">
        <v>282</v>
      </c>
      <c r="ES85" s="7" t="s">
        <v>282</v>
      </c>
      <c r="ET85" s="7" t="s">
        <v>282</v>
      </c>
      <c r="EU85" s="7" t="s">
        <v>282</v>
      </c>
      <c r="EV85" s="7" t="s">
        <v>282</v>
      </c>
      <c r="EW85" s="7" t="s">
        <v>282</v>
      </c>
      <c r="EX85" s="7" t="s">
        <v>282</v>
      </c>
      <c r="EY85" s="7" t="s">
        <v>282</v>
      </c>
      <c r="EZ85" s="7" t="s">
        <v>282</v>
      </c>
      <c r="FA85" s="7" t="s">
        <v>282</v>
      </c>
      <c r="FB85" s="7" t="s">
        <v>282</v>
      </c>
      <c r="FC85" s="7" t="s">
        <v>282</v>
      </c>
      <c r="FD85" s="7" t="s">
        <v>282</v>
      </c>
      <c r="FE85" s="7" t="s">
        <v>282</v>
      </c>
      <c r="FF85" s="7" t="s">
        <v>282</v>
      </c>
      <c r="FG85" s="7" t="s">
        <v>282</v>
      </c>
      <c r="FH85" s="7" t="s">
        <v>282</v>
      </c>
      <c r="FI85" s="7" t="s">
        <v>282</v>
      </c>
      <c r="FJ85" s="7" t="s">
        <v>282</v>
      </c>
      <c r="FK85" s="7" t="s">
        <v>282</v>
      </c>
      <c r="FL85" s="7" t="s">
        <v>282</v>
      </c>
      <c r="FM85" s="7" t="s">
        <v>282</v>
      </c>
      <c r="FN85" s="7" t="s">
        <v>282</v>
      </c>
      <c r="FO85" s="7" t="s">
        <v>282</v>
      </c>
      <c r="FP85" s="7" t="s">
        <v>282</v>
      </c>
      <c r="FQ85" s="7" t="s">
        <v>282</v>
      </c>
      <c r="FR85" s="7" t="s">
        <v>282</v>
      </c>
      <c r="FS85" s="7" t="s">
        <v>282</v>
      </c>
      <c r="FT85" s="7" t="s">
        <v>282</v>
      </c>
      <c r="FU85" s="7" t="s">
        <v>282</v>
      </c>
      <c r="FV85" s="7" t="s">
        <v>282</v>
      </c>
      <c r="FW85" s="7" t="s">
        <v>282</v>
      </c>
      <c r="FX85" s="7" t="s">
        <v>282</v>
      </c>
      <c r="FY85" s="7" t="s">
        <v>282</v>
      </c>
      <c r="FZ85" s="7" t="s">
        <v>282</v>
      </c>
      <c r="GA85" s="7" t="s">
        <v>282</v>
      </c>
      <c r="GB85" s="7" t="s">
        <v>282</v>
      </c>
      <c r="GC85" s="7" t="s">
        <v>282</v>
      </c>
      <c r="GD85" s="7" t="s">
        <v>282</v>
      </c>
      <c r="GE85" s="7" t="s">
        <v>282</v>
      </c>
      <c r="GF85" s="7" t="s">
        <v>282</v>
      </c>
      <c r="GG85" s="7" t="s">
        <v>282</v>
      </c>
      <c r="GH85" s="7" t="s">
        <v>282</v>
      </c>
      <c r="GI85" s="7" t="s">
        <v>282</v>
      </c>
      <c r="GJ85" s="7" t="s">
        <v>282</v>
      </c>
      <c r="GK85" s="7" t="s">
        <v>282</v>
      </c>
      <c r="GL85" s="7" t="s">
        <v>282</v>
      </c>
      <c r="GM85" s="7" t="s">
        <v>282</v>
      </c>
      <c r="GN85" s="7" t="s">
        <v>282</v>
      </c>
      <c r="GO85" s="7" t="s">
        <v>282</v>
      </c>
      <c r="GP85" s="7" t="s">
        <v>282</v>
      </c>
      <c r="GQ85" s="7" t="s">
        <v>282</v>
      </c>
      <c r="GR85" s="7" t="s">
        <v>282</v>
      </c>
      <c r="GS85" s="7" t="s">
        <v>282</v>
      </c>
      <c r="GT85" s="7" t="s">
        <v>282</v>
      </c>
      <c r="GU85" s="7" t="s">
        <v>282</v>
      </c>
      <c r="GV85" s="7" t="s">
        <v>282</v>
      </c>
      <c r="GW85" s="7" t="s">
        <v>282</v>
      </c>
      <c r="GX85" s="7" t="s">
        <v>282</v>
      </c>
      <c r="GY85" s="7" t="s">
        <v>282</v>
      </c>
      <c r="GZ85" s="7" t="s">
        <v>282</v>
      </c>
      <c r="HA85" s="7" t="s">
        <v>282</v>
      </c>
      <c r="HB85" s="7" t="s">
        <v>282</v>
      </c>
      <c r="HC85" s="7" t="s">
        <v>282</v>
      </c>
      <c r="HD85" s="7" t="s">
        <v>282</v>
      </c>
      <c r="HE85" s="7" t="s">
        <v>282</v>
      </c>
      <c r="HF85" s="7" t="s">
        <v>282</v>
      </c>
      <c r="HG85" s="7" t="s">
        <v>282</v>
      </c>
      <c r="HH85" s="7" t="s">
        <v>282</v>
      </c>
      <c r="HI85" s="7" t="s">
        <v>282</v>
      </c>
      <c r="HJ85" s="7" t="s">
        <v>282</v>
      </c>
      <c r="HK85" s="7" t="s">
        <v>282</v>
      </c>
      <c r="HL85" s="7" t="s">
        <v>282</v>
      </c>
      <c r="HM85" s="7" t="s">
        <v>282</v>
      </c>
      <c r="HN85" s="7" t="s">
        <v>282</v>
      </c>
      <c r="HO85" s="7" t="s">
        <v>282</v>
      </c>
      <c r="HP85" s="7" t="s">
        <v>282</v>
      </c>
      <c r="HQ85" s="7" t="s">
        <v>282</v>
      </c>
      <c r="HR85" s="7" t="s">
        <v>282</v>
      </c>
      <c r="HS85" s="7" t="s">
        <v>282</v>
      </c>
      <c r="HT85" s="7" t="s">
        <v>282</v>
      </c>
      <c r="HU85" s="7" t="s">
        <v>282</v>
      </c>
      <c r="HV85" s="7" t="s">
        <v>282</v>
      </c>
      <c r="HW85" s="7" t="s">
        <v>282</v>
      </c>
      <c r="HX85" s="7" t="s">
        <v>282</v>
      </c>
      <c r="HY85" s="7" t="s">
        <v>282</v>
      </c>
      <c r="HZ85" s="7" t="s">
        <v>282</v>
      </c>
      <c r="IA85" s="7" t="s">
        <v>282</v>
      </c>
      <c r="IB85" s="7" t="s">
        <v>282</v>
      </c>
      <c r="IC85" s="7" t="s">
        <v>282</v>
      </c>
    </row>
    <row r="86" spans="1:237" x14ac:dyDescent="0.2">
      <c r="A86" s="6">
        <v>45744.547094907408</v>
      </c>
      <c r="B86" s="6">
        <v>45744.547430555554</v>
      </c>
      <c r="C86" s="7" t="s">
        <v>240</v>
      </c>
      <c r="D86" s="7" t="s">
        <v>1226</v>
      </c>
      <c r="E86">
        <v>0</v>
      </c>
      <c r="F86">
        <v>28</v>
      </c>
      <c r="G86" s="7" t="s">
        <v>495</v>
      </c>
      <c r="H86" s="6">
        <v>45751.547533831021</v>
      </c>
      <c r="I86" s="7" t="s">
        <v>1227</v>
      </c>
      <c r="J86" s="7" t="s">
        <v>282</v>
      </c>
      <c r="K86" s="7" t="s">
        <v>282</v>
      </c>
      <c r="L86" s="7" t="s">
        <v>282</v>
      </c>
      <c r="M86" s="7" t="s">
        <v>282</v>
      </c>
      <c r="N86">
        <v>51.040599999999998</v>
      </c>
      <c r="O86">
        <v>-114.07640000000001</v>
      </c>
      <c r="P86" s="7" t="s">
        <v>283</v>
      </c>
      <c r="Q86" s="7" t="s">
        <v>284</v>
      </c>
      <c r="R86">
        <v>0.89999997615814209</v>
      </c>
      <c r="S86" s="7" t="s">
        <v>282</v>
      </c>
      <c r="T86" s="7" t="s">
        <v>282</v>
      </c>
      <c r="U86" s="7" t="s">
        <v>282</v>
      </c>
      <c r="V86" s="7" t="s">
        <v>282</v>
      </c>
      <c r="W86" s="7" t="s">
        <v>282</v>
      </c>
      <c r="X86" s="7" t="s">
        <v>282</v>
      </c>
      <c r="Y86" s="7" t="s">
        <v>282</v>
      </c>
      <c r="Z86" s="7" t="s">
        <v>282</v>
      </c>
      <c r="AA86" s="7" t="s">
        <v>282</v>
      </c>
      <c r="AB86" s="7" t="s">
        <v>282</v>
      </c>
      <c r="AC86" s="7" t="s">
        <v>282</v>
      </c>
      <c r="AD86" s="7" t="s">
        <v>282</v>
      </c>
      <c r="AE86" s="7" t="s">
        <v>282</v>
      </c>
      <c r="AF86" s="7" t="s">
        <v>282</v>
      </c>
      <c r="AG86" s="7" t="s">
        <v>282</v>
      </c>
      <c r="AH86" s="7" t="s">
        <v>282</v>
      </c>
      <c r="AI86" s="7" t="s">
        <v>282</v>
      </c>
      <c r="AJ86" s="7" t="s">
        <v>282</v>
      </c>
      <c r="AK86" s="7" t="s">
        <v>282</v>
      </c>
      <c r="AL86" s="7" t="s">
        <v>282</v>
      </c>
      <c r="AM86" s="7" t="s">
        <v>282</v>
      </c>
      <c r="AN86" s="7" t="s">
        <v>282</v>
      </c>
      <c r="AO86" s="7" t="s">
        <v>282</v>
      </c>
      <c r="AP86" s="7" t="s">
        <v>282</v>
      </c>
      <c r="AQ86" s="7" t="s">
        <v>282</v>
      </c>
      <c r="AR86" s="7" t="s">
        <v>282</v>
      </c>
      <c r="AS86" s="7" t="s">
        <v>282</v>
      </c>
      <c r="AT86" s="7" t="s">
        <v>282</v>
      </c>
      <c r="AU86" s="7" t="s">
        <v>282</v>
      </c>
      <c r="AV86" s="7" t="s">
        <v>282</v>
      </c>
      <c r="AW86" s="7" t="s">
        <v>282</v>
      </c>
      <c r="AX86" s="7" t="s">
        <v>282</v>
      </c>
      <c r="AY86" s="7" t="s">
        <v>282</v>
      </c>
      <c r="AZ86" s="7" t="s">
        <v>282</v>
      </c>
      <c r="BA86" s="7" t="s">
        <v>282</v>
      </c>
      <c r="BB86" s="7" t="s">
        <v>282</v>
      </c>
      <c r="BC86" s="7" t="s">
        <v>282</v>
      </c>
      <c r="BD86" s="7" t="s">
        <v>282</v>
      </c>
      <c r="BE86" s="7" t="s">
        <v>282</v>
      </c>
      <c r="BF86" s="7" t="s">
        <v>282</v>
      </c>
      <c r="BG86" s="7" t="s">
        <v>282</v>
      </c>
      <c r="BH86" s="7" t="s">
        <v>282</v>
      </c>
      <c r="BI86" s="7" t="s">
        <v>282</v>
      </c>
      <c r="BJ86" s="7" t="s">
        <v>282</v>
      </c>
      <c r="BK86" s="7" t="s">
        <v>282</v>
      </c>
      <c r="BL86" s="7" t="s">
        <v>282</v>
      </c>
      <c r="BM86" s="7" t="s">
        <v>282</v>
      </c>
      <c r="BN86" s="7" t="s">
        <v>282</v>
      </c>
      <c r="BO86" s="7" t="s">
        <v>282</v>
      </c>
      <c r="BP86" s="7" t="s">
        <v>282</v>
      </c>
      <c r="BQ86" s="7" t="s">
        <v>282</v>
      </c>
      <c r="BR86" s="7" t="s">
        <v>282</v>
      </c>
      <c r="BS86" s="7" t="s">
        <v>282</v>
      </c>
      <c r="BT86" s="7" t="s">
        <v>282</v>
      </c>
      <c r="BU86" s="7" t="s">
        <v>282</v>
      </c>
      <c r="BV86" s="7" t="s">
        <v>282</v>
      </c>
      <c r="BW86" s="7" t="s">
        <v>282</v>
      </c>
      <c r="BX86" s="7" t="s">
        <v>282</v>
      </c>
      <c r="BY86" s="7" t="s">
        <v>282</v>
      </c>
      <c r="BZ86" s="7" t="s">
        <v>282</v>
      </c>
      <c r="CA86" s="7" t="s">
        <v>282</v>
      </c>
      <c r="CB86" s="7" t="s">
        <v>282</v>
      </c>
      <c r="CC86" s="7" t="s">
        <v>282</v>
      </c>
      <c r="CD86" s="7" t="s">
        <v>282</v>
      </c>
      <c r="CE86" s="7" t="s">
        <v>282</v>
      </c>
      <c r="CF86" s="7" t="s">
        <v>282</v>
      </c>
      <c r="CG86" s="7" t="s">
        <v>282</v>
      </c>
      <c r="CH86" s="7" t="s">
        <v>282</v>
      </c>
      <c r="CI86" s="7" t="s">
        <v>282</v>
      </c>
      <c r="CJ86" s="7" t="s">
        <v>282</v>
      </c>
      <c r="CK86" s="7" t="s">
        <v>282</v>
      </c>
      <c r="CL86" s="7" t="s">
        <v>282</v>
      </c>
      <c r="CM86" s="7" t="s">
        <v>282</v>
      </c>
      <c r="CN86" s="7" t="s">
        <v>282</v>
      </c>
      <c r="CO86" s="7" t="s">
        <v>282</v>
      </c>
      <c r="CP86" s="7" t="s">
        <v>282</v>
      </c>
      <c r="CQ86" s="7" t="s">
        <v>282</v>
      </c>
      <c r="CR86" s="7" t="s">
        <v>282</v>
      </c>
      <c r="CS86" s="7" t="s">
        <v>282</v>
      </c>
      <c r="CT86" s="7" t="s">
        <v>282</v>
      </c>
      <c r="CU86" s="7" t="s">
        <v>282</v>
      </c>
      <c r="CV86" s="7" t="s">
        <v>282</v>
      </c>
      <c r="CW86" s="7" t="s">
        <v>282</v>
      </c>
      <c r="CX86" s="7" t="s">
        <v>282</v>
      </c>
      <c r="CY86" s="7" t="s">
        <v>282</v>
      </c>
      <c r="CZ86" s="7" t="s">
        <v>282</v>
      </c>
      <c r="DA86" s="7" t="s">
        <v>282</v>
      </c>
      <c r="DB86" s="7" t="s">
        <v>282</v>
      </c>
      <c r="DC86" s="7" t="s">
        <v>282</v>
      </c>
      <c r="DD86" s="7" t="s">
        <v>282</v>
      </c>
      <c r="DE86" s="7" t="s">
        <v>282</v>
      </c>
      <c r="DF86" s="7" t="s">
        <v>282</v>
      </c>
      <c r="DG86" s="7" t="s">
        <v>282</v>
      </c>
      <c r="DH86" s="7" t="s">
        <v>282</v>
      </c>
      <c r="DI86" s="7" t="s">
        <v>282</v>
      </c>
      <c r="DJ86" s="7" t="s">
        <v>282</v>
      </c>
      <c r="DK86" s="7" t="s">
        <v>282</v>
      </c>
      <c r="DL86" s="7" t="s">
        <v>282</v>
      </c>
      <c r="DM86" s="7" t="s">
        <v>282</v>
      </c>
      <c r="DN86" s="7" t="s">
        <v>282</v>
      </c>
      <c r="DO86" s="7" t="s">
        <v>282</v>
      </c>
      <c r="DP86" s="7" t="s">
        <v>282</v>
      </c>
      <c r="DQ86" s="7" t="s">
        <v>282</v>
      </c>
      <c r="DR86" s="7" t="s">
        <v>282</v>
      </c>
      <c r="DS86" s="7" t="s">
        <v>282</v>
      </c>
      <c r="DT86" s="7" t="s">
        <v>282</v>
      </c>
      <c r="DU86" s="7" t="s">
        <v>282</v>
      </c>
      <c r="DV86" s="7" t="s">
        <v>282</v>
      </c>
      <c r="DW86" s="7" t="s">
        <v>282</v>
      </c>
      <c r="DX86" s="7" t="s">
        <v>282</v>
      </c>
      <c r="DY86" s="7" t="s">
        <v>282</v>
      </c>
      <c r="DZ86" s="7" t="s">
        <v>282</v>
      </c>
      <c r="EA86" s="7" t="s">
        <v>282</v>
      </c>
      <c r="EB86" s="7" t="s">
        <v>282</v>
      </c>
      <c r="EC86" s="7" t="s">
        <v>282</v>
      </c>
      <c r="ED86" s="7" t="s">
        <v>282</v>
      </c>
      <c r="EE86" s="7" t="s">
        <v>282</v>
      </c>
      <c r="EF86" s="7" t="s">
        <v>282</v>
      </c>
      <c r="EG86" s="7" t="s">
        <v>282</v>
      </c>
      <c r="EH86" s="7" t="s">
        <v>282</v>
      </c>
      <c r="EI86" s="7" t="s">
        <v>282</v>
      </c>
      <c r="EJ86" s="7" t="s">
        <v>282</v>
      </c>
      <c r="EK86" s="7" t="s">
        <v>282</v>
      </c>
      <c r="EL86" s="7" t="s">
        <v>282</v>
      </c>
      <c r="EM86" s="7" t="s">
        <v>282</v>
      </c>
      <c r="EN86" s="7" t="s">
        <v>282</v>
      </c>
      <c r="EO86" s="7" t="s">
        <v>282</v>
      </c>
      <c r="EP86" s="7" t="s">
        <v>282</v>
      </c>
      <c r="EQ86" s="7" t="s">
        <v>282</v>
      </c>
      <c r="ER86" s="7" t="s">
        <v>282</v>
      </c>
      <c r="ES86" s="7" t="s">
        <v>282</v>
      </c>
      <c r="ET86" s="7" t="s">
        <v>282</v>
      </c>
      <c r="EU86" s="7" t="s">
        <v>282</v>
      </c>
      <c r="EV86" s="7" t="s">
        <v>282</v>
      </c>
      <c r="EW86" s="7" t="s">
        <v>282</v>
      </c>
      <c r="EX86" s="7" t="s">
        <v>282</v>
      </c>
      <c r="EY86" s="7" t="s">
        <v>282</v>
      </c>
      <c r="EZ86" s="7" t="s">
        <v>282</v>
      </c>
      <c r="FA86" s="7" t="s">
        <v>282</v>
      </c>
      <c r="FB86" s="7" t="s">
        <v>282</v>
      </c>
      <c r="FC86" s="7" t="s">
        <v>282</v>
      </c>
      <c r="FD86" s="7" t="s">
        <v>282</v>
      </c>
      <c r="FE86" s="7" t="s">
        <v>282</v>
      </c>
      <c r="FF86" s="7" t="s">
        <v>282</v>
      </c>
      <c r="FG86" s="7" t="s">
        <v>282</v>
      </c>
      <c r="FH86" s="7" t="s">
        <v>282</v>
      </c>
      <c r="FI86" s="7" t="s">
        <v>282</v>
      </c>
      <c r="FJ86" s="7" t="s">
        <v>282</v>
      </c>
      <c r="FK86" s="7" t="s">
        <v>282</v>
      </c>
      <c r="FL86" s="7" t="s">
        <v>282</v>
      </c>
      <c r="FM86" s="7" t="s">
        <v>282</v>
      </c>
      <c r="FN86" s="7" t="s">
        <v>282</v>
      </c>
      <c r="FO86" s="7" t="s">
        <v>282</v>
      </c>
      <c r="FP86" s="7" t="s">
        <v>282</v>
      </c>
      <c r="FQ86" s="7" t="s">
        <v>282</v>
      </c>
      <c r="FR86" s="7" t="s">
        <v>282</v>
      </c>
      <c r="FS86" s="7" t="s">
        <v>282</v>
      </c>
      <c r="FT86" s="7" t="s">
        <v>282</v>
      </c>
      <c r="FU86" s="7" t="s">
        <v>282</v>
      </c>
      <c r="FV86" s="7" t="s">
        <v>282</v>
      </c>
      <c r="FW86" s="7" t="s">
        <v>282</v>
      </c>
      <c r="FX86" s="7" t="s">
        <v>282</v>
      </c>
      <c r="FY86" s="7" t="s">
        <v>282</v>
      </c>
      <c r="FZ86" s="7" t="s">
        <v>282</v>
      </c>
      <c r="GA86" s="7" t="s">
        <v>282</v>
      </c>
      <c r="GB86" s="7" t="s">
        <v>282</v>
      </c>
      <c r="GC86" s="7" t="s">
        <v>282</v>
      </c>
      <c r="GD86" s="7" t="s">
        <v>282</v>
      </c>
      <c r="GE86" s="7" t="s">
        <v>282</v>
      </c>
      <c r="GF86" s="7" t="s">
        <v>282</v>
      </c>
      <c r="GG86" s="7" t="s">
        <v>282</v>
      </c>
      <c r="GH86" s="7" t="s">
        <v>282</v>
      </c>
      <c r="GI86" s="7" t="s">
        <v>282</v>
      </c>
      <c r="GJ86" s="7" t="s">
        <v>282</v>
      </c>
      <c r="GK86" s="7" t="s">
        <v>282</v>
      </c>
      <c r="GL86" s="7" t="s">
        <v>282</v>
      </c>
      <c r="GM86" s="7" t="s">
        <v>282</v>
      </c>
      <c r="GN86" s="7" t="s">
        <v>282</v>
      </c>
      <c r="GO86" s="7" t="s">
        <v>282</v>
      </c>
      <c r="GP86" s="7" t="s">
        <v>282</v>
      </c>
      <c r="GQ86" s="7" t="s">
        <v>282</v>
      </c>
      <c r="GR86" s="7" t="s">
        <v>282</v>
      </c>
      <c r="GS86" s="7" t="s">
        <v>282</v>
      </c>
      <c r="GT86" s="7" t="s">
        <v>282</v>
      </c>
      <c r="GU86" s="7" t="s">
        <v>282</v>
      </c>
      <c r="GV86" s="7" t="s">
        <v>282</v>
      </c>
      <c r="GW86" s="7" t="s">
        <v>282</v>
      </c>
      <c r="GX86" s="7" t="s">
        <v>282</v>
      </c>
      <c r="GY86" s="7" t="s">
        <v>282</v>
      </c>
      <c r="GZ86" s="7" t="s">
        <v>282</v>
      </c>
      <c r="HA86" s="7" t="s">
        <v>282</v>
      </c>
      <c r="HB86" s="7" t="s">
        <v>282</v>
      </c>
      <c r="HC86" s="7" t="s">
        <v>282</v>
      </c>
      <c r="HD86" s="7" t="s">
        <v>282</v>
      </c>
      <c r="HE86" s="7" t="s">
        <v>282</v>
      </c>
      <c r="HF86" s="7" t="s">
        <v>282</v>
      </c>
      <c r="HG86" s="7" t="s">
        <v>282</v>
      </c>
      <c r="HH86" s="7" t="s">
        <v>282</v>
      </c>
      <c r="HI86" s="7" t="s">
        <v>282</v>
      </c>
      <c r="HJ86" s="7" t="s">
        <v>282</v>
      </c>
      <c r="HK86" s="7" t="s">
        <v>282</v>
      </c>
      <c r="HL86" s="7" t="s">
        <v>282</v>
      </c>
      <c r="HM86" s="7" t="s">
        <v>282</v>
      </c>
      <c r="HN86" s="7" t="s">
        <v>282</v>
      </c>
      <c r="HO86" s="7" t="s">
        <v>282</v>
      </c>
      <c r="HP86" s="7" t="s">
        <v>282</v>
      </c>
      <c r="HQ86" s="7" t="s">
        <v>282</v>
      </c>
      <c r="HR86" s="7" t="s">
        <v>282</v>
      </c>
      <c r="HS86" s="7" t="s">
        <v>282</v>
      </c>
      <c r="HT86" s="7" t="s">
        <v>282</v>
      </c>
      <c r="HU86" s="7" t="s">
        <v>282</v>
      </c>
      <c r="HV86" s="7" t="s">
        <v>282</v>
      </c>
      <c r="HW86" s="7" t="s">
        <v>282</v>
      </c>
      <c r="HX86" s="7" t="s">
        <v>282</v>
      </c>
      <c r="HY86" s="7" t="s">
        <v>282</v>
      </c>
      <c r="HZ86" s="7" t="s">
        <v>282</v>
      </c>
      <c r="IA86" s="7" t="s">
        <v>282</v>
      </c>
      <c r="IB86" s="7" t="s">
        <v>282</v>
      </c>
      <c r="IC86" s="7" t="s">
        <v>282</v>
      </c>
    </row>
    <row r="87" spans="1:237" x14ac:dyDescent="0.2">
      <c r="A87" s="6">
        <v>45744.561365740738</v>
      </c>
      <c r="B87" s="6">
        <v>45744.561562499999</v>
      </c>
      <c r="C87" s="7" t="s">
        <v>240</v>
      </c>
      <c r="D87" s="7" t="s">
        <v>1228</v>
      </c>
      <c r="E87">
        <v>0</v>
      </c>
      <c r="F87">
        <v>16</v>
      </c>
      <c r="G87" s="7" t="s">
        <v>495</v>
      </c>
      <c r="H87" s="6">
        <v>45751.561633518519</v>
      </c>
      <c r="I87" s="7" t="s">
        <v>1229</v>
      </c>
      <c r="J87" s="7" t="s">
        <v>282</v>
      </c>
      <c r="K87" s="7" t="s">
        <v>282</v>
      </c>
      <c r="L87" s="7" t="s">
        <v>282</v>
      </c>
      <c r="M87" s="7" t="s">
        <v>282</v>
      </c>
      <c r="N87">
        <v>-37.815899999999999</v>
      </c>
      <c r="O87">
        <v>144.96690000000001</v>
      </c>
      <c r="P87" s="7" t="s">
        <v>283</v>
      </c>
      <c r="Q87" s="7" t="s">
        <v>284</v>
      </c>
      <c r="R87">
        <v>0.89999997615814209</v>
      </c>
      <c r="S87" s="7" t="s">
        <v>282</v>
      </c>
      <c r="T87" s="7" t="s">
        <v>282</v>
      </c>
      <c r="U87" s="7" t="s">
        <v>282</v>
      </c>
      <c r="V87" s="7" t="s">
        <v>282</v>
      </c>
      <c r="W87" s="7" t="s">
        <v>282</v>
      </c>
      <c r="X87" s="7" t="s">
        <v>282</v>
      </c>
      <c r="Y87" s="7" t="s">
        <v>282</v>
      </c>
      <c r="Z87" s="7" t="s">
        <v>282</v>
      </c>
      <c r="AA87" s="7" t="s">
        <v>282</v>
      </c>
      <c r="AB87" s="7" t="s">
        <v>282</v>
      </c>
      <c r="AC87" s="7" t="s">
        <v>282</v>
      </c>
      <c r="AD87" s="7" t="s">
        <v>282</v>
      </c>
      <c r="AE87" s="7" t="s">
        <v>282</v>
      </c>
      <c r="AF87" s="7" t="s">
        <v>282</v>
      </c>
      <c r="AG87" s="7" t="s">
        <v>282</v>
      </c>
      <c r="AH87" s="7" t="s">
        <v>282</v>
      </c>
      <c r="AI87" s="7" t="s">
        <v>282</v>
      </c>
      <c r="AJ87" s="7" t="s">
        <v>282</v>
      </c>
      <c r="AK87" s="7" t="s">
        <v>282</v>
      </c>
      <c r="AL87" s="7" t="s">
        <v>282</v>
      </c>
      <c r="AM87" s="7" t="s">
        <v>282</v>
      </c>
      <c r="AN87" s="7" t="s">
        <v>282</v>
      </c>
      <c r="AO87" s="7" t="s">
        <v>282</v>
      </c>
      <c r="AP87" s="7" t="s">
        <v>282</v>
      </c>
      <c r="AQ87" s="7" t="s">
        <v>282</v>
      </c>
      <c r="AR87" s="7" t="s">
        <v>282</v>
      </c>
      <c r="AS87" s="7" t="s">
        <v>282</v>
      </c>
      <c r="AT87" s="7" t="s">
        <v>282</v>
      </c>
      <c r="AU87" s="7" t="s">
        <v>282</v>
      </c>
      <c r="AV87" s="7" t="s">
        <v>282</v>
      </c>
      <c r="AW87" s="7" t="s">
        <v>282</v>
      </c>
      <c r="AX87" s="7" t="s">
        <v>282</v>
      </c>
      <c r="AY87" s="7" t="s">
        <v>282</v>
      </c>
      <c r="AZ87" s="7" t="s">
        <v>282</v>
      </c>
      <c r="BA87" s="7" t="s">
        <v>282</v>
      </c>
      <c r="BB87" s="7" t="s">
        <v>282</v>
      </c>
      <c r="BC87" s="7" t="s">
        <v>282</v>
      </c>
      <c r="BD87" s="7" t="s">
        <v>282</v>
      </c>
      <c r="BE87" s="7" t="s">
        <v>282</v>
      </c>
      <c r="BF87" s="7" t="s">
        <v>282</v>
      </c>
      <c r="BG87" s="7" t="s">
        <v>282</v>
      </c>
      <c r="BH87" s="7" t="s">
        <v>282</v>
      </c>
      <c r="BI87" s="7" t="s">
        <v>282</v>
      </c>
      <c r="BJ87" s="7" t="s">
        <v>282</v>
      </c>
      <c r="BK87" s="7" t="s">
        <v>282</v>
      </c>
      <c r="BL87" s="7" t="s">
        <v>282</v>
      </c>
      <c r="BM87" s="7" t="s">
        <v>282</v>
      </c>
      <c r="BN87" s="7" t="s">
        <v>282</v>
      </c>
      <c r="BO87" s="7" t="s">
        <v>282</v>
      </c>
      <c r="BP87" s="7" t="s">
        <v>282</v>
      </c>
      <c r="BQ87" s="7" t="s">
        <v>282</v>
      </c>
      <c r="BR87" s="7" t="s">
        <v>282</v>
      </c>
      <c r="BS87" s="7" t="s">
        <v>282</v>
      </c>
      <c r="BT87" s="7" t="s">
        <v>282</v>
      </c>
      <c r="BU87" s="7" t="s">
        <v>282</v>
      </c>
      <c r="BV87" s="7" t="s">
        <v>282</v>
      </c>
      <c r="BW87" s="7" t="s">
        <v>282</v>
      </c>
      <c r="BX87" s="7" t="s">
        <v>282</v>
      </c>
      <c r="BY87" s="7" t="s">
        <v>282</v>
      </c>
      <c r="BZ87" s="7" t="s">
        <v>282</v>
      </c>
      <c r="CA87" s="7" t="s">
        <v>282</v>
      </c>
      <c r="CB87" s="7" t="s">
        <v>282</v>
      </c>
      <c r="CC87" s="7" t="s">
        <v>282</v>
      </c>
      <c r="CD87" s="7" t="s">
        <v>282</v>
      </c>
      <c r="CE87" s="7" t="s">
        <v>282</v>
      </c>
      <c r="CF87" s="7" t="s">
        <v>282</v>
      </c>
      <c r="CG87" s="7" t="s">
        <v>282</v>
      </c>
      <c r="CH87" s="7" t="s">
        <v>282</v>
      </c>
      <c r="CI87" s="7" t="s">
        <v>282</v>
      </c>
      <c r="CJ87" s="7" t="s">
        <v>282</v>
      </c>
      <c r="CK87" s="7" t="s">
        <v>282</v>
      </c>
      <c r="CL87" s="7" t="s">
        <v>282</v>
      </c>
      <c r="CM87" s="7" t="s">
        <v>282</v>
      </c>
      <c r="CN87" s="7" t="s">
        <v>282</v>
      </c>
      <c r="CO87" s="7" t="s">
        <v>282</v>
      </c>
      <c r="CP87" s="7" t="s">
        <v>282</v>
      </c>
      <c r="CQ87" s="7" t="s">
        <v>282</v>
      </c>
      <c r="CR87" s="7" t="s">
        <v>282</v>
      </c>
      <c r="CS87" s="7" t="s">
        <v>282</v>
      </c>
      <c r="CT87" s="7" t="s">
        <v>282</v>
      </c>
      <c r="CU87" s="7" t="s">
        <v>282</v>
      </c>
      <c r="CV87" s="7" t="s">
        <v>282</v>
      </c>
      <c r="CW87" s="7" t="s">
        <v>282</v>
      </c>
      <c r="CX87" s="7" t="s">
        <v>282</v>
      </c>
      <c r="CY87" s="7" t="s">
        <v>282</v>
      </c>
      <c r="CZ87" s="7" t="s">
        <v>282</v>
      </c>
      <c r="DA87" s="7" t="s">
        <v>282</v>
      </c>
      <c r="DB87" s="7" t="s">
        <v>282</v>
      </c>
      <c r="DC87" s="7" t="s">
        <v>282</v>
      </c>
      <c r="DD87" s="7" t="s">
        <v>282</v>
      </c>
      <c r="DE87" s="7" t="s">
        <v>282</v>
      </c>
      <c r="DF87" s="7" t="s">
        <v>282</v>
      </c>
      <c r="DG87" s="7" t="s">
        <v>282</v>
      </c>
      <c r="DH87" s="7" t="s">
        <v>282</v>
      </c>
      <c r="DI87" s="7" t="s">
        <v>282</v>
      </c>
      <c r="DJ87" s="7" t="s">
        <v>282</v>
      </c>
      <c r="DK87" s="7" t="s">
        <v>282</v>
      </c>
      <c r="DL87" s="7" t="s">
        <v>282</v>
      </c>
      <c r="DM87" s="7" t="s">
        <v>282</v>
      </c>
      <c r="DN87" s="7" t="s">
        <v>282</v>
      </c>
      <c r="DO87" s="7" t="s">
        <v>282</v>
      </c>
      <c r="DP87" s="7" t="s">
        <v>282</v>
      </c>
      <c r="DQ87" s="7" t="s">
        <v>282</v>
      </c>
      <c r="DR87" s="7" t="s">
        <v>282</v>
      </c>
      <c r="DS87" s="7" t="s">
        <v>282</v>
      </c>
      <c r="DT87" s="7" t="s">
        <v>282</v>
      </c>
      <c r="DU87" s="7" t="s">
        <v>282</v>
      </c>
      <c r="DV87" s="7" t="s">
        <v>282</v>
      </c>
      <c r="DW87" s="7" t="s">
        <v>282</v>
      </c>
      <c r="DX87" s="7" t="s">
        <v>282</v>
      </c>
      <c r="DY87" s="7" t="s">
        <v>282</v>
      </c>
      <c r="DZ87" s="7" t="s">
        <v>282</v>
      </c>
      <c r="EA87" s="7" t="s">
        <v>282</v>
      </c>
      <c r="EB87" s="7" t="s">
        <v>282</v>
      </c>
      <c r="EC87" s="7" t="s">
        <v>282</v>
      </c>
      <c r="ED87" s="7" t="s">
        <v>282</v>
      </c>
      <c r="EE87" s="7" t="s">
        <v>282</v>
      </c>
      <c r="EF87" s="7" t="s">
        <v>282</v>
      </c>
      <c r="EG87" s="7" t="s">
        <v>282</v>
      </c>
      <c r="EH87" s="7" t="s">
        <v>282</v>
      </c>
      <c r="EI87" s="7" t="s">
        <v>282</v>
      </c>
      <c r="EJ87" s="7" t="s">
        <v>282</v>
      </c>
      <c r="EK87" s="7" t="s">
        <v>282</v>
      </c>
      <c r="EL87" s="7" t="s">
        <v>282</v>
      </c>
      <c r="EM87" s="7" t="s">
        <v>282</v>
      </c>
      <c r="EN87" s="7" t="s">
        <v>282</v>
      </c>
      <c r="EO87" s="7" t="s">
        <v>282</v>
      </c>
      <c r="EP87" s="7" t="s">
        <v>282</v>
      </c>
      <c r="EQ87" s="7" t="s">
        <v>282</v>
      </c>
      <c r="ER87" s="7" t="s">
        <v>282</v>
      </c>
      <c r="ES87" s="7" t="s">
        <v>282</v>
      </c>
      <c r="ET87" s="7" t="s">
        <v>282</v>
      </c>
      <c r="EU87" s="7" t="s">
        <v>282</v>
      </c>
      <c r="EV87" s="7" t="s">
        <v>282</v>
      </c>
      <c r="EW87" s="7" t="s">
        <v>282</v>
      </c>
      <c r="EX87" s="7" t="s">
        <v>282</v>
      </c>
      <c r="EY87" s="7" t="s">
        <v>282</v>
      </c>
      <c r="EZ87" s="7" t="s">
        <v>282</v>
      </c>
      <c r="FA87" s="7" t="s">
        <v>282</v>
      </c>
      <c r="FB87" s="7" t="s">
        <v>282</v>
      </c>
      <c r="FC87" s="7" t="s">
        <v>282</v>
      </c>
      <c r="FD87" s="7" t="s">
        <v>282</v>
      </c>
      <c r="FE87" s="7" t="s">
        <v>282</v>
      </c>
      <c r="FF87" s="7" t="s">
        <v>282</v>
      </c>
      <c r="FG87" s="7" t="s">
        <v>282</v>
      </c>
      <c r="FH87" s="7" t="s">
        <v>282</v>
      </c>
      <c r="FI87" s="7" t="s">
        <v>282</v>
      </c>
      <c r="FJ87" s="7" t="s">
        <v>282</v>
      </c>
      <c r="FK87" s="7" t="s">
        <v>282</v>
      </c>
      <c r="FL87" s="7" t="s">
        <v>282</v>
      </c>
      <c r="FM87" s="7" t="s">
        <v>282</v>
      </c>
      <c r="FN87" s="7" t="s">
        <v>282</v>
      </c>
      <c r="FO87" s="7" t="s">
        <v>282</v>
      </c>
      <c r="FP87" s="7" t="s">
        <v>282</v>
      </c>
      <c r="FQ87" s="7" t="s">
        <v>282</v>
      </c>
      <c r="FR87" s="7" t="s">
        <v>282</v>
      </c>
      <c r="FS87" s="7" t="s">
        <v>282</v>
      </c>
      <c r="FT87" s="7" t="s">
        <v>282</v>
      </c>
      <c r="FU87" s="7" t="s">
        <v>282</v>
      </c>
      <c r="FV87" s="7" t="s">
        <v>282</v>
      </c>
      <c r="FW87" s="7" t="s">
        <v>282</v>
      </c>
      <c r="FX87" s="7" t="s">
        <v>282</v>
      </c>
      <c r="FY87" s="7" t="s">
        <v>282</v>
      </c>
      <c r="FZ87" s="7" t="s">
        <v>282</v>
      </c>
      <c r="GA87" s="7" t="s">
        <v>282</v>
      </c>
      <c r="GB87" s="7" t="s">
        <v>282</v>
      </c>
      <c r="GC87" s="7" t="s">
        <v>282</v>
      </c>
      <c r="GD87" s="7" t="s">
        <v>282</v>
      </c>
      <c r="GE87" s="7" t="s">
        <v>282</v>
      </c>
      <c r="GF87" s="7" t="s">
        <v>282</v>
      </c>
      <c r="GG87" s="7" t="s">
        <v>282</v>
      </c>
      <c r="GH87" s="7" t="s">
        <v>282</v>
      </c>
      <c r="GI87" s="7" t="s">
        <v>282</v>
      </c>
      <c r="GJ87" s="7" t="s">
        <v>282</v>
      </c>
      <c r="GK87" s="7" t="s">
        <v>282</v>
      </c>
      <c r="GL87" s="7" t="s">
        <v>282</v>
      </c>
      <c r="GM87" s="7" t="s">
        <v>282</v>
      </c>
      <c r="GN87" s="7" t="s">
        <v>282</v>
      </c>
      <c r="GO87" s="7" t="s">
        <v>282</v>
      </c>
      <c r="GP87" s="7" t="s">
        <v>282</v>
      </c>
      <c r="GQ87" s="7" t="s">
        <v>282</v>
      </c>
      <c r="GR87" s="7" t="s">
        <v>282</v>
      </c>
      <c r="GS87" s="7" t="s">
        <v>282</v>
      </c>
      <c r="GT87" s="7" t="s">
        <v>282</v>
      </c>
      <c r="GU87" s="7" t="s">
        <v>282</v>
      </c>
      <c r="GV87" s="7" t="s">
        <v>282</v>
      </c>
      <c r="GW87" s="7" t="s">
        <v>282</v>
      </c>
      <c r="GX87" s="7" t="s">
        <v>282</v>
      </c>
      <c r="GY87" s="7" t="s">
        <v>282</v>
      </c>
      <c r="GZ87" s="7" t="s">
        <v>282</v>
      </c>
      <c r="HA87" s="7" t="s">
        <v>282</v>
      </c>
      <c r="HB87" s="7" t="s">
        <v>282</v>
      </c>
      <c r="HC87" s="7" t="s">
        <v>282</v>
      </c>
      <c r="HD87" s="7" t="s">
        <v>282</v>
      </c>
      <c r="HE87" s="7" t="s">
        <v>282</v>
      </c>
      <c r="HF87" s="7" t="s">
        <v>282</v>
      </c>
      <c r="HG87" s="7" t="s">
        <v>282</v>
      </c>
      <c r="HH87" s="7" t="s">
        <v>282</v>
      </c>
      <c r="HI87" s="7" t="s">
        <v>282</v>
      </c>
      <c r="HJ87" s="7" t="s">
        <v>282</v>
      </c>
      <c r="HK87" s="7" t="s">
        <v>282</v>
      </c>
      <c r="HL87" s="7" t="s">
        <v>282</v>
      </c>
      <c r="HM87" s="7" t="s">
        <v>282</v>
      </c>
      <c r="HN87" s="7" t="s">
        <v>282</v>
      </c>
      <c r="HO87" s="7" t="s">
        <v>282</v>
      </c>
      <c r="HP87" s="7" t="s">
        <v>282</v>
      </c>
      <c r="HQ87" s="7" t="s">
        <v>282</v>
      </c>
      <c r="HR87" s="7" t="s">
        <v>282</v>
      </c>
      <c r="HS87" s="7" t="s">
        <v>282</v>
      </c>
      <c r="HT87" s="7" t="s">
        <v>282</v>
      </c>
      <c r="HU87" s="7" t="s">
        <v>282</v>
      </c>
      <c r="HV87" s="7" t="s">
        <v>282</v>
      </c>
      <c r="HW87" s="7" t="s">
        <v>282</v>
      </c>
      <c r="HX87" s="7" t="s">
        <v>282</v>
      </c>
      <c r="HY87" s="7" t="s">
        <v>282</v>
      </c>
      <c r="HZ87" s="7" t="s">
        <v>282</v>
      </c>
      <c r="IA87" s="7" t="s">
        <v>282</v>
      </c>
      <c r="IB87" s="7" t="s">
        <v>282</v>
      </c>
      <c r="IC87" s="7" t="s">
        <v>282</v>
      </c>
    </row>
    <row r="88" spans="1:237" x14ac:dyDescent="0.2">
      <c r="A88" s="6">
        <v>45744.603993055556</v>
      </c>
      <c r="B88" s="6">
        <v>45744.604560185187</v>
      </c>
      <c r="C88" s="7" t="s">
        <v>240</v>
      </c>
      <c r="D88" s="7" t="s">
        <v>459</v>
      </c>
      <c r="E88">
        <v>0</v>
      </c>
      <c r="F88">
        <v>48</v>
      </c>
      <c r="G88" s="7" t="s">
        <v>495</v>
      </c>
      <c r="H88" s="6">
        <v>45751.604585567133</v>
      </c>
      <c r="I88" s="7" t="s">
        <v>1230</v>
      </c>
      <c r="J88" s="7" t="s">
        <v>282</v>
      </c>
      <c r="K88" s="7" t="s">
        <v>282</v>
      </c>
      <c r="L88" s="7" t="s">
        <v>282</v>
      </c>
      <c r="M88" s="7" t="s">
        <v>282</v>
      </c>
      <c r="N88">
        <v>49.7851</v>
      </c>
      <c r="O88">
        <v>-97.211699999999993</v>
      </c>
      <c r="P88" s="7" t="s">
        <v>283</v>
      </c>
      <c r="Q88" s="7" t="s">
        <v>284</v>
      </c>
      <c r="R88">
        <v>0.89999997615814209</v>
      </c>
      <c r="S88" s="7" t="s">
        <v>282</v>
      </c>
      <c r="T88" s="7" t="s">
        <v>282</v>
      </c>
      <c r="U88" s="7" t="s">
        <v>282</v>
      </c>
      <c r="V88" s="7" t="s">
        <v>282</v>
      </c>
      <c r="W88" s="7" t="s">
        <v>282</v>
      </c>
      <c r="X88" s="7" t="s">
        <v>282</v>
      </c>
      <c r="Y88" s="7" t="s">
        <v>282</v>
      </c>
      <c r="Z88" s="7" t="s">
        <v>282</v>
      </c>
      <c r="AA88" s="7" t="s">
        <v>282</v>
      </c>
      <c r="AB88" s="7" t="s">
        <v>282</v>
      </c>
      <c r="AC88" s="7" t="s">
        <v>282</v>
      </c>
      <c r="AD88" s="7" t="s">
        <v>282</v>
      </c>
      <c r="AE88" s="7" t="s">
        <v>282</v>
      </c>
      <c r="AF88" s="7" t="s">
        <v>282</v>
      </c>
      <c r="AG88" s="7" t="s">
        <v>282</v>
      </c>
      <c r="AH88" s="7" t="s">
        <v>282</v>
      </c>
      <c r="AI88" s="7" t="s">
        <v>282</v>
      </c>
      <c r="AJ88" s="7" t="s">
        <v>282</v>
      </c>
      <c r="AK88" s="7" t="s">
        <v>282</v>
      </c>
      <c r="AL88" s="7" t="s">
        <v>282</v>
      </c>
      <c r="AM88" s="7" t="s">
        <v>282</v>
      </c>
      <c r="AN88" s="7" t="s">
        <v>282</v>
      </c>
      <c r="AO88" s="7" t="s">
        <v>282</v>
      </c>
      <c r="AP88" s="7" t="s">
        <v>282</v>
      </c>
      <c r="AQ88" s="7" t="s">
        <v>282</v>
      </c>
      <c r="AR88" s="7" t="s">
        <v>282</v>
      </c>
      <c r="AS88" s="7" t="s">
        <v>282</v>
      </c>
      <c r="AT88" s="7" t="s">
        <v>282</v>
      </c>
      <c r="AU88" s="7" t="s">
        <v>282</v>
      </c>
      <c r="AV88" s="7" t="s">
        <v>282</v>
      </c>
      <c r="AW88" s="7" t="s">
        <v>282</v>
      </c>
      <c r="AX88" s="7" t="s">
        <v>282</v>
      </c>
      <c r="AY88" s="7" t="s">
        <v>282</v>
      </c>
      <c r="AZ88" s="7" t="s">
        <v>282</v>
      </c>
      <c r="BA88" s="7" t="s">
        <v>282</v>
      </c>
      <c r="BB88" s="7" t="s">
        <v>282</v>
      </c>
      <c r="BC88" s="7" t="s">
        <v>282</v>
      </c>
      <c r="BD88" s="7" t="s">
        <v>282</v>
      </c>
      <c r="BE88" s="7" t="s">
        <v>282</v>
      </c>
      <c r="BF88" s="7" t="s">
        <v>282</v>
      </c>
      <c r="BG88" s="7" t="s">
        <v>282</v>
      </c>
      <c r="BH88" s="7" t="s">
        <v>282</v>
      </c>
      <c r="BI88" s="7" t="s">
        <v>282</v>
      </c>
      <c r="BJ88" s="7" t="s">
        <v>282</v>
      </c>
      <c r="BK88" s="7" t="s">
        <v>282</v>
      </c>
      <c r="BL88" s="7" t="s">
        <v>282</v>
      </c>
      <c r="BM88" s="7" t="s">
        <v>282</v>
      </c>
      <c r="BN88" s="7" t="s">
        <v>282</v>
      </c>
      <c r="BO88" s="7" t="s">
        <v>282</v>
      </c>
      <c r="BP88" s="7" t="s">
        <v>282</v>
      </c>
      <c r="BQ88" s="7" t="s">
        <v>282</v>
      </c>
      <c r="BR88" s="7" t="s">
        <v>282</v>
      </c>
      <c r="BS88" s="7" t="s">
        <v>282</v>
      </c>
      <c r="BT88" s="7" t="s">
        <v>282</v>
      </c>
      <c r="BU88" s="7" t="s">
        <v>282</v>
      </c>
      <c r="BV88" s="7" t="s">
        <v>282</v>
      </c>
      <c r="BW88" s="7" t="s">
        <v>282</v>
      </c>
      <c r="BX88" s="7" t="s">
        <v>282</v>
      </c>
      <c r="BY88" s="7" t="s">
        <v>282</v>
      </c>
      <c r="BZ88" s="7" t="s">
        <v>282</v>
      </c>
      <c r="CA88" s="7" t="s">
        <v>282</v>
      </c>
      <c r="CB88" s="7" t="s">
        <v>282</v>
      </c>
      <c r="CC88" s="7" t="s">
        <v>282</v>
      </c>
      <c r="CD88" s="7" t="s">
        <v>282</v>
      </c>
      <c r="CE88" s="7" t="s">
        <v>282</v>
      </c>
      <c r="CF88" s="7" t="s">
        <v>282</v>
      </c>
      <c r="CG88" s="7" t="s">
        <v>282</v>
      </c>
      <c r="CH88" s="7" t="s">
        <v>282</v>
      </c>
      <c r="CI88" s="7" t="s">
        <v>282</v>
      </c>
      <c r="CJ88" s="7" t="s">
        <v>282</v>
      </c>
      <c r="CK88" s="7" t="s">
        <v>282</v>
      </c>
      <c r="CL88" s="7" t="s">
        <v>282</v>
      </c>
      <c r="CM88" s="7" t="s">
        <v>282</v>
      </c>
      <c r="CN88" s="7" t="s">
        <v>282</v>
      </c>
      <c r="CO88" s="7" t="s">
        <v>282</v>
      </c>
      <c r="CP88" s="7" t="s">
        <v>282</v>
      </c>
      <c r="CQ88" s="7" t="s">
        <v>282</v>
      </c>
      <c r="CR88" s="7" t="s">
        <v>282</v>
      </c>
      <c r="CS88" s="7" t="s">
        <v>282</v>
      </c>
      <c r="CT88" s="7" t="s">
        <v>282</v>
      </c>
      <c r="CU88" s="7" t="s">
        <v>282</v>
      </c>
      <c r="CV88" s="7" t="s">
        <v>282</v>
      </c>
      <c r="CW88" s="7" t="s">
        <v>282</v>
      </c>
      <c r="CX88" s="7" t="s">
        <v>282</v>
      </c>
      <c r="CY88" s="7" t="s">
        <v>282</v>
      </c>
      <c r="CZ88" s="7" t="s">
        <v>282</v>
      </c>
      <c r="DA88" s="7" t="s">
        <v>282</v>
      </c>
      <c r="DB88" s="7" t="s">
        <v>282</v>
      </c>
      <c r="DC88" s="7" t="s">
        <v>282</v>
      </c>
      <c r="DD88" s="7" t="s">
        <v>282</v>
      </c>
      <c r="DE88" s="7" t="s">
        <v>282</v>
      </c>
      <c r="DF88" s="7" t="s">
        <v>282</v>
      </c>
      <c r="DG88" s="7" t="s">
        <v>282</v>
      </c>
      <c r="DH88" s="7" t="s">
        <v>282</v>
      </c>
      <c r="DI88" s="7" t="s">
        <v>282</v>
      </c>
      <c r="DJ88" s="7" t="s">
        <v>282</v>
      </c>
      <c r="DK88" s="7" t="s">
        <v>282</v>
      </c>
      <c r="DL88" s="7" t="s">
        <v>282</v>
      </c>
      <c r="DM88" s="7" t="s">
        <v>282</v>
      </c>
      <c r="DN88" s="7" t="s">
        <v>282</v>
      </c>
      <c r="DO88" s="7" t="s">
        <v>282</v>
      </c>
      <c r="DP88" s="7" t="s">
        <v>282</v>
      </c>
      <c r="DQ88" s="7" t="s">
        <v>282</v>
      </c>
      <c r="DR88" s="7" t="s">
        <v>282</v>
      </c>
      <c r="DS88" s="7" t="s">
        <v>282</v>
      </c>
      <c r="DT88" s="7" t="s">
        <v>282</v>
      </c>
      <c r="DU88" s="7" t="s">
        <v>282</v>
      </c>
      <c r="DV88" s="7" t="s">
        <v>282</v>
      </c>
      <c r="DW88" s="7" t="s">
        <v>282</v>
      </c>
      <c r="DX88" s="7" t="s">
        <v>282</v>
      </c>
      <c r="DY88" s="7" t="s">
        <v>282</v>
      </c>
      <c r="DZ88" s="7" t="s">
        <v>282</v>
      </c>
      <c r="EA88" s="7" t="s">
        <v>282</v>
      </c>
      <c r="EB88" s="7" t="s">
        <v>282</v>
      </c>
      <c r="EC88" s="7" t="s">
        <v>282</v>
      </c>
      <c r="ED88" s="7" t="s">
        <v>282</v>
      </c>
      <c r="EE88" s="7" t="s">
        <v>282</v>
      </c>
      <c r="EF88" s="7" t="s">
        <v>282</v>
      </c>
      <c r="EG88" s="7" t="s">
        <v>282</v>
      </c>
      <c r="EH88" s="7" t="s">
        <v>282</v>
      </c>
      <c r="EI88" s="7" t="s">
        <v>282</v>
      </c>
      <c r="EJ88" s="7" t="s">
        <v>282</v>
      </c>
      <c r="EK88" s="7" t="s">
        <v>282</v>
      </c>
      <c r="EL88" s="7" t="s">
        <v>282</v>
      </c>
      <c r="EM88" s="7" t="s">
        <v>282</v>
      </c>
      <c r="EN88" s="7" t="s">
        <v>282</v>
      </c>
      <c r="EO88" s="7" t="s">
        <v>282</v>
      </c>
      <c r="EP88" s="7" t="s">
        <v>282</v>
      </c>
      <c r="EQ88" s="7" t="s">
        <v>282</v>
      </c>
      <c r="ER88" s="7" t="s">
        <v>282</v>
      </c>
      <c r="ES88" s="7" t="s">
        <v>282</v>
      </c>
      <c r="ET88" s="7" t="s">
        <v>282</v>
      </c>
      <c r="EU88" s="7" t="s">
        <v>282</v>
      </c>
      <c r="EV88" s="7" t="s">
        <v>282</v>
      </c>
      <c r="EW88" s="7" t="s">
        <v>282</v>
      </c>
      <c r="EX88" s="7" t="s">
        <v>282</v>
      </c>
      <c r="EY88" s="7" t="s">
        <v>282</v>
      </c>
      <c r="EZ88" s="7" t="s">
        <v>282</v>
      </c>
      <c r="FA88" s="7" t="s">
        <v>282</v>
      </c>
      <c r="FB88" s="7" t="s">
        <v>282</v>
      </c>
      <c r="FC88" s="7" t="s">
        <v>282</v>
      </c>
      <c r="FD88" s="7" t="s">
        <v>282</v>
      </c>
      <c r="FE88" s="7" t="s">
        <v>282</v>
      </c>
      <c r="FF88" s="7" t="s">
        <v>282</v>
      </c>
      <c r="FG88" s="7" t="s">
        <v>282</v>
      </c>
      <c r="FH88" s="7" t="s">
        <v>282</v>
      </c>
      <c r="FI88" s="7" t="s">
        <v>282</v>
      </c>
      <c r="FJ88" s="7" t="s">
        <v>282</v>
      </c>
      <c r="FK88" s="7" t="s">
        <v>282</v>
      </c>
      <c r="FL88" s="7" t="s">
        <v>282</v>
      </c>
      <c r="FM88" s="7" t="s">
        <v>282</v>
      </c>
      <c r="FN88" s="7" t="s">
        <v>282</v>
      </c>
      <c r="FO88" s="7" t="s">
        <v>282</v>
      </c>
      <c r="FP88" s="7" t="s">
        <v>282</v>
      </c>
      <c r="FQ88" s="7" t="s">
        <v>282</v>
      </c>
      <c r="FR88" s="7" t="s">
        <v>282</v>
      </c>
      <c r="FS88" s="7" t="s">
        <v>282</v>
      </c>
      <c r="FT88" s="7" t="s">
        <v>282</v>
      </c>
      <c r="FU88" s="7" t="s">
        <v>282</v>
      </c>
      <c r="FV88" s="7" t="s">
        <v>282</v>
      </c>
      <c r="FW88" s="7" t="s">
        <v>282</v>
      </c>
      <c r="FX88" s="7" t="s">
        <v>282</v>
      </c>
      <c r="FY88" s="7" t="s">
        <v>282</v>
      </c>
      <c r="FZ88" s="7" t="s">
        <v>282</v>
      </c>
      <c r="GA88" s="7" t="s">
        <v>282</v>
      </c>
      <c r="GB88" s="7" t="s">
        <v>282</v>
      </c>
      <c r="GC88" s="7" t="s">
        <v>282</v>
      </c>
      <c r="GD88" s="7" t="s">
        <v>282</v>
      </c>
      <c r="GE88" s="7" t="s">
        <v>282</v>
      </c>
      <c r="GF88" s="7" t="s">
        <v>282</v>
      </c>
      <c r="GG88" s="7" t="s">
        <v>282</v>
      </c>
      <c r="GH88" s="7" t="s">
        <v>282</v>
      </c>
      <c r="GI88" s="7" t="s">
        <v>282</v>
      </c>
      <c r="GJ88" s="7" t="s">
        <v>282</v>
      </c>
      <c r="GK88" s="7" t="s">
        <v>282</v>
      </c>
      <c r="GL88" s="7" t="s">
        <v>282</v>
      </c>
      <c r="GM88" s="7" t="s">
        <v>282</v>
      </c>
      <c r="GN88" s="7" t="s">
        <v>282</v>
      </c>
      <c r="GO88" s="7" t="s">
        <v>282</v>
      </c>
      <c r="GP88" s="7" t="s">
        <v>282</v>
      </c>
      <c r="GQ88" s="7" t="s">
        <v>282</v>
      </c>
      <c r="GR88" s="7" t="s">
        <v>282</v>
      </c>
      <c r="GS88" s="7" t="s">
        <v>282</v>
      </c>
      <c r="GT88" s="7" t="s">
        <v>282</v>
      </c>
      <c r="GU88" s="7" t="s">
        <v>282</v>
      </c>
      <c r="GV88" s="7" t="s">
        <v>282</v>
      </c>
      <c r="GW88" s="7" t="s">
        <v>282</v>
      </c>
      <c r="GX88" s="7" t="s">
        <v>282</v>
      </c>
      <c r="GY88" s="7" t="s">
        <v>282</v>
      </c>
      <c r="GZ88" s="7" t="s">
        <v>282</v>
      </c>
      <c r="HA88" s="7" t="s">
        <v>282</v>
      </c>
      <c r="HB88" s="7" t="s">
        <v>282</v>
      </c>
      <c r="HC88" s="7" t="s">
        <v>282</v>
      </c>
      <c r="HD88" s="7" t="s">
        <v>282</v>
      </c>
      <c r="HE88" s="7" t="s">
        <v>282</v>
      </c>
      <c r="HF88" s="7" t="s">
        <v>282</v>
      </c>
      <c r="HG88" s="7" t="s">
        <v>282</v>
      </c>
      <c r="HH88" s="7" t="s">
        <v>282</v>
      </c>
      <c r="HI88" s="7" t="s">
        <v>282</v>
      </c>
      <c r="HJ88" s="7" t="s">
        <v>282</v>
      </c>
      <c r="HK88" s="7" t="s">
        <v>282</v>
      </c>
      <c r="HL88" s="7" t="s">
        <v>282</v>
      </c>
      <c r="HM88" s="7" t="s">
        <v>282</v>
      </c>
      <c r="HN88" s="7" t="s">
        <v>282</v>
      </c>
      <c r="HO88" s="7" t="s">
        <v>282</v>
      </c>
      <c r="HP88" s="7" t="s">
        <v>282</v>
      </c>
      <c r="HQ88" s="7" t="s">
        <v>282</v>
      </c>
      <c r="HR88" s="7" t="s">
        <v>282</v>
      </c>
      <c r="HS88" s="7" t="s">
        <v>282</v>
      </c>
      <c r="HT88" s="7" t="s">
        <v>282</v>
      </c>
      <c r="HU88" s="7" t="s">
        <v>282</v>
      </c>
      <c r="HV88" s="7" t="s">
        <v>282</v>
      </c>
      <c r="HW88" s="7" t="s">
        <v>282</v>
      </c>
      <c r="HX88" s="7" t="s">
        <v>282</v>
      </c>
      <c r="HY88" s="7" t="s">
        <v>282</v>
      </c>
      <c r="HZ88" s="7" t="s">
        <v>282</v>
      </c>
      <c r="IA88" s="7" t="s">
        <v>282</v>
      </c>
      <c r="IB88" s="7" t="s">
        <v>282</v>
      </c>
      <c r="IC88" s="7" t="s">
        <v>282</v>
      </c>
    </row>
    <row r="89" spans="1:237" x14ac:dyDescent="0.2">
      <c r="A89" s="6">
        <v>45744.611111111109</v>
      </c>
      <c r="B89" s="6">
        <v>45744.611238425925</v>
      </c>
      <c r="C89" s="7" t="s">
        <v>240</v>
      </c>
      <c r="D89" s="7" t="s">
        <v>1231</v>
      </c>
      <c r="E89">
        <v>0</v>
      </c>
      <c r="F89">
        <v>10</v>
      </c>
      <c r="G89" s="7" t="s">
        <v>495</v>
      </c>
      <c r="H89" s="6">
        <v>45751.611255277778</v>
      </c>
      <c r="I89" s="7" t="s">
        <v>1232</v>
      </c>
      <c r="J89" s="7" t="s">
        <v>282</v>
      </c>
      <c r="K89" s="7" t="s">
        <v>282</v>
      </c>
      <c r="L89" s="7" t="s">
        <v>282</v>
      </c>
      <c r="M89" s="7" t="s">
        <v>282</v>
      </c>
      <c r="N89">
        <v>-34.927399999999999</v>
      </c>
      <c r="O89">
        <v>138.60050000000001</v>
      </c>
      <c r="P89" s="7" t="s">
        <v>283</v>
      </c>
      <c r="Q89" s="7" t="s">
        <v>284</v>
      </c>
      <c r="R89">
        <v>1</v>
      </c>
      <c r="S89" s="7" t="s">
        <v>282</v>
      </c>
      <c r="T89" s="7" t="s">
        <v>282</v>
      </c>
      <c r="U89" s="7" t="s">
        <v>282</v>
      </c>
      <c r="V89" s="7" t="s">
        <v>282</v>
      </c>
      <c r="W89" s="7" t="s">
        <v>282</v>
      </c>
      <c r="X89" s="7" t="s">
        <v>282</v>
      </c>
      <c r="Y89" s="7" t="s">
        <v>282</v>
      </c>
      <c r="Z89" s="7" t="s">
        <v>282</v>
      </c>
      <c r="AA89" s="7" t="s">
        <v>282</v>
      </c>
      <c r="AB89" s="7" t="s">
        <v>282</v>
      </c>
      <c r="AC89" s="7" t="s">
        <v>282</v>
      </c>
      <c r="AD89" s="7" t="s">
        <v>282</v>
      </c>
      <c r="AE89" s="7" t="s">
        <v>282</v>
      </c>
      <c r="AF89" s="7" t="s">
        <v>282</v>
      </c>
      <c r="AG89" s="7" t="s">
        <v>282</v>
      </c>
      <c r="AH89" s="7" t="s">
        <v>282</v>
      </c>
      <c r="AI89" s="7" t="s">
        <v>282</v>
      </c>
      <c r="AJ89" s="7" t="s">
        <v>282</v>
      </c>
      <c r="AK89" s="7" t="s">
        <v>282</v>
      </c>
      <c r="AL89" s="7" t="s">
        <v>282</v>
      </c>
      <c r="AM89" s="7" t="s">
        <v>282</v>
      </c>
      <c r="AN89" s="7" t="s">
        <v>282</v>
      </c>
      <c r="AO89" s="7" t="s">
        <v>282</v>
      </c>
      <c r="AP89" s="7" t="s">
        <v>282</v>
      </c>
      <c r="AQ89" s="7" t="s">
        <v>282</v>
      </c>
      <c r="AR89" s="7" t="s">
        <v>282</v>
      </c>
      <c r="AS89" s="7" t="s">
        <v>282</v>
      </c>
      <c r="AT89" s="7" t="s">
        <v>282</v>
      </c>
      <c r="AU89" s="7" t="s">
        <v>282</v>
      </c>
      <c r="AV89" s="7" t="s">
        <v>282</v>
      </c>
      <c r="AW89" s="7" t="s">
        <v>282</v>
      </c>
      <c r="AX89" s="7" t="s">
        <v>282</v>
      </c>
      <c r="AY89" s="7" t="s">
        <v>282</v>
      </c>
      <c r="AZ89" s="7" t="s">
        <v>282</v>
      </c>
      <c r="BA89" s="7" t="s">
        <v>282</v>
      </c>
      <c r="BB89" s="7" t="s">
        <v>282</v>
      </c>
      <c r="BC89" s="7" t="s">
        <v>282</v>
      </c>
      <c r="BD89" s="7" t="s">
        <v>282</v>
      </c>
      <c r="BE89" s="7" t="s">
        <v>282</v>
      </c>
      <c r="BF89" s="7" t="s">
        <v>282</v>
      </c>
      <c r="BG89" s="7" t="s">
        <v>282</v>
      </c>
      <c r="BH89" s="7" t="s">
        <v>282</v>
      </c>
      <c r="BI89" s="7" t="s">
        <v>282</v>
      </c>
      <c r="BJ89" s="7" t="s">
        <v>282</v>
      </c>
      <c r="BK89" s="7" t="s">
        <v>282</v>
      </c>
      <c r="BL89" s="7" t="s">
        <v>282</v>
      </c>
      <c r="BM89" s="7" t="s">
        <v>282</v>
      </c>
      <c r="BN89" s="7" t="s">
        <v>282</v>
      </c>
      <c r="BO89" s="7" t="s">
        <v>282</v>
      </c>
      <c r="BP89" s="7" t="s">
        <v>282</v>
      </c>
      <c r="BQ89" s="7" t="s">
        <v>282</v>
      </c>
      <c r="BR89" s="7" t="s">
        <v>282</v>
      </c>
      <c r="BS89" s="7" t="s">
        <v>282</v>
      </c>
      <c r="BT89" s="7" t="s">
        <v>282</v>
      </c>
      <c r="BU89" s="7" t="s">
        <v>282</v>
      </c>
      <c r="BV89" s="7" t="s">
        <v>282</v>
      </c>
      <c r="BW89" s="7" t="s">
        <v>282</v>
      </c>
      <c r="BX89" s="7" t="s">
        <v>282</v>
      </c>
      <c r="BY89" s="7" t="s">
        <v>282</v>
      </c>
      <c r="BZ89" s="7" t="s">
        <v>282</v>
      </c>
      <c r="CA89" s="7" t="s">
        <v>282</v>
      </c>
      <c r="CB89" s="7" t="s">
        <v>282</v>
      </c>
      <c r="CC89" s="7" t="s">
        <v>282</v>
      </c>
      <c r="CD89" s="7" t="s">
        <v>282</v>
      </c>
      <c r="CE89" s="7" t="s">
        <v>282</v>
      </c>
      <c r="CF89" s="7" t="s">
        <v>282</v>
      </c>
      <c r="CG89" s="7" t="s">
        <v>282</v>
      </c>
      <c r="CH89" s="7" t="s">
        <v>282</v>
      </c>
      <c r="CI89" s="7" t="s">
        <v>282</v>
      </c>
      <c r="CJ89" s="7" t="s">
        <v>282</v>
      </c>
      <c r="CK89" s="7" t="s">
        <v>282</v>
      </c>
      <c r="CL89" s="7" t="s">
        <v>282</v>
      </c>
      <c r="CM89" s="7" t="s">
        <v>282</v>
      </c>
      <c r="CN89" s="7" t="s">
        <v>282</v>
      </c>
      <c r="CO89" s="7" t="s">
        <v>282</v>
      </c>
      <c r="CP89" s="7" t="s">
        <v>282</v>
      </c>
      <c r="CQ89" s="7" t="s">
        <v>282</v>
      </c>
      <c r="CR89" s="7" t="s">
        <v>282</v>
      </c>
      <c r="CS89" s="7" t="s">
        <v>282</v>
      </c>
      <c r="CT89" s="7" t="s">
        <v>282</v>
      </c>
      <c r="CU89" s="7" t="s">
        <v>282</v>
      </c>
      <c r="CV89" s="7" t="s">
        <v>282</v>
      </c>
      <c r="CW89" s="7" t="s">
        <v>282</v>
      </c>
      <c r="CX89" s="7" t="s">
        <v>282</v>
      </c>
      <c r="CY89" s="7" t="s">
        <v>282</v>
      </c>
      <c r="CZ89" s="7" t="s">
        <v>282</v>
      </c>
      <c r="DA89" s="7" t="s">
        <v>282</v>
      </c>
      <c r="DB89" s="7" t="s">
        <v>282</v>
      </c>
      <c r="DC89" s="7" t="s">
        <v>282</v>
      </c>
      <c r="DD89" s="7" t="s">
        <v>282</v>
      </c>
      <c r="DE89" s="7" t="s">
        <v>282</v>
      </c>
      <c r="DF89" s="7" t="s">
        <v>282</v>
      </c>
      <c r="DG89" s="7" t="s">
        <v>282</v>
      </c>
      <c r="DH89" s="7" t="s">
        <v>282</v>
      </c>
      <c r="DI89" s="7" t="s">
        <v>282</v>
      </c>
      <c r="DJ89" s="7" t="s">
        <v>282</v>
      </c>
      <c r="DK89" s="7" t="s">
        <v>282</v>
      </c>
      <c r="DL89" s="7" t="s">
        <v>282</v>
      </c>
      <c r="DM89" s="7" t="s">
        <v>282</v>
      </c>
      <c r="DN89" s="7" t="s">
        <v>282</v>
      </c>
      <c r="DO89" s="7" t="s">
        <v>282</v>
      </c>
      <c r="DP89" s="7" t="s">
        <v>282</v>
      </c>
      <c r="DQ89" s="7" t="s">
        <v>282</v>
      </c>
      <c r="DR89" s="7" t="s">
        <v>282</v>
      </c>
      <c r="DS89" s="7" t="s">
        <v>282</v>
      </c>
      <c r="DT89" s="7" t="s">
        <v>282</v>
      </c>
      <c r="DU89" s="7" t="s">
        <v>282</v>
      </c>
      <c r="DV89" s="7" t="s">
        <v>282</v>
      </c>
      <c r="DW89" s="7" t="s">
        <v>282</v>
      </c>
      <c r="DX89" s="7" t="s">
        <v>282</v>
      </c>
      <c r="DY89" s="7" t="s">
        <v>282</v>
      </c>
      <c r="DZ89" s="7" t="s">
        <v>282</v>
      </c>
      <c r="EA89" s="7" t="s">
        <v>282</v>
      </c>
      <c r="EB89" s="7" t="s">
        <v>282</v>
      </c>
      <c r="EC89" s="7" t="s">
        <v>282</v>
      </c>
      <c r="ED89" s="7" t="s">
        <v>282</v>
      </c>
      <c r="EE89" s="7" t="s">
        <v>282</v>
      </c>
      <c r="EF89" s="7" t="s">
        <v>282</v>
      </c>
      <c r="EG89" s="7" t="s">
        <v>282</v>
      </c>
      <c r="EH89" s="7" t="s">
        <v>282</v>
      </c>
      <c r="EI89" s="7" t="s">
        <v>282</v>
      </c>
      <c r="EJ89" s="7" t="s">
        <v>282</v>
      </c>
      <c r="EK89" s="7" t="s">
        <v>282</v>
      </c>
      <c r="EL89" s="7" t="s">
        <v>282</v>
      </c>
      <c r="EM89" s="7" t="s">
        <v>282</v>
      </c>
      <c r="EN89" s="7" t="s">
        <v>282</v>
      </c>
      <c r="EO89" s="7" t="s">
        <v>282</v>
      </c>
      <c r="EP89" s="7" t="s">
        <v>282</v>
      </c>
      <c r="EQ89" s="7" t="s">
        <v>282</v>
      </c>
      <c r="ER89" s="7" t="s">
        <v>282</v>
      </c>
      <c r="ES89" s="7" t="s">
        <v>282</v>
      </c>
      <c r="ET89" s="7" t="s">
        <v>282</v>
      </c>
      <c r="EU89" s="7" t="s">
        <v>282</v>
      </c>
      <c r="EV89" s="7" t="s">
        <v>282</v>
      </c>
      <c r="EW89" s="7" t="s">
        <v>282</v>
      </c>
      <c r="EX89" s="7" t="s">
        <v>282</v>
      </c>
      <c r="EY89" s="7" t="s">
        <v>282</v>
      </c>
      <c r="EZ89" s="7" t="s">
        <v>282</v>
      </c>
      <c r="FA89" s="7" t="s">
        <v>282</v>
      </c>
      <c r="FB89" s="7" t="s">
        <v>282</v>
      </c>
      <c r="FC89" s="7" t="s">
        <v>282</v>
      </c>
      <c r="FD89" s="7" t="s">
        <v>282</v>
      </c>
      <c r="FE89" s="7" t="s">
        <v>282</v>
      </c>
      <c r="FF89" s="7" t="s">
        <v>282</v>
      </c>
      <c r="FG89" s="7" t="s">
        <v>282</v>
      </c>
      <c r="FH89" s="7" t="s">
        <v>282</v>
      </c>
      <c r="FI89" s="7" t="s">
        <v>282</v>
      </c>
      <c r="FJ89" s="7" t="s">
        <v>282</v>
      </c>
      <c r="FK89" s="7" t="s">
        <v>282</v>
      </c>
      <c r="FL89" s="7" t="s">
        <v>282</v>
      </c>
      <c r="FM89" s="7" t="s">
        <v>282</v>
      </c>
      <c r="FN89" s="7" t="s">
        <v>282</v>
      </c>
      <c r="FO89" s="7" t="s">
        <v>282</v>
      </c>
      <c r="FP89" s="7" t="s">
        <v>282</v>
      </c>
      <c r="FQ89" s="7" t="s">
        <v>282</v>
      </c>
      <c r="FR89" s="7" t="s">
        <v>282</v>
      </c>
      <c r="FS89" s="7" t="s">
        <v>282</v>
      </c>
      <c r="FT89" s="7" t="s">
        <v>282</v>
      </c>
      <c r="FU89" s="7" t="s">
        <v>282</v>
      </c>
      <c r="FV89" s="7" t="s">
        <v>282</v>
      </c>
      <c r="FW89" s="7" t="s">
        <v>282</v>
      </c>
      <c r="FX89" s="7" t="s">
        <v>282</v>
      </c>
      <c r="FY89" s="7" t="s">
        <v>282</v>
      </c>
      <c r="FZ89" s="7" t="s">
        <v>282</v>
      </c>
      <c r="GA89" s="7" t="s">
        <v>282</v>
      </c>
      <c r="GB89" s="7" t="s">
        <v>282</v>
      </c>
      <c r="GC89" s="7" t="s">
        <v>282</v>
      </c>
      <c r="GD89" s="7" t="s">
        <v>282</v>
      </c>
      <c r="GE89" s="7" t="s">
        <v>282</v>
      </c>
      <c r="GF89" s="7" t="s">
        <v>282</v>
      </c>
      <c r="GG89" s="7" t="s">
        <v>282</v>
      </c>
      <c r="GH89" s="7" t="s">
        <v>282</v>
      </c>
      <c r="GI89" s="7" t="s">
        <v>282</v>
      </c>
      <c r="GJ89" s="7" t="s">
        <v>282</v>
      </c>
      <c r="GK89" s="7" t="s">
        <v>282</v>
      </c>
      <c r="GL89" s="7" t="s">
        <v>282</v>
      </c>
      <c r="GM89" s="7" t="s">
        <v>282</v>
      </c>
      <c r="GN89" s="7" t="s">
        <v>282</v>
      </c>
      <c r="GO89" s="7" t="s">
        <v>282</v>
      </c>
      <c r="GP89" s="7" t="s">
        <v>282</v>
      </c>
      <c r="GQ89" s="7" t="s">
        <v>282</v>
      </c>
      <c r="GR89" s="7" t="s">
        <v>282</v>
      </c>
      <c r="GS89" s="7" t="s">
        <v>282</v>
      </c>
      <c r="GT89" s="7" t="s">
        <v>282</v>
      </c>
      <c r="GU89" s="7" t="s">
        <v>282</v>
      </c>
      <c r="GV89" s="7" t="s">
        <v>282</v>
      </c>
      <c r="GW89" s="7" t="s">
        <v>282</v>
      </c>
      <c r="GX89" s="7" t="s">
        <v>282</v>
      </c>
      <c r="GY89" s="7" t="s">
        <v>282</v>
      </c>
      <c r="GZ89" s="7" t="s">
        <v>282</v>
      </c>
      <c r="HA89" s="7" t="s">
        <v>282</v>
      </c>
      <c r="HB89" s="7" t="s">
        <v>282</v>
      </c>
      <c r="HC89" s="7" t="s">
        <v>282</v>
      </c>
      <c r="HD89" s="7" t="s">
        <v>282</v>
      </c>
      <c r="HE89" s="7" t="s">
        <v>282</v>
      </c>
      <c r="HF89" s="7" t="s">
        <v>282</v>
      </c>
      <c r="HG89" s="7" t="s">
        <v>282</v>
      </c>
      <c r="HH89" s="7" t="s">
        <v>282</v>
      </c>
      <c r="HI89" s="7" t="s">
        <v>282</v>
      </c>
      <c r="HJ89" s="7" t="s">
        <v>282</v>
      </c>
      <c r="HK89" s="7" t="s">
        <v>282</v>
      </c>
      <c r="HL89" s="7" t="s">
        <v>282</v>
      </c>
      <c r="HM89" s="7" t="s">
        <v>282</v>
      </c>
      <c r="HN89" s="7" t="s">
        <v>282</v>
      </c>
      <c r="HO89" s="7" t="s">
        <v>282</v>
      </c>
      <c r="HP89" s="7" t="s">
        <v>282</v>
      </c>
      <c r="HQ89" s="7" t="s">
        <v>282</v>
      </c>
      <c r="HR89" s="7" t="s">
        <v>282</v>
      </c>
      <c r="HS89" s="7" t="s">
        <v>282</v>
      </c>
      <c r="HT89" s="7" t="s">
        <v>282</v>
      </c>
      <c r="HU89" s="7" t="s">
        <v>282</v>
      </c>
      <c r="HV89" s="7" t="s">
        <v>282</v>
      </c>
      <c r="HW89" s="7" t="s">
        <v>282</v>
      </c>
      <c r="HX89" s="7" t="s">
        <v>282</v>
      </c>
      <c r="HY89" s="7" t="s">
        <v>282</v>
      </c>
      <c r="HZ89" s="7" t="s">
        <v>282</v>
      </c>
      <c r="IA89" s="7" t="s">
        <v>282</v>
      </c>
      <c r="IB89" s="7" t="s">
        <v>282</v>
      </c>
      <c r="IC89" s="7" t="s">
        <v>282</v>
      </c>
    </row>
    <row r="90" spans="1:237" x14ac:dyDescent="0.2">
      <c r="A90" s="6">
        <v>45744.49486111111</v>
      </c>
      <c r="B90" s="6">
        <v>45744.658275462964</v>
      </c>
      <c r="C90" s="7" t="s">
        <v>240</v>
      </c>
      <c r="D90" s="7" t="s">
        <v>425</v>
      </c>
      <c r="E90">
        <v>0</v>
      </c>
      <c r="F90">
        <v>14118</v>
      </c>
      <c r="G90" s="7" t="s">
        <v>495</v>
      </c>
      <c r="H90" s="6">
        <v>45751.658362141206</v>
      </c>
      <c r="I90" s="7" t="s">
        <v>1233</v>
      </c>
      <c r="J90" s="7" t="s">
        <v>282</v>
      </c>
      <c r="K90" s="7" t="s">
        <v>282</v>
      </c>
      <c r="L90" s="7" t="s">
        <v>282</v>
      </c>
      <c r="M90" s="7" t="s">
        <v>282</v>
      </c>
      <c r="N90">
        <v>-37.8964</v>
      </c>
      <c r="O90">
        <v>145.07990000000001</v>
      </c>
      <c r="P90" s="7" t="s">
        <v>283</v>
      </c>
      <c r="Q90" s="7" t="s">
        <v>284</v>
      </c>
      <c r="R90">
        <v>1</v>
      </c>
      <c r="S90" s="7" t="s">
        <v>282</v>
      </c>
      <c r="T90" s="7" t="s">
        <v>282</v>
      </c>
      <c r="U90" s="7" t="s">
        <v>282</v>
      </c>
      <c r="V90" s="7" t="s">
        <v>282</v>
      </c>
      <c r="W90" s="7" t="s">
        <v>282</v>
      </c>
      <c r="X90" s="7" t="s">
        <v>282</v>
      </c>
      <c r="Y90" s="7" t="s">
        <v>282</v>
      </c>
      <c r="Z90" s="7" t="s">
        <v>282</v>
      </c>
      <c r="AA90" s="7" t="s">
        <v>282</v>
      </c>
      <c r="AB90" s="7" t="s">
        <v>282</v>
      </c>
      <c r="AC90" s="7" t="s">
        <v>282</v>
      </c>
      <c r="AD90" s="7" t="s">
        <v>282</v>
      </c>
      <c r="AE90" s="7" t="s">
        <v>282</v>
      </c>
      <c r="AF90" s="7" t="s">
        <v>282</v>
      </c>
      <c r="AG90" s="7" t="s">
        <v>282</v>
      </c>
      <c r="AH90" s="7" t="s">
        <v>282</v>
      </c>
      <c r="AI90" s="7" t="s">
        <v>282</v>
      </c>
      <c r="AJ90" s="7" t="s">
        <v>282</v>
      </c>
      <c r="AK90" s="7" t="s">
        <v>282</v>
      </c>
      <c r="AL90" s="7" t="s">
        <v>282</v>
      </c>
      <c r="AM90" s="7" t="s">
        <v>282</v>
      </c>
      <c r="AN90" s="7" t="s">
        <v>282</v>
      </c>
      <c r="AO90" s="7" t="s">
        <v>282</v>
      </c>
      <c r="AP90" s="7" t="s">
        <v>282</v>
      </c>
      <c r="AQ90" s="7" t="s">
        <v>282</v>
      </c>
      <c r="AR90" s="7" t="s">
        <v>282</v>
      </c>
      <c r="AS90" s="7" t="s">
        <v>282</v>
      </c>
      <c r="AT90" s="7" t="s">
        <v>282</v>
      </c>
      <c r="AU90" s="7" t="s">
        <v>282</v>
      </c>
      <c r="AV90" s="7" t="s">
        <v>282</v>
      </c>
      <c r="AW90" s="7" t="s">
        <v>282</v>
      </c>
      <c r="AX90" s="7" t="s">
        <v>282</v>
      </c>
      <c r="AY90" s="7" t="s">
        <v>282</v>
      </c>
      <c r="AZ90" s="7" t="s">
        <v>282</v>
      </c>
      <c r="BA90" s="7" t="s">
        <v>282</v>
      </c>
      <c r="BB90" s="7" t="s">
        <v>282</v>
      </c>
      <c r="BC90" s="7" t="s">
        <v>282</v>
      </c>
      <c r="BD90" s="7" t="s">
        <v>282</v>
      </c>
      <c r="BE90" s="7" t="s">
        <v>282</v>
      </c>
      <c r="BF90" s="7" t="s">
        <v>282</v>
      </c>
      <c r="BG90" s="7" t="s">
        <v>282</v>
      </c>
      <c r="BH90" s="7" t="s">
        <v>282</v>
      </c>
      <c r="BI90" s="7" t="s">
        <v>282</v>
      </c>
      <c r="BJ90" s="7" t="s">
        <v>282</v>
      </c>
      <c r="BK90" s="7" t="s">
        <v>282</v>
      </c>
      <c r="BL90" s="7" t="s">
        <v>282</v>
      </c>
      <c r="BM90" s="7" t="s">
        <v>282</v>
      </c>
      <c r="BN90" s="7" t="s">
        <v>282</v>
      </c>
      <c r="BO90" s="7" t="s">
        <v>282</v>
      </c>
      <c r="BP90" s="7" t="s">
        <v>282</v>
      </c>
      <c r="BQ90" s="7" t="s">
        <v>282</v>
      </c>
      <c r="BR90" s="7" t="s">
        <v>282</v>
      </c>
      <c r="BS90" s="7" t="s">
        <v>282</v>
      </c>
      <c r="BT90" s="7" t="s">
        <v>282</v>
      </c>
      <c r="BU90" s="7" t="s">
        <v>282</v>
      </c>
      <c r="BV90" s="7" t="s">
        <v>282</v>
      </c>
      <c r="BW90" s="7" t="s">
        <v>282</v>
      </c>
      <c r="BX90" s="7" t="s">
        <v>282</v>
      </c>
      <c r="BY90" s="7" t="s">
        <v>282</v>
      </c>
      <c r="BZ90" s="7" t="s">
        <v>282</v>
      </c>
      <c r="CA90" s="7" t="s">
        <v>282</v>
      </c>
      <c r="CB90" s="7" t="s">
        <v>282</v>
      </c>
      <c r="CC90" s="7" t="s">
        <v>282</v>
      </c>
      <c r="CD90" s="7" t="s">
        <v>282</v>
      </c>
      <c r="CE90" s="7" t="s">
        <v>282</v>
      </c>
      <c r="CF90" s="7" t="s">
        <v>282</v>
      </c>
      <c r="CG90" s="7" t="s">
        <v>282</v>
      </c>
      <c r="CH90" s="7" t="s">
        <v>282</v>
      </c>
      <c r="CI90" s="7" t="s">
        <v>282</v>
      </c>
      <c r="CJ90" s="7" t="s">
        <v>282</v>
      </c>
      <c r="CK90" s="7" t="s">
        <v>282</v>
      </c>
      <c r="CL90" s="7" t="s">
        <v>282</v>
      </c>
      <c r="CM90" s="7" t="s">
        <v>282</v>
      </c>
      <c r="CN90" s="7" t="s">
        <v>282</v>
      </c>
      <c r="CO90" s="7" t="s">
        <v>282</v>
      </c>
      <c r="CP90" s="7" t="s">
        <v>282</v>
      </c>
      <c r="CQ90" s="7" t="s">
        <v>282</v>
      </c>
      <c r="CR90" s="7" t="s">
        <v>282</v>
      </c>
      <c r="CS90" s="7" t="s">
        <v>282</v>
      </c>
      <c r="CT90" s="7" t="s">
        <v>282</v>
      </c>
      <c r="CU90" s="7" t="s">
        <v>282</v>
      </c>
      <c r="CV90" s="7" t="s">
        <v>282</v>
      </c>
      <c r="CW90" s="7" t="s">
        <v>282</v>
      </c>
      <c r="CX90" s="7" t="s">
        <v>282</v>
      </c>
      <c r="CY90" s="7" t="s">
        <v>282</v>
      </c>
      <c r="CZ90" s="7" t="s">
        <v>282</v>
      </c>
      <c r="DA90" s="7" t="s">
        <v>282</v>
      </c>
      <c r="DB90" s="7" t="s">
        <v>282</v>
      </c>
      <c r="DC90" s="7" t="s">
        <v>282</v>
      </c>
      <c r="DD90" s="7" t="s">
        <v>282</v>
      </c>
      <c r="DE90" s="7" t="s">
        <v>282</v>
      </c>
      <c r="DF90" s="7" t="s">
        <v>282</v>
      </c>
      <c r="DG90" s="7" t="s">
        <v>282</v>
      </c>
      <c r="DH90" s="7" t="s">
        <v>282</v>
      </c>
      <c r="DI90" s="7" t="s">
        <v>282</v>
      </c>
      <c r="DJ90" s="7" t="s">
        <v>282</v>
      </c>
      <c r="DK90" s="7" t="s">
        <v>282</v>
      </c>
      <c r="DL90" s="7" t="s">
        <v>282</v>
      </c>
      <c r="DM90" s="7" t="s">
        <v>282</v>
      </c>
      <c r="DN90" s="7" t="s">
        <v>282</v>
      </c>
      <c r="DO90" s="7" t="s">
        <v>282</v>
      </c>
      <c r="DP90" s="7" t="s">
        <v>282</v>
      </c>
      <c r="DQ90" s="7" t="s">
        <v>282</v>
      </c>
      <c r="DR90" s="7" t="s">
        <v>282</v>
      </c>
      <c r="DS90" s="7" t="s">
        <v>282</v>
      </c>
      <c r="DT90" s="7" t="s">
        <v>282</v>
      </c>
      <c r="DU90" s="7" t="s">
        <v>282</v>
      </c>
      <c r="DV90" s="7" t="s">
        <v>282</v>
      </c>
      <c r="DW90" s="7" t="s">
        <v>282</v>
      </c>
      <c r="DX90" s="7" t="s">
        <v>282</v>
      </c>
      <c r="DY90" s="7" t="s">
        <v>282</v>
      </c>
      <c r="DZ90" s="7" t="s">
        <v>282</v>
      </c>
      <c r="EA90" s="7" t="s">
        <v>282</v>
      </c>
      <c r="EB90" s="7" t="s">
        <v>282</v>
      </c>
      <c r="EC90" s="7" t="s">
        <v>282</v>
      </c>
      <c r="ED90" s="7" t="s">
        <v>282</v>
      </c>
      <c r="EE90" s="7" t="s">
        <v>282</v>
      </c>
      <c r="EF90" s="7" t="s">
        <v>282</v>
      </c>
      <c r="EG90" s="7" t="s">
        <v>282</v>
      </c>
      <c r="EH90" s="7" t="s">
        <v>282</v>
      </c>
      <c r="EI90" s="7" t="s">
        <v>282</v>
      </c>
      <c r="EJ90" s="7" t="s">
        <v>282</v>
      </c>
      <c r="EK90" s="7" t="s">
        <v>282</v>
      </c>
      <c r="EL90" s="7" t="s">
        <v>282</v>
      </c>
      <c r="EM90" s="7" t="s">
        <v>282</v>
      </c>
      <c r="EN90" s="7" t="s">
        <v>282</v>
      </c>
      <c r="EO90" s="7" t="s">
        <v>282</v>
      </c>
      <c r="EP90" s="7" t="s">
        <v>282</v>
      </c>
      <c r="EQ90" s="7" t="s">
        <v>282</v>
      </c>
      <c r="ER90" s="7" t="s">
        <v>282</v>
      </c>
      <c r="ES90" s="7" t="s">
        <v>282</v>
      </c>
      <c r="ET90" s="7" t="s">
        <v>282</v>
      </c>
      <c r="EU90" s="7" t="s">
        <v>282</v>
      </c>
      <c r="EV90" s="7" t="s">
        <v>282</v>
      </c>
      <c r="EW90" s="7" t="s">
        <v>282</v>
      </c>
      <c r="EX90" s="7" t="s">
        <v>282</v>
      </c>
      <c r="EY90" s="7" t="s">
        <v>282</v>
      </c>
      <c r="EZ90" s="7" t="s">
        <v>282</v>
      </c>
      <c r="FA90" s="7" t="s">
        <v>282</v>
      </c>
      <c r="FB90" s="7" t="s">
        <v>282</v>
      </c>
      <c r="FC90" s="7" t="s">
        <v>282</v>
      </c>
      <c r="FD90" s="7" t="s">
        <v>282</v>
      </c>
      <c r="FE90" s="7" t="s">
        <v>282</v>
      </c>
      <c r="FF90" s="7" t="s">
        <v>282</v>
      </c>
      <c r="FG90" s="7" t="s">
        <v>282</v>
      </c>
      <c r="FH90" s="7" t="s">
        <v>282</v>
      </c>
      <c r="FI90" s="7" t="s">
        <v>282</v>
      </c>
      <c r="FJ90" s="7" t="s">
        <v>282</v>
      </c>
      <c r="FK90" s="7" t="s">
        <v>282</v>
      </c>
      <c r="FL90" s="7" t="s">
        <v>282</v>
      </c>
      <c r="FM90" s="7" t="s">
        <v>282</v>
      </c>
      <c r="FN90" s="7" t="s">
        <v>282</v>
      </c>
      <c r="FO90" s="7" t="s">
        <v>282</v>
      </c>
      <c r="FP90" s="7" t="s">
        <v>282</v>
      </c>
      <c r="FQ90" s="7" t="s">
        <v>282</v>
      </c>
      <c r="FR90" s="7" t="s">
        <v>282</v>
      </c>
      <c r="FS90" s="7" t="s">
        <v>282</v>
      </c>
      <c r="FT90" s="7" t="s">
        <v>282</v>
      </c>
      <c r="FU90" s="7" t="s">
        <v>282</v>
      </c>
      <c r="FV90" s="7" t="s">
        <v>282</v>
      </c>
      <c r="FW90" s="7" t="s">
        <v>282</v>
      </c>
      <c r="FX90" s="7" t="s">
        <v>282</v>
      </c>
      <c r="FY90" s="7" t="s">
        <v>282</v>
      </c>
      <c r="FZ90" s="7" t="s">
        <v>282</v>
      </c>
      <c r="GA90" s="7" t="s">
        <v>282</v>
      </c>
      <c r="GB90" s="7" t="s">
        <v>282</v>
      </c>
      <c r="GC90" s="7" t="s">
        <v>282</v>
      </c>
      <c r="GD90" s="7" t="s">
        <v>282</v>
      </c>
      <c r="GE90" s="7" t="s">
        <v>282</v>
      </c>
      <c r="GF90" s="7" t="s">
        <v>282</v>
      </c>
      <c r="GG90" s="7" t="s">
        <v>282</v>
      </c>
      <c r="GH90" s="7" t="s">
        <v>282</v>
      </c>
      <c r="GI90" s="7" t="s">
        <v>282</v>
      </c>
      <c r="GJ90" s="7" t="s">
        <v>282</v>
      </c>
      <c r="GK90" s="7" t="s">
        <v>282</v>
      </c>
      <c r="GL90" s="7" t="s">
        <v>282</v>
      </c>
      <c r="GM90" s="7" t="s">
        <v>282</v>
      </c>
      <c r="GN90" s="7" t="s">
        <v>282</v>
      </c>
      <c r="GO90" s="7" t="s">
        <v>282</v>
      </c>
      <c r="GP90" s="7" t="s">
        <v>282</v>
      </c>
      <c r="GQ90" s="7" t="s">
        <v>282</v>
      </c>
      <c r="GR90" s="7" t="s">
        <v>282</v>
      </c>
      <c r="GS90" s="7" t="s">
        <v>282</v>
      </c>
      <c r="GT90" s="7" t="s">
        <v>282</v>
      </c>
      <c r="GU90" s="7" t="s">
        <v>282</v>
      </c>
      <c r="GV90" s="7" t="s">
        <v>282</v>
      </c>
      <c r="GW90" s="7" t="s">
        <v>282</v>
      </c>
      <c r="GX90" s="7" t="s">
        <v>282</v>
      </c>
      <c r="GY90" s="7" t="s">
        <v>282</v>
      </c>
      <c r="GZ90" s="7" t="s">
        <v>282</v>
      </c>
      <c r="HA90" s="7" t="s">
        <v>282</v>
      </c>
      <c r="HB90" s="7" t="s">
        <v>282</v>
      </c>
      <c r="HC90" s="7" t="s">
        <v>282</v>
      </c>
      <c r="HD90" s="7" t="s">
        <v>282</v>
      </c>
      <c r="HE90" s="7" t="s">
        <v>282</v>
      </c>
      <c r="HF90" s="7" t="s">
        <v>282</v>
      </c>
      <c r="HG90" s="7" t="s">
        <v>282</v>
      </c>
      <c r="HH90" s="7" t="s">
        <v>282</v>
      </c>
      <c r="HI90" s="7" t="s">
        <v>282</v>
      </c>
      <c r="HJ90" s="7" t="s">
        <v>282</v>
      </c>
      <c r="HK90" s="7" t="s">
        <v>282</v>
      </c>
      <c r="HL90" s="7" t="s">
        <v>282</v>
      </c>
      <c r="HM90" s="7" t="s">
        <v>282</v>
      </c>
      <c r="HN90" s="7" t="s">
        <v>282</v>
      </c>
      <c r="HO90" s="7" t="s">
        <v>282</v>
      </c>
      <c r="HP90" s="7" t="s">
        <v>282</v>
      </c>
      <c r="HQ90" s="7" t="s">
        <v>282</v>
      </c>
      <c r="HR90" s="7" t="s">
        <v>282</v>
      </c>
      <c r="HS90" s="7" t="s">
        <v>282</v>
      </c>
      <c r="HT90" s="7" t="s">
        <v>282</v>
      </c>
      <c r="HU90" s="7" t="s">
        <v>282</v>
      </c>
      <c r="HV90" s="7" t="s">
        <v>282</v>
      </c>
      <c r="HW90" s="7" t="s">
        <v>282</v>
      </c>
      <c r="HX90" s="7" t="s">
        <v>282</v>
      </c>
      <c r="HY90" s="7" t="s">
        <v>282</v>
      </c>
      <c r="HZ90" s="7" t="s">
        <v>282</v>
      </c>
      <c r="IA90" s="7" t="s">
        <v>282</v>
      </c>
      <c r="IB90" s="7" t="s">
        <v>282</v>
      </c>
      <c r="IC90" s="7" t="s">
        <v>282</v>
      </c>
    </row>
    <row r="91" spans="1:237" x14ac:dyDescent="0.2">
      <c r="A91" s="6">
        <v>45751.993703703702</v>
      </c>
      <c r="B91" s="6">
        <v>45752.019432870373</v>
      </c>
      <c r="C91" s="7" t="s">
        <v>240</v>
      </c>
      <c r="D91" s="7" t="s">
        <v>1234</v>
      </c>
      <c r="E91">
        <v>100</v>
      </c>
      <c r="F91">
        <v>2223</v>
      </c>
      <c r="G91" s="7" t="s">
        <v>280</v>
      </c>
      <c r="H91" s="6">
        <v>45752.019451180553</v>
      </c>
      <c r="I91" s="7" t="s">
        <v>1235</v>
      </c>
      <c r="J91" s="7" t="s">
        <v>282</v>
      </c>
      <c r="K91" s="7" t="s">
        <v>282</v>
      </c>
      <c r="L91" s="7" t="s">
        <v>282</v>
      </c>
      <c r="M91" s="7" t="s">
        <v>282</v>
      </c>
      <c r="N91">
        <v>51.040599999999998</v>
      </c>
      <c r="O91">
        <v>-114.07640000000001</v>
      </c>
      <c r="P91" s="7" t="s">
        <v>283</v>
      </c>
      <c r="Q91" s="7" t="s">
        <v>284</v>
      </c>
      <c r="R91">
        <v>0</v>
      </c>
      <c r="S91" s="7" t="s">
        <v>285</v>
      </c>
      <c r="T91" s="7" t="s">
        <v>285</v>
      </c>
      <c r="U91" s="7" t="s">
        <v>285</v>
      </c>
      <c r="V91" s="7" t="s">
        <v>285</v>
      </c>
      <c r="W91" s="7" t="s">
        <v>412</v>
      </c>
      <c r="X91" s="7" t="s">
        <v>287</v>
      </c>
      <c r="Y91" s="7" t="s">
        <v>288</v>
      </c>
      <c r="Z91" s="7" t="s">
        <v>288</v>
      </c>
      <c r="AA91" s="7" t="s">
        <v>329</v>
      </c>
      <c r="AB91" s="7" t="s">
        <v>329</v>
      </c>
      <c r="AC91" s="7" t="s">
        <v>291</v>
      </c>
      <c r="AD91" s="7" t="s">
        <v>296</v>
      </c>
      <c r="AE91">
        <v>7.0730000000000004</v>
      </c>
      <c r="AF91">
        <v>9.0069999999999997</v>
      </c>
      <c r="AG91">
        <v>10.307</v>
      </c>
      <c r="AH91">
        <v>2</v>
      </c>
      <c r="AI91" s="7" t="s">
        <v>293</v>
      </c>
      <c r="AJ91" s="7" t="s">
        <v>296</v>
      </c>
      <c r="AK91">
        <v>4.9409999999999998</v>
      </c>
      <c r="AL91">
        <v>6.7809999999999997</v>
      </c>
      <c r="AM91">
        <v>9.2550000000000008</v>
      </c>
      <c r="AN91">
        <v>2</v>
      </c>
      <c r="AO91" s="7" t="s">
        <v>299</v>
      </c>
      <c r="AP91" s="7" t="s">
        <v>296</v>
      </c>
      <c r="AQ91">
        <v>93.593999999999994</v>
      </c>
      <c r="AR91">
        <v>95.866</v>
      </c>
      <c r="AS91">
        <v>97.075999999999993</v>
      </c>
      <c r="AT91">
        <v>2</v>
      </c>
      <c r="AU91" s="7" t="s">
        <v>295</v>
      </c>
      <c r="AV91" s="7" t="s">
        <v>296</v>
      </c>
      <c r="AW91">
        <v>12.596</v>
      </c>
      <c r="AX91">
        <v>15.5</v>
      </c>
      <c r="AY91">
        <v>16.879000000000001</v>
      </c>
      <c r="AZ91">
        <v>3</v>
      </c>
      <c r="BA91" s="7" t="s">
        <v>295</v>
      </c>
      <c r="BB91" s="7" t="s">
        <v>296</v>
      </c>
      <c r="BC91">
        <v>5.7190000000000003</v>
      </c>
      <c r="BD91">
        <v>6.976</v>
      </c>
      <c r="BE91">
        <v>9.1129999999999995</v>
      </c>
      <c r="BF91">
        <v>2</v>
      </c>
      <c r="BG91" s="7" t="s">
        <v>299</v>
      </c>
      <c r="BH91" s="7" t="s">
        <v>296</v>
      </c>
      <c r="BI91">
        <v>10.163</v>
      </c>
      <c r="BJ91">
        <v>12.337999999999999</v>
      </c>
      <c r="BK91">
        <v>13.397</v>
      </c>
      <c r="BL91">
        <v>2</v>
      </c>
      <c r="BM91" s="7" t="s">
        <v>293</v>
      </c>
      <c r="BN91" s="7" t="s">
        <v>296</v>
      </c>
      <c r="BO91">
        <v>7.7830000000000004</v>
      </c>
      <c r="BP91">
        <v>13.766999999999999</v>
      </c>
      <c r="BQ91">
        <v>15.217000000000001</v>
      </c>
      <c r="BR91">
        <v>2</v>
      </c>
      <c r="BS91" s="7" t="s">
        <v>299</v>
      </c>
      <c r="BT91" s="7" t="s">
        <v>296</v>
      </c>
      <c r="BU91">
        <v>12.670999999999999</v>
      </c>
      <c r="BV91">
        <v>17.039000000000001</v>
      </c>
      <c r="BW91">
        <v>18.113</v>
      </c>
      <c r="BX91">
        <v>3</v>
      </c>
      <c r="BY91" s="7" t="s">
        <v>298</v>
      </c>
      <c r="BZ91" s="7" t="s">
        <v>296</v>
      </c>
      <c r="CA91">
        <v>13.086</v>
      </c>
      <c r="CB91">
        <v>18.765999999999998</v>
      </c>
      <c r="CC91">
        <v>19.632000000000001</v>
      </c>
      <c r="CD91">
        <v>2</v>
      </c>
      <c r="CE91" s="7" t="s">
        <v>295</v>
      </c>
      <c r="CF91" s="7" t="s">
        <v>296</v>
      </c>
      <c r="CG91">
        <v>6.3239999999999998</v>
      </c>
      <c r="CH91">
        <v>7.516</v>
      </c>
      <c r="CI91">
        <v>8.7919999999999998</v>
      </c>
      <c r="CJ91">
        <v>2</v>
      </c>
      <c r="CK91" s="7" t="s">
        <v>298</v>
      </c>
      <c r="CL91" s="7" t="s">
        <v>292</v>
      </c>
      <c r="CM91">
        <v>25.385999999999999</v>
      </c>
      <c r="CN91">
        <v>29.754999999999999</v>
      </c>
      <c r="CO91">
        <v>30.125</v>
      </c>
      <c r="CP91">
        <v>4</v>
      </c>
      <c r="CQ91" s="7" t="s">
        <v>293</v>
      </c>
      <c r="CR91" s="7" t="s">
        <v>292</v>
      </c>
      <c r="CS91">
        <v>12.052</v>
      </c>
      <c r="CT91">
        <v>15.084</v>
      </c>
      <c r="CU91">
        <v>15.981999999999999</v>
      </c>
      <c r="CV91">
        <v>2</v>
      </c>
      <c r="CW91" s="7" t="s">
        <v>293</v>
      </c>
      <c r="CX91" s="7" t="s">
        <v>296</v>
      </c>
      <c r="CY91">
        <v>7.9340000000000002</v>
      </c>
      <c r="CZ91">
        <v>10.797000000000001</v>
      </c>
      <c r="DA91">
        <v>12.334</v>
      </c>
      <c r="DB91">
        <v>2</v>
      </c>
      <c r="DC91" s="7" t="s">
        <v>298</v>
      </c>
      <c r="DD91" s="7" t="s">
        <v>296</v>
      </c>
      <c r="DE91">
        <v>12.27</v>
      </c>
      <c r="DF91">
        <v>13.917</v>
      </c>
      <c r="DG91">
        <v>15.935</v>
      </c>
      <c r="DH91">
        <v>2</v>
      </c>
      <c r="DI91" s="7" t="s">
        <v>291</v>
      </c>
      <c r="DJ91" s="7" t="s">
        <v>296</v>
      </c>
      <c r="DK91">
        <v>14.99</v>
      </c>
      <c r="DL91">
        <v>17.917999999999999</v>
      </c>
      <c r="DM91">
        <v>19.024000000000001</v>
      </c>
      <c r="DN91">
        <v>3</v>
      </c>
      <c r="DO91" s="7" t="s">
        <v>299</v>
      </c>
      <c r="DP91" s="7" t="s">
        <v>296</v>
      </c>
      <c r="DQ91">
        <v>36.917999999999999</v>
      </c>
      <c r="DR91">
        <v>39.061999999999998</v>
      </c>
      <c r="DS91">
        <v>39.880000000000003</v>
      </c>
      <c r="DT91">
        <v>2</v>
      </c>
      <c r="DU91" s="7" t="s">
        <v>299</v>
      </c>
      <c r="DV91" s="7" t="s">
        <v>296</v>
      </c>
      <c r="DW91">
        <v>11.317</v>
      </c>
      <c r="DX91">
        <v>14.548999999999999</v>
      </c>
      <c r="DY91">
        <v>16.111000000000001</v>
      </c>
      <c r="DZ91">
        <v>2</v>
      </c>
      <c r="EA91" s="7" t="s">
        <v>291</v>
      </c>
      <c r="EB91" s="7" t="s">
        <v>296</v>
      </c>
      <c r="EC91">
        <v>9.7539999999999996</v>
      </c>
      <c r="ED91">
        <v>12.002000000000001</v>
      </c>
      <c r="EE91">
        <v>12.948</v>
      </c>
      <c r="EF91">
        <v>2</v>
      </c>
      <c r="EG91" s="7" t="s">
        <v>298</v>
      </c>
      <c r="EH91" s="7" t="s">
        <v>292</v>
      </c>
      <c r="EI91">
        <v>14.191000000000001</v>
      </c>
      <c r="EJ91">
        <v>18.966999999999999</v>
      </c>
      <c r="EK91">
        <v>20.152999999999999</v>
      </c>
      <c r="EL91">
        <v>2</v>
      </c>
      <c r="EM91" s="7" t="s">
        <v>291</v>
      </c>
      <c r="EN91" s="7" t="s">
        <v>292</v>
      </c>
      <c r="EO91">
        <v>52.231000000000002</v>
      </c>
      <c r="EP91">
        <v>63.95</v>
      </c>
      <c r="EQ91">
        <v>64.784999999999997</v>
      </c>
      <c r="ER91">
        <v>4</v>
      </c>
      <c r="ES91" s="7" t="s">
        <v>291</v>
      </c>
      <c r="ET91" s="7" t="s">
        <v>292</v>
      </c>
      <c r="EU91">
        <v>12.961</v>
      </c>
      <c r="EV91">
        <v>20.001000000000001</v>
      </c>
      <c r="EW91">
        <v>20.347000000000001</v>
      </c>
      <c r="EX91">
        <v>4</v>
      </c>
      <c r="EY91" s="7" t="s">
        <v>300</v>
      </c>
      <c r="EZ91" s="7" t="s">
        <v>292</v>
      </c>
      <c r="FA91">
        <v>28.997</v>
      </c>
      <c r="FB91">
        <v>31.437000000000001</v>
      </c>
      <c r="FC91">
        <v>32.430999999999997</v>
      </c>
      <c r="FD91">
        <v>2</v>
      </c>
      <c r="FE91" s="7" t="s">
        <v>300</v>
      </c>
      <c r="FF91" s="7" t="s">
        <v>292</v>
      </c>
      <c r="FG91">
        <v>35.201999999999998</v>
      </c>
      <c r="FH91">
        <v>37.545000000000002</v>
      </c>
      <c r="FI91">
        <v>38.298999999999999</v>
      </c>
      <c r="FJ91">
        <v>2</v>
      </c>
      <c r="FK91" s="7" t="s">
        <v>291</v>
      </c>
      <c r="FL91" s="7" t="s">
        <v>296</v>
      </c>
      <c r="FM91">
        <v>6.4189999999999996</v>
      </c>
      <c r="FN91">
        <v>7.931</v>
      </c>
      <c r="FO91">
        <v>10.661</v>
      </c>
      <c r="FP91">
        <v>2</v>
      </c>
      <c r="FQ91" s="7" t="s">
        <v>300</v>
      </c>
      <c r="FR91" s="7" t="s">
        <v>296</v>
      </c>
      <c r="FS91">
        <v>5.0990000000000002</v>
      </c>
      <c r="FT91">
        <v>7.2430000000000003</v>
      </c>
      <c r="FU91">
        <v>8.8369999999999997</v>
      </c>
      <c r="FV91">
        <v>2</v>
      </c>
      <c r="FW91" s="7" t="s">
        <v>282</v>
      </c>
      <c r="FX91" s="7" t="s">
        <v>292</v>
      </c>
      <c r="FY91">
        <v>10.781000000000001</v>
      </c>
      <c r="FZ91">
        <v>14.573</v>
      </c>
      <c r="GA91">
        <v>16.2</v>
      </c>
      <c r="GB91">
        <v>2</v>
      </c>
      <c r="GC91" s="7" t="s">
        <v>291</v>
      </c>
      <c r="GD91" s="7" t="s">
        <v>296</v>
      </c>
      <c r="GE91">
        <v>5.83</v>
      </c>
      <c r="GF91">
        <v>7.5259999999999998</v>
      </c>
      <c r="GG91">
        <v>8.641</v>
      </c>
      <c r="GH91">
        <v>2</v>
      </c>
      <c r="GI91" s="7" t="s">
        <v>300</v>
      </c>
      <c r="GJ91" s="7" t="s">
        <v>296</v>
      </c>
      <c r="GK91">
        <v>5.3380000000000001</v>
      </c>
      <c r="GL91">
        <v>6.9139999999999997</v>
      </c>
      <c r="GM91">
        <v>8.6760000000000002</v>
      </c>
      <c r="GN91">
        <v>2</v>
      </c>
      <c r="GO91" s="7" t="s">
        <v>301</v>
      </c>
      <c r="GP91" s="7" t="s">
        <v>296</v>
      </c>
      <c r="GQ91">
        <v>10.334</v>
      </c>
      <c r="GR91">
        <v>11.901</v>
      </c>
      <c r="GS91">
        <v>12.887</v>
      </c>
      <c r="GT91">
        <v>2</v>
      </c>
      <c r="GU91" s="7" t="s">
        <v>282</v>
      </c>
      <c r="GV91" s="7" t="s">
        <v>296</v>
      </c>
      <c r="GW91">
        <v>4.0830000000000002</v>
      </c>
      <c r="GX91">
        <v>10.067</v>
      </c>
      <c r="GY91">
        <v>12.180999999999999</v>
      </c>
      <c r="GZ91">
        <v>3</v>
      </c>
      <c r="HA91" s="7" t="s">
        <v>300</v>
      </c>
      <c r="HB91" s="7" t="s">
        <v>296</v>
      </c>
      <c r="HC91">
        <v>10.050000000000001</v>
      </c>
      <c r="HD91">
        <v>11.792999999999999</v>
      </c>
      <c r="HE91">
        <v>12.787000000000001</v>
      </c>
      <c r="HF91">
        <v>2</v>
      </c>
      <c r="HG91" s="7" t="s">
        <v>301</v>
      </c>
      <c r="HH91" s="7" t="s">
        <v>292</v>
      </c>
      <c r="HI91">
        <v>10.411</v>
      </c>
      <c r="HJ91">
        <v>18.419</v>
      </c>
      <c r="HK91">
        <v>19.597000000000001</v>
      </c>
      <c r="HL91">
        <v>2</v>
      </c>
      <c r="HM91" s="7" t="s">
        <v>1236</v>
      </c>
      <c r="HN91" s="7" t="s">
        <v>1237</v>
      </c>
      <c r="HO91" s="7" t="s">
        <v>1238</v>
      </c>
      <c r="HP91" s="7" t="s">
        <v>1239</v>
      </c>
      <c r="HQ91" s="7" t="s">
        <v>1240</v>
      </c>
      <c r="HR91" s="7" t="s">
        <v>1241</v>
      </c>
      <c r="HS91" s="7" t="s">
        <v>1242</v>
      </c>
      <c r="HT91" s="7" t="s">
        <v>1243</v>
      </c>
      <c r="HU91" s="7" t="s">
        <v>1244</v>
      </c>
      <c r="HV91" s="7" t="s">
        <v>1245</v>
      </c>
      <c r="HW91" s="7" t="s">
        <v>1246</v>
      </c>
      <c r="HX91" s="7" t="s">
        <v>1247</v>
      </c>
      <c r="HY91" s="7" t="s">
        <v>312</v>
      </c>
      <c r="HZ91" s="7" t="s">
        <v>372</v>
      </c>
      <c r="IA91" s="7" t="s">
        <v>325</v>
      </c>
      <c r="IB91" s="7" t="s">
        <v>282</v>
      </c>
      <c r="IC91" s="7" t="s">
        <v>282</v>
      </c>
    </row>
    <row r="92" spans="1:237" x14ac:dyDescent="0.2">
      <c r="A92" s="6">
        <v>45752.093321759261</v>
      </c>
      <c r="B92" s="6">
        <v>45752.107291666667</v>
      </c>
      <c r="C92" s="7" t="s">
        <v>240</v>
      </c>
      <c r="D92" s="7" t="s">
        <v>1248</v>
      </c>
      <c r="E92">
        <v>100</v>
      </c>
      <c r="F92">
        <v>1206</v>
      </c>
      <c r="G92" s="7" t="s">
        <v>280</v>
      </c>
      <c r="H92" s="6">
        <v>45752.107300821757</v>
      </c>
      <c r="I92" s="7" t="s">
        <v>1249</v>
      </c>
      <c r="J92" s="7" t="s">
        <v>282</v>
      </c>
      <c r="K92" s="7" t="s">
        <v>282</v>
      </c>
      <c r="L92" s="7" t="s">
        <v>282</v>
      </c>
      <c r="M92" s="7" t="s">
        <v>282</v>
      </c>
      <c r="N92">
        <v>33.197600000000001</v>
      </c>
      <c r="O92">
        <v>-96.617800000000003</v>
      </c>
      <c r="P92" s="7" t="s">
        <v>283</v>
      </c>
      <c r="Q92" s="7" t="s">
        <v>284</v>
      </c>
      <c r="R92">
        <v>1</v>
      </c>
      <c r="S92" s="7" t="s">
        <v>285</v>
      </c>
      <c r="T92" s="7" t="s">
        <v>285</v>
      </c>
      <c r="U92" s="7" t="s">
        <v>285</v>
      </c>
      <c r="V92" s="7" t="s">
        <v>285</v>
      </c>
      <c r="W92" s="7" t="s">
        <v>286</v>
      </c>
      <c r="X92" s="7" t="s">
        <v>328</v>
      </c>
      <c r="Y92" s="7" t="s">
        <v>288</v>
      </c>
      <c r="Z92" s="7" t="s">
        <v>289</v>
      </c>
      <c r="AA92" s="7" t="s">
        <v>329</v>
      </c>
      <c r="AB92" s="7" t="s">
        <v>317</v>
      </c>
      <c r="AC92" s="7" t="s">
        <v>291</v>
      </c>
      <c r="AD92" s="7" t="s">
        <v>292</v>
      </c>
      <c r="AE92">
        <v>9.2140000000000004</v>
      </c>
      <c r="AF92">
        <v>11.614000000000001</v>
      </c>
      <c r="AG92">
        <v>13.101000000000001</v>
      </c>
      <c r="AH92">
        <v>2</v>
      </c>
      <c r="AI92" s="7" t="s">
        <v>293</v>
      </c>
      <c r="AJ92" s="7" t="s">
        <v>296</v>
      </c>
      <c r="AK92">
        <v>7.5919999999999996</v>
      </c>
      <c r="AL92">
        <v>11.016</v>
      </c>
      <c r="AM92">
        <v>12.342000000000001</v>
      </c>
      <c r="AN92">
        <v>2</v>
      </c>
      <c r="AO92" s="7" t="s">
        <v>293</v>
      </c>
      <c r="AP92" s="7" t="s">
        <v>296</v>
      </c>
      <c r="AQ92">
        <v>12.768000000000001</v>
      </c>
      <c r="AR92">
        <v>13.999000000000001</v>
      </c>
      <c r="AS92">
        <v>15.11</v>
      </c>
      <c r="AT92">
        <v>2</v>
      </c>
      <c r="AU92" s="7" t="s">
        <v>295</v>
      </c>
      <c r="AV92" s="7" t="s">
        <v>294</v>
      </c>
      <c r="AW92">
        <v>7.2089999999999996</v>
      </c>
      <c r="AX92">
        <v>9.7769999999999992</v>
      </c>
      <c r="AY92">
        <v>11.651</v>
      </c>
      <c r="AZ92">
        <v>2</v>
      </c>
      <c r="BA92" s="7" t="s">
        <v>295</v>
      </c>
      <c r="BB92" s="7" t="s">
        <v>294</v>
      </c>
      <c r="BC92">
        <v>6.4569999999999999</v>
      </c>
      <c r="BD92">
        <v>10.073</v>
      </c>
      <c r="BE92">
        <v>10.868</v>
      </c>
      <c r="BF92">
        <v>2</v>
      </c>
      <c r="BG92" s="7" t="s">
        <v>291</v>
      </c>
      <c r="BH92" s="7" t="s">
        <v>296</v>
      </c>
      <c r="BI92">
        <v>12.33</v>
      </c>
      <c r="BJ92">
        <v>15.929</v>
      </c>
      <c r="BK92">
        <v>16.902000000000001</v>
      </c>
      <c r="BL92">
        <v>2</v>
      </c>
      <c r="BM92" s="7" t="s">
        <v>293</v>
      </c>
      <c r="BN92" s="7" t="s">
        <v>296</v>
      </c>
      <c r="BO92">
        <v>11.683</v>
      </c>
      <c r="BP92">
        <v>13.339</v>
      </c>
      <c r="BQ92">
        <v>13.930999999999999</v>
      </c>
      <c r="BR92">
        <v>2</v>
      </c>
      <c r="BS92" s="7" t="s">
        <v>299</v>
      </c>
      <c r="BT92" s="7" t="s">
        <v>330</v>
      </c>
      <c r="BU92">
        <v>22.367000000000001</v>
      </c>
      <c r="BV92">
        <v>24.198</v>
      </c>
      <c r="BW92">
        <v>25.574000000000002</v>
      </c>
      <c r="BX92">
        <v>2</v>
      </c>
      <c r="BY92" s="7" t="s">
        <v>295</v>
      </c>
      <c r="BZ92" s="7" t="s">
        <v>296</v>
      </c>
      <c r="CA92">
        <v>7.3949999999999996</v>
      </c>
      <c r="CB92">
        <v>10.201000000000001</v>
      </c>
      <c r="CC92">
        <v>11.513999999999999</v>
      </c>
      <c r="CD92">
        <v>2</v>
      </c>
      <c r="CE92" s="7" t="s">
        <v>298</v>
      </c>
      <c r="CF92" s="7" t="s">
        <v>296</v>
      </c>
      <c r="CG92">
        <v>9.07</v>
      </c>
      <c r="CH92">
        <v>11.406000000000001</v>
      </c>
      <c r="CI92">
        <v>12.000999999999999</v>
      </c>
      <c r="CJ92">
        <v>2</v>
      </c>
      <c r="CK92" s="7" t="s">
        <v>291</v>
      </c>
      <c r="CL92" s="7" t="s">
        <v>296</v>
      </c>
      <c r="CM92">
        <v>11.760999999999999</v>
      </c>
      <c r="CN92">
        <v>13.505000000000001</v>
      </c>
      <c r="CO92">
        <v>14.56</v>
      </c>
      <c r="CP92">
        <v>2</v>
      </c>
      <c r="CQ92" s="7" t="s">
        <v>293</v>
      </c>
      <c r="CR92" s="7" t="s">
        <v>296</v>
      </c>
      <c r="CS92">
        <v>12.46</v>
      </c>
      <c r="CT92">
        <v>15.032</v>
      </c>
      <c r="CU92">
        <v>16.231000000000002</v>
      </c>
      <c r="CV92">
        <v>2</v>
      </c>
      <c r="CW92" s="7" t="s">
        <v>299</v>
      </c>
      <c r="CX92" s="7" t="s">
        <v>292</v>
      </c>
      <c r="CY92">
        <v>10.714</v>
      </c>
      <c r="CZ92">
        <v>15.034000000000001</v>
      </c>
      <c r="DA92">
        <v>16.305</v>
      </c>
      <c r="DB92">
        <v>2</v>
      </c>
      <c r="DC92" s="7" t="s">
        <v>295</v>
      </c>
      <c r="DD92" s="7" t="s">
        <v>296</v>
      </c>
      <c r="DE92">
        <v>6.2960000000000003</v>
      </c>
      <c r="DF92">
        <v>7.72</v>
      </c>
      <c r="DG92">
        <v>9.5920000000000005</v>
      </c>
      <c r="DH92">
        <v>2</v>
      </c>
      <c r="DI92" s="7" t="s">
        <v>298</v>
      </c>
      <c r="DJ92" s="7" t="s">
        <v>296</v>
      </c>
      <c r="DK92">
        <v>8.2270000000000003</v>
      </c>
      <c r="DL92">
        <v>11.119</v>
      </c>
      <c r="DM92">
        <v>12.358000000000001</v>
      </c>
      <c r="DN92">
        <v>2</v>
      </c>
      <c r="DO92" s="7" t="s">
        <v>291</v>
      </c>
      <c r="DP92" s="7" t="s">
        <v>292</v>
      </c>
      <c r="DQ92">
        <v>18.141999999999999</v>
      </c>
      <c r="DR92">
        <v>20.085999999999999</v>
      </c>
      <c r="DS92">
        <v>21.428999999999998</v>
      </c>
      <c r="DT92">
        <v>2</v>
      </c>
      <c r="DU92" s="7" t="s">
        <v>293</v>
      </c>
      <c r="DV92" s="7" t="s">
        <v>296</v>
      </c>
      <c r="DW92">
        <v>13.702999999999999</v>
      </c>
      <c r="DX92">
        <v>16.091999999999999</v>
      </c>
      <c r="DY92">
        <v>17.379000000000001</v>
      </c>
      <c r="DZ92">
        <v>2</v>
      </c>
      <c r="EA92" s="7" t="s">
        <v>299</v>
      </c>
      <c r="EB92" s="7" t="s">
        <v>296</v>
      </c>
      <c r="EC92">
        <v>8.8330000000000002</v>
      </c>
      <c r="ED92">
        <v>10.529</v>
      </c>
      <c r="EE92">
        <v>11.987</v>
      </c>
      <c r="EF92">
        <v>2</v>
      </c>
      <c r="EG92" s="7" t="s">
        <v>295</v>
      </c>
      <c r="EH92" s="7" t="s">
        <v>294</v>
      </c>
      <c r="EI92">
        <v>7.8719999999999999</v>
      </c>
      <c r="EJ92">
        <v>10.24</v>
      </c>
      <c r="EK92">
        <v>12.183</v>
      </c>
      <c r="EL92">
        <v>2</v>
      </c>
      <c r="EM92" s="7" t="s">
        <v>298</v>
      </c>
      <c r="EN92" s="7" t="s">
        <v>296</v>
      </c>
      <c r="EO92">
        <v>8.4280000000000008</v>
      </c>
      <c r="EP92">
        <v>10.364000000000001</v>
      </c>
      <c r="EQ92">
        <v>11.87</v>
      </c>
      <c r="ER92">
        <v>2</v>
      </c>
      <c r="ES92" s="7" t="s">
        <v>291</v>
      </c>
      <c r="ET92" s="7" t="s">
        <v>292</v>
      </c>
      <c r="EU92">
        <v>18.777000000000001</v>
      </c>
      <c r="EV92">
        <v>22.873000000000001</v>
      </c>
      <c r="EW92">
        <v>24.501000000000001</v>
      </c>
      <c r="EX92">
        <v>2</v>
      </c>
      <c r="EY92" s="7" t="s">
        <v>300</v>
      </c>
      <c r="EZ92" s="7" t="s">
        <v>292</v>
      </c>
      <c r="FA92">
        <v>34.261000000000003</v>
      </c>
      <c r="FB92">
        <v>39.756999999999998</v>
      </c>
      <c r="FC92">
        <v>40.500999999999998</v>
      </c>
      <c r="FD92">
        <v>3</v>
      </c>
      <c r="FE92" s="7" t="s">
        <v>301</v>
      </c>
      <c r="FF92" s="7" t="s">
        <v>296</v>
      </c>
      <c r="FG92">
        <v>5.8360000000000003</v>
      </c>
      <c r="FH92">
        <v>7.4039999999999999</v>
      </c>
      <c r="FI92">
        <v>11.928000000000001</v>
      </c>
      <c r="FJ92">
        <v>2</v>
      </c>
      <c r="FK92" s="7" t="s">
        <v>291</v>
      </c>
      <c r="FL92" s="7" t="s">
        <v>296</v>
      </c>
      <c r="FM92">
        <v>12.478</v>
      </c>
      <c r="FN92">
        <v>14.654</v>
      </c>
      <c r="FO92">
        <v>15.661</v>
      </c>
      <c r="FP92">
        <v>2</v>
      </c>
      <c r="FQ92" s="7" t="s">
        <v>300</v>
      </c>
      <c r="FR92" s="7" t="s">
        <v>294</v>
      </c>
      <c r="FS92">
        <v>9.1880000000000006</v>
      </c>
      <c r="FT92">
        <v>13.22</v>
      </c>
      <c r="FU92">
        <v>13.843</v>
      </c>
      <c r="FV92">
        <v>3</v>
      </c>
      <c r="FW92" s="7" t="s">
        <v>301</v>
      </c>
      <c r="FX92" s="7" t="s">
        <v>294</v>
      </c>
      <c r="FY92">
        <v>6.7169999999999996</v>
      </c>
      <c r="FZ92">
        <v>8.093</v>
      </c>
      <c r="GA92">
        <v>9.3759999999999994</v>
      </c>
      <c r="GB92">
        <v>2</v>
      </c>
      <c r="GC92" s="7" t="s">
        <v>291</v>
      </c>
      <c r="GD92" s="7" t="s">
        <v>292</v>
      </c>
      <c r="GE92">
        <v>10.244999999999999</v>
      </c>
      <c r="GF92">
        <v>13.08</v>
      </c>
      <c r="GG92">
        <v>13.906000000000001</v>
      </c>
      <c r="GH92">
        <v>3</v>
      </c>
      <c r="GI92" s="7" t="s">
        <v>300</v>
      </c>
      <c r="GJ92" s="7" t="s">
        <v>294</v>
      </c>
      <c r="GK92">
        <v>9.3529999999999998</v>
      </c>
      <c r="GL92">
        <v>13.249000000000001</v>
      </c>
      <c r="GM92">
        <v>14.298</v>
      </c>
      <c r="GN92">
        <v>2</v>
      </c>
      <c r="GO92" s="7" t="s">
        <v>301</v>
      </c>
      <c r="GP92" s="7" t="s">
        <v>294</v>
      </c>
      <c r="GQ92">
        <v>7.3620000000000001</v>
      </c>
      <c r="GR92">
        <v>12.279</v>
      </c>
      <c r="GS92">
        <v>13.47</v>
      </c>
      <c r="GT92">
        <v>2</v>
      </c>
      <c r="GU92" s="7" t="s">
        <v>291</v>
      </c>
      <c r="GV92" s="7" t="s">
        <v>296</v>
      </c>
      <c r="GW92">
        <v>6.875</v>
      </c>
      <c r="GX92">
        <v>8.2829999999999995</v>
      </c>
      <c r="GY92">
        <v>9.6460000000000008</v>
      </c>
      <c r="GZ92">
        <v>2</v>
      </c>
      <c r="HA92" s="7" t="s">
        <v>300</v>
      </c>
      <c r="HB92" s="7" t="s">
        <v>294</v>
      </c>
      <c r="HC92">
        <v>6.7930000000000001</v>
      </c>
      <c r="HD92">
        <v>8.0340000000000007</v>
      </c>
      <c r="HE92">
        <v>9.3490000000000002</v>
      </c>
      <c r="HF92">
        <v>2</v>
      </c>
      <c r="HG92" s="7" t="s">
        <v>291</v>
      </c>
      <c r="HH92" s="7" t="s">
        <v>292</v>
      </c>
      <c r="HI92">
        <v>11.973000000000001</v>
      </c>
      <c r="HJ92">
        <v>13.965</v>
      </c>
      <c r="HK92">
        <v>15.109</v>
      </c>
      <c r="HL92">
        <v>2</v>
      </c>
      <c r="HM92" s="7" t="s">
        <v>1250</v>
      </c>
      <c r="HN92" s="7" t="s">
        <v>1251</v>
      </c>
      <c r="HO92" s="7" t="s">
        <v>1252</v>
      </c>
      <c r="HP92" s="7" t="s">
        <v>1253</v>
      </c>
      <c r="HQ92" s="7" t="s">
        <v>1254</v>
      </c>
      <c r="HR92" s="7" t="s">
        <v>1255</v>
      </c>
      <c r="HS92" s="7" t="s">
        <v>1256</v>
      </c>
      <c r="HT92" s="7" t="s">
        <v>1257</v>
      </c>
      <c r="HU92" s="7" t="s">
        <v>1258</v>
      </c>
      <c r="HV92" s="7" t="s">
        <v>1259</v>
      </c>
      <c r="HW92" s="7" t="s">
        <v>1260</v>
      </c>
      <c r="HX92" s="7" t="s">
        <v>282</v>
      </c>
      <c r="HY92" s="7" t="s">
        <v>312</v>
      </c>
      <c r="HZ92" s="7" t="s">
        <v>356</v>
      </c>
      <c r="IA92" s="7" t="s">
        <v>313</v>
      </c>
      <c r="IB92" s="7" t="s">
        <v>282</v>
      </c>
      <c r="IC92" s="7" t="s">
        <v>282</v>
      </c>
    </row>
    <row r="93" spans="1:237" x14ac:dyDescent="0.2">
      <c r="A93" s="6">
        <v>45745.127743055556</v>
      </c>
      <c r="B93" s="6">
        <v>45745.127951388888</v>
      </c>
      <c r="C93" s="7" t="s">
        <v>240</v>
      </c>
      <c r="D93" s="7" t="s">
        <v>1261</v>
      </c>
      <c r="E93">
        <v>0</v>
      </c>
      <c r="F93">
        <v>18</v>
      </c>
      <c r="G93" s="7" t="s">
        <v>495</v>
      </c>
      <c r="H93" s="6">
        <v>45752.128005474537</v>
      </c>
      <c r="I93" s="7" t="s">
        <v>1262</v>
      </c>
      <c r="J93" s="7" t="s">
        <v>282</v>
      </c>
      <c r="K93" s="7" t="s">
        <v>282</v>
      </c>
      <c r="L93" s="7" t="s">
        <v>282</v>
      </c>
      <c r="M93" s="7" t="s">
        <v>282</v>
      </c>
      <c r="N93">
        <v>49.247599999999998</v>
      </c>
      <c r="O93">
        <v>-123.1234</v>
      </c>
      <c r="P93" s="7" t="s">
        <v>283</v>
      </c>
      <c r="Q93" s="7" t="s">
        <v>284</v>
      </c>
      <c r="R93">
        <v>1</v>
      </c>
      <c r="S93" s="7" t="s">
        <v>282</v>
      </c>
      <c r="T93" s="7" t="s">
        <v>282</v>
      </c>
      <c r="U93" s="7" t="s">
        <v>282</v>
      </c>
      <c r="V93" s="7" t="s">
        <v>282</v>
      </c>
      <c r="W93" s="7" t="s">
        <v>282</v>
      </c>
      <c r="X93" s="7" t="s">
        <v>282</v>
      </c>
      <c r="Y93" s="7" t="s">
        <v>282</v>
      </c>
      <c r="Z93" s="7" t="s">
        <v>282</v>
      </c>
      <c r="AA93" s="7" t="s">
        <v>282</v>
      </c>
      <c r="AB93" s="7" t="s">
        <v>282</v>
      </c>
      <c r="AC93" s="7" t="s">
        <v>282</v>
      </c>
      <c r="AD93" s="7" t="s">
        <v>282</v>
      </c>
      <c r="AE93" s="7" t="s">
        <v>282</v>
      </c>
      <c r="AF93" s="7" t="s">
        <v>282</v>
      </c>
      <c r="AG93" s="7" t="s">
        <v>282</v>
      </c>
      <c r="AH93" s="7" t="s">
        <v>282</v>
      </c>
      <c r="AI93" s="7" t="s">
        <v>282</v>
      </c>
      <c r="AJ93" s="7" t="s">
        <v>282</v>
      </c>
      <c r="AK93" s="7" t="s">
        <v>282</v>
      </c>
      <c r="AL93" s="7" t="s">
        <v>282</v>
      </c>
      <c r="AM93" s="7" t="s">
        <v>282</v>
      </c>
      <c r="AN93" s="7" t="s">
        <v>282</v>
      </c>
      <c r="AO93" s="7" t="s">
        <v>282</v>
      </c>
      <c r="AP93" s="7" t="s">
        <v>282</v>
      </c>
      <c r="AQ93" s="7" t="s">
        <v>282</v>
      </c>
      <c r="AR93" s="7" t="s">
        <v>282</v>
      </c>
      <c r="AS93" s="7" t="s">
        <v>282</v>
      </c>
      <c r="AT93" s="7" t="s">
        <v>282</v>
      </c>
      <c r="AU93" s="7" t="s">
        <v>282</v>
      </c>
      <c r="AV93" s="7" t="s">
        <v>282</v>
      </c>
      <c r="AW93" s="7" t="s">
        <v>282</v>
      </c>
      <c r="AX93" s="7" t="s">
        <v>282</v>
      </c>
      <c r="AY93" s="7" t="s">
        <v>282</v>
      </c>
      <c r="AZ93" s="7" t="s">
        <v>282</v>
      </c>
      <c r="BA93" s="7" t="s">
        <v>282</v>
      </c>
      <c r="BB93" s="7" t="s">
        <v>282</v>
      </c>
      <c r="BC93" s="7" t="s">
        <v>282</v>
      </c>
      <c r="BD93" s="7" t="s">
        <v>282</v>
      </c>
      <c r="BE93" s="7" t="s">
        <v>282</v>
      </c>
      <c r="BF93" s="7" t="s">
        <v>282</v>
      </c>
      <c r="BG93" s="7" t="s">
        <v>282</v>
      </c>
      <c r="BH93" s="7" t="s">
        <v>282</v>
      </c>
      <c r="BI93" s="7" t="s">
        <v>282</v>
      </c>
      <c r="BJ93" s="7" t="s">
        <v>282</v>
      </c>
      <c r="BK93" s="7" t="s">
        <v>282</v>
      </c>
      <c r="BL93" s="7" t="s">
        <v>282</v>
      </c>
      <c r="BM93" s="7" t="s">
        <v>282</v>
      </c>
      <c r="BN93" s="7" t="s">
        <v>282</v>
      </c>
      <c r="BO93" s="7" t="s">
        <v>282</v>
      </c>
      <c r="BP93" s="7" t="s">
        <v>282</v>
      </c>
      <c r="BQ93" s="7" t="s">
        <v>282</v>
      </c>
      <c r="BR93" s="7" t="s">
        <v>282</v>
      </c>
      <c r="BS93" s="7" t="s">
        <v>282</v>
      </c>
      <c r="BT93" s="7" t="s">
        <v>282</v>
      </c>
      <c r="BU93" s="7" t="s">
        <v>282</v>
      </c>
      <c r="BV93" s="7" t="s">
        <v>282</v>
      </c>
      <c r="BW93" s="7" t="s">
        <v>282</v>
      </c>
      <c r="BX93" s="7" t="s">
        <v>282</v>
      </c>
      <c r="BY93" s="7" t="s">
        <v>282</v>
      </c>
      <c r="BZ93" s="7" t="s">
        <v>282</v>
      </c>
      <c r="CA93" s="7" t="s">
        <v>282</v>
      </c>
      <c r="CB93" s="7" t="s">
        <v>282</v>
      </c>
      <c r="CC93" s="7" t="s">
        <v>282</v>
      </c>
      <c r="CD93" s="7" t="s">
        <v>282</v>
      </c>
      <c r="CE93" s="7" t="s">
        <v>282</v>
      </c>
      <c r="CF93" s="7" t="s">
        <v>282</v>
      </c>
      <c r="CG93" s="7" t="s">
        <v>282</v>
      </c>
      <c r="CH93" s="7" t="s">
        <v>282</v>
      </c>
      <c r="CI93" s="7" t="s">
        <v>282</v>
      </c>
      <c r="CJ93" s="7" t="s">
        <v>282</v>
      </c>
      <c r="CK93" s="7" t="s">
        <v>282</v>
      </c>
      <c r="CL93" s="7" t="s">
        <v>282</v>
      </c>
      <c r="CM93" s="7" t="s">
        <v>282</v>
      </c>
      <c r="CN93" s="7" t="s">
        <v>282</v>
      </c>
      <c r="CO93" s="7" t="s">
        <v>282</v>
      </c>
      <c r="CP93" s="7" t="s">
        <v>282</v>
      </c>
      <c r="CQ93" s="7" t="s">
        <v>282</v>
      </c>
      <c r="CR93" s="7" t="s">
        <v>282</v>
      </c>
      <c r="CS93" s="7" t="s">
        <v>282</v>
      </c>
      <c r="CT93" s="7" t="s">
        <v>282</v>
      </c>
      <c r="CU93" s="7" t="s">
        <v>282</v>
      </c>
      <c r="CV93" s="7" t="s">
        <v>282</v>
      </c>
      <c r="CW93" s="7" t="s">
        <v>282</v>
      </c>
      <c r="CX93" s="7" t="s">
        <v>282</v>
      </c>
      <c r="CY93" s="7" t="s">
        <v>282</v>
      </c>
      <c r="CZ93" s="7" t="s">
        <v>282</v>
      </c>
      <c r="DA93" s="7" t="s">
        <v>282</v>
      </c>
      <c r="DB93" s="7" t="s">
        <v>282</v>
      </c>
      <c r="DC93" s="7" t="s">
        <v>282</v>
      </c>
      <c r="DD93" s="7" t="s">
        <v>282</v>
      </c>
      <c r="DE93" s="7" t="s">
        <v>282</v>
      </c>
      <c r="DF93" s="7" t="s">
        <v>282</v>
      </c>
      <c r="DG93" s="7" t="s">
        <v>282</v>
      </c>
      <c r="DH93" s="7" t="s">
        <v>282</v>
      </c>
      <c r="DI93" s="7" t="s">
        <v>282</v>
      </c>
      <c r="DJ93" s="7" t="s">
        <v>282</v>
      </c>
      <c r="DK93" s="7" t="s">
        <v>282</v>
      </c>
      <c r="DL93" s="7" t="s">
        <v>282</v>
      </c>
      <c r="DM93" s="7" t="s">
        <v>282</v>
      </c>
      <c r="DN93" s="7" t="s">
        <v>282</v>
      </c>
      <c r="DO93" s="7" t="s">
        <v>282</v>
      </c>
      <c r="DP93" s="7" t="s">
        <v>282</v>
      </c>
      <c r="DQ93" s="7" t="s">
        <v>282</v>
      </c>
      <c r="DR93" s="7" t="s">
        <v>282</v>
      </c>
      <c r="DS93" s="7" t="s">
        <v>282</v>
      </c>
      <c r="DT93" s="7" t="s">
        <v>282</v>
      </c>
      <c r="DU93" s="7" t="s">
        <v>282</v>
      </c>
      <c r="DV93" s="7" t="s">
        <v>282</v>
      </c>
      <c r="DW93" s="7" t="s">
        <v>282</v>
      </c>
      <c r="DX93" s="7" t="s">
        <v>282</v>
      </c>
      <c r="DY93" s="7" t="s">
        <v>282</v>
      </c>
      <c r="DZ93" s="7" t="s">
        <v>282</v>
      </c>
      <c r="EA93" s="7" t="s">
        <v>282</v>
      </c>
      <c r="EB93" s="7" t="s">
        <v>282</v>
      </c>
      <c r="EC93" s="7" t="s">
        <v>282</v>
      </c>
      <c r="ED93" s="7" t="s">
        <v>282</v>
      </c>
      <c r="EE93" s="7" t="s">
        <v>282</v>
      </c>
      <c r="EF93" s="7" t="s">
        <v>282</v>
      </c>
      <c r="EG93" s="7" t="s">
        <v>282</v>
      </c>
      <c r="EH93" s="7" t="s">
        <v>282</v>
      </c>
      <c r="EI93" s="7" t="s">
        <v>282</v>
      </c>
      <c r="EJ93" s="7" t="s">
        <v>282</v>
      </c>
      <c r="EK93" s="7" t="s">
        <v>282</v>
      </c>
      <c r="EL93" s="7" t="s">
        <v>282</v>
      </c>
      <c r="EM93" s="7" t="s">
        <v>282</v>
      </c>
      <c r="EN93" s="7" t="s">
        <v>282</v>
      </c>
      <c r="EO93" s="7" t="s">
        <v>282</v>
      </c>
      <c r="EP93" s="7" t="s">
        <v>282</v>
      </c>
      <c r="EQ93" s="7" t="s">
        <v>282</v>
      </c>
      <c r="ER93" s="7" t="s">
        <v>282</v>
      </c>
      <c r="ES93" s="7" t="s">
        <v>282</v>
      </c>
      <c r="ET93" s="7" t="s">
        <v>282</v>
      </c>
      <c r="EU93" s="7" t="s">
        <v>282</v>
      </c>
      <c r="EV93" s="7" t="s">
        <v>282</v>
      </c>
      <c r="EW93" s="7" t="s">
        <v>282</v>
      </c>
      <c r="EX93" s="7" t="s">
        <v>282</v>
      </c>
      <c r="EY93" s="7" t="s">
        <v>282</v>
      </c>
      <c r="EZ93" s="7" t="s">
        <v>282</v>
      </c>
      <c r="FA93" s="7" t="s">
        <v>282</v>
      </c>
      <c r="FB93" s="7" t="s">
        <v>282</v>
      </c>
      <c r="FC93" s="7" t="s">
        <v>282</v>
      </c>
      <c r="FD93" s="7" t="s">
        <v>282</v>
      </c>
      <c r="FE93" s="7" t="s">
        <v>282</v>
      </c>
      <c r="FF93" s="7" t="s">
        <v>282</v>
      </c>
      <c r="FG93" s="7" t="s">
        <v>282</v>
      </c>
      <c r="FH93" s="7" t="s">
        <v>282</v>
      </c>
      <c r="FI93" s="7" t="s">
        <v>282</v>
      </c>
      <c r="FJ93" s="7" t="s">
        <v>282</v>
      </c>
      <c r="FK93" s="7" t="s">
        <v>282</v>
      </c>
      <c r="FL93" s="7" t="s">
        <v>282</v>
      </c>
      <c r="FM93" s="7" t="s">
        <v>282</v>
      </c>
      <c r="FN93" s="7" t="s">
        <v>282</v>
      </c>
      <c r="FO93" s="7" t="s">
        <v>282</v>
      </c>
      <c r="FP93" s="7" t="s">
        <v>282</v>
      </c>
      <c r="FQ93" s="7" t="s">
        <v>282</v>
      </c>
      <c r="FR93" s="7" t="s">
        <v>282</v>
      </c>
      <c r="FS93" s="7" t="s">
        <v>282</v>
      </c>
      <c r="FT93" s="7" t="s">
        <v>282</v>
      </c>
      <c r="FU93" s="7" t="s">
        <v>282</v>
      </c>
      <c r="FV93" s="7" t="s">
        <v>282</v>
      </c>
      <c r="FW93" s="7" t="s">
        <v>282</v>
      </c>
      <c r="FX93" s="7" t="s">
        <v>282</v>
      </c>
      <c r="FY93" s="7" t="s">
        <v>282</v>
      </c>
      <c r="FZ93" s="7" t="s">
        <v>282</v>
      </c>
      <c r="GA93" s="7" t="s">
        <v>282</v>
      </c>
      <c r="GB93" s="7" t="s">
        <v>282</v>
      </c>
      <c r="GC93" s="7" t="s">
        <v>282</v>
      </c>
      <c r="GD93" s="7" t="s">
        <v>282</v>
      </c>
      <c r="GE93" s="7" t="s">
        <v>282</v>
      </c>
      <c r="GF93" s="7" t="s">
        <v>282</v>
      </c>
      <c r="GG93" s="7" t="s">
        <v>282</v>
      </c>
      <c r="GH93" s="7" t="s">
        <v>282</v>
      </c>
      <c r="GI93" s="7" t="s">
        <v>282</v>
      </c>
      <c r="GJ93" s="7" t="s">
        <v>282</v>
      </c>
      <c r="GK93" s="7" t="s">
        <v>282</v>
      </c>
      <c r="GL93" s="7" t="s">
        <v>282</v>
      </c>
      <c r="GM93" s="7" t="s">
        <v>282</v>
      </c>
      <c r="GN93" s="7" t="s">
        <v>282</v>
      </c>
      <c r="GO93" s="7" t="s">
        <v>282</v>
      </c>
      <c r="GP93" s="7" t="s">
        <v>282</v>
      </c>
      <c r="GQ93" s="7" t="s">
        <v>282</v>
      </c>
      <c r="GR93" s="7" t="s">
        <v>282</v>
      </c>
      <c r="GS93" s="7" t="s">
        <v>282</v>
      </c>
      <c r="GT93" s="7" t="s">
        <v>282</v>
      </c>
      <c r="GU93" s="7" t="s">
        <v>282</v>
      </c>
      <c r="GV93" s="7" t="s">
        <v>282</v>
      </c>
      <c r="GW93" s="7" t="s">
        <v>282</v>
      </c>
      <c r="GX93" s="7" t="s">
        <v>282</v>
      </c>
      <c r="GY93" s="7" t="s">
        <v>282</v>
      </c>
      <c r="GZ93" s="7" t="s">
        <v>282</v>
      </c>
      <c r="HA93" s="7" t="s">
        <v>282</v>
      </c>
      <c r="HB93" s="7" t="s">
        <v>282</v>
      </c>
      <c r="HC93" s="7" t="s">
        <v>282</v>
      </c>
      <c r="HD93" s="7" t="s">
        <v>282</v>
      </c>
      <c r="HE93" s="7" t="s">
        <v>282</v>
      </c>
      <c r="HF93" s="7" t="s">
        <v>282</v>
      </c>
      <c r="HG93" s="7" t="s">
        <v>282</v>
      </c>
      <c r="HH93" s="7" t="s">
        <v>282</v>
      </c>
      <c r="HI93" s="7" t="s">
        <v>282</v>
      </c>
      <c r="HJ93" s="7" t="s">
        <v>282</v>
      </c>
      <c r="HK93" s="7" t="s">
        <v>282</v>
      </c>
      <c r="HL93" s="7" t="s">
        <v>282</v>
      </c>
      <c r="HM93" s="7" t="s">
        <v>282</v>
      </c>
      <c r="HN93" s="7" t="s">
        <v>282</v>
      </c>
      <c r="HO93" s="7" t="s">
        <v>282</v>
      </c>
      <c r="HP93" s="7" t="s">
        <v>282</v>
      </c>
      <c r="HQ93" s="7" t="s">
        <v>282</v>
      </c>
      <c r="HR93" s="7" t="s">
        <v>282</v>
      </c>
      <c r="HS93" s="7" t="s">
        <v>282</v>
      </c>
      <c r="HT93" s="7" t="s">
        <v>282</v>
      </c>
      <c r="HU93" s="7" t="s">
        <v>282</v>
      </c>
      <c r="HV93" s="7" t="s">
        <v>282</v>
      </c>
      <c r="HW93" s="7" t="s">
        <v>282</v>
      </c>
      <c r="HX93" s="7" t="s">
        <v>282</v>
      </c>
      <c r="HY93" s="7" t="s">
        <v>282</v>
      </c>
      <c r="HZ93" s="7" t="s">
        <v>282</v>
      </c>
      <c r="IA93" s="7" t="s">
        <v>282</v>
      </c>
      <c r="IB93" s="7" t="s">
        <v>282</v>
      </c>
      <c r="IC93" s="7" t="s">
        <v>282</v>
      </c>
    </row>
    <row r="94" spans="1:237" x14ac:dyDescent="0.2">
      <c r="A94" s="6">
        <v>45745.382407407407</v>
      </c>
      <c r="B94" s="6">
        <v>45745.383032407408</v>
      </c>
      <c r="C94" s="7" t="s">
        <v>240</v>
      </c>
      <c r="D94" s="7" t="s">
        <v>1263</v>
      </c>
      <c r="E94">
        <v>2</v>
      </c>
      <c r="F94">
        <v>53</v>
      </c>
      <c r="G94" s="7" t="s">
        <v>495</v>
      </c>
      <c r="H94" s="6">
        <v>45752.383053287034</v>
      </c>
      <c r="I94" s="7" t="s">
        <v>1264</v>
      </c>
      <c r="J94" s="7" t="s">
        <v>282</v>
      </c>
      <c r="K94" s="7" t="s">
        <v>282</v>
      </c>
      <c r="L94" s="7" t="s">
        <v>282</v>
      </c>
      <c r="M94" s="7" t="s">
        <v>282</v>
      </c>
      <c r="N94">
        <v>49.034999999999997</v>
      </c>
      <c r="O94">
        <v>-122.82689999999999</v>
      </c>
      <c r="P94" s="7" t="s">
        <v>283</v>
      </c>
      <c r="Q94" s="7" t="s">
        <v>284</v>
      </c>
      <c r="R94">
        <v>1</v>
      </c>
      <c r="S94" s="7" t="s">
        <v>285</v>
      </c>
      <c r="T94" s="7" t="s">
        <v>285</v>
      </c>
      <c r="U94" s="7" t="s">
        <v>285</v>
      </c>
      <c r="V94" s="7" t="s">
        <v>285</v>
      </c>
      <c r="W94" s="7" t="s">
        <v>282</v>
      </c>
      <c r="X94" s="7" t="s">
        <v>282</v>
      </c>
      <c r="Y94" s="7" t="s">
        <v>282</v>
      </c>
      <c r="Z94" s="7" t="s">
        <v>282</v>
      </c>
      <c r="AA94" s="7" t="s">
        <v>282</v>
      </c>
      <c r="AB94" s="7" t="s">
        <v>282</v>
      </c>
      <c r="AC94" s="7" t="s">
        <v>282</v>
      </c>
      <c r="AD94" s="7" t="s">
        <v>282</v>
      </c>
      <c r="AE94" s="7" t="s">
        <v>282</v>
      </c>
      <c r="AF94" s="7" t="s">
        <v>282</v>
      </c>
      <c r="AG94" s="7" t="s">
        <v>282</v>
      </c>
      <c r="AH94" s="7" t="s">
        <v>282</v>
      </c>
      <c r="AI94" s="7" t="s">
        <v>282</v>
      </c>
      <c r="AJ94" s="7" t="s">
        <v>282</v>
      </c>
      <c r="AK94" s="7" t="s">
        <v>282</v>
      </c>
      <c r="AL94" s="7" t="s">
        <v>282</v>
      </c>
      <c r="AM94" s="7" t="s">
        <v>282</v>
      </c>
      <c r="AN94" s="7" t="s">
        <v>282</v>
      </c>
      <c r="AO94" s="7" t="s">
        <v>282</v>
      </c>
      <c r="AP94" s="7" t="s">
        <v>282</v>
      </c>
      <c r="AQ94" s="7" t="s">
        <v>282</v>
      </c>
      <c r="AR94" s="7" t="s">
        <v>282</v>
      </c>
      <c r="AS94" s="7" t="s">
        <v>282</v>
      </c>
      <c r="AT94" s="7" t="s">
        <v>282</v>
      </c>
      <c r="AU94" s="7" t="s">
        <v>282</v>
      </c>
      <c r="AV94" s="7" t="s">
        <v>282</v>
      </c>
      <c r="AW94" s="7" t="s">
        <v>282</v>
      </c>
      <c r="AX94" s="7" t="s">
        <v>282</v>
      </c>
      <c r="AY94" s="7" t="s">
        <v>282</v>
      </c>
      <c r="AZ94" s="7" t="s">
        <v>282</v>
      </c>
      <c r="BA94" s="7" t="s">
        <v>282</v>
      </c>
      <c r="BB94" s="7" t="s">
        <v>282</v>
      </c>
      <c r="BC94" s="7" t="s">
        <v>282</v>
      </c>
      <c r="BD94" s="7" t="s">
        <v>282</v>
      </c>
      <c r="BE94" s="7" t="s">
        <v>282</v>
      </c>
      <c r="BF94" s="7" t="s">
        <v>282</v>
      </c>
      <c r="BG94" s="7" t="s">
        <v>282</v>
      </c>
      <c r="BH94" s="7" t="s">
        <v>282</v>
      </c>
      <c r="BI94" s="7" t="s">
        <v>282</v>
      </c>
      <c r="BJ94" s="7" t="s">
        <v>282</v>
      </c>
      <c r="BK94" s="7" t="s">
        <v>282</v>
      </c>
      <c r="BL94" s="7" t="s">
        <v>282</v>
      </c>
      <c r="BM94" s="7" t="s">
        <v>282</v>
      </c>
      <c r="BN94" s="7" t="s">
        <v>282</v>
      </c>
      <c r="BO94" s="7" t="s">
        <v>282</v>
      </c>
      <c r="BP94" s="7" t="s">
        <v>282</v>
      </c>
      <c r="BQ94" s="7" t="s">
        <v>282</v>
      </c>
      <c r="BR94" s="7" t="s">
        <v>282</v>
      </c>
      <c r="BS94" s="7" t="s">
        <v>282</v>
      </c>
      <c r="BT94" s="7" t="s">
        <v>282</v>
      </c>
      <c r="BU94" s="7" t="s">
        <v>282</v>
      </c>
      <c r="BV94" s="7" t="s">
        <v>282</v>
      </c>
      <c r="BW94" s="7" t="s">
        <v>282</v>
      </c>
      <c r="BX94" s="7" t="s">
        <v>282</v>
      </c>
      <c r="BY94" s="7" t="s">
        <v>282</v>
      </c>
      <c r="BZ94" s="7" t="s">
        <v>282</v>
      </c>
      <c r="CA94" s="7" t="s">
        <v>282</v>
      </c>
      <c r="CB94" s="7" t="s">
        <v>282</v>
      </c>
      <c r="CC94" s="7" t="s">
        <v>282</v>
      </c>
      <c r="CD94" s="7" t="s">
        <v>282</v>
      </c>
      <c r="CE94" s="7" t="s">
        <v>282</v>
      </c>
      <c r="CF94" s="7" t="s">
        <v>282</v>
      </c>
      <c r="CG94" s="7" t="s">
        <v>282</v>
      </c>
      <c r="CH94" s="7" t="s">
        <v>282</v>
      </c>
      <c r="CI94" s="7" t="s">
        <v>282</v>
      </c>
      <c r="CJ94" s="7" t="s">
        <v>282</v>
      </c>
      <c r="CK94" s="7" t="s">
        <v>282</v>
      </c>
      <c r="CL94" s="7" t="s">
        <v>282</v>
      </c>
      <c r="CM94" s="7" t="s">
        <v>282</v>
      </c>
      <c r="CN94" s="7" t="s">
        <v>282</v>
      </c>
      <c r="CO94" s="7" t="s">
        <v>282</v>
      </c>
      <c r="CP94" s="7" t="s">
        <v>282</v>
      </c>
      <c r="CQ94" s="7" t="s">
        <v>282</v>
      </c>
      <c r="CR94" s="7" t="s">
        <v>282</v>
      </c>
      <c r="CS94" s="7" t="s">
        <v>282</v>
      </c>
      <c r="CT94" s="7" t="s">
        <v>282</v>
      </c>
      <c r="CU94" s="7" t="s">
        <v>282</v>
      </c>
      <c r="CV94" s="7" t="s">
        <v>282</v>
      </c>
      <c r="CW94" s="7" t="s">
        <v>282</v>
      </c>
      <c r="CX94" s="7" t="s">
        <v>282</v>
      </c>
      <c r="CY94" s="7" t="s">
        <v>282</v>
      </c>
      <c r="CZ94" s="7" t="s">
        <v>282</v>
      </c>
      <c r="DA94" s="7" t="s">
        <v>282</v>
      </c>
      <c r="DB94" s="7" t="s">
        <v>282</v>
      </c>
      <c r="DC94" s="7" t="s">
        <v>282</v>
      </c>
      <c r="DD94" s="7" t="s">
        <v>282</v>
      </c>
      <c r="DE94" s="7" t="s">
        <v>282</v>
      </c>
      <c r="DF94" s="7" t="s">
        <v>282</v>
      </c>
      <c r="DG94" s="7" t="s">
        <v>282</v>
      </c>
      <c r="DH94" s="7" t="s">
        <v>282</v>
      </c>
      <c r="DI94" s="7" t="s">
        <v>282</v>
      </c>
      <c r="DJ94" s="7" t="s">
        <v>282</v>
      </c>
      <c r="DK94" s="7" t="s">
        <v>282</v>
      </c>
      <c r="DL94" s="7" t="s">
        <v>282</v>
      </c>
      <c r="DM94" s="7" t="s">
        <v>282</v>
      </c>
      <c r="DN94" s="7" t="s">
        <v>282</v>
      </c>
      <c r="DO94" s="7" t="s">
        <v>282</v>
      </c>
      <c r="DP94" s="7" t="s">
        <v>282</v>
      </c>
      <c r="DQ94" s="7" t="s">
        <v>282</v>
      </c>
      <c r="DR94" s="7" t="s">
        <v>282</v>
      </c>
      <c r="DS94" s="7" t="s">
        <v>282</v>
      </c>
      <c r="DT94" s="7" t="s">
        <v>282</v>
      </c>
      <c r="DU94" s="7" t="s">
        <v>282</v>
      </c>
      <c r="DV94" s="7" t="s">
        <v>282</v>
      </c>
      <c r="DW94" s="7" t="s">
        <v>282</v>
      </c>
      <c r="DX94" s="7" t="s">
        <v>282</v>
      </c>
      <c r="DY94" s="7" t="s">
        <v>282</v>
      </c>
      <c r="DZ94" s="7" t="s">
        <v>282</v>
      </c>
      <c r="EA94" s="7" t="s">
        <v>282</v>
      </c>
      <c r="EB94" s="7" t="s">
        <v>282</v>
      </c>
      <c r="EC94" s="7" t="s">
        <v>282</v>
      </c>
      <c r="ED94" s="7" t="s">
        <v>282</v>
      </c>
      <c r="EE94" s="7" t="s">
        <v>282</v>
      </c>
      <c r="EF94" s="7" t="s">
        <v>282</v>
      </c>
      <c r="EG94" s="7" t="s">
        <v>282</v>
      </c>
      <c r="EH94" s="7" t="s">
        <v>282</v>
      </c>
      <c r="EI94" s="7" t="s">
        <v>282</v>
      </c>
      <c r="EJ94" s="7" t="s">
        <v>282</v>
      </c>
      <c r="EK94" s="7" t="s">
        <v>282</v>
      </c>
      <c r="EL94" s="7" t="s">
        <v>282</v>
      </c>
      <c r="EM94" s="7" t="s">
        <v>282</v>
      </c>
      <c r="EN94" s="7" t="s">
        <v>282</v>
      </c>
      <c r="EO94" s="7" t="s">
        <v>282</v>
      </c>
      <c r="EP94" s="7" t="s">
        <v>282</v>
      </c>
      <c r="EQ94" s="7" t="s">
        <v>282</v>
      </c>
      <c r="ER94" s="7" t="s">
        <v>282</v>
      </c>
      <c r="ES94" s="7" t="s">
        <v>282</v>
      </c>
      <c r="ET94" s="7" t="s">
        <v>282</v>
      </c>
      <c r="EU94" s="7" t="s">
        <v>282</v>
      </c>
      <c r="EV94" s="7" t="s">
        <v>282</v>
      </c>
      <c r="EW94" s="7" t="s">
        <v>282</v>
      </c>
      <c r="EX94" s="7" t="s">
        <v>282</v>
      </c>
      <c r="EY94" s="7" t="s">
        <v>282</v>
      </c>
      <c r="EZ94" s="7" t="s">
        <v>282</v>
      </c>
      <c r="FA94" s="7" t="s">
        <v>282</v>
      </c>
      <c r="FB94" s="7" t="s">
        <v>282</v>
      </c>
      <c r="FC94" s="7" t="s">
        <v>282</v>
      </c>
      <c r="FD94" s="7" t="s">
        <v>282</v>
      </c>
      <c r="FE94" s="7" t="s">
        <v>282</v>
      </c>
      <c r="FF94" s="7" t="s">
        <v>282</v>
      </c>
      <c r="FG94" s="7" t="s">
        <v>282</v>
      </c>
      <c r="FH94" s="7" t="s">
        <v>282</v>
      </c>
      <c r="FI94" s="7" t="s">
        <v>282</v>
      </c>
      <c r="FJ94" s="7" t="s">
        <v>282</v>
      </c>
      <c r="FK94" s="7" t="s">
        <v>282</v>
      </c>
      <c r="FL94" s="7" t="s">
        <v>282</v>
      </c>
      <c r="FM94" s="7" t="s">
        <v>282</v>
      </c>
      <c r="FN94" s="7" t="s">
        <v>282</v>
      </c>
      <c r="FO94" s="7" t="s">
        <v>282</v>
      </c>
      <c r="FP94" s="7" t="s">
        <v>282</v>
      </c>
      <c r="FQ94" s="7" t="s">
        <v>282</v>
      </c>
      <c r="FR94" s="7" t="s">
        <v>282</v>
      </c>
      <c r="FS94" s="7" t="s">
        <v>282</v>
      </c>
      <c r="FT94" s="7" t="s">
        <v>282</v>
      </c>
      <c r="FU94" s="7" t="s">
        <v>282</v>
      </c>
      <c r="FV94" s="7" t="s">
        <v>282</v>
      </c>
      <c r="FW94" s="7" t="s">
        <v>282</v>
      </c>
      <c r="FX94" s="7" t="s">
        <v>282</v>
      </c>
      <c r="FY94" s="7" t="s">
        <v>282</v>
      </c>
      <c r="FZ94" s="7" t="s">
        <v>282</v>
      </c>
      <c r="GA94" s="7" t="s">
        <v>282</v>
      </c>
      <c r="GB94" s="7" t="s">
        <v>282</v>
      </c>
      <c r="GC94" s="7" t="s">
        <v>282</v>
      </c>
      <c r="GD94" s="7" t="s">
        <v>282</v>
      </c>
      <c r="GE94" s="7" t="s">
        <v>282</v>
      </c>
      <c r="GF94" s="7" t="s">
        <v>282</v>
      </c>
      <c r="GG94" s="7" t="s">
        <v>282</v>
      </c>
      <c r="GH94" s="7" t="s">
        <v>282</v>
      </c>
      <c r="GI94" s="7" t="s">
        <v>282</v>
      </c>
      <c r="GJ94" s="7" t="s">
        <v>282</v>
      </c>
      <c r="GK94" s="7" t="s">
        <v>282</v>
      </c>
      <c r="GL94" s="7" t="s">
        <v>282</v>
      </c>
      <c r="GM94" s="7" t="s">
        <v>282</v>
      </c>
      <c r="GN94" s="7" t="s">
        <v>282</v>
      </c>
      <c r="GO94" s="7" t="s">
        <v>282</v>
      </c>
      <c r="GP94" s="7" t="s">
        <v>282</v>
      </c>
      <c r="GQ94" s="7" t="s">
        <v>282</v>
      </c>
      <c r="GR94" s="7" t="s">
        <v>282</v>
      </c>
      <c r="GS94" s="7" t="s">
        <v>282</v>
      </c>
      <c r="GT94" s="7" t="s">
        <v>282</v>
      </c>
      <c r="GU94" s="7" t="s">
        <v>282</v>
      </c>
      <c r="GV94" s="7" t="s">
        <v>282</v>
      </c>
      <c r="GW94" s="7" t="s">
        <v>282</v>
      </c>
      <c r="GX94" s="7" t="s">
        <v>282</v>
      </c>
      <c r="GY94" s="7" t="s">
        <v>282</v>
      </c>
      <c r="GZ94" s="7" t="s">
        <v>282</v>
      </c>
      <c r="HA94" s="7" t="s">
        <v>282</v>
      </c>
      <c r="HB94" s="7" t="s">
        <v>282</v>
      </c>
      <c r="HC94" s="7" t="s">
        <v>282</v>
      </c>
      <c r="HD94" s="7" t="s">
        <v>282</v>
      </c>
      <c r="HE94" s="7" t="s">
        <v>282</v>
      </c>
      <c r="HF94" s="7" t="s">
        <v>282</v>
      </c>
      <c r="HG94" s="7" t="s">
        <v>282</v>
      </c>
      <c r="HH94" s="7" t="s">
        <v>282</v>
      </c>
      <c r="HI94" s="7" t="s">
        <v>282</v>
      </c>
      <c r="HJ94" s="7" t="s">
        <v>282</v>
      </c>
      <c r="HK94" s="7" t="s">
        <v>282</v>
      </c>
      <c r="HL94" s="7" t="s">
        <v>282</v>
      </c>
      <c r="HM94" s="7" t="s">
        <v>282</v>
      </c>
      <c r="HN94" s="7" t="s">
        <v>282</v>
      </c>
      <c r="HO94" s="7" t="s">
        <v>282</v>
      </c>
      <c r="HP94" s="7" t="s">
        <v>282</v>
      </c>
      <c r="HQ94" s="7" t="s">
        <v>282</v>
      </c>
      <c r="HR94" s="7" t="s">
        <v>282</v>
      </c>
      <c r="HS94" s="7" t="s">
        <v>282</v>
      </c>
      <c r="HT94" s="7" t="s">
        <v>282</v>
      </c>
      <c r="HU94" s="7" t="s">
        <v>282</v>
      </c>
      <c r="HV94" s="7" t="s">
        <v>282</v>
      </c>
      <c r="HW94" s="7" t="s">
        <v>282</v>
      </c>
      <c r="HX94" s="7" t="s">
        <v>282</v>
      </c>
      <c r="HY94" s="7" t="s">
        <v>282</v>
      </c>
      <c r="HZ94" s="7" t="s">
        <v>282</v>
      </c>
      <c r="IA94" s="7" t="s">
        <v>282</v>
      </c>
      <c r="IB94" s="7" t="s">
        <v>282</v>
      </c>
      <c r="IC94" s="7" t="s">
        <v>282</v>
      </c>
    </row>
    <row r="95" spans="1:237" x14ac:dyDescent="0.2">
      <c r="A95" s="6">
        <v>45745.551053240742</v>
      </c>
      <c r="B95" s="6">
        <v>45745.551203703704</v>
      </c>
      <c r="C95" s="7" t="s">
        <v>240</v>
      </c>
      <c r="D95" s="7" t="s">
        <v>1265</v>
      </c>
      <c r="E95">
        <v>0</v>
      </c>
      <c r="F95">
        <v>12</v>
      </c>
      <c r="G95" s="7" t="s">
        <v>495</v>
      </c>
      <c r="H95" s="6">
        <v>45752.551248703705</v>
      </c>
      <c r="I95" s="7" t="s">
        <v>1266</v>
      </c>
      <c r="J95" s="7" t="s">
        <v>282</v>
      </c>
      <c r="K95" s="7" t="s">
        <v>282</v>
      </c>
      <c r="L95" s="7" t="s">
        <v>282</v>
      </c>
      <c r="M95" s="7" t="s">
        <v>282</v>
      </c>
      <c r="N95">
        <v>49.565100000000001</v>
      </c>
      <c r="O95">
        <v>-97.1815</v>
      </c>
      <c r="P95" s="7" t="s">
        <v>283</v>
      </c>
      <c r="Q95" s="7" t="s">
        <v>284</v>
      </c>
      <c r="R95">
        <v>0.89999997615814209</v>
      </c>
      <c r="S95" s="7" t="s">
        <v>282</v>
      </c>
      <c r="T95" s="7" t="s">
        <v>282</v>
      </c>
      <c r="U95" s="7" t="s">
        <v>282</v>
      </c>
      <c r="V95" s="7" t="s">
        <v>282</v>
      </c>
      <c r="W95" s="7" t="s">
        <v>282</v>
      </c>
      <c r="X95" s="7" t="s">
        <v>282</v>
      </c>
      <c r="Y95" s="7" t="s">
        <v>282</v>
      </c>
      <c r="Z95" s="7" t="s">
        <v>282</v>
      </c>
      <c r="AA95" s="7" t="s">
        <v>282</v>
      </c>
      <c r="AB95" s="7" t="s">
        <v>282</v>
      </c>
      <c r="AC95" s="7" t="s">
        <v>282</v>
      </c>
      <c r="AD95" s="7" t="s">
        <v>282</v>
      </c>
      <c r="AE95" s="7" t="s">
        <v>282</v>
      </c>
      <c r="AF95" s="7" t="s">
        <v>282</v>
      </c>
      <c r="AG95" s="7" t="s">
        <v>282</v>
      </c>
      <c r="AH95" s="7" t="s">
        <v>282</v>
      </c>
      <c r="AI95" s="7" t="s">
        <v>282</v>
      </c>
      <c r="AJ95" s="7" t="s">
        <v>282</v>
      </c>
      <c r="AK95" s="7" t="s">
        <v>282</v>
      </c>
      <c r="AL95" s="7" t="s">
        <v>282</v>
      </c>
      <c r="AM95" s="7" t="s">
        <v>282</v>
      </c>
      <c r="AN95" s="7" t="s">
        <v>282</v>
      </c>
      <c r="AO95" s="7" t="s">
        <v>282</v>
      </c>
      <c r="AP95" s="7" t="s">
        <v>282</v>
      </c>
      <c r="AQ95" s="7" t="s">
        <v>282</v>
      </c>
      <c r="AR95" s="7" t="s">
        <v>282</v>
      </c>
      <c r="AS95" s="7" t="s">
        <v>282</v>
      </c>
      <c r="AT95" s="7" t="s">
        <v>282</v>
      </c>
      <c r="AU95" s="7" t="s">
        <v>282</v>
      </c>
      <c r="AV95" s="7" t="s">
        <v>282</v>
      </c>
      <c r="AW95" s="7" t="s">
        <v>282</v>
      </c>
      <c r="AX95" s="7" t="s">
        <v>282</v>
      </c>
      <c r="AY95" s="7" t="s">
        <v>282</v>
      </c>
      <c r="AZ95" s="7" t="s">
        <v>282</v>
      </c>
      <c r="BA95" s="7" t="s">
        <v>282</v>
      </c>
      <c r="BB95" s="7" t="s">
        <v>282</v>
      </c>
      <c r="BC95" s="7" t="s">
        <v>282</v>
      </c>
      <c r="BD95" s="7" t="s">
        <v>282</v>
      </c>
      <c r="BE95" s="7" t="s">
        <v>282</v>
      </c>
      <c r="BF95" s="7" t="s">
        <v>282</v>
      </c>
      <c r="BG95" s="7" t="s">
        <v>282</v>
      </c>
      <c r="BH95" s="7" t="s">
        <v>282</v>
      </c>
      <c r="BI95" s="7" t="s">
        <v>282</v>
      </c>
      <c r="BJ95" s="7" t="s">
        <v>282</v>
      </c>
      <c r="BK95" s="7" t="s">
        <v>282</v>
      </c>
      <c r="BL95" s="7" t="s">
        <v>282</v>
      </c>
      <c r="BM95" s="7" t="s">
        <v>282</v>
      </c>
      <c r="BN95" s="7" t="s">
        <v>282</v>
      </c>
      <c r="BO95" s="7" t="s">
        <v>282</v>
      </c>
      <c r="BP95" s="7" t="s">
        <v>282</v>
      </c>
      <c r="BQ95" s="7" t="s">
        <v>282</v>
      </c>
      <c r="BR95" s="7" t="s">
        <v>282</v>
      </c>
      <c r="BS95" s="7" t="s">
        <v>282</v>
      </c>
      <c r="BT95" s="7" t="s">
        <v>282</v>
      </c>
      <c r="BU95" s="7" t="s">
        <v>282</v>
      </c>
      <c r="BV95" s="7" t="s">
        <v>282</v>
      </c>
      <c r="BW95" s="7" t="s">
        <v>282</v>
      </c>
      <c r="BX95" s="7" t="s">
        <v>282</v>
      </c>
      <c r="BY95" s="7" t="s">
        <v>282</v>
      </c>
      <c r="BZ95" s="7" t="s">
        <v>282</v>
      </c>
      <c r="CA95" s="7" t="s">
        <v>282</v>
      </c>
      <c r="CB95" s="7" t="s">
        <v>282</v>
      </c>
      <c r="CC95" s="7" t="s">
        <v>282</v>
      </c>
      <c r="CD95" s="7" t="s">
        <v>282</v>
      </c>
      <c r="CE95" s="7" t="s">
        <v>282</v>
      </c>
      <c r="CF95" s="7" t="s">
        <v>282</v>
      </c>
      <c r="CG95" s="7" t="s">
        <v>282</v>
      </c>
      <c r="CH95" s="7" t="s">
        <v>282</v>
      </c>
      <c r="CI95" s="7" t="s">
        <v>282</v>
      </c>
      <c r="CJ95" s="7" t="s">
        <v>282</v>
      </c>
      <c r="CK95" s="7" t="s">
        <v>282</v>
      </c>
      <c r="CL95" s="7" t="s">
        <v>282</v>
      </c>
      <c r="CM95" s="7" t="s">
        <v>282</v>
      </c>
      <c r="CN95" s="7" t="s">
        <v>282</v>
      </c>
      <c r="CO95" s="7" t="s">
        <v>282</v>
      </c>
      <c r="CP95" s="7" t="s">
        <v>282</v>
      </c>
      <c r="CQ95" s="7" t="s">
        <v>282</v>
      </c>
      <c r="CR95" s="7" t="s">
        <v>282</v>
      </c>
      <c r="CS95" s="7" t="s">
        <v>282</v>
      </c>
      <c r="CT95" s="7" t="s">
        <v>282</v>
      </c>
      <c r="CU95" s="7" t="s">
        <v>282</v>
      </c>
      <c r="CV95" s="7" t="s">
        <v>282</v>
      </c>
      <c r="CW95" s="7" t="s">
        <v>282</v>
      </c>
      <c r="CX95" s="7" t="s">
        <v>282</v>
      </c>
      <c r="CY95" s="7" t="s">
        <v>282</v>
      </c>
      <c r="CZ95" s="7" t="s">
        <v>282</v>
      </c>
      <c r="DA95" s="7" t="s">
        <v>282</v>
      </c>
      <c r="DB95" s="7" t="s">
        <v>282</v>
      </c>
      <c r="DC95" s="7" t="s">
        <v>282</v>
      </c>
      <c r="DD95" s="7" t="s">
        <v>282</v>
      </c>
      <c r="DE95" s="7" t="s">
        <v>282</v>
      </c>
      <c r="DF95" s="7" t="s">
        <v>282</v>
      </c>
      <c r="DG95" s="7" t="s">
        <v>282</v>
      </c>
      <c r="DH95" s="7" t="s">
        <v>282</v>
      </c>
      <c r="DI95" s="7" t="s">
        <v>282</v>
      </c>
      <c r="DJ95" s="7" t="s">
        <v>282</v>
      </c>
      <c r="DK95" s="7" t="s">
        <v>282</v>
      </c>
      <c r="DL95" s="7" t="s">
        <v>282</v>
      </c>
      <c r="DM95" s="7" t="s">
        <v>282</v>
      </c>
      <c r="DN95" s="7" t="s">
        <v>282</v>
      </c>
      <c r="DO95" s="7" t="s">
        <v>282</v>
      </c>
      <c r="DP95" s="7" t="s">
        <v>282</v>
      </c>
      <c r="DQ95" s="7" t="s">
        <v>282</v>
      </c>
      <c r="DR95" s="7" t="s">
        <v>282</v>
      </c>
      <c r="DS95" s="7" t="s">
        <v>282</v>
      </c>
      <c r="DT95" s="7" t="s">
        <v>282</v>
      </c>
      <c r="DU95" s="7" t="s">
        <v>282</v>
      </c>
      <c r="DV95" s="7" t="s">
        <v>282</v>
      </c>
      <c r="DW95" s="7" t="s">
        <v>282</v>
      </c>
      <c r="DX95" s="7" t="s">
        <v>282</v>
      </c>
      <c r="DY95" s="7" t="s">
        <v>282</v>
      </c>
      <c r="DZ95" s="7" t="s">
        <v>282</v>
      </c>
      <c r="EA95" s="7" t="s">
        <v>282</v>
      </c>
      <c r="EB95" s="7" t="s">
        <v>282</v>
      </c>
      <c r="EC95" s="7" t="s">
        <v>282</v>
      </c>
      <c r="ED95" s="7" t="s">
        <v>282</v>
      </c>
      <c r="EE95" s="7" t="s">
        <v>282</v>
      </c>
      <c r="EF95" s="7" t="s">
        <v>282</v>
      </c>
      <c r="EG95" s="7" t="s">
        <v>282</v>
      </c>
      <c r="EH95" s="7" t="s">
        <v>282</v>
      </c>
      <c r="EI95" s="7" t="s">
        <v>282</v>
      </c>
      <c r="EJ95" s="7" t="s">
        <v>282</v>
      </c>
      <c r="EK95" s="7" t="s">
        <v>282</v>
      </c>
      <c r="EL95" s="7" t="s">
        <v>282</v>
      </c>
      <c r="EM95" s="7" t="s">
        <v>282</v>
      </c>
      <c r="EN95" s="7" t="s">
        <v>282</v>
      </c>
      <c r="EO95" s="7" t="s">
        <v>282</v>
      </c>
      <c r="EP95" s="7" t="s">
        <v>282</v>
      </c>
      <c r="EQ95" s="7" t="s">
        <v>282</v>
      </c>
      <c r="ER95" s="7" t="s">
        <v>282</v>
      </c>
      <c r="ES95" s="7" t="s">
        <v>282</v>
      </c>
      <c r="ET95" s="7" t="s">
        <v>282</v>
      </c>
      <c r="EU95" s="7" t="s">
        <v>282</v>
      </c>
      <c r="EV95" s="7" t="s">
        <v>282</v>
      </c>
      <c r="EW95" s="7" t="s">
        <v>282</v>
      </c>
      <c r="EX95" s="7" t="s">
        <v>282</v>
      </c>
      <c r="EY95" s="7" t="s">
        <v>282</v>
      </c>
      <c r="EZ95" s="7" t="s">
        <v>282</v>
      </c>
      <c r="FA95" s="7" t="s">
        <v>282</v>
      </c>
      <c r="FB95" s="7" t="s">
        <v>282</v>
      </c>
      <c r="FC95" s="7" t="s">
        <v>282</v>
      </c>
      <c r="FD95" s="7" t="s">
        <v>282</v>
      </c>
      <c r="FE95" s="7" t="s">
        <v>282</v>
      </c>
      <c r="FF95" s="7" t="s">
        <v>282</v>
      </c>
      <c r="FG95" s="7" t="s">
        <v>282</v>
      </c>
      <c r="FH95" s="7" t="s">
        <v>282</v>
      </c>
      <c r="FI95" s="7" t="s">
        <v>282</v>
      </c>
      <c r="FJ95" s="7" t="s">
        <v>282</v>
      </c>
      <c r="FK95" s="7" t="s">
        <v>282</v>
      </c>
      <c r="FL95" s="7" t="s">
        <v>282</v>
      </c>
      <c r="FM95" s="7" t="s">
        <v>282</v>
      </c>
      <c r="FN95" s="7" t="s">
        <v>282</v>
      </c>
      <c r="FO95" s="7" t="s">
        <v>282</v>
      </c>
      <c r="FP95" s="7" t="s">
        <v>282</v>
      </c>
      <c r="FQ95" s="7" t="s">
        <v>282</v>
      </c>
      <c r="FR95" s="7" t="s">
        <v>282</v>
      </c>
      <c r="FS95" s="7" t="s">
        <v>282</v>
      </c>
      <c r="FT95" s="7" t="s">
        <v>282</v>
      </c>
      <c r="FU95" s="7" t="s">
        <v>282</v>
      </c>
      <c r="FV95" s="7" t="s">
        <v>282</v>
      </c>
      <c r="FW95" s="7" t="s">
        <v>282</v>
      </c>
      <c r="FX95" s="7" t="s">
        <v>282</v>
      </c>
      <c r="FY95" s="7" t="s">
        <v>282</v>
      </c>
      <c r="FZ95" s="7" t="s">
        <v>282</v>
      </c>
      <c r="GA95" s="7" t="s">
        <v>282</v>
      </c>
      <c r="GB95" s="7" t="s">
        <v>282</v>
      </c>
      <c r="GC95" s="7" t="s">
        <v>282</v>
      </c>
      <c r="GD95" s="7" t="s">
        <v>282</v>
      </c>
      <c r="GE95" s="7" t="s">
        <v>282</v>
      </c>
      <c r="GF95" s="7" t="s">
        <v>282</v>
      </c>
      <c r="GG95" s="7" t="s">
        <v>282</v>
      </c>
      <c r="GH95" s="7" t="s">
        <v>282</v>
      </c>
      <c r="GI95" s="7" t="s">
        <v>282</v>
      </c>
      <c r="GJ95" s="7" t="s">
        <v>282</v>
      </c>
      <c r="GK95" s="7" t="s">
        <v>282</v>
      </c>
      <c r="GL95" s="7" t="s">
        <v>282</v>
      </c>
      <c r="GM95" s="7" t="s">
        <v>282</v>
      </c>
      <c r="GN95" s="7" t="s">
        <v>282</v>
      </c>
      <c r="GO95" s="7" t="s">
        <v>282</v>
      </c>
      <c r="GP95" s="7" t="s">
        <v>282</v>
      </c>
      <c r="GQ95" s="7" t="s">
        <v>282</v>
      </c>
      <c r="GR95" s="7" t="s">
        <v>282</v>
      </c>
      <c r="GS95" s="7" t="s">
        <v>282</v>
      </c>
      <c r="GT95" s="7" t="s">
        <v>282</v>
      </c>
      <c r="GU95" s="7" t="s">
        <v>282</v>
      </c>
      <c r="GV95" s="7" t="s">
        <v>282</v>
      </c>
      <c r="GW95" s="7" t="s">
        <v>282</v>
      </c>
      <c r="GX95" s="7" t="s">
        <v>282</v>
      </c>
      <c r="GY95" s="7" t="s">
        <v>282</v>
      </c>
      <c r="GZ95" s="7" t="s">
        <v>282</v>
      </c>
      <c r="HA95" s="7" t="s">
        <v>282</v>
      </c>
      <c r="HB95" s="7" t="s">
        <v>282</v>
      </c>
      <c r="HC95" s="7" t="s">
        <v>282</v>
      </c>
      <c r="HD95" s="7" t="s">
        <v>282</v>
      </c>
      <c r="HE95" s="7" t="s">
        <v>282</v>
      </c>
      <c r="HF95" s="7" t="s">
        <v>282</v>
      </c>
      <c r="HG95" s="7" t="s">
        <v>282</v>
      </c>
      <c r="HH95" s="7" t="s">
        <v>282</v>
      </c>
      <c r="HI95" s="7" t="s">
        <v>282</v>
      </c>
      <c r="HJ95" s="7" t="s">
        <v>282</v>
      </c>
      <c r="HK95" s="7" t="s">
        <v>282</v>
      </c>
      <c r="HL95" s="7" t="s">
        <v>282</v>
      </c>
      <c r="HM95" s="7" t="s">
        <v>282</v>
      </c>
      <c r="HN95" s="7" t="s">
        <v>282</v>
      </c>
      <c r="HO95" s="7" t="s">
        <v>282</v>
      </c>
      <c r="HP95" s="7" t="s">
        <v>282</v>
      </c>
      <c r="HQ95" s="7" t="s">
        <v>282</v>
      </c>
      <c r="HR95" s="7" t="s">
        <v>282</v>
      </c>
      <c r="HS95" s="7" t="s">
        <v>282</v>
      </c>
      <c r="HT95" s="7" t="s">
        <v>282</v>
      </c>
      <c r="HU95" s="7" t="s">
        <v>282</v>
      </c>
      <c r="HV95" s="7" t="s">
        <v>282</v>
      </c>
      <c r="HW95" s="7" t="s">
        <v>282</v>
      </c>
      <c r="HX95" s="7" t="s">
        <v>282</v>
      </c>
      <c r="HY95" s="7" t="s">
        <v>282</v>
      </c>
      <c r="HZ95" s="7" t="s">
        <v>282</v>
      </c>
      <c r="IA95" s="7" t="s">
        <v>282</v>
      </c>
      <c r="IB95" s="7" t="s">
        <v>282</v>
      </c>
      <c r="IC95" s="7" t="s">
        <v>282</v>
      </c>
    </row>
    <row r="96" spans="1:237" x14ac:dyDescent="0.2">
      <c r="A96" s="6">
        <v>45753.086805555555</v>
      </c>
      <c r="B96" s="6">
        <v>45753.095208333332</v>
      </c>
      <c r="C96" s="7" t="s">
        <v>240</v>
      </c>
      <c r="D96" s="7" t="s">
        <v>1267</v>
      </c>
      <c r="E96">
        <v>100</v>
      </c>
      <c r="F96">
        <v>726</v>
      </c>
      <c r="G96" s="7" t="s">
        <v>280</v>
      </c>
      <c r="H96" s="6">
        <v>45753.095231562504</v>
      </c>
      <c r="I96" s="7" t="s">
        <v>1268</v>
      </c>
      <c r="J96" s="7" t="s">
        <v>282</v>
      </c>
      <c r="K96" s="7" t="s">
        <v>282</v>
      </c>
      <c r="L96" s="7" t="s">
        <v>282</v>
      </c>
      <c r="M96" s="7" t="s">
        <v>282</v>
      </c>
      <c r="N96">
        <v>43.654699999999998</v>
      </c>
      <c r="O96">
        <v>-79.362300000000005</v>
      </c>
      <c r="P96" s="7" t="s">
        <v>283</v>
      </c>
      <c r="Q96" s="7" t="s">
        <v>284</v>
      </c>
      <c r="R96">
        <v>0.80000001192092896</v>
      </c>
      <c r="S96" s="7" t="s">
        <v>285</v>
      </c>
      <c r="T96" s="7" t="s">
        <v>285</v>
      </c>
      <c r="U96" s="7" t="s">
        <v>285</v>
      </c>
      <c r="V96" s="7" t="s">
        <v>285</v>
      </c>
      <c r="W96" s="7" t="s">
        <v>905</v>
      </c>
      <c r="X96" s="7" t="s">
        <v>328</v>
      </c>
      <c r="Y96" s="7" t="s">
        <v>288</v>
      </c>
      <c r="Z96" s="7" t="s">
        <v>289</v>
      </c>
      <c r="AA96" s="7" t="s">
        <v>317</v>
      </c>
      <c r="AB96" s="7" t="s">
        <v>317</v>
      </c>
      <c r="AC96" s="7" t="s">
        <v>291</v>
      </c>
      <c r="AD96" s="7" t="s">
        <v>292</v>
      </c>
      <c r="AE96">
        <v>4.8540000000000001</v>
      </c>
      <c r="AF96">
        <v>6.2229999999999999</v>
      </c>
      <c r="AG96">
        <v>8.86</v>
      </c>
      <c r="AH96">
        <v>2</v>
      </c>
      <c r="AI96" s="7" t="s">
        <v>299</v>
      </c>
      <c r="AJ96" s="7" t="s">
        <v>292</v>
      </c>
      <c r="AK96">
        <v>10.385999999999999</v>
      </c>
      <c r="AL96">
        <v>11.912000000000001</v>
      </c>
      <c r="AM96">
        <v>13.321</v>
      </c>
      <c r="AN96">
        <v>2</v>
      </c>
      <c r="AO96" s="7" t="s">
        <v>299</v>
      </c>
      <c r="AP96" s="7" t="s">
        <v>292</v>
      </c>
      <c r="AQ96">
        <v>6.0730000000000004</v>
      </c>
      <c r="AR96">
        <v>9.1829999999999998</v>
      </c>
      <c r="AS96">
        <v>9.9250000000000007</v>
      </c>
      <c r="AT96">
        <v>2</v>
      </c>
      <c r="AU96" s="7" t="s">
        <v>295</v>
      </c>
      <c r="AV96" s="7" t="s">
        <v>292</v>
      </c>
      <c r="AW96">
        <v>5.7380000000000004</v>
      </c>
      <c r="AX96">
        <v>6.9939999999999998</v>
      </c>
      <c r="AY96">
        <v>8.8239999999999998</v>
      </c>
      <c r="AZ96">
        <v>2</v>
      </c>
      <c r="BA96" s="7" t="s">
        <v>295</v>
      </c>
      <c r="BB96" s="7" t="s">
        <v>296</v>
      </c>
      <c r="BC96">
        <v>5.6130000000000004</v>
      </c>
      <c r="BD96">
        <v>8.8219999999999992</v>
      </c>
      <c r="BE96">
        <v>9.8940000000000001</v>
      </c>
      <c r="BF96">
        <v>4</v>
      </c>
      <c r="BG96" s="7" t="s">
        <v>291</v>
      </c>
      <c r="BH96" s="7" t="s">
        <v>292</v>
      </c>
      <c r="BI96">
        <v>5.36</v>
      </c>
      <c r="BJ96">
        <v>6.4950000000000001</v>
      </c>
      <c r="BK96">
        <v>8.7550000000000008</v>
      </c>
      <c r="BL96">
        <v>2</v>
      </c>
      <c r="BM96" s="7" t="s">
        <v>299</v>
      </c>
      <c r="BN96" s="7" t="s">
        <v>297</v>
      </c>
      <c r="BO96">
        <v>7.2130000000000001</v>
      </c>
      <c r="BP96">
        <v>8.4030000000000005</v>
      </c>
      <c r="BQ96">
        <v>9.5259999999999998</v>
      </c>
      <c r="BR96">
        <v>2</v>
      </c>
      <c r="BS96" s="7" t="s">
        <v>299</v>
      </c>
      <c r="BT96" s="7" t="s">
        <v>292</v>
      </c>
      <c r="BU96">
        <v>4.7709999999999999</v>
      </c>
      <c r="BV96">
        <v>6.6219999999999999</v>
      </c>
      <c r="BW96">
        <v>8.8919999999999995</v>
      </c>
      <c r="BX96">
        <v>2</v>
      </c>
      <c r="BY96" s="7" t="s">
        <v>295</v>
      </c>
      <c r="BZ96" s="7" t="s">
        <v>292</v>
      </c>
      <c r="CA96">
        <v>5.2910000000000004</v>
      </c>
      <c r="CB96">
        <v>6.3239999999999998</v>
      </c>
      <c r="CC96">
        <v>8.6349999999999998</v>
      </c>
      <c r="CD96">
        <v>2</v>
      </c>
      <c r="CE96" s="7" t="s">
        <v>298</v>
      </c>
      <c r="CF96" s="7" t="s">
        <v>292</v>
      </c>
      <c r="CG96">
        <v>4.8769999999999998</v>
      </c>
      <c r="CH96">
        <v>8.4130000000000003</v>
      </c>
      <c r="CI96">
        <v>9.0519999999999996</v>
      </c>
      <c r="CJ96">
        <v>2</v>
      </c>
      <c r="CK96" s="7" t="s">
        <v>291</v>
      </c>
      <c r="CL96" s="7" t="s">
        <v>292</v>
      </c>
      <c r="CM96">
        <v>9.5449999999999999</v>
      </c>
      <c r="CN96">
        <v>11.37</v>
      </c>
      <c r="CO96">
        <v>12.555999999999999</v>
      </c>
      <c r="CP96">
        <v>2</v>
      </c>
      <c r="CQ96" s="7" t="s">
        <v>299</v>
      </c>
      <c r="CR96" s="7" t="s">
        <v>292</v>
      </c>
      <c r="CS96">
        <v>8.3320000000000007</v>
      </c>
      <c r="CT96">
        <v>9.7829999999999995</v>
      </c>
      <c r="CU96">
        <v>10.478</v>
      </c>
      <c r="CV96">
        <v>2</v>
      </c>
      <c r="CW96" s="7" t="s">
        <v>299</v>
      </c>
      <c r="CX96" s="7" t="s">
        <v>297</v>
      </c>
      <c r="CY96">
        <v>9.0679999999999996</v>
      </c>
      <c r="CZ96">
        <v>10.423</v>
      </c>
      <c r="DA96">
        <v>12.113</v>
      </c>
      <c r="DB96">
        <v>2</v>
      </c>
      <c r="DC96" s="7" t="s">
        <v>295</v>
      </c>
      <c r="DD96" s="7" t="s">
        <v>292</v>
      </c>
      <c r="DE96">
        <v>6.867</v>
      </c>
      <c r="DF96">
        <v>7.8689999999999998</v>
      </c>
      <c r="DG96">
        <v>8.7569999999999997</v>
      </c>
      <c r="DH96">
        <v>2</v>
      </c>
      <c r="DI96" s="7" t="s">
        <v>298</v>
      </c>
      <c r="DJ96" s="7" t="s">
        <v>297</v>
      </c>
      <c r="DK96">
        <v>6.9530000000000003</v>
      </c>
      <c r="DL96">
        <v>8.5470000000000006</v>
      </c>
      <c r="DM96">
        <v>9.3559999999999999</v>
      </c>
      <c r="DN96">
        <v>2</v>
      </c>
      <c r="DO96" s="7" t="s">
        <v>291</v>
      </c>
      <c r="DP96" s="7" t="s">
        <v>292</v>
      </c>
      <c r="DQ96">
        <v>9.5960000000000001</v>
      </c>
      <c r="DR96">
        <v>10.486000000000001</v>
      </c>
      <c r="DS96">
        <v>11.169</v>
      </c>
      <c r="DT96">
        <v>2</v>
      </c>
      <c r="DU96" s="7" t="s">
        <v>299</v>
      </c>
      <c r="DV96" s="7" t="s">
        <v>292</v>
      </c>
      <c r="DW96">
        <v>5.5449999999999999</v>
      </c>
      <c r="DX96">
        <v>6.4630000000000001</v>
      </c>
      <c r="DY96">
        <v>8.593</v>
      </c>
      <c r="DZ96">
        <v>2</v>
      </c>
      <c r="EA96" s="7" t="s">
        <v>299</v>
      </c>
      <c r="EB96" s="7" t="s">
        <v>294</v>
      </c>
      <c r="EC96">
        <v>3.9790000000000001</v>
      </c>
      <c r="ED96">
        <v>4.984</v>
      </c>
      <c r="EE96">
        <v>8.6549999999999994</v>
      </c>
      <c r="EF96">
        <v>2</v>
      </c>
      <c r="EG96" s="7" t="s">
        <v>295</v>
      </c>
      <c r="EH96" s="7" t="s">
        <v>297</v>
      </c>
      <c r="EI96">
        <v>8.7840000000000007</v>
      </c>
      <c r="EJ96">
        <v>12.013999999999999</v>
      </c>
      <c r="EK96">
        <v>12.750999999999999</v>
      </c>
      <c r="EL96">
        <v>2</v>
      </c>
      <c r="EM96" s="7" t="s">
        <v>298</v>
      </c>
      <c r="EN96" s="7" t="s">
        <v>292</v>
      </c>
      <c r="EO96">
        <v>6.2270000000000003</v>
      </c>
      <c r="EP96">
        <v>7.258</v>
      </c>
      <c r="EQ96">
        <v>8.4960000000000004</v>
      </c>
      <c r="ER96">
        <v>2</v>
      </c>
      <c r="ES96" s="7" t="s">
        <v>291</v>
      </c>
      <c r="ET96" s="7" t="s">
        <v>292</v>
      </c>
      <c r="EU96">
        <v>5.601</v>
      </c>
      <c r="EV96">
        <v>10.680999999999999</v>
      </c>
      <c r="EW96">
        <v>11.99</v>
      </c>
      <c r="EX96">
        <v>2</v>
      </c>
      <c r="EY96" s="7" t="s">
        <v>300</v>
      </c>
      <c r="EZ96" s="7" t="s">
        <v>292</v>
      </c>
      <c r="FA96">
        <v>4.4109999999999996</v>
      </c>
      <c r="FB96">
        <v>10.38</v>
      </c>
      <c r="FC96">
        <v>10.760999999999999</v>
      </c>
      <c r="FD96">
        <v>3</v>
      </c>
      <c r="FE96" s="7" t="s">
        <v>301</v>
      </c>
      <c r="FF96" s="7" t="s">
        <v>292</v>
      </c>
      <c r="FG96">
        <v>5.593</v>
      </c>
      <c r="FH96">
        <v>8.5879999999999992</v>
      </c>
      <c r="FI96">
        <v>11.951000000000001</v>
      </c>
      <c r="FJ96">
        <v>4</v>
      </c>
      <c r="FK96" s="7" t="s">
        <v>291</v>
      </c>
      <c r="FL96" s="7" t="s">
        <v>296</v>
      </c>
      <c r="FM96">
        <v>5.077</v>
      </c>
      <c r="FN96">
        <v>7.03</v>
      </c>
      <c r="FO96">
        <v>9.1910000000000007</v>
      </c>
      <c r="FP96">
        <v>3</v>
      </c>
      <c r="FQ96" s="7" t="s">
        <v>300</v>
      </c>
      <c r="FR96" s="7" t="s">
        <v>296</v>
      </c>
      <c r="FS96">
        <v>2.2290000000000001</v>
      </c>
      <c r="FT96">
        <v>3.694</v>
      </c>
      <c r="FU96">
        <v>8.5419999999999998</v>
      </c>
      <c r="FV96">
        <v>2</v>
      </c>
      <c r="FW96" s="7" t="s">
        <v>301</v>
      </c>
      <c r="FX96" s="7" t="s">
        <v>294</v>
      </c>
      <c r="FY96">
        <v>6.282</v>
      </c>
      <c r="FZ96">
        <v>8.4949999999999992</v>
      </c>
      <c r="GA96">
        <v>9.0530000000000008</v>
      </c>
      <c r="GB96">
        <v>2</v>
      </c>
      <c r="GC96" s="7" t="s">
        <v>291</v>
      </c>
      <c r="GD96" s="7" t="s">
        <v>296</v>
      </c>
      <c r="GE96">
        <v>5.931</v>
      </c>
      <c r="GF96">
        <v>6.8979999999999997</v>
      </c>
      <c r="GG96">
        <v>9.0310000000000006</v>
      </c>
      <c r="GH96">
        <v>2</v>
      </c>
      <c r="GI96" s="7" t="s">
        <v>300</v>
      </c>
      <c r="GJ96" s="7" t="s">
        <v>292</v>
      </c>
      <c r="GK96">
        <v>6.5629999999999997</v>
      </c>
      <c r="GL96">
        <v>7.532</v>
      </c>
      <c r="GM96">
        <v>8.8729999999999993</v>
      </c>
      <c r="GN96">
        <v>2</v>
      </c>
      <c r="GO96" s="7" t="s">
        <v>301</v>
      </c>
      <c r="GP96" s="7" t="s">
        <v>296</v>
      </c>
      <c r="GQ96">
        <v>4.0529999999999999</v>
      </c>
      <c r="GR96">
        <v>5.6479999999999997</v>
      </c>
      <c r="GS96">
        <v>8.8949999999999996</v>
      </c>
      <c r="GT96">
        <v>2</v>
      </c>
      <c r="GU96" s="7" t="s">
        <v>291</v>
      </c>
      <c r="GV96" s="7" t="s">
        <v>296</v>
      </c>
      <c r="GW96">
        <v>5.7530000000000001</v>
      </c>
      <c r="GX96">
        <v>6.8689999999999998</v>
      </c>
      <c r="GY96">
        <v>8.4689999999999994</v>
      </c>
      <c r="GZ96">
        <v>2</v>
      </c>
      <c r="HA96" s="7" t="s">
        <v>300</v>
      </c>
      <c r="HB96" s="7" t="s">
        <v>292</v>
      </c>
      <c r="HC96">
        <v>4.8710000000000004</v>
      </c>
      <c r="HD96">
        <v>6.2069999999999999</v>
      </c>
      <c r="HE96">
        <v>9.6850000000000005</v>
      </c>
      <c r="HF96">
        <v>3</v>
      </c>
      <c r="HG96" s="7" t="s">
        <v>300</v>
      </c>
      <c r="HH96" s="7" t="s">
        <v>294</v>
      </c>
      <c r="HI96">
        <v>7.1820000000000004</v>
      </c>
      <c r="HJ96">
        <v>19.215</v>
      </c>
      <c r="HK96">
        <v>19.78</v>
      </c>
      <c r="HL96">
        <v>4</v>
      </c>
      <c r="HM96" s="7" t="s">
        <v>1269</v>
      </c>
      <c r="HN96" s="7" t="s">
        <v>1270</v>
      </c>
      <c r="HO96" s="7" t="s">
        <v>1271</v>
      </c>
      <c r="HP96" s="7" t="s">
        <v>1272</v>
      </c>
      <c r="HQ96" s="7" t="s">
        <v>1273</v>
      </c>
      <c r="HR96" s="7" t="s">
        <v>1274</v>
      </c>
      <c r="HS96" s="7" t="s">
        <v>1275</v>
      </c>
      <c r="HT96" s="7" t="s">
        <v>1276</v>
      </c>
      <c r="HU96" s="7" t="s">
        <v>1277</v>
      </c>
      <c r="HV96" s="7" t="s">
        <v>1278</v>
      </c>
      <c r="HW96" s="7" t="s">
        <v>1279</v>
      </c>
      <c r="HX96" s="7" t="s">
        <v>282</v>
      </c>
      <c r="HY96" s="7" t="s">
        <v>312</v>
      </c>
      <c r="HZ96" s="7" t="s">
        <v>372</v>
      </c>
      <c r="IA96" s="7" t="s">
        <v>325</v>
      </c>
      <c r="IB96" s="7" t="s">
        <v>282</v>
      </c>
      <c r="IC96" s="7" t="s">
        <v>282</v>
      </c>
    </row>
  </sheetData>
  <autoFilter ref="A2:IC97" xr:uid="{00000000-0009-0000-0000-000000000000}"/>
  <pageMargins left="0.7" right="0.7" top="0.75" bottom="0.75" header="0.3" footer="0.3"/>
  <ignoredErrors>
    <ignoredError sqref="C1:C96 D1:D96 G1:G96 I1:I96 J1:J96 K1:K96 L1:L96 M1:M96 P1:P96 Q1:Q96 S1:S96 T1:T96 U1:U96 V1:V96 W1:W96 X1:X96 Y1:Y96 Z1:Z96 AA1:AA96 AB1:AB96 AC1:AC96 AD1:AD96 AI1:AI96 AJ1:AJ96 AO1:AO96 AP1:AP96 AU1:AU96 AV1:AV96 BA1:BA96 BB1:BB96 BG1:BG96 BH1:BH96 BM1:BM96 BN1:BN96 BS1:BS96 BT1:BT96 BY1:BY96 BZ1:BZ96 CE1:CE96 CF1:CF96 CK1:CK96 CL1:CL96 CQ1:CQ96 CR1:CR96 CW1:CW96 CX1:CX96 DC1:DC96 DD1:DD96 DI1:DI96 DJ1:DJ96 DO1:DO96 DP1:DP96 DU1:DU96 DV1:DV96 EA1:EA96 EB1:EB96 EG1:EG96 EH1:EH96 EM1:EM96 EN1:EN96 ES1:ES96 ET1:ET96 EY1:EY96 EZ1:EZ96 FE1:FE96 FF1:FF96 FK1:FK96 FL1:FL96 FQ1:FQ96 FR1:FR96 FW1:FW96 FX1:FX96 GC1:GC96 GD1:GD96 GI1:GI96 GJ1:GJ96 GO1:GO96 GP1:GP96 GU1:GU96 GV1:GV96 HA1:HA96 HB1:HB96 HG1:HG96 HH1:HH96 HM1:HM96 HN1:HN96 HO1:HO96 HP1:HP96 HQ1:HQ96 HR1:HR96 HS1:HS96 HT1:HT96 HU1:HU96 HV1:HV96 HW1:HW96 HX1:HX96 HY1:HY96 HZ1:HZ96 IA1:IA96 IB1:IB96 IC1:IC9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4FB5-0E5C-4745-BC0F-6BB573152141}">
  <dimension ref="A1:IC96"/>
  <sheetViews>
    <sheetView topLeftCell="AA1" workbookViewId="0">
      <selection activeCell="AG48" sqref="AG48"/>
    </sheetView>
  </sheetViews>
  <sheetFormatPr baseColWidth="10" defaultColWidth="8.83203125" defaultRowHeight="15" x14ac:dyDescent="0.2"/>
  <cols>
    <col min="1" max="16384" width="8.83203125" style="1"/>
  </cols>
  <sheetData>
    <row r="1" spans="1:23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row>
    <row r="2" spans="1:237" x14ac:dyDescent="0.2">
      <c r="A2" s="2" t="s">
        <v>237</v>
      </c>
      <c r="B2" s="2" t="s">
        <v>238</v>
      </c>
      <c r="C2" s="2" t="s">
        <v>239</v>
      </c>
      <c r="D2" s="2" t="s">
        <v>240</v>
      </c>
      <c r="E2" s="2" t="s">
        <v>4</v>
      </c>
      <c r="F2" s="2" t="s">
        <v>5</v>
      </c>
      <c r="G2" s="2" t="s">
        <v>6</v>
      </c>
      <c r="H2" s="2" t="s">
        <v>241</v>
      </c>
      <c r="I2" s="2" t="s">
        <v>242</v>
      </c>
      <c r="J2" s="2" t="s">
        <v>243</v>
      </c>
      <c r="K2" s="2" t="s">
        <v>244</v>
      </c>
      <c r="L2" s="2" t="s">
        <v>245</v>
      </c>
      <c r="M2" s="2" t="s">
        <v>246</v>
      </c>
      <c r="N2" s="2" t="s">
        <v>247</v>
      </c>
      <c r="O2" s="2" t="s">
        <v>248</v>
      </c>
      <c r="P2" s="2" t="s">
        <v>249</v>
      </c>
      <c r="Q2" s="2" t="s">
        <v>250</v>
      </c>
      <c r="R2" s="2" t="s">
        <v>17</v>
      </c>
      <c r="S2" s="2" t="s">
        <v>251</v>
      </c>
      <c r="T2" s="2" t="s">
        <v>252</v>
      </c>
      <c r="U2" s="2" t="s">
        <v>253</v>
      </c>
      <c r="V2" s="2" t="s">
        <v>254</v>
      </c>
      <c r="W2" s="2" t="s">
        <v>255</v>
      </c>
      <c r="X2" s="2" t="s">
        <v>256</v>
      </c>
      <c r="Y2" s="2" t="s">
        <v>257</v>
      </c>
      <c r="Z2" s="2" t="s">
        <v>258</v>
      </c>
      <c r="AA2" s="2" t="s">
        <v>259</v>
      </c>
      <c r="AB2" s="2" t="s">
        <v>260</v>
      </c>
      <c r="AC2" s="2" t="s">
        <v>261</v>
      </c>
      <c r="AD2" s="2" t="s">
        <v>262</v>
      </c>
      <c r="AE2" s="2" t="s">
        <v>263</v>
      </c>
      <c r="AF2" s="2" t="s">
        <v>264</v>
      </c>
      <c r="AG2" s="2" t="s">
        <v>265</v>
      </c>
      <c r="AH2" s="2" t="s">
        <v>266</v>
      </c>
      <c r="AI2" s="2" t="s">
        <v>261</v>
      </c>
      <c r="AJ2" s="2" t="s">
        <v>262</v>
      </c>
      <c r="AK2" s="2" t="s">
        <v>263</v>
      </c>
      <c r="AL2" s="2" t="s">
        <v>264</v>
      </c>
      <c r="AM2" s="2" t="s">
        <v>265</v>
      </c>
      <c r="AN2" s="2" t="s">
        <v>266</v>
      </c>
      <c r="AO2" s="2" t="s">
        <v>261</v>
      </c>
      <c r="AP2" s="2" t="s">
        <v>262</v>
      </c>
      <c r="AQ2" s="2" t="s">
        <v>263</v>
      </c>
      <c r="AR2" s="2" t="s">
        <v>264</v>
      </c>
      <c r="AS2" s="2" t="s">
        <v>265</v>
      </c>
      <c r="AT2" s="2" t="s">
        <v>266</v>
      </c>
      <c r="AU2" s="2" t="s">
        <v>261</v>
      </c>
      <c r="AV2" s="2" t="s">
        <v>262</v>
      </c>
      <c r="AW2" s="2" t="s">
        <v>263</v>
      </c>
      <c r="AX2" s="2" t="s">
        <v>264</v>
      </c>
      <c r="AY2" s="2" t="s">
        <v>265</v>
      </c>
      <c r="AZ2" s="2" t="s">
        <v>266</v>
      </c>
      <c r="BA2" s="2" t="s">
        <v>261</v>
      </c>
      <c r="BB2" s="2" t="s">
        <v>262</v>
      </c>
      <c r="BC2" s="2" t="s">
        <v>263</v>
      </c>
      <c r="BD2" s="2" t="s">
        <v>264</v>
      </c>
      <c r="BE2" s="2" t="s">
        <v>265</v>
      </c>
      <c r="BF2" s="2" t="s">
        <v>266</v>
      </c>
      <c r="BG2" s="2" t="s">
        <v>261</v>
      </c>
      <c r="BH2" s="2" t="s">
        <v>262</v>
      </c>
      <c r="BI2" s="2" t="s">
        <v>263</v>
      </c>
      <c r="BJ2" s="2" t="s">
        <v>264</v>
      </c>
      <c r="BK2" s="2" t="s">
        <v>265</v>
      </c>
      <c r="BL2" s="2" t="s">
        <v>266</v>
      </c>
      <c r="BM2" s="2" t="s">
        <v>261</v>
      </c>
      <c r="BN2" s="2" t="s">
        <v>262</v>
      </c>
      <c r="BO2" s="2" t="s">
        <v>263</v>
      </c>
      <c r="BP2" s="2" t="s">
        <v>264</v>
      </c>
      <c r="BQ2" s="2" t="s">
        <v>265</v>
      </c>
      <c r="BR2" s="2" t="s">
        <v>266</v>
      </c>
      <c r="BS2" s="2" t="s">
        <v>261</v>
      </c>
      <c r="BT2" s="2" t="s">
        <v>262</v>
      </c>
      <c r="BU2" s="2" t="s">
        <v>263</v>
      </c>
      <c r="BV2" s="2" t="s">
        <v>264</v>
      </c>
      <c r="BW2" s="2" t="s">
        <v>265</v>
      </c>
      <c r="BX2" s="2" t="s">
        <v>266</v>
      </c>
      <c r="BY2" s="2" t="s">
        <v>261</v>
      </c>
      <c r="BZ2" s="2" t="s">
        <v>262</v>
      </c>
      <c r="CA2" s="2" t="s">
        <v>263</v>
      </c>
      <c r="CB2" s="2" t="s">
        <v>264</v>
      </c>
      <c r="CC2" s="2" t="s">
        <v>265</v>
      </c>
      <c r="CD2" s="2" t="s">
        <v>266</v>
      </c>
      <c r="CE2" s="2" t="s">
        <v>261</v>
      </c>
      <c r="CF2" s="2" t="s">
        <v>262</v>
      </c>
      <c r="CG2" s="2" t="s">
        <v>263</v>
      </c>
      <c r="CH2" s="2" t="s">
        <v>264</v>
      </c>
      <c r="CI2" s="2" t="s">
        <v>265</v>
      </c>
      <c r="CJ2" s="2" t="s">
        <v>266</v>
      </c>
      <c r="CK2" s="2" t="s">
        <v>261</v>
      </c>
      <c r="CL2" s="2" t="s">
        <v>262</v>
      </c>
      <c r="CM2" s="2" t="s">
        <v>263</v>
      </c>
      <c r="CN2" s="2" t="s">
        <v>264</v>
      </c>
      <c r="CO2" s="2" t="s">
        <v>265</v>
      </c>
      <c r="CP2" s="2" t="s">
        <v>266</v>
      </c>
      <c r="CQ2" s="2" t="s">
        <v>261</v>
      </c>
      <c r="CR2" s="2" t="s">
        <v>262</v>
      </c>
      <c r="CS2" s="2" t="s">
        <v>263</v>
      </c>
      <c r="CT2" s="2" t="s">
        <v>264</v>
      </c>
      <c r="CU2" s="2" t="s">
        <v>265</v>
      </c>
      <c r="CV2" s="2" t="s">
        <v>266</v>
      </c>
      <c r="CW2" s="2" t="s">
        <v>261</v>
      </c>
      <c r="CX2" s="2" t="s">
        <v>262</v>
      </c>
      <c r="CY2" s="2" t="s">
        <v>263</v>
      </c>
      <c r="CZ2" s="2" t="s">
        <v>264</v>
      </c>
      <c r="DA2" s="2" t="s">
        <v>265</v>
      </c>
      <c r="DB2" s="2" t="s">
        <v>266</v>
      </c>
      <c r="DC2" s="2" t="s">
        <v>261</v>
      </c>
      <c r="DD2" s="2" t="s">
        <v>262</v>
      </c>
      <c r="DE2" s="2" t="s">
        <v>263</v>
      </c>
      <c r="DF2" s="2" t="s">
        <v>264</v>
      </c>
      <c r="DG2" s="2" t="s">
        <v>265</v>
      </c>
      <c r="DH2" s="2" t="s">
        <v>266</v>
      </c>
      <c r="DI2" s="2" t="s">
        <v>261</v>
      </c>
      <c r="DJ2" s="2" t="s">
        <v>262</v>
      </c>
      <c r="DK2" s="2" t="s">
        <v>263</v>
      </c>
      <c r="DL2" s="2" t="s">
        <v>264</v>
      </c>
      <c r="DM2" s="2" t="s">
        <v>265</v>
      </c>
      <c r="DN2" s="2" t="s">
        <v>266</v>
      </c>
      <c r="DO2" s="2" t="s">
        <v>261</v>
      </c>
      <c r="DP2" s="2" t="s">
        <v>262</v>
      </c>
      <c r="DQ2" s="2" t="s">
        <v>263</v>
      </c>
      <c r="DR2" s="2" t="s">
        <v>264</v>
      </c>
      <c r="DS2" s="2" t="s">
        <v>265</v>
      </c>
      <c r="DT2" s="2" t="s">
        <v>266</v>
      </c>
      <c r="DU2" s="2" t="s">
        <v>261</v>
      </c>
      <c r="DV2" s="2" t="s">
        <v>262</v>
      </c>
      <c r="DW2" s="2" t="s">
        <v>263</v>
      </c>
      <c r="DX2" s="2" t="s">
        <v>264</v>
      </c>
      <c r="DY2" s="2" t="s">
        <v>265</v>
      </c>
      <c r="DZ2" s="2" t="s">
        <v>266</v>
      </c>
      <c r="EA2" s="2" t="s">
        <v>261</v>
      </c>
      <c r="EB2" s="2" t="s">
        <v>262</v>
      </c>
      <c r="EC2" s="2" t="s">
        <v>263</v>
      </c>
      <c r="ED2" s="2" t="s">
        <v>264</v>
      </c>
      <c r="EE2" s="2" t="s">
        <v>265</v>
      </c>
      <c r="EF2" s="2" t="s">
        <v>266</v>
      </c>
      <c r="EG2" s="2" t="s">
        <v>261</v>
      </c>
      <c r="EH2" s="2" t="s">
        <v>262</v>
      </c>
      <c r="EI2" s="2" t="s">
        <v>263</v>
      </c>
      <c r="EJ2" s="2" t="s">
        <v>264</v>
      </c>
      <c r="EK2" s="2" t="s">
        <v>265</v>
      </c>
      <c r="EL2" s="2" t="s">
        <v>266</v>
      </c>
      <c r="EM2" s="2" t="s">
        <v>261</v>
      </c>
      <c r="EN2" s="2" t="s">
        <v>262</v>
      </c>
      <c r="EO2" s="2" t="s">
        <v>263</v>
      </c>
      <c r="EP2" s="2" t="s">
        <v>264</v>
      </c>
      <c r="EQ2" s="2" t="s">
        <v>265</v>
      </c>
      <c r="ER2" s="2" t="s">
        <v>266</v>
      </c>
      <c r="ES2" s="2" t="s">
        <v>261</v>
      </c>
      <c r="ET2" s="2" t="s">
        <v>262</v>
      </c>
      <c r="EU2" s="2" t="s">
        <v>263</v>
      </c>
      <c r="EV2" s="2" t="s">
        <v>264</v>
      </c>
      <c r="EW2" s="2" t="s">
        <v>265</v>
      </c>
      <c r="EX2" s="2" t="s">
        <v>266</v>
      </c>
      <c r="EY2" s="2" t="s">
        <v>261</v>
      </c>
      <c r="EZ2" s="2" t="s">
        <v>262</v>
      </c>
      <c r="FA2" s="2" t="s">
        <v>263</v>
      </c>
      <c r="FB2" s="2" t="s">
        <v>264</v>
      </c>
      <c r="FC2" s="2" t="s">
        <v>265</v>
      </c>
      <c r="FD2" s="2" t="s">
        <v>266</v>
      </c>
      <c r="FE2" s="2" t="s">
        <v>261</v>
      </c>
      <c r="FF2" s="2" t="s">
        <v>262</v>
      </c>
      <c r="FG2" s="2" t="s">
        <v>263</v>
      </c>
      <c r="FH2" s="2" t="s">
        <v>264</v>
      </c>
      <c r="FI2" s="2" t="s">
        <v>265</v>
      </c>
      <c r="FJ2" s="2" t="s">
        <v>266</v>
      </c>
      <c r="FK2" s="2" t="s">
        <v>261</v>
      </c>
      <c r="FL2" s="2" t="s">
        <v>262</v>
      </c>
      <c r="FM2" s="2" t="s">
        <v>263</v>
      </c>
      <c r="FN2" s="2" t="s">
        <v>264</v>
      </c>
      <c r="FO2" s="2" t="s">
        <v>265</v>
      </c>
      <c r="FP2" s="2" t="s">
        <v>266</v>
      </c>
      <c r="FQ2" s="2" t="s">
        <v>261</v>
      </c>
      <c r="FR2" s="2" t="s">
        <v>262</v>
      </c>
      <c r="FS2" s="2" t="s">
        <v>263</v>
      </c>
      <c r="FT2" s="2" t="s">
        <v>264</v>
      </c>
      <c r="FU2" s="2" t="s">
        <v>265</v>
      </c>
      <c r="FV2" s="2" t="s">
        <v>266</v>
      </c>
      <c r="FW2" s="2" t="s">
        <v>261</v>
      </c>
      <c r="FX2" s="2" t="s">
        <v>262</v>
      </c>
      <c r="FY2" s="2" t="s">
        <v>263</v>
      </c>
      <c r="FZ2" s="2" t="s">
        <v>264</v>
      </c>
      <c r="GA2" s="2" t="s">
        <v>265</v>
      </c>
      <c r="GB2" s="2" t="s">
        <v>266</v>
      </c>
      <c r="GC2" s="2" t="s">
        <v>261</v>
      </c>
      <c r="GD2" s="2" t="s">
        <v>262</v>
      </c>
      <c r="GE2" s="2" t="s">
        <v>263</v>
      </c>
      <c r="GF2" s="2" t="s">
        <v>264</v>
      </c>
      <c r="GG2" s="2" t="s">
        <v>265</v>
      </c>
      <c r="GH2" s="2" t="s">
        <v>266</v>
      </c>
      <c r="GI2" s="2" t="s">
        <v>261</v>
      </c>
      <c r="GJ2" s="2" t="s">
        <v>262</v>
      </c>
      <c r="GK2" s="2" t="s">
        <v>263</v>
      </c>
      <c r="GL2" s="2" t="s">
        <v>264</v>
      </c>
      <c r="GM2" s="2" t="s">
        <v>265</v>
      </c>
      <c r="GN2" s="2" t="s">
        <v>266</v>
      </c>
      <c r="GO2" s="2" t="s">
        <v>261</v>
      </c>
      <c r="GP2" s="2" t="s">
        <v>262</v>
      </c>
      <c r="GQ2" s="2" t="s">
        <v>263</v>
      </c>
      <c r="GR2" s="2" t="s">
        <v>264</v>
      </c>
      <c r="GS2" s="2" t="s">
        <v>265</v>
      </c>
      <c r="GT2" s="2" t="s">
        <v>266</v>
      </c>
      <c r="GU2" s="2" t="s">
        <v>261</v>
      </c>
      <c r="GV2" s="2" t="s">
        <v>262</v>
      </c>
      <c r="GW2" s="2" t="s">
        <v>263</v>
      </c>
      <c r="GX2" s="2" t="s">
        <v>264</v>
      </c>
      <c r="GY2" s="2" t="s">
        <v>265</v>
      </c>
      <c r="GZ2" s="2" t="s">
        <v>266</v>
      </c>
      <c r="HA2" s="2" t="s">
        <v>261</v>
      </c>
      <c r="HB2" s="2" t="s">
        <v>262</v>
      </c>
      <c r="HC2" s="2" t="s">
        <v>263</v>
      </c>
      <c r="HD2" s="2" t="s">
        <v>264</v>
      </c>
      <c r="HE2" s="2" t="s">
        <v>265</v>
      </c>
      <c r="HF2" s="2" t="s">
        <v>266</v>
      </c>
      <c r="HG2" s="2" t="s">
        <v>261</v>
      </c>
      <c r="HH2" s="2" t="s">
        <v>262</v>
      </c>
      <c r="HI2" s="2" t="s">
        <v>263</v>
      </c>
      <c r="HJ2" s="2" t="s">
        <v>264</v>
      </c>
      <c r="HK2" s="2" t="s">
        <v>265</v>
      </c>
      <c r="HL2" s="2" t="s">
        <v>266</v>
      </c>
      <c r="HM2" s="2" t="s">
        <v>267</v>
      </c>
      <c r="HN2" s="2" t="s">
        <v>268</v>
      </c>
      <c r="HO2" s="2" t="s">
        <v>269</v>
      </c>
      <c r="HP2" s="2" t="s">
        <v>270</v>
      </c>
      <c r="HQ2" s="2" t="s">
        <v>271</v>
      </c>
      <c r="HR2" s="2" t="s">
        <v>272</v>
      </c>
      <c r="HS2" s="2" t="s">
        <v>273</v>
      </c>
      <c r="HT2" s="2" t="s">
        <v>274</v>
      </c>
      <c r="HU2" s="2" t="s">
        <v>275</v>
      </c>
      <c r="HV2" s="2" t="s">
        <v>276</v>
      </c>
      <c r="HW2" s="2" t="s">
        <v>277</v>
      </c>
      <c r="HX2" s="2" t="s">
        <v>278</v>
      </c>
      <c r="HY2" s="2" t="s">
        <v>232</v>
      </c>
      <c r="HZ2" s="2" t="s">
        <v>233</v>
      </c>
      <c r="IA2" s="2" t="s">
        <v>234</v>
      </c>
      <c r="IB2" s="2" t="s">
        <v>235</v>
      </c>
      <c r="IC2" s="2" t="s">
        <v>236</v>
      </c>
    </row>
    <row r="3" spans="1:237" x14ac:dyDescent="0.2">
      <c r="A3" s="3">
        <v>45739.275185185186</v>
      </c>
      <c r="B3" s="3">
        <v>45739.2890625</v>
      </c>
      <c r="C3" s="1">
        <v>0</v>
      </c>
      <c r="D3" s="4" t="s">
        <v>279</v>
      </c>
      <c r="E3" s="1">
        <v>100</v>
      </c>
      <c r="F3" s="1">
        <v>1198</v>
      </c>
      <c r="G3" s="1">
        <v>1</v>
      </c>
      <c r="H3" s="3">
        <v>45739.289070891202</v>
      </c>
      <c r="I3" s="4" t="s">
        <v>281</v>
      </c>
      <c r="J3" s="4" t="s">
        <v>282</v>
      </c>
      <c r="K3" s="4" t="s">
        <v>282</v>
      </c>
      <c r="L3" s="4" t="s">
        <v>282</v>
      </c>
      <c r="M3" s="4" t="s">
        <v>282</v>
      </c>
      <c r="N3" s="1">
        <v>49.247599999999998</v>
      </c>
      <c r="O3" s="1">
        <v>-123.1234</v>
      </c>
      <c r="P3" s="4" t="s">
        <v>283</v>
      </c>
      <c r="Q3" s="4" t="s">
        <v>284</v>
      </c>
      <c r="R3" s="1">
        <v>1</v>
      </c>
      <c r="S3" s="1">
        <v>1</v>
      </c>
      <c r="T3" s="1">
        <v>1</v>
      </c>
      <c r="U3" s="1">
        <v>1</v>
      </c>
      <c r="V3" s="1">
        <v>1</v>
      </c>
      <c r="W3" s="1">
        <v>12</v>
      </c>
      <c r="X3" s="4" t="s">
        <v>312</v>
      </c>
      <c r="Y3" s="1">
        <v>5</v>
      </c>
      <c r="Z3" s="1">
        <v>1</v>
      </c>
      <c r="AA3" s="1">
        <v>4</v>
      </c>
      <c r="AB3" s="1">
        <v>1</v>
      </c>
      <c r="AC3" s="1">
        <v>1</v>
      </c>
      <c r="AD3" s="1">
        <v>5</v>
      </c>
      <c r="AE3" s="1">
        <v>10.134</v>
      </c>
      <c r="AF3" s="1">
        <v>12.068</v>
      </c>
      <c r="AG3" s="1">
        <v>12.728</v>
      </c>
      <c r="AH3" s="1">
        <v>2</v>
      </c>
      <c r="AI3" s="1">
        <v>2</v>
      </c>
      <c r="AJ3" s="1">
        <v>7</v>
      </c>
      <c r="AK3" s="1">
        <v>10.183</v>
      </c>
      <c r="AL3" s="1">
        <v>11.6</v>
      </c>
      <c r="AM3" s="1">
        <v>12.132</v>
      </c>
      <c r="AN3" s="1">
        <v>2</v>
      </c>
      <c r="AO3" s="1">
        <v>2</v>
      </c>
      <c r="AP3" s="1">
        <v>7</v>
      </c>
      <c r="AQ3" s="1">
        <v>6.5940000000000003</v>
      </c>
      <c r="AR3" s="1">
        <v>7.73</v>
      </c>
      <c r="AS3" s="1">
        <v>8.8580000000000005</v>
      </c>
      <c r="AT3" s="1">
        <v>2</v>
      </c>
      <c r="AU3" s="1">
        <v>5</v>
      </c>
      <c r="AV3" s="1">
        <v>6</v>
      </c>
      <c r="AW3" s="1">
        <v>6.3010000000000002</v>
      </c>
      <c r="AX3" s="1">
        <v>7.4619999999999997</v>
      </c>
      <c r="AY3" s="1">
        <v>8.6920000000000002</v>
      </c>
      <c r="AZ3" s="1">
        <v>2</v>
      </c>
      <c r="BA3" s="1">
        <v>5</v>
      </c>
      <c r="BB3" s="1">
        <v>6</v>
      </c>
      <c r="BC3" s="1">
        <v>6.77</v>
      </c>
      <c r="BD3" s="1">
        <v>8.9169999999999998</v>
      </c>
      <c r="BE3" s="1">
        <v>9.5679999999999996</v>
      </c>
      <c r="BF3" s="1">
        <v>2</v>
      </c>
      <c r="BG3" s="1">
        <v>1</v>
      </c>
      <c r="BH3" s="1">
        <v>5</v>
      </c>
      <c r="BI3" s="1">
        <v>12.278</v>
      </c>
      <c r="BJ3" s="1">
        <v>14.422000000000001</v>
      </c>
      <c r="BK3" s="1">
        <v>15.058</v>
      </c>
      <c r="BL3" s="1">
        <v>3</v>
      </c>
      <c r="BM3" s="1">
        <v>2</v>
      </c>
      <c r="BN3" s="1">
        <v>7</v>
      </c>
      <c r="BO3" s="1">
        <v>10.257999999999999</v>
      </c>
      <c r="BP3" s="1">
        <v>11.574</v>
      </c>
      <c r="BQ3" s="1">
        <v>12.039</v>
      </c>
      <c r="BR3" s="1">
        <v>2</v>
      </c>
      <c r="BS3" s="1">
        <v>1</v>
      </c>
      <c r="BT3" s="1">
        <v>4</v>
      </c>
      <c r="BU3" s="1">
        <v>16.927</v>
      </c>
      <c r="BV3" s="1">
        <v>18.071999999999999</v>
      </c>
      <c r="BW3" s="1">
        <v>19.263000000000002</v>
      </c>
      <c r="BX3" s="1">
        <v>2</v>
      </c>
      <c r="BY3" s="1">
        <v>5</v>
      </c>
      <c r="BZ3" s="1">
        <v>6</v>
      </c>
      <c r="CA3" s="1">
        <v>10.673999999999999</v>
      </c>
      <c r="CB3" s="1">
        <v>16.263000000000002</v>
      </c>
      <c r="CC3" s="1">
        <v>16.901</v>
      </c>
      <c r="CD3" s="1">
        <v>2</v>
      </c>
      <c r="CE3" s="1">
        <v>3</v>
      </c>
      <c r="CF3" s="1">
        <v>5</v>
      </c>
      <c r="CG3" s="1">
        <v>7.444</v>
      </c>
      <c r="CH3" s="1">
        <v>8.3339999999999996</v>
      </c>
      <c r="CI3" s="1">
        <v>9.125</v>
      </c>
      <c r="CJ3" s="1">
        <v>2</v>
      </c>
      <c r="CK3" s="1">
        <v>1</v>
      </c>
      <c r="CL3" s="1">
        <v>6</v>
      </c>
      <c r="CM3" s="1">
        <v>7.0060000000000002</v>
      </c>
      <c r="CN3" s="1">
        <v>8.3360000000000003</v>
      </c>
      <c r="CO3" s="1">
        <v>8.91</v>
      </c>
      <c r="CP3" s="1">
        <v>2</v>
      </c>
      <c r="CQ3" s="1">
        <v>2</v>
      </c>
      <c r="CR3" s="1">
        <v>7</v>
      </c>
      <c r="CS3" s="1">
        <v>51.029000000000003</v>
      </c>
      <c r="CT3" s="1">
        <v>52.383000000000003</v>
      </c>
      <c r="CU3" s="1">
        <v>52.933</v>
      </c>
      <c r="CV3" s="1">
        <v>2</v>
      </c>
      <c r="CW3" s="1">
        <v>1</v>
      </c>
      <c r="CX3" s="1">
        <v>5</v>
      </c>
      <c r="CY3" s="1">
        <v>21.353999999999999</v>
      </c>
      <c r="CZ3" s="1">
        <v>27.242000000000001</v>
      </c>
      <c r="DA3" s="1">
        <v>27.948</v>
      </c>
      <c r="DB3" s="1">
        <v>2</v>
      </c>
      <c r="DC3" s="1">
        <v>5</v>
      </c>
      <c r="DD3" s="1">
        <v>6</v>
      </c>
      <c r="DE3" s="1">
        <v>8.4629999999999992</v>
      </c>
      <c r="DF3" s="1">
        <v>14.500999999999999</v>
      </c>
      <c r="DG3" s="1">
        <v>20.196000000000002</v>
      </c>
      <c r="DH3" s="1">
        <v>2</v>
      </c>
      <c r="DI3" s="1">
        <v>3</v>
      </c>
      <c r="DJ3" s="1">
        <v>6</v>
      </c>
      <c r="DK3" s="1">
        <v>9</v>
      </c>
      <c r="DL3" s="1">
        <v>11.236000000000001</v>
      </c>
      <c r="DM3" s="1">
        <v>11.863</v>
      </c>
      <c r="DN3" s="1">
        <v>2</v>
      </c>
      <c r="DO3" s="1">
        <v>1</v>
      </c>
      <c r="DP3" s="1">
        <v>6</v>
      </c>
      <c r="DQ3" s="1">
        <v>7.1260000000000003</v>
      </c>
      <c r="DR3" s="1">
        <v>8.4090000000000007</v>
      </c>
      <c r="DS3" s="1">
        <v>9.2490000000000006</v>
      </c>
      <c r="DT3" s="1">
        <v>2</v>
      </c>
      <c r="DU3" s="1">
        <v>2</v>
      </c>
      <c r="DV3" s="1">
        <v>6</v>
      </c>
      <c r="DW3" s="1">
        <v>5.8840000000000003</v>
      </c>
      <c r="DX3" s="1">
        <v>7.0490000000000004</v>
      </c>
      <c r="DY3" s="1">
        <v>8.8140000000000001</v>
      </c>
      <c r="DZ3" s="1">
        <v>2</v>
      </c>
      <c r="EA3" s="1">
        <v>4</v>
      </c>
      <c r="EB3" s="1">
        <v>6</v>
      </c>
      <c r="EC3" s="1">
        <v>5.8179999999999996</v>
      </c>
      <c r="ED3" s="1">
        <v>17.806000000000001</v>
      </c>
      <c r="EE3" s="1">
        <v>21.103999999999999</v>
      </c>
      <c r="EF3" s="1">
        <v>4</v>
      </c>
      <c r="EG3" s="1">
        <v>5</v>
      </c>
      <c r="EH3" s="1">
        <v>5</v>
      </c>
      <c r="EI3" s="1">
        <v>9.8119999999999994</v>
      </c>
      <c r="EJ3" s="1">
        <v>24.411000000000001</v>
      </c>
      <c r="EK3" s="1">
        <v>24.908000000000001</v>
      </c>
      <c r="EL3" s="1">
        <v>7</v>
      </c>
      <c r="EM3" s="1">
        <v>3</v>
      </c>
      <c r="EN3" s="1">
        <v>6</v>
      </c>
      <c r="EO3" s="1">
        <v>6.649</v>
      </c>
      <c r="EP3" s="1">
        <v>7.6349999999999998</v>
      </c>
      <c r="EQ3" s="1">
        <v>8.6470000000000002</v>
      </c>
      <c r="ER3" s="1">
        <v>2</v>
      </c>
      <c r="ES3" s="1">
        <v>1</v>
      </c>
      <c r="ET3" s="1">
        <v>5</v>
      </c>
      <c r="EU3" s="1">
        <v>20.294</v>
      </c>
      <c r="EV3" s="1">
        <v>30.279</v>
      </c>
      <c r="EW3" s="1">
        <v>30.876999999999999</v>
      </c>
      <c r="EX3" s="1">
        <v>3</v>
      </c>
      <c r="EY3" s="1">
        <v>2</v>
      </c>
      <c r="EZ3" s="1">
        <v>7</v>
      </c>
      <c r="FA3" s="1">
        <v>7.306</v>
      </c>
      <c r="FB3" s="1">
        <v>9.8610000000000007</v>
      </c>
      <c r="FC3" s="1">
        <v>10.574</v>
      </c>
      <c r="FD3" s="1">
        <v>2</v>
      </c>
      <c r="FE3" s="1">
        <v>5</v>
      </c>
      <c r="FF3" s="1">
        <v>4</v>
      </c>
      <c r="FG3" s="1">
        <v>69.899000000000001</v>
      </c>
      <c r="FH3" s="1">
        <v>89.116</v>
      </c>
      <c r="FI3" s="1">
        <v>90.135999999999996</v>
      </c>
      <c r="FJ3" s="1">
        <v>2</v>
      </c>
      <c r="FK3" s="1">
        <v>1</v>
      </c>
      <c r="FL3" s="1">
        <v>6</v>
      </c>
      <c r="FM3" s="1">
        <v>8.5329999999999995</v>
      </c>
      <c r="FN3" s="1">
        <v>11.198</v>
      </c>
      <c r="FO3" s="1">
        <v>11.936999999999999</v>
      </c>
      <c r="FP3" s="1">
        <v>2</v>
      </c>
      <c r="FQ3" s="1">
        <v>2</v>
      </c>
      <c r="FR3" s="1">
        <v>7</v>
      </c>
      <c r="FS3" s="1">
        <v>22.187999999999999</v>
      </c>
      <c r="FT3" s="1">
        <v>23.456</v>
      </c>
      <c r="FU3" s="1">
        <v>24.547999999999998</v>
      </c>
      <c r="FV3" s="1">
        <v>2</v>
      </c>
      <c r="FW3" s="1">
        <v>5</v>
      </c>
      <c r="FX3" s="1">
        <v>4</v>
      </c>
      <c r="FY3" s="1">
        <v>8.5790000000000006</v>
      </c>
      <c r="FZ3" s="1">
        <v>14.045999999999999</v>
      </c>
      <c r="GA3" s="1">
        <v>14.776</v>
      </c>
      <c r="GB3" s="1">
        <v>4</v>
      </c>
      <c r="GC3" s="1">
        <v>1</v>
      </c>
      <c r="GD3" s="1">
        <v>6</v>
      </c>
      <c r="GE3" s="1">
        <v>8.7360000000000007</v>
      </c>
      <c r="GF3" s="1">
        <v>11.89</v>
      </c>
      <c r="GG3" s="1">
        <v>12.894</v>
      </c>
      <c r="GH3" s="1">
        <v>3</v>
      </c>
      <c r="GI3" s="1">
        <v>2</v>
      </c>
      <c r="GJ3" s="1">
        <v>7</v>
      </c>
      <c r="GK3" s="1">
        <v>6.149</v>
      </c>
      <c r="GL3" s="1">
        <v>7.02</v>
      </c>
      <c r="GM3" s="1">
        <v>8.8610000000000007</v>
      </c>
      <c r="GN3" s="1">
        <v>2</v>
      </c>
      <c r="GO3" s="1">
        <v>5</v>
      </c>
      <c r="GP3" s="1">
        <v>6</v>
      </c>
      <c r="GQ3" s="1">
        <v>44.91</v>
      </c>
      <c r="GR3" s="1">
        <v>49.554000000000002</v>
      </c>
      <c r="GS3" s="1">
        <v>50.612000000000002</v>
      </c>
      <c r="GT3" s="1">
        <v>5</v>
      </c>
      <c r="GU3" s="1">
        <v>5</v>
      </c>
      <c r="GV3" s="1">
        <v>6</v>
      </c>
      <c r="GW3" s="1">
        <v>9.74</v>
      </c>
      <c r="GX3" s="1">
        <v>12.872999999999999</v>
      </c>
      <c r="GY3" s="1">
        <v>13.939</v>
      </c>
      <c r="GZ3" s="1">
        <v>2</v>
      </c>
      <c r="HA3" s="1">
        <v>2</v>
      </c>
      <c r="HB3" s="1">
        <v>7</v>
      </c>
      <c r="HC3" s="1">
        <v>8.3019999999999996</v>
      </c>
      <c r="HD3" s="1">
        <v>10.009</v>
      </c>
      <c r="HE3" s="1">
        <v>12.643000000000001</v>
      </c>
      <c r="HF3" s="1">
        <v>2</v>
      </c>
      <c r="HG3" s="1">
        <v>1</v>
      </c>
      <c r="HH3" s="1">
        <v>4</v>
      </c>
      <c r="HI3" s="1">
        <v>10.275</v>
      </c>
      <c r="HJ3" s="1">
        <v>16.181000000000001</v>
      </c>
      <c r="HK3" s="1">
        <v>17.468</v>
      </c>
      <c r="HL3" s="1">
        <v>4</v>
      </c>
      <c r="HM3" s="4" t="s">
        <v>302</v>
      </c>
      <c r="HN3" s="4" t="s">
        <v>303</v>
      </c>
      <c r="HO3" s="4" t="s">
        <v>304</v>
      </c>
      <c r="HP3" s="4" t="s">
        <v>305</v>
      </c>
      <c r="HQ3" s="4" t="s">
        <v>306</v>
      </c>
      <c r="HR3" s="4" t="s">
        <v>307</v>
      </c>
      <c r="HS3" s="4" t="s">
        <v>308</v>
      </c>
      <c r="HT3" s="4" t="s">
        <v>309</v>
      </c>
      <c r="HU3" s="4" t="s">
        <v>310</v>
      </c>
      <c r="HV3" s="4" t="s">
        <v>310</v>
      </c>
      <c r="HW3" s="4" t="s">
        <v>282</v>
      </c>
      <c r="HX3" s="4" t="s">
        <v>311</v>
      </c>
      <c r="HY3" s="4" t="s">
        <v>312</v>
      </c>
      <c r="HZ3" s="4" t="s">
        <v>282</v>
      </c>
      <c r="IA3" s="4" t="s">
        <v>313</v>
      </c>
      <c r="IB3" s="4" t="s">
        <v>282</v>
      </c>
      <c r="IC3" s="4" t="s">
        <v>282</v>
      </c>
    </row>
    <row r="4" spans="1:237" x14ac:dyDescent="0.2">
      <c r="A4" s="3">
        <v>45740.720312500001</v>
      </c>
      <c r="B4" s="3">
        <v>45740.735474537039</v>
      </c>
      <c r="C4" s="1">
        <v>0</v>
      </c>
      <c r="D4" s="4" t="s">
        <v>314</v>
      </c>
      <c r="E4" s="1">
        <v>100</v>
      </c>
      <c r="F4" s="1">
        <v>1310</v>
      </c>
      <c r="G4" s="1">
        <v>1</v>
      </c>
      <c r="H4" s="3">
        <v>45740.735489386578</v>
      </c>
      <c r="I4" s="4" t="s">
        <v>315</v>
      </c>
      <c r="J4" s="4" t="s">
        <v>282</v>
      </c>
      <c r="K4" s="4" t="s">
        <v>282</v>
      </c>
      <c r="L4" s="4" t="s">
        <v>282</v>
      </c>
      <c r="M4" s="4" t="s">
        <v>282</v>
      </c>
      <c r="N4" s="1">
        <v>-37.833300000000001</v>
      </c>
      <c r="O4" s="1">
        <v>145.23750000000001</v>
      </c>
      <c r="P4" s="4" t="s">
        <v>283</v>
      </c>
      <c r="Q4" s="4" t="s">
        <v>284</v>
      </c>
      <c r="R4" s="1">
        <v>1</v>
      </c>
      <c r="S4" s="1">
        <v>1</v>
      </c>
      <c r="T4" s="1">
        <v>1</v>
      </c>
      <c r="U4" s="1">
        <v>1</v>
      </c>
      <c r="V4" s="1">
        <v>1</v>
      </c>
      <c r="W4" s="1">
        <v>12</v>
      </c>
      <c r="X4" s="4" t="s">
        <v>1280</v>
      </c>
      <c r="Y4" s="1">
        <v>5</v>
      </c>
      <c r="Z4" s="1">
        <v>1</v>
      </c>
      <c r="AA4" s="1">
        <v>4</v>
      </c>
      <c r="AB4" s="1">
        <v>2</v>
      </c>
      <c r="AC4" s="1">
        <v>1</v>
      </c>
      <c r="AD4" s="1">
        <v>5</v>
      </c>
      <c r="AE4" s="1">
        <v>8.7010000000000005</v>
      </c>
      <c r="AF4" s="1">
        <v>11.013</v>
      </c>
      <c r="AG4" s="1">
        <v>11.898</v>
      </c>
      <c r="AH4" s="1">
        <v>2</v>
      </c>
      <c r="AI4" s="1">
        <v>2</v>
      </c>
      <c r="AJ4" s="1">
        <v>6</v>
      </c>
      <c r="AK4" s="1">
        <v>6.1639999999999997</v>
      </c>
      <c r="AL4" s="1">
        <v>16.861999999999998</v>
      </c>
      <c r="AM4" s="1">
        <v>17.936</v>
      </c>
      <c r="AN4" s="1">
        <v>3</v>
      </c>
      <c r="AO4" s="1">
        <v>4</v>
      </c>
      <c r="AP4" s="1">
        <v>5</v>
      </c>
      <c r="AQ4" s="1">
        <v>10.121</v>
      </c>
      <c r="AR4" s="1">
        <v>22.818999999999999</v>
      </c>
      <c r="AS4" s="1">
        <v>24.324999999999999</v>
      </c>
      <c r="AT4" s="1">
        <v>5</v>
      </c>
      <c r="AU4" s="1">
        <v>5</v>
      </c>
      <c r="AV4" s="1">
        <v>5</v>
      </c>
      <c r="AW4" s="1">
        <v>6.7969999999999997</v>
      </c>
      <c r="AX4" s="1">
        <v>8.3469999999999995</v>
      </c>
      <c r="AY4" s="1">
        <v>9.3680000000000003</v>
      </c>
      <c r="AZ4" s="1">
        <v>2</v>
      </c>
      <c r="BA4" s="1">
        <v>3</v>
      </c>
      <c r="BB4" s="1">
        <v>6</v>
      </c>
      <c r="BC4" s="1">
        <v>14.657999999999999</v>
      </c>
      <c r="BD4" s="1">
        <v>16.893999999999998</v>
      </c>
      <c r="BE4" s="1">
        <v>17.218</v>
      </c>
      <c r="BF4" s="1">
        <v>3</v>
      </c>
      <c r="BG4" s="1">
        <v>1</v>
      </c>
      <c r="BH4" s="1">
        <v>4</v>
      </c>
      <c r="BI4" s="1">
        <v>11.268000000000001</v>
      </c>
      <c r="BJ4" s="1">
        <v>13.087</v>
      </c>
      <c r="BK4" s="1">
        <v>13.824</v>
      </c>
      <c r="BL4" s="1">
        <v>4</v>
      </c>
      <c r="BM4" s="1">
        <v>2</v>
      </c>
      <c r="BN4" s="1">
        <v>6</v>
      </c>
      <c r="BO4" s="1">
        <v>17.611000000000001</v>
      </c>
      <c r="BP4" s="1">
        <v>18.806000000000001</v>
      </c>
      <c r="BQ4" s="1">
        <v>19.832999999999998</v>
      </c>
      <c r="BR4" s="1">
        <v>2</v>
      </c>
      <c r="BS4" s="1">
        <v>1</v>
      </c>
      <c r="BT4" s="1">
        <v>5</v>
      </c>
      <c r="BU4" s="1">
        <v>12.226000000000001</v>
      </c>
      <c r="BV4" s="1">
        <v>14.433</v>
      </c>
      <c r="BW4" s="1">
        <v>15.882999999999999</v>
      </c>
      <c r="BX4" s="1">
        <v>2</v>
      </c>
      <c r="BY4" s="1">
        <v>3</v>
      </c>
      <c r="BZ4" s="1">
        <v>5</v>
      </c>
      <c r="CA4" s="1">
        <v>22.498000000000001</v>
      </c>
      <c r="CB4" s="1">
        <v>30.413</v>
      </c>
      <c r="CC4" s="1">
        <v>31.655000000000001</v>
      </c>
      <c r="CD4" s="1">
        <v>4</v>
      </c>
      <c r="CE4" s="1">
        <v>5</v>
      </c>
      <c r="CF4" s="1">
        <v>5</v>
      </c>
      <c r="CG4" s="1">
        <v>9.4160000000000004</v>
      </c>
      <c r="CH4" s="1">
        <v>10.911</v>
      </c>
      <c r="CI4" s="1">
        <v>11.521000000000001</v>
      </c>
      <c r="CJ4" s="1">
        <v>2</v>
      </c>
      <c r="CK4" s="1">
        <v>1</v>
      </c>
      <c r="CL4" s="1">
        <v>4</v>
      </c>
      <c r="CM4" s="1">
        <v>45.295999999999999</v>
      </c>
      <c r="CN4" s="1">
        <v>59.213999999999999</v>
      </c>
      <c r="CO4" s="1">
        <v>59.963999999999999</v>
      </c>
      <c r="CP4" s="1">
        <v>3</v>
      </c>
      <c r="CQ4" s="1">
        <v>2</v>
      </c>
      <c r="CR4" s="1">
        <v>6</v>
      </c>
      <c r="CS4" s="1">
        <v>14.741</v>
      </c>
      <c r="CT4" s="1">
        <v>18.646999999999998</v>
      </c>
      <c r="CU4" s="1">
        <v>18.946999999999999</v>
      </c>
      <c r="CV4" s="1">
        <v>4</v>
      </c>
      <c r="CW4" s="4" t="s">
        <v>282</v>
      </c>
      <c r="CX4" s="1">
        <v>5</v>
      </c>
      <c r="CY4" s="1">
        <v>19.123999999999999</v>
      </c>
      <c r="CZ4" s="1">
        <v>28.620999999999999</v>
      </c>
      <c r="DA4" s="1">
        <v>30.481000000000002</v>
      </c>
      <c r="DB4" s="1">
        <v>6</v>
      </c>
      <c r="DC4" s="1">
        <v>4</v>
      </c>
      <c r="DD4" s="1">
        <v>5</v>
      </c>
      <c r="DE4" s="1">
        <v>47.688000000000002</v>
      </c>
      <c r="DF4" s="1">
        <v>49.097000000000001</v>
      </c>
      <c r="DG4" s="1">
        <v>50.265999999999998</v>
      </c>
      <c r="DH4" s="1">
        <v>2</v>
      </c>
      <c r="DI4" s="1">
        <v>3</v>
      </c>
      <c r="DJ4" s="1">
        <v>5</v>
      </c>
      <c r="DK4" s="1">
        <v>10.718</v>
      </c>
      <c r="DL4" s="1">
        <v>12.077</v>
      </c>
      <c r="DM4" s="1">
        <v>14.022</v>
      </c>
      <c r="DN4" s="1">
        <v>2</v>
      </c>
      <c r="DO4" s="1">
        <v>1</v>
      </c>
      <c r="DP4" s="1">
        <v>5</v>
      </c>
      <c r="DQ4" s="1">
        <v>58.468000000000004</v>
      </c>
      <c r="DR4" s="1">
        <v>60.372999999999998</v>
      </c>
      <c r="DS4" s="1">
        <v>61.119</v>
      </c>
      <c r="DT4" s="1">
        <v>3</v>
      </c>
      <c r="DU4" s="1">
        <v>2</v>
      </c>
      <c r="DV4" s="1">
        <v>6</v>
      </c>
      <c r="DW4" s="1">
        <v>39.923000000000002</v>
      </c>
      <c r="DX4" s="1">
        <v>47.718000000000004</v>
      </c>
      <c r="DY4" s="1">
        <v>48.691000000000003</v>
      </c>
      <c r="DZ4" s="1">
        <v>4</v>
      </c>
      <c r="EA4" s="1">
        <v>3</v>
      </c>
      <c r="EB4" s="1">
        <v>5</v>
      </c>
      <c r="EC4" s="1">
        <v>18.673999999999999</v>
      </c>
      <c r="ED4" s="1">
        <v>20.186</v>
      </c>
      <c r="EE4" s="1">
        <v>21.273</v>
      </c>
      <c r="EF4" s="1">
        <v>2</v>
      </c>
      <c r="EG4" s="1">
        <v>5</v>
      </c>
      <c r="EH4" s="1">
        <v>6</v>
      </c>
      <c r="EI4" s="1">
        <v>9.452</v>
      </c>
      <c r="EJ4" s="1">
        <v>14.917999999999999</v>
      </c>
      <c r="EK4" s="1">
        <v>15.62</v>
      </c>
      <c r="EL4" s="1">
        <v>3</v>
      </c>
      <c r="EM4" s="1">
        <v>5</v>
      </c>
      <c r="EN4" s="1">
        <v>4</v>
      </c>
      <c r="EO4" s="1">
        <v>47.973999999999997</v>
      </c>
      <c r="EP4" s="1">
        <v>50.720999999999997</v>
      </c>
      <c r="EQ4" s="1">
        <v>51.692999999999998</v>
      </c>
      <c r="ER4" s="1">
        <v>3</v>
      </c>
      <c r="ES4" s="1">
        <v>1</v>
      </c>
      <c r="ET4" s="1">
        <v>5</v>
      </c>
      <c r="EU4" s="1">
        <v>128.74700000000001</v>
      </c>
      <c r="EV4" s="1">
        <v>131.76300000000001</v>
      </c>
      <c r="EW4" s="1">
        <v>132.613</v>
      </c>
      <c r="EX4" s="1">
        <v>4</v>
      </c>
      <c r="EY4" s="1">
        <v>2</v>
      </c>
      <c r="EZ4" s="1">
        <v>7</v>
      </c>
      <c r="FA4" s="1">
        <v>8.6519999999999992</v>
      </c>
      <c r="FB4" s="1">
        <v>10.275</v>
      </c>
      <c r="FC4" s="1">
        <v>10.496</v>
      </c>
      <c r="FD4" s="1">
        <v>3</v>
      </c>
      <c r="FE4" s="1">
        <v>5</v>
      </c>
      <c r="FF4" s="1">
        <v>7</v>
      </c>
      <c r="FG4" s="1">
        <v>4.3899999999999997</v>
      </c>
      <c r="FH4" s="1">
        <v>8.7970000000000006</v>
      </c>
      <c r="FI4" s="1">
        <v>10.472</v>
      </c>
      <c r="FJ4" s="1">
        <v>3</v>
      </c>
      <c r="FK4" s="1">
        <v>1</v>
      </c>
      <c r="FL4" s="1">
        <v>7</v>
      </c>
      <c r="FM4" s="1">
        <v>8.1270000000000007</v>
      </c>
      <c r="FN4" s="1">
        <v>8.99</v>
      </c>
      <c r="FO4" s="1">
        <v>9.4499999999999993</v>
      </c>
      <c r="FP4" s="1">
        <v>2</v>
      </c>
      <c r="FQ4" s="1">
        <v>2</v>
      </c>
      <c r="FR4" s="1">
        <v>6</v>
      </c>
      <c r="FS4" s="1">
        <v>12.666</v>
      </c>
      <c r="FT4" s="1">
        <v>14.68</v>
      </c>
      <c r="FU4" s="1">
        <v>15.239000000000001</v>
      </c>
      <c r="FV4" s="1">
        <v>2</v>
      </c>
      <c r="FW4" s="1">
        <v>5</v>
      </c>
      <c r="FX4" s="1">
        <v>7</v>
      </c>
      <c r="FY4" s="1">
        <v>4.4279999999999999</v>
      </c>
      <c r="FZ4" s="1">
        <v>8.8930000000000007</v>
      </c>
      <c r="GA4" s="1">
        <v>9.1310000000000002</v>
      </c>
      <c r="GB4" s="1">
        <v>6</v>
      </c>
      <c r="GC4" s="1">
        <v>1</v>
      </c>
      <c r="GD4" s="1">
        <v>6</v>
      </c>
      <c r="GE4" s="1">
        <v>12.574999999999999</v>
      </c>
      <c r="GF4" s="1">
        <v>17.530999999999999</v>
      </c>
      <c r="GG4" s="1">
        <v>18.158000000000001</v>
      </c>
      <c r="GH4" s="1">
        <v>2</v>
      </c>
      <c r="GI4" s="1">
        <v>2</v>
      </c>
      <c r="GJ4" s="1">
        <v>6</v>
      </c>
      <c r="GK4" s="1">
        <v>7.3010000000000002</v>
      </c>
      <c r="GL4" s="1">
        <v>8.8629999999999995</v>
      </c>
      <c r="GM4" s="1">
        <v>9.3539999999999992</v>
      </c>
      <c r="GN4" s="1">
        <v>2</v>
      </c>
      <c r="GO4" s="1">
        <v>5</v>
      </c>
      <c r="GP4" s="1">
        <v>7</v>
      </c>
      <c r="GQ4" s="1">
        <v>4.3819999999999997</v>
      </c>
      <c r="GR4" s="1">
        <v>6.2270000000000003</v>
      </c>
      <c r="GS4" s="1">
        <v>8.6980000000000004</v>
      </c>
      <c r="GT4" s="1">
        <v>2</v>
      </c>
      <c r="GU4" s="1">
        <v>1</v>
      </c>
      <c r="GV4" s="1">
        <v>6</v>
      </c>
      <c r="GW4" s="1">
        <v>8.1920000000000002</v>
      </c>
      <c r="GX4" s="1">
        <v>10.185</v>
      </c>
      <c r="GY4" s="1">
        <v>10.417</v>
      </c>
      <c r="GZ4" s="1">
        <v>3</v>
      </c>
      <c r="HA4" s="1">
        <v>2</v>
      </c>
      <c r="HB4" s="1">
        <v>7</v>
      </c>
      <c r="HC4" s="1">
        <v>7.9710000000000001</v>
      </c>
      <c r="HD4" s="1">
        <v>11.324</v>
      </c>
      <c r="HE4" s="1">
        <v>11.784000000000001</v>
      </c>
      <c r="HF4" s="1">
        <v>3</v>
      </c>
      <c r="HG4" s="1">
        <v>1</v>
      </c>
      <c r="HH4" s="1">
        <v>6</v>
      </c>
      <c r="HI4" s="1">
        <v>5.234</v>
      </c>
      <c r="HJ4" s="1">
        <v>9.5389999999999997</v>
      </c>
      <c r="HK4" s="1">
        <v>10.054</v>
      </c>
      <c r="HL4" s="1">
        <v>2</v>
      </c>
      <c r="HM4" s="4" t="s">
        <v>318</v>
      </c>
      <c r="HN4" s="4" t="s">
        <v>319</v>
      </c>
      <c r="HO4" s="4" t="s">
        <v>320</v>
      </c>
      <c r="HP4" s="4" t="s">
        <v>320</v>
      </c>
      <c r="HQ4" s="4" t="s">
        <v>321</v>
      </c>
      <c r="HR4" s="4" t="s">
        <v>321</v>
      </c>
      <c r="HS4" s="4" t="s">
        <v>322</v>
      </c>
      <c r="HT4" s="4" t="s">
        <v>323</v>
      </c>
      <c r="HU4" s="4" t="s">
        <v>324</v>
      </c>
      <c r="HV4" s="4" t="s">
        <v>324</v>
      </c>
      <c r="HW4" s="4" t="s">
        <v>282</v>
      </c>
      <c r="HX4" s="4" t="s">
        <v>282</v>
      </c>
      <c r="HY4" s="4" t="s">
        <v>312</v>
      </c>
      <c r="HZ4" s="4" t="s">
        <v>282</v>
      </c>
      <c r="IA4" s="4" t="s">
        <v>325</v>
      </c>
      <c r="IB4" s="4" t="s">
        <v>282</v>
      </c>
      <c r="IC4" s="4" t="s">
        <v>282</v>
      </c>
    </row>
    <row r="5" spans="1:237" x14ac:dyDescent="0.2">
      <c r="A5" s="3">
        <v>45740.927418981482</v>
      </c>
      <c r="B5" s="3">
        <v>45740.955023148148</v>
      </c>
      <c r="C5" s="1">
        <v>0</v>
      </c>
      <c r="D5" s="4" t="s">
        <v>326</v>
      </c>
      <c r="E5" s="1">
        <v>100</v>
      </c>
      <c r="F5" s="1">
        <v>2384</v>
      </c>
      <c r="G5" s="1">
        <v>1</v>
      </c>
      <c r="H5" s="3">
        <v>45740.955036689818</v>
      </c>
      <c r="I5" s="4" t="s">
        <v>327</v>
      </c>
      <c r="J5" s="4" t="s">
        <v>282</v>
      </c>
      <c r="K5" s="4" t="s">
        <v>282</v>
      </c>
      <c r="L5" s="4" t="s">
        <v>282</v>
      </c>
      <c r="M5" s="4" t="s">
        <v>282</v>
      </c>
      <c r="N5" s="1">
        <v>-37.815899999999999</v>
      </c>
      <c r="O5" s="1">
        <v>144.96690000000001</v>
      </c>
      <c r="P5" s="4" t="s">
        <v>283</v>
      </c>
      <c r="Q5" s="4" t="s">
        <v>284</v>
      </c>
      <c r="R5" s="1">
        <v>0.80000001192092896</v>
      </c>
      <c r="S5" s="1">
        <v>1</v>
      </c>
      <c r="T5" s="1">
        <v>1</v>
      </c>
      <c r="U5" s="1">
        <v>1</v>
      </c>
      <c r="V5" s="1">
        <v>1</v>
      </c>
      <c r="W5" s="1">
        <v>12</v>
      </c>
      <c r="X5" s="4" t="s">
        <v>1222</v>
      </c>
      <c r="Y5" s="1">
        <v>5</v>
      </c>
      <c r="Z5" s="1">
        <v>1</v>
      </c>
      <c r="AA5" s="1">
        <v>3</v>
      </c>
      <c r="AB5" s="1">
        <v>2</v>
      </c>
      <c r="AC5" s="1">
        <v>1</v>
      </c>
      <c r="AD5" s="1">
        <v>6</v>
      </c>
      <c r="AE5" s="1">
        <v>6.6360000000000001</v>
      </c>
      <c r="AF5" s="1">
        <v>9.3680000000000003</v>
      </c>
      <c r="AG5" s="1">
        <v>9.7110000000000003</v>
      </c>
      <c r="AH5" s="1">
        <v>3</v>
      </c>
      <c r="AI5" s="1">
        <v>2</v>
      </c>
      <c r="AJ5" s="1">
        <v>6</v>
      </c>
      <c r="AK5" s="1">
        <v>5.7290000000000001</v>
      </c>
      <c r="AL5" s="1">
        <v>6.657</v>
      </c>
      <c r="AM5" s="1">
        <v>8.859</v>
      </c>
      <c r="AN5" s="1">
        <v>2</v>
      </c>
      <c r="AO5" s="1">
        <v>2</v>
      </c>
      <c r="AP5" s="1">
        <v>6</v>
      </c>
      <c r="AQ5" s="1">
        <v>5.0309999999999997</v>
      </c>
      <c r="AR5" s="1">
        <v>8.9779999999999998</v>
      </c>
      <c r="AS5" s="1">
        <v>9.5950000000000006</v>
      </c>
      <c r="AT5" s="1">
        <v>2</v>
      </c>
      <c r="AU5" s="1">
        <v>5</v>
      </c>
      <c r="AV5" s="1">
        <v>5</v>
      </c>
      <c r="AW5" s="1">
        <v>24.637</v>
      </c>
      <c r="AX5" s="1">
        <v>48.817</v>
      </c>
      <c r="AY5" s="1">
        <v>51.74</v>
      </c>
      <c r="AZ5" s="1">
        <v>3</v>
      </c>
      <c r="BA5" s="1">
        <v>5</v>
      </c>
      <c r="BB5" s="1">
        <v>4</v>
      </c>
      <c r="BC5" s="1">
        <v>25.605</v>
      </c>
      <c r="BD5" s="1">
        <v>26.597000000000001</v>
      </c>
      <c r="BE5" s="1">
        <v>27.856000000000002</v>
      </c>
      <c r="BF5" s="1">
        <v>3</v>
      </c>
      <c r="BG5" s="1">
        <v>1</v>
      </c>
      <c r="BH5" s="1">
        <v>6</v>
      </c>
      <c r="BI5" s="1">
        <v>8.7110000000000003</v>
      </c>
      <c r="BJ5" s="1">
        <v>10.858000000000001</v>
      </c>
      <c r="BK5" s="1">
        <v>11.407999999999999</v>
      </c>
      <c r="BL5" s="1">
        <v>2</v>
      </c>
      <c r="BM5" s="1">
        <v>2</v>
      </c>
      <c r="BN5" s="1">
        <v>6</v>
      </c>
      <c r="BO5" s="1">
        <v>5.05</v>
      </c>
      <c r="BP5" s="1">
        <v>13.986000000000001</v>
      </c>
      <c r="BQ5" s="1">
        <v>14.981</v>
      </c>
      <c r="BR5" s="1">
        <v>2</v>
      </c>
      <c r="BS5" s="1">
        <v>2</v>
      </c>
      <c r="BT5" s="1">
        <v>4</v>
      </c>
      <c r="BU5" s="1">
        <v>12.53</v>
      </c>
      <c r="BV5" s="1">
        <v>17.978000000000002</v>
      </c>
      <c r="BW5" s="1">
        <v>23.62</v>
      </c>
      <c r="BX5" s="1">
        <v>2</v>
      </c>
      <c r="BY5" s="1">
        <v>5</v>
      </c>
      <c r="BZ5" s="1">
        <v>4</v>
      </c>
      <c r="CA5" s="1">
        <v>9.4390000000000001</v>
      </c>
      <c r="CB5" s="1">
        <v>10.403</v>
      </c>
      <c r="CC5" s="1">
        <v>11.641</v>
      </c>
      <c r="CD5" s="1">
        <v>2</v>
      </c>
      <c r="CE5" s="1">
        <v>3</v>
      </c>
      <c r="CF5" s="1">
        <v>5</v>
      </c>
      <c r="CG5" s="1">
        <v>6.9029999999999996</v>
      </c>
      <c r="CH5" s="1">
        <v>15.757999999999999</v>
      </c>
      <c r="CI5" s="1">
        <v>19.600000000000001</v>
      </c>
      <c r="CJ5" s="1">
        <v>8</v>
      </c>
      <c r="CK5" s="1">
        <v>1</v>
      </c>
      <c r="CL5" s="1">
        <v>6</v>
      </c>
      <c r="CM5" s="1">
        <v>31.07</v>
      </c>
      <c r="CN5" s="1">
        <v>32.753</v>
      </c>
      <c r="CO5" s="1">
        <v>33.097000000000001</v>
      </c>
      <c r="CP5" s="1">
        <v>3</v>
      </c>
      <c r="CQ5" s="1">
        <v>2</v>
      </c>
      <c r="CR5" s="1">
        <v>6</v>
      </c>
      <c r="CS5" s="1">
        <v>9.5259999999999998</v>
      </c>
      <c r="CT5" s="1">
        <v>11.737</v>
      </c>
      <c r="CU5" s="1">
        <v>13.456</v>
      </c>
      <c r="CV5" s="1">
        <v>2</v>
      </c>
      <c r="CW5" s="1">
        <v>2</v>
      </c>
      <c r="CX5" s="1">
        <v>5</v>
      </c>
      <c r="CY5" s="1">
        <v>10.98</v>
      </c>
      <c r="CZ5" s="1">
        <v>30.835000000000001</v>
      </c>
      <c r="DA5" s="1">
        <v>31.97</v>
      </c>
      <c r="DB5" s="1">
        <v>5</v>
      </c>
      <c r="DC5" s="1">
        <v>3</v>
      </c>
      <c r="DD5" s="1">
        <v>5</v>
      </c>
      <c r="DE5" s="1">
        <v>92.203000000000003</v>
      </c>
      <c r="DF5" s="1">
        <v>118.602</v>
      </c>
      <c r="DG5" s="1">
        <v>120.024</v>
      </c>
      <c r="DH5" s="1">
        <v>3</v>
      </c>
      <c r="DI5" s="1">
        <v>3</v>
      </c>
      <c r="DJ5" s="1">
        <v>5</v>
      </c>
      <c r="DK5" s="1">
        <v>13.856</v>
      </c>
      <c r="DL5" s="1">
        <v>17.888000000000002</v>
      </c>
      <c r="DM5" s="1">
        <v>21.558</v>
      </c>
      <c r="DN5" s="1">
        <v>3</v>
      </c>
      <c r="DO5" s="1">
        <v>1</v>
      </c>
      <c r="DP5" s="1">
        <v>6</v>
      </c>
      <c r="DQ5" s="1">
        <v>40.869999999999997</v>
      </c>
      <c r="DR5" s="1">
        <v>43.009</v>
      </c>
      <c r="DS5" s="1">
        <v>45.997999999999998</v>
      </c>
      <c r="DT5" s="1">
        <v>2</v>
      </c>
      <c r="DU5" s="1">
        <v>2</v>
      </c>
      <c r="DV5" s="1">
        <v>6</v>
      </c>
      <c r="DW5" s="1">
        <v>6.9969999999999999</v>
      </c>
      <c r="DX5" s="1">
        <v>8.8770000000000007</v>
      </c>
      <c r="DY5" s="1">
        <v>9.8149999999999995</v>
      </c>
      <c r="DZ5" s="1">
        <v>2</v>
      </c>
      <c r="EA5" s="1">
        <v>4</v>
      </c>
      <c r="EB5" s="1">
        <v>4</v>
      </c>
      <c r="EC5" s="1">
        <v>20.922999999999998</v>
      </c>
      <c r="ED5" s="1">
        <v>22.027000000000001</v>
      </c>
      <c r="EE5" s="1">
        <v>22.658000000000001</v>
      </c>
      <c r="EF5" s="1">
        <v>2</v>
      </c>
      <c r="EG5" s="1">
        <v>5</v>
      </c>
      <c r="EH5" s="1">
        <v>4</v>
      </c>
      <c r="EI5" s="1">
        <v>14.647</v>
      </c>
      <c r="EJ5" s="1">
        <v>16.154</v>
      </c>
      <c r="EK5" s="1">
        <v>16.992999999999999</v>
      </c>
      <c r="EL5" s="1">
        <v>2</v>
      </c>
      <c r="EM5" s="1">
        <v>3</v>
      </c>
      <c r="EN5" s="1">
        <v>5</v>
      </c>
      <c r="EO5" s="1">
        <v>93.908000000000001</v>
      </c>
      <c r="EP5" s="1">
        <v>98.891999999999996</v>
      </c>
      <c r="EQ5" s="1">
        <v>100.121</v>
      </c>
      <c r="ER5" s="1">
        <v>2</v>
      </c>
      <c r="ES5" s="1">
        <v>1</v>
      </c>
      <c r="ET5" s="1">
        <v>6</v>
      </c>
      <c r="EU5" s="1">
        <v>8.9090000000000007</v>
      </c>
      <c r="EV5" s="1">
        <v>10.237</v>
      </c>
      <c r="EW5" s="1">
        <v>13.347</v>
      </c>
      <c r="EX5" s="1">
        <v>2</v>
      </c>
      <c r="EY5" s="1">
        <v>2</v>
      </c>
      <c r="EZ5" s="1">
        <v>7</v>
      </c>
      <c r="FA5" s="1">
        <v>10.220000000000001</v>
      </c>
      <c r="FB5" s="1">
        <v>11.92</v>
      </c>
      <c r="FC5" s="1">
        <v>12.513999999999999</v>
      </c>
      <c r="FD5" s="1">
        <v>2</v>
      </c>
      <c r="FE5" s="4" t="s">
        <v>282</v>
      </c>
      <c r="FF5" s="1">
        <v>3</v>
      </c>
      <c r="FG5" s="1">
        <v>9.282</v>
      </c>
      <c r="FH5" s="1">
        <v>14.577999999999999</v>
      </c>
      <c r="FI5" s="1">
        <v>15.385</v>
      </c>
      <c r="FJ5" s="1">
        <v>2</v>
      </c>
      <c r="FK5" s="1">
        <v>1</v>
      </c>
      <c r="FL5" s="1">
        <v>5</v>
      </c>
      <c r="FM5" s="1">
        <v>8.5470000000000006</v>
      </c>
      <c r="FN5" s="1">
        <v>10.94</v>
      </c>
      <c r="FO5" s="1">
        <v>11.586</v>
      </c>
      <c r="FP5" s="1">
        <v>2</v>
      </c>
      <c r="FQ5" s="1">
        <v>2</v>
      </c>
      <c r="FR5" s="1">
        <v>7</v>
      </c>
      <c r="FS5" s="1">
        <v>5.1989999999999998</v>
      </c>
      <c r="FT5" s="1">
        <v>10.494999999999999</v>
      </c>
      <c r="FU5" s="1">
        <v>11.33</v>
      </c>
      <c r="FV5" s="1">
        <v>2</v>
      </c>
      <c r="FW5" s="1">
        <v>5</v>
      </c>
      <c r="FX5" s="1">
        <v>4</v>
      </c>
      <c r="FY5" s="1">
        <v>27.271999999999998</v>
      </c>
      <c r="FZ5" s="1">
        <v>28.283999999999999</v>
      </c>
      <c r="GA5" s="1">
        <v>29.07</v>
      </c>
      <c r="GB5" s="1">
        <v>2</v>
      </c>
      <c r="GC5" s="1">
        <v>1</v>
      </c>
      <c r="GD5" s="1">
        <v>4</v>
      </c>
      <c r="GE5" s="1">
        <v>28.673999999999999</v>
      </c>
      <c r="GF5" s="1">
        <v>30.481000000000002</v>
      </c>
      <c r="GG5" s="1">
        <v>32.256</v>
      </c>
      <c r="GH5" s="1">
        <v>2</v>
      </c>
      <c r="GI5" s="1">
        <v>2</v>
      </c>
      <c r="GJ5" s="1">
        <v>7</v>
      </c>
      <c r="GK5" s="1">
        <v>6.4420000000000002</v>
      </c>
      <c r="GL5" s="1">
        <v>7.6740000000000004</v>
      </c>
      <c r="GM5" s="1">
        <v>10</v>
      </c>
      <c r="GN5" s="1">
        <v>2</v>
      </c>
      <c r="GO5" s="1">
        <v>5</v>
      </c>
      <c r="GP5" s="1">
        <v>5</v>
      </c>
      <c r="GQ5" s="1">
        <v>6.9130000000000003</v>
      </c>
      <c r="GR5" s="1">
        <v>8.2379999999999995</v>
      </c>
      <c r="GS5" s="1">
        <v>9.407</v>
      </c>
      <c r="GT5" s="1">
        <v>2</v>
      </c>
      <c r="GU5" s="1">
        <v>5</v>
      </c>
      <c r="GV5" s="1">
        <v>4</v>
      </c>
      <c r="GW5" s="1">
        <v>32.82</v>
      </c>
      <c r="GX5" s="1">
        <v>38.731999999999999</v>
      </c>
      <c r="GY5" s="1">
        <v>39.634</v>
      </c>
      <c r="GZ5" s="1">
        <v>2</v>
      </c>
      <c r="HA5" s="1">
        <v>2</v>
      </c>
      <c r="HB5" s="1">
        <v>6</v>
      </c>
      <c r="HC5" s="1">
        <v>9.7680000000000007</v>
      </c>
      <c r="HD5" s="1">
        <v>11.081</v>
      </c>
      <c r="HE5" s="1">
        <v>12.238</v>
      </c>
      <c r="HF5" s="1">
        <v>2</v>
      </c>
      <c r="HG5" s="1">
        <v>1</v>
      </c>
      <c r="HH5" s="1">
        <v>4</v>
      </c>
      <c r="HI5" s="1">
        <v>36.735999999999997</v>
      </c>
      <c r="HJ5" s="1">
        <v>43.332000000000001</v>
      </c>
      <c r="HK5" s="1">
        <v>46.378</v>
      </c>
      <c r="HL5" s="1">
        <v>4</v>
      </c>
      <c r="HM5" s="4" t="s">
        <v>331</v>
      </c>
      <c r="HN5" s="4" t="s">
        <v>332</v>
      </c>
      <c r="HO5" s="4" t="s">
        <v>333</v>
      </c>
      <c r="HP5" s="4" t="s">
        <v>334</v>
      </c>
      <c r="HQ5" s="4" t="s">
        <v>335</v>
      </c>
      <c r="HR5" s="4" t="s">
        <v>336</v>
      </c>
      <c r="HS5" s="4" t="s">
        <v>337</v>
      </c>
      <c r="HT5" s="4" t="s">
        <v>338</v>
      </c>
      <c r="HU5" s="4" t="s">
        <v>339</v>
      </c>
      <c r="HV5" s="4" t="s">
        <v>340</v>
      </c>
      <c r="HW5" s="4" t="s">
        <v>341</v>
      </c>
      <c r="HX5" s="4" t="s">
        <v>282</v>
      </c>
      <c r="HY5" s="4" t="s">
        <v>312</v>
      </c>
      <c r="HZ5" s="4" t="s">
        <v>282</v>
      </c>
      <c r="IA5" s="4" t="s">
        <v>325</v>
      </c>
      <c r="IB5" s="4" t="s">
        <v>282</v>
      </c>
      <c r="IC5" s="4" t="s">
        <v>282</v>
      </c>
    </row>
    <row r="6" spans="1:237" x14ac:dyDescent="0.2">
      <c r="A6" s="3">
        <v>45744.426388888889</v>
      </c>
      <c r="B6" s="3">
        <v>45744.43577546296</v>
      </c>
      <c r="C6" s="1">
        <v>0</v>
      </c>
      <c r="D6" s="4" t="s">
        <v>342</v>
      </c>
      <c r="E6" s="1">
        <v>100</v>
      </c>
      <c r="F6" s="1">
        <v>810</v>
      </c>
      <c r="G6" s="1">
        <v>1</v>
      </c>
      <c r="H6" s="3">
        <v>45744.435789687501</v>
      </c>
      <c r="I6" s="4" t="s">
        <v>343</v>
      </c>
      <c r="J6" s="4" t="s">
        <v>282</v>
      </c>
      <c r="K6" s="4" t="s">
        <v>282</v>
      </c>
      <c r="L6" s="4" t="s">
        <v>282</v>
      </c>
      <c r="M6" s="4" t="s">
        <v>282</v>
      </c>
      <c r="N6" s="1">
        <v>-37.979300000000002</v>
      </c>
      <c r="O6" s="1">
        <v>145.12970000000001</v>
      </c>
      <c r="P6" s="4" t="s">
        <v>283</v>
      </c>
      <c r="Q6" s="4" t="s">
        <v>284</v>
      </c>
      <c r="R6" s="1">
        <v>0.5</v>
      </c>
      <c r="S6" s="1">
        <v>1</v>
      </c>
      <c r="T6" s="1">
        <v>1</v>
      </c>
      <c r="U6" s="1">
        <v>1</v>
      </c>
      <c r="V6" s="1">
        <v>1</v>
      </c>
      <c r="W6" s="1">
        <v>12</v>
      </c>
      <c r="X6" s="4" t="s">
        <v>312</v>
      </c>
      <c r="Y6" s="1">
        <v>5</v>
      </c>
      <c r="Z6" s="1">
        <v>1</v>
      </c>
      <c r="AA6" s="1">
        <v>2</v>
      </c>
      <c r="AB6" s="1">
        <v>2</v>
      </c>
      <c r="AC6" s="1">
        <v>1</v>
      </c>
      <c r="AD6" s="1">
        <v>5</v>
      </c>
      <c r="AE6" s="1">
        <v>7.968</v>
      </c>
      <c r="AF6" s="1">
        <v>9.6010000000000009</v>
      </c>
      <c r="AG6" s="1">
        <v>10.590999999999999</v>
      </c>
      <c r="AH6" s="1">
        <v>2</v>
      </c>
      <c r="AI6" s="1">
        <v>4</v>
      </c>
      <c r="AJ6" s="1">
        <v>5</v>
      </c>
      <c r="AK6" s="1">
        <v>6.694</v>
      </c>
      <c r="AL6" s="1">
        <v>8.3659999999999997</v>
      </c>
      <c r="AM6" s="1">
        <v>9.4489999999999998</v>
      </c>
      <c r="AN6" s="1">
        <v>2</v>
      </c>
      <c r="AO6" s="1">
        <v>2</v>
      </c>
      <c r="AP6" s="1">
        <v>6</v>
      </c>
      <c r="AQ6" s="1">
        <v>6.351</v>
      </c>
      <c r="AR6" s="1">
        <v>11.339</v>
      </c>
      <c r="AS6" s="1">
        <v>12.26</v>
      </c>
      <c r="AT6" s="1">
        <v>2</v>
      </c>
      <c r="AU6" s="1">
        <v>5</v>
      </c>
      <c r="AV6" s="1">
        <v>5</v>
      </c>
      <c r="AW6" s="1">
        <v>6.5090000000000003</v>
      </c>
      <c r="AX6" s="1">
        <v>10.23</v>
      </c>
      <c r="AY6" s="1">
        <v>11.144</v>
      </c>
      <c r="AZ6" s="1">
        <v>3</v>
      </c>
      <c r="BA6" s="1">
        <v>5</v>
      </c>
      <c r="BB6" s="1">
        <v>5</v>
      </c>
      <c r="BC6" s="1">
        <v>7.3840000000000003</v>
      </c>
      <c r="BD6" s="1">
        <v>9.3859999999999992</v>
      </c>
      <c r="BE6" s="1">
        <v>9.7870000000000008</v>
      </c>
      <c r="BF6" s="1">
        <v>3</v>
      </c>
      <c r="BG6" s="1">
        <v>1</v>
      </c>
      <c r="BH6" s="1">
        <v>6</v>
      </c>
      <c r="BI6" s="1">
        <v>9.26</v>
      </c>
      <c r="BJ6" s="1">
        <v>12.16</v>
      </c>
      <c r="BK6" s="1">
        <v>12.863</v>
      </c>
      <c r="BL6" s="1">
        <v>2</v>
      </c>
      <c r="BM6" s="1">
        <v>2</v>
      </c>
      <c r="BN6" s="1">
        <v>5</v>
      </c>
      <c r="BO6" s="1">
        <v>10.015000000000001</v>
      </c>
      <c r="BP6" s="1">
        <v>11.457000000000001</v>
      </c>
      <c r="BQ6" s="1">
        <v>13.064</v>
      </c>
      <c r="BR6" s="1">
        <v>2</v>
      </c>
      <c r="BS6" s="1">
        <v>1</v>
      </c>
      <c r="BT6" s="1">
        <v>4</v>
      </c>
      <c r="BU6" s="1">
        <v>7.4489999999999998</v>
      </c>
      <c r="BV6" s="1">
        <v>9.9719999999999995</v>
      </c>
      <c r="BW6" s="1">
        <v>10.747</v>
      </c>
      <c r="BX6" s="1">
        <v>2</v>
      </c>
      <c r="BY6" s="1">
        <v>3</v>
      </c>
      <c r="BZ6" s="1">
        <v>4</v>
      </c>
      <c r="CA6" s="1">
        <v>15.500999999999999</v>
      </c>
      <c r="CB6" s="1">
        <v>17.5</v>
      </c>
      <c r="CC6" s="1">
        <v>18.602</v>
      </c>
      <c r="CD6" s="1">
        <v>2</v>
      </c>
      <c r="CE6" s="1">
        <v>3</v>
      </c>
      <c r="CF6" s="1">
        <v>5</v>
      </c>
      <c r="CG6" s="1">
        <v>6.4829999999999997</v>
      </c>
      <c r="CH6" s="1">
        <v>7.8840000000000003</v>
      </c>
      <c r="CI6" s="1">
        <v>9.1310000000000002</v>
      </c>
      <c r="CJ6" s="1">
        <v>2</v>
      </c>
      <c r="CK6" s="1">
        <v>1</v>
      </c>
      <c r="CL6" s="1">
        <v>5</v>
      </c>
      <c r="CM6" s="1">
        <v>6.4580000000000002</v>
      </c>
      <c r="CN6" s="1">
        <v>8.5120000000000005</v>
      </c>
      <c r="CO6" s="1">
        <v>9.2729999999999997</v>
      </c>
      <c r="CP6" s="1">
        <v>2</v>
      </c>
      <c r="CQ6" s="1">
        <v>4</v>
      </c>
      <c r="CR6" s="1">
        <v>5</v>
      </c>
      <c r="CS6" s="1">
        <v>8.0030000000000001</v>
      </c>
      <c r="CT6" s="1">
        <v>10.977</v>
      </c>
      <c r="CU6" s="1">
        <v>11.714</v>
      </c>
      <c r="CV6" s="1">
        <v>2</v>
      </c>
      <c r="CW6" s="1">
        <v>1</v>
      </c>
      <c r="CX6" s="1">
        <v>5</v>
      </c>
      <c r="CY6" s="1">
        <v>6.1239999999999997</v>
      </c>
      <c r="CZ6" s="1">
        <v>7.2809999999999997</v>
      </c>
      <c r="DA6" s="1">
        <v>9.0879999999999992</v>
      </c>
      <c r="DB6" s="1">
        <v>2</v>
      </c>
      <c r="DC6" s="1">
        <v>5</v>
      </c>
      <c r="DD6" s="1">
        <v>5</v>
      </c>
      <c r="DE6" s="1">
        <v>7.181</v>
      </c>
      <c r="DF6" s="1">
        <v>8.4120000000000008</v>
      </c>
      <c r="DG6" s="1">
        <v>9.4309999999999992</v>
      </c>
      <c r="DH6" s="1">
        <v>2</v>
      </c>
      <c r="DI6" s="1">
        <v>1</v>
      </c>
      <c r="DJ6" s="1">
        <v>5</v>
      </c>
      <c r="DK6" s="1">
        <v>7.2450000000000001</v>
      </c>
      <c r="DL6" s="1">
        <v>8.7010000000000005</v>
      </c>
      <c r="DM6" s="1">
        <v>11.848000000000001</v>
      </c>
      <c r="DN6" s="1">
        <v>2</v>
      </c>
      <c r="DO6" s="1">
        <v>1</v>
      </c>
      <c r="DP6" s="1">
        <v>5</v>
      </c>
      <c r="DQ6" s="1">
        <v>6.81</v>
      </c>
      <c r="DR6" s="1">
        <v>8.3019999999999996</v>
      </c>
      <c r="DS6" s="1">
        <v>9.4890000000000008</v>
      </c>
      <c r="DT6" s="1">
        <v>2</v>
      </c>
      <c r="DU6" s="1">
        <v>4</v>
      </c>
      <c r="DV6" s="1">
        <v>5</v>
      </c>
      <c r="DW6" s="1">
        <v>7.0369999999999999</v>
      </c>
      <c r="DX6" s="1">
        <v>12.634</v>
      </c>
      <c r="DY6" s="1">
        <v>13.507999999999999</v>
      </c>
      <c r="DZ6" s="1">
        <v>2</v>
      </c>
      <c r="EA6" s="1">
        <v>1</v>
      </c>
      <c r="EB6" s="1">
        <v>5</v>
      </c>
      <c r="EC6" s="1">
        <v>8.7260000000000009</v>
      </c>
      <c r="ED6" s="1">
        <v>10.089</v>
      </c>
      <c r="EE6" s="1">
        <v>10.901999999999999</v>
      </c>
      <c r="EF6" s="1">
        <v>2</v>
      </c>
      <c r="EG6" s="1">
        <v>5</v>
      </c>
      <c r="EH6" s="1">
        <v>4</v>
      </c>
      <c r="EI6" s="1">
        <v>7.5579999999999998</v>
      </c>
      <c r="EJ6" s="1">
        <v>10.206</v>
      </c>
      <c r="EK6" s="1">
        <v>10.973000000000001</v>
      </c>
      <c r="EL6" s="1">
        <v>2</v>
      </c>
      <c r="EM6" s="1">
        <v>1</v>
      </c>
      <c r="EN6" s="1">
        <v>5</v>
      </c>
      <c r="EO6" s="1">
        <v>8.1199999999999992</v>
      </c>
      <c r="EP6" s="1">
        <v>9.4700000000000006</v>
      </c>
      <c r="EQ6" s="1">
        <v>10.367000000000001</v>
      </c>
      <c r="ER6" s="1">
        <v>2</v>
      </c>
      <c r="ES6" s="1">
        <v>1</v>
      </c>
      <c r="ET6" s="1">
        <v>5</v>
      </c>
      <c r="EU6" s="1">
        <v>8.3360000000000003</v>
      </c>
      <c r="EV6" s="1">
        <v>9.65</v>
      </c>
      <c r="EW6" s="1">
        <v>10.483000000000001</v>
      </c>
      <c r="EX6" s="1">
        <v>2</v>
      </c>
      <c r="EY6" s="1">
        <v>2</v>
      </c>
      <c r="EZ6" s="1">
        <v>6</v>
      </c>
      <c r="FA6" s="1">
        <v>8.9420000000000002</v>
      </c>
      <c r="FB6" s="1">
        <v>12.161</v>
      </c>
      <c r="FC6" s="1">
        <v>13.343999999999999</v>
      </c>
      <c r="FD6" s="1">
        <v>2</v>
      </c>
      <c r="FE6" s="1">
        <v>2</v>
      </c>
      <c r="FF6" s="1">
        <v>5</v>
      </c>
      <c r="FG6" s="1">
        <v>7.3840000000000003</v>
      </c>
      <c r="FH6" s="1">
        <v>10.337999999999999</v>
      </c>
      <c r="FI6" s="1">
        <v>11.536</v>
      </c>
      <c r="FJ6" s="1">
        <v>3</v>
      </c>
      <c r="FK6" s="1">
        <v>1</v>
      </c>
      <c r="FL6" s="1">
        <v>5</v>
      </c>
      <c r="FM6" s="1">
        <v>6.0129999999999999</v>
      </c>
      <c r="FN6" s="1">
        <v>7.0129999999999999</v>
      </c>
      <c r="FO6" s="1">
        <v>8.9700000000000006</v>
      </c>
      <c r="FP6" s="1">
        <v>2</v>
      </c>
      <c r="FQ6" s="1">
        <v>1</v>
      </c>
      <c r="FR6" s="1">
        <v>5</v>
      </c>
      <c r="FS6" s="1">
        <v>12.679</v>
      </c>
      <c r="FT6" s="1">
        <v>15.04</v>
      </c>
      <c r="FU6" s="1">
        <v>18.829999999999998</v>
      </c>
      <c r="FV6" s="1">
        <v>2</v>
      </c>
      <c r="FW6" s="1">
        <v>2</v>
      </c>
      <c r="FX6" s="1">
        <v>5</v>
      </c>
      <c r="FY6" s="1">
        <v>19.611999999999998</v>
      </c>
      <c r="FZ6" s="1">
        <v>22.427</v>
      </c>
      <c r="GA6" s="1">
        <v>23.643000000000001</v>
      </c>
      <c r="GB6" s="1">
        <v>2</v>
      </c>
      <c r="GC6" s="1">
        <v>1</v>
      </c>
      <c r="GD6" s="1">
        <v>5</v>
      </c>
      <c r="GE6" s="1">
        <v>7.8419999999999996</v>
      </c>
      <c r="GF6" s="1">
        <v>8.7010000000000005</v>
      </c>
      <c r="GG6" s="1">
        <v>10.311</v>
      </c>
      <c r="GH6" s="1">
        <v>2</v>
      </c>
      <c r="GI6" s="1">
        <v>2</v>
      </c>
      <c r="GJ6" s="1">
        <v>5</v>
      </c>
      <c r="GK6" s="1">
        <v>8.2590000000000003</v>
      </c>
      <c r="GL6" s="1">
        <v>10.122999999999999</v>
      </c>
      <c r="GM6" s="1">
        <v>11.65</v>
      </c>
      <c r="GN6" s="1">
        <v>2</v>
      </c>
      <c r="GO6" s="1">
        <v>1</v>
      </c>
      <c r="GP6" s="1">
        <v>5</v>
      </c>
      <c r="GQ6" s="1">
        <v>6.2320000000000002</v>
      </c>
      <c r="GR6" s="1">
        <v>9.0559999999999992</v>
      </c>
      <c r="GS6" s="1">
        <v>9.8439999999999994</v>
      </c>
      <c r="GT6" s="1">
        <v>2</v>
      </c>
      <c r="GU6" s="1">
        <v>1</v>
      </c>
      <c r="GV6" s="1">
        <v>5</v>
      </c>
      <c r="GW6" s="1">
        <v>10.388</v>
      </c>
      <c r="GX6" s="1">
        <v>11.244999999999999</v>
      </c>
      <c r="GY6" s="1">
        <v>12.593999999999999</v>
      </c>
      <c r="GZ6" s="1">
        <v>2</v>
      </c>
      <c r="HA6" s="1">
        <v>2</v>
      </c>
      <c r="HB6" s="1">
        <v>6</v>
      </c>
      <c r="HC6" s="1">
        <v>7.4359999999999999</v>
      </c>
      <c r="HD6" s="1">
        <v>8.7110000000000003</v>
      </c>
      <c r="HE6" s="1">
        <v>9.9990000000000006</v>
      </c>
      <c r="HF6" s="1">
        <v>2</v>
      </c>
      <c r="HG6" s="1">
        <v>1</v>
      </c>
      <c r="HH6" s="1">
        <v>5</v>
      </c>
      <c r="HI6" s="1">
        <v>7.8630000000000004</v>
      </c>
      <c r="HJ6" s="1">
        <v>10.707000000000001</v>
      </c>
      <c r="HK6" s="1">
        <v>11.646000000000001</v>
      </c>
      <c r="HL6" s="1">
        <v>2</v>
      </c>
      <c r="HM6" s="4" t="s">
        <v>344</v>
      </c>
      <c r="HN6" s="4" t="s">
        <v>345</v>
      </c>
      <c r="HO6" s="4" t="s">
        <v>346</v>
      </c>
      <c r="HP6" s="4" t="s">
        <v>347</v>
      </c>
      <c r="HQ6" s="4" t="s">
        <v>348</v>
      </c>
      <c r="HR6" s="4" t="s">
        <v>349</v>
      </c>
      <c r="HS6" s="4" t="s">
        <v>350</v>
      </c>
      <c r="HT6" s="4" t="s">
        <v>351</v>
      </c>
      <c r="HU6" s="4" t="s">
        <v>352</v>
      </c>
      <c r="HV6" s="4" t="s">
        <v>353</v>
      </c>
      <c r="HW6" s="4" t="s">
        <v>354</v>
      </c>
      <c r="HX6" s="4" t="s">
        <v>355</v>
      </c>
      <c r="HY6" s="4" t="s">
        <v>312</v>
      </c>
      <c r="HZ6" s="4" t="s">
        <v>356</v>
      </c>
      <c r="IA6" s="4" t="s">
        <v>313</v>
      </c>
      <c r="IB6" s="4" t="s">
        <v>282</v>
      </c>
      <c r="IC6" s="4" t="s">
        <v>282</v>
      </c>
    </row>
    <row r="7" spans="1:237" x14ac:dyDescent="0.2">
      <c r="A7" s="3">
        <v>45744.430937500001</v>
      </c>
      <c r="B7" s="3">
        <v>45744.445902777778</v>
      </c>
      <c r="C7" s="1">
        <v>0</v>
      </c>
      <c r="D7" s="4" t="s">
        <v>357</v>
      </c>
      <c r="E7" s="1">
        <v>100</v>
      </c>
      <c r="F7" s="1">
        <v>1293</v>
      </c>
      <c r="G7" s="1">
        <v>1</v>
      </c>
      <c r="H7" s="3">
        <v>45744.445915231481</v>
      </c>
      <c r="I7" s="4" t="s">
        <v>358</v>
      </c>
      <c r="J7" s="4" t="s">
        <v>282</v>
      </c>
      <c r="K7" s="4" t="s">
        <v>282</v>
      </c>
      <c r="L7" s="4" t="s">
        <v>282</v>
      </c>
      <c r="M7" s="4" t="s">
        <v>282</v>
      </c>
      <c r="N7" s="1">
        <v>49.822099999999999</v>
      </c>
      <c r="O7" s="1">
        <v>-97.031499999999994</v>
      </c>
      <c r="P7" s="4" t="s">
        <v>283</v>
      </c>
      <c r="Q7" s="4" t="s">
        <v>284</v>
      </c>
      <c r="R7" s="1">
        <v>1</v>
      </c>
      <c r="S7" s="1">
        <v>1</v>
      </c>
      <c r="T7" s="1">
        <v>1</v>
      </c>
      <c r="U7" s="1">
        <v>1</v>
      </c>
      <c r="V7" s="1">
        <v>1</v>
      </c>
      <c r="W7" s="1">
        <v>5</v>
      </c>
      <c r="X7" s="4" t="s">
        <v>1281</v>
      </c>
      <c r="Y7" s="1">
        <v>5</v>
      </c>
      <c r="Z7" s="1">
        <v>1</v>
      </c>
      <c r="AA7" s="1">
        <v>1</v>
      </c>
      <c r="AB7" s="1">
        <v>2</v>
      </c>
      <c r="AC7" s="1">
        <v>1</v>
      </c>
      <c r="AD7" s="1">
        <v>5</v>
      </c>
      <c r="AE7" s="1">
        <v>1.1339999999999999</v>
      </c>
      <c r="AF7" s="1">
        <v>15.192</v>
      </c>
      <c r="AG7" s="1">
        <v>15.468999999999999</v>
      </c>
      <c r="AH7" s="1">
        <v>9</v>
      </c>
      <c r="AI7" s="1">
        <v>2</v>
      </c>
      <c r="AJ7" s="1">
        <v>6</v>
      </c>
      <c r="AK7" s="1">
        <v>13.164</v>
      </c>
      <c r="AL7" s="1">
        <v>16.184999999999999</v>
      </c>
      <c r="AM7" s="1">
        <v>16.7</v>
      </c>
      <c r="AN7" s="1">
        <v>5</v>
      </c>
      <c r="AO7" s="1">
        <v>2</v>
      </c>
      <c r="AP7" s="1">
        <v>6</v>
      </c>
      <c r="AQ7" s="1">
        <v>5.72</v>
      </c>
      <c r="AR7" s="1">
        <v>16.713000000000001</v>
      </c>
      <c r="AS7" s="1">
        <v>17.091999999999999</v>
      </c>
      <c r="AT7" s="1">
        <v>10</v>
      </c>
      <c r="AU7" s="1">
        <v>5</v>
      </c>
      <c r="AV7" s="1">
        <v>5</v>
      </c>
      <c r="AW7" s="1">
        <v>18.754999999999999</v>
      </c>
      <c r="AX7" s="1">
        <v>21.338000000000001</v>
      </c>
      <c r="AY7" s="1">
        <v>21.667000000000002</v>
      </c>
      <c r="AZ7" s="1">
        <v>6</v>
      </c>
      <c r="BA7" s="1">
        <v>4</v>
      </c>
      <c r="BB7" s="1">
        <v>4</v>
      </c>
      <c r="BC7" s="1">
        <v>17.878</v>
      </c>
      <c r="BD7" s="1">
        <v>29.783999999999999</v>
      </c>
      <c r="BE7" s="1">
        <v>32.036999999999999</v>
      </c>
      <c r="BF7" s="1">
        <v>8</v>
      </c>
      <c r="BG7" s="1">
        <v>1</v>
      </c>
      <c r="BH7" s="1">
        <v>5</v>
      </c>
      <c r="BI7" s="1">
        <v>5.69</v>
      </c>
      <c r="BJ7" s="1">
        <v>18.13</v>
      </c>
      <c r="BK7" s="1">
        <v>18.433</v>
      </c>
      <c r="BL7" s="1">
        <v>12</v>
      </c>
      <c r="BM7" s="1">
        <v>2</v>
      </c>
      <c r="BN7" s="1">
        <v>5</v>
      </c>
      <c r="BO7" s="1">
        <v>2.7320000000000002</v>
      </c>
      <c r="BP7" s="1">
        <v>14.731999999999999</v>
      </c>
      <c r="BQ7" s="1">
        <v>15.500999999999999</v>
      </c>
      <c r="BR7" s="1">
        <v>12</v>
      </c>
      <c r="BS7" s="1">
        <v>1</v>
      </c>
      <c r="BT7" s="1">
        <v>5</v>
      </c>
      <c r="BU7" s="1">
        <v>11.42</v>
      </c>
      <c r="BV7" s="1">
        <v>31.686</v>
      </c>
      <c r="BW7" s="1">
        <v>32.198</v>
      </c>
      <c r="BX7" s="1">
        <v>13</v>
      </c>
      <c r="BY7" s="1">
        <v>4</v>
      </c>
      <c r="BZ7" s="1">
        <v>7</v>
      </c>
      <c r="CA7" s="1">
        <v>1.536</v>
      </c>
      <c r="CB7" s="1">
        <v>15.907999999999999</v>
      </c>
      <c r="CC7" s="1">
        <v>16.603000000000002</v>
      </c>
      <c r="CD7" s="1">
        <v>10</v>
      </c>
      <c r="CE7" s="1">
        <v>3</v>
      </c>
      <c r="CF7" s="1">
        <v>5</v>
      </c>
      <c r="CG7" s="1">
        <v>1.244</v>
      </c>
      <c r="CH7" s="1">
        <v>14.515000000000001</v>
      </c>
      <c r="CI7" s="1">
        <v>15.177</v>
      </c>
      <c r="CJ7" s="1">
        <v>8</v>
      </c>
      <c r="CK7" s="1">
        <v>1</v>
      </c>
      <c r="CL7" s="1">
        <v>5</v>
      </c>
      <c r="CM7" s="1">
        <v>1.202</v>
      </c>
      <c r="CN7" s="1">
        <v>17.273</v>
      </c>
      <c r="CO7" s="1">
        <v>17.846</v>
      </c>
      <c r="CP7" s="1">
        <v>11</v>
      </c>
      <c r="CQ7" s="1">
        <v>2</v>
      </c>
      <c r="CR7" s="1">
        <v>5</v>
      </c>
      <c r="CS7" s="1">
        <v>0.98099999999999998</v>
      </c>
      <c r="CT7" s="1">
        <v>17.175000000000001</v>
      </c>
      <c r="CU7" s="1">
        <v>17.744</v>
      </c>
      <c r="CV7" s="1">
        <v>7</v>
      </c>
      <c r="CW7" s="1">
        <v>1</v>
      </c>
      <c r="CX7" s="1">
        <v>5</v>
      </c>
      <c r="CY7" s="1">
        <v>20.707999999999998</v>
      </c>
      <c r="CZ7" s="1">
        <v>31.902000000000001</v>
      </c>
      <c r="DA7" s="1">
        <v>32.603999999999999</v>
      </c>
      <c r="DB7" s="1">
        <v>14</v>
      </c>
      <c r="DC7" s="1">
        <v>5</v>
      </c>
      <c r="DD7" s="1">
        <v>6</v>
      </c>
      <c r="DE7" s="1">
        <v>2.3519999999999999</v>
      </c>
      <c r="DF7" s="1">
        <v>15.087999999999999</v>
      </c>
      <c r="DG7" s="1">
        <v>15.696</v>
      </c>
      <c r="DH7" s="1">
        <v>8</v>
      </c>
      <c r="DI7" s="1">
        <v>3</v>
      </c>
      <c r="DJ7" s="1">
        <v>5</v>
      </c>
      <c r="DK7" s="1">
        <v>2.5</v>
      </c>
      <c r="DL7" s="1">
        <v>13.34</v>
      </c>
      <c r="DM7" s="1">
        <v>13.506</v>
      </c>
      <c r="DN7" s="1">
        <v>9</v>
      </c>
      <c r="DO7" s="1">
        <v>1</v>
      </c>
      <c r="DP7" s="1">
        <v>5</v>
      </c>
      <c r="DQ7" s="1">
        <v>5.4820000000000002</v>
      </c>
      <c r="DR7" s="1">
        <v>19.231999999999999</v>
      </c>
      <c r="DS7" s="1">
        <v>19.856000000000002</v>
      </c>
      <c r="DT7" s="1">
        <v>8</v>
      </c>
      <c r="DU7" s="1">
        <v>2</v>
      </c>
      <c r="DV7" s="1">
        <v>6</v>
      </c>
      <c r="DW7" s="1">
        <v>4.6920000000000002</v>
      </c>
      <c r="DX7" s="1">
        <v>38.273000000000003</v>
      </c>
      <c r="DY7" s="1">
        <v>39.381</v>
      </c>
      <c r="DZ7" s="1">
        <v>11</v>
      </c>
      <c r="EA7" s="1">
        <v>4</v>
      </c>
      <c r="EB7" s="1">
        <v>5</v>
      </c>
      <c r="EC7" s="1">
        <v>6.2510000000000003</v>
      </c>
      <c r="ED7" s="1">
        <v>15.478999999999999</v>
      </c>
      <c r="EE7" s="1">
        <v>15.702999999999999</v>
      </c>
      <c r="EF7" s="1">
        <v>9</v>
      </c>
      <c r="EG7" s="1">
        <v>5</v>
      </c>
      <c r="EH7" s="1">
        <v>5</v>
      </c>
      <c r="EI7" s="1">
        <v>5.766</v>
      </c>
      <c r="EJ7" s="1">
        <v>16.577000000000002</v>
      </c>
      <c r="EK7" s="1">
        <v>16.911000000000001</v>
      </c>
      <c r="EL7" s="1">
        <v>10</v>
      </c>
      <c r="EM7" s="1">
        <v>3</v>
      </c>
      <c r="EN7" s="1">
        <v>5</v>
      </c>
      <c r="EO7" s="1">
        <v>1.0469999999999999</v>
      </c>
      <c r="EP7" s="1">
        <v>17.628</v>
      </c>
      <c r="EQ7" s="1">
        <v>18.050999999999998</v>
      </c>
      <c r="ER7" s="1">
        <v>8</v>
      </c>
      <c r="ES7" s="1">
        <v>1</v>
      </c>
      <c r="ET7" s="1">
        <v>5</v>
      </c>
      <c r="EU7" s="1">
        <v>3.0550000000000002</v>
      </c>
      <c r="EV7" s="1">
        <v>15.624000000000001</v>
      </c>
      <c r="EW7" s="1">
        <v>16.100000000000001</v>
      </c>
      <c r="EX7" s="1">
        <v>10</v>
      </c>
      <c r="EY7" s="1">
        <v>2</v>
      </c>
      <c r="EZ7" s="1">
        <v>6</v>
      </c>
      <c r="FA7" s="1">
        <v>13.369</v>
      </c>
      <c r="FB7" s="1">
        <v>23.177</v>
      </c>
      <c r="FC7" s="1">
        <v>23.433</v>
      </c>
      <c r="FD7" s="1">
        <v>9</v>
      </c>
      <c r="FE7" s="1">
        <v>5</v>
      </c>
      <c r="FF7" s="1">
        <v>5</v>
      </c>
      <c r="FG7" s="1">
        <v>7.6319999999999997</v>
      </c>
      <c r="FH7" s="1">
        <v>18.414000000000001</v>
      </c>
      <c r="FI7" s="1">
        <v>18.702999999999999</v>
      </c>
      <c r="FJ7" s="1">
        <v>8</v>
      </c>
      <c r="FK7" s="1">
        <v>1</v>
      </c>
      <c r="FL7" s="1">
        <v>6</v>
      </c>
      <c r="FM7" s="1">
        <v>5.2560000000000002</v>
      </c>
      <c r="FN7" s="1">
        <v>16.073</v>
      </c>
      <c r="FO7" s="1">
        <v>16.306000000000001</v>
      </c>
      <c r="FP7" s="1">
        <v>6</v>
      </c>
      <c r="FQ7" s="1">
        <v>2</v>
      </c>
      <c r="FR7" s="1">
        <v>5</v>
      </c>
      <c r="FS7" s="1">
        <v>1.0589999999999999</v>
      </c>
      <c r="FT7" s="1">
        <v>21.030999999999999</v>
      </c>
      <c r="FU7" s="1">
        <v>21.202000000000002</v>
      </c>
      <c r="FV7" s="1">
        <v>13</v>
      </c>
      <c r="FW7" s="1">
        <v>5</v>
      </c>
      <c r="FX7" s="1">
        <v>5</v>
      </c>
      <c r="FY7" s="1">
        <v>7.0350000000000001</v>
      </c>
      <c r="FZ7" s="1">
        <v>19.132000000000001</v>
      </c>
      <c r="GA7" s="1">
        <v>19.3</v>
      </c>
      <c r="GB7" s="1">
        <v>10</v>
      </c>
      <c r="GC7" s="1">
        <v>1</v>
      </c>
      <c r="GD7" s="1">
        <v>5</v>
      </c>
      <c r="GE7" s="1">
        <v>5.5430000000000001</v>
      </c>
      <c r="GF7" s="1">
        <v>15.484999999999999</v>
      </c>
      <c r="GG7" s="1">
        <v>15.797000000000001</v>
      </c>
      <c r="GH7" s="1">
        <v>8</v>
      </c>
      <c r="GI7" s="1">
        <v>2</v>
      </c>
      <c r="GJ7" s="1">
        <v>6</v>
      </c>
      <c r="GK7" s="1">
        <v>8.08</v>
      </c>
      <c r="GL7" s="1">
        <v>14.439</v>
      </c>
      <c r="GM7" s="1">
        <v>14.765000000000001</v>
      </c>
      <c r="GN7" s="1">
        <v>9</v>
      </c>
      <c r="GO7" s="1">
        <v>5</v>
      </c>
      <c r="GP7" s="1">
        <v>5</v>
      </c>
      <c r="GQ7" s="1">
        <v>3.8889999999999998</v>
      </c>
      <c r="GR7" s="1">
        <v>12.045999999999999</v>
      </c>
      <c r="GS7" s="1">
        <v>12.346</v>
      </c>
      <c r="GT7" s="1">
        <v>8</v>
      </c>
      <c r="GU7" s="1">
        <v>1</v>
      </c>
      <c r="GV7" s="1">
        <v>5</v>
      </c>
      <c r="GW7" s="1">
        <v>2.9340000000000002</v>
      </c>
      <c r="GX7" s="1">
        <v>19.864000000000001</v>
      </c>
      <c r="GY7" s="1">
        <v>20.178999999999998</v>
      </c>
      <c r="GZ7" s="1">
        <v>10</v>
      </c>
      <c r="HA7" s="1">
        <v>2</v>
      </c>
      <c r="HB7" s="1">
        <v>5</v>
      </c>
      <c r="HC7" s="1">
        <v>4.5359999999999996</v>
      </c>
      <c r="HD7" s="1">
        <v>13.382999999999999</v>
      </c>
      <c r="HE7" s="1">
        <v>13.6</v>
      </c>
      <c r="HF7" s="1">
        <v>8</v>
      </c>
      <c r="HG7" s="1">
        <v>1</v>
      </c>
      <c r="HH7" s="1">
        <v>5</v>
      </c>
      <c r="HI7" s="1">
        <v>5.0880000000000001</v>
      </c>
      <c r="HJ7" s="1">
        <v>26.161999999999999</v>
      </c>
      <c r="HK7" s="1">
        <v>26.457000000000001</v>
      </c>
      <c r="HL7" s="1">
        <v>12</v>
      </c>
      <c r="HM7" s="4" t="s">
        <v>361</v>
      </c>
      <c r="HN7" s="4" t="s">
        <v>362</v>
      </c>
      <c r="HO7" s="4" t="s">
        <v>363</v>
      </c>
      <c r="HP7" s="4" t="s">
        <v>364</v>
      </c>
      <c r="HQ7" s="4" t="s">
        <v>365</v>
      </c>
      <c r="HR7" s="4" t="s">
        <v>366</v>
      </c>
      <c r="HS7" s="4" t="s">
        <v>367</v>
      </c>
      <c r="HT7" s="4" t="s">
        <v>368</v>
      </c>
      <c r="HU7" s="4" t="s">
        <v>369</v>
      </c>
      <c r="HV7" s="4" t="s">
        <v>370</v>
      </c>
      <c r="HW7" s="4" t="s">
        <v>371</v>
      </c>
      <c r="HX7" s="4" t="s">
        <v>282</v>
      </c>
      <c r="HY7" s="4" t="s">
        <v>312</v>
      </c>
      <c r="HZ7" s="4" t="s">
        <v>372</v>
      </c>
      <c r="IA7" s="4" t="s">
        <v>325</v>
      </c>
      <c r="IB7" s="4" t="s">
        <v>282</v>
      </c>
      <c r="IC7" s="4" t="s">
        <v>282</v>
      </c>
    </row>
    <row r="8" spans="1:237" x14ac:dyDescent="0.2">
      <c r="A8" s="3">
        <v>45744.432719907411</v>
      </c>
      <c r="B8" s="3">
        <v>45744.447222222225</v>
      </c>
      <c r="C8" s="1">
        <v>0</v>
      </c>
      <c r="D8" s="4" t="s">
        <v>373</v>
      </c>
      <c r="E8" s="1">
        <v>100</v>
      </c>
      <c r="F8" s="1">
        <v>1253</v>
      </c>
      <c r="G8" s="1">
        <v>1</v>
      </c>
      <c r="H8" s="3">
        <v>45744.447238715278</v>
      </c>
      <c r="I8" s="4" t="s">
        <v>374</v>
      </c>
      <c r="J8" s="4" t="s">
        <v>282</v>
      </c>
      <c r="K8" s="4" t="s">
        <v>282</v>
      </c>
      <c r="L8" s="4" t="s">
        <v>282</v>
      </c>
      <c r="M8" s="4" t="s">
        <v>282</v>
      </c>
      <c r="N8" s="1">
        <v>-37.910800000000002</v>
      </c>
      <c r="O8" s="1">
        <v>145.13319999999999</v>
      </c>
      <c r="P8" s="4" t="s">
        <v>283</v>
      </c>
      <c r="Q8" s="4" t="s">
        <v>284</v>
      </c>
      <c r="R8" s="1">
        <v>1</v>
      </c>
      <c r="S8" s="1">
        <v>1</v>
      </c>
      <c r="T8" s="1">
        <v>1</v>
      </c>
      <c r="U8" s="1">
        <v>1</v>
      </c>
      <c r="V8" s="1">
        <v>1</v>
      </c>
      <c r="W8" s="1">
        <v>12</v>
      </c>
      <c r="X8" s="4" t="s">
        <v>497</v>
      </c>
      <c r="Y8" s="1">
        <v>5</v>
      </c>
      <c r="Z8" s="1">
        <v>1</v>
      </c>
      <c r="AA8" s="1">
        <v>4</v>
      </c>
      <c r="AB8" s="1">
        <v>3</v>
      </c>
      <c r="AC8" s="1">
        <v>1</v>
      </c>
      <c r="AD8" s="1">
        <v>4</v>
      </c>
      <c r="AE8" s="1">
        <v>9.1340000000000003</v>
      </c>
      <c r="AF8" s="1">
        <v>10.669</v>
      </c>
      <c r="AG8" s="1">
        <v>11.289</v>
      </c>
      <c r="AH8" s="1">
        <v>2</v>
      </c>
      <c r="AI8" s="1">
        <v>4</v>
      </c>
      <c r="AJ8" s="1">
        <v>4</v>
      </c>
      <c r="AK8" s="1">
        <v>7.8280000000000003</v>
      </c>
      <c r="AL8" s="1">
        <v>14.564</v>
      </c>
      <c r="AM8" s="1">
        <v>14.895</v>
      </c>
      <c r="AN8" s="1">
        <v>7</v>
      </c>
      <c r="AO8" s="1">
        <v>4</v>
      </c>
      <c r="AP8" s="1">
        <v>5</v>
      </c>
      <c r="AQ8" s="1">
        <v>9.7360000000000007</v>
      </c>
      <c r="AR8" s="1">
        <v>12.384</v>
      </c>
      <c r="AS8" s="1">
        <v>13.018000000000001</v>
      </c>
      <c r="AT8" s="1">
        <v>2</v>
      </c>
      <c r="AU8" s="1">
        <v>3</v>
      </c>
      <c r="AV8" s="1">
        <v>4</v>
      </c>
      <c r="AW8" s="1">
        <v>10.225</v>
      </c>
      <c r="AX8" s="1">
        <v>12.01</v>
      </c>
      <c r="AY8" s="1">
        <v>13.211</v>
      </c>
      <c r="AZ8" s="1">
        <v>2</v>
      </c>
      <c r="BA8" s="1">
        <v>5</v>
      </c>
      <c r="BB8" s="1">
        <v>4</v>
      </c>
      <c r="BC8" s="1">
        <v>12.263</v>
      </c>
      <c r="BD8" s="1">
        <v>16.856000000000002</v>
      </c>
      <c r="BE8" s="1">
        <v>17.571000000000002</v>
      </c>
      <c r="BF8" s="1">
        <v>3</v>
      </c>
      <c r="BG8" s="1">
        <v>1</v>
      </c>
      <c r="BH8" s="1">
        <v>4</v>
      </c>
      <c r="BI8" s="1">
        <v>9.6649999999999991</v>
      </c>
      <c r="BJ8" s="1">
        <v>11.176</v>
      </c>
      <c r="BK8" s="1">
        <v>11.9</v>
      </c>
      <c r="BL8" s="1">
        <v>2</v>
      </c>
      <c r="BM8" s="1">
        <v>4</v>
      </c>
      <c r="BN8" s="1">
        <v>5</v>
      </c>
      <c r="BO8" s="1">
        <v>8.6219999999999999</v>
      </c>
      <c r="BP8" s="1">
        <v>10.287000000000001</v>
      </c>
      <c r="BQ8" s="1">
        <v>12.25</v>
      </c>
      <c r="BR8" s="1">
        <v>2</v>
      </c>
      <c r="BS8" s="1">
        <v>3</v>
      </c>
      <c r="BT8" s="1">
        <v>3</v>
      </c>
      <c r="BU8" s="1">
        <v>24.637</v>
      </c>
      <c r="BV8" s="1">
        <v>27.477</v>
      </c>
      <c r="BW8" s="1">
        <v>29.117999999999999</v>
      </c>
      <c r="BX8" s="1">
        <v>2</v>
      </c>
      <c r="BY8" s="1">
        <v>5</v>
      </c>
      <c r="BZ8" s="1">
        <v>3</v>
      </c>
      <c r="CA8" s="1">
        <v>8.6419999999999995</v>
      </c>
      <c r="CB8" s="1">
        <v>12.106</v>
      </c>
      <c r="CC8" s="1">
        <v>13.173999999999999</v>
      </c>
      <c r="CD8" s="1">
        <v>2</v>
      </c>
      <c r="CE8" s="1">
        <v>3</v>
      </c>
      <c r="CF8" s="1">
        <v>3</v>
      </c>
      <c r="CG8" s="1">
        <v>13.819000000000001</v>
      </c>
      <c r="CH8" s="1">
        <v>15.715999999999999</v>
      </c>
      <c r="CI8" s="1">
        <v>16.542999999999999</v>
      </c>
      <c r="CJ8" s="1">
        <v>2</v>
      </c>
      <c r="CK8" s="1">
        <v>1</v>
      </c>
      <c r="CL8" s="1">
        <v>5</v>
      </c>
      <c r="CM8" s="1">
        <v>5.9039999999999999</v>
      </c>
      <c r="CN8" s="1">
        <v>10.321</v>
      </c>
      <c r="CO8" s="1">
        <v>10.925000000000001</v>
      </c>
      <c r="CP8" s="1">
        <v>4</v>
      </c>
      <c r="CQ8" s="1">
        <v>4</v>
      </c>
      <c r="CR8" s="1">
        <v>5</v>
      </c>
      <c r="CS8" s="1">
        <v>11.231</v>
      </c>
      <c r="CT8" s="1">
        <v>13.76</v>
      </c>
      <c r="CU8" s="1">
        <v>14.505000000000001</v>
      </c>
      <c r="CV8" s="1">
        <v>2</v>
      </c>
      <c r="CW8" s="1">
        <v>1</v>
      </c>
      <c r="CX8" s="1">
        <v>4</v>
      </c>
      <c r="CY8" s="1">
        <v>11.045999999999999</v>
      </c>
      <c r="CZ8" s="1">
        <v>12.478</v>
      </c>
      <c r="DA8" s="1">
        <v>13.177</v>
      </c>
      <c r="DB8" s="1">
        <v>2</v>
      </c>
      <c r="DC8" s="1">
        <v>1</v>
      </c>
      <c r="DD8" s="1">
        <v>4</v>
      </c>
      <c r="DE8" s="1">
        <v>6.6189999999999998</v>
      </c>
      <c r="DF8" s="1">
        <v>10.523999999999999</v>
      </c>
      <c r="DG8" s="1">
        <v>11.286</v>
      </c>
      <c r="DH8" s="1">
        <v>3</v>
      </c>
      <c r="DI8" s="1">
        <v>3</v>
      </c>
      <c r="DJ8" s="1">
        <v>5</v>
      </c>
      <c r="DK8" s="1">
        <v>7.7270000000000003</v>
      </c>
      <c r="DL8" s="1">
        <v>9.4700000000000006</v>
      </c>
      <c r="DM8" s="1">
        <v>10.17</v>
      </c>
      <c r="DN8" s="1">
        <v>2</v>
      </c>
      <c r="DO8" s="1">
        <v>1</v>
      </c>
      <c r="DP8" s="1">
        <v>5</v>
      </c>
      <c r="DQ8" s="1">
        <v>11.305</v>
      </c>
      <c r="DR8" s="1">
        <v>15.617000000000001</v>
      </c>
      <c r="DS8" s="1">
        <v>16.260000000000002</v>
      </c>
      <c r="DT8" s="1">
        <v>3</v>
      </c>
      <c r="DU8" s="1">
        <v>2</v>
      </c>
      <c r="DV8" s="1">
        <v>4</v>
      </c>
      <c r="DW8" s="1">
        <v>9.8539999999999992</v>
      </c>
      <c r="DX8" s="1">
        <v>16.190999999999999</v>
      </c>
      <c r="DY8" s="1">
        <v>17.907</v>
      </c>
      <c r="DZ8" s="1">
        <v>4</v>
      </c>
      <c r="EA8" s="1">
        <v>1</v>
      </c>
      <c r="EB8" s="1">
        <v>4</v>
      </c>
      <c r="EC8" s="1">
        <v>14.872</v>
      </c>
      <c r="ED8" s="1">
        <v>16.831</v>
      </c>
      <c r="EE8" s="1">
        <v>17.698</v>
      </c>
      <c r="EF8" s="1">
        <v>2</v>
      </c>
      <c r="EG8" s="1">
        <v>1</v>
      </c>
      <c r="EH8" s="1">
        <v>4</v>
      </c>
      <c r="EI8" s="1">
        <v>9.2439999999999998</v>
      </c>
      <c r="EJ8" s="1">
        <v>13.451000000000001</v>
      </c>
      <c r="EK8" s="1">
        <v>16.416</v>
      </c>
      <c r="EL8" s="1">
        <v>2</v>
      </c>
      <c r="EM8" s="1">
        <v>3</v>
      </c>
      <c r="EN8" s="1">
        <v>5</v>
      </c>
      <c r="EO8" s="1">
        <v>8.5399999999999991</v>
      </c>
      <c r="EP8" s="1">
        <v>11.978999999999999</v>
      </c>
      <c r="EQ8" s="1">
        <v>12.981999999999999</v>
      </c>
      <c r="ER8" s="1">
        <v>3</v>
      </c>
      <c r="ES8" s="1">
        <v>1</v>
      </c>
      <c r="ET8" s="1">
        <v>6</v>
      </c>
      <c r="EU8" s="1">
        <v>9.2840000000000007</v>
      </c>
      <c r="EV8" s="1">
        <v>10.483000000000001</v>
      </c>
      <c r="EW8" s="1">
        <v>11.125999999999999</v>
      </c>
      <c r="EX8" s="1">
        <v>2</v>
      </c>
      <c r="EY8" s="1">
        <v>2</v>
      </c>
      <c r="EZ8" s="1">
        <v>7</v>
      </c>
      <c r="FA8" s="1">
        <v>15.840999999999999</v>
      </c>
      <c r="FB8" s="1">
        <v>19.234000000000002</v>
      </c>
      <c r="FC8" s="1">
        <v>20.055</v>
      </c>
      <c r="FD8" s="1">
        <v>2</v>
      </c>
      <c r="FE8" s="1">
        <v>5</v>
      </c>
      <c r="FF8" s="1">
        <v>4</v>
      </c>
      <c r="FG8" s="1">
        <v>11.962</v>
      </c>
      <c r="FH8" s="1">
        <v>13.978</v>
      </c>
      <c r="FI8" s="1">
        <v>16.588999999999999</v>
      </c>
      <c r="FJ8" s="1">
        <v>2</v>
      </c>
      <c r="FK8" s="1">
        <v>1</v>
      </c>
      <c r="FL8" s="1">
        <v>5</v>
      </c>
      <c r="FM8" s="1">
        <v>8.4149999999999991</v>
      </c>
      <c r="FN8" s="1">
        <v>11.113</v>
      </c>
      <c r="FO8" s="1">
        <v>11.835000000000001</v>
      </c>
      <c r="FP8" s="1">
        <v>2</v>
      </c>
      <c r="FQ8" s="1">
        <v>2</v>
      </c>
      <c r="FR8" s="1">
        <v>7</v>
      </c>
      <c r="FS8" s="1">
        <v>12.327999999999999</v>
      </c>
      <c r="FT8" s="1">
        <v>15.71</v>
      </c>
      <c r="FU8" s="1">
        <v>16.690999999999999</v>
      </c>
      <c r="FV8" s="1">
        <v>2</v>
      </c>
      <c r="FW8" s="1">
        <v>1</v>
      </c>
      <c r="FX8" s="1">
        <v>4</v>
      </c>
      <c r="FY8" s="1">
        <v>19.489999999999998</v>
      </c>
      <c r="FZ8" s="1">
        <v>27.777000000000001</v>
      </c>
      <c r="GA8" s="1">
        <v>30.036000000000001</v>
      </c>
      <c r="GB8" s="1">
        <v>4</v>
      </c>
      <c r="GC8" s="1">
        <v>1</v>
      </c>
      <c r="GD8" s="1">
        <v>6</v>
      </c>
      <c r="GE8" s="1">
        <v>9.4350000000000005</v>
      </c>
      <c r="GF8" s="1">
        <v>11.172000000000001</v>
      </c>
      <c r="GG8" s="1">
        <v>11.718999999999999</v>
      </c>
      <c r="GH8" s="1">
        <v>2</v>
      </c>
      <c r="GI8" s="1">
        <v>2</v>
      </c>
      <c r="GJ8" s="1">
        <v>6</v>
      </c>
      <c r="GK8" s="1">
        <v>11.315</v>
      </c>
      <c r="GL8" s="1">
        <v>13.06</v>
      </c>
      <c r="GM8" s="1">
        <v>15.957000000000001</v>
      </c>
      <c r="GN8" s="1">
        <v>2</v>
      </c>
      <c r="GO8" s="1">
        <v>1</v>
      </c>
      <c r="GP8" s="1">
        <v>5</v>
      </c>
      <c r="GQ8" s="1">
        <v>12.071</v>
      </c>
      <c r="GR8" s="1">
        <v>14.975</v>
      </c>
      <c r="GS8" s="1">
        <v>16.259</v>
      </c>
      <c r="GT8" s="1">
        <v>2</v>
      </c>
      <c r="GU8" s="1">
        <v>1</v>
      </c>
      <c r="GV8" s="1">
        <v>5</v>
      </c>
      <c r="GW8" s="1">
        <v>10.43</v>
      </c>
      <c r="GX8" s="1">
        <v>12.82</v>
      </c>
      <c r="GY8" s="1">
        <v>13.43</v>
      </c>
      <c r="GZ8" s="1">
        <v>2</v>
      </c>
      <c r="HA8" s="1">
        <v>2</v>
      </c>
      <c r="HB8" s="1">
        <v>6</v>
      </c>
      <c r="HC8" s="1">
        <v>8.3469999999999995</v>
      </c>
      <c r="HD8" s="1">
        <v>9.5229999999999997</v>
      </c>
      <c r="HE8" s="1">
        <v>10.318</v>
      </c>
      <c r="HF8" s="1">
        <v>2</v>
      </c>
      <c r="HG8" s="1">
        <v>1</v>
      </c>
      <c r="HH8" s="1">
        <v>5</v>
      </c>
      <c r="HI8" s="1">
        <v>9.3190000000000008</v>
      </c>
      <c r="HJ8" s="1">
        <v>11.528</v>
      </c>
      <c r="HK8" s="1">
        <v>12.179</v>
      </c>
      <c r="HL8" s="1">
        <v>3</v>
      </c>
      <c r="HM8" s="4" t="s">
        <v>376</v>
      </c>
      <c r="HN8" s="4" t="s">
        <v>377</v>
      </c>
      <c r="HO8" s="4" t="s">
        <v>378</v>
      </c>
      <c r="HP8" s="4" t="s">
        <v>379</v>
      </c>
      <c r="HQ8" s="4" t="s">
        <v>378</v>
      </c>
      <c r="HR8" s="4" t="s">
        <v>380</v>
      </c>
      <c r="HS8" s="4" t="s">
        <v>381</v>
      </c>
      <c r="HT8" s="4" t="s">
        <v>382</v>
      </c>
      <c r="HU8" s="4" t="s">
        <v>383</v>
      </c>
      <c r="HV8" s="4" t="s">
        <v>383</v>
      </c>
      <c r="HW8" s="4" t="s">
        <v>282</v>
      </c>
      <c r="HX8" s="4" t="s">
        <v>384</v>
      </c>
      <c r="HY8" s="4" t="s">
        <v>312</v>
      </c>
      <c r="HZ8" s="4" t="s">
        <v>356</v>
      </c>
      <c r="IA8" s="4" t="s">
        <v>313</v>
      </c>
      <c r="IB8" s="4" t="s">
        <v>282</v>
      </c>
      <c r="IC8" s="4" t="s">
        <v>282</v>
      </c>
    </row>
    <row r="9" spans="1:237" x14ac:dyDescent="0.2">
      <c r="A9" s="3">
        <v>45744.445902777778</v>
      </c>
      <c r="B9" s="3">
        <v>45744.463645833333</v>
      </c>
      <c r="C9" s="1">
        <v>0</v>
      </c>
      <c r="D9" s="4" t="s">
        <v>385</v>
      </c>
      <c r="E9" s="1">
        <v>100</v>
      </c>
      <c r="F9" s="1">
        <v>1532</v>
      </c>
      <c r="G9" s="1">
        <v>1</v>
      </c>
      <c r="H9" s="3">
        <v>45744.463661203707</v>
      </c>
      <c r="I9" s="4" t="s">
        <v>386</v>
      </c>
      <c r="J9" s="4" t="s">
        <v>282</v>
      </c>
      <c r="K9" s="4" t="s">
        <v>282</v>
      </c>
      <c r="L9" s="4" t="s">
        <v>282</v>
      </c>
      <c r="M9" s="4" t="s">
        <v>282</v>
      </c>
      <c r="N9" s="1">
        <v>49.8538</v>
      </c>
      <c r="O9" s="1">
        <v>-97.290300000000002</v>
      </c>
      <c r="P9" s="4" t="s">
        <v>283</v>
      </c>
      <c r="Q9" s="4" t="s">
        <v>284</v>
      </c>
      <c r="R9" s="1">
        <v>0.89999997615814209</v>
      </c>
      <c r="S9" s="1">
        <v>1</v>
      </c>
      <c r="T9" s="1">
        <v>1</v>
      </c>
      <c r="U9" s="1">
        <v>1</v>
      </c>
      <c r="V9" s="1">
        <v>1</v>
      </c>
      <c r="W9" s="1">
        <v>9</v>
      </c>
      <c r="X9" s="4" t="s">
        <v>497</v>
      </c>
      <c r="Y9" s="1">
        <v>5</v>
      </c>
      <c r="Z9" s="1">
        <v>1</v>
      </c>
      <c r="AA9" s="1">
        <v>1</v>
      </c>
      <c r="AB9" s="1">
        <v>1</v>
      </c>
      <c r="AC9" s="1">
        <v>1</v>
      </c>
      <c r="AD9" s="1">
        <v>5</v>
      </c>
      <c r="AE9" s="1">
        <v>10.128</v>
      </c>
      <c r="AF9" s="1">
        <v>14.851000000000001</v>
      </c>
      <c r="AG9" s="1">
        <v>16.103000000000002</v>
      </c>
      <c r="AH9" s="1">
        <v>3</v>
      </c>
      <c r="AI9" s="1">
        <v>2</v>
      </c>
      <c r="AJ9" s="1">
        <v>6</v>
      </c>
      <c r="AK9" s="1">
        <v>14.696999999999999</v>
      </c>
      <c r="AL9" s="1">
        <v>16.66</v>
      </c>
      <c r="AM9" s="1">
        <v>18.23</v>
      </c>
      <c r="AN9" s="1">
        <v>2</v>
      </c>
      <c r="AO9" s="1">
        <v>2</v>
      </c>
      <c r="AP9" s="1">
        <v>6</v>
      </c>
      <c r="AQ9" s="1">
        <v>10.843</v>
      </c>
      <c r="AR9" s="1">
        <v>12.917999999999999</v>
      </c>
      <c r="AS9" s="1">
        <v>14.625999999999999</v>
      </c>
      <c r="AT9" s="1">
        <v>2</v>
      </c>
      <c r="AU9" s="1">
        <v>3</v>
      </c>
      <c r="AV9" s="1">
        <v>6</v>
      </c>
      <c r="AW9" s="1">
        <v>9.7850000000000001</v>
      </c>
      <c r="AX9" s="1">
        <v>13.388</v>
      </c>
      <c r="AY9" s="1">
        <v>14.275</v>
      </c>
      <c r="AZ9" s="1">
        <v>3</v>
      </c>
      <c r="BA9" s="1">
        <v>4</v>
      </c>
      <c r="BB9" s="1">
        <v>6</v>
      </c>
      <c r="BC9" s="1">
        <v>28.611000000000001</v>
      </c>
      <c r="BD9" s="1">
        <v>32.271999999999998</v>
      </c>
      <c r="BE9" s="1">
        <v>34.255000000000003</v>
      </c>
      <c r="BF9" s="1">
        <v>2</v>
      </c>
      <c r="BG9" s="1">
        <v>3</v>
      </c>
      <c r="BH9" s="1">
        <v>5</v>
      </c>
      <c r="BI9" s="1">
        <v>12.701000000000001</v>
      </c>
      <c r="BJ9" s="1">
        <v>14.587999999999999</v>
      </c>
      <c r="BK9" s="1">
        <v>15.680999999999999</v>
      </c>
      <c r="BL9" s="1">
        <v>2</v>
      </c>
      <c r="BM9" s="1">
        <v>2</v>
      </c>
      <c r="BN9" s="1">
        <v>6</v>
      </c>
      <c r="BO9" s="1">
        <v>11.015000000000001</v>
      </c>
      <c r="BP9" s="1">
        <v>13.381</v>
      </c>
      <c r="BQ9" s="1">
        <v>14.768000000000001</v>
      </c>
      <c r="BR9" s="1">
        <v>2</v>
      </c>
      <c r="BS9" s="1">
        <v>1</v>
      </c>
      <c r="BT9" s="1">
        <v>5</v>
      </c>
      <c r="BU9" s="1">
        <v>33.142000000000003</v>
      </c>
      <c r="BV9" s="1">
        <v>35.35</v>
      </c>
      <c r="BW9" s="1">
        <v>37.283000000000001</v>
      </c>
      <c r="BX9" s="1">
        <v>2</v>
      </c>
      <c r="BY9" s="1">
        <v>5</v>
      </c>
      <c r="BZ9" s="1">
        <v>4</v>
      </c>
      <c r="CA9" s="1">
        <v>18.178999999999998</v>
      </c>
      <c r="CB9" s="1">
        <v>20.693999999999999</v>
      </c>
      <c r="CC9" s="1">
        <v>22.192</v>
      </c>
      <c r="CD9" s="1">
        <v>2</v>
      </c>
      <c r="CE9" s="1">
        <v>3</v>
      </c>
      <c r="CF9" s="1">
        <v>5</v>
      </c>
      <c r="CG9" s="1">
        <v>15.736000000000001</v>
      </c>
      <c r="CH9" s="1">
        <v>17.623999999999999</v>
      </c>
      <c r="CI9" s="1">
        <v>18.779</v>
      </c>
      <c r="CJ9" s="1">
        <v>2</v>
      </c>
      <c r="CK9" s="1">
        <v>1</v>
      </c>
      <c r="CL9" s="1">
        <v>6</v>
      </c>
      <c r="CM9" s="1">
        <v>8.9510000000000005</v>
      </c>
      <c r="CN9" s="1">
        <v>11.086</v>
      </c>
      <c r="CO9" s="1">
        <v>11.815</v>
      </c>
      <c r="CP9" s="1">
        <v>2</v>
      </c>
      <c r="CQ9" s="1">
        <v>2</v>
      </c>
      <c r="CR9" s="1">
        <v>6</v>
      </c>
      <c r="CS9" s="1">
        <v>14.05</v>
      </c>
      <c r="CT9" s="1">
        <v>15.941000000000001</v>
      </c>
      <c r="CU9" s="1">
        <v>17.120999999999999</v>
      </c>
      <c r="CV9" s="1">
        <v>2</v>
      </c>
      <c r="CW9" s="1">
        <v>1</v>
      </c>
      <c r="CX9" s="1">
        <v>5</v>
      </c>
      <c r="CY9" s="1">
        <v>17.821000000000002</v>
      </c>
      <c r="CZ9" s="1">
        <v>21.202999999999999</v>
      </c>
      <c r="DA9" s="1">
        <v>22.565000000000001</v>
      </c>
      <c r="DB9" s="1">
        <v>2</v>
      </c>
      <c r="DC9" s="1">
        <v>3</v>
      </c>
      <c r="DD9" s="1">
        <v>6</v>
      </c>
      <c r="DE9" s="1">
        <v>11.016</v>
      </c>
      <c r="DF9" s="1">
        <v>13.212999999999999</v>
      </c>
      <c r="DG9" s="1">
        <v>14.26</v>
      </c>
      <c r="DH9" s="1">
        <v>2</v>
      </c>
      <c r="DI9" s="1">
        <v>1</v>
      </c>
      <c r="DJ9" s="1">
        <v>6</v>
      </c>
      <c r="DK9" s="1">
        <v>11.33</v>
      </c>
      <c r="DL9" s="1">
        <v>16.571000000000002</v>
      </c>
      <c r="DM9" s="1">
        <v>17.725999999999999</v>
      </c>
      <c r="DN9" s="1">
        <v>3</v>
      </c>
      <c r="DO9" s="1">
        <v>1</v>
      </c>
      <c r="DP9" s="1">
        <v>7</v>
      </c>
      <c r="DQ9" s="1">
        <v>13.278</v>
      </c>
      <c r="DR9" s="1">
        <v>20.427</v>
      </c>
      <c r="DS9" s="1">
        <v>23.266999999999999</v>
      </c>
      <c r="DT9" s="1">
        <v>2</v>
      </c>
      <c r="DU9" s="1">
        <v>2</v>
      </c>
      <c r="DV9" s="1">
        <v>6</v>
      </c>
      <c r="DW9" s="1">
        <v>26.922999999999998</v>
      </c>
      <c r="DX9" s="1">
        <v>31.033000000000001</v>
      </c>
      <c r="DY9" s="1">
        <v>31.934999999999999</v>
      </c>
      <c r="DZ9" s="1">
        <v>2</v>
      </c>
      <c r="EA9" s="1">
        <v>4</v>
      </c>
      <c r="EB9" s="1">
        <v>6</v>
      </c>
      <c r="EC9" s="1">
        <v>22.044</v>
      </c>
      <c r="ED9" s="1">
        <v>39.094000000000001</v>
      </c>
      <c r="EE9" s="1">
        <v>41.238</v>
      </c>
      <c r="EF9" s="1">
        <v>3</v>
      </c>
      <c r="EG9" s="1">
        <v>3</v>
      </c>
      <c r="EH9" s="1">
        <v>6</v>
      </c>
      <c r="EI9" s="1">
        <v>9.2680000000000007</v>
      </c>
      <c r="EJ9" s="1">
        <v>12.276999999999999</v>
      </c>
      <c r="EK9" s="1">
        <v>13.098000000000001</v>
      </c>
      <c r="EL9" s="1">
        <v>2</v>
      </c>
      <c r="EM9" s="1">
        <v>1</v>
      </c>
      <c r="EN9" s="1">
        <v>5</v>
      </c>
      <c r="EO9" s="1">
        <v>7.6</v>
      </c>
      <c r="EP9" s="1">
        <v>10.103999999999999</v>
      </c>
      <c r="EQ9" s="1">
        <v>11.66</v>
      </c>
      <c r="ER9" s="1">
        <v>2</v>
      </c>
      <c r="ES9" s="1">
        <v>5</v>
      </c>
      <c r="ET9" s="1">
        <v>5</v>
      </c>
      <c r="EU9" s="1">
        <v>9.0830000000000002</v>
      </c>
      <c r="EV9" s="1">
        <v>11.227</v>
      </c>
      <c r="EW9" s="1">
        <v>12.358000000000001</v>
      </c>
      <c r="EX9" s="1">
        <v>2</v>
      </c>
      <c r="EY9" s="1">
        <v>2</v>
      </c>
      <c r="EZ9" s="1">
        <v>5</v>
      </c>
      <c r="FA9" s="1">
        <v>11.603999999999999</v>
      </c>
      <c r="FB9" s="1">
        <v>13.98</v>
      </c>
      <c r="FC9" s="1">
        <v>15.29</v>
      </c>
      <c r="FD9" s="1">
        <v>2</v>
      </c>
      <c r="FE9" s="1">
        <v>5</v>
      </c>
      <c r="FF9" s="1">
        <v>6</v>
      </c>
      <c r="FG9" s="1">
        <v>8.4990000000000006</v>
      </c>
      <c r="FH9" s="1">
        <v>11.584</v>
      </c>
      <c r="FI9" s="1">
        <v>12.75</v>
      </c>
      <c r="FJ9" s="1">
        <v>2</v>
      </c>
      <c r="FK9" s="1">
        <v>1</v>
      </c>
      <c r="FL9" s="1">
        <v>6</v>
      </c>
      <c r="FM9" s="1">
        <v>19.271000000000001</v>
      </c>
      <c r="FN9" s="1">
        <v>22.7</v>
      </c>
      <c r="FO9" s="1">
        <v>24.135999999999999</v>
      </c>
      <c r="FP9" s="1">
        <v>2</v>
      </c>
      <c r="FQ9" s="1">
        <v>2</v>
      </c>
      <c r="FR9" s="1">
        <v>6</v>
      </c>
      <c r="FS9" s="1">
        <v>8.7279999999999998</v>
      </c>
      <c r="FT9" s="1">
        <v>10.676</v>
      </c>
      <c r="FU9" s="1">
        <v>11.858000000000001</v>
      </c>
      <c r="FV9" s="1">
        <v>2</v>
      </c>
      <c r="FW9" s="1">
        <v>5</v>
      </c>
      <c r="FX9" s="1">
        <v>5</v>
      </c>
      <c r="FY9" s="1">
        <v>9.0210000000000008</v>
      </c>
      <c r="FZ9" s="1">
        <v>13.268000000000001</v>
      </c>
      <c r="GA9" s="1">
        <v>14.321999999999999</v>
      </c>
      <c r="GB9" s="1">
        <v>2</v>
      </c>
      <c r="GC9" s="1">
        <v>5</v>
      </c>
      <c r="GD9" s="1">
        <v>5</v>
      </c>
      <c r="GE9" s="1">
        <v>6.5250000000000004</v>
      </c>
      <c r="GF9" s="1">
        <v>10.916</v>
      </c>
      <c r="GG9" s="1">
        <v>12.356</v>
      </c>
      <c r="GH9" s="1">
        <v>3</v>
      </c>
      <c r="GI9" s="1">
        <v>2</v>
      </c>
      <c r="GJ9" s="1">
        <v>6</v>
      </c>
      <c r="GK9" s="1">
        <v>7.7190000000000003</v>
      </c>
      <c r="GL9" s="1">
        <v>9.2520000000000007</v>
      </c>
      <c r="GM9" s="1">
        <v>10.622999999999999</v>
      </c>
      <c r="GN9" s="1">
        <v>2</v>
      </c>
      <c r="GO9" s="1">
        <v>1</v>
      </c>
      <c r="GP9" s="1">
        <v>6</v>
      </c>
      <c r="GQ9" s="1">
        <v>9.032</v>
      </c>
      <c r="GR9" s="1">
        <v>10.965</v>
      </c>
      <c r="GS9" s="1">
        <v>11.914999999999999</v>
      </c>
      <c r="GT9" s="1">
        <v>2</v>
      </c>
      <c r="GU9" s="1">
        <v>5</v>
      </c>
      <c r="GV9" s="1">
        <v>5</v>
      </c>
      <c r="GW9" s="1">
        <v>12.157</v>
      </c>
      <c r="GX9" s="1">
        <v>14.606</v>
      </c>
      <c r="GY9" s="1">
        <v>15.502000000000001</v>
      </c>
      <c r="GZ9" s="1">
        <v>2</v>
      </c>
      <c r="HA9" s="1">
        <v>2</v>
      </c>
      <c r="HB9" s="1">
        <v>6</v>
      </c>
      <c r="HC9" s="1">
        <v>11.695</v>
      </c>
      <c r="HD9" s="1">
        <v>14.243</v>
      </c>
      <c r="HE9" s="1">
        <v>15.375</v>
      </c>
      <c r="HF9" s="1">
        <v>2</v>
      </c>
      <c r="HG9" s="1">
        <v>1</v>
      </c>
      <c r="HH9" s="1">
        <v>6</v>
      </c>
      <c r="HI9" s="1">
        <v>8.14</v>
      </c>
      <c r="HJ9" s="1">
        <v>10.866</v>
      </c>
      <c r="HK9" s="1">
        <v>11.845000000000001</v>
      </c>
      <c r="HL9" s="1">
        <v>2</v>
      </c>
      <c r="HM9" s="4" t="s">
        <v>388</v>
      </c>
      <c r="HN9" s="4" t="s">
        <v>389</v>
      </c>
      <c r="HO9" s="4" t="s">
        <v>390</v>
      </c>
      <c r="HP9" s="4" t="s">
        <v>391</v>
      </c>
      <c r="HQ9" s="4" t="s">
        <v>392</v>
      </c>
      <c r="HR9" s="4" t="s">
        <v>393</v>
      </c>
      <c r="HS9" s="4" t="s">
        <v>394</v>
      </c>
      <c r="HT9" s="4" t="s">
        <v>395</v>
      </c>
      <c r="HU9" s="4" t="s">
        <v>396</v>
      </c>
      <c r="HV9" s="4" t="s">
        <v>397</v>
      </c>
      <c r="HW9" s="4" t="s">
        <v>398</v>
      </c>
      <c r="HX9" s="4" t="s">
        <v>399</v>
      </c>
      <c r="HY9" s="4" t="s">
        <v>312</v>
      </c>
      <c r="HZ9" s="4" t="s">
        <v>372</v>
      </c>
      <c r="IA9" s="4" t="s">
        <v>325</v>
      </c>
      <c r="IB9" s="4" t="s">
        <v>282</v>
      </c>
      <c r="IC9" s="4" t="s">
        <v>282</v>
      </c>
    </row>
    <row r="10" spans="1:237" x14ac:dyDescent="0.2">
      <c r="A10" s="3">
        <v>45744.497210648151</v>
      </c>
      <c r="B10" s="3">
        <v>45744.509791666664</v>
      </c>
      <c r="C10" s="1">
        <v>0</v>
      </c>
      <c r="D10" s="4" t="s">
        <v>400</v>
      </c>
      <c r="E10" s="1">
        <v>100</v>
      </c>
      <c r="F10" s="1">
        <v>1087</v>
      </c>
      <c r="G10" s="1">
        <v>1</v>
      </c>
      <c r="H10" s="3">
        <v>45744.509806643517</v>
      </c>
      <c r="I10" s="4" t="s">
        <v>401</v>
      </c>
      <c r="J10" s="4" t="s">
        <v>282</v>
      </c>
      <c r="K10" s="4" t="s">
        <v>282</v>
      </c>
      <c r="L10" s="4" t="s">
        <v>282</v>
      </c>
      <c r="M10" s="4" t="s">
        <v>282</v>
      </c>
      <c r="N10" s="1">
        <v>-37.910800000000002</v>
      </c>
      <c r="O10" s="1">
        <v>145.13319999999999</v>
      </c>
      <c r="P10" s="4" t="s">
        <v>283</v>
      </c>
      <c r="Q10" s="4" t="s">
        <v>284</v>
      </c>
      <c r="R10" s="1">
        <v>0.89999997615814209</v>
      </c>
      <c r="S10" s="1">
        <v>1</v>
      </c>
      <c r="T10" s="1">
        <v>1</v>
      </c>
      <c r="U10" s="1">
        <v>1</v>
      </c>
      <c r="V10" s="1">
        <v>1</v>
      </c>
      <c r="W10" s="1">
        <v>12</v>
      </c>
      <c r="X10" s="4" t="s">
        <v>1282</v>
      </c>
      <c r="Y10" s="1">
        <v>5</v>
      </c>
      <c r="Z10" s="1">
        <v>2</v>
      </c>
      <c r="AA10" s="1">
        <v>2</v>
      </c>
      <c r="AB10" s="1">
        <v>1</v>
      </c>
      <c r="AC10" s="1">
        <v>1</v>
      </c>
      <c r="AD10" s="1">
        <v>6</v>
      </c>
      <c r="AE10" s="1">
        <v>7.2329999999999997</v>
      </c>
      <c r="AF10" s="1">
        <v>9.4320000000000004</v>
      </c>
      <c r="AG10" s="1">
        <v>10.089</v>
      </c>
      <c r="AH10" s="1">
        <v>2</v>
      </c>
      <c r="AI10" s="1">
        <v>2</v>
      </c>
      <c r="AJ10" s="1">
        <v>6</v>
      </c>
      <c r="AK10" s="1">
        <v>6.5519999999999996</v>
      </c>
      <c r="AL10" s="1">
        <v>8.6880000000000006</v>
      </c>
      <c r="AM10" s="1">
        <v>9.7189999999999994</v>
      </c>
      <c r="AN10" s="1">
        <v>2</v>
      </c>
      <c r="AO10" s="1">
        <v>2</v>
      </c>
      <c r="AP10" s="1">
        <v>6</v>
      </c>
      <c r="AQ10" s="1">
        <v>8.1620000000000008</v>
      </c>
      <c r="AR10" s="1">
        <v>11.227</v>
      </c>
      <c r="AS10" s="1">
        <v>11.89</v>
      </c>
      <c r="AT10" s="1">
        <v>2</v>
      </c>
      <c r="AU10" s="1">
        <v>5</v>
      </c>
      <c r="AV10" s="1">
        <v>6</v>
      </c>
      <c r="AW10" s="1">
        <v>5.694</v>
      </c>
      <c r="AX10" s="1">
        <v>8.8309999999999995</v>
      </c>
      <c r="AY10" s="1">
        <v>10.268000000000001</v>
      </c>
      <c r="AZ10" s="1">
        <v>2</v>
      </c>
      <c r="BA10" s="1">
        <v>4</v>
      </c>
      <c r="BB10" s="1">
        <v>6</v>
      </c>
      <c r="BC10" s="1">
        <v>13.343999999999999</v>
      </c>
      <c r="BD10" s="1">
        <v>21.927</v>
      </c>
      <c r="BE10" s="1">
        <v>22.655000000000001</v>
      </c>
      <c r="BF10" s="1">
        <v>4</v>
      </c>
      <c r="BG10" s="1">
        <v>1</v>
      </c>
      <c r="BH10" s="1">
        <v>6</v>
      </c>
      <c r="BI10" s="1">
        <v>5.7089999999999996</v>
      </c>
      <c r="BJ10" s="1">
        <v>7.093</v>
      </c>
      <c r="BK10" s="1">
        <v>8.7729999999999997</v>
      </c>
      <c r="BL10" s="1">
        <v>2</v>
      </c>
      <c r="BM10" s="1">
        <v>2</v>
      </c>
      <c r="BN10" s="1">
        <v>6</v>
      </c>
      <c r="BO10" s="1">
        <v>7.077</v>
      </c>
      <c r="BP10" s="1">
        <v>13.436999999999999</v>
      </c>
      <c r="BQ10" s="1">
        <v>14.366</v>
      </c>
      <c r="BR10" s="1">
        <v>2</v>
      </c>
      <c r="BS10" s="1">
        <v>3</v>
      </c>
      <c r="BT10" s="1">
        <v>5</v>
      </c>
      <c r="BU10" s="1">
        <v>35.619</v>
      </c>
      <c r="BV10" s="1">
        <v>37.579000000000001</v>
      </c>
      <c r="BW10" s="1">
        <v>38.218000000000004</v>
      </c>
      <c r="BX10" s="1">
        <v>2</v>
      </c>
      <c r="BY10" s="1">
        <v>4</v>
      </c>
      <c r="BZ10" s="1">
        <v>6</v>
      </c>
      <c r="CA10" s="1">
        <v>8.702</v>
      </c>
      <c r="CB10" s="1">
        <v>10.917999999999999</v>
      </c>
      <c r="CC10" s="1">
        <v>13.468999999999999</v>
      </c>
      <c r="CD10" s="1">
        <v>3</v>
      </c>
      <c r="CE10" s="1">
        <v>3</v>
      </c>
      <c r="CF10" s="1">
        <v>5</v>
      </c>
      <c r="CG10" s="1">
        <v>14.186999999999999</v>
      </c>
      <c r="CH10" s="1">
        <v>15.866</v>
      </c>
      <c r="CI10" s="1">
        <v>16.745000000000001</v>
      </c>
      <c r="CJ10" s="1">
        <v>2</v>
      </c>
      <c r="CK10" s="1">
        <v>1</v>
      </c>
      <c r="CL10" s="1">
        <v>6</v>
      </c>
      <c r="CM10" s="1">
        <v>6.3620000000000001</v>
      </c>
      <c r="CN10" s="1">
        <v>10.994</v>
      </c>
      <c r="CO10" s="1">
        <v>11.77</v>
      </c>
      <c r="CP10" s="1">
        <v>2</v>
      </c>
      <c r="CQ10" s="1">
        <v>4</v>
      </c>
      <c r="CR10" s="1">
        <v>6</v>
      </c>
      <c r="CS10" s="1">
        <v>8.1020000000000003</v>
      </c>
      <c r="CT10" s="1">
        <v>11.71</v>
      </c>
      <c r="CU10" s="1">
        <v>12.478</v>
      </c>
      <c r="CV10" s="1">
        <v>2</v>
      </c>
      <c r="CW10" s="4" t="s">
        <v>282</v>
      </c>
      <c r="CX10" s="1">
        <v>5</v>
      </c>
      <c r="CY10" s="1">
        <v>20.57</v>
      </c>
      <c r="CZ10" s="1">
        <v>22.562000000000001</v>
      </c>
      <c r="DA10" s="1">
        <v>24.355</v>
      </c>
      <c r="DB10" s="1">
        <v>2</v>
      </c>
      <c r="DC10" s="1">
        <v>1</v>
      </c>
      <c r="DD10" s="1">
        <v>5</v>
      </c>
      <c r="DE10" s="1">
        <v>37.871000000000002</v>
      </c>
      <c r="DF10" s="1">
        <v>51.151000000000003</v>
      </c>
      <c r="DG10" s="1">
        <v>51.765999999999998</v>
      </c>
      <c r="DH10" s="1">
        <v>4</v>
      </c>
      <c r="DI10" s="1">
        <v>4</v>
      </c>
      <c r="DJ10" s="1">
        <v>5</v>
      </c>
      <c r="DK10" s="1">
        <v>15.581</v>
      </c>
      <c r="DL10" s="1">
        <v>19.013000000000002</v>
      </c>
      <c r="DM10" s="1">
        <v>19.652999999999999</v>
      </c>
      <c r="DN10" s="1">
        <v>3</v>
      </c>
      <c r="DO10" s="1">
        <v>1</v>
      </c>
      <c r="DP10" s="1">
        <v>6</v>
      </c>
      <c r="DQ10" s="1">
        <v>5.6379999999999999</v>
      </c>
      <c r="DR10" s="1">
        <v>7.0460000000000003</v>
      </c>
      <c r="DS10" s="1">
        <v>8.7490000000000006</v>
      </c>
      <c r="DT10" s="1">
        <v>2</v>
      </c>
      <c r="DU10" s="1">
        <v>2</v>
      </c>
      <c r="DV10" s="1">
        <v>6</v>
      </c>
      <c r="DW10" s="1">
        <v>12.22</v>
      </c>
      <c r="DX10" s="1">
        <v>14.635999999999999</v>
      </c>
      <c r="DY10" s="1">
        <v>15.179</v>
      </c>
      <c r="DZ10" s="1">
        <v>2</v>
      </c>
      <c r="EA10" s="1">
        <v>4</v>
      </c>
      <c r="EB10" s="1">
        <v>6</v>
      </c>
      <c r="EC10" s="1">
        <v>15.935</v>
      </c>
      <c r="ED10" s="1">
        <v>23.670999999999999</v>
      </c>
      <c r="EE10" s="1">
        <v>24.27</v>
      </c>
      <c r="EF10" s="1">
        <v>2</v>
      </c>
      <c r="EG10" s="1">
        <v>1</v>
      </c>
      <c r="EH10" s="1">
        <v>6</v>
      </c>
      <c r="EI10" s="1">
        <v>7.351</v>
      </c>
      <c r="EJ10" s="1">
        <v>8.9350000000000005</v>
      </c>
      <c r="EK10" s="1">
        <v>9.5350000000000001</v>
      </c>
      <c r="EL10" s="1">
        <v>2</v>
      </c>
      <c r="EM10" s="1">
        <v>4</v>
      </c>
      <c r="EN10" s="1">
        <v>5</v>
      </c>
      <c r="EO10" s="1">
        <v>8.7370000000000001</v>
      </c>
      <c r="EP10" s="1">
        <v>15.593</v>
      </c>
      <c r="EQ10" s="1">
        <v>16.344999999999999</v>
      </c>
      <c r="ER10" s="1">
        <v>3</v>
      </c>
      <c r="ES10" s="1">
        <v>1</v>
      </c>
      <c r="ET10" s="1">
        <v>6</v>
      </c>
      <c r="EU10" s="1">
        <v>10.067</v>
      </c>
      <c r="EV10" s="1">
        <v>12.579000000000001</v>
      </c>
      <c r="EW10" s="1">
        <v>13.494</v>
      </c>
      <c r="EX10" s="1">
        <v>2</v>
      </c>
      <c r="EY10" s="1">
        <v>2</v>
      </c>
      <c r="EZ10" s="1">
        <v>6</v>
      </c>
      <c r="FA10" s="1">
        <v>11.037000000000001</v>
      </c>
      <c r="FB10" s="1">
        <v>13.532999999999999</v>
      </c>
      <c r="FC10" s="1">
        <v>14.141</v>
      </c>
      <c r="FD10" s="1">
        <v>2</v>
      </c>
      <c r="FE10" s="1">
        <v>5</v>
      </c>
      <c r="FF10" s="1">
        <v>6</v>
      </c>
      <c r="FG10" s="1">
        <v>18.413</v>
      </c>
      <c r="FH10" s="1">
        <v>50.204999999999998</v>
      </c>
      <c r="FI10" s="1">
        <v>50.923999999999999</v>
      </c>
      <c r="FJ10" s="1">
        <v>3</v>
      </c>
      <c r="FK10" s="1">
        <v>5</v>
      </c>
      <c r="FL10" s="1">
        <v>5</v>
      </c>
      <c r="FM10" s="1">
        <v>14.747</v>
      </c>
      <c r="FN10" s="1">
        <v>17.363</v>
      </c>
      <c r="FO10" s="1">
        <v>18.033999999999999</v>
      </c>
      <c r="FP10" s="1">
        <v>4</v>
      </c>
      <c r="FQ10" s="1">
        <v>2</v>
      </c>
      <c r="FR10" s="1">
        <v>5</v>
      </c>
      <c r="FS10" s="1">
        <v>24.128</v>
      </c>
      <c r="FT10" s="1">
        <v>35.44</v>
      </c>
      <c r="FU10" s="1">
        <v>36.064</v>
      </c>
      <c r="FV10" s="1">
        <v>5</v>
      </c>
      <c r="FW10" s="1">
        <v>5</v>
      </c>
      <c r="FX10" s="1">
        <v>6</v>
      </c>
      <c r="FY10" s="1">
        <v>10.114000000000001</v>
      </c>
      <c r="FZ10" s="1">
        <v>13.644</v>
      </c>
      <c r="GA10" s="1">
        <v>13.865</v>
      </c>
      <c r="GB10" s="1">
        <v>3</v>
      </c>
      <c r="GC10" s="1">
        <v>5</v>
      </c>
      <c r="GD10" s="1">
        <v>6</v>
      </c>
      <c r="GE10" s="1">
        <v>8.4369999999999994</v>
      </c>
      <c r="GF10" s="1">
        <v>14.093</v>
      </c>
      <c r="GG10" s="1">
        <v>15.228999999999999</v>
      </c>
      <c r="GH10" s="1">
        <v>2</v>
      </c>
      <c r="GI10" s="1">
        <v>2</v>
      </c>
      <c r="GJ10" s="1">
        <v>6</v>
      </c>
      <c r="GK10" s="1">
        <v>6.1390000000000002</v>
      </c>
      <c r="GL10" s="1">
        <v>8.8109999999999999</v>
      </c>
      <c r="GM10" s="1">
        <v>9.1470000000000002</v>
      </c>
      <c r="GN10" s="1">
        <v>3</v>
      </c>
      <c r="GO10" s="1">
        <v>5</v>
      </c>
      <c r="GP10" s="1">
        <v>6</v>
      </c>
      <c r="GQ10" s="1">
        <v>18.027999999999999</v>
      </c>
      <c r="GR10" s="1">
        <v>20.196000000000002</v>
      </c>
      <c r="GS10" s="1">
        <v>20.827000000000002</v>
      </c>
      <c r="GT10" s="1">
        <v>2</v>
      </c>
      <c r="GU10" s="1">
        <v>1</v>
      </c>
      <c r="GV10" s="1">
        <v>6</v>
      </c>
      <c r="GW10" s="1">
        <v>8.5950000000000006</v>
      </c>
      <c r="GX10" s="1">
        <v>10.851000000000001</v>
      </c>
      <c r="GY10" s="1">
        <v>11.673</v>
      </c>
      <c r="GZ10" s="1">
        <v>2</v>
      </c>
      <c r="HA10" s="1">
        <v>2</v>
      </c>
      <c r="HB10" s="1">
        <v>6</v>
      </c>
      <c r="HC10" s="1">
        <v>10.079000000000001</v>
      </c>
      <c r="HD10" s="1">
        <v>12.999000000000001</v>
      </c>
      <c r="HE10" s="1">
        <v>13.727</v>
      </c>
      <c r="HF10" s="1">
        <v>2</v>
      </c>
      <c r="HG10" s="1">
        <v>5</v>
      </c>
      <c r="HH10" s="1">
        <v>5</v>
      </c>
      <c r="HI10" s="1">
        <v>12.609</v>
      </c>
      <c r="HJ10" s="1">
        <v>22.024999999999999</v>
      </c>
      <c r="HK10" s="1">
        <v>22.68</v>
      </c>
      <c r="HL10" s="1">
        <v>3</v>
      </c>
      <c r="HM10" s="4" t="s">
        <v>403</v>
      </c>
      <c r="HN10" s="4" t="s">
        <v>404</v>
      </c>
      <c r="HO10" s="4" t="s">
        <v>405</v>
      </c>
      <c r="HP10" s="4" t="s">
        <v>405</v>
      </c>
      <c r="HQ10" s="4" t="s">
        <v>406</v>
      </c>
      <c r="HR10" s="4" t="s">
        <v>406</v>
      </c>
      <c r="HS10" s="4" t="s">
        <v>407</v>
      </c>
      <c r="HT10" s="4" t="s">
        <v>408</v>
      </c>
      <c r="HU10" s="4" t="s">
        <v>409</v>
      </c>
      <c r="HV10" s="4" t="s">
        <v>409</v>
      </c>
      <c r="HW10" s="4" t="s">
        <v>282</v>
      </c>
      <c r="HX10" s="4" t="s">
        <v>282</v>
      </c>
      <c r="HY10" s="4" t="s">
        <v>312</v>
      </c>
      <c r="HZ10" s="4" t="s">
        <v>356</v>
      </c>
      <c r="IA10" s="4" t="s">
        <v>313</v>
      </c>
      <c r="IB10" s="4" t="s">
        <v>282</v>
      </c>
      <c r="IC10" s="4" t="s">
        <v>282</v>
      </c>
    </row>
    <row r="11" spans="1:237" x14ac:dyDescent="0.2">
      <c r="A11" s="3">
        <v>45744.538472222222</v>
      </c>
      <c r="B11" s="3">
        <v>45744.563854166663</v>
      </c>
      <c r="C11" s="1">
        <v>0</v>
      </c>
      <c r="D11" s="4" t="s">
        <v>410</v>
      </c>
      <c r="E11" s="1">
        <v>100</v>
      </c>
      <c r="F11" s="1">
        <v>2192</v>
      </c>
      <c r="G11" s="1">
        <v>1</v>
      </c>
      <c r="H11" s="3">
        <v>45744.563861180555</v>
      </c>
      <c r="I11" s="4" t="s">
        <v>411</v>
      </c>
      <c r="J11" s="4" t="s">
        <v>282</v>
      </c>
      <c r="K11" s="4" t="s">
        <v>282</v>
      </c>
      <c r="L11" s="4" t="s">
        <v>282</v>
      </c>
      <c r="M11" s="4" t="s">
        <v>282</v>
      </c>
      <c r="N11" s="1">
        <v>51.092700000000001</v>
      </c>
      <c r="O11" s="1">
        <v>-114.2017</v>
      </c>
      <c r="P11" s="4" t="s">
        <v>283</v>
      </c>
      <c r="Q11" s="4" t="s">
        <v>284</v>
      </c>
      <c r="R11" s="1">
        <v>1</v>
      </c>
      <c r="S11" s="1">
        <v>1</v>
      </c>
      <c r="T11" s="1">
        <v>1</v>
      </c>
      <c r="U11" s="1">
        <v>1</v>
      </c>
      <c r="V11" s="1">
        <v>1</v>
      </c>
      <c r="W11" s="1">
        <v>4</v>
      </c>
      <c r="X11" s="4" t="s">
        <v>497</v>
      </c>
      <c r="Y11" s="1">
        <v>5</v>
      </c>
      <c r="Z11" s="1">
        <v>1</v>
      </c>
      <c r="AA11" s="1">
        <v>3</v>
      </c>
      <c r="AB11" s="1">
        <v>2</v>
      </c>
      <c r="AC11" s="1">
        <v>1</v>
      </c>
      <c r="AD11" s="1">
        <v>6</v>
      </c>
      <c r="AE11" s="1">
        <v>6.7690000000000001</v>
      </c>
      <c r="AF11" s="1">
        <v>9.0609999999999999</v>
      </c>
      <c r="AG11" s="1">
        <v>9.7469999999999999</v>
      </c>
      <c r="AH11" s="1">
        <v>2</v>
      </c>
      <c r="AI11" s="1">
        <v>2</v>
      </c>
      <c r="AJ11" s="1">
        <v>6</v>
      </c>
      <c r="AK11" s="1">
        <v>6.7</v>
      </c>
      <c r="AL11" s="1">
        <v>7.8760000000000003</v>
      </c>
      <c r="AM11" s="1">
        <v>8.8930000000000007</v>
      </c>
      <c r="AN11" s="1">
        <v>2</v>
      </c>
      <c r="AO11" s="1">
        <v>2</v>
      </c>
      <c r="AP11" s="1">
        <v>6</v>
      </c>
      <c r="AQ11" s="1">
        <v>17.899999999999999</v>
      </c>
      <c r="AR11" s="1">
        <v>37.317</v>
      </c>
      <c r="AS11" s="1">
        <v>38.101999999999997</v>
      </c>
      <c r="AT11" s="1">
        <v>2</v>
      </c>
      <c r="AU11" s="1">
        <v>5</v>
      </c>
      <c r="AV11" s="1">
        <v>6</v>
      </c>
      <c r="AW11" s="1">
        <v>4.8869999999999996</v>
      </c>
      <c r="AX11" s="1">
        <v>7.6689999999999996</v>
      </c>
      <c r="AY11" s="1">
        <v>9.2309999999999999</v>
      </c>
      <c r="AZ11" s="1">
        <v>2</v>
      </c>
      <c r="BA11" s="1">
        <v>5</v>
      </c>
      <c r="BB11" s="1">
        <v>6</v>
      </c>
      <c r="BC11" s="1">
        <v>9.0370000000000008</v>
      </c>
      <c r="BD11" s="1">
        <v>11.382999999999999</v>
      </c>
      <c r="BE11" s="1">
        <v>12.805</v>
      </c>
      <c r="BF11" s="1">
        <v>3</v>
      </c>
      <c r="BG11" s="1">
        <v>1</v>
      </c>
      <c r="BH11" s="1">
        <v>6</v>
      </c>
      <c r="BI11" s="1">
        <v>8.3010000000000002</v>
      </c>
      <c r="BJ11" s="1">
        <v>10.821</v>
      </c>
      <c r="BK11" s="1">
        <v>11.42</v>
      </c>
      <c r="BL11" s="1">
        <v>2</v>
      </c>
      <c r="BM11" s="1">
        <v>2</v>
      </c>
      <c r="BN11" s="1">
        <v>6</v>
      </c>
      <c r="BO11" s="1">
        <v>7.0949999999999998</v>
      </c>
      <c r="BP11" s="1">
        <v>11.548999999999999</v>
      </c>
      <c r="BQ11" s="1">
        <v>12.167999999999999</v>
      </c>
      <c r="BR11" s="1">
        <v>3</v>
      </c>
      <c r="BS11" s="1">
        <v>1</v>
      </c>
      <c r="BT11" s="1">
        <v>6</v>
      </c>
      <c r="BU11" s="1">
        <v>10.9</v>
      </c>
      <c r="BV11" s="1">
        <v>15.481999999999999</v>
      </c>
      <c r="BW11" s="1">
        <v>16.135000000000002</v>
      </c>
      <c r="BX11" s="1">
        <v>2</v>
      </c>
      <c r="BY11" s="1">
        <v>5</v>
      </c>
      <c r="BZ11" s="1">
        <v>6</v>
      </c>
      <c r="CA11" s="1">
        <v>9.202</v>
      </c>
      <c r="CB11" s="1">
        <v>11.654</v>
      </c>
      <c r="CC11" s="1">
        <v>12.372999999999999</v>
      </c>
      <c r="CD11" s="1">
        <v>2</v>
      </c>
      <c r="CE11" s="1">
        <v>3</v>
      </c>
      <c r="CF11" s="1">
        <v>6</v>
      </c>
      <c r="CG11" s="1">
        <v>5.577</v>
      </c>
      <c r="CH11" s="1">
        <v>6.5510000000000002</v>
      </c>
      <c r="CI11" s="1">
        <v>8.8409999999999993</v>
      </c>
      <c r="CJ11" s="1">
        <v>2</v>
      </c>
      <c r="CK11" s="1">
        <v>1</v>
      </c>
      <c r="CL11" s="1">
        <v>6</v>
      </c>
      <c r="CM11" s="1">
        <v>1.8169999999999999</v>
      </c>
      <c r="CN11" s="1">
        <v>38.979999999999997</v>
      </c>
      <c r="CO11" s="1">
        <v>39.603999999999999</v>
      </c>
      <c r="CP11" s="1">
        <v>4</v>
      </c>
      <c r="CQ11" s="1">
        <v>2</v>
      </c>
      <c r="CR11" s="1">
        <v>6</v>
      </c>
      <c r="CS11" s="1">
        <v>8.6809999999999992</v>
      </c>
      <c r="CT11" s="1">
        <v>12.849</v>
      </c>
      <c r="CU11" s="1">
        <v>13.754</v>
      </c>
      <c r="CV11" s="1">
        <v>2</v>
      </c>
      <c r="CW11" s="1">
        <v>1</v>
      </c>
      <c r="CX11" s="1">
        <v>6</v>
      </c>
      <c r="CY11" s="1">
        <v>6.016</v>
      </c>
      <c r="CZ11" s="1">
        <v>9.0150000000000006</v>
      </c>
      <c r="DA11" s="1">
        <v>9.67</v>
      </c>
      <c r="DB11" s="1">
        <v>2</v>
      </c>
      <c r="DC11" s="1">
        <v>5</v>
      </c>
      <c r="DD11" s="1">
        <v>4</v>
      </c>
      <c r="DE11" s="1">
        <v>16.622</v>
      </c>
      <c r="DF11" s="1">
        <v>25.016999999999999</v>
      </c>
      <c r="DG11" s="1">
        <v>25.66</v>
      </c>
      <c r="DH11" s="1">
        <v>3</v>
      </c>
      <c r="DI11" s="1">
        <v>3</v>
      </c>
      <c r="DJ11" s="1">
        <v>6</v>
      </c>
      <c r="DK11" s="1">
        <v>27.128</v>
      </c>
      <c r="DL11" s="1">
        <v>29.841999999999999</v>
      </c>
      <c r="DM11" s="1">
        <v>38.835000000000001</v>
      </c>
      <c r="DN11" s="1">
        <v>2</v>
      </c>
      <c r="DO11" s="1">
        <v>1</v>
      </c>
      <c r="DP11" s="1">
        <v>6</v>
      </c>
      <c r="DQ11" s="1">
        <v>6.8040000000000003</v>
      </c>
      <c r="DR11" s="1">
        <v>10.113</v>
      </c>
      <c r="DS11" s="1">
        <v>10.536</v>
      </c>
      <c r="DT11" s="1">
        <v>2</v>
      </c>
      <c r="DU11" s="1">
        <v>2</v>
      </c>
      <c r="DV11" s="1">
        <v>6</v>
      </c>
      <c r="DW11" s="1">
        <v>13.647</v>
      </c>
      <c r="DX11" s="1">
        <v>42.213000000000001</v>
      </c>
      <c r="DY11" s="1">
        <v>44.372999999999998</v>
      </c>
      <c r="DZ11" s="1">
        <v>2</v>
      </c>
      <c r="EA11" s="1">
        <v>4</v>
      </c>
      <c r="EB11" s="1">
        <v>6</v>
      </c>
      <c r="EC11" s="1">
        <v>9.9380000000000006</v>
      </c>
      <c r="ED11" s="1">
        <v>12.624000000000001</v>
      </c>
      <c r="EE11" s="1">
        <v>15.429</v>
      </c>
      <c r="EF11" s="1">
        <v>2</v>
      </c>
      <c r="EG11" s="1">
        <v>5</v>
      </c>
      <c r="EH11" s="1">
        <v>6</v>
      </c>
      <c r="EI11" s="1">
        <v>10.641</v>
      </c>
      <c r="EJ11" s="1">
        <v>39.533999999999999</v>
      </c>
      <c r="EK11" s="1">
        <v>40.393999999999998</v>
      </c>
      <c r="EL11" s="1">
        <v>3</v>
      </c>
      <c r="EM11" s="1">
        <v>3</v>
      </c>
      <c r="EN11" s="1">
        <v>6</v>
      </c>
      <c r="EO11" s="1">
        <v>8.5340000000000007</v>
      </c>
      <c r="EP11" s="1">
        <v>9.1929999999999996</v>
      </c>
      <c r="EQ11" s="1">
        <v>10.09</v>
      </c>
      <c r="ER11" s="1">
        <v>2</v>
      </c>
      <c r="ES11" s="1">
        <v>1</v>
      </c>
      <c r="ET11" s="1">
        <v>6</v>
      </c>
      <c r="EU11" s="1">
        <v>4.242</v>
      </c>
      <c r="EV11" s="1">
        <v>10.385999999999999</v>
      </c>
      <c r="EW11" s="1">
        <v>10.773</v>
      </c>
      <c r="EX11" s="1">
        <v>3</v>
      </c>
      <c r="EY11" s="1">
        <v>2</v>
      </c>
      <c r="EZ11" s="1">
        <v>6</v>
      </c>
      <c r="FA11" s="1">
        <v>4.9580000000000002</v>
      </c>
      <c r="FB11" s="1">
        <v>10.432</v>
      </c>
      <c r="FC11" s="1">
        <v>11.081</v>
      </c>
      <c r="FD11" s="1">
        <v>2</v>
      </c>
      <c r="FE11" s="1">
        <v>5</v>
      </c>
      <c r="FF11" s="1">
        <v>6</v>
      </c>
      <c r="FG11" s="1">
        <v>7.0679999999999996</v>
      </c>
      <c r="FH11" s="1">
        <v>13.494999999999999</v>
      </c>
      <c r="FI11" s="1">
        <v>16.448</v>
      </c>
      <c r="FJ11" s="1">
        <v>3</v>
      </c>
      <c r="FK11" s="1">
        <v>1</v>
      </c>
      <c r="FL11" s="1">
        <v>6</v>
      </c>
      <c r="FM11" s="1">
        <v>4.7779999999999996</v>
      </c>
      <c r="FN11" s="1">
        <v>7.758</v>
      </c>
      <c r="FO11" s="1">
        <v>8.7810000000000006</v>
      </c>
      <c r="FP11" s="1">
        <v>2</v>
      </c>
      <c r="FQ11" s="1">
        <v>5</v>
      </c>
      <c r="FR11" s="1">
        <v>5</v>
      </c>
      <c r="FS11" s="1">
        <v>19.030999999999999</v>
      </c>
      <c r="FT11" s="1">
        <v>21.965</v>
      </c>
      <c r="FU11" s="1">
        <v>23.949000000000002</v>
      </c>
      <c r="FV11" s="1">
        <v>2</v>
      </c>
      <c r="FW11" s="1">
        <v>5</v>
      </c>
      <c r="FX11" s="1">
        <v>6</v>
      </c>
      <c r="FY11" s="1">
        <v>5.4539999999999997</v>
      </c>
      <c r="FZ11" s="1">
        <v>11.368</v>
      </c>
      <c r="GA11" s="1">
        <v>12.233000000000001</v>
      </c>
      <c r="GB11" s="1">
        <v>2</v>
      </c>
      <c r="GC11" s="1">
        <v>1</v>
      </c>
      <c r="GD11" s="1">
        <v>6</v>
      </c>
      <c r="GE11" s="1">
        <v>5.1970000000000001</v>
      </c>
      <c r="GF11" s="1">
        <v>11.425000000000001</v>
      </c>
      <c r="GG11" s="1">
        <v>12.129</v>
      </c>
      <c r="GH11" s="1">
        <v>2</v>
      </c>
      <c r="GI11" s="1">
        <v>5</v>
      </c>
      <c r="GJ11" s="1">
        <v>6</v>
      </c>
      <c r="GK11" s="1">
        <v>15.567</v>
      </c>
      <c r="GL11" s="1">
        <v>18.562999999999999</v>
      </c>
      <c r="GM11" s="1">
        <v>19.736000000000001</v>
      </c>
      <c r="GN11" s="1">
        <v>3</v>
      </c>
      <c r="GO11" s="1">
        <v>5</v>
      </c>
      <c r="GP11" s="1">
        <v>6</v>
      </c>
      <c r="GQ11" s="1">
        <v>6.6959999999999997</v>
      </c>
      <c r="GR11" s="1">
        <v>9.5380000000000003</v>
      </c>
      <c r="GS11" s="1">
        <v>10.205</v>
      </c>
      <c r="GT11" s="1">
        <v>2</v>
      </c>
      <c r="GU11" s="1">
        <v>1</v>
      </c>
      <c r="GV11" s="1">
        <v>6</v>
      </c>
      <c r="GW11" s="1">
        <v>4.6340000000000003</v>
      </c>
      <c r="GX11" s="1">
        <v>11.631</v>
      </c>
      <c r="GY11" s="1">
        <v>20.167000000000002</v>
      </c>
      <c r="GZ11" s="1">
        <v>2</v>
      </c>
      <c r="HA11" s="1">
        <v>2</v>
      </c>
      <c r="HB11" s="1">
        <v>6</v>
      </c>
      <c r="HC11" s="1">
        <v>6.5750000000000002</v>
      </c>
      <c r="HD11" s="1">
        <v>8.7949999999999999</v>
      </c>
      <c r="HE11" s="1">
        <v>9.4420000000000002</v>
      </c>
      <c r="HF11" s="1">
        <v>2</v>
      </c>
      <c r="HG11" s="4" t="s">
        <v>282</v>
      </c>
      <c r="HH11" s="1">
        <v>6</v>
      </c>
      <c r="HI11" s="1">
        <v>15.053000000000001</v>
      </c>
      <c r="HJ11" s="1">
        <v>16.094000000000001</v>
      </c>
      <c r="HK11" s="1">
        <v>16.873999999999999</v>
      </c>
      <c r="HL11" s="1">
        <v>2</v>
      </c>
      <c r="HM11" s="4" t="s">
        <v>413</v>
      </c>
      <c r="HN11" s="4" t="s">
        <v>414</v>
      </c>
      <c r="HO11" s="4" t="s">
        <v>415</v>
      </c>
      <c r="HP11" s="4" t="s">
        <v>416</v>
      </c>
      <c r="HQ11" s="4" t="s">
        <v>417</v>
      </c>
      <c r="HR11" s="4" t="s">
        <v>418</v>
      </c>
      <c r="HS11" s="4" t="s">
        <v>419</v>
      </c>
      <c r="HT11" s="4" t="s">
        <v>420</v>
      </c>
      <c r="HU11" s="4" t="s">
        <v>421</v>
      </c>
      <c r="HV11" s="4" t="s">
        <v>422</v>
      </c>
      <c r="HW11" s="4" t="s">
        <v>423</v>
      </c>
      <c r="HX11" s="4" t="s">
        <v>424</v>
      </c>
      <c r="HY11" s="4" t="s">
        <v>312</v>
      </c>
      <c r="HZ11" s="4" t="s">
        <v>372</v>
      </c>
      <c r="IA11" s="4" t="s">
        <v>325</v>
      </c>
      <c r="IB11" s="4" t="s">
        <v>282</v>
      </c>
      <c r="IC11" s="4" t="s">
        <v>282</v>
      </c>
    </row>
    <row r="12" spans="1:237" x14ac:dyDescent="0.2">
      <c r="A12" s="3">
        <v>45744.651562500003</v>
      </c>
      <c r="B12" s="3">
        <v>45744.658229166664</v>
      </c>
      <c r="C12" s="1">
        <v>0</v>
      </c>
      <c r="D12" s="4" t="s">
        <v>425</v>
      </c>
      <c r="E12" s="1">
        <v>100</v>
      </c>
      <c r="F12" s="1">
        <v>576</v>
      </c>
      <c r="G12" s="1">
        <v>1</v>
      </c>
      <c r="H12" s="3">
        <v>45744.658238703705</v>
      </c>
      <c r="I12" s="4" t="s">
        <v>426</v>
      </c>
      <c r="J12" s="4" t="s">
        <v>282</v>
      </c>
      <c r="K12" s="4" t="s">
        <v>282</v>
      </c>
      <c r="L12" s="4" t="s">
        <v>282</v>
      </c>
      <c r="M12" s="4" t="s">
        <v>282</v>
      </c>
      <c r="N12" s="1">
        <v>-37.8964</v>
      </c>
      <c r="O12" s="1">
        <v>145.07990000000001</v>
      </c>
      <c r="P12" s="4" t="s">
        <v>283</v>
      </c>
      <c r="Q12" s="4" t="s">
        <v>284</v>
      </c>
      <c r="R12" s="1">
        <v>0.89999997615814209</v>
      </c>
      <c r="S12" s="1">
        <v>1</v>
      </c>
      <c r="T12" s="1">
        <v>1</v>
      </c>
      <c r="U12" s="1">
        <v>1</v>
      </c>
      <c r="V12" s="1">
        <v>1</v>
      </c>
      <c r="W12" s="1">
        <v>12</v>
      </c>
      <c r="X12" s="4" t="s">
        <v>1222</v>
      </c>
      <c r="Y12" s="1">
        <v>5</v>
      </c>
      <c r="Z12" s="1">
        <v>2</v>
      </c>
      <c r="AA12" s="1">
        <v>3</v>
      </c>
      <c r="AB12" s="1">
        <v>3</v>
      </c>
      <c r="AC12" s="1">
        <v>1</v>
      </c>
      <c r="AD12" s="1">
        <v>5</v>
      </c>
      <c r="AE12" s="1">
        <v>9.4139999999999997</v>
      </c>
      <c r="AF12" s="1">
        <v>12.093999999999999</v>
      </c>
      <c r="AG12" s="1">
        <v>12.961</v>
      </c>
      <c r="AH12" s="1">
        <v>2</v>
      </c>
      <c r="AI12" s="1">
        <v>2</v>
      </c>
      <c r="AJ12" s="1">
        <v>5</v>
      </c>
      <c r="AK12" s="1">
        <v>4.8140000000000001</v>
      </c>
      <c r="AL12" s="1">
        <v>11.159000000000001</v>
      </c>
      <c r="AM12" s="1">
        <v>11.874000000000001</v>
      </c>
      <c r="AN12" s="1">
        <v>2</v>
      </c>
      <c r="AO12" s="1">
        <v>2</v>
      </c>
      <c r="AP12" s="1">
        <v>5</v>
      </c>
      <c r="AQ12" s="1">
        <v>4.798</v>
      </c>
      <c r="AR12" s="1">
        <v>9.7100000000000009</v>
      </c>
      <c r="AS12" s="1">
        <v>10.544</v>
      </c>
      <c r="AT12" s="1">
        <v>2</v>
      </c>
      <c r="AU12" s="1">
        <v>5</v>
      </c>
      <c r="AV12" s="1">
        <v>4</v>
      </c>
      <c r="AW12" s="1">
        <v>5.44</v>
      </c>
      <c r="AX12" s="1">
        <v>6.992</v>
      </c>
      <c r="AY12" s="1">
        <v>8.6509999999999998</v>
      </c>
      <c r="AZ12" s="1">
        <v>2</v>
      </c>
      <c r="BA12" s="1">
        <v>5</v>
      </c>
      <c r="BB12" s="1">
        <v>4</v>
      </c>
      <c r="BC12" s="1">
        <v>7.7789999999999999</v>
      </c>
      <c r="BD12" s="1">
        <v>9.86</v>
      </c>
      <c r="BE12" s="1">
        <v>10.782</v>
      </c>
      <c r="BF12" s="1">
        <v>2</v>
      </c>
      <c r="BG12" s="1">
        <v>1</v>
      </c>
      <c r="BH12" s="1">
        <v>5</v>
      </c>
      <c r="BI12" s="1">
        <v>4.4580000000000002</v>
      </c>
      <c r="BJ12" s="1">
        <v>11.146000000000001</v>
      </c>
      <c r="BK12" s="1">
        <v>12.052</v>
      </c>
      <c r="BL12" s="1">
        <v>2</v>
      </c>
      <c r="BM12" s="1">
        <v>2</v>
      </c>
      <c r="BN12" s="1">
        <v>5</v>
      </c>
      <c r="BO12" s="1">
        <v>6.1</v>
      </c>
      <c r="BP12" s="1">
        <v>9.9390000000000001</v>
      </c>
      <c r="BQ12" s="1">
        <v>11.865</v>
      </c>
      <c r="BR12" s="1">
        <v>4</v>
      </c>
      <c r="BS12" s="1">
        <v>1</v>
      </c>
      <c r="BT12" s="1">
        <v>4</v>
      </c>
      <c r="BU12" s="1">
        <v>5.5019999999999998</v>
      </c>
      <c r="BV12" s="1">
        <v>8.3740000000000006</v>
      </c>
      <c r="BW12" s="1">
        <v>10.313000000000001</v>
      </c>
      <c r="BX12" s="1">
        <v>2</v>
      </c>
      <c r="BY12" s="1">
        <v>3</v>
      </c>
      <c r="BZ12" s="1">
        <v>4</v>
      </c>
      <c r="CA12" s="1">
        <v>8.4740000000000002</v>
      </c>
      <c r="CB12" s="1">
        <v>9.3859999999999992</v>
      </c>
      <c r="CC12" s="1">
        <v>10.182</v>
      </c>
      <c r="CD12" s="1">
        <v>2</v>
      </c>
      <c r="CE12" s="1">
        <v>1</v>
      </c>
      <c r="CF12" s="1">
        <v>4</v>
      </c>
      <c r="CG12" s="1">
        <v>5.0990000000000002</v>
      </c>
      <c r="CH12" s="1">
        <v>7.2990000000000004</v>
      </c>
      <c r="CI12" s="1">
        <v>9</v>
      </c>
      <c r="CJ12" s="1">
        <v>2</v>
      </c>
      <c r="CK12" s="1">
        <v>1</v>
      </c>
      <c r="CL12" s="1">
        <v>4</v>
      </c>
      <c r="CM12" s="1">
        <v>4.1970000000000001</v>
      </c>
      <c r="CN12" s="1">
        <v>7.7409999999999997</v>
      </c>
      <c r="CO12" s="1">
        <v>8.7680000000000007</v>
      </c>
      <c r="CP12" s="1">
        <v>2</v>
      </c>
      <c r="CQ12" s="1">
        <v>2</v>
      </c>
      <c r="CR12" s="1">
        <v>5</v>
      </c>
      <c r="CS12" s="1">
        <v>2.7090000000000001</v>
      </c>
      <c r="CT12" s="1">
        <v>8.0690000000000008</v>
      </c>
      <c r="CU12" s="1">
        <v>8.7910000000000004</v>
      </c>
      <c r="CV12" s="1">
        <v>3</v>
      </c>
      <c r="CW12" s="1">
        <v>1</v>
      </c>
      <c r="CX12" s="1">
        <v>4</v>
      </c>
      <c r="CY12" s="1">
        <v>5.1239999999999997</v>
      </c>
      <c r="CZ12" s="1">
        <v>8.4770000000000003</v>
      </c>
      <c r="DA12" s="1">
        <v>8.8149999999999995</v>
      </c>
      <c r="DB12" s="1">
        <v>3</v>
      </c>
      <c r="DC12" s="1">
        <v>1</v>
      </c>
      <c r="DD12" s="1">
        <v>4</v>
      </c>
      <c r="DE12" s="1">
        <v>4.3120000000000003</v>
      </c>
      <c r="DF12" s="1">
        <v>10.8</v>
      </c>
      <c r="DG12" s="1">
        <v>11.58</v>
      </c>
      <c r="DH12" s="1">
        <v>2</v>
      </c>
      <c r="DI12" s="1">
        <v>1</v>
      </c>
      <c r="DJ12" s="1">
        <v>4</v>
      </c>
      <c r="DK12" s="1">
        <v>4.6890000000000001</v>
      </c>
      <c r="DL12" s="1">
        <v>11.984</v>
      </c>
      <c r="DM12" s="1">
        <v>12.731</v>
      </c>
      <c r="DN12" s="1">
        <v>2</v>
      </c>
      <c r="DO12" s="1">
        <v>1</v>
      </c>
      <c r="DP12" s="1">
        <v>4</v>
      </c>
      <c r="DQ12" s="1">
        <v>4.7370000000000001</v>
      </c>
      <c r="DR12" s="1">
        <v>12.929</v>
      </c>
      <c r="DS12" s="1">
        <v>13.54</v>
      </c>
      <c r="DT12" s="1">
        <v>2</v>
      </c>
      <c r="DU12" s="1">
        <v>2</v>
      </c>
      <c r="DV12" s="1">
        <v>4</v>
      </c>
      <c r="DW12" s="1">
        <v>4.9489999999999998</v>
      </c>
      <c r="DX12" s="1">
        <v>10.404999999999999</v>
      </c>
      <c r="DY12" s="1">
        <v>11.44</v>
      </c>
      <c r="DZ12" s="1">
        <v>2</v>
      </c>
      <c r="EA12" s="1">
        <v>1</v>
      </c>
      <c r="EB12" s="1">
        <v>4</v>
      </c>
      <c r="EC12" s="1">
        <v>6.4729999999999999</v>
      </c>
      <c r="ED12" s="1">
        <v>10.641</v>
      </c>
      <c r="EE12" s="1">
        <v>11.659000000000001</v>
      </c>
      <c r="EF12" s="1">
        <v>2</v>
      </c>
      <c r="EG12" s="1">
        <v>1</v>
      </c>
      <c r="EH12" s="1">
        <v>4</v>
      </c>
      <c r="EI12" s="1">
        <v>8.2490000000000006</v>
      </c>
      <c r="EJ12" s="1">
        <v>11.449</v>
      </c>
      <c r="EK12" s="1">
        <v>12.396000000000001</v>
      </c>
      <c r="EL12" s="1">
        <v>2</v>
      </c>
      <c r="EM12" s="1">
        <v>1</v>
      </c>
      <c r="EN12" s="1">
        <v>4</v>
      </c>
      <c r="EO12" s="1">
        <v>6.2110000000000003</v>
      </c>
      <c r="EP12" s="1">
        <v>11.946999999999999</v>
      </c>
      <c r="EQ12" s="1">
        <v>12.743</v>
      </c>
      <c r="ER12" s="1">
        <v>3</v>
      </c>
      <c r="ES12" s="1">
        <v>1</v>
      </c>
      <c r="ET12" s="1">
        <v>5</v>
      </c>
      <c r="EU12" s="1">
        <v>4.6020000000000003</v>
      </c>
      <c r="EV12" s="1">
        <v>8.4570000000000007</v>
      </c>
      <c r="EW12" s="1">
        <v>10.805</v>
      </c>
      <c r="EX12" s="1">
        <v>2</v>
      </c>
      <c r="EY12" s="1">
        <v>2</v>
      </c>
      <c r="EZ12" s="1">
        <v>4</v>
      </c>
      <c r="FA12" s="1">
        <v>4.5590000000000002</v>
      </c>
      <c r="FB12" s="1">
        <v>10.319000000000001</v>
      </c>
      <c r="FC12" s="1">
        <v>11.458</v>
      </c>
      <c r="FD12" s="1">
        <v>2</v>
      </c>
      <c r="FE12" s="1">
        <v>1</v>
      </c>
      <c r="FF12" s="1">
        <v>4</v>
      </c>
      <c r="FG12" s="1">
        <v>9.4749999999999996</v>
      </c>
      <c r="FH12" s="1">
        <v>10.675000000000001</v>
      </c>
      <c r="FI12" s="1">
        <v>11.8</v>
      </c>
      <c r="FJ12" s="1">
        <v>2</v>
      </c>
      <c r="FK12" s="1">
        <v>1</v>
      </c>
      <c r="FL12" s="1">
        <v>4</v>
      </c>
      <c r="FM12" s="1">
        <v>1.6659999999999999</v>
      </c>
      <c r="FN12" s="1">
        <v>18.058</v>
      </c>
      <c r="FO12" s="1">
        <v>18.741</v>
      </c>
      <c r="FP12" s="1">
        <v>3</v>
      </c>
      <c r="FQ12" s="1">
        <v>2</v>
      </c>
      <c r="FR12" s="1">
        <v>6</v>
      </c>
      <c r="FS12" s="1">
        <v>5.5949999999999998</v>
      </c>
      <c r="FT12" s="1">
        <v>6.7140000000000004</v>
      </c>
      <c r="FU12" s="1">
        <v>11.45</v>
      </c>
      <c r="FV12" s="1">
        <v>2</v>
      </c>
      <c r="FW12" s="1">
        <v>5</v>
      </c>
      <c r="FX12" s="1">
        <v>5</v>
      </c>
      <c r="FY12" s="1">
        <v>9.6010000000000009</v>
      </c>
      <c r="FZ12" s="1">
        <v>11.952999999999999</v>
      </c>
      <c r="GA12" s="1">
        <v>13.076000000000001</v>
      </c>
      <c r="GB12" s="1">
        <v>3</v>
      </c>
      <c r="GC12" s="1">
        <v>1</v>
      </c>
      <c r="GD12" s="1">
        <v>5</v>
      </c>
      <c r="GE12" s="1">
        <v>5.2590000000000003</v>
      </c>
      <c r="GF12" s="1">
        <v>9.1549999999999994</v>
      </c>
      <c r="GG12" s="1">
        <v>9.8059999999999992</v>
      </c>
      <c r="GH12" s="1">
        <v>4</v>
      </c>
      <c r="GI12" s="1">
        <v>2</v>
      </c>
      <c r="GJ12" s="1">
        <v>4</v>
      </c>
      <c r="GK12" s="1">
        <v>8.0690000000000008</v>
      </c>
      <c r="GL12" s="1">
        <v>12.813000000000001</v>
      </c>
      <c r="GM12" s="1">
        <v>13.752000000000001</v>
      </c>
      <c r="GN12" s="1">
        <v>2</v>
      </c>
      <c r="GO12" s="1">
        <v>5</v>
      </c>
      <c r="GP12" s="1">
        <v>5</v>
      </c>
      <c r="GQ12" s="1">
        <v>5.7249999999999996</v>
      </c>
      <c r="GR12" s="1">
        <v>8.35</v>
      </c>
      <c r="GS12" s="1">
        <v>10.721</v>
      </c>
      <c r="GT12" s="1">
        <v>2</v>
      </c>
      <c r="GU12" s="1">
        <v>1</v>
      </c>
      <c r="GV12" s="1">
        <v>5</v>
      </c>
      <c r="GW12" s="1">
        <v>4.9390000000000001</v>
      </c>
      <c r="GX12" s="1">
        <v>11.531000000000001</v>
      </c>
      <c r="GY12" s="1">
        <v>12.148999999999999</v>
      </c>
      <c r="GZ12" s="1">
        <v>3</v>
      </c>
      <c r="HA12" s="1">
        <v>2</v>
      </c>
      <c r="HB12" s="1">
        <v>5</v>
      </c>
      <c r="HC12" s="1">
        <v>6.327</v>
      </c>
      <c r="HD12" s="1">
        <v>14.574999999999999</v>
      </c>
      <c r="HE12" s="1">
        <v>15.273999999999999</v>
      </c>
      <c r="HF12" s="1">
        <v>2</v>
      </c>
      <c r="HG12" s="1">
        <v>5</v>
      </c>
      <c r="HH12" s="1">
        <v>5</v>
      </c>
      <c r="HI12" s="1">
        <v>6.6280000000000001</v>
      </c>
      <c r="HJ12" s="1">
        <v>7.508</v>
      </c>
      <c r="HK12" s="1">
        <v>9.1509999999999998</v>
      </c>
      <c r="HL12" s="1">
        <v>2</v>
      </c>
      <c r="HM12" s="4" t="s">
        <v>427</v>
      </c>
      <c r="HN12" s="4" t="s">
        <v>428</v>
      </c>
      <c r="HO12" s="4" t="s">
        <v>429</v>
      </c>
      <c r="HP12" s="4" t="s">
        <v>429</v>
      </c>
      <c r="HQ12" s="4" t="s">
        <v>430</v>
      </c>
      <c r="HR12" s="4" t="s">
        <v>431</v>
      </c>
      <c r="HS12" s="4" t="s">
        <v>432</v>
      </c>
      <c r="HT12" s="4" t="s">
        <v>432</v>
      </c>
      <c r="HU12" s="4" t="s">
        <v>433</v>
      </c>
      <c r="HV12" s="4" t="s">
        <v>434</v>
      </c>
      <c r="HW12" s="4" t="s">
        <v>282</v>
      </c>
      <c r="HX12" s="4" t="s">
        <v>282</v>
      </c>
      <c r="HY12" s="4" t="s">
        <v>312</v>
      </c>
      <c r="HZ12" s="4" t="s">
        <v>356</v>
      </c>
      <c r="IA12" s="4" t="s">
        <v>313</v>
      </c>
      <c r="IB12" s="4" t="s">
        <v>282</v>
      </c>
      <c r="IC12" s="4" t="s">
        <v>282</v>
      </c>
    </row>
    <row r="13" spans="1:237" x14ac:dyDescent="0.2">
      <c r="A13" s="3">
        <v>45744.660277777781</v>
      </c>
      <c r="B13" s="3">
        <v>45744.671226851853</v>
      </c>
      <c r="C13" s="1">
        <v>0</v>
      </c>
      <c r="D13" s="4" t="s">
        <v>435</v>
      </c>
      <c r="E13" s="1">
        <v>100</v>
      </c>
      <c r="F13" s="1">
        <v>945</v>
      </c>
      <c r="G13" s="1">
        <v>1</v>
      </c>
      <c r="H13" s="3">
        <v>45744.671236550923</v>
      </c>
      <c r="I13" s="4" t="s">
        <v>436</v>
      </c>
      <c r="J13" s="4" t="s">
        <v>282</v>
      </c>
      <c r="K13" s="4" t="s">
        <v>282</v>
      </c>
      <c r="L13" s="4" t="s">
        <v>282</v>
      </c>
      <c r="M13" s="4" t="s">
        <v>282</v>
      </c>
      <c r="N13" s="1">
        <v>-37.815899999999999</v>
      </c>
      <c r="O13" s="1">
        <v>144.96690000000001</v>
      </c>
      <c r="P13" s="4" t="s">
        <v>283</v>
      </c>
      <c r="Q13" s="4" t="s">
        <v>284</v>
      </c>
      <c r="R13" s="1">
        <v>0.89999997615814209</v>
      </c>
      <c r="S13" s="1">
        <v>1</v>
      </c>
      <c r="T13" s="1">
        <v>1</v>
      </c>
      <c r="U13" s="1">
        <v>1</v>
      </c>
      <c r="V13" s="1">
        <v>1</v>
      </c>
      <c r="W13" s="1">
        <v>4</v>
      </c>
      <c r="X13" s="4" t="s">
        <v>312</v>
      </c>
      <c r="Y13" s="1">
        <v>5</v>
      </c>
      <c r="Z13" s="1">
        <v>3</v>
      </c>
      <c r="AA13" s="1">
        <v>3</v>
      </c>
      <c r="AB13" s="1">
        <v>2</v>
      </c>
      <c r="AC13" s="1">
        <v>2</v>
      </c>
      <c r="AD13" s="1">
        <v>6</v>
      </c>
      <c r="AE13" s="1">
        <v>14.760999999999999</v>
      </c>
      <c r="AF13" s="1">
        <v>16.763999999999999</v>
      </c>
      <c r="AG13" s="1">
        <v>17.521000000000001</v>
      </c>
      <c r="AH13" s="1">
        <v>2</v>
      </c>
      <c r="AI13" s="1">
        <v>4</v>
      </c>
      <c r="AJ13" s="1">
        <v>6</v>
      </c>
      <c r="AK13" s="1">
        <v>8.891</v>
      </c>
      <c r="AL13" s="1">
        <v>10.106</v>
      </c>
      <c r="AM13" s="1">
        <v>11.349</v>
      </c>
      <c r="AN13" s="1">
        <v>2</v>
      </c>
      <c r="AO13" s="1">
        <v>2</v>
      </c>
      <c r="AP13" s="1">
        <v>6</v>
      </c>
      <c r="AQ13" s="1">
        <v>11.223000000000001</v>
      </c>
      <c r="AR13" s="1">
        <v>13.561999999999999</v>
      </c>
      <c r="AS13" s="1">
        <v>13.920999999999999</v>
      </c>
      <c r="AT13" s="1">
        <v>3</v>
      </c>
      <c r="AU13" s="1">
        <v>5</v>
      </c>
      <c r="AV13" s="1">
        <v>5</v>
      </c>
      <c r="AW13" s="1">
        <v>12.981</v>
      </c>
      <c r="AX13" s="1">
        <v>16.356999999999999</v>
      </c>
      <c r="AY13" s="1">
        <v>17.399000000000001</v>
      </c>
      <c r="AZ13" s="1">
        <v>3</v>
      </c>
      <c r="BA13" s="1">
        <v>5</v>
      </c>
      <c r="BB13" s="1">
        <v>6</v>
      </c>
      <c r="BC13" s="1">
        <v>8.8550000000000004</v>
      </c>
      <c r="BD13" s="1">
        <v>10.035</v>
      </c>
      <c r="BE13" s="1">
        <v>10.818</v>
      </c>
      <c r="BF13" s="1">
        <v>2</v>
      </c>
      <c r="BG13" s="1">
        <v>1</v>
      </c>
      <c r="BH13" s="1">
        <v>6</v>
      </c>
      <c r="BI13" s="1">
        <v>11.278</v>
      </c>
      <c r="BJ13" s="1">
        <v>14.281000000000001</v>
      </c>
      <c r="BK13" s="1">
        <v>15.545999999999999</v>
      </c>
      <c r="BL13" s="1">
        <v>3</v>
      </c>
      <c r="BM13" s="1">
        <v>4</v>
      </c>
      <c r="BN13" s="1">
        <v>6</v>
      </c>
      <c r="BO13" s="1">
        <v>9.0269999999999992</v>
      </c>
      <c r="BP13" s="1">
        <v>14.798999999999999</v>
      </c>
      <c r="BQ13" s="1">
        <v>16.088000000000001</v>
      </c>
      <c r="BR13" s="1">
        <v>2</v>
      </c>
      <c r="BS13" s="1">
        <v>1</v>
      </c>
      <c r="BT13" s="1">
        <v>6</v>
      </c>
      <c r="BU13" s="1">
        <v>4.3029999999999999</v>
      </c>
      <c r="BV13" s="1">
        <v>11.999000000000001</v>
      </c>
      <c r="BW13" s="1">
        <v>12.653</v>
      </c>
      <c r="BX13" s="1">
        <v>3</v>
      </c>
      <c r="BY13" s="1">
        <v>5</v>
      </c>
      <c r="BZ13" s="1">
        <v>5</v>
      </c>
      <c r="CA13" s="1">
        <v>9.65</v>
      </c>
      <c r="CB13" s="1">
        <v>10.606</v>
      </c>
      <c r="CC13" s="1">
        <v>11.535</v>
      </c>
      <c r="CD13" s="1">
        <v>2</v>
      </c>
      <c r="CE13" s="1">
        <v>2</v>
      </c>
      <c r="CF13" s="1">
        <v>7</v>
      </c>
      <c r="CG13" s="1">
        <v>10.866</v>
      </c>
      <c r="CH13" s="1">
        <v>16.094999999999999</v>
      </c>
      <c r="CI13" s="1">
        <v>17.183</v>
      </c>
      <c r="CJ13" s="1">
        <v>3</v>
      </c>
      <c r="CK13" s="1">
        <v>1</v>
      </c>
      <c r="CL13" s="1">
        <v>6</v>
      </c>
      <c r="CM13" s="1">
        <v>10.798999999999999</v>
      </c>
      <c r="CN13" s="1">
        <v>12.488</v>
      </c>
      <c r="CO13" s="1">
        <v>13.808999999999999</v>
      </c>
      <c r="CP13" s="1">
        <v>2</v>
      </c>
      <c r="CQ13" s="1">
        <v>2</v>
      </c>
      <c r="CR13" s="1">
        <v>6</v>
      </c>
      <c r="CS13" s="1">
        <v>8.9649999999999999</v>
      </c>
      <c r="CT13" s="1">
        <v>10.316000000000001</v>
      </c>
      <c r="CU13" s="1">
        <v>11.098000000000001</v>
      </c>
      <c r="CV13" s="1">
        <v>2</v>
      </c>
      <c r="CW13" s="1">
        <v>1</v>
      </c>
      <c r="CX13" s="1">
        <v>6</v>
      </c>
      <c r="CY13" s="1">
        <v>4.87</v>
      </c>
      <c r="CZ13" s="1">
        <v>13.882999999999999</v>
      </c>
      <c r="DA13" s="1">
        <v>15.239000000000001</v>
      </c>
      <c r="DB13" s="1">
        <v>4</v>
      </c>
      <c r="DC13" s="1">
        <v>4</v>
      </c>
      <c r="DD13" s="1">
        <v>6</v>
      </c>
      <c r="DE13" s="1">
        <v>29.506</v>
      </c>
      <c r="DF13" s="1">
        <v>30.686</v>
      </c>
      <c r="DG13" s="1">
        <v>31.751000000000001</v>
      </c>
      <c r="DH13" s="1">
        <v>2</v>
      </c>
      <c r="DI13" s="1">
        <v>3</v>
      </c>
      <c r="DJ13" s="1">
        <v>6</v>
      </c>
      <c r="DK13" s="1">
        <v>12.16</v>
      </c>
      <c r="DL13" s="1">
        <v>13.645</v>
      </c>
      <c r="DM13" s="1">
        <v>14.8</v>
      </c>
      <c r="DN13" s="1">
        <v>2</v>
      </c>
      <c r="DO13" s="1">
        <v>1</v>
      </c>
      <c r="DP13" s="1">
        <v>6</v>
      </c>
      <c r="DQ13" s="1">
        <v>6.9560000000000004</v>
      </c>
      <c r="DR13" s="1">
        <v>10.356999999999999</v>
      </c>
      <c r="DS13" s="1">
        <v>11.564</v>
      </c>
      <c r="DT13" s="1">
        <v>2</v>
      </c>
      <c r="DU13" s="1">
        <v>2</v>
      </c>
      <c r="DV13" s="1">
        <v>6</v>
      </c>
      <c r="DW13" s="1">
        <v>6.6360000000000001</v>
      </c>
      <c r="DX13" s="1">
        <v>8.9909999999999997</v>
      </c>
      <c r="DY13" s="1">
        <v>9.66</v>
      </c>
      <c r="DZ13" s="1">
        <v>3</v>
      </c>
      <c r="EA13" s="1">
        <v>4</v>
      </c>
      <c r="EB13" s="1">
        <v>6</v>
      </c>
      <c r="EC13" s="1">
        <v>11.433</v>
      </c>
      <c r="ED13" s="1">
        <v>14.448</v>
      </c>
      <c r="EE13" s="1">
        <v>15.6</v>
      </c>
      <c r="EF13" s="1">
        <v>4</v>
      </c>
      <c r="EG13" s="1">
        <v>3</v>
      </c>
      <c r="EH13" s="1">
        <v>7</v>
      </c>
      <c r="EI13" s="1">
        <v>13.38</v>
      </c>
      <c r="EJ13" s="1">
        <v>15.236000000000001</v>
      </c>
      <c r="EK13" s="1">
        <v>17.201000000000001</v>
      </c>
      <c r="EL13" s="1">
        <v>2</v>
      </c>
      <c r="EM13" s="1">
        <v>3</v>
      </c>
      <c r="EN13" s="1">
        <v>5</v>
      </c>
      <c r="EO13" s="1">
        <v>11.618</v>
      </c>
      <c r="EP13" s="1">
        <v>13.125</v>
      </c>
      <c r="EQ13" s="1">
        <v>14.202999999999999</v>
      </c>
      <c r="ER13" s="1">
        <v>2</v>
      </c>
      <c r="ES13" s="4" t="s">
        <v>282</v>
      </c>
      <c r="ET13" s="1">
        <v>6</v>
      </c>
      <c r="EU13" s="1">
        <v>18.204000000000001</v>
      </c>
      <c r="EV13" s="1">
        <v>20.713000000000001</v>
      </c>
      <c r="EW13" s="1">
        <v>21.09</v>
      </c>
      <c r="EX13" s="1">
        <v>4</v>
      </c>
      <c r="EY13" s="1">
        <v>2</v>
      </c>
      <c r="EZ13" s="1">
        <v>7</v>
      </c>
      <c r="FA13" s="1">
        <v>9.7409999999999997</v>
      </c>
      <c r="FB13" s="1">
        <v>10.74</v>
      </c>
      <c r="FC13" s="1">
        <v>11.364000000000001</v>
      </c>
      <c r="FD13" s="1">
        <v>2</v>
      </c>
      <c r="FE13" s="1">
        <v>5</v>
      </c>
      <c r="FF13" s="1">
        <v>5</v>
      </c>
      <c r="FG13" s="1">
        <v>11.750999999999999</v>
      </c>
      <c r="FH13" s="1">
        <v>13.641999999999999</v>
      </c>
      <c r="FI13" s="1">
        <v>14.571999999999999</v>
      </c>
      <c r="FJ13" s="1">
        <v>2</v>
      </c>
      <c r="FK13" s="1">
        <v>1</v>
      </c>
      <c r="FL13" s="1">
        <v>7</v>
      </c>
      <c r="FM13" s="1">
        <v>10.678000000000001</v>
      </c>
      <c r="FN13" s="1">
        <v>13.760999999999999</v>
      </c>
      <c r="FO13" s="1">
        <v>14.683</v>
      </c>
      <c r="FP13" s="1">
        <v>2</v>
      </c>
      <c r="FQ13" s="1">
        <v>2</v>
      </c>
      <c r="FR13" s="1">
        <v>7</v>
      </c>
      <c r="FS13" s="1">
        <v>11.246</v>
      </c>
      <c r="FT13" s="1">
        <v>13.429</v>
      </c>
      <c r="FU13" s="1">
        <v>14.347</v>
      </c>
      <c r="FV13" s="1">
        <v>2</v>
      </c>
      <c r="FW13" s="1">
        <v>5</v>
      </c>
      <c r="FX13" s="1">
        <v>7</v>
      </c>
      <c r="FY13" s="1">
        <v>10.009</v>
      </c>
      <c r="FZ13" s="1">
        <v>11.768000000000001</v>
      </c>
      <c r="GA13" s="1">
        <v>12.478999999999999</v>
      </c>
      <c r="GB13" s="1">
        <v>2</v>
      </c>
      <c r="GC13" s="1">
        <v>1</v>
      </c>
      <c r="GD13" s="1">
        <v>7</v>
      </c>
      <c r="GE13" s="1">
        <v>10.442</v>
      </c>
      <c r="GF13" s="1">
        <v>13.433999999999999</v>
      </c>
      <c r="GG13" s="1">
        <v>14.295999999999999</v>
      </c>
      <c r="GH13" s="1">
        <v>2</v>
      </c>
      <c r="GI13" s="1">
        <v>2</v>
      </c>
      <c r="GJ13" s="1">
        <v>7</v>
      </c>
      <c r="GK13" s="1">
        <v>9.1780000000000008</v>
      </c>
      <c r="GL13" s="1">
        <v>12.664</v>
      </c>
      <c r="GM13" s="1">
        <v>13.481</v>
      </c>
      <c r="GN13" s="1">
        <v>3</v>
      </c>
      <c r="GO13" s="4" t="s">
        <v>282</v>
      </c>
      <c r="GP13" s="1">
        <v>6</v>
      </c>
      <c r="GQ13" s="1">
        <v>41.387</v>
      </c>
      <c r="GR13" s="1">
        <v>43.738999999999997</v>
      </c>
      <c r="GS13" s="1">
        <v>44.835999999999999</v>
      </c>
      <c r="GT13" s="1">
        <v>2</v>
      </c>
      <c r="GU13" s="1">
        <v>1</v>
      </c>
      <c r="GV13" s="1">
        <v>7</v>
      </c>
      <c r="GW13" s="1">
        <v>11.849</v>
      </c>
      <c r="GX13" s="1">
        <v>13.525</v>
      </c>
      <c r="GY13" s="1">
        <v>14.779</v>
      </c>
      <c r="GZ13" s="1">
        <v>2</v>
      </c>
      <c r="HA13" s="1">
        <v>2</v>
      </c>
      <c r="HB13" s="1">
        <v>6</v>
      </c>
      <c r="HC13" s="1">
        <v>12.452999999999999</v>
      </c>
      <c r="HD13" s="1">
        <v>13.869</v>
      </c>
      <c r="HE13" s="1">
        <v>15.023</v>
      </c>
      <c r="HF13" s="1">
        <v>2</v>
      </c>
      <c r="HG13" s="1">
        <v>5</v>
      </c>
      <c r="HH13" s="1">
        <v>6</v>
      </c>
      <c r="HI13" s="1">
        <v>11.028</v>
      </c>
      <c r="HJ13" s="1">
        <v>12.388999999999999</v>
      </c>
      <c r="HK13" s="1">
        <v>13.127000000000001</v>
      </c>
      <c r="HL13" s="1">
        <v>2</v>
      </c>
      <c r="HM13" s="4" t="s">
        <v>437</v>
      </c>
      <c r="HN13" s="4" t="s">
        <v>437</v>
      </c>
      <c r="HO13" s="4" t="s">
        <v>438</v>
      </c>
      <c r="HP13" s="4" t="s">
        <v>439</v>
      </c>
      <c r="HQ13" s="4" t="s">
        <v>440</v>
      </c>
      <c r="HR13" s="4" t="s">
        <v>441</v>
      </c>
      <c r="HS13" s="4" t="s">
        <v>442</v>
      </c>
      <c r="HT13" s="4" t="s">
        <v>443</v>
      </c>
      <c r="HU13" s="4" t="s">
        <v>444</v>
      </c>
      <c r="HV13" s="4" t="s">
        <v>445</v>
      </c>
      <c r="HW13" s="4" t="s">
        <v>282</v>
      </c>
      <c r="HX13" s="4" t="s">
        <v>282</v>
      </c>
      <c r="HY13" s="4" t="s">
        <v>312</v>
      </c>
      <c r="HZ13" s="4" t="s">
        <v>356</v>
      </c>
      <c r="IA13" s="4" t="s">
        <v>313</v>
      </c>
      <c r="IB13" s="4" t="s">
        <v>282</v>
      </c>
      <c r="IC13" s="4" t="s">
        <v>282</v>
      </c>
    </row>
    <row r="14" spans="1:237" x14ac:dyDescent="0.2">
      <c r="A14" s="3">
        <v>45744.679768518516</v>
      </c>
      <c r="B14" s="3">
        <v>45744.70076388889</v>
      </c>
      <c r="C14" s="1">
        <v>0</v>
      </c>
      <c r="D14" s="4" t="s">
        <v>446</v>
      </c>
      <c r="E14" s="1">
        <v>100</v>
      </c>
      <c r="F14" s="1">
        <v>1813</v>
      </c>
      <c r="G14" s="1">
        <v>1</v>
      </c>
      <c r="H14" s="3">
        <v>45744.700778819446</v>
      </c>
      <c r="I14" s="4" t="s">
        <v>447</v>
      </c>
      <c r="J14" s="4" t="s">
        <v>282</v>
      </c>
      <c r="K14" s="4" t="s">
        <v>282</v>
      </c>
      <c r="L14" s="4" t="s">
        <v>282</v>
      </c>
      <c r="M14" s="4" t="s">
        <v>282</v>
      </c>
      <c r="N14" s="1">
        <v>-37.927900000000001</v>
      </c>
      <c r="O14" s="1">
        <v>145.17699999999999</v>
      </c>
      <c r="P14" s="4" t="s">
        <v>283</v>
      </c>
      <c r="Q14" s="4" t="s">
        <v>284</v>
      </c>
      <c r="R14" s="1">
        <v>1</v>
      </c>
      <c r="S14" s="1">
        <v>1</v>
      </c>
      <c r="T14" s="1">
        <v>1</v>
      </c>
      <c r="U14" s="1">
        <v>1</v>
      </c>
      <c r="V14" s="1">
        <v>1</v>
      </c>
      <c r="W14" s="1">
        <v>4</v>
      </c>
      <c r="X14" s="4" t="s">
        <v>1280</v>
      </c>
      <c r="Y14" s="1">
        <v>5</v>
      </c>
      <c r="Z14" s="1">
        <v>1</v>
      </c>
      <c r="AA14" s="1">
        <v>3</v>
      </c>
      <c r="AB14" s="1">
        <v>2</v>
      </c>
      <c r="AC14" s="1">
        <v>1</v>
      </c>
      <c r="AD14" s="1">
        <v>5</v>
      </c>
      <c r="AE14" s="1">
        <v>9.0530000000000008</v>
      </c>
      <c r="AF14" s="1">
        <v>11.023999999999999</v>
      </c>
      <c r="AG14" s="1">
        <v>11.95</v>
      </c>
      <c r="AH14" s="1">
        <v>2</v>
      </c>
      <c r="AI14" s="1">
        <v>2</v>
      </c>
      <c r="AJ14" s="1">
        <v>6</v>
      </c>
      <c r="AK14" s="1">
        <v>10.221</v>
      </c>
      <c r="AL14" s="1">
        <v>12.375</v>
      </c>
      <c r="AM14" s="1">
        <v>13.263</v>
      </c>
      <c r="AN14" s="1">
        <v>2</v>
      </c>
      <c r="AO14" s="1">
        <v>2</v>
      </c>
      <c r="AP14" s="1">
        <v>6</v>
      </c>
      <c r="AQ14" s="1">
        <v>5.4320000000000004</v>
      </c>
      <c r="AR14" s="1">
        <v>8.3889999999999993</v>
      </c>
      <c r="AS14" s="1">
        <v>10.68</v>
      </c>
      <c r="AT14" s="1">
        <v>2</v>
      </c>
      <c r="AU14" s="1">
        <v>5</v>
      </c>
      <c r="AV14" s="1">
        <v>6</v>
      </c>
      <c r="AW14" s="1">
        <v>97.293000000000006</v>
      </c>
      <c r="AX14" s="1">
        <v>102.898</v>
      </c>
      <c r="AY14" s="1">
        <v>108.479</v>
      </c>
      <c r="AZ14" s="1">
        <v>2</v>
      </c>
      <c r="BA14" s="1">
        <v>5</v>
      </c>
      <c r="BB14" s="1">
        <v>6</v>
      </c>
      <c r="BC14" s="1">
        <v>8.0969999999999995</v>
      </c>
      <c r="BD14" s="1">
        <v>9.5079999999999991</v>
      </c>
      <c r="BE14" s="1">
        <v>11.804</v>
      </c>
      <c r="BF14" s="1">
        <v>2</v>
      </c>
      <c r="BG14" s="1">
        <v>1</v>
      </c>
      <c r="BH14" s="1">
        <v>5</v>
      </c>
      <c r="BI14" s="1">
        <v>7.1970000000000001</v>
      </c>
      <c r="BJ14" s="1">
        <v>10.205</v>
      </c>
      <c r="BK14" s="1">
        <v>11.4</v>
      </c>
      <c r="BL14" s="1">
        <v>2</v>
      </c>
      <c r="BM14" s="1">
        <v>2</v>
      </c>
      <c r="BN14" s="1">
        <v>6</v>
      </c>
      <c r="BO14" s="1">
        <v>14.845000000000001</v>
      </c>
      <c r="BP14" s="1">
        <v>17.172000000000001</v>
      </c>
      <c r="BQ14" s="1">
        <v>18.940000000000001</v>
      </c>
      <c r="BR14" s="1">
        <v>2</v>
      </c>
      <c r="BS14" s="1">
        <v>1</v>
      </c>
      <c r="BT14" s="1">
        <v>5</v>
      </c>
      <c r="BU14" s="1">
        <v>12.957000000000001</v>
      </c>
      <c r="BV14" s="1">
        <v>16.821000000000002</v>
      </c>
      <c r="BW14" s="1">
        <v>41.314999999999998</v>
      </c>
      <c r="BX14" s="1">
        <v>2</v>
      </c>
      <c r="BY14" s="1">
        <v>5</v>
      </c>
      <c r="BZ14" s="1">
        <v>6</v>
      </c>
      <c r="CA14" s="1">
        <v>6.9829999999999997</v>
      </c>
      <c r="CB14" s="1">
        <v>9.577</v>
      </c>
      <c r="CC14" s="1">
        <v>11.656000000000001</v>
      </c>
      <c r="CD14" s="1">
        <v>2</v>
      </c>
      <c r="CE14" s="1">
        <v>3</v>
      </c>
      <c r="CF14" s="1">
        <v>6</v>
      </c>
      <c r="CG14" s="1">
        <v>10.061999999999999</v>
      </c>
      <c r="CH14" s="1">
        <v>14.167999999999999</v>
      </c>
      <c r="CI14" s="1">
        <v>21.445</v>
      </c>
      <c r="CJ14" s="1">
        <v>3</v>
      </c>
      <c r="CK14" s="1">
        <v>1</v>
      </c>
      <c r="CL14" s="1">
        <v>7</v>
      </c>
      <c r="CM14" s="1">
        <v>36.238999999999997</v>
      </c>
      <c r="CN14" s="1">
        <v>55.262</v>
      </c>
      <c r="CO14" s="1">
        <v>56.975000000000001</v>
      </c>
      <c r="CP14" s="1">
        <v>2</v>
      </c>
      <c r="CQ14" s="1">
        <v>2</v>
      </c>
      <c r="CR14" s="1">
        <v>6</v>
      </c>
      <c r="CS14" s="1">
        <v>12.603</v>
      </c>
      <c r="CT14" s="1">
        <v>14.500999999999999</v>
      </c>
      <c r="CU14" s="1">
        <v>15.379</v>
      </c>
      <c r="CV14" s="1">
        <v>2</v>
      </c>
      <c r="CW14" s="1">
        <v>1</v>
      </c>
      <c r="CX14" s="1">
        <v>5</v>
      </c>
      <c r="CY14" s="1">
        <v>16.797999999999998</v>
      </c>
      <c r="CZ14" s="1">
        <v>19.602</v>
      </c>
      <c r="DA14" s="1">
        <v>26.062000000000001</v>
      </c>
      <c r="DB14" s="1">
        <v>2</v>
      </c>
      <c r="DC14" s="1">
        <v>5</v>
      </c>
      <c r="DD14" s="1">
        <v>5</v>
      </c>
      <c r="DE14" s="1">
        <v>11.826000000000001</v>
      </c>
      <c r="DF14" s="1">
        <v>30.001000000000001</v>
      </c>
      <c r="DG14" s="1">
        <v>34.399000000000001</v>
      </c>
      <c r="DH14" s="1">
        <v>2</v>
      </c>
      <c r="DI14" s="1">
        <v>3</v>
      </c>
      <c r="DJ14" s="1">
        <v>6</v>
      </c>
      <c r="DK14" s="1">
        <v>9.9529999999999994</v>
      </c>
      <c r="DL14" s="1">
        <v>13.311999999999999</v>
      </c>
      <c r="DM14" s="1">
        <v>20.137</v>
      </c>
      <c r="DN14" s="1">
        <v>2</v>
      </c>
      <c r="DO14" s="1">
        <v>1</v>
      </c>
      <c r="DP14" s="1">
        <v>5</v>
      </c>
      <c r="DQ14" s="1">
        <v>10.659000000000001</v>
      </c>
      <c r="DR14" s="1">
        <v>12.449</v>
      </c>
      <c r="DS14" s="1">
        <v>14.901</v>
      </c>
      <c r="DT14" s="1">
        <v>2</v>
      </c>
      <c r="DU14" s="1">
        <v>2</v>
      </c>
      <c r="DV14" s="1">
        <v>5</v>
      </c>
      <c r="DW14" s="1">
        <v>9.4849999999999994</v>
      </c>
      <c r="DX14" s="1">
        <v>12.127000000000001</v>
      </c>
      <c r="DY14" s="1">
        <v>13.606</v>
      </c>
      <c r="DZ14" s="1">
        <v>2</v>
      </c>
      <c r="EA14" s="1">
        <v>4</v>
      </c>
      <c r="EB14" s="1">
        <v>6</v>
      </c>
      <c r="EC14" s="1">
        <v>11.127000000000001</v>
      </c>
      <c r="ED14" s="1">
        <v>13.385999999999999</v>
      </c>
      <c r="EE14" s="1">
        <v>19.603000000000002</v>
      </c>
      <c r="EF14" s="1">
        <v>2</v>
      </c>
      <c r="EG14" s="1">
        <v>5</v>
      </c>
      <c r="EH14" s="1">
        <v>5</v>
      </c>
      <c r="EI14" s="1">
        <v>13.577</v>
      </c>
      <c r="EJ14" s="1">
        <v>14.537000000000001</v>
      </c>
      <c r="EK14" s="1">
        <v>17.062999999999999</v>
      </c>
      <c r="EL14" s="1">
        <v>2</v>
      </c>
      <c r="EM14" s="1">
        <v>3</v>
      </c>
      <c r="EN14" s="1">
        <v>6</v>
      </c>
      <c r="EO14" s="1">
        <v>11.082000000000001</v>
      </c>
      <c r="EP14" s="1">
        <v>17.754999999999999</v>
      </c>
      <c r="EQ14" s="1">
        <v>22.806999999999999</v>
      </c>
      <c r="ER14" s="1">
        <v>2</v>
      </c>
      <c r="ES14" s="1">
        <v>1</v>
      </c>
      <c r="ET14" s="1">
        <v>6</v>
      </c>
      <c r="EU14" s="1">
        <v>9.1980000000000004</v>
      </c>
      <c r="EV14" s="1">
        <v>11.273</v>
      </c>
      <c r="EW14" s="1">
        <v>15.378</v>
      </c>
      <c r="EX14" s="1">
        <v>2</v>
      </c>
      <c r="EY14" s="1">
        <v>2</v>
      </c>
      <c r="EZ14" s="1">
        <v>6</v>
      </c>
      <c r="FA14" s="1">
        <v>4.851</v>
      </c>
      <c r="FB14" s="1">
        <v>7.8419999999999996</v>
      </c>
      <c r="FC14" s="1">
        <v>9.1199999999999992</v>
      </c>
      <c r="FD14" s="1">
        <v>2</v>
      </c>
      <c r="FE14" s="1">
        <v>5</v>
      </c>
      <c r="FF14" s="1">
        <v>6</v>
      </c>
      <c r="FG14" s="1">
        <v>6.444</v>
      </c>
      <c r="FH14" s="1">
        <v>9.0640000000000001</v>
      </c>
      <c r="FI14" s="1">
        <v>11.202999999999999</v>
      </c>
      <c r="FJ14" s="1">
        <v>2</v>
      </c>
      <c r="FK14" s="1">
        <v>1</v>
      </c>
      <c r="FL14" s="1">
        <v>6</v>
      </c>
      <c r="FM14" s="1">
        <v>4.6399999999999997</v>
      </c>
      <c r="FN14" s="1">
        <v>7.4089999999999998</v>
      </c>
      <c r="FO14" s="1">
        <v>10.406000000000001</v>
      </c>
      <c r="FP14" s="1">
        <v>2</v>
      </c>
      <c r="FQ14" s="1">
        <v>2</v>
      </c>
      <c r="FR14" s="1">
        <v>6</v>
      </c>
      <c r="FS14" s="1">
        <v>5.8550000000000004</v>
      </c>
      <c r="FT14" s="1">
        <v>7.5830000000000002</v>
      </c>
      <c r="FU14" s="1">
        <v>10.02</v>
      </c>
      <c r="FV14" s="1">
        <v>2</v>
      </c>
      <c r="FW14" s="1">
        <v>5</v>
      </c>
      <c r="FX14" s="1">
        <v>6</v>
      </c>
      <c r="FY14" s="1">
        <v>6.952</v>
      </c>
      <c r="FZ14" s="1">
        <v>8.6159999999999997</v>
      </c>
      <c r="GA14" s="1">
        <v>9.8870000000000005</v>
      </c>
      <c r="GB14" s="1">
        <v>2</v>
      </c>
      <c r="GC14" s="1">
        <v>1</v>
      </c>
      <c r="GD14" s="1">
        <v>6</v>
      </c>
      <c r="GE14" s="1">
        <v>6.2770000000000001</v>
      </c>
      <c r="GF14" s="1">
        <v>8.5939999999999994</v>
      </c>
      <c r="GG14" s="1">
        <v>9.7149999999999999</v>
      </c>
      <c r="GH14" s="1">
        <v>2</v>
      </c>
      <c r="GI14" s="1">
        <v>2</v>
      </c>
      <c r="GJ14" s="1">
        <v>6</v>
      </c>
      <c r="GK14" s="1">
        <v>6.57</v>
      </c>
      <c r="GL14" s="1">
        <v>8.7759999999999998</v>
      </c>
      <c r="GM14" s="1">
        <v>10.385</v>
      </c>
      <c r="GN14" s="1">
        <v>2</v>
      </c>
      <c r="GO14" s="1">
        <v>5</v>
      </c>
      <c r="GP14" s="1">
        <v>6</v>
      </c>
      <c r="GQ14" s="1">
        <v>4.742</v>
      </c>
      <c r="GR14" s="1">
        <v>6.7939999999999996</v>
      </c>
      <c r="GS14" s="1">
        <v>9.0380000000000003</v>
      </c>
      <c r="GT14" s="1">
        <v>2</v>
      </c>
      <c r="GU14" s="1">
        <v>1</v>
      </c>
      <c r="GV14" s="1">
        <v>6</v>
      </c>
      <c r="GW14" s="1">
        <v>5.5819999999999999</v>
      </c>
      <c r="GX14" s="1">
        <v>7.1619999999999999</v>
      </c>
      <c r="GY14" s="1">
        <v>9.4160000000000004</v>
      </c>
      <c r="GZ14" s="1">
        <v>2</v>
      </c>
      <c r="HA14" s="1">
        <v>2</v>
      </c>
      <c r="HB14" s="1">
        <v>6</v>
      </c>
      <c r="HC14" s="1">
        <v>5.8380000000000001</v>
      </c>
      <c r="HD14" s="1">
        <v>7.3440000000000003</v>
      </c>
      <c r="HE14" s="1">
        <v>10.378</v>
      </c>
      <c r="HF14" s="1">
        <v>2</v>
      </c>
      <c r="HG14" s="1">
        <v>1</v>
      </c>
      <c r="HH14" s="1">
        <v>5</v>
      </c>
      <c r="HI14" s="1">
        <v>11.25</v>
      </c>
      <c r="HJ14" s="1">
        <v>32.75</v>
      </c>
      <c r="HK14" s="1">
        <v>34.064</v>
      </c>
      <c r="HL14" s="1">
        <v>3</v>
      </c>
      <c r="HM14" s="4" t="s">
        <v>448</v>
      </c>
      <c r="HN14" s="4" t="s">
        <v>449</v>
      </c>
      <c r="HO14" s="4" t="s">
        <v>450</v>
      </c>
      <c r="HP14" s="4" t="s">
        <v>451</v>
      </c>
      <c r="HQ14" s="4" t="s">
        <v>452</v>
      </c>
      <c r="HR14" s="4" t="s">
        <v>453</v>
      </c>
      <c r="HS14" s="4" t="s">
        <v>454</v>
      </c>
      <c r="HT14" s="4" t="s">
        <v>455</v>
      </c>
      <c r="HU14" s="4" t="s">
        <v>456</v>
      </c>
      <c r="HV14" s="4" t="s">
        <v>456</v>
      </c>
      <c r="HW14" s="4" t="s">
        <v>457</v>
      </c>
      <c r="HX14" s="4" t="s">
        <v>458</v>
      </c>
      <c r="HY14" s="4" t="s">
        <v>312</v>
      </c>
      <c r="HZ14" s="4" t="s">
        <v>372</v>
      </c>
      <c r="IA14" s="4" t="s">
        <v>325</v>
      </c>
      <c r="IB14" s="4" t="s">
        <v>282</v>
      </c>
      <c r="IC14" s="4" t="s">
        <v>282</v>
      </c>
    </row>
    <row r="15" spans="1:237" x14ac:dyDescent="0.2">
      <c r="A15" s="3">
        <v>45745.033321759256</v>
      </c>
      <c r="B15" s="3">
        <v>45745.071493055555</v>
      </c>
      <c r="C15" s="1">
        <v>0</v>
      </c>
      <c r="D15" s="4" t="s">
        <v>459</v>
      </c>
      <c r="E15" s="1">
        <v>100</v>
      </c>
      <c r="F15" s="1">
        <v>3297</v>
      </c>
      <c r="G15" s="1">
        <v>1</v>
      </c>
      <c r="H15" s="3">
        <v>45745.071503402774</v>
      </c>
      <c r="I15" s="4" t="s">
        <v>460</v>
      </c>
      <c r="J15" s="4" t="s">
        <v>282</v>
      </c>
      <c r="K15" s="4" t="s">
        <v>282</v>
      </c>
      <c r="L15" s="4" t="s">
        <v>282</v>
      </c>
      <c r="M15" s="4" t="s">
        <v>282</v>
      </c>
      <c r="N15" s="1">
        <v>49.7851</v>
      </c>
      <c r="O15" s="1">
        <v>-97.211699999999993</v>
      </c>
      <c r="P15" s="4" t="s">
        <v>283</v>
      </c>
      <c r="Q15" s="4" t="s">
        <v>284</v>
      </c>
      <c r="R15" s="1">
        <v>1</v>
      </c>
      <c r="S15" s="1">
        <v>1</v>
      </c>
      <c r="T15" s="1">
        <v>1</v>
      </c>
      <c r="U15" s="1">
        <v>1</v>
      </c>
      <c r="V15" s="1">
        <v>1</v>
      </c>
      <c r="W15" s="1">
        <v>3</v>
      </c>
      <c r="X15" s="4" t="s">
        <v>312</v>
      </c>
      <c r="Y15" s="1">
        <v>5</v>
      </c>
      <c r="Z15" s="1">
        <v>2</v>
      </c>
      <c r="AA15" s="1">
        <v>1</v>
      </c>
      <c r="AB15" s="1">
        <v>1</v>
      </c>
      <c r="AC15" s="1">
        <v>1</v>
      </c>
      <c r="AD15" s="1">
        <v>6</v>
      </c>
      <c r="AE15" s="1">
        <v>33.768000000000001</v>
      </c>
      <c r="AF15" s="1">
        <v>40.880000000000003</v>
      </c>
      <c r="AG15" s="1">
        <v>41.473999999999997</v>
      </c>
      <c r="AH15" s="1">
        <v>5</v>
      </c>
      <c r="AI15" s="1">
        <v>2</v>
      </c>
      <c r="AJ15" s="1">
        <v>6</v>
      </c>
      <c r="AK15" s="1">
        <v>24.068000000000001</v>
      </c>
      <c r="AL15" s="1">
        <v>79.795000000000002</v>
      </c>
      <c r="AM15" s="1">
        <v>81.673000000000002</v>
      </c>
      <c r="AN15" s="1">
        <v>6</v>
      </c>
      <c r="AO15" s="1">
        <v>4</v>
      </c>
      <c r="AP15" s="1">
        <v>6</v>
      </c>
      <c r="AQ15" s="1">
        <v>30.753</v>
      </c>
      <c r="AR15" s="1">
        <v>68.215000000000003</v>
      </c>
      <c r="AS15" s="1">
        <v>69.656999999999996</v>
      </c>
      <c r="AT15" s="1">
        <v>9</v>
      </c>
      <c r="AU15" s="1">
        <v>4</v>
      </c>
      <c r="AV15" s="1">
        <v>6</v>
      </c>
      <c r="AW15" s="1">
        <v>29.817</v>
      </c>
      <c r="AX15" s="1">
        <v>38.860999999999997</v>
      </c>
      <c r="AY15" s="1">
        <v>43.228999999999999</v>
      </c>
      <c r="AZ15" s="1">
        <v>6</v>
      </c>
      <c r="BA15" s="1">
        <v>5</v>
      </c>
      <c r="BB15" s="1">
        <v>5</v>
      </c>
      <c r="BC15" s="1">
        <v>26.364000000000001</v>
      </c>
      <c r="BD15" s="1">
        <v>39.040999999999997</v>
      </c>
      <c r="BE15" s="1">
        <v>39.582000000000001</v>
      </c>
      <c r="BF15" s="1">
        <v>6</v>
      </c>
      <c r="BG15" s="1">
        <v>1</v>
      </c>
      <c r="BH15" s="1">
        <v>5</v>
      </c>
      <c r="BI15" s="1">
        <v>20.608000000000001</v>
      </c>
      <c r="BJ15" s="1">
        <v>24.271000000000001</v>
      </c>
      <c r="BK15" s="1">
        <v>25.081</v>
      </c>
      <c r="BL15" s="1">
        <v>5</v>
      </c>
      <c r="BM15" s="1">
        <v>4</v>
      </c>
      <c r="BN15" s="1">
        <v>7</v>
      </c>
      <c r="BO15" s="1">
        <v>21.323</v>
      </c>
      <c r="BP15" s="1">
        <v>28.605</v>
      </c>
      <c r="BQ15" s="1">
        <v>29.109000000000002</v>
      </c>
      <c r="BR15" s="1">
        <v>6</v>
      </c>
      <c r="BS15" s="1">
        <v>3</v>
      </c>
      <c r="BT15" s="1">
        <v>5</v>
      </c>
      <c r="BU15" s="1">
        <v>40.433999999999997</v>
      </c>
      <c r="BV15" s="1">
        <v>69.251000000000005</v>
      </c>
      <c r="BW15" s="1">
        <v>69.677000000000007</v>
      </c>
      <c r="BX15" s="1">
        <v>6</v>
      </c>
      <c r="BY15" s="1">
        <v>4</v>
      </c>
      <c r="BZ15" s="1">
        <v>6</v>
      </c>
      <c r="CA15" s="1">
        <v>17.21</v>
      </c>
      <c r="CB15" s="1">
        <v>38.122</v>
      </c>
      <c r="CC15" s="1">
        <v>38.700000000000003</v>
      </c>
      <c r="CD15" s="1">
        <v>5</v>
      </c>
      <c r="CE15" s="1">
        <v>3</v>
      </c>
      <c r="CF15" s="1">
        <v>6</v>
      </c>
      <c r="CG15" s="1">
        <v>33.174999999999997</v>
      </c>
      <c r="CH15" s="1">
        <v>36.817</v>
      </c>
      <c r="CI15" s="1">
        <v>41.293999999999997</v>
      </c>
      <c r="CJ15" s="1">
        <v>5</v>
      </c>
      <c r="CK15" s="1">
        <v>1</v>
      </c>
      <c r="CL15" s="1">
        <v>4</v>
      </c>
      <c r="CM15" s="1">
        <v>28.071000000000002</v>
      </c>
      <c r="CN15" s="1">
        <v>126.399</v>
      </c>
      <c r="CO15" s="1">
        <v>126.88</v>
      </c>
      <c r="CP15" s="1">
        <v>18</v>
      </c>
      <c r="CQ15" s="1">
        <v>2</v>
      </c>
      <c r="CR15" s="1">
        <v>6</v>
      </c>
      <c r="CS15" s="1">
        <v>15.523</v>
      </c>
      <c r="CT15" s="1">
        <v>25.077999999999999</v>
      </c>
      <c r="CU15" s="1">
        <v>25.689</v>
      </c>
      <c r="CV15" s="1">
        <v>7</v>
      </c>
      <c r="CW15" s="1">
        <v>3</v>
      </c>
      <c r="CX15" s="1">
        <v>5</v>
      </c>
      <c r="CY15" s="1">
        <v>23.536999999999999</v>
      </c>
      <c r="CZ15" s="1">
        <v>50.985999999999997</v>
      </c>
      <c r="DA15" s="1">
        <v>52.701000000000001</v>
      </c>
      <c r="DB15" s="1">
        <v>15</v>
      </c>
      <c r="DC15" s="1">
        <v>3</v>
      </c>
      <c r="DD15" s="1">
        <v>5</v>
      </c>
      <c r="DE15" s="1">
        <v>34.159999999999997</v>
      </c>
      <c r="DF15" s="1">
        <v>42.265999999999998</v>
      </c>
      <c r="DG15" s="1">
        <v>42.689</v>
      </c>
      <c r="DH15" s="1">
        <v>6</v>
      </c>
      <c r="DI15" s="1">
        <v>1</v>
      </c>
      <c r="DJ15" s="1">
        <v>6</v>
      </c>
      <c r="DK15" s="1">
        <v>43.338999999999999</v>
      </c>
      <c r="DL15" s="1">
        <v>48.206000000000003</v>
      </c>
      <c r="DM15" s="1">
        <v>48.680999999999997</v>
      </c>
      <c r="DN15" s="1">
        <v>4</v>
      </c>
      <c r="DO15" s="1">
        <v>3</v>
      </c>
      <c r="DP15" s="1">
        <v>5</v>
      </c>
      <c r="DQ15" s="1">
        <v>29.338999999999999</v>
      </c>
      <c r="DR15" s="1">
        <v>36.851999999999997</v>
      </c>
      <c r="DS15" s="1">
        <v>37.701000000000001</v>
      </c>
      <c r="DT15" s="1">
        <v>5</v>
      </c>
      <c r="DU15" s="1">
        <v>4</v>
      </c>
      <c r="DV15" s="1">
        <v>7</v>
      </c>
      <c r="DW15" s="1">
        <v>14.624000000000001</v>
      </c>
      <c r="DX15" s="1">
        <v>23.102</v>
      </c>
      <c r="DY15" s="1">
        <v>23.600999999999999</v>
      </c>
      <c r="DZ15" s="1">
        <v>6</v>
      </c>
      <c r="EA15" s="1">
        <v>1</v>
      </c>
      <c r="EB15" s="1">
        <v>6</v>
      </c>
      <c r="EC15" s="1">
        <v>33.707000000000001</v>
      </c>
      <c r="ED15" s="1">
        <v>56.545999999999999</v>
      </c>
      <c r="EE15" s="1">
        <v>58.454999999999998</v>
      </c>
      <c r="EF15" s="1">
        <v>11</v>
      </c>
      <c r="EG15" s="1">
        <v>3</v>
      </c>
      <c r="EH15" s="1">
        <v>5</v>
      </c>
      <c r="EI15" s="1">
        <v>18.643999999999998</v>
      </c>
      <c r="EJ15" s="1">
        <v>88.596000000000004</v>
      </c>
      <c r="EK15" s="1">
        <v>89.100999999999999</v>
      </c>
      <c r="EL15" s="1">
        <v>12</v>
      </c>
      <c r="EM15" s="1">
        <v>3</v>
      </c>
      <c r="EN15" s="1">
        <v>6</v>
      </c>
      <c r="EO15" s="1">
        <v>18.574000000000002</v>
      </c>
      <c r="EP15" s="1">
        <v>56.820999999999998</v>
      </c>
      <c r="EQ15" s="1">
        <v>57.201000000000001</v>
      </c>
      <c r="ER15" s="1">
        <v>13</v>
      </c>
      <c r="ES15" s="1">
        <v>1</v>
      </c>
      <c r="ET15" s="1">
        <v>7</v>
      </c>
      <c r="EU15" s="1">
        <v>27.036999999999999</v>
      </c>
      <c r="EV15" s="1">
        <v>34.979999999999997</v>
      </c>
      <c r="EW15" s="1">
        <v>37.296999999999997</v>
      </c>
      <c r="EX15" s="1">
        <v>6</v>
      </c>
      <c r="EY15" s="1">
        <v>5</v>
      </c>
      <c r="EZ15" s="1">
        <v>7</v>
      </c>
      <c r="FA15" s="1">
        <v>19.440999999999999</v>
      </c>
      <c r="FB15" s="1">
        <v>34.043999999999997</v>
      </c>
      <c r="FC15" s="1">
        <v>35.496000000000002</v>
      </c>
      <c r="FD15" s="1">
        <v>9</v>
      </c>
      <c r="FE15" s="1">
        <v>2</v>
      </c>
      <c r="FF15" s="1">
        <v>6</v>
      </c>
      <c r="FG15" s="1">
        <v>19.486000000000001</v>
      </c>
      <c r="FH15" s="1">
        <v>26.170999999999999</v>
      </c>
      <c r="FI15" s="1">
        <v>27.067</v>
      </c>
      <c r="FJ15" s="1">
        <v>5</v>
      </c>
      <c r="FK15" s="1">
        <v>1</v>
      </c>
      <c r="FL15" s="1">
        <v>7</v>
      </c>
      <c r="FM15" s="1">
        <v>21.722000000000001</v>
      </c>
      <c r="FN15" s="1">
        <v>33.098999999999997</v>
      </c>
      <c r="FO15" s="1">
        <v>33.524000000000001</v>
      </c>
      <c r="FP15" s="1">
        <v>6</v>
      </c>
      <c r="FQ15" s="1">
        <v>5</v>
      </c>
      <c r="FR15" s="1">
        <v>7</v>
      </c>
      <c r="FS15" s="1">
        <v>13.347</v>
      </c>
      <c r="FT15" s="1">
        <v>19.864000000000001</v>
      </c>
      <c r="FU15" s="1">
        <v>21.6</v>
      </c>
      <c r="FV15" s="1">
        <v>5</v>
      </c>
      <c r="FW15" s="1">
        <v>2</v>
      </c>
      <c r="FX15" s="1">
        <v>6</v>
      </c>
      <c r="FY15" s="1">
        <v>38.503999999999998</v>
      </c>
      <c r="FZ15" s="1">
        <v>68.938000000000002</v>
      </c>
      <c r="GA15" s="1">
        <v>70.665000000000006</v>
      </c>
      <c r="GB15" s="1">
        <v>9</v>
      </c>
      <c r="GC15" s="1">
        <v>1</v>
      </c>
      <c r="GD15" s="1">
        <v>7</v>
      </c>
      <c r="GE15" s="1">
        <v>25.925999999999998</v>
      </c>
      <c r="GF15" s="1">
        <v>57.362000000000002</v>
      </c>
      <c r="GG15" s="1">
        <v>62.277000000000001</v>
      </c>
      <c r="GH15" s="1">
        <v>10</v>
      </c>
      <c r="GI15" s="1">
        <v>2</v>
      </c>
      <c r="GJ15" s="1">
        <v>6</v>
      </c>
      <c r="GK15" s="1">
        <v>13.763</v>
      </c>
      <c r="GL15" s="1">
        <v>27.19</v>
      </c>
      <c r="GM15" s="1">
        <v>28.48</v>
      </c>
      <c r="GN15" s="1">
        <v>6</v>
      </c>
      <c r="GO15" s="1">
        <v>1</v>
      </c>
      <c r="GP15" s="1">
        <v>6</v>
      </c>
      <c r="GQ15" s="1">
        <v>22.131</v>
      </c>
      <c r="GR15" s="1">
        <v>26.076000000000001</v>
      </c>
      <c r="GS15" s="1">
        <v>27.86</v>
      </c>
      <c r="GT15" s="1">
        <v>5</v>
      </c>
      <c r="GU15" s="1">
        <v>1</v>
      </c>
      <c r="GV15" s="1">
        <v>7</v>
      </c>
      <c r="GW15" s="1">
        <v>12.38</v>
      </c>
      <c r="GX15" s="1">
        <v>37.78</v>
      </c>
      <c r="GY15" s="1">
        <v>38.865000000000002</v>
      </c>
      <c r="GZ15" s="1">
        <v>7</v>
      </c>
      <c r="HA15" s="1">
        <v>5</v>
      </c>
      <c r="HB15" s="1">
        <v>7</v>
      </c>
      <c r="HC15" s="1">
        <v>34.524999999999999</v>
      </c>
      <c r="HD15" s="1">
        <v>104.16200000000001</v>
      </c>
      <c r="HE15" s="1">
        <v>105.063</v>
      </c>
      <c r="HF15" s="1">
        <v>20</v>
      </c>
      <c r="HG15" s="1">
        <v>5</v>
      </c>
      <c r="HH15" s="1">
        <v>7</v>
      </c>
      <c r="HI15" s="1">
        <v>3.2229999999999999</v>
      </c>
      <c r="HJ15" s="1">
        <v>117.27200000000001</v>
      </c>
      <c r="HK15" s="1">
        <v>118.70399999999999</v>
      </c>
      <c r="HL15" s="1">
        <v>11</v>
      </c>
      <c r="HM15" s="4" t="s">
        <v>462</v>
      </c>
      <c r="HN15" s="4" t="s">
        <v>463</v>
      </c>
      <c r="HO15" s="4" t="s">
        <v>464</v>
      </c>
      <c r="HP15" s="4" t="s">
        <v>465</v>
      </c>
      <c r="HQ15" s="4" t="s">
        <v>466</v>
      </c>
      <c r="HR15" s="4" t="s">
        <v>467</v>
      </c>
      <c r="HS15" s="4" t="s">
        <v>468</v>
      </c>
      <c r="HT15" s="4" t="s">
        <v>469</v>
      </c>
      <c r="HU15" s="4" t="s">
        <v>470</v>
      </c>
      <c r="HV15" s="4" t="s">
        <v>471</v>
      </c>
      <c r="HW15" s="4" t="s">
        <v>282</v>
      </c>
      <c r="HX15" s="4" t="s">
        <v>282</v>
      </c>
      <c r="HY15" s="4" t="s">
        <v>312</v>
      </c>
      <c r="HZ15" s="4" t="s">
        <v>356</v>
      </c>
      <c r="IA15" s="4" t="s">
        <v>313</v>
      </c>
      <c r="IB15" s="4" t="s">
        <v>282</v>
      </c>
      <c r="IC15" s="4" t="s">
        <v>282</v>
      </c>
    </row>
    <row r="16" spans="1:237" x14ac:dyDescent="0.2">
      <c r="A16" s="3">
        <v>45745.500243055554</v>
      </c>
      <c r="B16" s="3">
        <v>45745.513483796298</v>
      </c>
      <c r="C16" s="1">
        <v>0</v>
      </c>
      <c r="D16" s="4" t="s">
        <v>472</v>
      </c>
      <c r="E16" s="1">
        <v>100</v>
      </c>
      <c r="F16" s="1">
        <v>1143</v>
      </c>
      <c r="G16" s="1">
        <v>1</v>
      </c>
      <c r="H16" s="3">
        <v>45745.513492106482</v>
      </c>
      <c r="I16" s="4" t="s">
        <v>473</v>
      </c>
      <c r="J16" s="4" t="s">
        <v>282</v>
      </c>
      <c r="K16" s="4" t="s">
        <v>282</v>
      </c>
      <c r="L16" s="4" t="s">
        <v>282</v>
      </c>
      <c r="M16" s="4" t="s">
        <v>282</v>
      </c>
      <c r="N16" s="1">
        <v>51.040599999999998</v>
      </c>
      <c r="O16" s="1">
        <v>-114.07640000000001</v>
      </c>
      <c r="P16" s="4" t="s">
        <v>283</v>
      </c>
      <c r="Q16" s="4" t="s">
        <v>284</v>
      </c>
      <c r="R16" s="1">
        <v>0.89999997615814209</v>
      </c>
      <c r="S16" s="1">
        <v>1</v>
      </c>
      <c r="T16" s="1">
        <v>1</v>
      </c>
      <c r="U16" s="1">
        <v>1</v>
      </c>
      <c r="V16" s="1">
        <v>1</v>
      </c>
      <c r="W16" s="1">
        <v>4</v>
      </c>
      <c r="X16" s="4" t="s">
        <v>312</v>
      </c>
      <c r="Y16" s="1">
        <v>5</v>
      </c>
      <c r="Z16" s="1">
        <v>1</v>
      </c>
      <c r="AA16" s="1">
        <v>1</v>
      </c>
      <c r="AB16" s="1">
        <v>1</v>
      </c>
      <c r="AC16" s="1">
        <v>1</v>
      </c>
      <c r="AD16" s="1">
        <v>7</v>
      </c>
      <c r="AE16" s="1">
        <v>1.1459999999999999</v>
      </c>
      <c r="AF16" s="1">
        <v>10.4</v>
      </c>
      <c r="AG16" s="1">
        <v>11.141</v>
      </c>
      <c r="AH16" s="1">
        <v>5</v>
      </c>
      <c r="AI16" s="1">
        <v>2</v>
      </c>
      <c r="AJ16" s="1">
        <v>7</v>
      </c>
      <c r="AK16" s="1">
        <v>1.097</v>
      </c>
      <c r="AL16" s="1">
        <v>15.827999999999999</v>
      </c>
      <c r="AM16" s="1">
        <v>16.744</v>
      </c>
      <c r="AN16" s="1">
        <v>7</v>
      </c>
      <c r="AO16" s="1">
        <v>2</v>
      </c>
      <c r="AP16" s="1">
        <v>7</v>
      </c>
      <c r="AQ16" s="1">
        <v>0.95199999999999996</v>
      </c>
      <c r="AR16" s="1">
        <v>18.831</v>
      </c>
      <c r="AS16" s="1">
        <v>19.670999999999999</v>
      </c>
      <c r="AT16" s="1">
        <v>7</v>
      </c>
      <c r="AU16" s="1">
        <v>5</v>
      </c>
      <c r="AV16" s="1">
        <v>6</v>
      </c>
      <c r="AW16" s="1">
        <v>1.38</v>
      </c>
      <c r="AX16" s="1">
        <v>16.077999999999999</v>
      </c>
      <c r="AY16" s="1">
        <v>16.742999999999999</v>
      </c>
      <c r="AZ16" s="1">
        <v>7</v>
      </c>
      <c r="BA16" s="1">
        <v>5</v>
      </c>
      <c r="BB16" s="1">
        <v>5</v>
      </c>
      <c r="BC16" s="1">
        <v>0.997</v>
      </c>
      <c r="BD16" s="1">
        <v>22.856000000000002</v>
      </c>
      <c r="BE16" s="1">
        <v>23.600999999999999</v>
      </c>
      <c r="BF16" s="1">
        <v>8</v>
      </c>
      <c r="BG16" s="1">
        <v>1</v>
      </c>
      <c r="BH16" s="1">
        <v>7</v>
      </c>
      <c r="BI16" s="1">
        <v>1.08</v>
      </c>
      <c r="BJ16" s="1">
        <v>15.957000000000001</v>
      </c>
      <c r="BK16" s="1">
        <v>17.088999999999999</v>
      </c>
      <c r="BL16" s="1">
        <v>9</v>
      </c>
      <c r="BM16" s="1">
        <v>2</v>
      </c>
      <c r="BN16" s="1">
        <v>7</v>
      </c>
      <c r="BO16" s="1">
        <v>0.98899999999999999</v>
      </c>
      <c r="BP16" s="1">
        <v>14.599</v>
      </c>
      <c r="BQ16" s="1">
        <v>15.101000000000001</v>
      </c>
      <c r="BR16" s="1">
        <v>6</v>
      </c>
      <c r="BS16" s="4" t="s">
        <v>282</v>
      </c>
      <c r="BT16" s="1">
        <v>4</v>
      </c>
      <c r="BU16" s="1">
        <v>1.0249999999999999</v>
      </c>
      <c r="BV16" s="1">
        <v>23.288</v>
      </c>
      <c r="BW16" s="1">
        <v>24.004999999999999</v>
      </c>
      <c r="BX16" s="1">
        <v>8</v>
      </c>
      <c r="BY16" s="4" t="s">
        <v>282</v>
      </c>
      <c r="BZ16" s="1">
        <v>4</v>
      </c>
      <c r="CA16" s="1">
        <v>11.086</v>
      </c>
      <c r="CB16" s="1">
        <v>83.67</v>
      </c>
      <c r="CC16" s="1">
        <v>84.44</v>
      </c>
      <c r="CD16" s="1">
        <v>16</v>
      </c>
      <c r="CE16" s="1">
        <v>3</v>
      </c>
      <c r="CF16" s="1">
        <v>5</v>
      </c>
      <c r="CG16" s="1">
        <v>1.2310000000000001</v>
      </c>
      <c r="CH16" s="1">
        <v>17.530999999999999</v>
      </c>
      <c r="CI16" s="1">
        <v>18.225999999999999</v>
      </c>
      <c r="CJ16" s="1">
        <v>6</v>
      </c>
      <c r="CK16" s="1">
        <v>1</v>
      </c>
      <c r="CL16" s="1">
        <v>6</v>
      </c>
      <c r="CM16" s="1">
        <v>7.1239999999999997</v>
      </c>
      <c r="CN16" s="1">
        <v>18.937999999999999</v>
      </c>
      <c r="CO16" s="1">
        <v>19.992000000000001</v>
      </c>
      <c r="CP16" s="1">
        <v>8</v>
      </c>
      <c r="CQ16" s="1">
        <v>2</v>
      </c>
      <c r="CR16" s="1">
        <v>7</v>
      </c>
      <c r="CS16" s="1">
        <v>0.98199999999999998</v>
      </c>
      <c r="CT16" s="1">
        <v>15.977</v>
      </c>
      <c r="CU16" s="1">
        <v>16.605</v>
      </c>
      <c r="CV16" s="1">
        <v>8</v>
      </c>
      <c r="CW16" s="4" t="s">
        <v>282</v>
      </c>
      <c r="CX16" s="1">
        <v>4</v>
      </c>
      <c r="CY16" s="1">
        <v>1.1100000000000001</v>
      </c>
      <c r="CZ16" s="1">
        <v>19.053000000000001</v>
      </c>
      <c r="DA16" s="1">
        <v>19.809000000000001</v>
      </c>
      <c r="DB16" s="1">
        <v>9</v>
      </c>
      <c r="DC16" s="1">
        <v>3</v>
      </c>
      <c r="DD16" s="1">
        <v>5</v>
      </c>
      <c r="DE16" s="1">
        <v>0.89400000000000002</v>
      </c>
      <c r="DF16" s="1">
        <v>13.597</v>
      </c>
      <c r="DG16" s="1">
        <v>14.162000000000001</v>
      </c>
      <c r="DH16" s="1">
        <v>10</v>
      </c>
      <c r="DI16" s="1">
        <v>3</v>
      </c>
      <c r="DJ16" s="1">
        <v>6</v>
      </c>
      <c r="DK16" s="1">
        <v>1.0660000000000001</v>
      </c>
      <c r="DL16" s="1">
        <v>14.882999999999999</v>
      </c>
      <c r="DM16" s="1">
        <v>15.614000000000001</v>
      </c>
      <c r="DN16" s="1">
        <v>8</v>
      </c>
      <c r="DO16" s="1">
        <v>1</v>
      </c>
      <c r="DP16" s="1">
        <v>5</v>
      </c>
      <c r="DQ16" s="1">
        <v>1.1919999999999999</v>
      </c>
      <c r="DR16" s="1">
        <v>26.077999999999999</v>
      </c>
      <c r="DS16" s="1">
        <v>26.940999999999999</v>
      </c>
      <c r="DT16" s="1">
        <v>9</v>
      </c>
      <c r="DU16" s="1">
        <v>2</v>
      </c>
      <c r="DV16" s="1">
        <v>7</v>
      </c>
      <c r="DW16" s="1">
        <v>0.95699999999999996</v>
      </c>
      <c r="DX16" s="1">
        <v>16.628</v>
      </c>
      <c r="DY16" s="1">
        <v>17.300999999999998</v>
      </c>
      <c r="DZ16" s="1">
        <v>9</v>
      </c>
      <c r="EA16" s="1">
        <v>4</v>
      </c>
      <c r="EB16" s="1">
        <v>4</v>
      </c>
      <c r="EC16" s="1">
        <v>3.3439999999999999</v>
      </c>
      <c r="ED16" s="1">
        <v>53.341999999999999</v>
      </c>
      <c r="EE16" s="1">
        <v>54.027000000000001</v>
      </c>
      <c r="EF16" s="1">
        <v>11</v>
      </c>
      <c r="EG16" s="1">
        <v>5</v>
      </c>
      <c r="EH16" s="1">
        <v>5</v>
      </c>
      <c r="EI16" s="1">
        <v>1.19</v>
      </c>
      <c r="EJ16" s="1">
        <v>16.82</v>
      </c>
      <c r="EK16" s="1">
        <v>17.654</v>
      </c>
      <c r="EL16" s="1">
        <v>7</v>
      </c>
      <c r="EM16" s="1">
        <v>3</v>
      </c>
      <c r="EN16" s="1">
        <v>7</v>
      </c>
      <c r="EO16" s="1">
        <v>1.1339999999999999</v>
      </c>
      <c r="EP16" s="1">
        <v>12.429</v>
      </c>
      <c r="EQ16" s="1">
        <v>13.335000000000001</v>
      </c>
      <c r="ER16" s="1">
        <v>6</v>
      </c>
      <c r="ES16" s="1">
        <v>1</v>
      </c>
      <c r="ET16" s="1">
        <v>7</v>
      </c>
      <c r="EU16" s="1">
        <v>1.052</v>
      </c>
      <c r="EV16" s="1">
        <v>12.566000000000001</v>
      </c>
      <c r="EW16" s="1">
        <v>13.08</v>
      </c>
      <c r="EX16" s="1">
        <v>6</v>
      </c>
      <c r="EY16" s="1">
        <v>2</v>
      </c>
      <c r="EZ16" s="1">
        <v>7</v>
      </c>
      <c r="FA16" s="1">
        <v>0.97499999999999998</v>
      </c>
      <c r="FB16" s="1">
        <v>10.669</v>
      </c>
      <c r="FC16" s="1">
        <v>11.098000000000001</v>
      </c>
      <c r="FD16" s="1">
        <v>7</v>
      </c>
      <c r="FE16" s="1">
        <v>5</v>
      </c>
      <c r="FF16" s="1">
        <v>7</v>
      </c>
      <c r="FG16" s="1">
        <v>2.5230000000000001</v>
      </c>
      <c r="FH16" s="1">
        <v>10.391</v>
      </c>
      <c r="FI16" s="1">
        <v>11.169</v>
      </c>
      <c r="FJ16" s="1">
        <v>10</v>
      </c>
      <c r="FK16" s="1">
        <v>1</v>
      </c>
      <c r="FL16" s="1">
        <v>7</v>
      </c>
      <c r="FM16" s="1">
        <v>1.1240000000000001</v>
      </c>
      <c r="FN16" s="1">
        <v>11.393000000000001</v>
      </c>
      <c r="FO16" s="1">
        <v>12.101000000000001</v>
      </c>
      <c r="FP16" s="1">
        <v>8</v>
      </c>
      <c r="FQ16" s="1">
        <v>2</v>
      </c>
      <c r="FR16" s="1">
        <v>7</v>
      </c>
      <c r="FS16" s="1">
        <v>0.999</v>
      </c>
      <c r="FT16" s="1">
        <v>13.685</v>
      </c>
      <c r="FU16" s="1">
        <v>14.180999999999999</v>
      </c>
      <c r="FV16" s="1">
        <v>7</v>
      </c>
      <c r="FW16" s="1">
        <v>5</v>
      </c>
      <c r="FX16" s="1">
        <v>7</v>
      </c>
      <c r="FY16" s="1">
        <v>1.016</v>
      </c>
      <c r="FZ16" s="1">
        <v>13.159000000000001</v>
      </c>
      <c r="GA16" s="1">
        <v>13.701000000000001</v>
      </c>
      <c r="GB16" s="1">
        <v>7</v>
      </c>
      <c r="GC16" s="1">
        <v>1</v>
      </c>
      <c r="GD16" s="1">
        <v>7</v>
      </c>
      <c r="GE16" s="1">
        <v>0.96899999999999997</v>
      </c>
      <c r="GF16" s="1">
        <v>9.6470000000000002</v>
      </c>
      <c r="GG16" s="1">
        <v>10.243</v>
      </c>
      <c r="GH16" s="1">
        <v>8</v>
      </c>
      <c r="GI16" s="1">
        <v>2</v>
      </c>
      <c r="GJ16" s="1">
        <v>7</v>
      </c>
      <c r="GK16" s="1">
        <v>1.377</v>
      </c>
      <c r="GL16" s="1">
        <v>16.105</v>
      </c>
      <c r="GM16" s="1">
        <v>16.881</v>
      </c>
      <c r="GN16" s="1">
        <v>9</v>
      </c>
      <c r="GO16" s="1">
        <v>5</v>
      </c>
      <c r="GP16" s="1">
        <v>7</v>
      </c>
      <c r="GQ16" s="1">
        <v>5.0140000000000002</v>
      </c>
      <c r="GR16" s="1">
        <v>16.405000000000001</v>
      </c>
      <c r="GS16" s="1">
        <v>17.161000000000001</v>
      </c>
      <c r="GT16" s="1">
        <v>6</v>
      </c>
      <c r="GU16" s="1">
        <v>1</v>
      </c>
      <c r="GV16" s="1">
        <v>7</v>
      </c>
      <c r="GW16" s="1">
        <v>0.86599999999999999</v>
      </c>
      <c r="GX16" s="1">
        <v>11.212</v>
      </c>
      <c r="GY16" s="1">
        <v>11.678000000000001</v>
      </c>
      <c r="GZ16" s="1">
        <v>8</v>
      </c>
      <c r="HA16" s="1">
        <v>2</v>
      </c>
      <c r="HB16" s="1">
        <v>7</v>
      </c>
      <c r="HC16" s="1">
        <v>0.94199999999999995</v>
      </c>
      <c r="HD16" s="1">
        <v>10.266</v>
      </c>
      <c r="HE16" s="1">
        <v>10.601000000000001</v>
      </c>
      <c r="HF16" s="1">
        <v>9</v>
      </c>
      <c r="HG16" s="1">
        <v>2</v>
      </c>
      <c r="HH16" s="1">
        <v>6</v>
      </c>
      <c r="HI16" s="1">
        <v>0.90300000000000002</v>
      </c>
      <c r="HJ16" s="1">
        <v>14.731999999999999</v>
      </c>
      <c r="HK16" s="1">
        <v>15.260999999999999</v>
      </c>
      <c r="HL16" s="1">
        <v>9</v>
      </c>
      <c r="HM16" s="4" t="s">
        <v>474</v>
      </c>
      <c r="HN16" s="4" t="s">
        <v>475</v>
      </c>
      <c r="HO16" s="4" t="s">
        <v>476</v>
      </c>
      <c r="HP16" s="4" t="s">
        <v>477</v>
      </c>
      <c r="HQ16" s="4" t="s">
        <v>478</v>
      </c>
      <c r="HR16" s="4" t="s">
        <v>479</v>
      </c>
      <c r="HS16" s="4" t="s">
        <v>480</v>
      </c>
      <c r="HT16" s="4" t="s">
        <v>481</v>
      </c>
      <c r="HU16" s="4" t="s">
        <v>482</v>
      </c>
      <c r="HV16" s="4" t="s">
        <v>483</v>
      </c>
      <c r="HW16" s="4" t="s">
        <v>282</v>
      </c>
      <c r="HX16" s="4" t="s">
        <v>282</v>
      </c>
      <c r="HY16" s="4" t="s">
        <v>312</v>
      </c>
      <c r="HZ16" s="4" t="s">
        <v>372</v>
      </c>
      <c r="IA16" s="4" t="s">
        <v>325</v>
      </c>
      <c r="IB16" s="4" t="s">
        <v>282</v>
      </c>
      <c r="IC16" s="4" t="s">
        <v>282</v>
      </c>
    </row>
    <row r="17" spans="1:237" x14ac:dyDescent="0.2">
      <c r="A17" s="3">
        <v>45745.773414351854</v>
      </c>
      <c r="B17" s="3">
        <v>45745.788761574076</v>
      </c>
      <c r="C17" s="1">
        <v>0</v>
      </c>
      <c r="D17" s="4" t="s">
        <v>484</v>
      </c>
      <c r="E17" s="1">
        <v>100</v>
      </c>
      <c r="F17" s="1">
        <v>1325</v>
      </c>
      <c r="G17" s="1">
        <v>1</v>
      </c>
      <c r="H17" s="3">
        <v>45745.788773217595</v>
      </c>
      <c r="I17" s="4" t="s">
        <v>485</v>
      </c>
      <c r="J17" s="4" t="s">
        <v>282</v>
      </c>
      <c r="K17" s="4" t="s">
        <v>282</v>
      </c>
      <c r="L17" s="4" t="s">
        <v>282</v>
      </c>
      <c r="M17" s="4" t="s">
        <v>282</v>
      </c>
      <c r="N17" s="1">
        <v>-37.835099999999997</v>
      </c>
      <c r="O17" s="1">
        <v>145.1285</v>
      </c>
      <c r="P17" s="4" t="s">
        <v>283</v>
      </c>
      <c r="Q17" s="4" t="s">
        <v>284</v>
      </c>
      <c r="R17" s="1">
        <v>0.69999998807907104</v>
      </c>
      <c r="S17" s="1">
        <v>1</v>
      </c>
      <c r="T17" s="1">
        <v>1</v>
      </c>
      <c r="U17" s="1">
        <v>1</v>
      </c>
      <c r="V17" s="1">
        <v>1</v>
      </c>
      <c r="W17" s="1">
        <v>4</v>
      </c>
      <c r="X17" s="4" t="s">
        <v>1283</v>
      </c>
      <c r="Y17" s="1">
        <v>5</v>
      </c>
      <c r="Z17" s="1">
        <v>1</v>
      </c>
      <c r="AA17" s="1">
        <v>3</v>
      </c>
      <c r="AB17" s="1">
        <v>2</v>
      </c>
      <c r="AC17" s="1">
        <v>1</v>
      </c>
      <c r="AD17" s="1">
        <v>6</v>
      </c>
      <c r="AE17" s="1">
        <v>8.7889999999999997</v>
      </c>
      <c r="AF17" s="1">
        <v>9.9559999999999995</v>
      </c>
      <c r="AG17" s="1">
        <v>10.504</v>
      </c>
      <c r="AH17" s="1">
        <v>2</v>
      </c>
      <c r="AI17" s="1">
        <v>2</v>
      </c>
      <c r="AJ17" s="1">
        <v>7</v>
      </c>
      <c r="AK17" s="1">
        <v>4.0149999999999997</v>
      </c>
      <c r="AL17" s="1">
        <v>5.0540000000000003</v>
      </c>
      <c r="AM17" s="1">
        <v>8.7119999999999997</v>
      </c>
      <c r="AN17" s="1">
        <v>2</v>
      </c>
      <c r="AO17" s="1">
        <v>2</v>
      </c>
      <c r="AP17" s="1">
        <v>6</v>
      </c>
      <c r="AQ17" s="1">
        <v>6.1369999999999996</v>
      </c>
      <c r="AR17" s="1">
        <v>9.0980000000000008</v>
      </c>
      <c r="AS17" s="1">
        <v>9.5540000000000003</v>
      </c>
      <c r="AT17" s="1">
        <v>4</v>
      </c>
      <c r="AU17" s="1">
        <v>5</v>
      </c>
      <c r="AV17" s="1">
        <v>6</v>
      </c>
      <c r="AW17" s="1">
        <v>4.8140000000000001</v>
      </c>
      <c r="AX17" s="1">
        <v>6.3019999999999996</v>
      </c>
      <c r="AY17" s="1">
        <v>8.7870000000000008</v>
      </c>
      <c r="AZ17" s="1">
        <v>3</v>
      </c>
      <c r="BA17" s="1">
        <v>5</v>
      </c>
      <c r="BB17" s="1">
        <v>7</v>
      </c>
      <c r="BC17" s="1">
        <v>11.305999999999999</v>
      </c>
      <c r="BD17" s="1">
        <v>12.901</v>
      </c>
      <c r="BE17" s="1">
        <v>13.483000000000001</v>
      </c>
      <c r="BF17" s="1">
        <v>3</v>
      </c>
      <c r="BG17" s="1">
        <v>1</v>
      </c>
      <c r="BH17" s="1">
        <v>7</v>
      </c>
      <c r="BI17" s="1">
        <v>6.6120000000000001</v>
      </c>
      <c r="BJ17" s="1">
        <v>9.6029999999999998</v>
      </c>
      <c r="BK17" s="1">
        <v>10.298</v>
      </c>
      <c r="BL17" s="1">
        <v>4</v>
      </c>
      <c r="BM17" s="1">
        <v>2</v>
      </c>
      <c r="BN17" s="1">
        <v>6</v>
      </c>
      <c r="BO17" s="1">
        <v>5.9180000000000001</v>
      </c>
      <c r="BP17" s="1">
        <v>7.3120000000000003</v>
      </c>
      <c r="BQ17" s="1">
        <v>8.6769999999999996</v>
      </c>
      <c r="BR17" s="1">
        <v>3</v>
      </c>
      <c r="BS17" s="1">
        <v>2</v>
      </c>
      <c r="BT17" s="1">
        <v>5</v>
      </c>
      <c r="BU17" s="1">
        <v>15.076000000000001</v>
      </c>
      <c r="BV17" s="1">
        <v>17.504000000000001</v>
      </c>
      <c r="BW17" s="1">
        <v>17.786000000000001</v>
      </c>
      <c r="BX17" s="1">
        <v>3</v>
      </c>
      <c r="BY17" s="1">
        <v>5</v>
      </c>
      <c r="BZ17" s="1">
        <v>6</v>
      </c>
      <c r="CA17" s="1">
        <v>5.5940000000000003</v>
      </c>
      <c r="CB17" s="1">
        <v>7.806</v>
      </c>
      <c r="CC17" s="1">
        <v>8.641</v>
      </c>
      <c r="CD17" s="1">
        <v>6</v>
      </c>
      <c r="CE17" s="1">
        <v>3</v>
      </c>
      <c r="CF17" s="1">
        <v>6</v>
      </c>
      <c r="CG17" s="1">
        <v>5.492</v>
      </c>
      <c r="CH17" s="1">
        <v>6.8920000000000003</v>
      </c>
      <c r="CI17" s="1">
        <v>8.7639999999999993</v>
      </c>
      <c r="CJ17" s="1">
        <v>3</v>
      </c>
      <c r="CK17" s="1">
        <v>1</v>
      </c>
      <c r="CL17" s="1">
        <v>7</v>
      </c>
      <c r="CM17" s="1">
        <v>10.3</v>
      </c>
      <c r="CN17" s="1">
        <v>12.831</v>
      </c>
      <c r="CO17" s="1">
        <v>13.385</v>
      </c>
      <c r="CP17" s="1">
        <v>3</v>
      </c>
      <c r="CQ17" s="1">
        <v>2</v>
      </c>
      <c r="CR17" s="1">
        <v>5</v>
      </c>
      <c r="CS17" s="1">
        <v>23.111999999999998</v>
      </c>
      <c r="CT17" s="1">
        <v>282.48899999999998</v>
      </c>
      <c r="CU17" s="1">
        <v>283.49700000000001</v>
      </c>
      <c r="CV17" s="1">
        <v>2</v>
      </c>
      <c r="CW17" s="1">
        <v>2</v>
      </c>
      <c r="CX17" s="1">
        <v>7</v>
      </c>
      <c r="CY17" s="1">
        <v>4.1369999999999996</v>
      </c>
      <c r="CZ17" s="1">
        <v>5.8970000000000002</v>
      </c>
      <c r="DA17" s="1">
        <v>8.65</v>
      </c>
      <c r="DB17" s="1">
        <v>2</v>
      </c>
      <c r="DC17" s="1">
        <v>5</v>
      </c>
      <c r="DD17" s="1">
        <v>6</v>
      </c>
      <c r="DE17" s="1">
        <v>6.2779999999999996</v>
      </c>
      <c r="DF17" s="1">
        <v>7.4690000000000003</v>
      </c>
      <c r="DG17" s="1">
        <v>8.5749999999999993</v>
      </c>
      <c r="DH17" s="1">
        <v>2</v>
      </c>
      <c r="DI17" s="1">
        <v>3</v>
      </c>
      <c r="DJ17" s="1">
        <v>7</v>
      </c>
      <c r="DK17" s="1">
        <v>100.30500000000001</v>
      </c>
      <c r="DL17" s="1">
        <v>102.44199999999999</v>
      </c>
      <c r="DM17" s="1">
        <v>103.28</v>
      </c>
      <c r="DN17" s="1">
        <v>3</v>
      </c>
      <c r="DO17" s="1">
        <v>1</v>
      </c>
      <c r="DP17" s="1">
        <v>7</v>
      </c>
      <c r="DQ17" s="1">
        <v>8.6609999999999996</v>
      </c>
      <c r="DR17" s="1">
        <v>10.090999999999999</v>
      </c>
      <c r="DS17" s="1">
        <v>10.445</v>
      </c>
      <c r="DT17" s="1">
        <v>3</v>
      </c>
      <c r="DU17" s="1">
        <v>2</v>
      </c>
      <c r="DV17" s="1">
        <v>7</v>
      </c>
      <c r="DW17" s="1">
        <v>8.702</v>
      </c>
      <c r="DX17" s="1">
        <v>10.135</v>
      </c>
      <c r="DY17" s="1">
        <v>10.666</v>
      </c>
      <c r="DZ17" s="1">
        <v>3</v>
      </c>
      <c r="EA17" s="1">
        <v>4</v>
      </c>
      <c r="EB17" s="1">
        <v>5</v>
      </c>
      <c r="EC17" s="1">
        <v>6.4749999999999996</v>
      </c>
      <c r="ED17" s="1">
        <v>8.5449999999999999</v>
      </c>
      <c r="EE17" s="1">
        <v>9.1050000000000004</v>
      </c>
      <c r="EF17" s="1">
        <v>3</v>
      </c>
      <c r="EG17" s="1">
        <v>5</v>
      </c>
      <c r="EH17" s="1">
        <v>7</v>
      </c>
      <c r="EI17" s="1">
        <v>6.6740000000000004</v>
      </c>
      <c r="EJ17" s="1">
        <v>7.89</v>
      </c>
      <c r="EK17" s="1">
        <v>8.6999999999999993</v>
      </c>
      <c r="EL17" s="1">
        <v>2</v>
      </c>
      <c r="EM17" s="1">
        <v>3</v>
      </c>
      <c r="EN17" s="1">
        <v>7</v>
      </c>
      <c r="EO17" s="1">
        <v>7.492</v>
      </c>
      <c r="EP17" s="1">
        <v>9.0969999999999995</v>
      </c>
      <c r="EQ17" s="1">
        <v>9.5630000000000006</v>
      </c>
      <c r="ER17" s="1">
        <v>2</v>
      </c>
      <c r="ES17" s="1">
        <v>1</v>
      </c>
      <c r="ET17" s="1">
        <v>5</v>
      </c>
      <c r="EU17" s="1">
        <v>8.0559999999999992</v>
      </c>
      <c r="EV17" s="1">
        <v>12.831</v>
      </c>
      <c r="EW17" s="1">
        <v>13.531000000000001</v>
      </c>
      <c r="EX17" s="1">
        <v>5</v>
      </c>
      <c r="EY17" s="1">
        <v>2</v>
      </c>
      <c r="EZ17" s="1">
        <v>7</v>
      </c>
      <c r="FA17" s="1">
        <v>4.7249999999999996</v>
      </c>
      <c r="FB17" s="1">
        <v>5.98</v>
      </c>
      <c r="FC17" s="1">
        <v>9.3819999999999997</v>
      </c>
      <c r="FD17" s="1">
        <v>2</v>
      </c>
      <c r="FE17" s="1">
        <v>5</v>
      </c>
      <c r="FF17" s="1">
        <v>7</v>
      </c>
      <c r="FG17" s="1">
        <v>10.599</v>
      </c>
      <c r="FH17" s="1">
        <v>15.473000000000001</v>
      </c>
      <c r="FI17" s="1">
        <v>16.378</v>
      </c>
      <c r="FJ17" s="1">
        <v>4</v>
      </c>
      <c r="FK17" s="1">
        <v>1</v>
      </c>
      <c r="FL17" s="1">
        <v>7</v>
      </c>
      <c r="FM17" s="1">
        <v>6.4729999999999999</v>
      </c>
      <c r="FN17" s="1">
        <v>7.7060000000000004</v>
      </c>
      <c r="FO17" s="1">
        <v>8.8840000000000003</v>
      </c>
      <c r="FP17" s="1">
        <v>2</v>
      </c>
      <c r="FQ17" s="1">
        <v>2</v>
      </c>
      <c r="FR17" s="1">
        <v>7</v>
      </c>
      <c r="FS17" s="1">
        <v>6.484</v>
      </c>
      <c r="FT17" s="1">
        <v>9.7390000000000008</v>
      </c>
      <c r="FU17" s="1">
        <v>10.472</v>
      </c>
      <c r="FV17" s="1">
        <v>2</v>
      </c>
      <c r="FW17" s="1">
        <v>5</v>
      </c>
      <c r="FX17" s="1">
        <v>6</v>
      </c>
      <c r="FY17" s="1">
        <v>5.7270000000000003</v>
      </c>
      <c r="FZ17" s="1">
        <v>7.8689999999999998</v>
      </c>
      <c r="GA17" s="1">
        <v>9.5519999999999996</v>
      </c>
      <c r="GB17" s="1">
        <v>2</v>
      </c>
      <c r="GC17" s="1">
        <v>1</v>
      </c>
      <c r="GD17" s="1">
        <v>7</v>
      </c>
      <c r="GE17" s="1">
        <v>6.07</v>
      </c>
      <c r="GF17" s="1">
        <v>7.516</v>
      </c>
      <c r="GG17" s="1">
        <v>8.6959999999999997</v>
      </c>
      <c r="GH17" s="1">
        <v>2</v>
      </c>
      <c r="GI17" s="1">
        <v>2</v>
      </c>
      <c r="GJ17" s="1">
        <v>7</v>
      </c>
      <c r="GK17" s="1">
        <v>5.58</v>
      </c>
      <c r="GL17" s="1">
        <v>7.0750000000000002</v>
      </c>
      <c r="GM17" s="1">
        <v>8.6820000000000004</v>
      </c>
      <c r="GN17" s="1">
        <v>2</v>
      </c>
      <c r="GO17" s="1">
        <v>5</v>
      </c>
      <c r="GP17" s="1">
        <v>5</v>
      </c>
      <c r="GQ17" s="1">
        <v>18.050999999999998</v>
      </c>
      <c r="GR17" s="1">
        <v>19.652000000000001</v>
      </c>
      <c r="GS17" s="1">
        <v>20.346</v>
      </c>
      <c r="GT17" s="1">
        <v>2</v>
      </c>
      <c r="GU17" s="1">
        <v>1</v>
      </c>
      <c r="GV17" s="1">
        <v>6</v>
      </c>
      <c r="GW17" s="1">
        <v>18.302</v>
      </c>
      <c r="GX17" s="1">
        <v>19.263999999999999</v>
      </c>
      <c r="GY17" s="1">
        <v>19.771999999999998</v>
      </c>
      <c r="GZ17" s="1">
        <v>2</v>
      </c>
      <c r="HA17" s="1">
        <v>2</v>
      </c>
      <c r="HB17" s="1">
        <v>7</v>
      </c>
      <c r="HC17" s="1">
        <v>5.2039999999999997</v>
      </c>
      <c r="HD17" s="1">
        <v>6.2839999999999998</v>
      </c>
      <c r="HE17" s="1">
        <v>8.6999999999999993</v>
      </c>
      <c r="HF17" s="1">
        <v>2</v>
      </c>
      <c r="HG17" s="1">
        <v>5</v>
      </c>
      <c r="HH17" s="1">
        <v>4</v>
      </c>
      <c r="HI17" s="1">
        <v>331.01499999999999</v>
      </c>
      <c r="HJ17" s="1">
        <v>333.05</v>
      </c>
      <c r="HK17" s="1">
        <v>334.22</v>
      </c>
      <c r="HL17" s="1">
        <v>3</v>
      </c>
      <c r="HM17" s="4" t="s">
        <v>487</v>
      </c>
      <c r="HN17" s="4" t="s">
        <v>488</v>
      </c>
      <c r="HO17" s="4" t="s">
        <v>489</v>
      </c>
      <c r="HP17" s="4" t="s">
        <v>489</v>
      </c>
      <c r="HQ17" s="4" t="s">
        <v>490</v>
      </c>
      <c r="HR17" s="4" t="s">
        <v>490</v>
      </c>
      <c r="HS17" s="4" t="s">
        <v>491</v>
      </c>
      <c r="HT17" s="4" t="s">
        <v>491</v>
      </c>
      <c r="HU17" s="4" t="s">
        <v>492</v>
      </c>
      <c r="HV17" s="4" t="s">
        <v>492</v>
      </c>
      <c r="HW17" s="4" t="s">
        <v>282</v>
      </c>
      <c r="HX17" s="4" t="s">
        <v>493</v>
      </c>
      <c r="HY17" s="4" t="s">
        <v>312</v>
      </c>
      <c r="HZ17" s="4" t="s">
        <v>356</v>
      </c>
      <c r="IA17" s="4" t="s">
        <v>313</v>
      </c>
      <c r="IB17" s="4" t="s">
        <v>282</v>
      </c>
      <c r="IC17" s="4" t="s">
        <v>282</v>
      </c>
    </row>
    <row r="18" spans="1:237" x14ac:dyDescent="0.2">
      <c r="A18" s="3">
        <v>45739.228414351855</v>
      </c>
      <c r="B18" s="3">
        <v>45739.23027777778</v>
      </c>
      <c r="C18" s="1">
        <v>0</v>
      </c>
      <c r="D18" s="4" t="s">
        <v>494</v>
      </c>
      <c r="E18" s="1">
        <v>17</v>
      </c>
      <c r="F18" s="1">
        <v>160</v>
      </c>
      <c r="G18" s="1">
        <v>0</v>
      </c>
      <c r="H18" s="3">
        <v>45746.23033259259</v>
      </c>
      <c r="I18" s="4" t="s">
        <v>496</v>
      </c>
      <c r="J18" s="4" t="s">
        <v>282</v>
      </c>
      <c r="K18" s="4" t="s">
        <v>282</v>
      </c>
      <c r="L18" s="4" t="s">
        <v>282</v>
      </c>
      <c r="M18" s="4" t="s">
        <v>282</v>
      </c>
      <c r="N18" s="1">
        <v>51.045499999999997</v>
      </c>
      <c r="O18" s="1">
        <v>-114.19880000000001</v>
      </c>
      <c r="P18" s="4" t="s">
        <v>283</v>
      </c>
      <c r="Q18" s="4" t="s">
        <v>284</v>
      </c>
      <c r="R18" s="1">
        <v>0.69999998807907104</v>
      </c>
      <c r="S18" s="1">
        <v>1</v>
      </c>
      <c r="T18" s="1">
        <v>1</v>
      </c>
      <c r="U18" s="1">
        <v>1</v>
      </c>
      <c r="V18" s="1">
        <v>1</v>
      </c>
      <c r="W18" s="1">
        <v>12</v>
      </c>
      <c r="X18" s="4" t="s">
        <v>312</v>
      </c>
      <c r="Y18" s="1">
        <v>3</v>
      </c>
      <c r="Z18" s="1">
        <v>3</v>
      </c>
      <c r="AA18" s="1">
        <v>3</v>
      </c>
      <c r="AB18" s="1">
        <v>3</v>
      </c>
      <c r="AC18" s="4" t="s">
        <v>282</v>
      </c>
      <c r="AD18" s="4" t="s">
        <v>282</v>
      </c>
      <c r="AE18" s="4" t="s">
        <v>282</v>
      </c>
      <c r="AF18" s="4" t="s">
        <v>282</v>
      </c>
      <c r="AG18" s="4" t="s">
        <v>282</v>
      </c>
      <c r="AH18" s="4" t="s">
        <v>282</v>
      </c>
      <c r="AI18" s="4" t="s">
        <v>282</v>
      </c>
      <c r="AJ18" s="4" t="s">
        <v>282</v>
      </c>
      <c r="AK18" s="4" t="s">
        <v>282</v>
      </c>
      <c r="AL18" s="4" t="s">
        <v>282</v>
      </c>
      <c r="AM18" s="4" t="s">
        <v>282</v>
      </c>
      <c r="AN18" s="4" t="s">
        <v>282</v>
      </c>
      <c r="AO18" s="4" t="s">
        <v>282</v>
      </c>
      <c r="AP18" s="4" t="s">
        <v>282</v>
      </c>
      <c r="AQ18" s="4" t="s">
        <v>282</v>
      </c>
      <c r="AR18" s="4" t="s">
        <v>282</v>
      </c>
      <c r="AS18" s="4" t="s">
        <v>282</v>
      </c>
      <c r="AT18" s="4" t="s">
        <v>282</v>
      </c>
      <c r="AU18" s="4" t="s">
        <v>282</v>
      </c>
      <c r="AV18" s="4" t="s">
        <v>282</v>
      </c>
      <c r="AW18" s="4" t="s">
        <v>282</v>
      </c>
      <c r="AX18" s="4" t="s">
        <v>282</v>
      </c>
      <c r="AY18" s="4" t="s">
        <v>282</v>
      </c>
      <c r="AZ18" s="4" t="s">
        <v>282</v>
      </c>
      <c r="BA18" s="4" t="s">
        <v>282</v>
      </c>
      <c r="BB18" s="4" t="s">
        <v>282</v>
      </c>
      <c r="BC18" s="4" t="s">
        <v>282</v>
      </c>
      <c r="BD18" s="4" t="s">
        <v>282</v>
      </c>
      <c r="BE18" s="4" t="s">
        <v>282</v>
      </c>
      <c r="BF18" s="4" t="s">
        <v>282</v>
      </c>
      <c r="BG18" s="4" t="s">
        <v>282</v>
      </c>
      <c r="BH18" s="4" t="s">
        <v>282</v>
      </c>
      <c r="BI18" s="4" t="s">
        <v>282</v>
      </c>
      <c r="BJ18" s="4" t="s">
        <v>282</v>
      </c>
      <c r="BK18" s="4" t="s">
        <v>282</v>
      </c>
      <c r="BL18" s="4" t="s">
        <v>282</v>
      </c>
      <c r="BM18" s="4" t="s">
        <v>282</v>
      </c>
      <c r="BN18" s="4" t="s">
        <v>282</v>
      </c>
      <c r="BO18" s="4" t="s">
        <v>282</v>
      </c>
      <c r="BP18" s="4" t="s">
        <v>282</v>
      </c>
      <c r="BQ18" s="4" t="s">
        <v>282</v>
      </c>
      <c r="BR18" s="4" t="s">
        <v>282</v>
      </c>
      <c r="BS18" s="4" t="s">
        <v>282</v>
      </c>
      <c r="BT18" s="4" t="s">
        <v>282</v>
      </c>
      <c r="BU18" s="4" t="s">
        <v>282</v>
      </c>
      <c r="BV18" s="4" t="s">
        <v>282</v>
      </c>
      <c r="BW18" s="4" t="s">
        <v>282</v>
      </c>
      <c r="BX18" s="4" t="s">
        <v>282</v>
      </c>
      <c r="BY18" s="4" t="s">
        <v>282</v>
      </c>
      <c r="BZ18" s="4" t="s">
        <v>282</v>
      </c>
      <c r="CA18" s="4" t="s">
        <v>282</v>
      </c>
      <c r="CB18" s="4" t="s">
        <v>282</v>
      </c>
      <c r="CC18" s="4" t="s">
        <v>282</v>
      </c>
      <c r="CD18" s="4" t="s">
        <v>282</v>
      </c>
      <c r="CE18" s="4" t="s">
        <v>282</v>
      </c>
      <c r="CF18" s="4" t="s">
        <v>282</v>
      </c>
      <c r="CG18" s="4" t="s">
        <v>282</v>
      </c>
      <c r="CH18" s="4" t="s">
        <v>282</v>
      </c>
      <c r="CI18" s="4" t="s">
        <v>282</v>
      </c>
      <c r="CJ18" s="4" t="s">
        <v>282</v>
      </c>
      <c r="CK18" s="4" t="s">
        <v>282</v>
      </c>
      <c r="CL18" s="4" t="s">
        <v>282</v>
      </c>
      <c r="CM18" s="4" t="s">
        <v>282</v>
      </c>
      <c r="CN18" s="4" t="s">
        <v>282</v>
      </c>
      <c r="CO18" s="4" t="s">
        <v>282</v>
      </c>
      <c r="CP18" s="4" t="s">
        <v>282</v>
      </c>
      <c r="CQ18" s="4" t="s">
        <v>282</v>
      </c>
      <c r="CR18" s="4" t="s">
        <v>282</v>
      </c>
      <c r="CS18" s="4" t="s">
        <v>282</v>
      </c>
      <c r="CT18" s="4" t="s">
        <v>282</v>
      </c>
      <c r="CU18" s="4" t="s">
        <v>282</v>
      </c>
      <c r="CV18" s="4" t="s">
        <v>282</v>
      </c>
      <c r="CW18" s="4" t="s">
        <v>282</v>
      </c>
      <c r="CX18" s="4" t="s">
        <v>282</v>
      </c>
      <c r="CY18" s="4" t="s">
        <v>282</v>
      </c>
      <c r="CZ18" s="4" t="s">
        <v>282</v>
      </c>
      <c r="DA18" s="4" t="s">
        <v>282</v>
      </c>
      <c r="DB18" s="4" t="s">
        <v>282</v>
      </c>
      <c r="DC18" s="4" t="s">
        <v>282</v>
      </c>
      <c r="DD18" s="4" t="s">
        <v>282</v>
      </c>
      <c r="DE18" s="4" t="s">
        <v>282</v>
      </c>
      <c r="DF18" s="4" t="s">
        <v>282</v>
      </c>
      <c r="DG18" s="4" t="s">
        <v>282</v>
      </c>
      <c r="DH18" s="4" t="s">
        <v>282</v>
      </c>
      <c r="DI18" s="4" t="s">
        <v>282</v>
      </c>
      <c r="DJ18" s="4" t="s">
        <v>282</v>
      </c>
      <c r="DK18" s="4" t="s">
        <v>282</v>
      </c>
      <c r="DL18" s="4" t="s">
        <v>282</v>
      </c>
      <c r="DM18" s="4" t="s">
        <v>282</v>
      </c>
      <c r="DN18" s="4" t="s">
        <v>282</v>
      </c>
      <c r="DO18" s="4" t="s">
        <v>282</v>
      </c>
      <c r="DP18" s="4" t="s">
        <v>282</v>
      </c>
      <c r="DQ18" s="4" t="s">
        <v>282</v>
      </c>
      <c r="DR18" s="4" t="s">
        <v>282</v>
      </c>
      <c r="DS18" s="4" t="s">
        <v>282</v>
      </c>
      <c r="DT18" s="4" t="s">
        <v>282</v>
      </c>
      <c r="DU18" s="4" t="s">
        <v>282</v>
      </c>
      <c r="DV18" s="4" t="s">
        <v>282</v>
      </c>
      <c r="DW18" s="4" t="s">
        <v>282</v>
      </c>
      <c r="DX18" s="4" t="s">
        <v>282</v>
      </c>
      <c r="DY18" s="4" t="s">
        <v>282</v>
      </c>
      <c r="DZ18" s="4" t="s">
        <v>282</v>
      </c>
      <c r="EA18" s="4" t="s">
        <v>282</v>
      </c>
      <c r="EB18" s="4" t="s">
        <v>282</v>
      </c>
      <c r="EC18" s="4" t="s">
        <v>282</v>
      </c>
      <c r="ED18" s="4" t="s">
        <v>282</v>
      </c>
      <c r="EE18" s="4" t="s">
        <v>282</v>
      </c>
      <c r="EF18" s="4" t="s">
        <v>282</v>
      </c>
      <c r="EG18" s="4" t="s">
        <v>282</v>
      </c>
      <c r="EH18" s="4" t="s">
        <v>282</v>
      </c>
      <c r="EI18" s="4" t="s">
        <v>282</v>
      </c>
      <c r="EJ18" s="4" t="s">
        <v>282</v>
      </c>
      <c r="EK18" s="4" t="s">
        <v>282</v>
      </c>
      <c r="EL18" s="4" t="s">
        <v>282</v>
      </c>
      <c r="EM18" s="4" t="s">
        <v>282</v>
      </c>
      <c r="EN18" s="4" t="s">
        <v>282</v>
      </c>
      <c r="EO18" s="4" t="s">
        <v>282</v>
      </c>
      <c r="EP18" s="4" t="s">
        <v>282</v>
      </c>
      <c r="EQ18" s="4" t="s">
        <v>282</v>
      </c>
      <c r="ER18" s="4" t="s">
        <v>282</v>
      </c>
      <c r="ES18" s="4" t="s">
        <v>282</v>
      </c>
      <c r="ET18" s="4" t="s">
        <v>282</v>
      </c>
      <c r="EU18" s="4" t="s">
        <v>282</v>
      </c>
      <c r="EV18" s="4" t="s">
        <v>282</v>
      </c>
      <c r="EW18" s="4" t="s">
        <v>282</v>
      </c>
      <c r="EX18" s="4" t="s">
        <v>282</v>
      </c>
      <c r="EY18" s="4" t="s">
        <v>282</v>
      </c>
      <c r="EZ18" s="4" t="s">
        <v>282</v>
      </c>
      <c r="FA18" s="4" t="s">
        <v>282</v>
      </c>
      <c r="FB18" s="4" t="s">
        <v>282</v>
      </c>
      <c r="FC18" s="4" t="s">
        <v>282</v>
      </c>
      <c r="FD18" s="4" t="s">
        <v>282</v>
      </c>
      <c r="FE18" s="4" t="s">
        <v>282</v>
      </c>
      <c r="FF18" s="4" t="s">
        <v>282</v>
      </c>
      <c r="FG18" s="4" t="s">
        <v>282</v>
      </c>
      <c r="FH18" s="4" t="s">
        <v>282</v>
      </c>
      <c r="FI18" s="4" t="s">
        <v>282</v>
      </c>
      <c r="FJ18" s="4" t="s">
        <v>282</v>
      </c>
      <c r="FK18" s="1">
        <v>1</v>
      </c>
      <c r="FL18" s="1">
        <v>6</v>
      </c>
      <c r="FM18" s="1">
        <v>23.641999999999999</v>
      </c>
      <c r="FN18" s="1">
        <v>24.992000000000001</v>
      </c>
      <c r="FO18" s="1">
        <v>25.634</v>
      </c>
      <c r="FP18" s="1">
        <v>2</v>
      </c>
      <c r="FQ18" s="1">
        <v>2</v>
      </c>
      <c r="FR18" s="1">
        <v>6</v>
      </c>
      <c r="FS18" s="1">
        <v>1.903</v>
      </c>
      <c r="FT18" s="1">
        <v>26.396000000000001</v>
      </c>
      <c r="FU18" s="1">
        <v>26.724</v>
      </c>
      <c r="FV18" s="1">
        <v>3</v>
      </c>
      <c r="FW18" s="4" t="s">
        <v>282</v>
      </c>
      <c r="FX18" s="4" t="s">
        <v>282</v>
      </c>
      <c r="FY18" s="4" t="s">
        <v>282</v>
      </c>
      <c r="FZ18" s="4" t="s">
        <v>282</v>
      </c>
      <c r="GA18" s="4" t="s">
        <v>282</v>
      </c>
      <c r="GB18" s="4" t="s">
        <v>282</v>
      </c>
      <c r="GC18" s="4" t="s">
        <v>282</v>
      </c>
      <c r="GD18" s="4" t="s">
        <v>282</v>
      </c>
      <c r="GE18" s="4" t="s">
        <v>282</v>
      </c>
      <c r="GF18" s="4" t="s">
        <v>282</v>
      </c>
      <c r="GG18" s="4" t="s">
        <v>282</v>
      </c>
      <c r="GH18" s="4" t="s">
        <v>282</v>
      </c>
      <c r="GI18" s="4" t="s">
        <v>282</v>
      </c>
      <c r="GJ18" s="4" t="s">
        <v>282</v>
      </c>
      <c r="GK18" s="4" t="s">
        <v>282</v>
      </c>
      <c r="GL18" s="4" t="s">
        <v>282</v>
      </c>
      <c r="GM18" s="4" t="s">
        <v>282</v>
      </c>
      <c r="GN18" s="4" t="s">
        <v>282</v>
      </c>
      <c r="GO18" s="4" t="s">
        <v>282</v>
      </c>
      <c r="GP18" s="4" t="s">
        <v>282</v>
      </c>
      <c r="GQ18" s="4" t="s">
        <v>282</v>
      </c>
      <c r="GR18" s="4" t="s">
        <v>282</v>
      </c>
      <c r="GS18" s="4" t="s">
        <v>282</v>
      </c>
      <c r="GT18" s="4" t="s">
        <v>282</v>
      </c>
      <c r="GU18" s="4" t="s">
        <v>282</v>
      </c>
      <c r="GV18" s="4" t="s">
        <v>282</v>
      </c>
      <c r="GW18" s="4" t="s">
        <v>282</v>
      </c>
      <c r="GX18" s="4" t="s">
        <v>282</v>
      </c>
      <c r="GY18" s="4" t="s">
        <v>282</v>
      </c>
      <c r="GZ18" s="4" t="s">
        <v>282</v>
      </c>
      <c r="HA18" s="4" t="s">
        <v>282</v>
      </c>
      <c r="HB18" s="4" t="s">
        <v>282</v>
      </c>
      <c r="HC18" s="4" t="s">
        <v>282</v>
      </c>
      <c r="HD18" s="4" t="s">
        <v>282</v>
      </c>
      <c r="HE18" s="4" t="s">
        <v>282</v>
      </c>
      <c r="HF18" s="4" t="s">
        <v>282</v>
      </c>
      <c r="HG18" s="1">
        <v>2</v>
      </c>
      <c r="HH18" s="1">
        <v>6</v>
      </c>
      <c r="HI18" s="1">
        <v>2.78</v>
      </c>
      <c r="HJ18" s="1">
        <v>4.0570000000000004</v>
      </c>
      <c r="HK18" s="1">
        <v>10.712</v>
      </c>
      <c r="HL18" s="1">
        <v>2</v>
      </c>
      <c r="HM18" s="4" t="s">
        <v>282</v>
      </c>
      <c r="HN18" s="4" t="s">
        <v>282</v>
      </c>
      <c r="HO18" s="4" t="s">
        <v>282</v>
      </c>
      <c r="HP18" s="4" t="s">
        <v>282</v>
      </c>
      <c r="HQ18" s="4" t="s">
        <v>282</v>
      </c>
      <c r="HR18" s="4" t="s">
        <v>282</v>
      </c>
      <c r="HS18" s="4" t="s">
        <v>282</v>
      </c>
      <c r="HT18" s="4" t="s">
        <v>282</v>
      </c>
      <c r="HU18" s="4" t="s">
        <v>282</v>
      </c>
      <c r="HV18" s="4" t="s">
        <v>282</v>
      </c>
      <c r="HW18" s="4" t="s">
        <v>282</v>
      </c>
      <c r="HX18" s="4" t="s">
        <v>282</v>
      </c>
      <c r="HY18" s="4" t="s">
        <v>497</v>
      </c>
      <c r="HZ18" s="4" t="s">
        <v>282</v>
      </c>
      <c r="IA18" s="4" t="s">
        <v>498</v>
      </c>
      <c r="IB18" s="4" t="s">
        <v>282</v>
      </c>
      <c r="IC18" s="4" t="s">
        <v>282</v>
      </c>
    </row>
    <row r="19" spans="1:237" x14ac:dyDescent="0.2">
      <c r="A19" s="3">
        <v>45746.247604166667</v>
      </c>
      <c r="B19" s="3">
        <v>45746.268078703702</v>
      </c>
      <c r="C19" s="1">
        <v>0</v>
      </c>
      <c r="D19" s="4" t="s">
        <v>499</v>
      </c>
      <c r="E19" s="1">
        <v>100</v>
      </c>
      <c r="F19" s="1">
        <v>1768</v>
      </c>
      <c r="G19" s="1">
        <v>1</v>
      </c>
      <c r="H19" s="3">
        <v>45746.268085740739</v>
      </c>
      <c r="I19" s="4" t="s">
        <v>500</v>
      </c>
      <c r="J19" s="4" t="s">
        <v>282</v>
      </c>
      <c r="K19" s="4" t="s">
        <v>282</v>
      </c>
      <c r="L19" s="4" t="s">
        <v>282</v>
      </c>
      <c r="M19" s="4" t="s">
        <v>282</v>
      </c>
      <c r="N19" s="1">
        <v>51.045499999999997</v>
      </c>
      <c r="O19" s="1">
        <v>-114.19880000000001</v>
      </c>
      <c r="P19" s="4" t="s">
        <v>283</v>
      </c>
      <c r="Q19" s="4" t="s">
        <v>284</v>
      </c>
      <c r="R19" s="1">
        <v>0.40000000596046448</v>
      </c>
      <c r="S19" s="1">
        <v>1</v>
      </c>
      <c r="T19" s="1">
        <v>1</v>
      </c>
      <c r="U19" s="1">
        <v>1</v>
      </c>
      <c r="V19" s="1">
        <v>1</v>
      </c>
      <c r="W19" s="1">
        <v>7</v>
      </c>
      <c r="X19" s="4" t="s">
        <v>1284</v>
      </c>
      <c r="Y19" s="1">
        <v>5</v>
      </c>
      <c r="Z19" s="1">
        <v>1</v>
      </c>
      <c r="AA19" s="1">
        <v>1</v>
      </c>
      <c r="AB19" s="1">
        <v>1</v>
      </c>
      <c r="AC19" s="1">
        <v>5</v>
      </c>
      <c r="AD19" s="1">
        <v>5</v>
      </c>
      <c r="AE19" s="1">
        <v>20.757000000000001</v>
      </c>
      <c r="AF19" s="1">
        <v>21.901</v>
      </c>
      <c r="AG19" s="1">
        <v>22.593</v>
      </c>
      <c r="AH19" s="1">
        <v>2</v>
      </c>
      <c r="AI19" s="1">
        <v>2</v>
      </c>
      <c r="AJ19" s="1">
        <v>6</v>
      </c>
      <c r="AK19" s="1">
        <v>9.3179999999999996</v>
      </c>
      <c r="AL19" s="1">
        <v>13.183</v>
      </c>
      <c r="AM19" s="1">
        <v>13.978999999999999</v>
      </c>
      <c r="AN19" s="1">
        <v>2</v>
      </c>
      <c r="AO19" s="1">
        <v>2</v>
      </c>
      <c r="AP19" s="1">
        <v>5</v>
      </c>
      <c r="AQ19" s="1">
        <v>12.727</v>
      </c>
      <c r="AR19" s="1">
        <v>16.757999999999999</v>
      </c>
      <c r="AS19" s="1">
        <v>17.451000000000001</v>
      </c>
      <c r="AT19" s="1">
        <v>2</v>
      </c>
      <c r="AU19" s="1">
        <v>5</v>
      </c>
      <c r="AV19" s="1">
        <v>6</v>
      </c>
      <c r="AW19" s="1">
        <v>17.059000000000001</v>
      </c>
      <c r="AX19" s="1">
        <v>20.427</v>
      </c>
      <c r="AY19" s="1">
        <v>21.5</v>
      </c>
      <c r="AZ19" s="1">
        <v>2</v>
      </c>
      <c r="BA19" s="1">
        <v>4</v>
      </c>
      <c r="BB19" s="1">
        <v>6</v>
      </c>
      <c r="BC19" s="1">
        <v>12.522</v>
      </c>
      <c r="BD19" s="1">
        <v>14.343</v>
      </c>
      <c r="BE19" s="1">
        <v>15.468</v>
      </c>
      <c r="BF19" s="1">
        <v>2</v>
      </c>
      <c r="BG19" s="1">
        <v>3</v>
      </c>
      <c r="BH19" s="1">
        <v>5</v>
      </c>
      <c r="BI19" s="1">
        <v>22.981999999999999</v>
      </c>
      <c r="BJ19" s="1">
        <v>24.420999999999999</v>
      </c>
      <c r="BK19" s="1">
        <v>25.338999999999999</v>
      </c>
      <c r="BL19" s="1">
        <v>2</v>
      </c>
      <c r="BM19" s="1">
        <v>4</v>
      </c>
      <c r="BN19" s="1">
        <v>5</v>
      </c>
      <c r="BO19" s="1">
        <v>11.861000000000001</v>
      </c>
      <c r="BP19" s="1">
        <v>13.941000000000001</v>
      </c>
      <c r="BQ19" s="1">
        <v>15.257</v>
      </c>
      <c r="BR19" s="1">
        <v>2</v>
      </c>
      <c r="BS19" s="4" t="s">
        <v>282</v>
      </c>
      <c r="BT19" s="1">
        <v>5</v>
      </c>
      <c r="BU19" s="1">
        <v>16.611000000000001</v>
      </c>
      <c r="BV19" s="1">
        <v>19.611000000000001</v>
      </c>
      <c r="BW19" s="1">
        <v>20.448</v>
      </c>
      <c r="BX19" s="1">
        <v>3</v>
      </c>
      <c r="BY19" s="1">
        <v>4</v>
      </c>
      <c r="BZ19" s="1">
        <v>6</v>
      </c>
      <c r="CA19" s="1">
        <v>18.074999999999999</v>
      </c>
      <c r="CB19" s="1">
        <v>20.187000000000001</v>
      </c>
      <c r="CC19" s="1">
        <v>21.591000000000001</v>
      </c>
      <c r="CD19" s="1">
        <v>2</v>
      </c>
      <c r="CE19" s="1">
        <v>5</v>
      </c>
      <c r="CF19" s="1">
        <v>5</v>
      </c>
      <c r="CG19" s="1">
        <v>18.018000000000001</v>
      </c>
      <c r="CH19" s="1">
        <v>19.587</v>
      </c>
      <c r="CI19" s="1">
        <v>20.375</v>
      </c>
      <c r="CJ19" s="1">
        <v>2</v>
      </c>
      <c r="CK19" s="1">
        <v>3</v>
      </c>
      <c r="CL19" s="1">
        <v>5</v>
      </c>
      <c r="CM19" s="1">
        <v>30.509</v>
      </c>
      <c r="CN19" s="1">
        <v>32.630000000000003</v>
      </c>
      <c r="CO19" s="1">
        <v>33.634999999999998</v>
      </c>
      <c r="CP19" s="1">
        <v>2</v>
      </c>
      <c r="CQ19" s="1">
        <v>2</v>
      </c>
      <c r="CR19" s="1">
        <v>6</v>
      </c>
      <c r="CS19" s="1">
        <v>14.122</v>
      </c>
      <c r="CT19" s="1">
        <v>15.45</v>
      </c>
      <c r="CU19" s="1">
        <v>16.239000000000001</v>
      </c>
      <c r="CV19" s="1">
        <v>2</v>
      </c>
      <c r="CW19" s="4" t="s">
        <v>282</v>
      </c>
      <c r="CX19" s="1">
        <v>5</v>
      </c>
      <c r="CY19" s="1">
        <v>4.9370000000000003</v>
      </c>
      <c r="CZ19" s="1">
        <v>25.939</v>
      </c>
      <c r="DA19" s="1">
        <v>27.039000000000001</v>
      </c>
      <c r="DB19" s="1">
        <v>3</v>
      </c>
      <c r="DC19" s="1">
        <v>1</v>
      </c>
      <c r="DD19" s="1">
        <v>6</v>
      </c>
      <c r="DE19" s="1">
        <v>30.074999999999999</v>
      </c>
      <c r="DF19" s="1">
        <v>41.546999999999997</v>
      </c>
      <c r="DG19" s="1">
        <v>42.847999999999999</v>
      </c>
      <c r="DH19" s="1">
        <v>2</v>
      </c>
      <c r="DI19" s="1">
        <v>3</v>
      </c>
      <c r="DJ19" s="1">
        <v>6</v>
      </c>
      <c r="DK19" s="1">
        <v>15.923</v>
      </c>
      <c r="DL19" s="1">
        <v>17.146999999999998</v>
      </c>
      <c r="DM19" s="1">
        <v>17.792000000000002</v>
      </c>
      <c r="DN19" s="1">
        <v>2</v>
      </c>
      <c r="DO19" s="1">
        <v>3</v>
      </c>
      <c r="DP19" s="1">
        <v>5</v>
      </c>
      <c r="DQ19" s="1">
        <v>14.597</v>
      </c>
      <c r="DR19" s="1">
        <v>15.733000000000001</v>
      </c>
      <c r="DS19" s="1">
        <v>16.713000000000001</v>
      </c>
      <c r="DT19" s="1">
        <v>2</v>
      </c>
      <c r="DU19" s="1">
        <v>4</v>
      </c>
      <c r="DV19" s="1">
        <v>5</v>
      </c>
      <c r="DW19" s="1">
        <v>12.611000000000001</v>
      </c>
      <c r="DX19" s="1">
        <v>15.698</v>
      </c>
      <c r="DY19" s="1">
        <v>16.446999999999999</v>
      </c>
      <c r="DZ19" s="1">
        <v>2</v>
      </c>
      <c r="EA19" s="1">
        <v>4</v>
      </c>
      <c r="EB19" s="1">
        <v>5</v>
      </c>
      <c r="EC19" s="1">
        <v>21.379000000000001</v>
      </c>
      <c r="ED19" s="1">
        <v>23.027000000000001</v>
      </c>
      <c r="EE19" s="1">
        <v>24.376000000000001</v>
      </c>
      <c r="EF19" s="1">
        <v>2</v>
      </c>
      <c r="EG19" s="1">
        <v>1</v>
      </c>
      <c r="EH19" s="1">
        <v>6</v>
      </c>
      <c r="EI19" s="1">
        <v>9.4719999999999995</v>
      </c>
      <c r="EJ19" s="1">
        <v>11.592000000000001</v>
      </c>
      <c r="EK19" s="1">
        <v>12.374000000000001</v>
      </c>
      <c r="EL19" s="1">
        <v>2</v>
      </c>
      <c r="EM19" s="1">
        <v>3</v>
      </c>
      <c r="EN19" s="1">
        <v>6</v>
      </c>
      <c r="EO19" s="1">
        <v>11.346</v>
      </c>
      <c r="EP19" s="1">
        <v>12.769</v>
      </c>
      <c r="EQ19" s="1">
        <v>13.461</v>
      </c>
      <c r="ER19" s="1">
        <v>2</v>
      </c>
      <c r="ES19" s="1">
        <v>5</v>
      </c>
      <c r="ET19" s="1">
        <v>5</v>
      </c>
      <c r="EU19" s="1">
        <v>29.783999999999999</v>
      </c>
      <c r="EV19" s="1">
        <v>41.097000000000001</v>
      </c>
      <c r="EW19" s="1">
        <v>41.975000000000001</v>
      </c>
      <c r="EX19" s="1">
        <v>3</v>
      </c>
      <c r="EY19" s="1">
        <v>2</v>
      </c>
      <c r="EZ19" s="1">
        <v>6</v>
      </c>
      <c r="FA19" s="1">
        <v>8.6760000000000002</v>
      </c>
      <c r="FB19" s="1">
        <v>10.571999999999999</v>
      </c>
      <c r="FC19" s="1">
        <v>11.823</v>
      </c>
      <c r="FD19" s="1">
        <v>2</v>
      </c>
      <c r="FE19" s="4" t="s">
        <v>282</v>
      </c>
      <c r="FF19" s="1">
        <v>4</v>
      </c>
      <c r="FG19" s="1">
        <v>31.335000000000001</v>
      </c>
      <c r="FH19" s="1">
        <v>32.655000000000001</v>
      </c>
      <c r="FI19" s="1">
        <v>33.46</v>
      </c>
      <c r="FJ19" s="1">
        <v>2</v>
      </c>
      <c r="FK19" s="1">
        <v>1</v>
      </c>
      <c r="FL19" s="1">
        <v>6</v>
      </c>
      <c r="FM19" s="1">
        <v>7.6360000000000001</v>
      </c>
      <c r="FN19" s="1">
        <v>9.8119999999999994</v>
      </c>
      <c r="FO19" s="1">
        <v>10.513999999999999</v>
      </c>
      <c r="FP19" s="1">
        <v>2</v>
      </c>
      <c r="FQ19" s="1">
        <v>2</v>
      </c>
      <c r="FR19" s="1">
        <v>6</v>
      </c>
      <c r="FS19" s="1">
        <v>17.727</v>
      </c>
      <c r="FT19" s="1">
        <v>19.399000000000001</v>
      </c>
      <c r="FU19" s="1">
        <v>20.234999999999999</v>
      </c>
      <c r="FV19" s="1">
        <v>2</v>
      </c>
      <c r="FW19" s="1">
        <v>5</v>
      </c>
      <c r="FX19" s="1">
        <v>6</v>
      </c>
      <c r="FY19" s="1">
        <v>12.298</v>
      </c>
      <c r="FZ19" s="1">
        <v>15.904999999999999</v>
      </c>
      <c r="GA19" s="1">
        <v>17.989000000000001</v>
      </c>
      <c r="GB19" s="1">
        <v>2</v>
      </c>
      <c r="GC19" s="1">
        <v>1</v>
      </c>
      <c r="GD19" s="1">
        <v>6</v>
      </c>
      <c r="GE19" s="1">
        <v>9.6539999999999999</v>
      </c>
      <c r="GF19" s="1">
        <v>11.782999999999999</v>
      </c>
      <c r="GG19" s="1">
        <v>12.539</v>
      </c>
      <c r="GH19" s="1">
        <v>2</v>
      </c>
      <c r="GI19" s="1">
        <v>2</v>
      </c>
      <c r="GJ19" s="1">
        <v>6</v>
      </c>
      <c r="GK19" s="1">
        <v>10.335000000000001</v>
      </c>
      <c r="GL19" s="1">
        <v>12.119</v>
      </c>
      <c r="GM19" s="1">
        <v>13.4</v>
      </c>
      <c r="GN19" s="1">
        <v>3</v>
      </c>
      <c r="GO19" s="1">
        <v>1</v>
      </c>
      <c r="GP19" s="1">
        <v>6</v>
      </c>
      <c r="GQ19" s="1">
        <v>15.522</v>
      </c>
      <c r="GR19" s="1">
        <v>17.280999999999999</v>
      </c>
      <c r="GS19" s="1">
        <v>18.023</v>
      </c>
      <c r="GT19" s="1">
        <v>2</v>
      </c>
      <c r="GU19" s="1">
        <v>1</v>
      </c>
      <c r="GV19" s="1">
        <v>6</v>
      </c>
      <c r="GW19" s="1">
        <v>16.791</v>
      </c>
      <c r="GX19" s="1">
        <v>18.638000000000002</v>
      </c>
      <c r="GY19" s="1">
        <v>19.475000000000001</v>
      </c>
      <c r="GZ19" s="1">
        <v>2</v>
      </c>
      <c r="HA19" s="1">
        <v>2</v>
      </c>
      <c r="HB19" s="1">
        <v>6</v>
      </c>
      <c r="HC19" s="1">
        <v>7.26</v>
      </c>
      <c r="HD19" s="1">
        <v>8.9719999999999995</v>
      </c>
      <c r="HE19" s="1">
        <v>9.7050000000000001</v>
      </c>
      <c r="HF19" s="1">
        <v>2</v>
      </c>
      <c r="HG19" s="1">
        <v>1</v>
      </c>
      <c r="HH19" s="1">
        <v>5</v>
      </c>
      <c r="HI19" s="1">
        <v>22.628</v>
      </c>
      <c r="HJ19" s="1">
        <v>23.748000000000001</v>
      </c>
      <c r="HK19" s="1">
        <v>24.545000000000002</v>
      </c>
      <c r="HL19" s="1">
        <v>2</v>
      </c>
      <c r="HM19" s="4" t="s">
        <v>503</v>
      </c>
      <c r="HN19" s="4" t="s">
        <v>504</v>
      </c>
      <c r="HO19" s="4" t="s">
        <v>505</v>
      </c>
      <c r="HP19" s="4" t="s">
        <v>506</v>
      </c>
      <c r="HQ19" s="4" t="s">
        <v>507</v>
      </c>
      <c r="HR19" s="4" t="s">
        <v>508</v>
      </c>
      <c r="HS19" s="4" t="s">
        <v>509</v>
      </c>
      <c r="HT19" s="4" t="s">
        <v>510</v>
      </c>
      <c r="HU19" s="4" t="s">
        <v>511</v>
      </c>
      <c r="HV19" s="4" t="s">
        <v>512</v>
      </c>
      <c r="HW19" s="4" t="s">
        <v>513</v>
      </c>
      <c r="HX19" s="4" t="s">
        <v>514</v>
      </c>
      <c r="HY19" s="4" t="s">
        <v>312</v>
      </c>
      <c r="HZ19" s="4" t="s">
        <v>372</v>
      </c>
      <c r="IA19" s="4" t="s">
        <v>325</v>
      </c>
      <c r="IB19" s="4" t="s">
        <v>282</v>
      </c>
      <c r="IC19" s="4" t="s">
        <v>282</v>
      </c>
    </row>
    <row r="20" spans="1:237" x14ac:dyDescent="0.2">
      <c r="A20" s="3">
        <v>45733.501284722224</v>
      </c>
      <c r="B20" s="3">
        <v>45740.372442129628</v>
      </c>
      <c r="C20" s="1">
        <v>0</v>
      </c>
      <c r="D20" s="4" t="s">
        <v>515</v>
      </c>
      <c r="E20" s="1">
        <v>0</v>
      </c>
      <c r="F20" s="1">
        <v>593667</v>
      </c>
      <c r="G20" s="1">
        <v>0</v>
      </c>
      <c r="H20" s="3">
        <v>45747.372456296296</v>
      </c>
      <c r="I20" s="4" t="s">
        <v>516</v>
      </c>
      <c r="J20" s="4" t="s">
        <v>282</v>
      </c>
      <c r="K20" s="4" t="s">
        <v>282</v>
      </c>
      <c r="L20" s="4" t="s">
        <v>282</v>
      </c>
      <c r="M20" s="4" t="s">
        <v>282</v>
      </c>
      <c r="N20" s="1">
        <v>48.420400000000001</v>
      </c>
      <c r="O20" s="1">
        <v>-123.3005</v>
      </c>
      <c r="P20" s="4" t="s">
        <v>283</v>
      </c>
      <c r="Q20" s="4" t="s">
        <v>284</v>
      </c>
      <c r="R20" s="1">
        <v>1</v>
      </c>
      <c r="S20" s="4" t="s">
        <v>282</v>
      </c>
      <c r="T20" s="4" t="s">
        <v>282</v>
      </c>
      <c r="U20" s="4" t="s">
        <v>282</v>
      </c>
      <c r="V20" s="4" t="s">
        <v>282</v>
      </c>
      <c r="W20" s="4" t="s">
        <v>282</v>
      </c>
      <c r="X20" s="4" t="s">
        <v>282</v>
      </c>
      <c r="Y20" s="4" t="s">
        <v>282</v>
      </c>
      <c r="Z20" s="4" t="s">
        <v>282</v>
      </c>
      <c r="AA20" s="4" t="s">
        <v>282</v>
      </c>
      <c r="AB20" s="4" t="s">
        <v>282</v>
      </c>
      <c r="AC20" s="4" t="s">
        <v>282</v>
      </c>
      <c r="AD20" s="4" t="s">
        <v>282</v>
      </c>
      <c r="AE20" s="4" t="s">
        <v>282</v>
      </c>
      <c r="AF20" s="4" t="s">
        <v>282</v>
      </c>
      <c r="AG20" s="4" t="s">
        <v>282</v>
      </c>
      <c r="AH20" s="4" t="s">
        <v>282</v>
      </c>
      <c r="AI20" s="4" t="s">
        <v>282</v>
      </c>
      <c r="AJ20" s="4" t="s">
        <v>282</v>
      </c>
      <c r="AK20" s="4" t="s">
        <v>282</v>
      </c>
      <c r="AL20" s="4" t="s">
        <v>282</v>
      </c>
      <c r="AM20" s="4" t="s">
        <v>282</v>
      </c>
      <c r="AN20" s="4" t="s">
        <v>282</v>
      </c>
      <c r="AO20" s="4" t="s">
        <v>282</v>
      </c>
      <c r="AP20" s="4" t="s">
        <v>282</v>
      </c>
      <c r="AQ20" s="4" t="s">
        <v>282</v>
      </c>
      <c r="AR20" s="4" t="s">
        <v>282</v>
      </c>
      <c r="AS20" s="4" t="s">
        <v>282</v>
      </c>
      <c r="AT20" s="4" t="s">
        <v>282</v>
      </c>
      <c r="AU20" s="4" t="s">
        <v>282</v>
      </c>
      <c r="AV20" s="4" t="s">
        <v>282</v>
      </c>
      <c r="AW20" s="4" t="s">
        <v>282</v>
      </c>
      <c r="AX20" s="4" t="s">
        <v>282</v>
      </c>
      <c r="AY20" s="4" t="s">
        <v>282</v>
      </c>
      <c r="AZ20" s="4" t="s">
        <v>282</v>
      </c>
      <c r="BA20" s="4" t="s">
        <v>282</v>
      </c>
      <c r="BB20" s="4" t="s">
        <v>282</v>
      </c>
      <c r="BC20" s="4" t="s">
        <v>282</v>
      </c>
      <c r="BD20" s="4" t="s">
        <v>282</v>
      </c>
      <c r="BE20" s="4" t="s">
        <v>282</v>
      </c>
      <c r="BF20" s="4" t="s">
        <v>282</v>
      </c>
      <c r="BG20" s="4" t="s">
        <v>282</v>
      </c>
      <c r="BH20" s="4" t="s">
        <v>282</v>
      </c>
      <c r="BI20" s="4" t="s">
        <v>282</v>
      </c>
      <c r="BJ20" s="4" t="s">
        <v>282</v>
      </c>
      <c r="BK20" s="4" t="s">
        <v>282</v>
      </c>
      <c r="BL20" s="4" t="s">
        <v>282</v>
      </c>
      <c r="BM20" s="4" t="s">
        <v>282</v>
      </c>
      <c r="BN20" s="4" t="s">
        <v>282</v>
      </c>
      <c r="BO20" s="4" t="s">
        <v>282</v>
      </c>
      <c r="BP20" s="4" t="s">
        <v>282</v>
      </c>
      <c r="BQ20" s="4" t="s">
        <v>282</v>
      </c>
      <c r="BR20" s="4" t="s">
        <v>282</v>
      </c>
      <c r="BS20" s="4" t="s">
        <v>282</v>
      </c>
      <c r="BT20" s="4" t="s">
        <v>282</v>
      </c>
      <c r="BU20" s="4" t="s">
        <v>282</v>
      </c>
      <c r="BV20" s="4" t="s">
        <v>282</v>
      </c>
      <c r="BW20" s="4" t="s">
        <v>282</v>
      </c>
      <c r="BX20" s="4" t="s">
        <v>282</v>
      </c>
      <c r="BY20" s="4" t="s">
        <v>282</v>
      </c>
      <c r="BZ20" s="4" t="s">
        <v>282</v>
      </c>
      <c r="CA20" s="4" t="s">
        <v>282</v>
      </c>
      <c r="CB20" s="4" t="s">
        <v>282</v>
      </c>
      <c r="CC20" s="4" t="s">
        <v>282</v>
      </c>
      <c r="CD20" s="4" t="s">
        <v>282</v>
      </c>
      <c r="CE20" s="4" t="s">
        <v>282</v>
      </c>
      <c r="CF20" s="4" t="s">
        <v>282</v>
      </c>
      <c r="CG20" s="4" t="s">
        <v>282</v>
      </c>
      <c r="CH20" s="4" t="s">
        <v>282</v>
      </c>
      <c r="CI20" s="4" t="s">
        <v>282</v>
      </c>
      <c r="CJ20" s="4" t="s">
        <v>282</v>
      </c>
      <c r="CK20" s="4" t="s">
        <v>282</v>
      </c>
      <c r="CL20" s="4" t="s">
        <v>282</v>
      </c>
      <c r="CM20" s="4" t="s">
        <v>282</v>
      </c>
      <c r="CN20" s="4" t="s">
        <v>282</v>
      </c>
      <c r="CO20" s="4" t="s">
        <v>282</v>
      </c>
      <c r="CP20" s="4" t="s">
        <v>282</v>
      </c>
      <c r="CQ20" s="4" t="s">
        <v>282</v>
      </c>
      <c r="CR20" s="4" t="s">
        <v>282</v>
      </c>
      <c r="CS20" s="4" t="s">
        <v>282</v>
      </c>
      <c r="CT20" s="4" t="s">
        <v>282</v>
      </c>
      <c r="CU20" s="4" t="s">
        <v>282</v>
      </c>
      <c r="CV20" s="4" t="s">
        <v>282</v>
      </c>
      <c r="CW20" s="4" t="s">
        <v>282</v>
      </c>
      <c r="CX20" s="4" t="s">
        <v>282</v>
      </c>
      <c r="CY20" s="4" t="s">
        <v>282</v>
      </c>
      <c r="CZ20" s="4" t="s">
        <v>282</v>
      </c>
      <c r="DA20" s="4" t="s">
        <v>282</v>
      </c>
      <c r="DB20" s="4" t="s">
        <v>282</v>
      </c>
      <c r="DC20" s="4" t="s">
        <v>282</v>
      </c>
      <c r="DD20" s="4" t="s">
        <v>282</v>
      </c>
      <c r="DE20" s="4" t="s">
        <v>282</v>
      </c>
      <c r="DF20" s="4" t="s">
        <v>282</v>
      </c>
      <c r="DG20" s="4" t="s">
        <v>282</v>
      </c>
      <c r="DH20" s="4" t="s">
        <v>282</v>
      </c>
      <c r="DI20" s="4" t="s">
        <v>282</v>
      </c>
      <c r="DJ20" s="4" t="s">
        <v>282</v>
      </c>
      <c r="DK20" s="4" t="s">
        <v>282</v>
      </c>
      <c r="DL20" s="4" t="s">
        <v>282</v>
      </c>
      <c r="DM20" s="4" t="s">
        <v>282</v>
      </c>
      <c r="DN20" s="4" t="s">
        <v>282</v>
      </c>
      <c r="DO20" s="4" t="s">
        <v>282</v>
      </c>
      <c r="DP20" s="4" t="s">
        <v>282</v>
      </c>
      <c r="DQ20" s="4" t="s">
        <v>282</v>
      </c>
      <c r="DR20" s="4" t="s">
        <v>282</v>
      </c>
      <c r="DS20" s="4" t="s">
        <v>282</v>
      </c>
      <c r="DT20" s="4" t="s">
        <v>282</v>
      </c>
      <c r="DU20" s="4" t="s">
        <v>282</v>
      </c>
      <c r="DV20" s="4" t="s">
        <v>282</v>
      </c>
      <c r="DW20" s="4" t="s">
        <v>282</v>
      </c>
      <c r="DX20" s="4" t="s">
        <v>282</v>
      </c>
      <c r="DY20" s="4" t="s">
        <v>282</v>
      </c>
      <c r="DZ20" s="4" t="s">
        <v>282</v>
      </c>
      <c r="EA20" s="4" t="s">
        <v>282</v>
      </c>
      <c r="EB20" s="4" t="s">
        <v>282</v>
      </c>
      <c r="EC20" s="4" t="s">
        <v>282</v>
      </c>
      <c r="ED20" s="4" t="s">
        <v>282</v>
      </c>
      <c r="EE20" s="4" t="s">
        <v>282</v>
      </c>
      <c r="EF20" s="4" t="s">
        <v>282</v>
      </c>
      <c r="EG20" s="4" t="s">
        <v>282</v>
      </c>
      <c r="EH20" s="4" t="s">
        <v>282</v>
      </c>
      <c r="EI20" s="4" t="s">
        <v>282</v>
      </c>
      <c r="EJ20" s="4" t="s">
        <v>282</v>
      </c>
      <c r="EK20" s="4" t="s">
        <v>282</v>
      </c>
      <c r="EL20" s="4" t="s">
        <v>282</v>
      </c>
      <c r="EM20" s="4" t="s">
        <v>282</v>
      </c>
      <c r="EN20" s="4" t="s">
        <v>282</v>
      </c>
      <c r="EO20" s="4" t="s">
        <v>282</v>
      </c>
      <c r="EP20" s="4" t="s">
        <v>282</v>
      </c>
      <c r="EQ20" s="4" t="s">
        <v>282</v>
      </c>
      <c r="ER20" s="4" t="s">
        <v>282</v>
      </c>
      <c r="ES20" s="4" t="s">
        <v>282</v>
      </c>
      <c r="ET20" s="4" t="s">
        <v>282</v>
      </c>
      <c r="EU20" s="4" t="s">
        <v>282</v>
      </c>
      <c r="EV20" s="4" t="s">
        <v>282</v>
      </c>
      <c r="EW20" s="4" t="s">
        <v>282</v>
      </c>
      <c r="EX20" s="4" t="s">
        <v>282</v>
      </c>
      <c r="EY20" s="4" t="s">
        <v>282</v>
      </c>
      <c r="EZ20" s="4" t="s">
        <v>282</v>
      </c>
      <c r="FA20" s="4" t="s">
        <v>282</v>
      </c>
      <c r="FB20" s="4" t="s">
        <v>282</v>
      </c>
      <c r="FC20" s="4" t="s">
        <v>282</v>
      </c>
      <c r="FD20" s="4" t="s">
        <v>282</v>
      </c>
      <c r="FE20" s="4" t="s">
        <v>282</v>
      </c>
      <c r="FF20" s="4" t="s">
        <v>282</v>
      </c>
      <c r="FG20" s="4" t="s">
        <v>282</v>
      </c>
      <c r="FH20" s="4" t="s">
        <v>282</v>
      </c>
      <c r="FI20" s="4" t="s">
        <v>282</v>
      </c>
      <c r="FJ20" s="4" t="s">
        <v>282</v>
      </c>
      <c r="FK20" s="4" t="s">
        <v>282</v>
      </c>
      <c r="FL20" s="4" t="s">
        <v>282</v>
      </c>
      <c r="FM20" s="4" t="s">
        <v>282</v>
      </c>
      <c r="FN20" s="4" t="s">
        <v>282</v>
      </c>
      <c r="FO20" s="4" t="s">
        <v>282</v>
      </c>
      <c r="FP20" s="4" t="s">
        <v>282</v>
      </c>
      <c r="FQ20" s="4" t="s">
        <v>282</v>
      </c>
      <c r="FR20" s="4" t="s">
        <v>282</v>
      </c>
      <c r="FS20" s="4" t="s">
        <v>282</v>
      </c>
      <c r="FT20" s="4" t="s">
        <v>282</v>
      </c>
      <c r="FU20" s="4" t="s">
        <v>282</v>
      </c>
      <c r="FV20" s="4" t="s">
        <v>282</v>
      </c>
      <c r="FW20" s="4" t="s">
        <v>282</v>
      </c>
      <c r="FX20" s="4" t="s">
        <v>282</v>
      </c>
      <c r="FY20" s="4" t="s">
        <v>282</v>
      </c>
      <c r="FZ20" s="4" t="s">
        <v>282</v>
      </c>
      <c r="GA20" s="4" t="s">
        <v>282</v>
      </c>
      <c r="GB20" s="4" t="s">
        <v>282</v>
      </c>
      <c r="GC20" s="4" t="s">
        <v>282</v>
      </c>
      <c r="GD20" s="4" t="s">
        <v>282</v>
      </c>
      <c r="GE20" s="4" t="s">
        <v>282</v>
      </c>
      <c r="GF20" s="4" t="s">
        <v>282</v>
      </c>
      <c r="GG20" s="4" t="s">
        <v>282</v>
      </c>
      <c r="GH20" s="4" t="s">
        <v>282</v>
      </c>
      <c r="GI20" s="4" t="s">
        <v>282</v>
      </c>
      <c r="GJ20" s="4" t="s">
        <v>282</v>
      </c>
      <c r="GK20" s="4" t="s">
        <v>282</v>
      </c>
      <c r="GL20" s="4" t="s">
        <v>282</v>
      </c>
      <c r="GM20" s="4" t="s">
        <v>282</v>
      </c>
      <c r="GN20" s="4" t="s">
        <v>282</v>
      </c>
      <c r="GO20" s="4" t="s">
        <v>282</v>
      </c>
      <c r="GP20" s="4" t="s">
        <v>282</v>
      </c>
      <c r="GQ20" s="4" t="s">
        <v>282</v>
      </c>
      <c r="GR20" s="4" t="s">
        <v>282</v>
      </c>
      <c r="GS20" s="4" t="s">
        <v>282</v>
      </c>
      <c r="GT20" s="4" t="s">
        <v>282</v>
      </c>
      <c r="GU20" s="4" t="s">
        <v>282</v>
      </c>
      <c r="GV20" s="4" t="s">
        <v>282</v>
      </c>
      <c r="GW20" s="4" t="s">
        <v>282</v>
      </c>
      <c r="GX20" s="4" t="s">
        <v>282</v>
      </c>
      <c r="GY20" s="4" t="s">
        <v>282</v>
      </c>
      <c r="GZ20" s="4" t="s">
        <v>282</v>
      </c>
      <c r="HA20" s="4" t="s">
        <v>282</v>
      </c>
      <c r="HB20" s="4" t="s">
        <v>282</v>
      </c>
      <c r="HC20" s="4" t="s">
        <v>282</v>
      </c>
      <c r="HD20" s="4" t="s">
        <v>282</v>
      </c>
      <c r="HE20" s="4" t="s">
        <v>282</v>
      </c>
      <c r="HF20" s="4" t="s">
        <v>282</v>
      </c>
      <c r="HG20" s="4" t="s">
        <v>282</v>
      </c>
      <c r="HH20" s="4" t="s">
        <v>282</v>
      </c>
      <c r="HI20" s="4" t="s">
        <v>282</v>
      </c>
      <c r="HJ20" s="4" t="s">
        <v>282</v>
      </c>
      <c r="HK20" s="4" t="s">
        <v>282</v>
      </c>
      <c r="HL20" s="4" t="s">
        <v>282</v>
      </c>
      <c r="HM20" s="4" t="s">
        <v>282</v>
      </c>
      <c r="HN20" s="4" t="s">
        <v>282</v>
      </c>
      <c r="HO20" s="4" t="s">
        <v>282</v>
      </c>
      <c r="HP20" s="4" t="s">
        <v>282</v>
      </c>
      <c r="HQ20" s="4" t="s">
        <v>282</v>
      </c>
      <c r="HR20" s="4" t="s">
        <v>282</v>
      </c>
      <c r="HS20" s="4" t="s">
        <v>282</v>
      </c>
      <c r="HT20" s="4" t="s">
        <v>282</v>
      </c>
      <c r="HU20" s="4" t="s">
        <v>282</v>
      </c>
      <c r="HV20" s="4" t="s">
        <v>282</v>
      </c>
      <c r="HW20" s="4" t="s">
        <v>282</v>
      </c>
      <c r="HX20" s="4" t="s">
        <v>282</v>
      </c>
      <c r="HY20" s="4" t="s">
        <v>282</v>
      </c>
      <c r="HZ20" s="4" t="s">
        <v>282</v>
      </c>
      <c r="IA20" s="4" t="s">
        <v>282</v>
      </c>
      <c r="IB20" s="4" t="s">
        <v>282</v>
      </c>
      <c r="IC20" s="4" t="s">
        <v>282</v>
      </c>
    </row>
    <row r="21" spans="1:237" x14ac:dyDescent="0.2">
      <c r="A21" s="3">
        <v>45747.529016203705</v>
      </c>
      <c r="B21" s="3">
        <v>45747.541574074072</v>
      </c>
      <c r="C21" s="1">
        <v>0</v>
      </c>
      <c r="D21" s="4" t="s">
        <v>517</v>
      </c>
      <c r="E21" s="1">
        <v>100</v>
      </c>
      <c r="F21" s="1">
        <v>1084</v>
      </c>
      <c r="G21" s="1">
        <v>1</v>
      </c>
      <c r="H21" s="3">
        <v>45747.541588437503</v>
      </c>
      <c r="I21" s="4" t="s">
        <v>518</v>
      </c>
      <c r="J21" s="4" t="s">
        <v>282</v>
      </c>
      <c r="K21" s="4" t="s">
        <v>282</v>
      </c>
      <c r="L21" s="4" t="s">
        <v>282</v>
      </c>
      <c r="M21" s="4" t="s">
        <v>282</v>
      </c>
      <c r="N21" s="1">
        <v>37.338799999999999</v>
      </c>
      <c r="O21" s="1">
        <v>-121.8916</v>
      </c>
      <c r="P21" s="4" t="s">
        <v>283</v>
      </c>
      <c r="Q21" s="4" t="s">
        <v>284</v>
      </c>
      <c r="R21" s="1">
        <v>0.89999997615814209</v>
      </c>
      <c r="S21" s="1">
        <v>1</v>
      </c>
      <c r="T21" s="1">
        <v>1</v>
      </c>
      <c r="U21" s="1">
        <v>1</v>
      </c>
      <c r="V21" s="1">
        <v>1</v>
      </c>
      <c r="W21" s="1">
        <v>4</v>
      </c>
      <c r="X21" s="4" t="s">
        <v>1222</v>
      </c>
      <c r="Y21" s="1">
        <v>5</v>
      </c>
      <c r="Z21" s="1">
        <v>1</v>
      </c>
      <c r="AA21" s="1">
        <v>1</v>
      </c>
      <c r="AB21" s="1">
        <v>2</v>
      </c>
      <c r="AC21" s="1">
        <v>1</v>
      </c>
      <c r="AD21" s="1">
        <v>5</v>
      </c>
      <c r="AE21" s="1">
        <v>10.695</v>
      </c>
      <c r="AF21" s="1">
        <v>15.537000000000001</v>
      </c>
      <c r="AG21" s="1">
        <v>16.344000000000001</v>
      </c>
      <c r="AH21" s="1">
        <v>4</v>
      </c>
      <c r="AI21" s="1">
        <v>2</v>
      </c>
      <c r="AJ21" s="1">
        <v>7</v>
      </c>
      <c r="AK21" s="1">
        <v>6.2030000000000003</v>
      </c>
      <c r="AL21" s="1">
        <v>9.8559999999999999</v>
      </c>
      <c r="AM21" s="1">
        <v>10.648</v>
      </c>
      <c r="AN21" s="1">
        <v>2</v>
      </c>
      <c r="AO21" s="1">
        <v>2</v>
      </c>
      <c r="AP21" s="1">
        <v>7</v>
      </c>
      <c r="AQ21" s="1">
        <v>11.62</v>
      </c>
      <c r="AR21" s="1">
        <v>14.714</v>
      </c>
      <c r="AS21" s="1">
        <v>15.49</v>
      </c>
      <c r="AT21" s="1">
        <v>3</v>
      </c>
      <c r="AU21" s="1">
        <v>5</v>
      </c>
      <c r="AV21" s="1">
        <v>5</v>
      </c>
      <c r="AW21" s="1">
        <v>12.997</v>
      </c>
      <c r="AX21" s="1">
        <v>16.027000000000001</v>
      </c>
      <c r="AY21" s="1">
        <v>17.678999999999998</v>
      </c>
      <c r="AZ21" s="1">
        <v>3</v>
      </c>
      <c r="BA21" s="1">
        <v>5</v>
      </c>
      <c r="BB21" s="1">
        <v>4</v>
      </c>
      <c r="BC21" s="1">
        <v>13.738</v>
      </c>
      <c r="BD21" s="1">
        <v>15.932</v>
      </c>
      <c r="BE21" s="1">
        <v>17.597999999999999</v>
      </c>
      <c r="BF21" s="1">
        <v>2</v>
      </c>
      <c r="BG21" s="1">
        <v>1</v>
      </c>
      <c r="BH21" s="1">
        <v>4</v>
      </c>
      <c r="BI21" s="1">
        <v>18.298999999999999</v>
      </c>
      <c r="BJ21" s="1">
        <v>20.346</v>
      </c>
      <c r="BK21" s="1">
        <v>21.672999999999998</v>
      </c>
      <c r="BL21" s="1">
        <v>2</v>
      </c>
      <c r="BM21" s="1">
        <v>2</v>
      </c>
      <c r="BN21" s="1">
        <v>7</v>
      </c>
      <c r="BO21" s="1">
        <v>10.337999999999999</v>
      </c>
      <c r="BP21" s="1">
        <v>14.933999999999999</v>
      </c>
      <c r="BQ21" s="1">
        <v>18.907</v>
      </c>
      <c r="BR21" s="1">
        <v>3</v>
      </c>
      <c r="BS21" s="1">
        <v>3</v>
      </c>
      <c r="BT21" s="1">
        <v>4</v>
      </c>
      <c r="BU21" s="1">
        <v>14.327999999999999</v>
      </c>
      <c r="BV21" s="1">
        <v>16.920000000000002</v>
      </c>
      <c r="BW21" s="1">
        <v>18.222999999999999</v>
      </c>
      <c r="BX21" s="1">
        <v>2</v>
      </c>
      <c r="BY21" s="1">
        <v>5</v>
      </c>
      <c r="BZ21" s="1">
        <v>5</v>
      </c>
      <c r="CA21" s="1">
        <v>11.109</v>
      </c>
      <c r="CB21" s="1">
        <v>15.891999999999999</v>
      </c>
      <c r="CC21" s="1">
        <v>17.896000000000001</v>
      </c>
      <c r="CD21" s="1">
        <v>2</v>
      </c>
      <c r="CE21" s="1">
        <v>3</v>
      </c>
      <c r="CF21" s="1">
        <v>4</v>
      </c>
      <c r="CG21" s="1">
        <v>12.773</v>
      </c>
      <c r="CH21" s="1">
        <v>15.315</v>
      </c>
      <c r="CI21" s="1">
        <v>16.626999999999999</v>
      </c>
      <c r="CJ21" s="1">
        <v>2</v>
      </c>
      <c r="CK21" s="1">
        <v>1</v>
      </c>
      <c r="CL21" s="1">
        <v>5</v>
      </c>
      <c r="CM21" s="1">
        <v>9.0760000000000005</v>
      </c>
      <c r="CN21" s="1">
        <v>10.688000000000001</v>
      </c>
      <c r="CO21" s="1">
        <v>11.534000000000001</v>
      </c>
      <c r="CP21" s="1">
        <v>2</v>
      </c>
      <c r="CQ21" s="1">
        <v>2</v>
      </c>
      <c r="CR21" s="1">
        <v>7</v>
      </c>
      <c r="CS21" s="1">
        <v>10.259</v>
      </c>
      <c r="CT21" s="1">
        <v>13.371</v>
      </c>
      <c r="CU21" s="1">
        <v>14.141999999999999</v>
      </c>
      <c r="CV21" s="1">
        <v>2</v>
      </c>
      <c r="CW21" s="1">
        <v>3</v>
      </c>
      <c r="CX21" s="1">
        <v>4</v>
      </c>
      <c r="CY21" s="1">
        <v>9.0410000000000004</v>
      </c>
      <c r="CZ21" s="1">
        <v>10.022</v>
      </c>
      <c r="DA21" s="1">
        <v>11.669</v>
      </c>
      <c r="DB21" s="1">
        <v>2</v>
      </c>
      <c r="DC21" s="1">
        <v>3</v>
      </c>
      <c r="DD21" s="1">
        <v>4</v>
      </c>
      <c r="DE21" s="1">
        <v>9.5009999999999994</v>
      </c>
      <c r="DF21" s="1">
        <v>11.092000000000001</v>
      </c>
      <c r="DG21" s="1">
        <v>12.448</v>
      </c>
      <c r="DH21" s="1">
        <v>3</v>
      </c>
      <c r="DI21" s="1">
        <v>1</v>
      </c>
      <c r="DJ21" s="1">
        <v>7</v>
      </c>
      <c r="DK21" s="1">
        <v>5.8630000000000004</v>
      </c>
      <c r="DL21" s="1">
        <v>9.9689999999999994</v>
      </c>
      <c r="DM21" s="1">
        <v>11.903</v>
      </c>
      <c r="DN21" s="1">
        <v>3</v>
      </c>
      <c r="DO21" s="1">
        <v>5</v>
      </c>
      <c r="DP21" s="1">
        <v>4</v>
      </c>
      <c r="DQ21" s="1">
        <v>15.212999999999999</v>
      </c>
      <c r="DR21" s="1">
        <v>16.673999999999999</v>
      </c>
      <c r="DS21" s="1">
        <v>17.783999999999999</v>
      </c>
      <c r="DT21" s="1">
        <v>2</v>
      </c>
      <c r="DU21" s="1">
        <v>2</v>
      </c>
      <c r="DV21" s="1">
        <v>7</v>
      </c>
      <c r="DW21" s="1">
        <v>8.5190000000000001</v>
      </c>
      <c r="DX21" s="1">
        <v>17.347000000000001</v>
      </c>
      <c r="DY21" s="1">
        <v>18.327000000000002</v>
      </c>
      <c r="DZ21" s="1">
        <v>4</v>
      </c>
      <c r="EA21" s="1">
        <v>4</v>
      </c>
      <c r="EB21" s="1">
        <v>6</v>
      </c>
      <c r="EC21" s="1">
        <v>7.383</v>
      </c>
      <c r="ED21" s="1">
        <v>13.071</v>
      </c>
      <c r="EE21" s="1">
        <v>13.959</v>
      </c>
      <c r="EF21" s="1">
        <v>2</v>
      </c>
      <c r="EG21" s="1">
        <v>3</v>
      </c>
      <c r="EH21" s="1">
        <v>4</v>
      </c>
      <c r="EI21" s="1">
        <v>12.331</v>
      </c>
      <c r="EJ21" s="1">
        <v>28.202000000000002</v>
      </c>
      <c r="EK21" s="1">
        <v>29.013000000000002</v>
      </c>
      <c r="EL21" s="1">
        <v>3</v>
      </c>
      <c r="EM21" s="1">
        <v>1</v>
      </c>
      <c r="EN21" s="1">
        <v>6</v>
      </c>
      <c r="EO21" s="1">
        <v>10.569000000000001</v>
      </c>
      <c r="EP21" s="1">
        <v>13.082000000000001</v>
      </c>
      <c r="EQ21" s="1">
        <v>14.31</v>
      </c>
      <c r="ER21" s="1">
        <v>2</v>
      </c>
      <c r="ES21" s="4" t="s">
        <v>282</v>
      </c>
      <c r="ET21" s="1">
        <v>5</v>
      </c>
      <c r="EU21" s="1">
        <v>17.209</v>
      </c>
      <c r="EV21" s="1">
        <v>18.535</v>
      </c>
      <c r="EW21" s="1">
        <v>19.559999999999999</v>
      </c>
      <c r="EX21" s="1">
        <v>2</v>
      </c>
      <c r="EY21" s="1">
        <v>2</v>
      </c>
      <c r="EZ21" s="1">
        <v>6</v>
      </c>
      <c r="FA21" s="1">
        <v>26.094000000000001</v>
      </c>
      <c r="FB21" s="1">
        <v>34.558</v>
      </c>
      <c r="FC21" s="1">
        <v>35.256999999999998</v>
      </c>
      <c r="FD21" s="1">
        <v>2</v>
      </c>
      <c r="FE21" s="4" t="s">
        <v>282</v>
      </c>
      <c r="FF21" s="1">
        <v>5</v>
      </c>
      <c r="FG21" s="1">
        <v>8.2910000000000004</v>
      </c>
      <c r="FH21" s="1">
        <v>22.172999999999998</v>
      </c>
      <c r="FI21" s="1">
        <v>23.635000000000002</v>
      </c>
      <c r="FJ21" s="1">
        <v>3</v>
      </c>
      <c r="FK21" s="1">
        <v>1</v>
      </c>
      <c r="FL21" s="1">
        <v>6</v>
      </c>
      <c r="FM21" s="1">
        <v>6.3259999999999996</v>
      </c>
      <c r="FN21" s="1">
        <v>7.2869999999999999</v>
      </c>
      <c r="FO21" s="1">
        <v>8.8010000000000002</v>
      </c>
      <c r="FP21" s="1">
        <v>2</v>
      </c>
      <c r="FQ21" s="1">
        <v>2</v>
      </c>
      <c r="FR21" s="1">
        <v>6</v>
      </c>
      <c r="FS21" s="1">
        <v>5.41</v>
      </c>
      <c r="FT21" s="1">
        <v>6.694</v>
      </c>
      <c r="FU21" s="1">
        <v>8.6809999999999992</v>
      </c>
      <c r="FV21" s="1">
        <v>2</v>
      </c>
      <c r="FW21" s="4" t="s">
        <v>282</v>
      </c>
      <c r="FX21" s="1">
        <v>5</v>
      </c>
      <c r="FY21" s="1">
        <v>7.1689999999999996</v>
      </c>
      <c r="FZ21" s="1">
        <v>9.9269999999999996</v>
      </c>
      <c r="GA21" s="1">
        <v>10.742000000000001</v>
      </c>
      <c r="GB21" s="1">
        <v>2</v>
      </c>
      <c r="GC21" s="1">
        <v>1</v>
      </c>
      <c r="GD21" s="1">
        <v>5</v>
      </c>
      <c r="GE21" s="1">
        <v>6.2569999999999997</v>
      </c>
      <c r="GF21" s="1">
        <v>7.76</v>
      </c>
      <c r="GG21" s="1">
        <v>9.1509999999999998</v>
      </c>
      <c r="GH21" s="1">
        <v>2</v>
      </c>
      <c r="GI21" s="1">
        <v>2</v>
      </c>
      <c r="GJ21" s="1">
        <v>6</v>
      </c>
      <c r="GK21" s="1">
        <v>5.3010000000000002</v>
      </c>
      <c r="GL21" s="1">
        <v>10.326000000000001</v>
      </c>
      <c r="GM21" s="1">
        <v>11.138999999999999</v>
      </c>
      <c r="GN21" s="1">
        <v>2</v>
      </c>
      <c r="GO21" s="1">
        <v>5</v>
      </c>
      <c r="GP21" s="1">
        <v>4</v>
      </c>
      <c r="GQ21" s="1">
        <v>7.4669999999999996</v>
      </c>
      <c r="GR21" s="1">
        <v>8.4640000000000004</v>
      </c>
      <c r="GS21" s="1">
        <v>9.5489999999999995</v>
      </c>
      <c r="GT21" s="1">
        <v>2</v>
      </c>
      <c r="GU21" s="1">
        <v>1</v>
      </c>
      <c r="GV21" s="1">
        <v>6</v>
      </c>
      <c r="GW21" s="1">
        <v>4.7720000000000002</v>
      </c>
      <c r="GX21" s="1">
        <v>7.0540000000000003</v>
      </c>
      <c r="GY21" s="1">
        <v>8.7680000000000007</v>
      </c>
      <c r="GZ21" s="1">
        <v>2</v>
      </c>
      <c r="HA21" s="1">
        <v>2</v>
      </c>
      <c r="HB21" s="1">
        <v>6</v>
      </c>
      <c r="HC21" s="1">
        <v>9.3230000000000004</v>
      </c>
      <c r="HD21" s="1">
        <v>10.590999999999999</v>
      </c>
      <c r="HE21" s="1">
        <v>11.28</v>
      </c>
      <c r="HF21" s="1">
        <v>2</v>
      </c>
      <c r="HG21" s="1">
        <v>5</v>
      </c>
      <c r="HH21" s="1">
        <v>5</v>
      </c>
      <c r="HI21" s="1">
        <v>10.619</v>
      </c>
      <c r="HJ21" s="1">
        <v>12.17</v>
      </c>
      <c r="HK21" s="1">
        <v>12.879</v>
      </c>
      <c r="HL21" s="1">
        <v>2</v>
      </c>
      <c r="HM21" s="4" t="s">
        <v>519</v>
      </c>
      <c r="HN21" s="4" t="s">
        <v>519</v>
      </c>
      <c r="HO21" s="4" t="s">
        <v>520</v>
      </c>
      <c r="HP21" s="4" t="s">
        <v>520</v>
      </c>
      <c r="HQ21" s="4" t="s">
        <v>521</v>
      </c>
      <c r="HR21" s="4" t="s">
        <v>522</v>
      </c>
      <c r="HS21" s="4" t="s">
        <v>523</v>
      </c>
      <c r="HT21" s="4" t="s">
        <v>524</v>
      </c>
      <c r="HU21" s="4" t="s">
        <v>525</v>
      </c>
      <c r="HV21" s="4" t="s">
        <v>526</v>
      </c>
      <c r="HW21" s="4" t="s">
        <v>527</v>
      </c>
      <c r="HX21" s="4" t="s">
        <v>282</v>
      </c>
      <c r="HY21" s="4" t="s">
        <v>312</v>
      </c>
      <c r="HZ21" s="4" t="s">
        <v>372</v>
      </c>
      <c r="IA21" s="4" t="s">
        <v>325</v>
      </c>
      <c r="IB21" s="4" t="s">
        <v>282</v>
      </c>
      <c r="IC21" s="4" t="s">
        <v>282</v>
      </c>
    </row>
    <row r="22" spans="1:237" x14ac:dyDescent="0.2">
      <c r="A22" s="3">
        <v>45747.673657407409</v>
      </c>
      <c r="B22" s="3">
        <v>45747.691342592596</v>
      </c>
      <c r="C22" s="1">
        <v>0</v>
      </c>
      <c r="D22" s="4" t="s">
        <v>528</v>
      </c>
      <c r="E22" s="1">
        <v>100</v>
      </c>
      <c r="F22" s="1">
        <v>1527</v>
      </c>
      <c r="G22" s="1">
        <v>1</v>
      </c>
      <c r="H22" s="3">
        <v>45747.691361134261</v>
      </c>
      <c r="I22" s="4" t="s">
        <v>529</v>
      </c>
      <c r="J22" s="4" t="s">
        <v>282</v>
      </c>
      <c r="K22" s="4" t="s">
        <v>282</v>
      </c>
      <c r="L22" s="4" t="s">
        <v>282</v>
      </c>
      <c r="M22" s="4" t="s">
        <v>282</v>
      </c>
      <c r="N22" s="1">
        <v>-37.815899999999999</v>
      </c>
      <c r="O22" s="1">
        <v>144.96690000000001</v>
      </c>
      <c r="P22" s="4" t="s">
        <v>283</v>
      </c>
      <c r="Q22" s="4" t="s">
        <v>284</v>
      </c>
      <c r="R22" s="1">
        <v>0.89999997615814209</v>
      </c>
      <c r="S22" s="1">
        <v>1</v>
      </c>
      <c r="T22" s="1">
        <v>1</v>
      </c>
      <c r="U22" s="1">
        <v>1</v>
      </c>
      <c r="V22" s="1">
        <v>1</v>
      </c>
      <c r="W22" s="1">
        <v>12</v>
      </c>
      <c r="X22" s="4" t="s">
        <v>1285</v>
      </c>
      <c r="Y22" s="1">
        <v>5</v>
      </c>
      <c r="Z22" s="1">
        <v>2</v>
      </c>
      <c r="AA22" s="1">
        <v>4</v>
      </c>
      <c r="AB22" s="1">
        <v>2</v>
      </c>
      <c r="AC22" s="1">
        <v>1</v>
      </c>
      <c r="AD22" s="1">
        <v>5</v>
      </c>
      <c r="AE22" s="1">
        <v>19.213000000000001</v>
      </c>
      <c r="AF22" s="1">
        <v>27.257000000000001</v>
      </c>
      <c r="AG22" s="1">
        <v>28.189</v>
      </c>
      <c r="AH22" s="1">
        <v>2</v>
      </c>
      <c r="AI22" s="1">
        <v>4</v>
      </c>
      <c r="AJ22" s="1">
        <v>6</v>
      </c>
      <c r="AK22" s="1">
        <v>10.441000000000001</v>
      </c>
      <c r="AL22" s="1">
        <v>11.797000000000001</v>
      </c>
      <c r="AM22" s="1">
        <v>12.898</v>
      </c>
      <c r="AN22" s="1">
        <v>2</v>
      </c>
      <c r="AO22" s="1">
        <v>2</v>
      </c>
      <c r="AP22" s="1">
        <v>5</v>
      </c>
      <c r="AQ22" s="1">
        <v>9.8550000000000004</v>
      </c>
      <c r="AR22" s="1">
        <v>12.239000000000001</v>
      </c>
      <c r="AS22" s="1">
        <v>13.298</v>
      </c>
      <c r="AT22" s="1">
        <v>2</v>
      </c>
      <c r="AU22" s="1">
        <v>5</v>
      </c>
      <c r="AV22" s="1">
        <v>5</v>
      </c>
      <c r="AW22" s="1">
        <v>11.991</v>
      </c>
      <c r="AX22" s="1">
        <v>13.601000000000001</v>
      </c>
      <c r="AY22" s="1">
        <v>15.16</v>
      </c>
      <c r="AZ22" s="1">
        <v>2</v>
      </c>
      <c r="BA22" s="1">
        <v>3</v>
      </c>
      <c r="BB22" s="1">
        <v>5</v>
      </c>
      <c r="BC22" s="1">
        <v>14.85</v>
      </c>
      <c r="BD22" s="1">
        <v>16.582999999999998</v>
      </c>
      <c r="BE22" s="1">
        <v>17.623000000000001</v>
      </c>
      <c r="BF22" s="1">
        <v>2</v>
      </c>
      <c r="BG22" s="1">
        <v>1</v>
      </c>
      <c r="BH22" s="1">
        <v>5</v>
      </c>
      <c r="BI22" s="1">
        <v>11.661</v>
      </c>
      <c r="BJ22" s="1">
        <v>14.179</v>
      </c>
      <c r="BK22" s="1">
        <v>15.476000000000001</v>
      </c>
      <c r="BL22" s="1">
        <v>2</v>
      </c>
      <c r="BM22" s="1">
        <v>2</v>
      </c>
      <c r="BN22" s="1">
        <v>6</v>
      </c>
      <c r="BO22" s="1">
        <v>9.843</v>
      </c>
      <c r="BP22" s="1">
        <v>11.374000000000001</v>
      </c>
      <c r="BQ22" s="1">
        <v>12.272</v>
      </c>
      <c r="BR22" s="1">
        <v>2</v>
      </c>
      <c r="BS22" s="1">
        <v>1</v>
      </c>
      <c r="BT22" s="1">
        <v>5</v>
      </c>
      <c r="BU22" s="1">
        <v>10.202</v>
      </c>
      <c r="BV22" s="1">
        <v>12.007</v>
      </c>
      <c r="BW22" s="1">
        <v>12.851000000000001</v>
      </c>
      <c r="BX22" s="1">
        <v>2</v>
      </c>
      <c r="BY22" s="1">
        <v>3</v>
      </c>
      <c r="BZ22" s="1">
        <v>5</v>
      </c>
      <c r="CA22" s="1">
        <v>8.5030000000000001</v>
      </c>
      <c r="CB22" s="1">
        <v>11.731999999999999</v>
      </c>
      <c r="CC22" s="1">
        <v>12.976000000000001</v>
      </c>
      <c r="CD22" s="1">
        <v>2</v>
      </c>
      <c r="CE22" s="1">
        <v>4</v>
      </c>
      <c r="CF22" s="1">
        <v>5</v>
      </c>
      <c r="CG22" s="1">
        <v>14.597</v>
      </c>
      <c r="CH22" s="1">
        <v>16.047999999999998</v>
      </c>
      <c r="CI22" s="1">
        <v>17.594000000000001</v>
      </c>
      <c r="CJ22" s="1">
        <v>2</v>
      </c>
      <c r="CK22" s="1">
        <v>1</v>
      </c>
      <c r="CL22" s="1">
        <v>5</v>
      </c>
      <c r="CM22" s="1">
        <v>11.44</v>
      </c>
      <c r="CN22" s="1">
        <v>13.315</v>
      </c>
      <c r="CO22" s="1">
        <v>14.744</v>
      </c>
      <c r="CP22" s="1">
        <v>2</v>
      </c>
      <c r="CQ22" s="1">
        <v>2</v>
      </c>
      <c r="CR22" s="1">
        <v>6</v>
      </c>
      <c r="CS22" s="1">
        <v>8.2609999999999992</v>
      </c>
      <c r="CT22" s="1">
        <v>11.648</v>
      </c>
      <c r="CU22" s="1">
        <v>14.523999999999999</v>
      </c>
      <c r="CV22" s="1">
        <v>2</v>
      </c>
      <c r="CW22" s="1">
        <v>1</v>
      </c>
      <c r="CX22" s="1">
        <v>5</v>
      </c>
      <c r="CY22" s="1">
        <v>11.795</v>
      </c>
      <c r="CZ22" s="1">
        <v>13.224</v>
      </c>
      <c r="DA22" s="1">
        <v>14.381</v>
      </c>
      <c r="DB22" s="1">
        <v>2</v>
      </c>
      <c r="DC22" s="1">
        <v>4</v>
      </c>
      <c r="DD22" s="1">
        <v>6</v>
      </c>
      <c r="DE22" s="1">
        <v>8.6419999999999995</v>
      </c>
      <c r="DF22" s="1">
        <v>12.464</v>
      </c>
      <c r="DG22" s="1">
        <v>13.973000000000001</v>
      </c>
      <c r="DH22" s="1">
        <v>2</v>
      </c>
      <c r="DI22" s="1">
        <v>1</v>
      </c>
      <c r="DJ22" s="1">
        <v>6</v>
      </c>
      <c r="DK22" s="1">
        <v>8.1460000000000008</v>
      </c>
      <c r="DL22" s="1">
        <v>10.087999999999999</v>
      </c>
      <c r="DM22" s="1">
        <v>11.247</v>
      </c>
      <c r="DN22" s="1">
        <v>2</v>
      </c>
      <c r="DO22" s="1">
        <v>1</v>
      </c>
      <c r="DP22" s="1">
        <v>5</v>
      </c>
      <c r="DQ22" s="1">
        <v>8.8569999999999993</v>
      </c>
      <c r="DR22" s="1">
        <v>11.086</v>
      </c>
      <c r="DS22" s="1">
        <v>12.35</v>
      </c>
      <c r="DT22" s="1">
        <v>2</v>
      </c>
      <c r="DU22" s="1">
        <v>2</v>
      </c>
      <c r="DV22" s="1">
        <v>6</v>
      </c>
      <c r="DW22" s="1">
        <v>6.1479999999999997</v>
      </c>
      <c r="DX22" s="1">
        <v>9.33</v>
      </c>
      <c r="DY22" s="1">
        <v>10.608000000000001</v>
      </c>
      <c r="DZ22" s="1">
        <v>2</v>
      </c>
      <c r="EA22" s="1">
        <v>4</v>
      </c>
      <c r="EB22" s="1">
        <v>6</v>
      </c>
      <c r="EC22" s="1">
        <v>16.466999999999999</v>
      </c>
      <c r="ED22" s="1">
        <v>19.64</v>
      </c>
      <c r="EE22" s="1">
        <v>20.907</v>
      </c>
      <c r="EF22" s="1">
        <v>2</v>
      </c>
      <c r="EG22" s="1">
        <v>3</v>
      </c>
      <c r="EH22" s="1">
        <v>5</v>
      </c>
      <c r="EI22" s="1">
        <v>11.962</v>
      </c>
      <c r="EJ22" s="1">
        <v>13.561999999999999</v>
      </c>
      <c r="EK22" s="1">
        <v>14.775</v>
      </c>
      <c r="EL22" s="1">
        <v>2</v>
      </c>
      <c r="EM22" s="1">
        <v>4</v>
      </c>
      <c r="EN22" s="1">
        <v>6</v>
      </c>
      <c r="EO22" s="1">
        <v>12.23</v>
      </c>
      <c r="EP22" s="1">
        <v>14.042999999999999</v>
      </c>
      <c r="EQ22" s="1">
        <v>15.465</v>
      </c>
      <c r="ER22" s="1">
        <v>2</v>
      </c>
      <c r="ES22" s="1">
        <v>1</v>
      </c>
      <c r="ET22" s="1">
        <v>5</v>
      </c>
      <c r="EU22" s="1">
        <v>14.468999999999999</v>
      </c>
      <c r="EV22" s="1">
        <v>16.009</v>
      </c>
      <c r="EW22" s="1">
        <v>17.068999999999999</v>
      </c>
      <c r="EX22" s="1">
        <v>2</v>
      </c>
      <c r="EY22" s="1">
        <v>2</v>
      </c>
      <c r="EZ22" s="1">
        <v>5</v>
      </c>
      <c r="FA22" s="1">
        <v>12.651999999999999</v>
      </c>
      <c r="FB22" s="1">
        <v>14.994999999999999</v>
      </c>
      <c r="FC22" s="1">
        <v>16.594000000000001</v>
      </c>
      <c r="FD22" s="1">
        <v>2</v>
      </c>
      <c r="FE22" s="1">
        <v>5</v>
      </c>
      <c r="FF22" s="1">
        <v>5</v>
      </c>
      <c r="FG22" s="1">
        <v>11.867000000000001</v>
      </c>
      <c r="FH22" s="1">
        <v>13.869</v>
      </c>
      <c r="FI22" s="1">
        <v>15.302</v>
      </c>
      <c r="FJ22" s="1">
        <v>2</v>
      </c>
      <c r="FK22" s="1">
        <v>1</v>
      </c>
      <c r="FL22" s="1">
        <v>5</v>
      </c>
      <c r="FM22" s="1">
        <v>11.487</v>
      </c>
      <c r="FN22" s="1">
        <v>13.898999999999999</v>
      </c>
      <c r="FO22" s="1">
        <v>15.276</v>
      </c>
      <c r="FP22" s="1">
        <v>2</v>
      </c>
      <c r="FQ22" s="1">
        <v>2</v>
      </c>
      <c r="FR22" s="1">
        <v>6</v>
      </c>
      <c r="FS22" s="1">
        <v>5.867</v>
      </c>
      <c r="FT22" s="1">
        <v>7.98</v>
      </c>
      <c r="FU22" s="1">
        <v>9.2379999999999995</v>
      </c>
      <c r="FV22" s="1">
        <v>2</v>
      </c>
      <c r="FW22" s="1">
        <v>5</v>
      </c>
      <c r="FX22" s="1">
        <v>6</v>
      </c>
      <c r="FY22" s="1">
        <v>13.14</v>
      </c>
      <c r="FZ22" s="1">
        <v>16.038</v>
      </c>
      <c r="GA22" s="1">
        <v>23.286000000000001</v>
      </c>
      <c r="GB22" s="1">
        <v>2</v>
      </c>
      <c r="GC22" s="1">
        <v>5</v>
      </c>
      <c r="GD22" s="1">
        <v>5</v>
      </c>
      <c r="GE22" s="1">
        <v>11.339</v>
      </c>
      <c r="GF22" s="1">
        <v>12.294</v>
      </c>
      <c r="GG22" s="1">
        <v>13.737</v>
      </c>
      <c r="GH22" s="1">
        <v>2</v>
      </c>
      <c r="GI22" s="1">
        <v>2</v>
      </c>
      <c r="GJ22" s="1">
        <v>6</v>
      </c>
      <c r="GK22" s="1">
        <v>25.094999999999999</v>
      </c>
      <c r="GL22" s="1">
        <v>35.588000000000001</v>
      </c>
      <c r="GM22" s="1">
        <v>36.83</v>
      </c>
      <c r="GN22" s="1">
        <v>2</v>
      </c>
      <c r="GO22" s="1">
        <v>5</v>
      </c>
      <c r="GP22" s="1">
        <v>5</v>
      </c>
      <c r="GQ22" s="1">
        <v>14.747999999999999</v>
      </c>
      <c r="GR22" s="1">
        <v>22.3</v>
      </c>
      <c r="GS22" s="1">
        <v>23.434000000000001</v>
      </c>
      <c r="GT22" s="1">
        <v>2</v>
      </c>
      <c r="GU22" s="1">
        <v>1</v>
      </c>
      <c r="GV22" s="1">
        <v>5</v>
      </c>
      <c r="GW22" s="1">
        <v>24.311</v>
      </c>
      <c r="GX22" s="1">
        <v>25.995000000000001</v>
      </c>
      <c r="GY22" s="1">
        <v>27.085000000000001</v>
      </c>
      <c r="GZ22" s="1">
        <v>2</v>
      </c>
      <c r="HA22" s="1">
        <v>2</v>
      </c>
      <c r="HB22" s="1">
        <v>5</v>
      </c>
      <c r="HC22" s="1">
        <v>23.114999999999998</v>
      </c>
      <c r="HD22" s="1">
        <v>26.497</v>
      </c>
      <c r="HE22" s="1">
        <v>27.655999999999999</v>
      </c>
      <c r="HF22" s="1">
        <v>2</v>
      </c>
      <c r="HG22" s="1">
        <v>1</v>
      </c>
      <c r="HH22" s="1">
        <v>5</v>
      </c>
      <c r="HI22" s="1">
        <v>14.212999999999999</v>
      </c>
      <c r="HJ22" s="1">
        <v>15.82</v>
      </c>
      <c r="HK22" s="1">
        <v>16.684999999999999</v>
      </c>
      <c r="HL22" s="1">
        <v>2</v>
      </c>
      <c r="HM22" s="4" t="s">
        <v>531</v>
      </c>
      <c r="HN22" s="4" t="s">
        <v>532</v>
      </c>
      <c r="HO22" s="4" t="s">
        <v>533</v>
      </c>
      <c r="HP22" s="4" t="s">
        <v>534</v>
      </c>
      <c r="HQ22" s="4" t="s">
        <v>535</v>
      </c>
      <c r="HR22" s="4" t="s">
        <v>536</v>
      </c>
      <c r="HS22" s="4" t="s">
        <v>537</v>
      </c>
      <c r="HT22" s="4" t="s">
        <v>538</v>
      </c>
      <c r="HU22" s="4" t="s">
        <v>537</v>
      </c>
      <c r="HV22" s="4" t="s">
        <v>539</v>
      </c>
      <c r="HW22" s="4" t="s">
        <v>540</v>
      </c>
      <c r="HX22" s="4" t="s">
        <v>541</v>
      </c>
      <c r="HY22" s="4" t="s">
        <v>312</v>
      </c>
      <c r="HZ22" s="4" t="s">
        <v>356</v>
      </c>
      <c r="IA22" s="4" t="s">
        <v>313</v>
      </c>
      <c r="IB22" s="4" t="s">
        <v>282</v>
      </c>
      <c r="IC22" s="4" t="s">
        <v>282</v>
      </c>
    </row>
    <row r="23" spans="1:237" x14ac:dyDescent="0.2">
      <c r="A23" s="3">
        <v>45748.255856481483</v>
      </c>
      <c r="B23" s="3">
        <v>45748.26761574074</v>
      </c>
      <c r="C23" s="1">
        <v>0</v>
      </c>
      <c r="D23" s="4" t="s">
        <v>542</v>
      </c>
      <c r="E23" s="1">
        <v>100</v>
      </c>
      <c r="F23" s="1">
        <v>1015</v>
      </c>
      <c r="G23" s="1">
        <v>1</v>
      </c>
      <c r="H23" s="3">
        <v>45748.267627314817</v>
      </c>
      <c r="I23" s="4" t="s">
        <v>543</v>
      </c>
      <c r="J23" s="4" t="s">
        <v>282</v>
      </c>
      <c r="K23" s="4" t="s">
        <v>282</v>
      </c>
      <c r="L23" s="4" t="s">
        <v>282</v>
      </c>
      <c r="M23" s="4" t="s">
        <v>282</v>
      </c>
      <c r="N23" s="1">
        <v>51.003799999999998</v>
      </c>
      <c r="O23" s="1">
        <v>-118.18380000000001</v>
      </c>
      <c r="P23" s="4" t="s">
        <v>283</v>
      </c>
      <c r="Q23" s="4" t="s">
        <v>284</v>
      </c>
      <c r="R23" s="1">
        <v>0.89999997615814209</v>
      </c>
      <c r="S23" s="1">
        <v>1</v>
      </c>
      <c r="T23" s="1">
        <v>1</v>
      </c>
      <c r="U23" s="1">
        <v>1</v>
      </c>
      <c r="V23" s="1">
        <v>1</v>
      </c>
      <c r="W23" s="1">
        <v>11</v>
      </c>
      <c r="X23" s="4" t="s">
        <v>1286</v>
      </c>
      <c r="Y23" s="1">
        <v>5</v>
      </c>
      <c r="Z23" s="1">
        <v>1</v>
      </c>
      <c r="AA23" s="1">
        <v>1</v>
      </c>
      <c r="AB23" s="1">
        <v>1</v>
      </c>
      <c r="AC23" s="1">
        <v>1</v>
      </c>
      <c r="AD23" s="1">
        <v>5</v>
      </c>
      <c r="AE23" s="1">
        <v>0.78600000000000003</v>
      </c>
      <c r="AF23" s="1">
        <v>17.327000000000002</v>
      </c>
      <c r="AG23" s="1">
        <v>18.068000000000001</v>
      </c>
      <c r="AH23" s="1">
        <v>8</v>
      </c>
      <c r="AI23" s="1">
        <v>2</v>
      </c>
      <c r="AJ23" s="1">
        <v>5</v>
      </c>
      <c r="AK23" s="1">
        <v>0.86099999999999999</v>
      </c>
      <c r="AL23" s="1">
        <v>15.88</v>
      </c>
      <c r="AM23" s="1">
        <v>16.562999999999999</v>
      </c>
      <c r="AN23" s="1">
        <v>9</v>
      </c>
      <c r="AO23" s="1">
        <v>4</v>
      </c>
      <c r="AP23" s="1">
        <v>6</v>
      </c>
      <c r="AQ23" s="1">
        <v>0.71799999999999997</v>
      </c>
      <c r="AR23" s="1">
        <v>14.951000000000001</v>
      </c>
      <c r="AS23" s="1">
        <v>15.647</v>
      </c>
      <c r="AT23" s="1">
        <v>9</v>
      </c>
      <c r="AU23" s="1">
        <v>5</v>
      </c>
      <c r="AV23" s="1">
        <v>5</v>
      </c>
      <c r="AW23" s="1">
        <v>0.76400000000000001</v>
      </c>
      <c r="AX23" s="1">
        <v>17.396000000000001</v>
      </c>
      <c r="AY23" s="1">
        <v>17.939</v>
      </c>
      <c r="AZ23" s="1">
        <v>7</v>
      </c>
      <c r="BA23" s="1">
        <v>5</v>
      </c>
      <c r="BB23" s="1">
        <v>7</v>
      </c>
      <c r="BC23" s="1">
        <v>0.77</v>
      </c>
      <c r="BD23" s="1">
        <v>14.353999999999999</v>
      </c>
      <c r="BE23" s="1">
        <v>14.701000000000001</v>
      </c>
      <c r="BF23" s="1">
        <v>5</v>
      </c>
      <c r="BG23" s="1">
        <v>1</v>
      </c>
      <c r="BH23" s="1">
        <v>4</v>
      </c>
      <c r="BI23" s="1">
        <v>0.70499999999999996</v>
      </c>
      <c r="BJ23" s="1">
        <v>13.958</v>
      </c>
      <c r="BK23" s="1">
        <v>14.632999999999999</v>
      </c>
      <c r="BL23" s="1">
        <v>8</v>
      </c>
      <c r="BM23" s="1">
        <v>2</v>
      </c>
      <c r="BN23" s="1">
        <v>5</v>
      </c>
      <c r="BO23" s="1">
        <v>10.039</v>
      </c>
      <c r="BP23" s="1">
        <v>26.725999999999999</v>
      </c>
      <c r="BQ23" s="1">
        <v>27.271999999999998</v>
      </c>
      <c r="BR23" s="1">
        <v>6</v>
      </c>
      <c r="BS23" s="1">
        <v>1</v>
      </c>
      <c r="BT23" s="1">
        <v>4</v>
      </c>
      <c r="BU23" s="1">
        <v>0.72099999999999997</v>
      </c>
      <c r="BV23" s="1">
        <v>18.654</v>
      </c>
      <c r="BW23" s="1">
        <v>19.094999999999999</v>
      </c>
      <c r="BX23" s="1">
        <v>9</v>
      </c>
      <c r="BY23" s="1">
        <v>3</v>
      </c>
      <c r="BZ23" s="1">
        <v>5</v>
      </c>
      <c r="CA23" s="1">
        <v>1.198</v>
      </c>
      <c r="CB23" s="1">
        <v>15.852</v>
      </c>
      <c r="CC23" s="1">
        <v>16.542000000000002</v>
      </c>
      <c r="CD23" s="1">
        <v>8</v>
      </c>
      <c r="CE23" s="4" t="s">
        <v>282</v>
      </c>
      <c r="CF23" s="1">
        <v>4</v>
      </c>
      <c r="CG23" s="1">
        <v>0.77700000000000002</v>
      </c>
      <c r="CH23" s="1">
        <v>29.373000000000001</v>
      </c>
      <c r="CI23" s="1">
        <v>29.6</v>
      </c>
      <c r="CJ23" s="1">
        <v>14</v>
      </c>
      <c r="CK23" s="1">
        <v>1</v>
      </c>
      <c r="CL23" s="1">
        <v>7</v>
      </c>
      <c r="CM23" s="1">
        <v>0.73799999999999999</v>
      </c>
      <c r="CN23" s="1">
        <v>19.696000000000002</v>
      </c>
      <c r="CO23" s="1">
        <v>20.277999999999999</v>
      </c>
      <c r="CP23" s="1">
        <v>8</v>
      </c>
      <c r="CQ23" s="1">
        <v>2</v>
      </c>
      <c r="CR23" s="1">
        <v>5</v>
      </c>
      <c r="CS23" s="1">
        <v>0.69399999999999995</v>
      </c>
      <c r="CT23" s="1">
        <v>14.035</v>
      </c>
      <c r="CU23" s="1">
        <v>14.651999999999999</v>
      </c>
      <c r="CV23" s="1">
        <v>5</v>
      </c>
      <c r="CW23" s="1">
        <v>1</v>
      </c>
      <c r="CX23" s="1">
        <v>6</v>
      </c>
      <c r="CY23" s="1">
        <v>0.71899999999999997</v>
      </c>
      <c r="CZ23" s="1">
        <v>16.449000000000002</v>
      </c>
      <c r="DA23" s="1">
        <v>16.968</v>
      </c>
      <c r="DB23" s="1">
        <v>6</v>
      </c>
      <c r="DC23" s="1">
        <v>5</v>
      </c>
      <c r="DD23" s="1">
        <v>5</v>
      </c>
      <c r="DE23" s="1">
        <v>0.96199999999999997</v>
      </c>
      <c r="DF23" s="1">
        <v>15.593999999999999</v>
      </c>
      <c r="DG23" s="1">
        <v>16.285</v>
      </c>
      <c r="DH23" s="1">
        <v>8</v>
      </c>
      <c r="DI23" s="1">
        <v>3</v>
      </c>
      <c r="DJ23" s="1">
        <v>6</v>
      </c>
      <c r="DK23" s="1">
        <v>0.63300000000000001</v>
      </c>
      <c r="DL23" s="1">
        <v>16.571999999999999</v>
      </c>
      <c r="DM23" s="1">
        <v>16.974</v>
      </c>
      <c r="DN23" s="1">
        <v>8</v>
      </c>
      <c r="DO23" s="1">
        <v>1</v>
      </c>
      <c r="DP23" s="1">
        <v>7</v>
      </c>
      <c r="DQ23" s="1">
        <v>0.89900000000000002</v>
      </c>
      <c r="DR23" s="1">
        <v>18.298999999999999</v>
      </c>
      <c r="DS23" s="1">
        <v>19.922999999999998</v>
      </c>
      <c r="DT23" s="1">
        <v>6</v>
      </c>
      <c r="DU23" s="1">
        <v>4</v>
      </c>
      <c r="DV23" s="1">
        <v>5</v>
      </c>
      <c r="DW23" s="1">
        <v>0.77500000000000002</v>
      </c>
      <c r="DX23" s="1">
        <v>16.279</v>
      </c>
      <c r="DY23" s="1">
        <v>16.792000000000002</v>
      </c>
      <c r="DZ23" s="1">
        <v>7</v>
      </c>
      <c r="EA23" s="1">
        <v>2</v>
      </c>
      <c r="EB23" s="1">
        <v>4</v>
      </c>
      <c r="EC23" s="1">
        <v>0.90700000000000003</v>
      </c>
      <c r="ED23" s="1">
        <v>46.518000000000001</v>
      </c>
      <c r="EE23" s="1">
        <v>47.386000000000003</v>
      </c>
      <c r="EF23" s="1">
        <v>16</v>
      </c>
      <c r="EG23" s="1">
        <v>3</v>
      </c>
      <c r="EH23" s="1">
        <v>7</v>
      </c>
      <c r="EI23" s="1">
        <v>0.70399999999999996</v>
      </c>
      <c r="EJ23" s="1">
        <v>12.535</v>
      </c>
      <c r="EK23" s="1">
        <v>13.177</v>
      </c>
      <c r="EL23" s="1">
        <v>8</v>
      </c>
      <c r="EM23" s="1">
        <v>3</v>
      </c>
      <c r="EN23" s="1">
        <v>6</v>
      </c>
      <c r="EO23" s="1">
        <v>0.71299999999999997</v>
      </c>
      <c r="EP23" s="1">
        <v>15.468</v>
      </c>
      <c r="EQ23" s="1">
        <v>16.178000000000001</v>
      </c>
      <c r="ER23" s="1">
        <v>8</v>
      </c>
      <c r="ES23" s="1">
        <v>1</v>
      </c>
      <c r="ET23" s="1">
        <v>6</v>
      </c>
      <c r="EU23" s="1">
        <v>2.42</v>
      </c>
      <c r="EV23" s="1">
        <v>29.228999999999999</v>
      </c>
      <c r="EW23" s="1">
        <v>29.643000000000001</v>
      </c>
      <c r="EX23" s="1">
        <v>7</v>
      </c>
      <c r="EY23" s="1">
        <v>2</v>
      </c>
      <c r="EZ23" s="1">
        <v>5</v>
      </c>
      <c r="FA23" s="1">
        <v>1.091</v>
      </c>
      <c r="FB23" s="1">
        <v>26.911999999999999</v>
      </c>
      <c r="FC23" s="1">
        <v>27.486000000000001</v>
      </c>
      <c r="FD23" s="1">
        <v>13</v>
      </c>
      <c r="FE23" s="1">
        <v>5</v>
      </c>
      <c r="FF23" s="1">
        <v>5</v>
      </c>
      <c r="FG23" s="1">
        <v>0.90500000000000003</v>
      </c>
      <c r="FH23" s="1">
        <v>19.443999999999999</v>
      </c>
      <c r="FI23" s="1">
        <v>20.082999999999998</v>
      </c>
      <c r="FJ23" s="1">
        <v>8</v>
      </c>
      <c r="FK23" s="1">
        <v>1</v>
      </c>
      <c r="FL23" s="1">
        <v>5</v>
      </c>
      <c r="FM23" s="1">
        <v>2.1309999999999998</v>
      </c>
      <c r="FN23" s="1">
        <v>28.643999999999998</v>
      </c>
      <c r="FO23" s="1">
        <v>28.991</v>
      </c>
      <c r="FP23" s="1">
        <v>9</v>
      </c>
      <c r="FQ23" s="1">
        <v>2</v>
      </c>
      <c r="FR23" s="1">
        <v>6</v>
      </c>
      <c r="FS23" s="1">
        <v>1.169</v>
      </c>
      <c r="FT23" s="1">
        <v>13.013999999999999</v>
      </c>
      <c r="FU23" s="1">
        <v>15.13</v>
      </c>
      <c r="FV23" s="1">
        <v>9</v>
      </c>
      <c r="FW23" s="1">
        <v>5</v>
      </c>
      <c r="FX23" s="1">
        <v>5</v>
      </c>
      <c r="FY23" s="1">
        <v>1.357</v>
      </c>
      <c r="FZ23" s="1">
        <v>18.692</v>
      </c>
      <c r="GA23" s="1">
        <v>19.2</v>
      </c>
      <c r="GB23" s="1">
        <v>8</v>
      </c>
      <c r="GC23" s="1">
        <v>1</v>
      </c>
      <c r="GD23" s="1">
        <v>6</v>
      </c>
      <c r="GE23" s="1">
        <v>1.1200000000000001</v>
      </c>
      <c r="GF23" s="1">
        <v>14.667</v>
      </c>
      <c r="GG23" s="1">
        <v>15.372999999999999</v>
      </c>
      <c r="GH23" s="1">
        <v>5</v>
      </c>
      <c r="GI23" s="1">
        <v>2</v>
      </c>
      <c r="GJ23" s="1">
        <v>5</v>
      </c>
      <c r="GK23" s="1">
        <v>1.079</v>
      </c>
      <c r="GL23" s="1">
        <v>18.359000000000002</v>
      </c>
      <c r="GM23" s="1">
        <v>19.12</v>
      </c>
      <c r="GN23" s="1">
        <v>5</v>
      </c>
      <c r="GO23" s="1">
        <v>5</v>
      </c>
      <c r="GP23" s="1">
        <v>6</v>
      </c>
      <c r="GQ23" s="1">
        <v>0.80700000000000005</v>
      </c>
      <c r="GR23" s="1">
        <v>17.126999999999999</v>
      </c>
      <c r="GS23" s="1">
        <v>18.654</v>
      </c>
      <c r="GT23" s="1">
        <v>6</v>
      </c>
      <c r="GU23" s="1">
        <v>1</v>
      </c>
      <c r="GV23" s="1">
        <v>5</v>
      </c>
      <c r="GW23" s="1">
        <v>1.298</v>
      </c>
      <c r="GX23" s="1">
        <v>15.673999999999999</v>
      </c>
      <c r="GY23" s="1">
        <v>16.117000000000001</v>
      </c>
      <c r="GZ23" s="1">
        <v>9</v>
      </c>
      <c r="HA23" s="1">
        <v>2</v>
      </c>
      <c r="HB23" s="1">
        <v>5</v>
      </c>
      <c r="HC23" s="1">
        <v>1.1100000000000001</v>
      </c>
      <c r="HD23" s="1">
        <v>19.597000000000001</v>
      </c>
      <c r="HE23" s="1">
        <v>19.914000000000001</v>
      </c>
      <c r="HF23" s="1">
        <v>8</v>
      </c>
      <c r="HG23" s="1">
        <v>1</v>
      </c>
      <c r="HH23" s="1">
        <v>5</v>
      </c>
      <c r="HI23" s="1">
        <v>1.0529999999999999</v>
      </c>
      <c r="HJ23" s="1">
        <v>14.997999999999999</v>
      </c>
      <c r="HK23" s="1">
        <v>15.439</v>
      </c>
      <c r="HL23" s="1">
        <v>9</v>
      </c>
      <c r="HM23" s="4" t="s">
        <v>546</v>
      </c>
      <c r="HN23" s="4" t="s">
        <v>547</v>
      </c>
      <c r="HO23" s="4" t="s">
        <v>548</v>
      </c>
      <c r="HP23" s="4" t="s">
        <v>549</v>
      </c>
      <c r="HQ23" s="4" t="s">
        <v>550</v>
      </c>
      <c r="HR23" s="4" t="s">
        <v>551</v>
      </c>
      <c r="HS23" s="4" t="s">
        <v>552</v>
      </c>
      <c r="HT23" s="4" t="s">
        <v>553</v>
      </c>
      <c r="HU23" s="4" t="s">
        <v>554</v>
      </c>
      <c r="HV23" s="4" t="s">
        <v>555</v>
      </c>
      <c r="HW23" s="4" t="s">
        <v>282</v>
      </c>
      <c r="HX23" s="4" t="s">
        <v>282</v>
      </c>
      <c r="HY23" s="4" t="s">
        <v>312</v>
      </c>
      <c r="HZ23" s="4" t="s">
        <v>356</v>
      </c>
      <c r="IA23" s="4" t="s">
        <v>313</v>
      </c>
      <c r="IB23" s="4" t="s">
        <v>282</v>
      </c>
      <c r="IC23" s="4" t="s">
        <v>282</v>
      </c>
    </row>
    <row r="24" spans="1:237" x14ac:dyDescent="0.2">
      <c r="A24" s="3">
        <v>45748.262037037035</v>
      </c>
      <c r="B24" s="3">
        <v>45748.28533564815</v>
      </c>
      <c r="C24" s="1">
        <v>0</v>
      </c>
      <c r="D24" s="4" t="s">
        <v>556</v>
      </c>
      <c r="E24" s="1">
        <v>100</v>
      </c>
      <c r="F24" s="1">
        <v>2013</v>
      </c>
      <c r="G24" s="1">
        <v>1</v>
      </c>
      <c r="H24" s="3">
        <v>45748.285348067133</v>
      </c>
      <c r="I24" s="4" t="s">
        <v>557</v>
      </c>
      <c r="J24" s="4" t="s">
        <v>282</v>
      </c>
      <c r="K24" s="4" t="s">
        <v>282</v>
      </c>
      <c r="L24" s="4" t="s">
        <v>282</v>
      </c>
      <c r="M24" s="4" t="s">
        <v>282</v>
      </c>
      <c r="N24" s="1">
        <v>51.060499999999998</v>
      </c>
      <c r="O24" s="1">
        <v>-114.11020000000001</v>
      </c>
      <c r="P24" s="4" t="s">
        <v>283</v>
      </c>
      <c r="Q24" s="4" t="s">
        <v>284</v>
      </c>
      <c r="R24" s="1">
        <v>0.10000000149011612</v>
      </c>
      <c r="S24" s="1">
        <v>1</v>
      </c>
      <c r="T24" s="1">
        <v>1</v>
      </c>
      <c r="U24" s="1">
        <v>1</v>
      </c>
      <c r="V24" s="1">
        <v>1</v>
      </c>
      <c r="W24" s="1">
        <v>4</v>
      </c>
      <c r="X24" s="4" t="s">
        <v>1287</v>
      </c>
      <c r="Y24" s="1">
        <v>5</v>
      </c>
      <c r="Z24" s="1">
        <v>1</v>
      </c>
      <c r="AA24" s="1">
        <v>2</v>
      </c>
      <c r="AB24" s="1">
        <v>2</v>
      </c>
      <c r="AC24" s="1">
        <v>5</v>
      </c>
      <c r="AD24" s="1">
        <v>4</v>
      </c>
      <c r="AE24" s="1">
        <v>1.014</v>
      </c>
      <c r="AF24" s="1">
        <v>15.882999999999999</v>
      </c>
      <c r="AG24" s="1">
        <v>16.271999999999998</v>
      </c>
      <c r="AH24" s="1">
        <v>8</v>
      </c>
      <c r="AI24" s="1">
        <v>2</v>
      </c>
      <c r="AJ24" s="1">
        <v>5</v>
      </c>
      <c r="AK24" s="1">
        <v>0.93</v>
      </c>
      <c r="AL24" s="1">
        <v>12.791</v>
      </c>
      <c r="AM24" s="1">
        <v>13.156000000000001</v>
      </c>
      <c r="AN24" s="1">
        <v>10</v>
      </c>
      <c r="AO24" s="1">
        <v>2</v>
      </c>
      <c r="AP24" s="1">
        <v>5</v>
      </c>
      <c r="AQ24" s="1">
        <v>1.1970000000000001</v>
      </c>
      <c r="AR24" s="1">
        <v>14.54</v>
      </c>
      <c r="AS24" s="1">
        <v>14.802</v>
      </c>
      <c r="AT24" s="1">
        <v>6</v>
      </c>
      <c r="AU24" s="1">
        <v>3</v>
      </c>
      <c r="AV24" s="1">
        <v>4</v>
      </c>
      <c r="AW24" s="1">
        <v>2.7360000000000002</v>
      </c>
      <c r="AX24" s="1">
        <v>57.460999999999999</v>
      </c>
      <c r="AY24" s="1">
        <v>58.134999999999998</v>
      </c>
      <c r="AZ24" s="1">
        <v>12</v>
      </c>
      <c r="BA24" s="1">
        <v>3</v>
      </c>
      <c r="BB24" s="1">
        <v>4</v>
      </c>
      <c r="BC24" s="1">
        <v>0.84899999999999998</v>
      </c>
      <c r="BD24" s="1">
        <v>24.158999999999999</v>
      </c>
      <c r="BE24" s="1">
        <v>24.501999999999999</v>
      </c>
      <c r="BF24" s="1">
        <v>9</v>
      </c>
      <c r="BG24" s="1">
        <v>1</v>
      </c>
      <c r="BH24" s="1">
        <v>4</v>
      </c>
      <c r="BI24" s="1">
        <v>1.165</v>
      </c>
      <c r="BJ24" s="1">
        <v>20.167000000000002</v>
      </c>
      <c r="BK24" s="1">
        <v>20.501000000000001</v>
      </c>
      <c r="BL24" s="1">
        <v>11</v>
      </c>
      <c r="BM24" s="1">
        <v>2</v>
      </c>
      <c r="BN24" s="1">
        <v>5</v>
      </c>
      <c r="BO24" s="1">
        <v>0.88300000000000001</v>
      </c>
      <c r="BP24" s="1">
        <v>12.885999999999999</v>
      </c>
      <c r="BQ24" s="1">
        <v>13.101000000000001</v>
      </c>
      <c r="BR24" s="1">
        <v>9</v>
      </c>
      <c r="BS24" s="1">
        <v>4</v>
      </c>
      <c r="BT24" s="1">
        <v>5</v>
      </c>
      <c r="BU24" s="1">
        <v>1.216</v>
      </c>
      <c r="BV24" s="1">
        <v>17.344000000000001</v>
      </c>
      <c r="BW24" s="1">
        <v>17.754999999999999</v>
      </c>
      <c r="BX24" s="1">
        <v>11</v>
      </c>
      <c r="BY24" s="1">
        <v>4</v>
      </c>
      <c r="BZ24" s="1">
        <v>5</v>
      </c>
      <c r="CA24" s="1">
        <v>1.1000000000000001</v>
      </c>
      <c r="CB24" s="1">
        <v>18.478999999999999</v>
      </c>
      <c r="CC24" s="1">
        <v>18.901</v>
      </c>
      <c r="CD24" s="1">
        <v>9</v>
      </c>
      <c r="CE24" s="1">
        <v>1</v>
      </c>
      <c r="CF24" s="1">
        <v>4</v>
      </c>
      <c r="CG24" s="1">
        <v>1.3919999999999999</v>
      </c>
      <c r="CH24" s="1">
        <v>43.722999999999999</v>
      </c>
      <c r="CI24" s="1">
        <v>44.344999999999999</v>
      </c>
      <c r="CJ24" s="1">
        <v>7</v>
      </c>
      <c r="CK24" s="1">
        <v>1</v>
      </c>
      <c r="CL24" s="1">
        <v>4</v>
      </c>
      <c r="CM24" s="1">
        <v>2.181</v>
      </c>
      <c r="CN24" s="1">
        <v>18.440000000000001</v>
      </c>
      <c r="CO24" s="1">
        <v>19.300999999999998</v>
      </c>
      <c r="CP24" s="1">
        <v>8</v>
      </c>
      <c r="CQ24" s="1">
        <v>2</v>
      </c>
      <c r="CR24" s="1">
        <v>6</v>
      </c>
      <c r="CS24" s="1">
        <v>0.95599999999999996</v>
      </c>
      <c r="CT24" s="1">
        <v>12.349</v>
      </c>
      <c r="CU24" s="1">
        <v>13.397</v>
      </c>
      <c r="CV24" s="1">
        <v>9</v>
      </c>
      <c r="CW24" s="1">
        <v>4</v>
      </c>
      <c r="CX24" s="1">
        <v>4</v>
      </c>
      <c r="CY24" s="1">
        <v>1.2969999999999999</v>
      </c>
      <c r="CZ24" s="1">
        <v>30.201000000000001</v>
      </c>
      <c r="DA24" s="1">
        <v>30.898</v>
      </c>
      <c r="DB24" s="1">
        <v>9</v>
      </c>
      <c r="DC24" s="1">
        <v>3</v>
      </c>
      <c r="DD24" s="1">
        <v>4</v>
      </c>
      <c r="DE24" s="1">
        <v>0.86599999999999999</v>
      </c>
      <c r="DF24" s="1">
        <v>17.058</v>
      </c>
      <c r="DG24" s="1">
        <v>17.573</v>
      </c>
      <c r="DH24" s="1">
        <v>8</v>
      </c>
      <c r="DI24" s="1">
        <v>1</v>
      </c>
      <c r="DJ24" s="1">
        <v>4</v>
      </c>
      <c r="DK24" s="1">
        <v>0.83799999999999997</v>
      </c>
      <c r="DL24" s="1">
        <v>19.193999999999999</v>
      </c>
      <c r="DM24" s="1">
        <v>19.7</v>
      </c>
      <c r="DN24" s="1">
        <v>12</v>
      </c>
      <c r="DO24" s="1">
        <v>1</v>
      </c>
      <c r="DP24" s="1">
        <v>4</v>
      </c>
      <c r="DQ24" s="1">
        <v>1.008</v>
      </c>
      <c r="DR24" s="1">
        <v>20.298999999999999</v>
      </c>
      <c r="DS24" s="1">
        <v>20.748000000000001</v>
      </c>
      <c r="DT24" s="1">
        <v>9</v>
      </c>
      <c r="DU24" s="1">
        <v>2</v>
      </c>
      <c r="DV24" s="1">
        <v>5</v>
      </c>
      <c r="DW24" s="1">
        <v>0.91900000000000004</v>
      </c>
      <c r="DX24" s="1">
        <v>40.235999999999997</v>
      </c>
      <c r="DY24" s="1">
        <v>40.277000000000001</v>
      </c>
      <c r="DZ24" s="1">
        <v>10</v>
      </c>
      <c r="EA24" s="1">
        <v>3</v>
      </c>
      <c r="EB24" s="1">
        <v>4</v>
      </c>
      <c r="EC24" s="1">
        <v>0.91100000000000003</v>
      </c>
      <c r="ED24" s="1">
        <v>46.296999999999997</v>
      </c>
      <c r="EE24" s="1">
        <v>46.790999999999997</v>
      </c>
      <c r="EF24" s="1">
        <v>12</v>
      </c>
      <c r="EG24" s="1">
        <v>5</v>
      </c>
      <c r="EH24" s="1">
        <v>4</v>
      </c>
      <c r="EI24" s="1">
        <v>0.96799999999999997</v>
      </c>
      <c r="EJ24" s="1">
        <v>30.367999999999999</v>
      </c>
      <c r="EK24" s="1">
        <v>30.600999999999999</v>
      </c>
      <c r="EL24" s="1">
        <v>8</v>
      </c>
      <c r="EM24" s="1">
        <v>1</v>
      </c>
      <c r="EN24" s="1">
        <v>5</v>
      </c>
      <c r="EO24" s="1">
        <v>0.999</v>
      </c>
      <c r="EP24" s="1">
        <v>14.272</v>
      </c>
      <c r="EQ24" s="1">
        <v>14.901</v>
      </c>
      <c r="ER24" s="1">
        <v>9</v>
      </c>
      <c r="ES24" s="1">
        <v>5</v>
      </c>
      <c r="ET24" s="1">
        <v>3</v>
      </c>
      <c r="EU24" s="1">
        <v>0.92600000000000005</v>
      </c>
      <c r="EV24" s="1">
        <v>15.196</v>
      </c>
      <c r="EW24" s="1">
        <v>15.67</v>
      </c>
      <c r="EX24" s="1">
        <v>9</v>
      </c>
      <c r="EY24" s="1">
        <v>2</v>
      </c>
      <c r="EZ24" s="1">
        <v>6</v>
      </c>
      <c r="FA24" s="1">
        <v>0.875</v>
      </c>
      <c r="FB24" s="1">
        <v>11.215</v>
      </c>
      <c r="FC24" s="1">
        <v>11.595000000000001</v>
      </c>
      <c r="FD24" s="1">
        <v>8</v>
      </c>
      <c r="FE24" s="1">
        <v>5</v>
      </c>
      <c r="FF24" s="1">
        <v>5</v>
      </c>
      <c r="FG24" s="1">
        <v>1.171</v>
      </c>
      <c r="FH24" s="1">
        <v>11.196999999999999</v>
      </c>
      <c r="FI24" s="1">
        <v>11.403</v>
      </c>
      <c r="FJ24" s="1">
        <v>9</v>
      </c>
      <c r="FK24" s="1">
        <v>1</v>
      </c>
      <c r="FL24" s="1">
        <v>5</v>
      </c>
      <c r="FM24" s="1">
        <v>0.90100000000000002</v>
      </c>
      <c r="FN24" s="1">
        <v>12.938000000000001</v>
      </c>
      <c r="FO24" s="1">
        <v>13.253</v>
      </c>
      <c r="FP24" s="1">
        <v>10</v>
      </c>
      <c r="FQ24" s="1">
        <v>2</v>
      </c>
      <c r="FR24" s="1">
        <v>6</v>
      </c>
      <c r="FS24" s="1">
        <v>1.129</v>
      </c>
      <c r="FT24" s="1">
        <v>15.042</v>
      </c>
      <c r="FU24" s="1">
        <v>15.462</v>
      </c>
      <c r="FV24" s="1">
        <v>9</v>
      </c>
      <c r="FW24" s="1">
        <v>5</v>
      </c>
      <c r="FX24" s="1">
        <v>5</v>
      </c>
      <c r="FY24" s="1">
        <v>6.9619999999999997</v>
      </c>
      <c r="FZ24" s="1">
        <v>41.823</v>
      </c>
      <c r="GA24" s="1">
        <v>42.46</v>
      </c>
      <c r="GB24" s="1">
        <v>18</v>
      </c>
      <c r="GC24" s="1">
        <v>1</v>
      </c>
      <c r="GD24" s="1">
        <v>6</v>
      </c>
      <c r="GE24" s="1">
        <v>0.878</v>
      </c>
      <c r="GF24" s="1">
        <v>12.58</v>
      </c>
      <c r="GG24" s="1">
        <v>12.954000000000001</v>
      </c>
      <c r="GH24" s="1">
        <v>8</v>
      </c>
      <c r="GI24" s="1">
        <v>2</v>
      </c>
      <c r="GJ24" s="1">
        <v>6</v>
      </c>
      <c r="GK24" s="1">
        <v>1.169</v>
      </c>
      <c r="GL24" s="1">
        <v>12.692</v>
      </c>
      <c r="GM24" s="1">
        <v>13.096</v>
      </c>
      <c r="GN24" s="1">
        <v>10</v>
      </c>
      <c r="GO24" s="1">
        <v>5</v>
      </c>
      <c r="GP24" s="1">
        <v>5</v>
      </c>
      <c r="GQ24" s="1">
        <v>0.98799999999999999</v>
      </c>
      <c r="GR24" s="1">
        <v>16.396999999999998</v>
      </c>
      <c r="GS24" s="1">
        <v>16.774000000000001</v>
      </c>
      <c r="GT24" s="1">
        <v>7</v>
      </c>
      <c r="GU24" s="1">
        <v>1</v>
      </c>
      <c r="GV24" s="1">
        <v>5</v>
      </c>
      <c r="GW24" s="1">
        <v>1.087</v>
      </c>
      <c r="GX24" s="1">
        <v>13.013</v>
      </c>
      <c r="GY24" s="1">
        <v>13.452999999999999</v>
      </c>
      <c r="GZ24" s="1">
        <v>9</v>
      </c>
      <c r="HA24" s="1">
        <v>2</v>
      </c>
      <c r="HB24" s="1">
        <v>5</v>
      </c>
      <c r="HC24" s="1">
        <v>0.70099999999999996</v>
      </c>
      <c r="HD24" s="1">
        <v>20.51</v>
      </c>
      <c r="HE24" s="1">
        <v>20.8</v>
      </c>
      <c r="HF24" s="1">
        <v>12</v>
      </c>
      <c r="HG24" s="1">
        <v>5</v>
      </c>
      <c r="HH24" s="1">
        <v>3</v>
      </c>
      <c r="HI24" s="1">
        <v>1.048</v>
      </c>
      <c r="HJ24" s="1">
        <v>31.712</v>
      </c>
      <c r="HK24" s="1">
        <v>32.267000000000003</v>
      </c>
      <c r="HL24" s="1">
        <v>11</v>
      </c>
      <c r="HM24" s="4" t="s">
        <v>559</v>
      </c>
      <c r="HN24" s="4" t="s">
        <v>560</v>
      </c>
      <c r="HO24" s="4" t="s">
        <v>561</v>
      </c>
      <c r="HP24" s="4" t="s">
        <v>560</v>
      </c>
      <c r="HQ24" s="4" t="s">
        <v>562</v>
      </c>
      <c r="HR24" s="4" t="s">
        <v>563</v>
      </c>
      <c r="HS24" s="4" t="s">
        <v>564</v>
      </c>
      <c r="HT24" s="4" t="s">
        <v>565</v>
      </c>
      <c r="HU24" s="4" t="s">
        <v>566</v>
      </c>
      <c r="HV24" s="4" t="s">
        <v>567</v>
      </c>
      <c r="HW24" s="4" t="s">
        <v>282</v>
      </c>
      <c r="HX24" s="4" t="s">
        <v>282</v>
      </c>
      <c r="HY24" s="4" t="s">
        <v>312</v>
      </c>
      <c r="HZ24" s="4" t="s">
        <v>372</v>
      </c>
      <c r="IA24" s="4" t="s">
        <v>325</v>
      </c>
      <c r="IB24" s="4" t="s">
        <v>282</v>
      </c>
      <c r="IC24" s="4" t="s">
        <v>282</v>
      </c>
    </row>
    <row r="25" spans="1:237" x14ac:dyDescent="0.2">
      <c r="A25" s="3">
        <v>45748.290532407409</v>
      </c>
      <c r="B25" s="3">
        <v>45748.303229166668</v>
      </c>
      <c r="C25" s="1">
        <v>0</v>
      </c>
      <c r="D25" s="4" t="s">
        <v>568</v>
      </c>
      <c r="E25" s="1">
        <v>100</v>
      </c>
      <c r="F25" s="1">
        <v>1096</v>
      </c>
      <c r="G25" s="1">
        <v>1</v>
      </c>
      <c r="H25" s="3">
        <v>45748.30324361111</v>
      </c>
      <c r="I25" s="4" t="s">
        <v>569</v>
      </c>
      <c r="J25" s="4" t="s">
        <v>282</v>
      </c>
      <c r="K25" s="4" t="s">
        <v>282</v>
      </c>
      <c r="L25" s="4" t="s">
        <v>282</v>
      </c>
      <c r="M25" s="4" t="s">
        <v>282</v>
      </c>
      <c r="N25" s="1">
        <v>51.040599999999998</v>
      </c>
      <c r="O25" s="1">
        <v>-114.07640000000001</v>
      </c>
      <c r="P25" s="4" t="s">
        <v>283</v>
      </c>
      <c r="Q25" s="4" t="s">
        <v>284</v>
      </c>
      <c r="R25" s="1">
        <v>0.89999997615814209</v>
      </c>
      <c r="S25" s="1">
        <v>1</v>
      </c>
      <c r="T25" s="1">
        <v>1</v>
      </c>
      <c r="U25" s="1">
        <v>1</v>
      </c>
      <c r="V25" s="1">
        <v>1</v>
      </c>
      <c r="W25" s="1">
        <v>7</v>
      </c>
      <c r="X25" s="4" t="s">
        <v>1288</v>
      </c>
      <c r="Y25" s="1">
        <v>5</v>
      </c>
      <c r="Z25" s="1">
        <v>2</v>
      </c>
      <c r="AA25" s="1">
        <v>1</v>
      </c>
      <c r="AB25" s="1">
        <v>2</v>
      </c>
      <c r="AC25" s="1">
        <v>1</v>
      </c>
      <c r="AD25" s="1">
        <v>6</v>
      </c>
      <c r="AE25" s="1">
        <v>9.8689999999999998</v>
      </c>
      <c r="AF25" s="1">
        <v>13.148</v>
      </c>
      <c r="AG25" s="1">
        <v>13.734</v>
      </c>
      <c r="AH25" s="1">
        <v>5</v>
      </c>
      <c r="AI25" s="1">
        <v>2</v>
      </c>
      <c r="AJ25" s="1">
        <v>6</v>
      </c>
      <c r="AK25" s="1">
        <v>8.2710000000000008</v>
      </c>
      <c r="AL25" s="1">
        <v>11.446999999999999</v>
      </c>
      <c r="AM25" s="1">
        <v>12.028</v>
      </c>
      <c r="AN25" s="1">
        <v>5</v>
      </c>
      <c r="AO25" s="1">
        <v>2</v>
      </c>
      <c r="AP25" s="1">
        <v>6</v>
      </c>
      <c r="AQ25" s="1">
        <v>7.1369999999999996</v>
      </c>
      <c r="AR25" s="1">
        <v>12.37</v>
      </c>
      <c r="AS25" s="1">
        <v>12.882999999999999</v>
      </c>
      <c r="AT25" s="1">
        <v>6</v>
      </c>
      <c r="AU25" s="1">
        <v>5</v>
      </c>
      <c r="AV25" s="1">
        <v>6</v>
      </c>
      <c r="AW25" s="1">
        <v>6.83</v>
      </c>
      <c r="AX25" s="1">
        <v>9.9339999999999993</v>
      </c>
      <c r="AY25" s="1">
        <v>10.829000000000001</v>
      </c>
      <c r="AZ25" s="1">
        <v>4</v>
      </c>
      <c r="BA25" s="1">
        <v>3</v>
      </c>
      <c r="BB25" s="1">
        <v>6</v>
      </c>
      <c r="BC25" s="1">
        <v>10.436999999999999</v>
      </c>
      <c r="BD25" s="1">
        <v>12.776999999999999</v>
      </c>
      <c r="BE25" s="1">
        <v>13.381</v>
      </c>
      <c r="BF25" s="1">
        <v>4</v>
      </c>
      <c r="BG25" s="1">
        <v>1</v>
      </c>
      <c r="BH25" s="1">
        <v>6</v>
      </c>
      <c r="BI25" s="1">
        <v>8.7530000000000001</v>
      </c>
      <c r="BJ25" s="1">
        <v>11.595000000000001</v>
      </c>
      <c r="BK25" s="1">
        <v>14.651999999999999</v>
      </c>
      <c r="BL25" s="1">
        <v>5</v>
      </c>
      <c r="BM25" s="1">
        <v>2</v>
      </c>
      <c r="BN25" s="1">
        <v>5</v>
      </c>
      <c r="BO25" s="1">
        <v>15.343999999999999</v>
      </c>
      <c r="BP25" s="1">
        <v>18.260000000000002</v>
      </c>
      <c r="BQ25" s="1">
        <v>18.71</v>
      </c>
      <c r="BR25" s="1">
        <v>6</v>
      </c>
      <c r="BS25" s="1">
        <v>1</v>
      </c>
      <c r="BT25" s="1">
        <v>6</v>
      </c>
      <c r="BU25" s="1">
        <v>10.51</v>
      </c>
      <c r="BV25" s="1">
        <v>15.574</v>
      </c>
      <c r="BW25" s="1">
        <v>16.035</v>
      </c>
      <c r="BX25" s="1">
        <v>5</v>
      </c>
      <c r="BY25" s="1">
        <v>5</v>
      </c>
      <c r="BZ25" s="1">
        <v>6</v>
      </c>
      <c r="CA25" s="1">
        <v>9.4960000000000004</v>
      </c>
      <c r="CB25" s="1">
        <v>14.55</v>
      </c>
      <c r="CC25" s="1">
        <v>15.053000000000001</v>
      </c>
      <c r="CD25" s="1">
        <v>7</v>
      </c>
      <c r="CE25" s="1">
        <v>4</v>
      </c>
      <c r="CF25" s="1">
        <v>5</v>
      </c>
      <c r="CG25" s="1">
        <v>7.625</v>
      </c>
      <c r="CH25" s="1">
        <v>17.988</v>
      </c>
      <c r="CI25" s="1">
        <v>18.939</v>
      </c>
      <c r="CJ25" s="1">
        <v>6</v>
      </c>
      <c r="CK25" s="1">
        <v>1</v>
      </c>
      <c r="CL25" s="1">
        <v>5</v>
      </c>
      <c r="CM25" s="1">
        <v>9.5129999999999999</v>
      </c>
      <c r="CN25" s="1">
        <v>12.752000000000001</v>
      </c>
      <c r="CO25" s="1">
        <v>13.244999999999999</v>
      </c>
      <c r="CP25" s="1">
        <v>6</v>
      </c>
      <c r="CQ25" s="1">
        <v>2</v>
      </c>
      <c r="CR25" s="1">
        <v>6</v>
      </c>
      <c r="CS25" s="1">
        <v>7.6269999999999998</v>
      </c>
      <c r="CT25" s="1">
        <v>12.351000000000001</v>
      </c>
      <c r="CU25" s="1">
        <v>12.798999999999999</v>
      </c>
      <c r="CV25" s="1">
        <v>6</v>
      </c>
      <c r="CW25" s="1">
        <v>1</v>
      </c>
      <c r="CX25" s="1">
        <v>5</v>
      </c>
      <c r="CY25" s="1">
        <v>6.3780000000000001</v>
      </c>
      <c r="CZ25" s="1">
        <v>13.02</v>
      </c>
      <c r="DA25" s="1">
        <v>13.566000000000001</v>
      </c>
      <c r="DB25" s="1">
        <v>8</v>
      </c>
      <c r="DC25" s="1">
        <v>5</v>
      </c>
      <c r="DD25" s="1">
        <v>5</v>
      </c>
      <c r="DE25" s="1">
        <v>5.7910000000000004</v>
      </c>
      <c r="DF25" s="1">
        <v>9.3829999999999991</v>
      </c>
      <c r="DG25" s="1">
        <v>10.013999999999999</v>
      </c>
      <c r="DH25" s="1">
        <v>5</v>
      </c>
      <c r="DI25" s="1">
        <v>4</v>
      </c>
      <c r="DJ25" s="1">
        <v>5</v>
      </c>
      <c r="DK25" s="1">
        <v>5.1740000000000004</v>
      </c>
      <c r="DL25" s="1">
        <v>13.036</v>
      </c>
      <c r="DM25" s="1">
        <v>13.62</v>
      </c>
      <c r="DN25" s="1">
        <v>8</v>
      </c>
      <c r="DO25" s="1">
        <v>1</v>
      </c>
      <c r="DP25" s="1">
        <v>5</v>
      </c>
      <c r="DQ25" s="1">
        <v>6.0460000000000003</v>
      </c>
      <c r="DR25" s="1">
        <v>9.0030000000000001</v>
      </c>
      <c r="DS25" s="1">
        <v>9.8309999999999995</v>
      </c>
      <c r="DT25" s="1">
        <v>4</v>
      </c>
      <c r="DU25" s="1">
        <v>2</v>
      </c>
      <c r="DV25" s="1">
        <v>6</v>
      </c>
      <c r="DW25" s="1">
        <v>5.2309999999999999</v>
      </c>
      <c r="DX25" s="1">
        <v>13.74</v>
      </c>
      <c r="DY25" s="1">
        <v>14.273999999999999</v>
      </c>
      <c r="DZ25" s="1">
        <v>6</v>
      </c>
      <c r="EA25" s="1">
        <v>2</v>
      </c>
      <c r="EB25" s="1">
        <v>5</v>
      </c>
      <c r="EC25" s="1">
        <v>9.7750000000000004</v>
      </c>
      <c r="ED25" s="1">
        <v>19.719000000000001</v>
      </c>
      <c r="EE25" s="1">
        <v>20.288</v>
      </c>
      <c r="EF25" s="1">
        <v>9</v>
      </c>
      <c r="EG25" s="1">
        <v>3</v>
      </c>
      <c r="EH25" s="1">
        <v>6</v>
      </c>
      <c r="EI25" s="1">
        <v>7.6079999999999997</v>
      </c>
      <c r="EJ25" s="1">
        <v>17.257000000000001</v>
      </c>
      <c r="EK25" s="1">
        <v>20.181999999999999</v>
      </c>
      <c r="EL25" s="1">
        <v>8</v>
      </c>
      <c r="EM25" s="1">
        <v>4</v>
      </c>
      <c r="EN25" s="1">
        <v>5</v>
      </c>
      <c r="EO25" s="1">
        <v>8.6340000000000003</v>
      </c>
      <c r="EP25" s="1">
        <v>11.286</v>
      </c>
      <c r="EQ25" s="1">
        <v>11.843</v>
      </c>
      <c r="ER25" s="1">
        <v>5</v>
      </c>
      <c r="ES25" s="1">
        <v>1</v>
      </c>
      <c r="ET25" s="1">
        <v>5</v>
      </c>
      <c r="EU25" s="1">
        <v>5.18</v>
      </c>
      <c r="EV25" s="1">
        <v>13.058999999999999</v>
      </c>
      <c r="EW25" s="1">
        <v>14.058</v>
      </c>
      <c r="EX25" s="1">
        <v>7</v>
      </c>
      <c r="EY25" s="1">
        <v>2</v>
      </c>
      <c r="EZ25" s="1">
        <v>5</v>
      </c>
      <c r="FA25" s="1">
        <v>6.1589999999999998</v>
      </c>
      <c r="FB25" s="1">
        <v>18.928000000000001</v>
      </c>
      <c r="FC25" s="1">
        <v>19.541</v>
      </c>
      <c r="FD25" s="1">
        <v>9</v>
      </c>
      <c r="FE25" s="1">
        <v>5</v>
      </c>
      <c r="FF25" s="1">
        <v>6</v>
      </c>
      <c r="FG25" s="1">
        <v>9.7629999999999999</v>
      </c>
      <c r="FH25" s="1">
        <v>13.474</v>
      </c>
      <c r="FI25" s="1">
        <v>14.394</v>
      </c>
      <c r="FJ25" s="1">
        <v>4</v>
      </c>
      <c r="FK25" s="1">
        <v>1</v>
      </c>
      <c r="FL25" s="1">
        <v>6</v>
      </c>
      <c r="FM25" s="1">
        <v>7.1539999999999999</v>
      </c>
      <c r="FN25" s="1">
        <v>11.667</v>
      </c>
      <c r="FO25" s="1">
        <v>12.157</v>
      </c>
      <c r="FP25" s="1">
        <v>5</v>
      </c>
      <c r="FQ25" s="1">
        <v>2</v>
      </c>
      <c r="FR25" s="1">
        <v>5</v>
      </c>
      <c r="FS25" s="1">
        <v>7.1239999999999997</v>
      </c>
      <c r="FT25" s="1">
        <v>18.603000000000002</v>
      </c>
      <c r="FU25" s="1">
        <v>19.161999999999999</v>
      </c>
      <c r="FV25" s="1">
        <v>6</v>
      </c>
      <c r="FW25" s="1">
        <v>5</v>
      </c>
      <c r="FX25" s="1">
        <v>6</v>
      </c>
      <c r="FY25" s="1">
        <v>3.1190000000000002</v>
      </c>
      <c r="FZ25" s="1">
        <v>25.427</v>
      </c>
      <c r="GA25" s="1">
        <v>25.82</v>
      </c>
      <c r="GB25" s="1">
        <v>7</v>
      </c>
      <c r="GC25" s="1">
        <v>1</v>
      </c>
      <c r="GD25" s="1">
        <v>5</v>
      </c>
      <c r="GE25" s="1">
        <v>2.3530000000000002</v>
      </c>
      <c r="GF25" s="1">
        <v>13.9</v>
      </c>
      <c r="GG25" s="1">
        <v>14.661</v>
      </c>
      <c r="GH25" s="1">
        <v>4</v>
      </c>
      <c r="GI25" s="1">
        <v>2</v>
      </c>
      <c r="GJ25" s="1">
        <v>5</v>
      </c>
      <c r="GK25" s="1">
        <v>4.6139999999999999</v>
      </c>
      <c r="GL25" s="1">
        <v>32.08</v>
      </c>
      <c r="GM25" s="1">
        <v>32.651000000000003</v>
      </c>
      <c r="GN25" s="1">
        <v>8</v>
      </c>
      <c r="GO25" s="1">
        <v>5</v>
      </c>
      <c r="GP25" s="1">
        <v>5</v>
      </c>
      <c r="GQ25" s="1">
        <v>3.2040000000000002</v>
      </c>
      <c r="GR25" s="1">
        <v>17.777000000000001</v>
      </c>
      <c r="GS25" s="1">
        <v>18.276</v>
      </c>
      <c r="GT25" s="1">
        <v>8</v>
      </c>
      <c r="GU25" s="1">
        <v>1</v>
      </c>
      <c r="GV25" s="1">
        <v>6</v>
      </c>
      <c r="GW25" s="1">
        <v>3.194</v>
      </c>
      <c r="GX25" s="1">
        <v>10.047000000000001</v>
      </c>
      <c r="GY25" s="1">
        <v>10.587</v>
      </c>
      <c r="GZ25" s="1">
        <v>7</v>
      </c>
      <c r="HA25" s="1">
        <v>2</v>
      </c>
      <c r="HB25" s="1">
        <v>5</v>
      </c>
      <c r="HC25" s="1">
        <v>10.62</v>
      </c>
      <c r="HD25" s="1">
        <v>14.244</v>
      </c>
      <c r="HE25" s="1">
        <v>14.853</v>
      </c>
      <c r="HF25" s="1">
        <v>6</v>
      </c>
      <c r="HG25" s="1">
        <v>1</v>
      </c>
      <c r="HH25" s="1">
        <v>5</v>
      </c>
      <c r="HI25" s="1">
        <v>8.3339999999999996</v>
      </c>
      <c r="HJ25" s="1">
        <v>12.429</v>
      </c>
      <c r="HK25" s="1">
        <v>12.946999999999999</v>
      </c>
      <c r="HL25" s="1">
        <v>3</v>
      </c>
      <c r="HM25" s="4" t="s">
        <v>571</v>
      </c>
      <c r="HN25" s="4" t="s">
        <v>572</v>
      </c>
      <c r="HO25" s="4" t="s">
        <v>573</v>
      </c>
      <c r="HP25" s="4" t="s">
        <v>574</v>
      </c>
      <c r="HQ25" s="4" t="s">
        <v>575</v>
      </c>
      <c r="HR25" s="4" t="s">
        <v>576</v>
      </c>
      <c r="HS25" s="4" t="s">
        <v>577</v>
      </c>
      <c r="HT25" s="4" t="s">
        <v>578</v>
      </c>
      <c r="HU25" s="4" t="s">
        <v>579</v>
      </c>
      <c r="HV25" s="4" t="s">
        <v>434</v>
      </c>
      <c r="HW25" s="4" t="s">
        <v>580</v>
      </c>
      <c r="HX25" s="4" t="s">
        <v>282</v>
      </c>
      <c r="HY25" s="4" t="s">
        <v>312</v>
      </c>
      <c r="HZ25" s="4" t="s">
        <v>356</v>
      </c>
      <c r="IA25" s="4" t="s">
        <v>313</v>
      </c>
      <c r="IB25" s="4" t="s">
        <v>282</v>
      </c>
      <c r="IC25" s="4" t="s">
        <v>282</v>
      </c>
    </row>
    <row r="26" spans="1:237" x14ac:dyDescent="0.2">
      <c r="A26" s="3">
        <v>45748.310347222221</v>
      </c>
      <c r="B26" s="3">
        <v>45748.329641203702</v>
      </c>
      <c r="C26" s="1">
        <v>0</v>
      </c>
      <c r="D26" s="4" t="s">
        <v>581</v>
      </c>
      <c r="E26" s="1">
        <v>100</v>
      </c>
      <c r="F26" s="1">
        <v>1667</v>
      </c>
      <c r="G26" s="1">
        <v>1</v>
      </c>
      <c r="H26" s="3">
        <v>45748.329664467594</v>
      </c>
      <c r="I26" s="4" t="s">
        <v>582</v>
      </c>
      <c r="J26" s="4" t="s">
        <v>282</v>
      </c>
      <c r="K26" s="4" t="s">
        <v>282</v>
      </c>
      <c r="L26" s="4" t="s">
        <v>282</v>
      </c>
      <c r="M26" s="4" t="s">
        <v>282</v>
      </c>
      <c r="N26" s="1">
        <v>49.247599999999998</v>
      </c>
      <c r="O26" s="1">
        <v>-123.1234</v>
      </c>
      <c r="P26" s="4" t="s">
        <v>283</v>
      </c>
      <c r="Q26" s="4" t="s">
        <v>284</v>
      </c>
      <c r="R26" s="1">
        <v>1</v>
      </c>
      <c r="S26" s="1">
        <v>1</v>
      </c>
      <c r="T26" s="1">
        <v>1</v>
      </c>
      <c r="U26" s="1">
        <v>1</v>
      </c>
      <c r="V26" s="1">
        <v>1</v>
      </c>
      <c r="W26" s="1">
        <v>5</v>
      </c>
      <c r="X26" s="4" t="s">
        <v>312</v>
      </c>
      <c r="Y26" s="1">
        <v>5</v>
      </c>
      <c r="Z26" s="1">
        <v>1</v>
      </c>
      <c r="AA26" s="1">
        <v>1</v>
      </c>
      <c r="AB26" s="1">
        <v>1</v>
      </c>
      <c r="AC26" s="1">
        <v>1</v>
      </c>
      <c r="AD26" s="1">
        <v>5</v>
      </c>
      <c r="AE26" s="1">
        <v>8.6720000000000006</v>
      </c>
      <c r="AF26" s="1">
        <v>15.42</v>
      </c>
      <c r="AG26" s="1">
        <v>15.879</v>
      </c>
      <c r="AH26" s="1">
        <v>10</v>
      </c>
      <c r="AI26" s="1">
        <v>2</v>
      </c>
      <c r="AJ26" s="1">
        <v>6</v>
      </c>
      <c r="AK26" s="1">
        <v>11.898</v>
      </c>
      <c r="AL26" s="1">
        <v>29.498999999999999</v>
      </c>
      <c r="AM26" s="1">
        <v>30.038</v>
      </c>
      <c r="AN26" s="1">
        <v>17</v>
      </c>
      <c r="AO26" s="1">
        <v>2</v>
      </c>
      <c r="AP26" s="1">
        <v>5</v>
      </c>
      <c r="AQ26" s="1">
        <v>32.573</v>
      </c>
      <c r="AR26" s="1">
        <v>46.1</v>
      </c>
      <c r="AS26" s="1">
        <v>46.906999999999996</v>
      </c>
      <c r="AT26" s="1">
        <v>9</v>
      </c>
      <c r="AU26" s="1">
        <v>5</v>
      </c>
      <c r="AV26" s="1">
        <v>6</v>
      </c>
      <c r="AW26" s="1">
        <v>4.92</v>
      </c>
      <c r="AX26" s="1">
        <v>11.117000000000001</v>
      </c>
      <c r="AY26" s="1">
        <v>11.741</v>
      </c>
      <c r="AZ26" s="1">
        <v>9</v>
      </c>
      <c r="BA26" s="1">
        <v>5</v>
      </c>
      <c r="BB26" s="1">
        <v>6</v>
      </c>
      <c r="BC26" s="1">
        <v>2.738</v>
      </c>
      <c r="BD26" s="1">
        <v>14.961</v>
      </c>
      <c r="BE26" s="1">
        <v>15.555</v>
      </c>
      <c r="BF26" s="1">
        <v>13</v>
      </c>
      <c r="BG26" s="1">
        <v>1</v>
      </c>
      <c r="BH26" s="1">
        <v>5</v>
      </c>
      <c r="BI26" s="1">
        <v>8.4009999999999998</v>
      </c>
      <c r="BJ26" s="1">
        <v>30.442</v>
      </c>
      <c r="BK26" s="1">
        <v>31.29</v>
      </c>
      <c r="BL26" s="1">
        <v>18</v>
      </c>
      <c r="BM26" s="1">
        <v>4</v>
      </c>
      <c r="BN26" s="1">
        <v>5</v>
      </c>
      <c r="BO26" s="1">
        <v>6.5620000000000003</v>
      </c>
      <c r="BP26" s="1">
        <v>16.748000000000001</v>
      </c>
      <c r="BQ26" s="1">
        <v>17.367000000000001</v>
      </c>
      <c r="BR26" s="1">
        <v>13</v>
      </c>
      <c r="BS26" s="1">
        <v>1</v>
      </c>
      <c r="BT26" s="1">
        <v>5</v>
      </c>
      <c r="BU26" s="1">
        <v>2.806</v>
      </c>
      <c r="BV26" s="1">
        <v>17.623999999999999</v>
      </c>
      <c r="BW26" s="1">
        <v>18.376999999999999</v>
      </c>
      <c r="BX26" s="1">
        <v>9</v>
      </c>
      <c r="BY26" s="1">
        <v>5</v>
      </c>
      <c r="BZ26" s="1">
        <v>4</v>
      </c>
      <c r="CA26" s="1">
        <v>3.6720000000000002</v>
      </c>
      <c r="CB26" s="1">
        <v>26.535</v>
      </c>
      <c r="CC26" s="1">
        <v>27.137</v>
      </c>
      <c r="CD26" s="1">
        <v>15</v>
      </c>
      <c r="CE26" s="1">
        <v>3</v>
      </c>
      <c r="CF26" s="1">
        <v>6</v>
      </c>
      <c r="CG26" s="1">
        <v>7.3390000000000004</v>
      </c>
      <c r="CH26" s="1">
        <v>14.116</v>
      </c>
      <c r="CI26" s="1">
        <v>14.781000000000001</v>
      </c>
      <c r="CJ26" s="1">
        <v>9</v>
      </c>
      <c r="CK26" s="1">
        <v>1</v>
      </c>
      <c r="CL26" s="1">
        <v>5</v>
      </c>
      <c r="CM26" s="1">
        <v>7.4240000000000004</v>
      </c>
      <c r="CN26" s="1">
        <v>12.42</v>
      </c>
      <c r="CO26" s="1">
        <v>13.122999999999999</v>
      </c>
      <c r="CP26" s="1">
        <v>8</v>
      </c>
      <c r="CQ26" s="1">
        <v>4</v>
      </c>
      <c r="CR26" s="1">
        <v>5</v>
      </c>
      <c r="CS26" s="1">
        <v>7.0720000000000001</v>
      </c>
      <c r="CT26" s="1">
        <v>15.605</v>
      </c>
      <c r="CU26" s="1">
        <v>16.22</v>
      </c>
      <c r="CV26" s="1">
        <v>11</v>
      </c>
      <c r="CW26" s="1">
        <v>4</v>
      </c>
      <c r="CX26" s="1">
        <v>5</v>
      </c>
      <c r="CY26" s="1">
        <v>13.73</v>
      </c>
      <c r="CZ26" s="1">
        <v>36.335999999999999</v>
      </c>
      <c r="DA26" s="1">
        <v>37.04</v>
      </c>
      <c r="DB26" s="1">
        <v>11</v>
      </c>
      <c r="DC26" s="1">
        <v>3</v>
      </c>
      <c r="DD26" s="1">
        <v>5</v>
      </c>
      <c r="DE26" s="1">
        <v>11.529</v>
      </c>
      <c r="DF26" s="1">
        <v>14.358000000000001</v>
      </c>
      <c r="DG26" s="1">
        <v>15.14</v>
      </c>
      <c r="DH26" s="1">
        <v>7</v>
      </c>
      <c r="DI26" s="1">
        <v>3</v>
      </c>
      <c r="DJ26" s="1">
        <v>6</v>
      </c>
      <c r="DK26" s="1">
        <v>7.6459999999999999</v>
      </c>
      <c r="DL26" s="1">
        <v>13.332000000000001</v>
      </c>
      <c r="DM26" s="1">
        <v>13.888999999999999</v>
      </c>
      <c r="DN26" s="1">
        <v>12</v>
      </c>
      <c r="DO26" s="1">
        <v>1</v>
      </c>
      <c r="DP26" s="1">
        <v>3</v>
      </c>
      <c r="DQ26" s="1">
        <v>9.798</v>
      </c>
      <c r="DR26" s="1">
        <v>26.52</v>
      </c>
      <c r="DS26" s="1">
        <v>27.867999999999999</v>
      </c>
      <c r="DT26" s="1">
        <v>12</v>
      </c>
      <c r="DU26" s="1">
        <v>4</v>
      </c>
      <c r="DV26" s="1">
        <v>5</v>
      </c>
      <c r="DW26" s="1">
        <v>6.5430000000000001</v>
      </c>
      <c r="DX26" s="1">
        <v>11.170999999999999</v>
      </c>
      <c r="DY26" s="1">
        <v>11.859</v>
      </c>
      <c r="DZ26" s="1">
        <v>8</v>
      </c>
      <c r="EA26" s="1">
        <v>4</v>
      </c>
      <c r="EB26" s="1">
        <v>5</v>
      </c>
      <c r="EC26" s="1">
        <v>22.547000000000001</v>
      </c>
      <c r="ED26" s="1">
        <v>26.457999999999998</v>
      </c>
      <c r="EE26" s="1">
        <v>27.213999999999999</v>
      </c>
      <c r="EF26" s="1">
        <v>6</v>
      </c>
      <c r="EG26" s="1">
        <v>3</v>
      </c>
      <c r="EH26" s="1">
        <v>5</v>
      </c>
      <c r="EI26" s="1">
        <v>3.194</v>
      </c>
      <c r="EJ26" s="1">
        <v>10.561</v>
      </c>
      <c r="EK26" s="1">
        <v>11.505000000000001</v>
      </c>
      <c r="EL26" s="1">
        <v>9</v>
      </c>
      <c r="EM26" s="1">
        <v>3</v>
      </c>
      <c r="EN26" s="1">
        <v>6</v>
      </c>
      <c r="EO26" s="1">
        <v>3.137</v>
      </c>
      <c r="EP26" s="1">
        <v>12.768000000000001</v>
      </c>
      <c r="EQ26" s="1">
        <v>13.577</v>
      </c>
      <c r="ER26" s="1">
        <v>13</v>
      </c>
      <c r="ES26" s="1">
        <v>1</v>
      </c>
      <c r="ET26" s="1">
        <v>5</v>
      </c>
      <c r="EU26" s="1">
        <v>2.827</v>
      </c>
      <c r="EV26" s="1">
        <v>39.545000000000002</v>
      </c>
      <c r="EW26" s="1">
        <v>40.081000000000003</v>
      </c>
      <c r="EX26" s="1">
        <v>11</v>
      </c>
      <c r="EY26" s="1">
        <v>2</v>
      </c>
      <c r="EZ26" s="1">
        <v>6</v>
      </c>
      <c r="FA26" s="1">
        <v>12.215</v>
      </c>
      <c r="FB26" s="1">
        <v>16.96</v>
      </c>
      <c r="FC26" s="1">
        <v>17.597000000000001</v>
      </c>
      <c r="FD26" s="1">
        <v>7</v>
      </c>
      <c r="FE26" s="1">
        <v>5</v>
      </c>
      <c r="FF26" s="1">
        <v>6</v>
      </c>
      <c r="FG26" s="1">
        <v>7.4960000000000004</v>
      </c>
      <c r="FH26" s="1">
        <v>13.738</v>
      </c>
      <c r="FI26" s="1">
        <v>14.398999999999999</v>
      </c>
      <c r="FJ26" s="1">
        <v>8</v>
      </c>
      <c r="FK26" s="1">
        <v>1</v>
      </c>
      <c r="FL26" s="1">
        <v>5</v>
      </c>
      <c r="FM26" s="1">
        <v>10.109</v>
      </c>
      <c r="FN26" s="1">
        <v>62.048999999999999</v>
      </c>
      <c r="FO26" s="1">
        <v>63.197000000000003</v>
      </c>
      <c r="FP26" s="1">
        <v>15</v>
      </c>
      <c r="FQ26" s="1">
        <v>2</v>
      </c>
      <c r="FR26" s="1">
        <v>7</v>
      </c>
      <c r="FS26" s="1">
        <v>4.3920000000000003</v>
      </c>
      <c r="FT26" s="1">
        <v>14.582000000000001</v>
      </c>
      <c r="FU26" s="1">
        <v>15.456</v>
      </c>
      <c r="FV26" s="1">
        <v>9</v>
      </c>
      <c r="FW26" s="1">
        <v>5</v>
      </c>
      <c r="FX26" s="1">
        <v>6</v>
      </c>
      <c r="FY26" s="1">
        <v>3.3159999999999998</v>
      </c>
      <c r="FZ26" s="1">
        <v>10.606999999999999</v>
      </c>
      <c r="GA26" s="1">
        <v>11.343</v>
      </c>
      <c r="GB26" s="1">
        <v>8</v>
      </c>
      <c r="GC26" s="1">
        <v>1</v>
      </c>
      <c r="GD26" s="1">
        <v>7</v>
      </c>
      <c r="GE26" s="1">
        <v>3.0419999999999998</v>
      </c>
      <c r="GF26" s="1">
        <v>15.456</v>
      </c>
      <c r="GG26" s="1">
        <v>16.181000000000001</v>
      </c>
      <c r="GH26" s="1">
        <v>9</v>
      </c>
      <c r="GI26" s="1">
        <v>2</v>
      </c>
      <c r="GJ26" s="1">
        <v>7</v>
      </c>
      <c r="GK26" s="1">
        <v>4.0439999999999996</v>
      </c>
      <c r="GL26" s="1">
        <v>13.510999999999999</v>
      </c>
      <c r="GM26" s="1">
        <v>14.332000000000001</v>
      </c>
      <c r="GN26" s="1">
        <v>7</v>
      </c>
      <c r="GO26" s="1">
        <v>5</v>
      </c>
      <c r="GP26" s="1">
        <v>6</v>
      </c>
      <c r="GQ26" s="1">
        <v>3.1909999999999998</v>
      </c>
      <c r="GR26" s="1">
        <v>13.72</v>
      </c>
      <c r="GS26" s="1">
        <v>14.436</v>
      </c>
      <c r="GT26" s="1">
        <v>12</v>
      </c>
      <c r="GU26" s="1">
        <v>1</v>
      </c>
      <c r="GV26" s="1">
        <v>6</v>
      </c>
      <c r="GW26" s="1">
        <v>3.6909999999999998</v>
      </c>
      <c r="GX26" s="1">
        <v>34.802999999999997</v>
      </c>
      <c r="GY26" s="1">
        <v>35.247999999999998</v>
      </c>
      <c r="GZ26" s="1">
        <v>13</v>
      </c>
      <c r="HA26" s="1">
        <v>2</v>
      </c>
      <c r="HB26" s="1">
        <v>6</v>
      </c>
      <c r="HC26" s="1">
        <v>3.2559999999999998</v>
      </c>
      <c r="HD26" s="1">
        <v>9.532</v>
      </c>
      <c r="HE26" s="1">
        <v>10.272</v>
      </c>
      <c r="HF26" s="1">
        <v>7</v>
      </c>
      <c r="HG26" s="1">
        <v>5</v>
      </c>
      <c r="HH26" s="1">
        <v>5</v>
      </c>
      <c r="HI26" s="1">
        <v>3.097</v>
      </c>
      <c r="HJ26" s="1">
        <v>13.974</v>
      </c>
      <c r="HK26" s="1">
        <v>14.57</v>
      </c>
      <c r="HL26" s="1">
        <v>9</v>
      </c>
      <c r="HM26" s="4" t="s">
        <v>583</v>
      </c>
      <c r="HN26" s="4" t="s">
        <v>584</v>
      </c>
      <c r="HO26" s="4" t="s">
        <v>585</v>
      </c>
      <c r="HP26" s="4" t="s">
        <v>586</v>
      </c>
      <c r="HQ26" s="4" t="s">
        <v>587</v>
      </c>
      <c r="HR26" s="4" t="s">
        <v>588</v>
      </c>
      <c r="HS26" s="4" t="s">
        <v>589</v>
      </c>
      <c r="HT26" s="4" t="s">
        <v>590</v>
      </c>
      <c r="HU26" s="4" t="s">
        <v>591</v>
      </c>
      <c r="HV26" s="4" t="s">
        <v>592</v>
      </c>
      <c r="HW26" s="4" t="s">
        <v>593</v>
      </c>
      <c r="HX26" s="4" t="s">
        <v>282</v>
      </c>
      <c r="HY26" s="4" t="s">
        <v>312</v>
      </c>
      <c r="HZ26" s="4" t="s">
        <v>356</v>
      </c>
      <c r="IA26" s="4" t="s">
        <v>313</v>
      </c>
      <c r="IB26" s="4" t="s">
        <v>282</v>
      </c>
      <c r="IC26" s="4" t="s">
        <v>282</v>
      </c>
    </row>
    <row r="27" spans="1:237" x14ac:dyDescent="0.2">
      <c r="A27" s="3">
        <v>45748.319224537037</v>
      </c>
      <c r="B27" s="3">
        <v>45748.334953703707</v>
      </c>
      <c r="C27" s="1">
        <v>0</v>
      </c>
      <c r="D27" s="4" t="s">
        <v>594</v>
      </c>
      <c r="E27" s="1">
        <v>100</v>
      </c>
      <c r="F27" s="1">
        <v>1359</v>
      </c>
      <c r="G27" s="1">
        <v>1</v>
      </c>
      <c r="H27" s="3">
        <v>45748.334969814816</v>
      </c>
      <c r="I27" s="4" t="s">
        <v>595</v>
      </c>
      <c r="J27" s="4" t="s">
        <v>282</v>
      </c>
      <c r="K27" s="4" t="s">
        <v>282</v>
      </c>
      <c r="L27" s="4" t="s">
        <v>282</v>
      </c>
      <c r="M27" s="4" t="s">
        <v>282</v>
      </c>
      <c r="N27" s="1">
        <v>49.5291</v>
      </c>
      <c r="O27" s="1">
        <v>-96.685199999999995</v>
      </c>
      <c r="P27" s="4" t="s">
        <v>283</v>
      </c>
      <c r="Q27" s="4" t="s">
        <v>284</v>
      </c>
      <c r="R27" s="1">
        <v>0.69999998807907104</v>
      </c>
      <c r="S27" s="1">
        <v>1</v>
      </c>
      <c r="T27" s="1">
        <v>1</v>
      </c>
      <c r="U27" s="1">
        <v>1</v>
      </c>
      <c r="V27" s="1">
        <v>1</v>
      </c>
      <c r="W27" s="1">
        <v>5</v>
      </c>
      <c r="X27" s="4" t="s">
        <v>1289</v>
      </c>
      <c r="Y27" s="1">
        <v>5</v>
      </c>
      <c r="Z27" s="1">
        <v>1</v>
      </c>
      <c r="AA27" s="1">
        <v>1</v>
      </c>
      <c r="AB27" s="1">
        <v>1</v>
      </c>
      <c r="AC27" s="4" t="s">
        <v>282</v>
      </c>
      <c r="AD27" s="1">
        <v>7</v>
      </c>
      <c r="AE27" s="1">
        <v>11.395</v>
      </c>
      <c r="AF27" s="1">
        <v>18.12</v>
      </c>
      <c r="AG27" s="1">
        <v>18.651</v>
      </c>
      <c r="AH27" s="1">
        <v>6</v>
      </c>
      <c r="AI27" s="1">
        <v>4</v>
      </c>
      <c r="AJ27" s="1">
        <v>7</v>
      </c>
      <c r="AK27" s="1">
        <v>9.7279999999999998</v>
      </c>
      <c r="AL27" s="1">
        <v>13.68</v>
      </c>
      <c r="AM27" s="1">
        <v>14.462</v>
      </c>
      <c r="AN27" s="1">
        <v>6</v>
      </c>
      <c r="AO27" s="1">
        <v>4</v>
      </c>
      <c r="AP27" s="1">
        <v>7</v>
      </c>
      <c r="AQ27" s="1">
        <v>8.3460000000000001</v>
      </c>
      <c r="AR27" s="1">
        <v>16.329000000000001</v>
      </c>
      <c r="AS27" s="1">
        <v>16.984000000000002</v>
      </c>
      <c r="AT27" s="1">
        <v>8</v>
      </c>
      <c r="AU27" s="1">
        <v>3</v>
      </c>
      <c r="AV27" s="1">
        <v>6</v>
      </c>
      <c r="AW27" s="1">
        <v>17.003</v>
      </c>
      <c r="AX27" s="1">
        <v>23.786999999999999</v>
      </c>
      <c r="AY27" s="1">
        <v>24.692</v>
      </c>
      <c r="AZ27" s="1">
        <v>6</v>
      </c>
      <c r="BA27" s="1">
        <v>3</v>
      </c>
      <c r="BB27" s="1">
        <v>5</v>
      </c>
      <c r="BC27" s="1">
        <v>12.253</v>
      </c>
      <c r="BD27" s="1">
        <v>15.840999999999999</v>
      </c>
      <c r="BE27" s="1">
        <v>16.899000000000001</v>
      </c>
      <c r="BF27" s="1">
        <v>4</v>
      </c>
      <c r="BG27" s="1">
        <v>1</v>
      </c>
      <c r="BH27" s="1">
        <v>6</v>
      </c>
      <c r="BI27" s="1">
        <v>24.597999999999999</v>
      </c>
      <c r="BJ27" s="1">
        <v>28.582000000000001</v>
      </c>
      <c r="BK27" s="1">
        <v>29.353000000000002</v>
      </c>
      <c r="BL27" s="1">
        <v>5</v>
      </c>
      <c r="BM27" s="1">
        <v>2</v>
      </c>
      <c r="BN27" s="1">
        <v>7</v>
      </c>
      <c r="BO27" s="1">
        <v>15.134</v>
      </c>
      <c r="BP27" s="1">
        <v>17.872</v>
      </c>
      <c r="BQ27" s="1">
        <v>18.661000000000001</v>
      </c>
      <c r="BR27" s="1">
        <v>5</v>
      </c>
      <c r="BS27" s="4" t="s">
        <v>282</v>
      </c>
      <c r="BT27" s="1">
        <v>6</v>
      </c>
      <c r="BU27" s="1">
        <v>8.9120000000000008</v>
      </c>
      <c r="BV27" s="1">
        <v>21.875</v>
      </c>
      <c r="BW27" s="1">
        <v>22.6</v>
      </c>
      <c r="BX27" s="1">
        <v>6</v>
      </c>
      <c r="BY27" s="1">
        <v>4</v>
      </c>
      <c r="BZ27" s="1">
        <v>7</v>
      </c>
      <c r="CA27" s="1">
        <v>38.764000000000003</v>
      </c>
      <c r="CB27" s="1">
        <v>61.838999999999999</v>
      </c>
      <c r="CC27" s="1">
        <v>62.963000000000001</v>
      </c>
      <c r="CD27" s="1">
        <v>9</v>
      </c>
      <c r="CE27" s="1">
        <v>2</v>
      </c>
      <c r="CF27" s="1">
        <v>7</v>
      </c>
      <c r="CG27" s="1">
        <v>18.547999999999998</v>
      </c>
      <c r="CH27" s="1">
        <v>29.756</v>
      </c>
      <c r="CI27" s="1">
        <v>30.498999999999999</v>
      </c>
      <c r="CJ27" s="1">
        <v>7</v>
      </c>
      <c r="CK27" s="4" t="s">
        <v>282</v>
      </c>
      <c r="CL27" s="1">
        <v>6</v>
      </c>
      <c r="CM27" s="1">
        <v>8.4619999999999997</v>
      </c>
      <c r="CN27" s="1">
        <v>13.180999999999999</v>
      </c>
      <c r="CO27" s="1">
        <v>13.965</v>
      </c>
      <c r="CP27" s="1">
        <v>5</v>
      </c>
      <c r="CQ27" s="1">
        <v>2</v>
      </c>
      <c r="CR27" s="1">
        <v>6</v>
      </c>
      <c r="CS27" s="1">
        <v>19.5</v>
      </c>
      <c r="CT27" s="1">
        <v>24.77</v>
      </c>
      <c r="CU27" s="1">
        <v>25.507000000000001</v>
      </c>
      <c r="CV27" s="1">
        <v>6</v>
      </c>
      <c r="CW27" s="1">
        <v>2</v>
      </c>
      <c r="CX27" s="1">
        <v>5</v>
      </c>
      <c r="CY27" s="1">
        <v>27.234000000000002</v>
      </c>
      <c r="CZ27" s="1">
        <v>44.082000000000001</v>
      </c>
      <c r="DA27" s="1">
        <v>44.972999999999999</v>
      </c>
      <c r="DB27" s="1">
        <v>7</v>
      </c>
      <c r="DC27" s="1">
        <v>4</v>
      </c>
      <c r="DD27" s="1">
        <v>6</v>
      </c>
      <c r="DE27" s="1">
        <v>12.888</v>
      </c>
      <c r="DF27" s="1">
        <v>17.584</v>
      </c>
      <c r="DG27" s="1">
        <v>20.888000000000002</v>
      </c>
      <c r="DH27" s="1">
        <v>6</v>
      </c>
      <c r="DI27" s="1">
        <v>1</v>
      </c>
      <c r="DJ27" s="1">
        <v>7</v>
      </c>
      <c r="DK27" s="1">
        <v>25.207000000000001</v>
      </c>
      <c r="DL27" s="1">
        <v>34.533999999999999</v>
      </c>
      <c r="DM27" s="1">
        <v>35.381999999999998</v>
      </c>
      <c r="DN27" s="1">
        <v>8</v>
      </c>
      <c r="DO27" s="4" t="s">
        <v>282</v>
      </c>
      <c r="DP27" s="1">
        <v>7</v>
      </c>
      <c r="DQ27" s="1">
        <v>8.5239999999999991</v>
      </c>
      <c r="DR27" s="1">
        <v>11.97</v>
      </c>
      <c r="DS27" s="1">
        <v>12.47</v>
      </c>
      <c r="DT27" s="1">
        <v>6</v>
      </c>
      <c r="DU27" s="1">
        <v>2</v>
      </c>
      <c r="DV27" s="1">
        <v>7</v>
      </c>
      <c r="DW27" s="1">
        <v>12.999000000000001</v>
      </c>
      <c r="DX27" s="1">
        <v>19.724</v>
      </c>
      <c r="DY27" s="1">
        <v>20.283999999999999</v>
      </c>
      <c r="DZ27" s="1">
        <v>6</v>
      </c>
      <c r="EA27" s="1">
        <v>4</v>
      </c>
      <c r="EB27" s="1">
        <v>7</v>
      </c>
      <c r="EC27" s="1">
        <v>17.698</v>
      </c>
      <c r="ED27" s="1">
        <v>24.224</v>
      </c>
      <c r="EE27" s="1">
        <v>24.934999999999999</v>
      </c>
      <c r="EF27" s="1">
        <v>7</v>
      </c>
      <c r="EG27" s="1">
        <v>4</v>
      </c>
      <c r="EH27" s="1">
        <v>6</v>
      </c>
      <c r="EI27" s="1">
        <v>17.706</v>
      </c>
      <c r="EJ27" s="1">
        <v>26.19</v>
      </c>
      <c r="EK27" s="1">
        <v>26.891999999999999</v>
      </c>
      <c r="EL27" s="1">
        <v>6</v>
      </c>
      <c r="EM27" s="1">
        <v>3</v>
      </c>
      <c r="EN27" s="1">
        <v>7</v>
      </c>
      <c r="EO27" s="1">
        <v>10.252000000000001</v>
      </c>
      <c r="EP27" s="1">
        <v>14.714</v>
      </c>
      <c r="EQ27" s="1">
        <v>15.404</v>
      </c>
      <c r="ER27" s="1">
        <v>6</v>
      </c>
      <c r="ES27" s="1">
        <v>1</v>
      </c>
      <c r="ET27" s="1">
        <v>7</v>
      </c>
      <c r="EU27" s="1">
        <v>11.387</v>
      </c>
      <c r="EV27" s="1">
        <v>13.94</v>
      </c>
      <c r="EW27" s="1">
        <v>14.798</v>
      </c>
      <c r="EX27" s="1">
        <v>4</v>
      </c>
      <c r="EY27" s="1">
        <v>2</v>
      </c>
      <c r="EZ27" s="1">
        <v>7</v>
      </c>
      <c r="FA27" s="1">
        <v>8.5210000000000008</v>
      </c>
      <c r="FB27" s="1">
        <v>12.452</v>
      </c>
      <c r="FC27" s="1">
        <v>12.805</v>
      </c>
      <c r="FD27" s="1">
        <v>5</v>
      </c>
      <c r="FE27" s="1">
        <v>5</v>
      </c>
      <c r="FF27" s="1">
        <v>7</v>
      </c>
      <c r="FG27" s="1">
        <v>9.2859999999999996</v>
      </c>
      <c r="FH27" s="1">
        <v>12.476000000000001</v>
      </c>
      <c r="FI27" s="1">
        <v>12.9</v>
      </c>
      <c r="FJ27" s="1">
        <v>4</v>
      </c>
      <c r="FK27" s="1">
        <v>1</v>
      </c>
      <c r="FL27" s="1">
        <v>7</v>
      </c>
      <c r="FM27" s="1">
        <v>6.2249999999999996</v>
      </c>
      <c r="FN27" s="1">
        <v>15.077</v>
      </c>
      <c r="FO27" s="1">
        <v>15.634</v>
      </c>
      <c r="FP27" s="1">
        <v>7</v>
      </c>
      <c r="FQ27" s="1">
        <v>2</v>
      </c>
      <c r="FR27" s="1">
        <v>7</v>
      </c>
      <c r="FS27" s="1">
        <v>7.88</v>
      </c>
      <c r="FT27" s="1">
        <v>11.891999999999999</v>
      </c>
      <c r="FU27" s="1">
        <v>12.6</v>
      </c>
      <c r="FV27" s="1">
        <v>6</v>
      </c>
      <c r="FW27" s="1">
        <v>5</v>
      </c>
      <c r="FX27" s="1">
        <v>7</v>
      </c>
      <c r="FY27" s="1">
        <v>8.4030000000000005</v>
      </c>
      <c r="FZ27" s="1">
        <v>13.276</v>
      </c>
      <c r="GA27" s="1">
        <v>13.992000000000001</v>
      </c>
      <c r="GB27" s="1">
        <v>6</v>
      </c>
      <c r="GC27" s="1">
        <v>1</v>
      </c>
      <c r="GD27" s="1">
        <v>7</v>
      </c>
      <c r="GE27" s="1">
        <v>7.27</v>
      </c>
      <c r="GF27" s="1">
        <v>12.034000000000001</v>
      </c>
      <c r="GG27" s="1">
        <v>12.69</v>
      </c>
      <c r="GH27" s="1">
        <v>6</v>
      </c>
      <c r="GI27" s="1">
        <v>2</v>
      </c>
      <c r="GJ27" s="1">
        <v>7</v>
      </c>
      <c r="GK27" s="1">
        <v>14.234</v>
      </c>
      <c r="GL27" s="1">
        <v>18.890999999999998</v>
      </c>
      <c r="GM27" s="1">
        <v>19.555</v>
      </c>
      <c r="GN27" s="1">
        <v>6</v>
      </c>
      <c r="GO27" s="1">
        <v>5</v>
      </c>
      <c r="GP27" s="1">
        <v>7</v>
      </c>
      <c r="GQ27" s="1">
        <v>14.765000000000001</v>
      </c>
      <c r="GR27" s="1">
        <v>18.61</v>
      </c>
      <c r="GS27" s="1">
        <v>19.108000000000001</v>
      </c>
      <c r="GT27" s="1">
        <v>6</v>
      </c>
      <c r="GU27" s="1">
        <v>1</v>
      </c>
      <c r="GV27" s="1">
        <v>7</v>
      </c>
      <c r="GW27" s="1">
        <v>6.681</v>
      </c>
      <c r="GX27" s="1">
        <v>10.327999999999999</v>
      </c>
      <c r="GY27" s="1">
        <v>10.824</v>
      </c>
      <c r="GZ27" s="1">
        <v>4</v>
      </c>
      <c r="HA27" s="1">
        <v>2</v>
      </c>
      <c r="HB27" s="1">
        <v>7</v>
      </c>
      <c r="HC27" s="1">
        <v>1.6259999999999999</v>
      </c>
      <c r="HD27" s="1">
        <v>22.84</v>
      </c>
      <c r="HE27" s="1">
        <v>23.3</v>
      </c>
      <c r="HF27" s="1">
        <v>10</v>
      </c>
      <c r="HG27" s="1">
        <v>1</v>
      </c>
      <c r="HH27" s="1">
        <v>6</v>
      </c>
      <c r="HI27" s="1">
        <v>17.867999999999999</v>
      </c>
      <c r="HJ27" s="1">
        <v>22.123999999999999</v>
      </c>
      <c r="HK27" s="1">
        <v>25.257999999999999</v>
      </c>
      <c r="HL27" s="1">
        <v>6</v>
      </c>
      <c r="HM27" s="4" t="s">
        <v>597</v>
      </c>
      <c r="HN27" s="4" t="s">
        <v>598</v>
      </c>
      <c r="HO27" s="4" t="s">
        <v>599</v>
      </c>
      <c r="HP27" s="4" t="s">
        <v>600</v>
      </c>
      <c r="HQ27" s="4" t="s">
        <v>601</v>
      </c>
      <c r="HR27" s="4" t="s">
        <v>600</v>
      </c>
      <c r="HS27" s="4" t="s">
        <v>602</v>
      </c>
      <c r="HT27" s="4" t="s">
        <v>603</v>
      </c>
      <c r="HU27" s="4" t="s">
        <v>604</v>
      </c>
      <c r="HV27" s="4" t="s">
        <v>605</v>
      </c>
      <c r="HW27" s="4" t="s">
        <v>282</v>
      </c>
      <c r="HX27" s="4" t="s">
        <v>282</v>
      </c>
      <c r="HY27" s="4" t="s">
        <v>312</v>
      </c>
      <c r="HZ27" s="4" t="s">
        <v>372</v>
      </c>
      <c r="IA27" s="4" t="s">
        <v>325</v>
      </c>
      <c r="IB27" s="4" t="s">
        <v>282</v>
      </c>
      <c r="IC27" s="4" t="s">
        <v>282</v>
      </c>
    </row>
    <row r="28" spans="1:237" x14ac:dyDescent="0.2">
      <c r="A28" s="3">
        <v>45748.320173611108</v>
      </c>
      <c r="B28" s="3">
        <v>45748.337291666663</v>
      </c>
      <c r="C28" s="1">
        <v>0</v>
      </c>
      <c r="D28" s="4" t="s">
        <v>606</v>
      </c>
      <c r="E28" s="1">
        <v>100</v>
      </c>
      <c r="F28" s="1">
        <v>1479</v>
      </c>
      <c r="G28" s="1">
        <v>1</v>
      </c>
      <c r="H28" s="3">
        <v>45748.337307106478</v>
      </c>
      <c r="I28" s="4" t="s">
        <v>607</v>
      </c>
      <c r="J28" s="4" t="s">
        <v>282</v>
      </c>
      <c r="K28" s="4" t="s">
        <v>282</v>
      </c>
      <c r="L28" s="4" t="s">
        <v>282</v>
      </c>
      <c r="M28" s="4" t="s">
        <v>282</v>
      </c>
      <c r="N28" s="1">
        <v>49.843200000000003</v>
      </c>
      <c r="O28" s="1">
        <v>-97.114099999999993</v>
      </c>
      <c r="P28" s="4" t="s">
        <v>283</v>
      </c>
      <c r="Q28" s="4" t="s">
        <v>284</v>
      </c>
      <c r="R28" s="1">
        <v>1</v>
      </c>
      <c r="S28" s="1">
        <v>1</v>
      </c>
      <c r="T28" s="1">
        <v>1</v>
      </c>
      <c r="U28" s="1">
        <v>1</v>
      </c>
      <c r="V28" s="1">
        <v>1</v>
      </c>
      <c r="W28" s="1">
        <v>11</v>
      </c>
      <c r="X28" s="4" t="s">
        <v>1282</v>
      </c>
      <c r="Y28" s="1">
        <v>5</v>
      </c>
      <c r="Z28" s="1">
        <v>1</v>
      </c>
      <c r="AA28" s="1">
        <v>1</v>
      </c>
      <c r="AB28" s="1">
        <v>2</v>
      </c>
      <c r="AC28" s="1">
        <v>5</v>
      </c>
      <c r="AD28" s="1">
        <v>5</v>
      </c>
      <c r="AE28" s="1">
        <v>4.1929999999999996</v>
      </c>
      <c r="AF28" s="1">
        <v>25.628</v>
      </c>
      <c r="AG28" s="1">
        <v>27.356000000000002</v>
      </c>
      <c r="AH28" s="1">
        <v>5</v>
      </c>
      <c r="AI28" s="1">
        <v>4</v>
      </c>
      <c r="AJ28" s="1">
        <v>5</v>
      </c>
      <c r="AK28" s="1">
        <v>6.5270000000000001</v>
      </c>
      <c r="AL28" s="1">
        <v>23.134</v>
      </c>
      <c r="AM28" s="1">
        <v>24.018999999999998</v>
      </c>
      <c r="AN28" s="1">
        <v>5</v>
      </c>
      <c r="AO28" s="1">
        <v>2</v>
      </c>
      <c r="AP28" s="1">
        <v>6</v>
      </c>
      <c r="AQ28" s="1">
        <v>15.324</v>
      </c>
      <c r="AR28" s="1">
        <v>17.97</v>
      </c>
      <c r="AS28" s="1">
        <v>18.542999999999999</v>
      </c>
      <c r="AT28" s="1">
        <v>4</v>
      </c>
      <c r="AU28" s="1">
        <v>4</v>
      </c>
      <c r="AV28" s="1">
        <v>7</v>
      </c>
      <c r="AW28" s="1">
        <v>3.762</v>
      </c>
      <c r="AX28" s="1">
        <v>20.105</v>
      </c>
      <c r="AY28" s="1">
        <v>21.087</v>
      </c>
      <c r="AZ28" s="1">
        <v>4</v>
      </c>
      <c r="BA28" s="1">
        <v>4</v>
      </c>
      <c r="BB28" s="1">
        <v>7</v>
      </c>
      <c r="BC28" s="1">
        <v>19.625</v>
      </c>
      <c r="BD28" s="1">
        <v>22.669</v>
      </c>
      <c r="BE28" s="1">
        <v>23.468</v>
      </c>
      <c r="BF28" s="1">
        <v>4</v>
      </c>
      <c r="BG28" s="1">
        <v>5</v>
      </c>
      <c r="BH28" s="1">
        <v>5</v>
      </c>
      <c r="BI28" s="1">
        <v>3.2749999999999999</v>
      </c>
      <c r="BJ28" s="1">
        <v>24.974</v>
      </c>
      <c r="BK28" s="1">
        <v>25.757999999999999</v>
      </c>
      <c r="BL28" s="1">
        <v>6</v>
      </c>
      <c r="BM28" s="1">
        <v>2</v>
      </c>
      <c r="BN28" s="1">
        <v>6</v>
      </c>
      <c r="BO28" s="1">
        <v>15.632999999999999</v>
      </c>
      <c r="BP28" s="1">
        <v>18.344999999999999</v>
      </c>
      <c r="BQ28" s="1">
        <v>20.193999999999999</v>
      </c>
      <c r="BR28" s="1">
        <v>4</v>
      </c>
      <c r="BS28" s="1">
        <v>4</v>
      </c>
      <c r="BT28" s="1">
        <v>5</v>
      </c>
      <c r="BU28" s="1">
        <v>3.1480000000000001</v>
      </c>
      <c r="BV28" s="1">
        <v>19.956</v>
      </c>
      <c r="BW28" s="1">
        <v>20.986999999999998</v>
      </c>
      <c r="BX28" s="1">
        <v>6</v>
      </c>
      <c r="BY28" s="1">
        <v>2</v>
      </c>
      <c r="BZ28" s="1">
        <v>6</v>
      </c>
      <c r="CA28" s="1">
        <v>5.3630000000000004</v>
      </c>
      <c r="CB28" s="1">
        <v>40.341000000000001</v>
      </c>
      <c r="CC28" s="1">
        <v>41.74</v>
      </c>
      <c r="CD28" s="1">
        <v>9</v>
      </c>
      <c r="CE28" s="1">
        <v>3</v>
      </c>
      <c r="CF28" s="1">
        <v>6</v>
      </c>
      <c r="CG28" s="1">
        <v>9.0069999999999997</v>
      </c>
      <c r="CH28" s="1">
        <v>41.667999999999999</v>
      </c>
      <c r="CI28" s="1">
        <v>42.503</v>
      </c>
      <c r="CJ28" s="1">
        <v>6</v>
      </c>
      <c r="CK28" s="1">
        <v>5</v>
      </c>
      <c r="CL28" s="1">
        <v>6</v>
      </c>
      <c r="CM28" s="1">
        <v>15.256</v>
      </c>
      <c r="CN28" s="1">
        <v>20.18</v>
      </c>
      <c r="CO28" s="1">
        <v>21.056999999999999</v>
      </c>
      <c r="CP28" s="1">
        <v>7</v>
      </c>
      <c r="CQ28" s="1">
        <v>2</v>
      </c>
      <c r="CR28" s="1">
        <v>5</v>
      </c>
      <c r="CS28" s="1">
        <v>7.6369999999999996</v>
      </c>
      <c r="CT28" s="1">
        <v>27.004999999999999</v>
      </c>
      <c r="CU28" s="1">
        <v>27.805</v>
      </c>
      <c r="CV28" s="1">
        <v>8</v>
      </c>
      <c r="CW28" s="1">
        <v>4</v>
      </c>
      <c r="CX28" s="1">
        <v>6</v>
      </c>
      <c r="CY28" s="1">
        <v>251.42699999999999</v>
      </c>
      <c r="CZ28" s="1">
        <v>275.87299999999999</v>
      </c>
      <c r="DA28" s="1">
        <v>279.56599999999997</v>
      </c>
      <c r="DB28" s="1">
        <v>8</v>
      </c>
      <c r="DC28" s="1">
        <v>3</v>
      </c>
      <c r="DD28" s="1">
        <v>6</v>
      </c>
      <c r="DE28" s="1">
        <v>17.492999999999999</v>
      </c>
      <c r="DF28" s="1">
        <v>20.388000000000002</v>
      </c>
      <c r="DG28" s="1">
        <v>21.768999999999998</v>
      </c>
      <c r="DH28" s="1">
        <v>4</v>
      </c>
      <c r="DI28" s="1">
        <v>1</v>
      </c>
      <c r="DJ28" s="1">
        <v>6</v>
      </c>
      <c r="DK28" s="1">
        <v>3.097</v>
      </c>
      <c r="DL28" s="1">
        <v>17.707000000000001</v>
      </c>
      <c r="DM28" s="1">
        <v>18.376000000000001</v>
      </c>
      <c r="DN28" s="1">
        <v>5</v>
      </c>
      <c r="DO28" s="1">
        <v>5</v>
      </c>
      <c r="DP28" s="1">
        <v>5</v>
      </c>
      <c r="DQ28" s="1">
        <v>3.0939999999999999</v>
      </c>
      <c r="DR28" s="1">
        <v>23.844000000000001</v>
      </c>
      <c r="DS28" s="1">
        <v>24.501000000000001</v>
      </c>
      <c r="DT28" s="1">
        <v>5</v>
      </c>
      <c r="DU28" s="1">
        <v>2</v>
      </c>
      <c r="DV28" s="1">
        <v>6</v>
      </c>
      <c r="DW28" s="1">
        <v>16.077000000000002</v>
      </c>
      <c r="DX28" s="1">
        <v>19.687999999999999</v>
      </c>
      <c r="DY28" s="1">
        <v>20.48</v>
      </c>
      <c r="DZ28" s="1">
        <v>6</v>
      </c>
      <c r="EA28" s="1">
        <v>1</v>
      </c>
      <c r="EB28" s="1">
        <v>6</v>
      </c>
      <c r="EC28" s="1">
        <v>17.526</v>
      </c>
      <c r="ED28" s="1">
        <v>21.385999999999999</v>
      </c>
      <c r="EE28" s="1">
        <v>22.068999999999999</v>
      </c>
      <c r="EF28" s="1">
        <v>4</v>
      </c>
      <c r="EG28" s="1">
        <v>3</v>
      </c>
      <c r="EH28" s="1">
        <v>6</v>
      </c>
      <c r="EI28" s="1">
        <v>4.1269999999999998</v>
      </c>
      <c r="EJ28" s="1">
        <v>17.609000000000002</v>
      </c>
      <c r="EK28" s="1">
        <v>18.288</v>
      </c>
      <c r="EL28" s="1">
        <v>6</v>
      </c>
      <c r="EM28" s="1">
        <v>1</v>
      </c>
      <c r="EN28" s="1">
        <v>6</v>
      </c>
      <c r="EO28" s="1">
        <v>8.2929999999999993</v>
      </c>
      <c r="EP28" s="1">
        <v>24.867000000000001</v>
      </c>
      <c r="EQ28" s="1">
        <v>25.791</v>
      </c>
      <c r="ER28" s="1">
        <v>8</v>
      </c>
      <c r="ES28" s="1">
        <v>5</v>
      </c>
      <c r="ET28" s="1">
        <v>7</v>
      </c>
      <c r="EU28" s="1">
        <v>2.79</v>
      </c>
      <c r="EV28" s="1">
        <v>15.417999999999999</v>
      </c>
      <c r="EW28" s="1">
        <v>16.12</v>
      </c>
      <c r="EX28" s="1">
        <v>5</v>
      </c>
      <c r="EY28" s="1">
        <v>2</v>
      </c>
      <c r="EZ28" s="1">
        <v>7</v>
      </c>
      <c r="FA28" s="1">
        <v>1.0069999999999999</v>
      </c>
      <c r="FB28" s="1">
        <v>12.053000000000001</v>
      </c>
      <c r="FC28" s="1">
        <v>12.769</v>
      </c>
      <c r="FD28" s="1">
        <v>7</v>
      </c>
      <c r="FE28" s="1">
        <v>2</v>
      </c>
      <c r="FF28" s="1">
        <v>7</v>
      </c>
      <c r="FG28" s="1">
        <v>0.97</v>
      </c>
      <c r="FH28" s="1">
        <v>15.596</v>
      </c>
      <c r="FI28" s="1">
        <v>16.297000000000001</v>
      </c>
      <c r="FJ28" s="1">
        <v>7</v>
      </c>
      <c r="FK28" s="1">
        <v>1</v>
      </c>
      <c r="FL28" s="1">
        <v>7</v>
      </c>
      <c r="FM28" s="1">
        <v>1.331</v>
      </c>
      <c r="FN28" s="1">
        <v>12.944000000000001</v>
      </c>
      <c r="FO28" s="1">
        <v>13.792999999999999</v>
      </c>
      <c r="FP28" s="1">
        <v>9</v>
      </c>
      <c r="FQ28" s="1">
        <v>2</v>
      </c>
      <c r="FR28" s="1">
        <v>7</v>
      </c>
      <c r="FS28" s="1">
        <v>4.8390000000000004</v>
      </c>
      <c r="FT28" s="1">
        <v>12.164</v>
      </c>
      <c r="FU28" s="1">
        <v>13.192</v>
      </c>
      <c r="FV28" s="1">
        <v>5</v>
      </c>
      <c r="FW28" s="1">
        <v>2</v>
      </c>
      <c r="FX28" s="1">
        <v>7</v>
      </c>
      <c r="FY28" s="1">
        <v>1.3009999999999999</v>
      </c>
      <c r="FZ28" s="1">
        <v>15.997</v>
      </c>
      <c r="GA28" s="1">
        <v>17.125</v>
      </c>
      <c r="GB28" s="1">
        <v>10</v>
      </c>
      <c r="GC28" s="1">
        <v>1</v>
      </c>
      <c r="GD28" s="1">
        <v>7</v>
      </c>
      <c r="GE28" s="1">
        <v>3.871</v>
      </c>
      <c r="GF28" s="1">
        <v>16.533999999999999</v>
      </c>
      <c r="GG28" s="1">
        <v>17.599</v>
      </c>
      <c r="GH28" s="1">
        <v>6</v>
      </c>
      <c r="GI28" s="1">
        <v>2</v>
      </c>
      <c r="GJ28" s="1">
        <v>7</v>
      </c>
      <c r="GK28" s="1">
        <v>3.9239999999999999</v>
      </c>
      <c r="GL28" s="1">
        <v>20.198</v>
      </c>
      <c r="GM28" s="1">
        <v>20.981999999999999</v>
      </c>
      <c r="GN28" s="1">
        <v>8</v>
      </c>
      <c r="GO28" s="1">
        <v>1</v>
      </c>
      <c r="GP28" s="1">
        <v>7</v>
      </c>
      <c r="GQ28" s="1">
        <v>1.53</v>
      </c>
      <c r="GR28" s="1">
        <v>11.601000000000001</v>
      </c>
      <c r="GS28" s="1">
        <v>12.614000000000001</v>
      </c>
      <c r="GT28" s="1">
        <v>6</v>
      </c>
      <c r="GU28" s="1">
        <v>1</v>
      </c>
      <c r="GV28" s="1">
        <v>7</v>
      </c>
      <c r="GW28" s="1">
        <v>10.763999999999999</v>
      </c>
      <c r="GX28" s="1">
        <v>14.827</v>
      </c>
      <c r="GY28" s="1">
        <v>15.542</v>
      </c>
      <c r="GZ28" s="1">
        <v>5</v>
      </c>
      <c r="HA28" s="1">
        <v>2</v>
      </c>
      <c r="HB28" s="1">
        <v>7</v>
      </c>
      <c r="HC28" s="1">
        <v>3.4889999999999999</v>
      </c>
      <c r="HD28" s="1">
        <v>17.899999999999999</v>
      </c>
      <c r="HE28" s="1">
        <v>18.765999999999998</v>
      </c>
      <c r="HF28" s="1">
        <v>7</v>
      </c>
      <c r="HG28" s="1">
        <v>1</v>
      </c>
      <c r="HH28" s="1">
        <v>7</v>
      </c>
      <c r="HI28" s="1">
        <v>1.0620000000000001</v>
      </c>
      <c r="HJ28" s="1">
        <v>12.644</v>
      </c>
      <c r="HK28" s="1">
        <v>13.627000000000001</v>
      </c>
      <c r="HL28" s="1">
        <v>7</v>
      </c>
      <c r="HM28" s="4" t="s">
        <v>608</v>
      </c>
      <c r="HN28" s="4" t="s">
        <v>609</v>
      </c>
      <c r="HO28" s="4" t="s">
        <v>610</v>
      </c>
      <c r="HP28" s="4" t="s">
        <v>609</v>
      </c>
      <c r="HQ28" s="4" t="s">
        <v>611</v>
      </c>
      <c r="HR28" s="4" t="s">
        <v>612</v>
      </c>
      <c r="HS28" s="4" t="s">
        <v>613</v>
      </c>
      <c r="HT28" s="4" t="s">
        <v>614</v>
      </c>
      <c r="HU28" s="4" t="s">
        <v>615</v>
      </c>
      <c r="HV28" s="4" t="s">
        <v>609</v>
      </c>
      <c r="HW28" s="4" t="s">
        <v>282</v>
      </c>
      <c r="HX28" s="4" t="s">
        <v>282</v>
      </c>
      <c r="HY28" s="4" t="s">
        <v>312</v>
      </c>
      <c r="HZ28" s="4" t="s">
        <v>372</v>
      </c>
      <c r="IA28" s="4" t="s">
        <v>325</v>
      </c>
      <c r="IB28" s="4" t="s">
        <v>282</v>
      </c>
      <c r="IC28" s="4" t="s">
        <v>282</v>
      </c>
    </row>
    <row r="29" spans="1:237" x14ac:dyDescent="0.2">
      <c r="A29" s="3">
        <v>45748.348067129627</v>
      </c>
      <c r="B29" s="3">
        <v>45748.356921296298</v>
      </c>
      <c r="C29" s="1">
        <v>0</v>
      </c>
      <c r="D29" s="4" t="s">
        <v>616</v>
      </c>
      <c r="E29" s="1">
        <v>100</v>
      </c>
      <c r="F29" s="1">
        <v>765</v>
      </c>
      <c r="G29" s="1">
        <v>1</v>
      </c>
      <c r="H29" s="3">
        <v>45748.356935821757</v>
      </c>
      <c r="I29" s="4" t="s">
        <v>617</v>
      </c>
      <c r="J29" s="4" t="s">
        <v>282</v>
      </c>
      <c r="K29" s="4" t="s">
        <v>282</v>
      </c>
      <c r="L29" s="4" t="s">
        <v>282</v>
      </c>
      <c r="M29" s="4" t="s">
        <v>282</v>
      </c>
      <c r="N29" s="1">
        <v>50.926499999999997</v>
      </c>
      <c r="O29" s="1">
        <v>-113.9725</v>
      </c>
      <c r="P29" s="4" t="s">
        <v>283</v>
      </c>
      <c r="Q29" s="4" t="s">
        <v>284</v>
      </c>
      <c r="R29" s="1">
        <v>1</v>
      </c>
      <c r="S29" s="1">
        <v>1</v>
      </c>
      <c r="T29" s="1">
        <v>1</v>
      </c>
      <c r="U29" s="1">
        <v>1</v>
      </c>
      <c r="V29" s="1">
        <v>1</v>
      </c>
      <c r="W29" s="1">
        <v>7</v>
      </c>
      <c r="X29" s="4" t="s">
        <v>1290</v>
      </c>
      <c r="Y29" s="1">
        <v>5</v>
      </c>
      <c r="Z29" s="1">
        <v>1</v>
      </c>
      <c r="AA29" s="1">
        <v>1</v>
      </c>
      <c r="AB29" s="1">
        <v>1</v>
      </c>
      <c r="AC29" s="1">
        <v>1</v>
      </c>
      <c r="AD29" s="1">
        <v>5</v>
      </c>
      <c r="AE29" s="1">
        <v>6.7489999999999997</v>
      </c>
      <c r="AF29" s="1">
        <v>8.3390000000000004</v>
      </c>
      <c r="AG29" s="1">
        <v>8.8800000000000008</v>
      </c>
      <c r="AH29" s="1">
        <v>2</v>
      </c>
      <c r="AI29" s="1">
        <v>4</v>
      </c>
      <c r="AJ29" s="1">
        <v>6</v>
      </c>
      <c r="AK29" s="1">
        <v>6.9749999999999996</v>
      </c>
      <c r="AL29" s="1">
        <v>7.7969999999999997</v>
      </c>
      <c r="AM29" s="1">
        <v>8.8119999999999994</v>
      </c>
      <c r="AN29" s="1">
        <v>2</v>
      </c>
      <c r="AO29" s="1">
        <v>2</v>
      </c>
      <c r="AP29" s="1">
        <v>4</v>
      </c>
      <c r="AQ29" s="1">
        <v>5.9969999999999999</v>
      </c>
      <c r="AR29" s="1">
        <v>6.8310000000000004</v>
      </c>
      <c r="AS29" s="1">
        <v>8.5730000000000004</v>
      </c>
      <c r="AT29" s="1">
        <v>2</v>
      </c>
      <c r="AU29" s="1">
        <v>5</v>
      </c>
      <c r="AV29" s="1">
        <v>6</v>
      </c>
      <c r="AW29" s="1">
        <v>4.82</v>
      </c>
      <c r="AX29" s="1">
        <v>8.6289999999999996</v>
      </c>
      <c r="AY29" s="1">
        <v>9.2029999999999994</v>
      </c>
      <c r="AZ29" s="1">
        <v>4</v>
      </c>
      <c r="BA29" s="1">
        <v>5</v>
      </c>
      <c r="BB29" s="1">
        <v>6</v>
      </c>
      <c r="BC29" s="1">
        <v>5.0289999999999999</v>
      </c>
      <c r="BD29" s="1">
        <v>7.4850000000000003</v>
      </c>
      <c r="BE29" s="1">
        <v>8.7260000000000009</v>
      </c>
      <c r="BF29" s="1">
        <v>2</v>
      </c>
      <c r="BG29" s="1">
        <v>1</v>
      </c>
      <c r="BH29" s="1">
        <v>6</v>
      </c>
      <c r="BI29" s="1">
        <v>7.101</v>
      </c>
      <c r="BJ29" s="1">
        <v>10.244</v>
      </c>
      <c r="BK29" s="1">
        <v>10.461</v>
      </c>
      <c r="BL29" s="1">
        <v>3</v>
      </c>
      <c r="BM29" s="1">
        <v>4</v>
      </c>
      <c r="BN29" s="1">
        <v>5</v>
      </c>
      <c r="BO29" s="1">
        <v>8.1690000000000005</v>
      </c>
      <c r="BP29" s="1">
        <v>19.838999999999999</v>
      </c>
      <c r="BQ29" s="1">
        <v>20.600999999999999</v>
      </c>
      <c r="BR29" s="1">
        <v>11</v>
      </c>
      <c r="BS29" s="1">
        <v>3</v>
      </c>
      <c r="BT29" s="1">
        <v>4</v>
      </c>
      <c r="BU29" s="1">
        <v>7.3639999999999999</v>
      </c>
      <c r="BV29" s="1">
        <v>8.4309999999999992</v>
      </c>
      <c r="BW29" s="1">
        <v>9.1679999999999993</v>
      </c>
      <c r="BX29" s="1">
        <v>2</v>
      </c>
      <c r="BY29" s="1">
        <v>5</v>
      </c>
      <c r="BZ29" s="1">
        <v>6</v>
      </c>
      <c r="CA29" s="1">
        <v>7.4210000000000003</v>
      </c>
      <c r="CB29" s="1">
        <v>8.2639999999999993</v>
      </c>
      <c r="CC29" s="1">
        <v>8.9269999999999996</v>
      </c>
      <c r="CD29" s="1">
        <v>2</v>
      </c>
      <c r="CE29" s="1">
        <v>3</v>
      </c>
      <c r="CF29" s="1">
        <v>5</v>
      </c>
      <c r="CG29" s="1">
        <v>5.9429999999999996</v>
      </c>
      <c r="CH29" s="1">
        <v>7.1429999999999998</v>
      </c>
      <c r="CI29" s="1">
        <v>8.5489999999999995</v>
      </c>
      <c r="CJ29" s="1">
        <v>3</v>
      </c>
      <c r="CK29" s="1">
        <v>1</v>
      </c>
      <c r="CL29" s="1">
        <v>6</v>
      </c>
      <c r="CM29" s="1">
        <v>6.1580000000000004</v>
      </c>
      <c r="CN29" s="1">
        <v>8.5559999999999992</v>
      </c>
      <c r="CO29" s="1">
        <v>8.9540000000000006</v>
      </c>
      <c r="CP29" s="1">
        <v>2</v>
      </c>
      <c r="CQ29" s="1">
        <v>1</v>
      </c>
      <c r="CR29" s="1">
        <v>4</v>
      </c>
      <c r="CS29" s="1">
        <v>5.2110000000000003</v>
      </c>
      <c r="CT29" s="1">
        <v>17.081</v>
      </c>
      <c r="CU29" s="1">
        <v>18.186</v>
      </c>
      <c r="CV29" s="1">
        <v>4</v>
      </c>
      <c r="CW29" s="1">
        <v>5</v>
      </c>
      <c r="CX29" s="1">
        <v>6</v>
      </c>
      <c r="CY29" s="1">
        <v>8.7319999999999993</v>
      </c>
      <c r="CZ29" s="1">
        <v>12.377000000000001</v>
      </c>
      <c r="DA29" s="1">
        <v>13.808</v>
      </c>
      <c r="DB29" s="1">
        <v>5</v>
      </c>
      <c r="DC29" s="1">
        <v>3</v>
      </c>
      <c r="DD29" s="1">
        <v>6</v>
      </c>
      <c r="DE29" s="1">
        <v>7.0679999999999996</v>
      </c>
      <c r="DF29" s="1">
        <v>7.9749999999999996</v>
      </c>
      <c r="DG29" s="1">
        <v>10.279</v>
      </c>
      <c r="DH29" s="1">
        <v>2</v>
      </c>
      <c r="DI29" s="1">
        <v>3</v>
      </c>
      <c r="DJ29" s="1">
        <v>6</v>
      </c>
      <c r="DK29" s="1">
        <v>7.6749999999999998</v>
      </c>
      <c r="DL29" s="1">
        <v>8.5129999999999999</v>
      </c>
      <c r="DM29" s="1">
        <v>9.3680000000000003</v>
      </c>
      <c r="DN29" s="1">
        <v>2</v>
      </c>
      <c r="DO29" s="1">
        <v>1</v>
      </c>
      <c r="DP29" s="1">
        <v>5</v>
      </c>
      <c r="DQ29" s="1">
        <v>6.7679999999999998</v>
      </c>
      <c r="DR29" s="1">
        <v>7.5119999999999996</v>
      </c>
      <c r="DS29" s="1">
        <v>8.7349999999999994</v>
      </c>
      <c r="DT29" s="1">
        <v>2</v>
      </c>
      <c r="DU29" s="1">
        <v>4</v>
      </c>
      <c r="DV29" s="1">
        <v>5</v>
      </c>
      <c r="DW29" s="1">
        <v>7.2610000000000001</v>
      </c>
      <c r="DX29" s="1">
        <v>10.484999999999999</v>
      </c>
      <c r="DY29" s="1">
        <v>10.797000000000001</v>
      </c>
      <c r="DZ29" s="1">
        <v>3</v>
      </c>
      <c r="EA29" s="1">
        <v>1</v>
      </c>
      <c r="EB29" s="1">
        <v>6</v>
      </c>
      <c r="EC29" s="1">
        <v>6.0259999999999998</v>
      </c>
      <c r="ED29" s="1">
        <v>6.9489999999999998</v>
      </c>
      <c r="EE29" s="1">
        <v>8.9550000000000001</v>
      </c>
      <c r="EF29" s="1">
        <v>2</v>
      </c>
      <c r="EG29" s="1">
        <v>5</v>
      </c>
      <c r="EH29" s="1">
        <v>6</v>
      </c>
      <c r="EI29" s="1">
        <v>7.5720000000000001</v>
      </c>
      <c r="EJ29" s="1">
        <v>9.19</v>
      </c>
      <c r="EK29" s="1">
        <v>9.4930000000000003</v>
      </c>
      <c r="EL29" s="1">
        <v>4</v>
      </c>
      <c r="EM29" s="1">
        <v>3</v>
      </c>
      <c r="EN29" s="1">
        <v>5</v>
      </c>
      <c r="EO29" s="1">
        <v>7.7889999999999997</v>
      </c>
      <c r="EP29" s="1">
        <v>9.7409999999999997</v>
      </c>
      <c r="EQ29" s="1">
        <v>10.045</v>
      </c>
      <c r="ER29" s="1">
        <v>4</v>
      </c>
      <c r="ES29" s="1">
        <v>5</v>
      </c>
      <c r="ET29" s="1">
        <v>6</v>
      </c>
      <c r="EU29" s="1">
        <v>9.3119999999999994</v>
      </c>
      <c r="EV29" s="1">
        <v>10.308</v>
      </c>
      <c r="EW29" s="1">
        <v>10.907</v>
      </c>
      <c r="EX29" s="1">
        <v>2</v>
      </c>
      <c r="EY29" s="1">
        <v>1</v>
      </c>
      <c r="EZ29" s="1">
        <v>5</v>
      </c>
      <c r="FA29" s="1">
        <v>23.228000000000002</v>
      </c>
      <c r="FB29" s="1">
        <v>30.792999999999999</v>
      </c>
      <c r="FC29" s="1">
        <v>31.442</v>
      </c>
      <c r="FD29" s="1">
        <v>2</v>
      </c>
      <c r="FE29" s="1">
        <v>5</v>
      </c>
      <c r="FF29" s="1">
        <v>6</v>
      </c>
      <c r="FG29" s="1">
        <v>12.095000000000001</v>
      </c>
      <c r="FH29" s="1">
        <v>13.968999999999999</v>
      </c>
      <c r="FI29" s="1">
        <v>14.542</v>
      </c>
      <c r="FJ29" s="1">
        <v>2</v>
      </c>
      <c r="FK29" s="1">
        <v>1</v>
      </c>
      <c r="FL29" s="1">
        <v>6</v>
      </c>
      <c r="FM29" s="1">
        <v>8.1669999999999998</v>
      </c>
      <c r="FN29" s="1">
        <v>11.066000000000001</v>
      </c>
      <c r="FO29" s="1">
        <v>11.629</v>
      </c>
      <c r="FP29" s="1">
        <v>2</v>
      </c>
      <c r="FQ29" s="1">
        <v>2</v>
      </c>
      <c r="FR29" s="1">
        <v>6</v>
      </c>
      <c r="FS29" s="1">
        <v>7.0609999999999999</v>
      </c>
      <c r="FT29" s="1">
        <v>8.1140000000000008</v>
      </c>
      <c r="FU29" s="1">
        <v>9.0419999999999998</v>
      </c>
      <c r="FV29" s="1">
        <v>2</v>
      </c>
      <c r="FW29" s="1">
        <v>5</v>
      </c>
      <c r="FX29" s="1">
        <v>5</v>
      </c>
      <c r="FY29" s="1">
        <v>6.4870000000000001</v>
      </c>
      <c r="FZ29" s="1">
        <v>7.43</v>
      </c>
      <c r="GA29" s="1">
        <v>8.56</v>
      </c>
      <c r="GB29" s="1">
        <v>2</v>
      </c>
      <c r="GC29" s="1">
        <v>1</v>
      </c>
      <c r="GD29" s="1">
        <v>6</v>
      </c>
      <c r="GE29" s="1">
        <v>5.9340000000000002</v>
      </c>
      <c r="GF29" s="1">
        <v>6.9580000000000002</v>
      </c>
      <c r="GG29" s="1">
        <v>8.8650000000000002</v>
      </c>
      <c r="GH29" s="1">
        <v>2</v>
      </c>
      <c r="GI29" s="1">
        <v>2</v>
      </c>
      <c r="GJ29" s="1">
        <v>6</v>
      </c>
      <c r="GK29" s="1">
        <v>8.4909999999999997</v>
      </c>
      <c r="GL29" s="1">
        <v>10.153</v>
      </c>
      <c r="GM29" s="1">
        <v>10.805999999999999</v>
      </c>
      <c r="GN29" s="1">
        <v>2</v>
      </c>
      <c r="GO29" s="1">
        <v>1</v>
      </c>
      <c r="GP29" s="1">
        <v>6</v>
      </c>
      <c r="GQ29" s="1">
        <v>9.5289999999999999</v>
      </c>
      <c r="GR29" s="1">
        <v>10.728999999999999</v>
      </c>
      <c r="GS29" s="1">
        <v>11.311999999999999</v>
      </c>
      <c r="GT29" s="1">
        <v>2</v>
      </c>
      <c r="GU29" s="1">
        <v>1</v>
      </c>
      <c r="GV29" s="1">
        <v>6</v>
      </c>
      <c r="GW29" s="1">
        <v>8.7850000000000001</v>
      </c>
      <c r="GX29" s="1">
        <v>9.57</v>
      </c>
      <c r="GY29" s="1">
        <v>10.554</v>
      </c>
      <c r="GZ29" s="1">
        <v>2</v>
      </c>
      <c r="HA29" s="1">
        <v>2</v>
      </c>
      <c r="HB29" s="1">
        <v>6</v>
      </c>
      <c r="HC29" s="1">
        <v>6.83</v>
      </c>
      <c r="HD29" s="1">
        <v>9.9589999999999996</v>
      </c>
      <c r="HE29" s="1">
        <v>10.426</v>
      </c>
      <c r="HF29" s="1">
        <v>5</v>
      </c>
      <c r="HG29" s="1">
        <v>5</v>
      </c>
      <c r="HH29" s="1">
        <v>6</v>
      </c>
      <c r="HI29" s="1">
        <v>7.3730000000000002</v>
      </c>
      <c r="HJ29" s="1">
        <v>8.41</v>
      </c>
      <c r="HK29" s="1">
        <v>9.1630000000000003</v>
      </c>
      <c r="HL29" s="1">
        <v>2</v>
      </c>
      <c r="HM29" s="4" t="s">
        <v>620</v>
      </c>
      <c r="HN29" s="4" t="s">
        <v>621</v>
      </c>
      <c r="HO29" s="4" t="s">
        <v>622</v>
      </c>
      <c r="HP29" s="4" t="s">
        <v>623</v>
      </c>
      <c r="HQ29" s="4" t="s">
        <v>624</v>
      </c>
      <c r="HR29" s="4" t="s">
        <v>625</v>
      </c>
      <c r="HS29" s="4" t="s">
        <v>566</v>
      </c>
      <c r="HT29" s="4" t="s">
        <v>566</v>
      </c>
      <c r="HU29" s="4" t="s">
        <v>626</v>
      </c>
      <c r="HV29" s="4" t="s">
        <v>627</v>
      </c>
      <c r="HW29" s="4" t="s">
        <v>282</v>
      </c>
      <c r="HX29" s="4" t="s">
        <v>282</v>
      </c>
      <c r="HY29" s="4" t="s">
        <v>312</v>
      </c>
      <c r="HZ29" s="4" t="s">
        <v>356</v>
      </c>
      <c r="IA29" s="4" t="s">
        <v>313</v>
      </c>
      <c r="IB29" s="4" t="s">
        <v>282</v>
      </c>
      <c r="IC29" s="4" t="s">
        <v>282</v>
      </c>
    </row>
    <row r="30" spans="1:237" x14ac:dyDescent="0.2">
      <c r="A30" s="3">
        <v>45748.344108796293</v>
      </c>
      <c r="B30" s="3">
        <v>45748.357199074075</v>
      </c>
      <c r="C30" s="1">
        <v>0</v>
      </c>
      <c r="D30" s="4" t="s">
        <v>494</v>
      </c>
      <c r="E30" s="1">
        <v>100</v>
      </c>
      <c r="F30" s="1">
        <v>1130</v>
      </c>
      <c r="G30" s="1">
        <v>1</v>
      </c>
      <c r="H30" s="3">
        <v>45748.357208587964</v>
      </c>
      <c r="I30" s="4" t="s">
        <v>628</v>
      </c>
      <c r="J30" s="4" t="s">
        <v>282</v>
      </c>
      <c r="K30" s="4" t="s">
        <v>282</v>
      </c>
      <c r="L30" s="4" t="s">
        <v>282</v>
      </c>
      <c r="M30" s="4" t="s">
        <v>282</v>
      </c>
      <c r="N30" s="1">
        <v>51.045499999999997</v>
      </c>
      <c r="O30" s="1">
        <v>-114.19880000000001</v>
      </c>
      <c r="P30" s="4" t="s">
        <v>283</v>
      </c>
      <c r="Q30" s="4" t="s">
        <v>284</v>
      </c>
      <c r="R30" s="1">
        <v>0.80000001192092896</v>
      </c>
      <c r="S30" s="1">
        <v>1</v>
      </c>
      <c r="T30" s="1">
        <v>1</v>
      </c>
      <c r="U30" s="1">
        <v>1</v>
      </c>
      <c r="V30" s="1">
        <v>1</v>
      </c>
      <c r="W30" s="1">
        <v>4</v>
      </c>
      <c r="X30" s="4" t="s">
        <v>312</v>
      </c>
      <c r="Y30" s="1">
        <v>5</v>
      </c>
      <c r="Z30" s="1">
        <v>2</v>
      </c>
      <c r="AA30" s="1">
        <v>1</v>
      </c>
      <c r="AB30" s="1">
        <v>2</v>
      </c>
      <c r="AC30" s="1">
        <v>1</v>
      </c>
      <c r="AD30" s="1">
        <v>6</v>
      </c>
      <c r="AE30" s="1">
        <v>3.5129999999999999</v>
      </c>
      <c r="AF30" s="1">
        <v>8.6489999999999991</v>
      </c>
      <c r="AG30" s="1">
        <v>8.9469999999999992</v>
      </c>
      <c r="AH30" s="1">
        <v>3</v>
      </c>
      <c r="AI30" s="1">
        <v>2</v>
      </c>
      <c r="AJ30" s="1">
        <v>6</v>
      </c>
      <c r="AK30" s="1">
        <v>4.1399999999999997</v>
      </c>
      <c r="AL30" s="1">
        <v>5.6820000000000004</v>
      </c>
      <c r="AM30" s="1">
        <v>8.6170000000000009</v>
      </c>
      <c r="AN30" s="1">
        <v>3</v>
      </c>
      <c r="AO30" s="1">
        <v>2</v>
      </c>
      <c r="AP30" s="1">
        <v>6</v>
      </c>
      <c r="AQ30" s="1">
        <v>1.8340000000000001</v>
      </c>
      <c r="AR30" s="1">
        <v>5.7789999999999999</v>
      </c>
      <c r="AS30" s="1">
        <v>11.837999999999999</v>
      </c>
      <c r="AT30" s="1">
        <v>2</v>
      </c>
      <c r="AU30" s="1">
        <v>5</v>
      </c>
      <c r="AV30" s="1">
        <v>6</v>
      </c>
      <c r="AW30" s="1">
        <v>8.6560000000000006</v>
      </c>
      <c r="AX30" s="1">
        <v>12.186999999999999</v>
      </c>
      <c r="AY30" s="1">
        <v>13.301</v>
      </c>
      <c r="AZ30" s="1">
        <v>3</v>
      </c>
      <c r="BA30" s="1">
        <v>5</v>
      </c>
      <c r="BB30" s="1">
        <v>6</v>
      </c>
      <c r="BC30" s="1">
        <v>4.4800000000000004</v>
      </c>
      <c r="BD30" s="1">
        <v>6.1959999999999997</v>
      </c>
      <c r="BE30" s="1">
        <v>9.1259999999999994</v>
      </c>
      <c r="BF30" s="1">
        <v>2</v>
      </c>
      <c r="BG30" s="1">
        <v>1</v>
      </c>
      <c r="BH30" s="1">
        <v>6</v>
      </c>
      <c r="BI30" s="1">
        <v>7.6260000000000003</v>
      </c>
      <c r="BJ30" s="1">
        <v>9.8659999999999997</v>
      </c>
      <c r="BK30" s="1">
        <v>10.566000000000001</v>
      </c>
      <c r="BL30" s="1">
        <v>3</v>
      </c>
      <c r="BM30" s="1">
        <v>2</v>
      </c>
      <c r="BN30" s="1">
        <v>5</v>
      </c>
      <c r="BO30" s="1">
        <v>5.0490000000000004</v>
      </c>
      <c r="BP30" s="1">
        <v>11.286</v>
      </c>
      <c r="BQ30" s="1">
        <v>16.745000000000001</v>
      </c>
      <c r="BR30" s="1">
        <v>2</v>
      </c>
      <c r="BS30" s="1">
        <v>4</v>
      </c>
      <c r="BT30" s="1">
        <v>5</v>
      </c>
      <c r="BU30" s="1">
        <v>1.6659999999999999</v>
      </c>
      <c r="BV30" s="1">
        <v>8.7550000000000008</v>
      </c>
      <c r="BW30" s="1">
        <v>11.093</v>
      </c>
      <c r="BX30" s="1">
        <v>2</v>
      </c>
      <c r="BY30" s="1">
        <v>5</v>
      </c>
      <c r="BZ30" s="1">
        <v>6</v>
      </c>
      <c r="CA30" s="1">
        <v>4.46</v>
      </c>
      <c r="CB30" s="1">
        <v>6.226</v>
      </c>
      <c r="CC30" s="1">
        <v>8.6240000000000006</v>
      </c>
      <c r="CD30" s="1">
        <v>2</v>
      </c>
      <c r="CE30" s="1">
        <v>3</v>
      </c>
      <c r="CF30" s="1">
        <v>5</v>
      </c>
      <c r="CG30" s="1">
        <v>5.444</v>
      </c>
      <c r="CH30" s="1">
        <v>6.7690000000000001</v>
      </c>
      <c r="CI30" s="1">
        <v>8.641</v>
      </c>
      <c r="CJ30" s="1">
        <v>2</v>
      </c>
      <c r="CK30" s="1">
        <v>1</v>
      </c>
      <c r="CL30" s="1">
        <v>6</v>
      </c>
      <c r="CM30" s="1">
        <v>10.811</v>
      </c>
      <c r="CN30" s="1">
        <v>12.654</v>
      </c>
      <c r="CO30" s="1">
        <v>13.473000000000001</v>
      </c>
      <c r="CP30" s="1">
        <v>2</v>
      </c>
      <c r="CQ30" s="1">
        <v>2</v>
      </c>
      <c r="CR30" s="1">
        <v>5</v>
      </c>
      <c r="CS30" s="1">
        <v>2.0609999999999999</v>
      </c>
      <c r="CT30" s="1">
        <v>10.863</v>
      </c>
      <c r="CU30" s="1">
        <v>12.442</v>
      </c>
      <c r="CV30" s="1">
        <v>2</v>
      </c>
      <c r="CW30" s="1">
        <v>4</v>
      </c>
      <c r="CX30" s="1">
        <v>4</v>
      </c>
      <c r="CY30" s="1">
        <v>6.0810000000000004</v>
      </c>
      <c r="CZ30" s="1">
        <v>12.351000000000001</v>
      </c>
      <c r="DA30" s="1">
        <v>13.141999999999999</v>
      </c>
      <c r="DB30" s="1">
        <v>4</v>
      </c>
      <c r="DC30" s="1">
        <v>5</v>
      </c>
      <c r="DD30" s="1">
        <v>6</v>
      </c>
      <c r="DE30" s="1">
        <v>4.3890000000000002</v>
      </c>
      <c r="DF30" s="1">
        <v>11.51</v>
      </c>
      <c r="DG30" s="1">
        <v>12.455</v>
      </c>
      <c r="DH30" s="1">
        <v>3</v>
      </c>
      <c r="DI30" s="1">
        <v>3</v>
      </c>
      <c r="DJ30" s="1">
        <v>6</v>
      </c>
      <c r="DK30" s="1">
        <v>5.0010000000000003</v>
      </c>
      <c r="DL30" s="1">
        <v>5.9390000000000001</v>
      </c>
      <c r="DM30" s="1">
        <v>8.6839999999999993</v>
      </c>
      <c r="DN30" s="1">
        <v>2</v>
      </c>
      <c r="DO30" s="1">
        <v>1</v>
      </c>
      <c r="DP30" s="1">
        <v>6</v>
      </c>
      <c r="DQ30" s="1">
        <v>3.923</v>
      </c>
      <c r="DR30" s="1">
        <v>5.7050000000000001</v>
      </c>
      <c r="DS30" s="1">
        <v>9.3930000000000007</v>
      </c>
      <c r="DT30" s="1">
        <v>2</v>
      </c>
      <c r="DU30" s="1">
        <v>2</v>
      </c>
      <c r="DV30" s="1">
        <v>5</v>
      </c>
      <c r="DW30" s="1">
        <v>2.0129999999999999</v>
      </c>
      <c r="DX30" s="1">
        <v>4.0970000000000004</v>
      </c>
      <c r="DY30" s="1">
        <v>10.532999999999999</v>
      </c>
      <c r="DZ30" s="1">
        <v>2</v>
      </c>
      <c r="EA30" s="1">
        <v>4</v>
      </c>
      <c r="EB30" s="1">
        <v>6</v>
      </c>
      <c r="EC30" s="1">
        <v>2.4870000000000001</v>
      </c>
      <c r="ED30" s="1">
        <v>5.6840000000000002</v>
      </c>
      <c r="EE30" s="1">
        <v>8.8650000000000002</v>
      </c>
      <c r="EF30" s="1">
        <v>2</v>
      </c>
      <c r="EG30" s="1">
        <v>5</v>
      </c>
      <c r="EH30" s="1">
        <v>6</v>
      </c>
      <c r="EI30" s="1">
        <v>4.9020000000000001</v>
      </c>
      <c r="EJ30" s="1">
        <v>8.8719999999999999</v>
      </c>
      <c r="EK30" s="1">
        <v>9.7590000000000003</v>
      </c>
      <c r="EL30" s="1">
        <v>2</v>
      </c>
      <c r="EM30" s="1">
        <v>3</v>
      </c>
      <c r="EN30" s="1">
        <v>6</v>
      </c>
      <c r="EO30" s="1">
        <v>5.1420000000000003</v>
      </c>
      <c r="EP30" s="1">
        <v>6.78</v>
      </c>
      <c r="EQ30" s="1">
        <v>8.76</v>
      </c>
      <c r="ER30" s="1">
        <v>2</v>
      </c>
      <c r="ES30" s="1">
        <v>1</v>
      </c>
      <c r="ET30" s="1">
        <v>6</v>
      </c>
      <c r="EU30" s="1">
        <v>3.399</v>
      </c>
      <c r="EV30" s="1">
        <v>8.577</v>
      </c>
      <c r="EW30" s="1">
        <v>9.0950000000000006</v>
      </c>
      <c r="EX30" s="1">
        <v>3</v>
      </c>
      <c r="EY30" s="1">
        <v>2</v>
      </c>
      <c r="EZ30" s="1">
        <v>5</v>
      </c>
      <c r="FA30" s="1">
        <v>2.25</v>
      </c>
      <c r="FB30" s="1">
        <v>4.0170000000000003</v>
      </c>
      <c r="FC30" s="1">
        <v>9.1999999999999993</v>
      </c>
      <c r="FD30" s="1">
        <v>2</v>
      </c>
      <c r="FE30" s="1">
        <v>5</v>
      </c>
      <c r="FF30" s="1">
        <v>5</v>
      </c>
      <c r="FG30" s="1">
        <v>6.5890000000000004</v>
      </c>
      <c r="FH30" s="1">
        <v>9.7409999999999997</v>
      </c>
      <c r="FI30" s="1">
        <v>10.682</v>
      </c>
      <c r="FJ30" s="1">
        <v>2</v>
      </c>
      <c r="FK30" s="1">
        <v>1</v>
      </c>
      <c r="FL30" s="1">
        <v>6</v>
      </c>
      <c r="FM30" s="1">
        <v>5.3550000000000004</v>
      </c>
      <c r="FN30" s="1">
        <v>6.8029999999999999</v>
      </c>
      <c r="FO30" s="1">
        <v>8.641</v>
      </c>
      <c r="FP30" s="1">
        <v>2</v>
      </c>
      <c r="FQ30" s="1">
        <v>2</v>
      </c>
      <c r="FR30" s="1">
        <v>6</v>
      </c>
      <c r="FS30" s="1">
        <v>4.9829999999999997</v>
      </c>
      <c r="FT30" s="1">
        <v>6.5410000000000004</v>
      </c>
      <c r="FU30" s="1">
        <v>9.8879999999999999</v>
      </c>
      <c r="FV30" s="1">
        <v>2</v>
      </c>
      <c r="FW30" s="1">
        <v>5</v>
      </c>
      <c r="FX30" s="1">
        <v>6</v>
      </c>
      <c r="FY30" s="1">
        <v>3.9169999999999998</v>
      </c>
      <c r="FZ30" s="1">
        <v>5.4619999999999997</v>
      </c>
      <c r="GA30" s="1">
        <v>8.6769999999999996</v>
      </c>
      <c r="GB30" s="1">
        <v>2</v>
      </c>
      <c r="GC30" s="1">
        <v>1</v>
      </c>
      <c r="GD30" s="1">
        <v>6</v>
      </c>
      <c r="GE30" s="1">
        <v>5.6660000000000004</v>
      </c>
      <c r="GF30" s="1">
        <v>6.6479999999999997</v>
      </c>
      <c r="GG30" s="1">
        <v>9.0950000000000006</v>
      </c>
      <c r="GH30" s="1">
        <v>2</v>
      </c>
      <c r="GI30" s="1">
        <v>2</v>
      </c>
      <c r="GJ30" s="1">
        <v>7</v>
      </c>
      <c r="GK30" s="1">
        <v>1.6739999999999999</v>
      </c>
      <c r="GL30" s="1">
        <v>8.6039999999999992</v>
      </c>
      <c r="GM30" s="1">
        <v>8.9390000000000001</v>
      </c>
      <c r="GN30" s="1">
        <v>4</v>
      </c>
      <c r="GO30" s="1">
        <v>5</v>
      </c>
      <c r="GP30" s="1">
        <v>6</v>
      </c>
      <c r="GQ30" s="1">
        <v>3.681</v>
      </c>
      <c r="GR30" s="1">
        <v>6.476</v>
      </c>
      <c r="GS30" s="1">
        <v>8.5470000000000006</v>
      </c>
      <c r="GT30" s="1">
        <v>4</v>
      </c>
      <c r="GU30" s="1">
        <v>1</v>
      </c>
      <c r="GV30" s="1">
        <v>6</v>
      </c>
      <c r="GW30" s="1">
        <v>5.157</v>
      </c>
      <c r="GX30" s="1">
        <v>8.07</v>
      </c>
      <c r="GY30" s="1">
        <v>9.859</v>
      </c>
      <c r="GZ30" s="1">
        <v>2</v>
      </c>
      <c r="HA30" s="1">
        <v>2</v>
      </c>
      <c r="HB30" s="1">
        <v>6</v>
      </c>
      <c r="HC30" s="1">
        <v>17.634</v>
      </c>
      <c r="HD30" s="1">
        <v>25.863</v>
      </c>
      <c r="HE30" s="1">
        <v>26.562999999999999</v>
      </c>
      <c r="HF30" s="1">
        <v>4</v>
      </c>
      <c r="HG30" s="1">
        <v>2</v>
      </c>
      <c r="HH30" s="1">
        <v>4</v>
      </c>
      <c r="HI30" s="1">
        <v>7.0620000000000003</v>
      </c>
      <c r="HJ30" s="1">
        <v>22.419</v>
      </c>
      <c r="HK30" s="1">
        <v>23.27</v>
      </c>
      <c r="HL30" s="1">
        <v>4</v>
      </c>
      <c r="HM30" s="4" t="s">
        <v>629</v>
      </c>
      <c r="HN30" s="4" t="s">
        <v>630</v>
      </c>
      <c r="HO30" s="4" t="s">
        <v>631</v>
      </c>
      <c r="HP30" s="4" t="s">
        <v>632</v>
      </c>
      <c r="HQ30" s="4" t="s">
        <v>633</v>
      </c>
      <c r="HR30" s="4" t="s">
        <v>634</v>
      </c>
      <c r="HS30" s="4" t="s">
        <v>635</v>
      </c>
      <c r="HT30" s="4" t="s">
        <v>636</v>
      </c>
      <c r="HU30" s="4" t="s">
        <v>637</v>
      </c>
      <c r="HV30" s="4" t="s">
        <v>638</v>
      </c>
      <c r="HW30" s="4" t="s">
        <v>639</v>
      </c>
      <c r="HX30" s="4" t="s">
        <v>282</v>
      </c>
      <c r="HY30" s="4" t="s">
        <v>312</v>
      </c>
      <c r="HZ30" s="4" t="s">
        <v>356</v>
      </c>
      <c r="IA30" s="4" t="s">
        <v>313</v>
      </c>
      <c r="IB30" s="4" t="s">
        <v>282</v>
      </c>
      <c r="IC30" s="4" t="s">
        <v>282</v>
      </c>
    </row>
    <row r="31" spans="1:237" x14ac:dyDescent="0.2">
      <c r="A31" s="3">
        <v>45748.363530092596</v>
      </c>
      <c r="B31" s="3">
        <v>45748.375543981485</v>
      </c>
      <c r="C31" s="1">
        <v>0</v>
      </c>
      <c r="D31" s="4" t="s">
        <v>640</v>
      </c>
      <c r="E31" s="1">
        <v>100</v>
      </c>
      <c r="F31" s="1">
        <v>1037</v>
      </c>
      <c r="G31" s="1">
        <v>1</v>
      </c>
      <c r="H31" s="3">
        <v>45748.375551712961</v>
      </c>
      <c r="I31" s="4" t="s">
        <v>641</v>
      </c>
      <c r="J31" s="4" t="s">
        <v>282</v>
      </c>
      <c r="K31" s="4" t="s">
        <v>282</v>
      </c>
      <c r="L31" s="4" t="s">
        <v>282</v>
      </c>
      <c r="M31" s="4" t="s">
        <v>282</v>
      </c>
      <c r="N31" s="1">
        <v>-37.815899999999999</v>
      </c>
      <c r="O31" s="1">
        <v>144.96690000000001</v>
      </c>
      <c r="P31" s="4" t="s">
        <v>283</v>
      </c>
      <c r="Q31" s="4" t="s">
        <v>284</v>
      </c>
      <c r="R31" s="1">
        <v>1</v>
      </c>
      <c r="S31" s="1">
        <v>1</v>
      </c>
      <c r="T31" s="1">
        <v>1</v>
      </c>
      <c r="U31" s="1">
        <v>1</v>
      </c>
      <c r="V31" s="1">
        <v>1</v>
      </c>
      <c r="W31" s="1">
        <v>12</v>
      </c>
      <c r="X31" s="4" t="s">
        <v>1291</v>
      </c>
      <c r="Y31" s="1">
        <v>5</v>
      </c>
      <c r="Z31" s="1">
        <v>3</v>
      </c>
      <c r="AA31" s="1">
        <v>1</v>
      </c>
      <c r="AB31" s="1">
        <v>2</v>
      </c>
      <c r="AC31" s="1">
        <v>1</v>
      </c>
      <c r="AD31" s="1">
        <v>7</v>
      </c>
      <c r="AE31" s="1">
        <v>7.0279999999999996</v>
      </c>
      <c r="AF31" s="1">
        <v>9.0890000000000004</v>
      </c>
      <c r="AG31" s="1">
        <v>10.256</v>
      </c>
      <c r="AH31" s="1">
        <v>2</v>
      </c>
      <c r="AI31" s="1">
        <v>4</v>
      </c>
      <c r="AJ31" s="1">
        <v>7</v>
      </c>
      <c r="AK31" s="1">
        <v>8.8819999999999997</v>
      </c>
      <c r="AL31" s="1">
        <v>10.473000000000001</v>
      </c>
      <c r="AM31" s="1">
        <v>11.712</v>
      </c>
      <c r="AN31" s="1">
        <v>2</v>
      </c>
      <c r="AO31" s="1">
        <v>4</v>
      </c>
      <c r="AP31" s="1">
        <v>7</v>
      </c>
      <c r="AQ31" s="1">
        <v>11.281000000000001</v>
      </c>
      <c r="AR31" s="1">
        <v>12.936</v>
      </c>
      <c r="AS31" s="1">
        <v>15.957000000000001</v>
      </c>
      <c r="AT31" s="1">
        <v>2</v>
      </c>
      <c r="AU31" s="1">
        <v>4</v>
      </c>
      <c r="AV31" s="1">
        <v>3</v>
      </c>
      <c r="AW31" s="1">
        <v>13.702</v>
      </c>
      <c r="AX31" s="1">
        <v>22.164999999999999</v>
      </c>
      <c r="AY31" s="1">
        <v>25.282</v>
      </c>
      <c r="AZ31" s="1">
        <v>3</v>
      </c>
      <c r="BA31" s="1">
        <v>4</v>
      </c>
      <c r="BB31" s="1">
        <v>3</v>
      </c>
      <c r="BC31" s="1">
        <v>13.58</v>
      </c>
      <c r="BD31" s="1">
        <v>22.128</v>
      </c>
      <c r="BE31" s="1">
        <v>25.431000000000001</v>
      </c>
      <c r="BF31" s="1">
        <v>3</v>
      </c>
      <c r="BG31" s="1">
        <v>1</v>
      </c>
      <c r="BH31" s="1">
        <v>6</v>
      </c>
      <c r="BI31" s="1">
        <v>7.4729999999999999</v>
      </c>
      <c r="BJ31" s="1">
        <v>9.5039999999999996</v>
      </c>
      <c r="BK31" s="1">
        <v>10.657</v>
      </c>
      <c r="BL31" s="1">
        <v>2</v>
      </c>
      <c r="BM31" s="1">
        <v>4</v>
      </c>
      <c r="BN31" s="1">
        <v>6</v>
      </c>
      <c r="BO31" s="1">
        <v>8.2629999999999999</v>
      </c>
      <c r="BP31" s="1">
        <v>9.6419999999999995</v>
      </c>
      <c r="BQ31" s="1">
        <v>10.813000000000001</v>
      </c>
      <c r="BR31" s="1">
        <v>2</v>
      </c>
      <c r="BS31" s="1">
        <v>2</v>
      </c>
      <c r="BT31" s="1">
        <v>6</v>
      </c>
      <c r="BU31" s="1">
        <v>22.771000000000001</v>
      </c>
      <c r="BV31" s="1">
        <v>39.408999999999999</v>
      </c>
      <c r="BW31" s="1">
        <v>41.212000000000003</v>
      </c>
      <c r="BX31" s="1">
        <v>2</v>
      </c>
      <c r="BY31" s="1">
        <v>4</v>
      </c>
      <c r="BZ31" s="1">
        <v>4</v>
      </c>
      <c r="CA31" s="1">
        <v>14.13</v>
      </c>
      <c r="CB31" s="1">
        <v>22.858000000000001</v>
      </c>
      <c r="CC31" s="1">
        <v>26.631</v>
      </c>
      <c r="CD31" s="1">
        <v>3</v>
      </c>
      <c r="CE31" s="1">
        <v>3</v>
      </c>
      <c r="CF31" s="1">
        <v>5</v>
      </c>
      <c r="CG31" s="1">
        <v>9.5749999999999993</v>
      </c>
      <c r="CH31" s="1">
        <v>11.661</v>
      </c>
      <c r="CI31" s="1">
        <v>13.397</v>
      </c>
      <c r="CJ31" s="1">
        <v>2</v>
      </c>
      <c r="CK31" s="1">
        <v>1</v>
      </c>
      <c r="CL31" s="1">
        <v>5</v>
      </c>
      <c r="CM31" s="1">
        <v>5.9169999999999998</v>
      </c>
      <c r="CN31" s="1">
        <v>8.4120000000000008</v>
      </c>
      <c r="CO31" s="1">
        <v>9.8719999999999999</v>
      </c>
      <c r="CP31" s="1">
        <v>2</v>
      </c>
      <c r="CQ31" s="1">
        <v>4</v>
      </c>
      <c r="CR31" s="1">
        <v>7</v>
      </c>
      <c r="CS31" s="1">
        <v>8.4830000000000005</v>
      </c>
      <c r="CT31" s="1">
        <v>10.331</v>
      </c>
      <c r="CU31" s="1">
        <v>11.366</v>
      </c>
      <c r="CV31" s="1">
        <v>2</v>
      </c>
      <c r="CW31" s="1">
        <v>1</v>
      </c>
      <c r="CX31" s="1">
        <v>3</v>
      </c>
      <c r="CY31" s="1">
        <v>22.946999999999999</v>
      </c>
      <c r="CZ31" s="1">
        <v>24.276</v>
      </c>
      <c r="DA31" s="1">
        <v>25.917000000000002</v>
      </c>
      <c r="DB31" s="1">
        <v>2</v>
      </c>
      <c r="DC31" s="1">
        <v>1</v>
      </c>
      <c r="DD31" s="1">
        <v>5</v>
      </c>
      <c r="DE31" s="1">
        <v>7.0179999999999998</v>
      </c>
      <c r="DF31" s="1">
        <v>9.3079999999999998</v>
      </c>
      <c r="DG31" s="1">
        <v>11.063000000000001</v>
      </c>
      <c r="DH31" s="1">
        <v>2</v>
      </c>
      <c r="DI31" s="1">
        <v>3</v>
      </c>
      <c r="DJ31" s="1">
        <v>6</v>
      </c>
      <c r="DK31" s="1">
        <v>11.413</v>
      </c>
      <c r="DL31" s="1">
        <v>13.234</v>
      </c>
      <c r="DM31" s="1">
        <v>14.847</v>
      </c>
      <c r="DN31" s="1">
        <v>2</v>
      </c>
      <c r="DO31" s="1">
        <v>1</v>
      </c>
      <c r="DP31" s="1">
        <v>6</v>
      </c>
      <c r="DQ31" s="1">
        <v>9.7780000000000005</v>
      </c>
      <c r="DR31" s="1">
        <v>13.855</v>
      </c>
      <c r="DS31" s="1">
        <v>18.001000000000001</v>
      </c>
      <c r="DT31" s="1">
        <v>2</v>
      </c>
      <c r="DU31" s="1">
        <v>4</v>
      </c>
      <c r="DV31" s="1">
        <v>7</v>
      </c>
      <c r="DW31" s="1">
        <v>9.3879999999999999</v>
      </c>
      <c r="DX31" s="1">
        <v>14.146000000000001</v>
      </c>
      <c r="DY31" s="1">
        <v>15.324999999999999</v>
      </c>
      <c r="DZ31" s="1">
        <v>3</v>
      </c>
      <c r="EA31" s="1">
        <v>4</v>
      </c>
      <c r="EB31" s="1">
        <v>6</v>
      </c>
      <c r="EC31" s="1">
        <v>8.2469999999999999</v>
      </c>
      <c r="ED31" s="1">
        <v>28.797000000000001</v>
      </c>
      <c r="EE31" s="1">
        <v>36.264000000000003</v>
      </c>
      <c r="EF31" s="1">
        <v>3</v>
      </c>
      <c r="EG31" s="1">
        <v>1</v>
      </c>
      <c r="EH31" s="1">
        <v>5</v>
      </c>
      <c r="EI31" s="1">
        <v>15.291</v>
      </c>
      <c r="EJ31" s="1">
        <v>16.981999999999999</v>
      </c>
      <c r="EK31" s="1">
        <v>21.404</v>
      </c>
      <c r="EL31" s="1">
        <v>2</v>
      </c>
      <c r="EM31" s="1">
        <v>3</v>
      </c>
      <c r="EN31" s="1">
        <v>5</v>
      </c>
      <c r="EO31" s="1">
        <v>11.265000000000001</v>
      </c>
      <c r="EP31" s="1">
        <v>13.234999999999999</v>
      </c>
      <c r="EQ31" s="1">
        <v>24.245000000000001</v>
      </c>
      <c r="ER31" s="1">
        <v>2</v>
      </c>
      <c r="ES31" s="1">
        <v>1</v>
      </c>
      <c r="ET31" s="1">
        <v>7</v>
      </c>
      <c r="EU31" s="1">
        <v>7.5650000000000004</v>
      </c>
      <c r="EV31" s="1">
        <v>9.2289999999999992</v>
      </c>
      <c r="EW31" s="1">
        <v>10.379</v>
      </c>
      <c r="EX31" s="1">
        <v>2</v>
      </c>
      <c r="EY31" s="1">
        <v>2</v>
      </c>
      <c r="EZ31" s="1">
        <v>7</v>
      </c>
      <c r="FA31" s="1">
        <v>6.89</v>
      </c>
      <c r="FB31" s="1">
        <v>8.8239999999999998</v>
      </c>
      <c r="FC31" s="1">
        <v>9.8789999999999996</v>
      </c>
      <c r="FD31" s="1">
        <v>2</v>
      </c>
      <c r="FE31" s="1">
        <v>2</v>
      </c>
      <c r="FF31" s="1">
        <v>7</v>
      </c>
      <c r="FG31" s="1">
        <v>7.9859999999999998</v>
      </c>
      <c r="FH31" s="1">
        <v>11.487</v>
      </c>
      <c r="FI31" s="1">
        <v>12.627000000000001</v>
      </c>
      <c r="FJ31" s="1">
        <v>2</v>
      </c>
      <c r="FK31" s="1">
        <v>1</v>
      </c>
      <c r="FL31" s="1">
        <v>6</v>
      </c>
      <c r="FM31" s="1">
        <v>5.9729999999999999</v>
      </c>
      <c r="FN31" s="1">
        <v>8.2360000000000007</v>
      </c>
      <c r="FO31" s="1">
        <v>10.039</v>
      </c>
      <c r="FP31" s="1">
        <v>2</v>
      </c>
      <c r="FQ31" s="1">
        <v>2</v>
      </c>
      <c r="FR31" s="1">
        <v>7</v>
      </c>
      <c r="FS31" s="1">
        <v>6.1870000000000003</v>
      </c>
      <c r="FT31" s="1">
        <v>8.0619999999999994</v>
      </c>
      <c r="FU31" s="1">
        <v>9.7629999999999999</v>
      </c>
      <c r="FV31" s="1">
        <v>2</v>
      </c>
      <c r="FW31" s="1">
        <v>2</v>
      </c>
      <c r="FX31" s="1">
        <v>4</v>
      </c>
      <c r="FY31" s="1">
        <v>14.117000000000001</v>
      </c>
      <c r="FZ31" s="1">
        <v>16.131</v>
      </c>
      <c r="GA31" s="1">
        <v>17.73</v>
      </c>
      <c r="GB31" s="1">
        <v>2</v>
      </c>
      <c r="GC31" s="1">
        <v>1</v>
      </c>
      <c r="GD31" s="1">
        <v>7</v>
      </c>
      <c r="GE31" s="1">
        <v>5.74</v>
      </c>
      <c r="GF31" s="1">
        <v>7.3250000000000002</v>
      </c>
      <c r="GG31" s="1">
        <v>9.6189999999999998</v>
      </c>
      <c r="GH31" s="1">
        <v>2</v>
      </c>
      <c r="GI31" s="1">
        <v>2</v>
      </c>
      <c r="GJ31" s="1">
        <v>7</v>
      </c>
      <c r="GK31" s="1">
        <v>6.4829999999999997</v>
      </c>
      <c r="GL31" s="1">
        <v>9.1289999999999996</v>
      </c>
      <c r="GM31" s="1">
        <v>10.364000000000001</v>
      </c>
      <c r="GN31" s="1">
        <v>2</v>
      </c>
      <c r="GO31" s="1">
        <v>1</v>
      </c>
      <c r="GP31" s="1">
        <v>4</v>
      </c>
      <c r="GQ31" s="1">
        <v>7.3780000000000001</v>
      </c>
      <c r="GR31" s="1">
        <v>13.734</v>
      </c>
      <c r="GS31" s="1">
        <v>15.602</v>
      </c>
      <c r="GT31" s="1">
        <v>2</v>
      </c>
      <c r="GU31" s="1">
        <v>1</v>
      </c>
      <c r="GV31" s="1">
        <v>7</v>
      </c>
      <c r="GW31" s="1">
        <v>5.2149999999999999</v>
      </c>
      <c r="GX31" s="1">
        <v>7.2549999999999999</v>
      </c>
      <c r="GY31" s="1">
        <v>9.1780000000000008</v>
      </c>
      <c r="GZ31" s="1">
        <v>2</v>
      </c>
      <c r="HA31" s="1">
        <v>2</v>
      </c>
      <c r="HB31" s="1">
        <v>7</v>
      </c>
      <c r="HC31" s="1">
        <v>5.5</v>
      </c>
      <c r="HD31" s="1">
        <v>7.3769999999999998</v>
      </c>
      <c r="HE31" s="1">
        <v>9.6140000000000008</v>
      </c>
      <c r="HF31" s="1">
        <v>2</v>
      </c>
      <c r="HG31" s="1">
        <v>1</v>
      </c>
      <c r="HH31" s="1">
        <v>7</v>
      </c>
      <c r="HI31" s="1">
        <v>5.399</v>
      </c>
      <c r="HJ31" s="1">
        <v>8.1969999999999992</v>
      </c>
      <c r="HK31" s="1">
        <v>9.6219999999999999</v>
      </c>
      <c r="HL31" s="1">
        <v>2</v>
      </c>
      <c r="HM31" s="4" t="s">
        <v>643</v>
      </c>
      <c r="HN31" s="4" t="s">
        <v>644</v>
      </c>
      <c r="HO31" s="4" t="s">
        <v>645</v>
      </c>
      <c r="HP31" s="4" t="s">
        <v>646</v>
      </c>
      <c r="HQ31" s="4" t="s">
        <v>647</v>
      </c>
      <c r="HR31" s="4" t="s">
        <v>646</v>
      </c>
      <c r="HS31" s="4" t="s">
        <v>648</v>
      </c>
      <c r="HT31" s="4" t="s">
        <v>649</v>
      </c>
      <c r="HU31" s="4" t="s">
        <v>650</v>
      </c>
      <c r="HV31" s="4" t="s">
        <v>646</v>
      </c>
      <c r="HW31" s="4" t="s">
        <v>651</v>
      </c>
      <c r="HX31" s="4" t="s">
        <v>282</v>
      </c>
      <c r="HY31" s="4" t="s">
        <v>312</v>
      </c>
      <c r="HZ31" s="4" t="s">
        <v>372</v>
      </c>
      <c r="IA31" s="4" t="s">
        <v>325</v>
      </c>
      <c r="IB31" s="4" t="s">
        <v>282</v>
      </c>
      <c r="IC31" s="4" t="s">
        <v>282</v>
      </c>
    </row>
    <row r="32" spans="1:237" x14ac:dyDescent="0.2">
      <c r="A32" s="3">
        <v>45748.36515046296</v>
      </c>
      <c r="B32" s="3">
        <v>45748.382395833331</v>
      </c>
      <c r="C32" s="1">
        <v>0</v>
      </c>
      <c r="D32" s="4" t="s">
        <v>652</v>
      </c>
      <c r="E32" s="1">
        <v>100</v>
      </c>
      <c r="F32" s="1">
        <v>1490</v>
      </c>
      <c r="G32" s="1">
        <v>1</v>
      </c>
      <c r="H32" s="3">
        <v>45748.382413113424</v>
      </c>
      <c r="I32" s="4" t="s">
        <v>653</v>
      </c>
      <c r="J32" s="4" t="s">
        <v>282</v>
      </c>
      <c r="K32" s="4" t="s">
        <v>282</v>
      </c>
      <c r="L32" s="4" t="s">
        <v>282</v>
      </c>
      <c r="M32" s="4" t="s">
        <v>282</v>
      </c>
      <c r="N32" s="1">
        <v>49.247599999999998</v>
      </c>
      <c r="O32" s="1">
        <v>-123.1234</v>
      </c>
      <c r="P32" s="4" t="s">
        <v>283</v>
      </c>
      <c r="Q32" s="4" t="s">
        <v>284</v>
      </c>
      <c r="R32" s="1">
        <v>1</v>
      </c>
      <c r="S32" s="1">
        <v>1</v>
      </c>
      <c r="T32" s="1">
        <v>1</v>
      </c>
      <c r="U32" s="1">
        <v>1</v>
      </c>
      <c r="V32" s="1">
        <v>1</v>
      </c>
      <c r="W32" s="1">
        <v>4</v>
      </c>
      <c r="X32" s="4" t="s">
        <v>497</v>
      </c>
      <c r="Y32" s="1">
        <v>5</v>
      </c>
      <c r="Z32" s="1">
        <v>1</v>
      </c>
      <c r="AA32" s="1">
        <v>2</v>
      </c>
      <c r="AB32" s="1">
        <v>1</v>
      </c>
      <c r="AC32" s="1">
        <v>1</v>
      </c>
      <c r="AD32" s="1">
        <v>6</v>
      </c>
      <c r="AE32" s="1">
        <v>9.7789999999999999</v>
      </c>
      <c r="AF32" s="1">
        <v>13.489000000000001</v>
      </c>
      <c r="AG32" s="1">
        <v>14.256</v>
      </c>
      <c r="AH32" s="1">
        <v>6</v>
      </c>
      <c r="AI32" s="1">
        <v>2</v>
      </c>
      <c r="AJ32" s="1">
        <v>6</v>
      </c>
      <c r="AK32" s="1">
        <v>7.2510000000000003</v>
      </c>
      <c r="AL32" s="1">
        <v>10.766999999999999</v>
      </c>
      <c r="AM32" s="1">
        <v>11.324</v>
      </c>
      <c r="AN32" s="1">
        <v>5</v>
      </c>
      <c r="AO32" s="1">
        <v>2</v>
      </c>
      <c r="AP32" s="1">
        <v>5</v>
      </c>
      <c r="AQ32" s="1">
        <v>21.622</v>
      </c>
      <c r="AR32" s="1">
        <v>23.826000000000001</v>
      </c>
      <c r="AS32" s="1">
        <v>24.619</v>
      </c>
      <c r="AT32" s="1">
        <v>4</v>
      </c>
      <c r="AU32" s="1">
        <v>5</v>
      </c>
      <c r="AV32" s="1">
        <v>6</v>
      </c>
      <c r="AW32" s="1">
        <v>24.664999999999999</v>
      </c>
      <c r="AX32" s="1">
        <v>26.9</v>
      </c>
      <c r="AY32" s="1">
        <v>27.501000000000001</v>
      </c>
      <c r="AZ32" s="1">
        <v>5</v>
      </c>
      <c r="BA32" s="1">
        <v>5</v>
      </c>
      <c r="BB32" s="1">
        <v>5</v>
      </c>
      <c r="BC32" s="1">
        <v>12.416</v>
      </c>
      <c r="BD32" s="1">
        <v>22.462</v>
      </c>
      <c r="BE32" s="1">
        <v>23.056000000000001</v>
      </c>
      <c r="BF32" s="1">
        <v>5</v>
      </c>
      <c r="BG32" s="1">
        <v>1</v>
      </c>
      <c r="BH32" s="1">
        <v>6</v>
      </c>
      <c r="BI32" s="1">
        <v>7.83</v>
      </c>
      <c r="BJ32" s="1">
        <v>9.3699999999999992</v>
      </c>
      <c r="BK32" s="1">
        <v>9.8819999999999997</v>
      </c>
      <c r="BL32" s="1">
        <v>3</v>
      </c>
      <c r="BM32" s="1">
        <v>2</v>
      </c>
      <c r="BN32" s="1">
        <v>6</v>
      </c>
      <c r="BO32" s="1">
        <v>0.32500000000000001</v>
      </c>
      <c r="BP32" s="1">
        <v>13.492000000000001</v>
      </c>
      <c r="BQ32" s="1">
        <v>14.082000000000001</v>
      </c>
      <c r="BR32" s="1">
        <v>5</v>
      </c>
      <c r="BS32" s="1">
        <v>1</v>
      </c>
      <c r="BT32" s="1">
        <v>6</v>
      </c>
      <c r="BU32" s="1">
        <v>19.995000000000001</v>
      </c>
      <c r="BV32" s="1">
        <v>23.423999999999999</v>
      </c>
      <c r="BW32" s="1">
        <v>23.992000000000001</v>
      </c>
      <c r="BX32" s="1">
        <v>5</v>
      </c>
      <c r="BY32" s="1">
        <v>5</v>
      </c>
      <c r="BZ32" s="1">
        <v>6</v>
      </c>
      <c r="CA32" s="1">
        <v>6.6050000000000004</v>
      </c>
      <c r="CB32" s="1">
        <v>8.2279999999999998</v>
      </c>
      <c r="CC32" s="1">
        <v>8.8149999999999995</v>
      </c>
      <c r="CD32" s="1">
        <v>4</v>
      </c>
      <c r="CE32" s="1">
        <v>3</v>
      </c>
      <c r="CF32" s="1">
        <v>6</v>
      </c>
      <c r="CG32" s="1">
        <v>16.978999999999999</v>
      </c>
      <c r="CH32" s="1">
        <v>19.189</v>
      </c>
      <c r="CI32" s="1">
        <v>19.837</v>
      </c>
      <c r="CJ32" s="1">
        <v>4</v>
      </c>
      <c r="CK32" s="1">
        <v>1</v>
      </c>
      <c r="CL32" s="1">
        <v>5</v>
      </c>
      <c r="CM32" s="1">
        <v>2.661</v>
      </c>
      <c r="CN32" s="1">
        <v>15.847</v>
      </c>
      <c r="CO32" s="1">
        <v>16.978000000000002</v>
      </c>
      <c r="CP32" s="1">
        <v>6</v>
      </c>
      <c r="CQ32" s="1">
        <v>2</v>
      </c>
      <c r="CR32" s="1">
        <v>6</v>
      </c>
      <c r="CS32" s="1">
        <v>5.89</v>
      </c>
      <c r="CT32" s="1">
        <v>8.0090000000000003</v>
      </c>
      <c r="CU32" s="1">
        <v>8.6219999999999999</v>
      </c>
      <c r="CV32" s="1">
        <v>4</v>
      </c>
      <c r="CW32" s="1">
        <v>1</v>
      </c>
      <c r="CX32" s="1">
        <v>6</v>
      </c>
      <c r="CY32" s="1">
        <v>8.0990000000000002</v>
      </c>
      <c r="CZ32" s="1">
        <v>9.8699999999999992</v>
      </c>
      <c r="DA32" s="1">
        <v>10.361000000000001</v>
      </c>
      <c r="DB32" s="1">
        <v>5</v>
      </c>
      <c r="DC32" s="1">
        <v>5</v>
      </c>
      <c r="DD32" s="1">
        <v>6</v>
      </c>
      <c r="DE32" s="1">
        <v>7.4649999999999999</v>
      </c>
      <c r="DF32" s="1">
        <v>9.6199999999999992</v>
      </c>
      <c r="DG32" s="1">
        <v>10.041</v>
      </c>
      <c r="DH32" s="1">
        <v>5</v>
      </c>
      <c r="DI32" s="1">
        <v>3</v>
      </c>
      <c r="DJ32" s="1">
        <v>5</v>
      </c>
      <c r="DK32" s="1">
        <v>28.344000000000001</v>
      </c>
      <c r="DL32" s="1">
        <v>31.012</v>
      </c>
      <c r="DM32" s="1">
        <v>32.073999999999998</v>
      </c>
      <c r="DN32" s="1">
        <v>5</v>
      </c>
      <c r="DO32" s="1">
        <v>1</v>
      </c>
      <c r="DP32" s="1">
        <v>6</v>
      </c>
      <c r="DQ32" s="1">
        <v>3.9590000000000001</v>
      </c>
      <c r="DR32" s="1">
        <v>6.7389999999999999</v>
      </c>
      <c r="DS32" s="1">
        <v>8.6229999999999993</v>
      </c>
      <c r="DT32" s="1">
        <v>5</v>
      </c>
      <c r="DU32" s="1">
        <v>2</v>
      </c>
      <c r="DV32" s="1">
        <v>5</v>
      </c>
      <c r="DW32" s="1">
        <v>11.996</v>
      </c>
      <c r="DX32" s="1">
        <v>14.239000000000001</v>
      </c>
      <c r="DY32" s="1">
        <v>15.023</v>
      </c>
      <c r="DZ32" s="1">
        <v>5</v>
      </c>
      <c r="EA32" s="1">
        <v>4</v>
      </c>
      <c r="EB32" s="1">
        <v>5</v>
      </c>
      <c r="EC32" s="1">
        <v>10.425000000000001</v>
      </c>
      <c r="ED32" s="1">
        <v>13.237</v>
      </c>
      <c r="EE32" s="1">
        <v>13.93</v>
      </c>
      <c r="EF32" s="1">
        <v>5</v>
      </c>
      <c r="EG32" s="1">
        <v>5</v>
      </c>
      <c r="EH32" s="1">
        <v>6</v>
      </c>
      <c r="EI32" s="1">
        <v>8.6300000000000008</v>
      </c>
      <c r="EJ32" s="1">
        <v>15.041</v>
      </c>
      <c r="EK32" s="1">
        <v>15.577</v>
      </c>
      <c r="EL32" s="1">
        <v>4</v>
      </c>
      <c r="EM32" s="1">
        <v>3</v>
      </c>
      <c r="EN32" s="1">
        <v>6</v>
      </c>
      <c r="EO32" s="1">
        <v>8.6110000000000007</v>
      </c>
      <c r="EP32" s="1">
        <v>10.099</v>
      </c>
      <c r="EQ32" s="1">
        <v>10.986000000000001</v>
      </c>
      <c r="ER32" s="1">
        <v>3</v>
      </c>
      <c r="ES32" s="1">
        <v>5</v>
      </c>
      <c r="ET32" s="1">
        <v>5</v>
      </c>
      <c r="EU32" s="1">
        <v>19.614999999999998</v>
      </c>
      <c r="EV32" s="1">
        <v>128.90100000000001</v>
      </c>
      <c r="EW32" s="1">
        <v>129.36799999999999</v>
      </c>
      <c r="EX32" s="1">
        <v>7</v>
      </c>
      <c r="EY32" s="1">
        <v>2</v>
      </c>
      <c r="EZ32" s="1">
        <v>6</v>
      </c>
      <c r="FA32" s="1">
        <v>2.6949999999999998</v>
      </c>
      <c r="FB32" s="1">
        <v>8.2929999999999993</v>
      </c>
      <c r="FC32" s="1">
        <v>8.8119999999999994</v>
      </c>
      <c r="FD32" s="1">
        <v>10</v>
      </c>
      <c r="FE32" s="1">
        <v>1</v>
      </c>
      <c r="FF32" s="1">
        <v>6</v>
      </c>
      <c r="FG32" s="1">
        <v>6.992</v>
      </c>
      <c r="FH32" s="1">
        <v>11.943</v>
      </c>
      <c r="FI32" s="1">
        <v>12.468</v>
      </c>
      <c r="FJ32" s="1">
        <v>10</v>
      </c>
      <c r="FK32" s="1">
        <v>2</v>
      </c>
      <c r="FL32" s="1">
        <v>5</v>
      </c>
      <c r="FM32" s="1">
        <v>1.502</v>
      </c>
      <c r="FN32" s="1">
        <v>8.4009999999999998</v>
      </c>
      <c r="FO32" s="1">
        <v>9.0340000000000007</v>
      </c>
      <c r="FP32" s="1">
        <v>15</v>
      </c>
      <c r="FQ32" s="1">
        <v>2</v>
      </c>
      <c r="FR32" s="1">
        <v>5</v>
      </c>
      <c r="FS32" s="1">
        <v>2.351</v>
      </c>
      <c r="FT32" s="1">
        <v>10.287000000000001</v>
      </c>
      <c r="FU32" s="1">
        <v>10.879</v>
      </c>
      <c r="FV32" s="1">
        <v>5</v>
      </c>
      <c r="FW32" s="1">
        <v>1</v>
      </c>
      <c r="FX32" s="1">
        <v>4</v>
      </c>
      <c r="FY32" s="1">
        <v>17.350999999999999</v>
      </c>
      <c r="FZ32" s="1">
        <v>46.387</v>
      </c>
      <c r="GA32" s="1">
        <v>47.037999999999997</v>
      </c>
      <c r="GB32" s="1">
        <v>7</v>
      </c>
      <c r="GC32" s="1">
        <v>1</v>
      </c>
      <c r="GD32" s="1">
        <v>5</v>
      </c>
      <c r="GE32" s="1">
        <v>8.3320000000000007</v>
      </c>
      <c r="GF32" s="1">
        <v>11.004</v>
      </c>
      <c r="GG32" s="1">
        <v>11.532</v>
      </c>
      <c r="GH32" s="1">
        <v>5</v>
      </c>
      <c r="GI32" s="1">
        <v>2</v>
      </c>
      <c r="GJ32" s="1">
        <v>5</v>
      </c>
      <c r="GK32" s="1">
        <v>6.0229999999999997</v>
      </c>
      <c r="GL32" s="1">
        <v>10.215</v>
      </c>
      <c r="GM32" s="1">
        <v>10.7</v>
      </c>
      <c r="GN32" s="1">
        <v>7</v>
      </c>
      <c r="GO32" s="1">
        <v>1</v>
      </c>
      <c r="GP32" s="1">
        <v>5</v>
      </c>
      <c r="GQ32" s="1">
        <v>77.932000000000002</v>
      </c>
      <c r="GR32" s="1">
        <v>85.67</v>
      </c>
      <c r="GS32" s="1">
        <v>86.194000000000003</v>
      </c>
      <c r="GT32" s="1">
        <v>9</v>
      </c>
      <c r="GU32" s="1">
        <v>1</v>
      </c>
      <c r="GV32" s="1">
        <v>5</v>
      </c>
      <c r="GW32" s="1">
        <v>59.406999999999996</v>
      </c>
      <c r="GX32" s="1">
        <v>82.225999999999999</v>
      </c>
      <c r="GY32" s="1">
        <v>82.796999999999997</v>
      </c>
      <c r="GZ32" s="1">
        <v>6</v>
      </c>
      <c r="HA32" s="1">
        <v>2</v>
      </c>
      <c r="HB32" s="1">
        <v>4</v>
      </c>
      <c r="HC32" s="1">
        <v>7.8410000000000002</v>
      </c>
      <c r="HD32" s="1">
        <v>12.936999999999999</v>
      </c>
      <c r="HE32" s="1">
        <v>13.414999999999999</v>
      </c>
      <c r="HF32" s="1">
        <v>8</v>
      </c>
      <c r="HG32" s="1">
        <v>2</v>
      </c>
      <c r="HH32" s="1">
        <v>4</v>
      </c>
      <c r="HI32" s="1">
        <v>45.179000000000002</v>
      </c>
      <c r="HJ32" s="1">
        <v>48.820999999999998</v>
      </c>
      <c r="HK32" s="1">
        <v>49.238</v>
      </c>
      <c r="HL32" s="1">
        <v>6</v>
      </c>
      <c r="HM32" s="4" t="s">
        <v>654</v>
      </c>
      <c r="HN32" s="4" t="s">
        <v>361</v>
      </c>
      <c r="HO32" s="4" t="s">
        <v>655</v>
      </c>
      <c r="HP32" s="4" t="s">
        <v>656</v>
      </c>
      <c r="HQ32" s="4" t="s">
        <v>657</v>
      </c>
      <c r="HR32" s="4" t="s">
        <v>658</v>
      </c>
      <c r="HS32" s="4" t="s">
        <v>659</v>
      </c>
      <c r="HT32" s="4" t="s">
        <v>659</v>
      </c>
      <c r="HU32" s="4" t="s">
        <v>660</v>
      </c>
      <c r="HV32" s="4" t="s">
        <v>660</v>
      </c>
      <c r="HW32" s="4" t="s">
        <v>282</v>
      </c>
      <c r="HX32" s="4" t="s">
        <v>282</v>
      </c>
      <c r="HY32" s="4" t="s">
        <v>312</v>
      </c>
      <c r="HZ32" s="4" t="s">
        <v>356</v>
      </c>
      <c r="IA32" s="4" t="s">
        <v>313</v>
      </c>
      <c r="IB32" s="4" t="s">
        <v>282</v>
      </c>
      <c r="IC32" s="4" t="s">
        <v>282</v>
      </c>
    </row>
    <row r="33" spans="1:237" x14ac:dyDescent="0.2">
      <c r="A33" s="3">
        <v>45748.367094907408</v>
      </c>
      <c r="B33" s="3">
        <v>45748.383784722224</v>
      </c>
      <c r="C33" s="1">
        <v>0</v>
      </c>
      <c r="D33" s="4" t="s">
        <v>661</v>
      </c>
      <c r="E33" s="1">
        <v>100</v>
      </c>
      <c r="F33" s="1">
        <v>1442</v>
      </c>
      <c r="G33" s="1">
        <v>1</v>
      </c>
      <c r="H33" s="3">
        <v>45748.383801319447</v>
      </c>
      <c r="I33" s="4" t="s">
        <v>662</v>
      </c>
      <c r="J33" s="4" t="s">
        <v>282</v>
      </c>
      <c r="K33" s="4" t="s">
        <v>282</v>
      </c>
      <c r="L33" s="4" t="s">
        <v>282</v>
      </c>
      <c r="M33" s="4" t="s">
        <v>282</v>
      </c>
      <c r="N33" s="1">
        <v>-37.767000000000003</v>
      </c>
      <c r="O33" s="1">
        <v>144.95429999999999</v>
      </c>
      <c r="P33" s="4" t="s">
        <v>283</v>
      </c>
      <c r="Q33" s="4" t="s">
        <v>284</v>
      </c>
      <c r="R33" s="1">
        <v>1</v>
      </c>
      <c r="S33" s="1">
        <v>1</v>
      </c>
      <c r="T33" s="1">
        <v>1</v>
      </c>
      <c r="U33" s="1">
        <v>1</v>
      </c>
      <c r="V33" s="1">
        <v>1</v>
      </c>
      <c r="W33" s="1">
        <v>12</v>
      </c>
      <c r="X33" s="4" t="s">
        <v>1282</v>
      </c>
      <c r="Y33" s="1">
        <v>5</v>
      </c>
      <c r="Z33" s="1">
        <v>2</v>
      </c>
      <c r="AA33" s="1">
        <v>2</v>
      </c>
      <c r="AB33" s="1">
        <v>2</v>
      </c>
      <c r="AC33" s="1">
        <v>1</v>
      </c>
      <c r="AD33" s="1">
        <v>4</v>
      </c>
      <c r="AE33" s="1">
        <v>11.712999999999999</v>
      </c>
      <c r="AF33" s="1">
        <v>13.217000000000001</v>
      </c>
      <c r="AG33" s="1">
        <v>14.367000000000001</v>
      </c>
      <c r="AH33" s="1">
        <v>2</v>
      </c>
      <c r="AI33" s="1">
        <v>2</v>
      </c>
      <c r="AJ33" s="1">
        <v>6</v>
      </c>
      <c r="AK33" s="1">
        <v>8.3140000000000001</v>
      </c>
      <c r="AL33" s="1">
        <v>10.225</v>
      </c>
      <c r="AM33" s="1">
        <v>13.677</v>
      </c>
      <c r="AN33" s="1">
        <v>2</v>
      </c>
      <c r="AO33" s="1">
        <v>2</v>
      </c>
      <c r="AP33" s="1">
        <v>6</v>
      </c>
      <c r="AQ33" s="1">
        <v>6.6829999999999998</v>
      </c>
      <c r="AR33" s="1">
        <v>8.2750000000000004</v>
      </c>
      <c r="AS33" s="1">
        <v>9.9160000000000004</v>
      </c>
      <c r="AT33" s="1">
        <v>2</v>
      </c>
      <c r="AU33" s="1">
        <v>1</v>
      </c>
      <c r="AV33" s="1">
        <v>4</v>
      </c>
      <c r="AW33" s="1">
        <v>12.006</v>
      </c>
      <c r="AX33" s="1">
        <v>23.684999999999999</v>
      </c>
      <c r="AY33" s="1">
        <v>25.134</v>
      </c>
      <c r="AZ33" s="1">
        <v>2</v>
      </c>
      <c r="BA33" s="1">
        <v>5</v>
      </c>
      <c r="BB33" s="1">
        <v>4</v>
      </c>
      <c r="BC33" s="1">
        <v>9.3960000000000008</v>
      </c>
      <c r="BD33" s="1">
        <v>12.428000000000001</v>
      </c>
      <c r="BE33" s="1">
        <v>13.183999999999999</v>
      </c>
      <c r="BF33" s="1">
        <v>2</v>
      </c>
      <c r="BG33" s="1">
        <v>1</v>
      </c>
      <c r="BH33" s="1">
        <v>4</v>
      </c>
      <c r="BI33" s="1">
        <v>13.813000000000001</v>
      </c>
      <c r="BJ33" s="1">
        <v>18.701000000000001</v>
      </c>
      <c r="BK33" s="1">
        <v>19.683</v>
      </c>
      <c r="BL33" s="1">
        <v>3</v>
      </c>
      <c r="BM33" s="1">
        <v>2</v>
      </c>
      <c r="BN33" s="1">
        <v>6</v>
      </c>
      <c r="BO33" s="1">
        <v>6.66</v>
      </c>
      <c r="BP33" s="1">
        <v>11.170999999999999</v>
      </c>
      <c r="BQ33" s="1">
        <v>12.053000000000001</v>
      </c>
      <c r="BR33" s="1">
        <v>2</v>
      </c>
      <c r="BS33" s="1">
        <v>3</v>
      </c>
      <c r="BT33" s="1">
        <v>4</v>
      </c>
      <c r="BU33" s="1">
        <v>10.705</v>
      </c>
      <c r="BV33" s="1">
        <v>12.612</v>
      </c>
      <c r="BW33" s="1">
        <v>13.472</v>
      </c>
      <c r="BX33" s="1">
        <v>2</v>
      </c>
      <c r="BY33" s="1">
        <v>5</v>
      </c>
      <c r="BZ33" s="1">
        <v>4</v>
      </c>
      <c r="CA33" s="1">
        <v>13.952999999999999</v>
      </c>
      <c r="CB33" s="1">
        <v>19.713000000000001</v>
      </c>
      <c r="CC33" s="1">
        <v>20.576000000000001</v>
      </c>
      <c r="CD33" s="1">
        <v>4</v>
      </c>
      <c r="CE33" s="1">
        <v>1</v>
      </c>
      <c r="CF33" s="1">
        <v>4</v>
      </c>
      <c r="CG33" s="1">
        <v>12.192</v>
      </c>
      <c r="CH33" s="1">
        <v>13.352</v>
      </c>
      <c r="CI33" s="1">
        <v>14.055999999999999</v>
      </c>
      <c r="CJ33" s="1">
        <v>2</v>
      </c>
      <c r="CK33" s="1">
        <v>1</v>
      </c>
      <c r="CL33" s="1">
        <v>4</v>
      </c>
      <c r="CM33" s="1">
        <v>12.122</v>
      </c>
      <c r="CN33" s="1">
        <v>14.538</v>
      </c>
      <c r="CO33" s="1">
        <v>16.16</v>
      </c>
      <c r="CP33" s="1">
        <v>2</v>
      </c>
      <c r="CQ33" s="1">
        <v>2</v>
      </c>
      <c r="CR33" s="1">
        <v>6</v>
      </c>
      <c r="CS33" s="1">
        <v>8.8260000000000005</v>
      </c>
      <c r="CT33" s="1">
        <v>12.321</v>
      </c>
      <c r="CU33" s="1">
        <v>13.144</v>
      </c>
      <c r="CV33" s="1">
        <v>2</v>
      </c>
      <c r="CW33" s="4" t="s">
        <v>282</v>
      </c>
      <c r="CX33" s="1">
        <v>3</v>
      </c>
      <c r="CY33" s="1">
        <v>19.609000000000002</v>
      </c>
      <c r="CZ33" s="1">
        <v>36.545000000000002</v>
      </c>
      <c r="DA33" s="1">
        <v>37.776000000000003</v>
      </c>
      <c r="DB33" s="1">
        <v>4</v>
      </c>
      <c r="DC33" s="1">
        <v>4</v>
      </c>
      <c r="DD33" s="1">
        <v>5</v>
      </c>
      <c r="DE33" s="1">
        <v>13.651</v>
      </c>
      <c r="DF33" s="1">
        <v>15.972</v>
      </c>
      <c r="DG33" s="1">
        <v>16.73</v>
      </c>
      <c r="DH33" s="1">
        <v>2</v>
      </c>
      <c r="DI33" s="1">
        <v>3</v>
      </c>
      <c r="DJ33" s="1">
        <v>5</v>
      </c>
      <c r="DK33" s="1">
        <v>9.4380000000000006</v>
      </c>
      <c r="DL33" s="1">
        <v>11.335000000000001</v>
      </c>
      <c r="DM33" s="1">
        <v>12.917</v>
      </c>
      <c r="DN33" s="1">
        <v>2</v>
      </c>
      <c r="DO33" s="1">
        <v>1</v>
      </c>
      <c r="DP33" s="1">
        <v>3</v>
      </c>
      <c r="DQ33" s="1">
        <v>15.231999999999999</v>
      </c>
      <c r="DR33" s="1">
        <v>16.928000000000001</v>
      </c>
      <c r="DS33" s="1">
        <v>17.829000000000001</v>
      </c>
      <c r="DT33" s="1">
        <v>2</v>
      </c>
      <c r="DU33" s="1">
        <v>2</v>
      </c>
      <c r="DV33" s="1">
        <v>6</v>
      </c>
      <c r="DW33" s="1">
        <v>6.2830000000000004</v>
      </c>
      <c r="DX33" s="1">
        <v>9.3800000000000008</v>
      </c>
      <c r="DY33" s="1">
        <v>11.012</v>
      </c>
      <c r="DZ33" s="1">
        <v>2</v>
      </c>
      <c r="EA33" s="1">
        <v>1</v>
      </c>
      <c r="EB33" s="1">
        <v>4</v>
      </c>
      <c r="EC33" s="1">
        <v>13.242000000000001</v>
      </c>
      <c r="ED33" s="1">
        <v>17.984999999999999</v>
      </c>
      <c r="EE33" s="1">
        <v>19.062999999999999</v>
      </c>
      <c r="EF33" s="1">
        <v>2</v>
      </c>
      <c r="EG33" s="1">
        <v>4</v>
      </c>
      <c r="EH33" s="1">
        <v>5</v>
      </c>
      <c r="EI33" s="1">
        <v>23.488</v>
      </c>
      <c r="EJ33" s="1">
        <v>28.704000000000001</v>
      </c>
      <c r="EK33" s="1">
        <v>29.577000000000002</v>
      </c>
      <c r="EL33" s="1">
        <v>2</v>
      </c>
      <c r="EM33" s="1">
        <v>1</v>
      </c>
      <c r="EN33" s="1">
        <v>4</v>
      </c>
      <c r="EO33" s="1">
        <v>17.719000000000001</v>
      </c>
      <c r="EP33" s="1">
        <v>38.445</v>
      </c>
      <c r="EQ33" s="1">
        <v>39.200000000000003</v>
      </c>
      <c r="ER33" s="1">
        <v>3</v>
      </c>
      <c r="ES33" s="1">
        <v>5</v>
      </c>
      <c r="ET33" s="1">
        <v>3</v>
      </c>
      <c r="EU33" s="1">
        <v>7.58</v>
      </c>
      <c r="EV33" s="1">
        <v>12.843999999999999</v>
      </c>
      <c r="EW33" s="1">
        <v>16.7</v>
      </c>
      <c r="EX33" s="1">
        <v>2</v>
      </c>
      <c r="EY33" s="1">
        <v>2</v>
      </c>
      <c r="EZ33" s="1">
        <v>6</v>
      </c>
      <c r="FA33" s="1">
        <v>6.452</v>
      </c>
      <c r="FB33" s="1">
        <v>11.002000000000001</v>
      </c>
      <c r="FC33" s="1">
        <v>11.941000000000001</v>
      </c>
      <c r="FD33" s="1">
        <v>2</v>
      </c>
      <c r="FE33" s="1">
        <v>5</v>
      </c>
      <c r="FF33" s="1">
        <v>4</v>
      </c>
      <c r="FG33" s="1">
        <v>7.5880000000000001</v>
      </c>
      <c r="FH33" s="1">
        <v>11.005000000000001</v>
      </c>
      <c r="FI33" s="1">
        <v>11.974</v>
      </c>
      <c r="FJ33" s="1">
        <v>2</v>
      </c>
      <c r="FK33" s="1">
        <v>1</v>
      </c>
      <c r="FL33" s="1">
        <v>4</v>
      </c>
      <c r="FM33" s="1">
        <v>7.6719999999999997</v>
      </c>
      <c r="FN33" s="1">
        <v>10.375999999999999</v>
      </c>
      <c r="FO33" s="1">
        <v>11.353999999999999</v>
      </c>
      <c r="FP33" s="1">
        <v>2</v>
      </c>
      <c r="FQ33" s="1">
        <v>2</v>
      </c>
      <c r="FR33" s="1">
        <v>6</v>
      </c>
      <c r="FS33" s="1">
        <v>8.1980000000000004</v>
      </c>
      <c r="FT33" s="1">
        <v>15.59</v>
      </c>
      <c r="FU33" s="1">
        <v>16.401</v>
      </c>
      <c r="FV33" s="1">
        <v>2</v>
      </c>
      <c r="FW33" s="1">
        <v>5</v>
      </c>
      <c r="FX33" s="1">
        <v>5</v>
      </c>
      <c r="FY33" s="1">
        <v>31.582999999999998</v>
      </c>
      <c r="FZ33" s="1">
        <v>34.28</v>
      </c>
      <c r="GA33" s="1">
        <v>35.030999999999999</v>
      </c>
      <c r="GB33" s="1">
        <v>2</v>
      </c>
      <c r="GC33" s="1">
        <v>5</v>
      </c>
      <c r="GD33" s="1">
        <v>4</v>
      </c>
      <c r="GE33" s="1">
        <v>136.52600000000001</v>
      </c>
      <c r="GF33" s="1">
        <v>138.38999999999999</v>
      </c>
      <c r="GG33" s="1">
        <v>140.40100000000001</v>
      </c>
      <c r="GH33" s="1">
        <v>2</v>
      </c>
      <c r="GI33" s="1">
        <v>2</v>
      </c>
      <c r="GJ33" s="1">
        <v>6</v>
      </c>
      <c r="GK33" s="1">
        <v>3.26</v>
      </c>
      <c r="GL33" s="1">
        <v>5.3570000000000002</v>
      </c>
      <c r="GM33" s="1">
        <v>12</v>
      </c>
      <c r="GN33" s="1">
        <v>2</v>
      </c>
      <c r="GO33" s="1">
        <v>5</v>
      </c>
      <c r="GP33" s="1">
        <v>5</v>
      </c>
      <c r="GQ33" s="1">
        <v>5.2190000000000003</v>
      </c>
      <c r="GR33" s="1">
        <v>24.571000000000002</v>
      </c>
      <c r="GS33" s="1">
        <v>25.79</v>
      </c>
      <c r="GT33" s="1">
        <v>4</v>
      </c>
      <c r="GU33" s="1">
        <v>1</v>
      </c>
      <c r="GV33" s="1">
        <v>4</v>
      </c>
      <c r="GW33" s="1">
        <v>8.3800000000000008</v>
      </c>
      <c r="GX33" s="1">
        <v>164.56100000000001</v>
      </c>
      <c r="GY33" s="1">
        <v>165.76499999999999</v>
      </c>
      <c r="GZ33" s="1">
        <v>4</v>
      </c>
      <c r="HA33" s="1">
        <v>2</v>
      </c>
      <c r="HB33" s="1">
        <v>6</v>
      </c>
      <c r="HC33" s="1">
        <v>5.9039999999999999</v>
      </c>
      <c r="HD33" s="1">
        <v>7.7839999999999998</v>
      </c>
      <c r="HE33" s="1">
        <v>9.9250000000000007</v>
      </c>
      <c r="HF33" s="1">
        <v>2</v>
      </c>
      <c r="HG33" s="1">
        <v>2</v>
      </c>
      <c r="HH33" s="1">
        <v>6</v>
      </c>
      <c r="HI33" s="1">
        <v>4.827</v>
      </c>
      <c r="HJ33" s="1">
        <v>6.4089999999999998</v>
      </c>
      <c r="HK33" s="1">
        <v>11.101000000000001</v>
      </c>
      <c r="HL33" s="1">
        <v>2</v>
      </c>
      <c r="HM33" s="4" t="s">
        <v>663</v>
      </c>
      <c r="HN33" s="4" t="s">
        <v>664</v>
      </c>
      <c r="HO33" s="4" t="s">
        <v>665</v>
      </c>
      <c r="HP33" s="4" t="s">
        <v>666</v>
      </c>
      <c r="HQ33" s="4" t="s">
        <v>667</v>
      </c>
      <c r="HR33" s="4" t="s">
        <v>668</v>
      </c>
      <c r="HS33" s="4" t="s">
        <v>669</v>
      </c>
      <c r="HT33" s="4" t="s">
        <v>670</v>
      </c>
      <c r="HU33" s="4" t="s">
        <v>671</v>
      </c>
      <c r="HV33" s="4" t="s">
        <v>672</v>
      </c>
      <c r="HW33" s="4" t="s">
        <v>282</v>
      </c>
      <c r="HX33" s="4" t="s">
        <v>282</v>
      </c>
      <c r="HY33" s="4" t="s">
        <v>312</v>
      </c>
      <c r="HZ33" s="4" t="s">
        <v>372</v>
      </c>
      <c r="IA33" s="4" t="s">
        <v>325</v>
      </c>
      <c r="IB33" s="4" t="s">
        <v>282</v>
      </c>
      <c r="IC33" s="4" t="s">
        <v>282</v>
      </c>
    </row>
    <row r="34" spans="1:237" x14ac:dyDescent="0.2">
      <c r="A34" s="3">
        <v>45748.374189814815</v>
      </c>
      <c r="B34" s="3">
        <v>45748.38753472222</v>
      </c>
      <c r="C34" s="1">
        <v>0</v>
      </c>
      <c r="D34" s="4" t="s">
        <v>673</v>
      </c>
      <c r="E34" s="1">
        <v>100</v>
      </c>
      <c r="F34" s="1">
        <v>1153</v>
      </c>
      <c r="G34" s="1">
        <v>1</v>
      </c>
      <c r="H34" s="3">
        <v>45748.387556307869</v>
      </c>
      <c r="I34" s="4" t="s">
        <v>674</v>
      </c>
      <c r="J34" s="4" t="s">
        <v>282</v>
      </c>
      <c r="K34" s="4" t="s">
        <v>282</v>
      </c>
      <c r="L34" s="4" t="s">
        <v>282</v>
      </c>
      <c r="M34" s="4" t="s">
        <v>282</v>
      </c>
      <c r="N34" s="1">
        <v>-37.918900000000001</v>
      </c>
      <c r="O34" s="1">
        <v>145.126</v>
      </c>
      <c r="P34" s="4" t="s">
        <v>283</v>
      </c>
      <c r="Q34" s="4" t="s">
        <v>284</v>
      </c>
      <c r="R34" s="1">
        <v>1</v>
      </c>
      <c r="S34" s="1">
        <v>1</v>
      </c>
      <c r="T34" s="1">
        <v>1</v>
      </c>
      <c r="U34" s="1">
        <v>1</v>
      </c>
      <c r="V34" s="1">
        <v>1</v>
      </c>
      <c r="W34" s="1">
        <v>4</v>
      </c>
      <c r="X34" s="4" t="s">
        <v>497</v>
      </c>
      <c r="Y34" s="1">
        <v>5</v>
      </c>
      <c r="Z34" s="1">
        <v>1</v>
      </c>
      <c r="AA34" s="1">
        <v>3</v>
      </c>
      <c r="AB34" s="1">
        <v>1</v>
      </c>
      <c r="AC34" s="1">
        <v>1</v>
      </c>
      <c r="AD34" s="1">
        <v>5</v>
      </c>
      <c r="AE34" s="1">
        <v>21.850999999999999</v>
      </c>
      <c r="AF34" s="1">
        <v>24.553999999999998</v>
      </c>
      <c r="AG34" s="1">
        <v>25.108000000000001</v>
      </c>
      <c r="AH34" s="1">
        <v>3</v>
      </c>
      <c r="AI34" s="1">
        <v>2</v>
      </c>
      <c r="AJ34" s="1">
        <v>6</v>
      </c>
      <c r="AK34" s="1">
        <v>5.5750000000000002</v>
      </c>
      <c r="AL34" s="1">
        <v>6.74</v>
      </c>
      <c r="AM34" s="1">
        <v>8.8930000000000007</v>
      </c>
      <c r="AN34" s="1">
        <v>2</v>
      </c>
      <c r="AO34" s="1">
        <v>2</v>
      </c>
      <c r="AP34" s="1">
        <v>5</v>
      </c>
      <c r="AQ34" s="1">
        <v>5.3860000000000001</v>
      </c>
      <c r="AR34" s="1">
        <v>8.4190000000000005</v>
      </c>
      <c r="AS34" s="1">
        <v>9.3569999999999993</v>
      </c>
      <c r="AT34" s="1">
        <v>2</v>
      </c>
      <c r="AU34" s="1">
        <v>4</v>
      </c>
      <c r="AV34" s="1">
        <v>6</v>
      </c>
      <c r="AW34" s="1">
        <v>8.9480000000000004</v>
      </c>
      <c r="AX34" s="1">
        <v>13.462</v>
      </c>
      <c r="AY34" s="1">
        <v>14.151</v>
      </c>
      <c r="AZ34" s="1">
        <v>7</v>
      </c>
      <c r="BA34" s="1">
        <v>4</v>
      </c>
      <c r="BB34" s="1">
        <v>5</v>
      </c>
      <c r="BC34" s="1">
        <v>11.771000000000001</v>
      </c>
      <c r="BD34" s="1">
        <v>19.355</v>
      </c>
      <c r="BE34" s="1">
        <v>20.026</v>
      </c>
      <c r="BF34" s="1">
        <v>7</v>
      </c>
      <c r="BG34" s="1">
        <v>1</v>
      </c>
      <c r="BH34" s="1">
        <v>6</v>
      </c>
      <c r="BI34" s="1">
        <v>7.8819999999999997</v>
      </c>
      <c r="BJ34" s="1">
        <v>8.9979999999999993</v>
      </c>
      <c r="BK34" s="1">
        <v>9.5690000000000008</v>
      </c>
      <c r="BL34" s="1">
        <v>2</v>
      </c>
      <c r="BM34" s="1">
        <v>2</v>
      </c>
      <c r="BN34" s="1">
        <v>6</v>
      </c>
      <c r="BO34" s="1">
        <v>8.7370000000000001</v>
      </c>
      <c r="BP34" s="1">
        <v>9.7850000000000001</v>
      </c>
      <c r="BQ34" s="1">
        <v>10.788</v>
      </c>
      <c r="BR34" s="1">
        <v>2</v>
      </c>
      <c r="BS34" s="1">
        <v>2</v>
      </c>
      <c r="BT34" s="1">
        <v>3</v>
      </c>
      <c r="BU34" s="1">
        <v>9.2970000000000006</v>
      </c>
      <c r="BV34" s="1">
        <v>12.429</v>
      </c>
      <c r="BW34" s="1">
        <v>13.185</v>
      </c>
      <c r="BX34" s="1">
        <v>3</v>
      </c>
      <c r="BY34" s="1">
        <v>4</v>
      </c>
      <c r="BZ34" s="1">
        <v>5</v>
      </c>
      <c r="CA34" s="1">
        <v>26.141999999999999</v>
      </c>
      <c r="CB34" s="1">
        <v>39.459000000000003</v>
      </c>
      <c r="CC34" s="1">
        <v>40.213999999999999</v>
      </c>
      <c r="CD34" s="1">
        <v>3</v>
      </c>
      <c r="CE34" s="1">
        <v>1</v>
      </c>
      <c r="CF34" s="1">
        <v>6</v>
      </c>
      <c r="CG34" s="1">
        <v>8.7650000000000006</v>
      </c>
      <c r="CH34" s="1">
        <v>9.9979999999999993</v>
      </c>
      <c r="CI34" s="1">
        <v>10.601000000000001</v>
      </c>
      <c r="CJ34" s="1">
        <v>2</v>
      </c>
      <c r="CK34" s="1">
        <v>1</v>
      </c>
      <c r="CL34" s="1">
        <v>5</v>
      </c>
      <c r="CM34" s="1">
        <v>7.7069999999999999</v>
      </c>
      <c r="CN34" s="1">
        <v>10.99</v>
      </c>
      <c r="CO34" s="1">
        <v>11.577999999999999</v>
      </c>
      <c r="CP34" s="1">
        <v>5</v>
      </c>
      <c r="CQ34" s="1">
        <v>2</v>
      </c>
      <c r="CR34" s="1">
        <v>6</v>
      </c>
      <c r="CS34" s="1">
        <v>6.569</v>
      </c>
      <c r="CT34" s="1">
        <v>16.120999999999999</v>
      </c>
      <c r="CU34" s="1">
        <v>16.902999999999999</v>
      </c>
      <c r="CV34" s="1">
        <v>4</v>
      </c>
      <c r="CW34" s="4" t="s">
        <v>282</v>
      </c>
      <c r="CX34" s="1">
        <v>3</v>
      </c>
      <c r="CY34" s="1">
        <v>9.7119999999999997</v>
      </c>
      <c r="CZ34" s="1">
        <v>12.529</v>
      </c>
      <c r="DA34" s="1">
        <v>13.35</v>
      </c>
      <c r="DB34" s="1">
        <v>3</v>
      </c>
      <c r="DC34" s="1">
        <v>3</v>
      </c>
      <c r="DD34" s="1">
        <v>4</v>
      </c>
      <c r="DE34" s="1">
        <v>12.004</v>
      </c>
      <c r="DF34" s="1">
        <v>20.103000000000002</v>
      </c>
      <c r="DG34" s="1">
        <v>20.792000000000002</v>
      </c>
      <c r="DH34" s="1">
        <v>6</v>
      </c>
      <c r="DI34" s="1">
        <v>1</v>
      </c>
      <c r="DJ34" s="1">
        <v>5</v>
      </c>
      <c r="DK34" s="1">
        <v>7.032</v>
      </c>
      <c r="DL34" s="1">
        <v>9.8629999999999995</v>
      </c>
      <c r="DM34" s="1">
        <v>10.401</v>
      </c>
      <c r="DN34" s="1">
        <v>2</v>
      </c>
      <c r="DO34" s="1">
        <v>1</v>
      </c>
      <c r="DP34" s="1">
        <v>5</v>
      </c>
      <c r="DQ34" s="1">
        <v>6.1349999999999998</v>
      </c>
      <c r="DR34" s="1">
        <v>7.085</v>
      </c>
      <c r="DS34" s="1">
        <v>8.8539999999999992</v>
      </c>
      <c r="DT34" s="1">
        <v>2</v>
      </c>
      <c r="DU34" s="1">
        <v>2</v>
      </c>
      <c r="DV34" s="1">
        <v>6</v>
      </c>
      <c r="DW34" s="1">
        <v>5.9820000000000002</v>
      </c>
      <c r="DX34" s="1">
        <v>10.1</v>
      </c>
      <c r="DY34" s="1">
        <v>10.989000000000001</v>
      </c>
      <c r="DZ34" s="1">
        <v>2</v>
      </c>
      <c r="EA34" s="1">
        <v>1</v>
      </c>
      <c r="EB34" s="1">
        <v>5</v>
      </c>
      <c r="EC34" s="1">
        <v>6.9729999999999999</v>
      </c>
      <c r="ED34" s="1">
        <v>9.0389999999999997</v>
      </c>
      <c r="EE34" s="1">
        <v>9.7089999999999996</v>
      </c>
      <c r="EF34" s="1">
        <v>2</v>
      </c>
      <c r="EG34" s="1">
        <v>3</v>
      </c>
      <c r="EH34" s="1">
        <v>5</v>
      </c>
      <c r="EI34" s="1">
        <v>6.7380000000000004</v>
      </c>
      <c r="EJ34" s="1">
        <v>8.9879999999999995</v>
      </c>
      <c r="EK34" s="1">
        <v>9.9410000000000007</v>
      </c>
      <c r="EL34" s="1">
        <v>4</v>
      </c>
      <c r="EM34" s="1">
        <v>1</v>
      </c>
      <c r="EN34" s="1">
        <v>6</v>
      </c>
      <c r="EO34" s="1">
        <v>8.31</v>
      </c>
      <c r="EP34" s="1">
        <v>10.343</v>
      </c>
      <c r="EQ34" s="1">
        <v>11.278</v>
      </c>
      <c r="ER34" s="1">
        <v>2</v>
      </c>
      <c r="ES34" s="1">
        <v>1</v>
      </c>
      <c r="ET34" s="1">
        <v>7</v>
      </c>
      <c r="EU34" s="1">
        <v>6.0910000000000002</v>
      </c>
      <c r="EV34" s="1">
        <v>8.3239999999999998</v>
      </c>
      <c r="EW34" s="1">
        <v>9.3800000000000008</v>
      </c>
      <c r="EX34" s="1">
        <v>2</v>
      </c>
      <c r="EY34" s="1">
        <v>2</v>
      </c>
      <c r="EZ34" s="1">
        <v>6</v>
      </c>
      <c r="FA34" s="1">
        <v>5.9290000000000003</v>
      </c>
      <c r="FB34" s="1">
        <v>9.16</v>
      </c>
      <c r="FC34" s="1">
        <v>10.696</v>
      </c>
      <c r="FD34" s="1">
        <v>4</v>
      </c>
      <c r="FE34" s="1">
        <v>5</v>
      </c>
      <c r="FF34" s="1">
        <v>6</v>
      </c>
      <c r="FG34" s="1">
        <v>7.0519999999999996</v>
      </c>
      <c r="FH34" s="1">
        <v>8.3179999999999996</v>
      </c>
      <c r="FI34" s="1">
        <v>10.938000000000001</v>
      </c>
      <c r="FJ34" s="1">
        <v>2</v>
      </c>
      <c r="FK34" s="1">
        <v>1</v>
      </c>
      <c r="FL34" s="1">
        <v>7</v>
      </c>
      <c r="FM34" s="1">
        <v>7.2050000000000001</v>
      </c>
      <c r="FN34" s="1">
        <v>8.4719999999999995</v>
      </c>
      <c r="FO34" s="1">
        <v>9.3109999999999999</v>
      </c>
      <c r="FP34" s="1">
        <v>2</v>
      </c>
      <c r="FQ34" s="1">
        <v>2</v>
      </c>
      <c r="FR34" s="1">
        <v>7</v>
      </c>
      <c r="FS34" s="1">
        <v>8.5809999999999995</v>
      </c>
      <c r="FT34" s="1">
        <v>10.663</v>
      </c>
      <c r="FU34" s="1">
        <v>11.632999999999999</v>
      </c>
      <c r="FV34" s="1">
        <v>2</v>
      </c>
      <c r="FW34" s="1">
        <v>5</v>
      </c>
      <c r="FX34" s="1">
        <v>6</v>
      </c>
      <c r="FY34" s="1">
        <v>10.4</v>
      </c>
      <c r="FZ34" s="1">
        <v>12.249000000000001</v>
      </c>
      <c r="GA34" s="1">
        <v>12.871</v>
      </c>
      <c r="GB34" s="1">
        <v>2</v>
      </c>
      <c r="GC34" s="1">
        <v>1</v>
      </c>
      <c r="GD34" s="1">
        <v>7</v>
      </c>
      <c r="GE34" s="1">
        <v>5.9130000000000003</v>
      </c>
      <c r="GF34" s="1">
        <v>17.193999999999999</v>
      </c>
      <c r="GG34" s="1">
        <v>17.998999999999999</v>
      </c>
      <c r="GH34" s="1">
        <v>3</v>
      </c>
      <c r="GI34" s="1">
        <v>2</v>
      </c>
      <c r="GJ34" s="1">
        <v>6</v>
      </c>
      <c r="GK34" s="1">
        <v>11.468999999999999</v>
      </c>
      <c r="GL34" s="1">
        <v>13.667</v>
      </c>
      <c r="GM34" s="1">
        <v>14.271000000000001</v>
      </c>
      <c r="GN34" s="1">
        <v>2</v>
      </c>
      <c r="GO34" s="1">
        <v>5</v>
      </c>
      <c r="GP34" s="1">
        <v>6</v>
      </c>
      <c r="GQ34" s="1">
        <v>7.3</v>
      </c>
      <c r="GR34" s="1">
        <v>8.968</v>
      </c>
      <c r="GS34" s="1">
        <v>10.189</v>
      </c>
      <c r="GT34" s="1">
        <v>2</v>
      </c>
      <c r="GU34" s="1">
        <v>1</v>
      </c>
      <c r="GV34" s="1">
        <v>7</v>
      </c>
      <c r="GW34" s="1">
        <v>5.24</v>
      </c>
      <c r="GX34" s="1">
        <v>6.2069999999999999</v>
      </c>
      <c r="GY34" s="1">
        <v>12.545</v>
      </c>
      <c r="GZ34" s="1">
        <v>2</v>
      </c>
      <c r="HA34" s="1">
        <v>2</v>
      </c>
      <c r="HB34" s="1">
        <v>6</v>
      </c>
      <c r="HC34" s="1">
        <v>9.0180000000000007</v>
      </c>
      <c r="HD34" s="1">
        <v>12.369</v>
      </c>
      <c r="HE34" s="1">
        <v>14.141</v>
      </c>
      <c r="HF34" s="1">
        <v>2</v>
      </c>
      <c r="HG34" s="1">
        <v>1</v>
      </c>
      <c r="HH34" s="1">
        <v>6</v>
      </c>
      <c r="HI34" s="1">
        <v>14.773999999999999</v>
      </c>
      <c r="HJ34" s="1">
        <v>25.274000000000001</v>
      </c>
      <c r="HK34" s="1">
        <v>26.242999999999999</v>
      </c>
      <c r="HL34" s="1">
        <v>3</v>
      </c>
      <c r="HM34" s="4" t="s">
        <v>675</v>
      </c>
      <c r="HN34" s="4" t="s">
        <v>676</v>
      </c>
      <c r="HO34" s="4" t="s">
        <v>677</v>
      </c>
      <c r="HP34" s="4" t="s">
        <v>678</v>
      </c>
      <c r="HQ34" s="4" t="s">
        <v>679</v>
      </c>
      <c r="HR34" s="4" t="s">
        <v>680</v>
      </c>
      <c r="HS34" s="4" t="s">
        <v>681</v>
      </c>
      <c r="HT34" s="4" t="s">
        <v>682</v>
      </c>
      <c r="HU34" s="4" t="s">
        <v>683</v>
      </c>
      <c r="HV34" s="4" t="s">
        <v>684</v>
      </c>
      <c r="HW34" s="4" t="s">
        <v>685</v>
      </c>
      <c r="HX34" s="4" t="s">
        <v>282</v>
      </c>
      <c r="HY34" s="4" t="s">
        <v>312</v>
      </c>
      <c r="HZ34" s="4" t="s">
        <v>356</v>
      </c>
      <c r="IA34" s="4" t="s">
        <v>313</v>
      </c>
      <c r="IB34" s="4" t="s">
        <v>282</v>
      </c>
      <c r="IC34" s="4" t="s">
        <v>282</v>
      </c>
    </row>
    <row r="35" spans="1:237" x14ac:dyDescent="0.2">
      <c r="A35" s="3">
        <v>45748.386446759258</v>
      </c>
      <c r="B35" s="3">
        <v>45748.400636574072</v>
      </c>
      <c r="C35" s="1">
        <v>0</v>
      </c>
      <c r="D35" s="4" t="s">
        <v>686</v>
      </c>
      <c r="E35" s="1">
        <v>100</v>
      </c>
      <c r="F35" s="1">
        <v>1225</v>
      </c>
      <c r="G35" s="1">
        <v>1</v>
      </c>
      <c r="H35" s="3">
        <v>45748.400650972224</v>
      </c>
      <c r="I35" s="4" t="s">
        <v>687</v>
      </c>
      <c r="J35" s="4" t="s">
        <v>282</v>
      </c>
      <c r="K35" s="4" t="s">
        <v>282</v>
      </c>
      <c r="L35" s="4" t="s">
        <v>282</v>
      </c>
      <c r="M35" s="4" t="s">
        <v>282</v>
      </c>
      <c r="N35" s="1">
        <v>-38.221400000000003</v>
      </c>
      <c r="O35" s="1">
        <v>145.30779999999999</v>
      </c>
      <c r="P35" s="4" t="s">
        <v>283</v>
      </c>
      <c r="Q35" s="4" t="s">
        <v>284</v>
      </c>
      <c r="R35" s="1">
        <v>0.80000001192092896</v>
      </c>
      <c r="S35" s="1">
        <v>1</v>
      </c>
      <c r="T35" s="1">
        <v>1</v>
      </c>
      <c r="U35" s="1">
        <v>1</v>
      </c>
      <c r="V35" s="1">
        <v>1</v>
      </c>
      <c r="W35" s="1">
        <v>13</v>
      </c>
      <c r="X35" s="4" t="s">
        <v>1222</v>
      </c>
      <c r="Y35" s="1">
        <v>5</v>
      </c>
      <c r="Z35" s="1">
        <v>1</v>
      </c>
      <c r="AA35" s="1">
        <v>1</v>
      </c>
      <c r="AB35" s="1">
        <v>2</v>
      </c>
      <c r="AC35" s="1">
        <v>1</v>
      </c>
      <c r="AD35" s="1">
        <v>6</v>
      </c>
      <c r="AE35" s="1">
        <v>4.4989999999999997</v>
      </c>
      <c r="AF35" s="1">
        <v>21.068000000000001</v>
      </c>
      <c r="AG35" s="1">
        <v>22.032</v>
      </c>
      <c r="AH35" s="1">
        <v>9</v>
      </c>
      <c r="AI35" s="1">
        <v>2</v>
      </c>
      <c r="AJ35" s="1">
        <v>6</v>
      </c>
      <c r="AK35" s="1">
        <v>4.7709999999999999</v>
      </c>
      <c r="AL35" s="1">
        <v>15.807</v>
      </c>
      <c r="AM35" s="1">
        <v>16.634</v>
      </c>
      <c r="AN35" s="1">
        <v>7</v>
      </c>
      <c r="AO35" s="1">
        <v>2</v>
      </c>
      <c r="AP35" s="1">
        <v>6</v>
      </c>
      <c r="AQ35" s="1">
        <v>6.2869999999999999</v>
      </c>
      <c r="AR35" s="1">
        <v>12.753</v>
      </c>
      <c r="AS35" s="1">
        <v>13.829000000000001</v>
      </c>
      <c r="AT35" s="1">
        <v>5</v>
      </c>
      <c r="AU35" s="1">
        <v>5</v>
      </c>
      <c r="AV35" s="1">
        <v>5</v>
      </c>
      <c r="AW35" s="1">
        <v>3.0289999999999999</v>
      </c>
      <c r="AX35" s="1">
        <v>14.715</v>
      </c>
      <c r="AY35" s="1">
        <v>16.068000000000001</v>
      </c>
      <c r="AZ35" s="1">
        <v>7</v>
      </c>
      <c r="BA35" s="1">
        <v>5</v>
      </c>
      <c r="BB35" s="1">
        <v>4</v>
      </c>
      <c r="BC35" s="1">
        <v>4.0179999999999998</v>
      </c>
      <c r="BD35" s="1">
        <v>17.189</v>
      </c>
      <c r="BE35" s="1">
        <v>18.782</v>
      </c>
      <c r="BF35" s="1">
        <v>8</v>
      </c>
      <c r="BG35" s="1">
        <v>1</v>
      </c>
      <c r="BH35" s="1">
        <v>4</v>
      </c>
      <c r="BI35" s="1">
        <v>4.8220000000000001</v>
      </c>
      <c r="BJ35" s="1">
        <v>68.519000000000005</v>
      </c>
      <c r="BK35" s="1">
        <v>70.87</v>
      </c>
      <c r="BL35" s="1">
        <v>12</v>
      </c>
      <c r="BM35" s="1">
        <v>2</v>
      </c>
      <c r="BN35" s="1">
        <v>6</v>
      </c>
      <c r="BO35" s="1">
        <v>3.9860000000000002</v>
      </c>
      <c r="BP35" s="1">
        <v>16.381</v>
      </c>
      <c r="BQ35" s="1">
        <v>18.244</v>
      </c>
      <c r="BR35" s="1">
        <v>7</v>
      </c>
      <c r="BS35" s="1">
        <v>2</v>
      </c>
      <c r="BT35" s="1">
        <v>5</v>
      </c>
      <c r="BU35" s="1">
        <v>10.202999999999999</v>
      </c>
      <c r="BV35" s="1">
        <v>17.309999999999999</v>
      </c>
      <c r="BW35" s="1">
        <v>18.844999999999999</v>
      </c>
      <c r="BX35" s="1">
        <v>7</v>
      </c>
      <c r="BY35" s="1">
        <v>4</v>
      </c>
      <c r="BZ35" s="1">
        <v>4</v>
      </c>
      <c r="CA35" s="1">
        <v>3.0609999999999999</v>
      </c>
      <c r="CB35" s="1">
        <v>33.85</v>
      </c>
      <c r="CC35" s="1">
        <v>35.761000000000003</v>
      </c>
      <c r="CD35" s="1">
        <v>14</v>
      </c>
      <c r="CE35" s="1">
        <v>3</v>
      </c>
      <c r="CF35" s="1">
        <v>5</v>
      </c>
      <c r="CG35" s="1">
        <v>10.398</v>
      </c>
      <c r="CH35" s="1">
        <v>15.281000000000001</v>
      </c>
      <c r="CI35" s="1">
        <v>16.170000000000002</v>
      </c>
      <c r="CJ35" s="1">
        <v>6</v>
      </c>
      <c r="CK35" s="1">
        <v>1</v>
      </c>
      <c r="CL35" s="1">
        <v>6</v>
      </c>
      <c r="CM35" s="1">
        <v>3.0110000000000001</v>
      </c>
      <c r="CN35" s="1">
        <v>13.253</v>
      </c>
      <c r="CO35" s="1">
        <v>14.523</v>
      </c>
      <c r="CP35" s="1">
        <v>5</v>
      </c>
      <c r="CQ35" s="1">
        <v>2</v>
      </c>
      <c r="CR35" s="1">
        <v>5</v>
      </c>
      <c r="CS35" s="1">
        <v>3.5830000000000002</v>
      </c>
      <c r="CT35" s="1">
        <v>26.986999999999998</v>
      </c>
      <c r="CU35" s="1">
        <v>27.911999999999999</v>
      </c>
      <c r="CV35" s="1">
        <v>15</v>
      </c>
      <c r="CW35" s="1">
        <v>4</v>
      </c>
      <c r="CX35" s="1">
        <v>5</v>
      </c>
      <c r="CY35" s="1">
        <v>4.9189999999999996</v>
      </c>
      <c r="CZ35" s="1">
        <v>34.164000000000001</v>
      </c>
      <c r="DA35" s="1">
        <v>37.149000000000001</v>
      </c>
      <c r="DB35" s="1">
        <v>14</v>
      </c>
      <c r="DC35" s="1">
        <v>4</v>
      </c>
      <c r="DD35" s="1">
        <v>6</v>
      </c>
      <c r="DE35" s="1">
        <v>5.96</v>
      </c>
      <c r="DF35" s="1">
        <v>25.51</v>
      </c>
      <c r="DG35" s="1">
        <v>28.768000000000001</v>
      </c>
      <c r="DH35" s="1">
        <v>9</v>
      </c>
      <c r="DI35" s="1">
        <v>3</v>
      </c>
      <c r="DJ35" s="1">
        <v>4</v>
      </c>
      <c r="DK35" s="1">
        <v>2.673</v>
      </c>
      <c r="DL35" s="1">
        <v>38.533000000000001</v>
      </c>
      <c r="DM35" s="1">
        <v>39.401000000000003</v>
      </c>
      <c r="DN35" s="1">
        <v>11</v>
      </c>
      <c r="DO35" s="1">
        <v>1</v>
      </c>
      <c r="DP35" s="1">
        <v>6</v>
      </c>
      <c r="DQ35" s="1">
        <v>3.4220000000000002</v>
      </c>
      <c r="DR35" s="1">
        <v>15.954000000000001</v>
      </c>
      <c r="DS35" s="1">
        <v>17.681000000000001</v>
      </c>
      <c r="DT35" s="1">
        <v>9</v>
      </c>
      <c r="DU35" s="1">
        <v>2</v>
      </c>
      <c r="DV35" s="1">
        <v>6</v>
      </c>
      <c r="DW35" s="1">
        <v>4.7320000000000002</v>
      </c>
      <c r="DX35" s="1">
        <v>19.047999999999998</v>
      </c>
      <c r="DY35" s="1">
        <v>19.701000000000001</v>
      </c>
      <c r="DZ35" s="1">
        <v>9</v>
      </c>
      <c r="EA35" s="1">
        <v>4</v>
      </c>
      <c r="EB35" s="1">
        <v>6</v>
      </c>
      <c r="EC35" s="1">
        <v>5.5469999999999997</v>
      </c>
      <c r="ED35" s="1">
        <v>13.465</v>
      </c>
      <c r="EE35" s="1">
        <v>14.173999999999999</v>
      </c>
      <c r="EF35" s="1">
        <v>6</v>
      </c>
      <c r="EG35" s="1">
        <v>4</v>
      </c>
      <c r="EH35" s="1">
        <v>6</v>
      </c>
      <c r="EI35" s="1">
        <v>3.88</v>
      </c>
      <c r="EJ35" s="1">
        <v>19.396000000000001</v>
      </c>
      <c r="EK35" s="1">
        <v>20.346</v>
      </c>
      <c r="EL35" s="1">
        <v>9</v>
      </c>
      <c r="EM35" s="1">
        <v>4</v>
      </c>
      <c r="EN35" s="1">
        <v>4</v>
      </c>
      <c r="EO35" s="1">
        <v>5.86</v>
      </c>
      <c r="EP35" s="1">
        <v>30.64</v>
      </c>
      <c r="EQ35" s="1">
        <v>32.027999999999999</v>
      </c>
      <c r="ER35" s="1">
        <v>9</v>
      </c>
      <c r="ES35" s="1">
        <v>1</v>
      </c>
      <c r="ET35" s="1">
        <v>7</v>
      </c>
      <c r="EU35" s="1">
        <v>1.9710000000000001</v>
      </c>
      <c r="EV35" s="1">
        <v>12.385999999999999</v>
      </c>
      <c r="EW35" s="1">
        <v>13.227</v>
      </c>
      <c r="EX35" s="1">
        <v>7</v>
      </c>
      <c r="EY35" s="1">
        <v>2</v>
      </c>
      <c r="EZ35" s="1">
        <v>7</v>
      </c>
      <c r="FA35" s="1">
        <v>1.9790000000000001</v>
      </c>
      <c r="FB35" s="1">
        <v>9.9830000000000005</v>
      </c>
      <c r="FC35" s="1">
        <v>10.69</v>
      </c>
      <c r="FD35" s="1">
        <v>8</v>
      </c>
      <c r="FE35" s="1">
        <v>5</v>
      </c>
      <c r="FF35" s="1">
        <v>6</v>
      </c>
      <c r="FG35" s="1">
        <v>5.8440000000000003</v>
      </c>
      <c r="FH35" s="1">
        <v>10.565</v>
      </c>
      <c r="FI35" s="1">
        <v>11.223000000000001</v>
      </c>
      <c r="FJ35" s="1">
        <v>7</v>
      </c>
      <c r="FK35" s="1">
        <v>1</v>
      </c>
      <c r="FL35" s="1">
        <v>7</v>
      </c>
      <c r="FM35" s="1">
        <v>1.911</v>
      </c>
      <c r="FN35" s="1">
        <v>10.798999999999999</v>
      </c>
      <c r="FO35" s="1">
        <v>11.510999999999999</v>
      </c>
      <c r="FP35" s="1">
        <v>6</v>
      </c>
      <c r="FQ35" s="1">
        <v>2</v>
      </c>
      <c r="FR35" s="1">
        <v>7</v>
      </c>
      <c r="FS35" s="1">
        <v>2.8029999999999999</v>
      </c>
      <c r="FT35" s="1">
        <v>14.28</v>
      </c>
      <c r="FU35" s="1">
        <v>15.098000000000001</v>
      </c>
      <c r="FV35" s="1">
        <v>8</v>
      </c>
      <c r="FW35" s="1">
        <v>5</v>
      </c>
      <c r="FX35" s="1">
        <v>6</v>
      </c>
      <c r="FY35" s="1">
        <v>2.3050000000000002</v>
      </c>
      <c r="FZ35" s="1">
        <v>15.103</v>
      </c>
      <c r="GA35" s="1">
        <v>15.48</v>
      </c>
      <c r="GB35" s="1">
        <v>10</v>
      </c>
      <c r="GC35" s="1">
        <v>1</v>
      </c>
      <c r="GD35" s="1">
        <v>5</v>
      </c>
      <c r="GE35" s="1">
        <v>7.2270000000000003</v>
      </c>
      <c r="GF35" s="1">
        <v>26.806000000000001</v>
      </c>
      <c r="GG35" s="1">
        <v>29.216000000000001</v>
      </c>
      <c r="GH35" s="1">
        <v>9</v>
      </c>
      <c r="GI35" s="1">
        <v>2</v>
      </c>
      <c r="GJ35" s="1">
        <v>7</v>
      </c>
      <c r="GK35" s="1">
        <v>6.577</v>
      </c>
      <c r="GL35" s="1">
        <v>10.92</v>
      </c>
      <c r="GM35" s="1">
        <v>11.429</v>
      </c>
      <c r="GN35" s="1">
        <v>5</v>
      </c>
      <c r="GO35" s="1">
        <v>5</v>
      </c>
      <c r="GP35" s="1">
        <v>5</v>
      </c>
      <c r="GQ35" s="1">
        <v>2.4049999999999998</v>
      </c>
      <c r="GR35" s="1">
        <v>12.233000000000001</v>
      </c>
      <c r="GS35" s="1">
        <v>12.672000000000001</v>
      </c>
      <c r="GT35" s="1">
        <v>7</v>
      </c>
      <c r="GU35" s="1">
        <v>1</v>
      </c>
      <c r="GV35" s="1">
        <v>6</v>
      </c>
      <c r="GW35" s="1">
        <v>4.9050000000000002</v>
      </c>
      <c r="GX35" s="1">
        <v>8.9149999999999991</v>
      </c>
      <c r="GY35" s="1">
        <v>9.9659999999999993</v>
      </c>
      <c r="GZ35" s="1">
        <v>5</v>
      </c>
      <c r="HA35" s="1">
        <v>2</v>
      </c>
      <c r="HB35" s="1">
        <v>7</v>
      </c>
      <c r="HC35" s="1">
        <v>3.1</v>
      </c>
      <c r="HD35" s="1">
        <v>11.135</v>
      </c>
      <c r="HE35" s="1">
        <v>12.010999999999999</v>
      </c>
      <c r="HF35" s="1">
        <v>6</v>
      </c>
      <c r="HG35" s="4" t="s">
        <v>282</v>
      </c>
      <c r="HH35" s="1">
        <v>5</v>
      </c>
      <c r="HI35" s="1">
        <v>1.8720000000000001</v>
      </c>
      <c r="HJ35" s="1">
        <v>13.766999999999999</v>
      </c>
      <c r="HK35" s="1">
        <v>14.88</v>
      </c>
      <c r="HL35" s="1">
        <v>8</v>
      </c>
      <c r="HM35" s="4" t="s">
        <v>689</v>
      </c>
      <c r="HN35" s="4" t="s">
        <v>690</v>
      </c>
      <c r="HO35" s="4" t="s">
        <v>691</v>
      </c>
      <c r="HP35" s="4" t="s">
        <v>690</v>
      </c>
      <c r="HQ35" s="4" t="s">
        <v>361</v>
      </c>
      <c r="HR35" s="4" t="s">
        <v>692</v>
      </c>
      <c r="HS35" s="4" t="s">
        <v>693</v>
      </c>
      <c r="HT35" s="4" t="s">
        <v>690</v>
      </c>
      <c r="HU35" s="4" t="s">
        <v>694</v>
      </c>
      <c r="HV35" s="4" t="s">
        <v>690</v>
      </c>
      <c r="HW35" s="4" t="s">
        <v>282</v>
      </c>
      <c r="HX35" s="4" t="s">
        <v>282</v>
      </c>
      <c r="HY35" s="4" t="s">
        <v>312</v>
      </c>
      <c r="HZ35" s="4" t="s">
        <v>372</v>
      </c>
      <c r="IA35" s="4" t="s">
        <v>325</v>
      </c>
      <c r="IB35" s="4" t="s">
        <v>282</v>
      </c>
      <c r="IC35" s="4" t="s">
        <v>282</v>
      </c>
    </row>
    <row r="36" spans="1:237" x14ac:dyDescent="0.2">
      <c r="A36" s="3">
        <v>45748.403402777774</v>
      </c>
      <c r="B36" s="3">
        <v>45748.415752314817</v>
      </c>
      <c r="C36" s="1">
        <v>0</v>
      </c>
      <c r="D36" s="4" t="s">
        <v>695</v>
      </c>
      <c r="E36" s="1">
        <v>100</v>
      </c>
      <c r="F36" s="1">
        <v>1067</v>
      </c>
      <c r="G36" s="1">
        <v>1</v>
      </c>
      <c r="H36" s="3">
        <v>45748.415768263891</v>
      </c>
      <c r="I36" s="4" t="s">
        <v>696</v>
      </c>
      <c r="J36" s="4" t="s">
        <v>282</v>
      </c>
      <c r="K36" s="4" t="s">
        <v>282</v>
      </c>
      <c r="L36" s="4" t="s">
        <v>282</v>
      </c>
      <c r="M36" s="4" t="s">
        <v>282</v>
      </c>
      <c r="N36" s="1">
        <v>-37.815899999999999</v>
      </c>
      <c r="O36" s="1">
        <v>144.96690000000001</v>
      </c>
      <c r="P36" s="4" t="s">
        <v>283</v>
      </c>
      <c r="Q36" s="4" t="s">
        <v>284</v>
      </c>
      <c r="R36" s="1">
        <v>1</v>
      </c>
      <c r="S36" s="1">
        <v>1</v>
      </c>
      <c r="T36" s="1">
        <v>1</v>
      </c>
      <c r="U36" s="1">
        <v>1</v>
      </c>
      <c r="V36" s="1">
        <v>1</v>
      </c>
      <c r="W36" s="1">
        <v>4</v>
      </c>
      <c r="X36" s="4" t="s">
        <v>497</v>
      </c>
      <c r="Y36" s="1">
        <v>5</v>
      </c>
      <c r="Z36" s="1">
        <v>2</v>
      </c>
      <c r="AA36" s="1">
        <v>5</v>
      </c>
      <c r="AB36" s="1">
        <v>4</v>
      </c>
      <c r="AC36" s="1">
        <v>1</v>
      </c>
      <c r="AD36" s="1">
        <v>4</v>
      </c>
      <c r="AE36" s="1">
        <v>0.433</v>
      </c>
      <c r="AF36" s="1">
        <v>9.8780000000000001</v>
      </c>
      <c r="AG36" s="1">
        <v>10.362</v>
      </c>
      <c r="AH36" s="1">
        <v>7</v>
      </c>
      <c r="AI36" s="1">
        <v>4</v>
      </c>
      <c r="AJ36" s="1">
        <v>5</v>
      </c>
      <c r="AK36" s="1">
        <v>0.57599999999999996</v>
      </c>
      <c r="AL36" s="1">
        <v>17.079999999999998</v>
      </c>
      <c r="AM36" s="1">
        <v>17.745999999999999</v>
      </c>
      <c r="AN36" s="1">
        <v>9</v>
      </c>
      <c r="AO36" s="1">
        <v>2</v>
      </c>
      <c r="AP36" s="1">
        <v>6</v>
      </c>
      <c r="AQ36" s="1">
        <v>0.8</v>
      </c>
      <c r="AR36" s="1">
        <v>12.675000000000001</v>
      </c>
      <c r="AS36" s="1">
        <v>13.000999999999999</v>
      </c>
      <c r="AT36" s="1">
        <v>8</v>
      </c>
      <c r="AU36" s="1">
        <v>5</v>
      </c>
      <c r="AV36" s="1">
        <v>5</v>
      </c>
      <c r="AW36" s="1">
        <v>0.625</v>
      </c>
      <c r="AX36" s="1">
        <v>10.132999999999999</v>
      </c>
      <c r="AY36" s="1">
        <v>10.491</v>
      </c>
      <c r="AZ36" s="1">
        <v>8</v>
      </c>
      <c r="BA36" s="1">
        <v>5</v>
      </c>
      <c r="BB36" s="1">
        <v>4</v>
      </c>
      <c r="BC36" s="1">
        <v>0.184</v>
      </c>
      <c r="BD36" s="1">
        <v>12.068</v>
      </c>
      <c r="BE36" s="1">
        <v>12.082000000000001</v>
      </c>
      <c r="BF36" s="1">
        <v>8</v>
      </c>
      <c r="BG36" s="1">
        <v>4</v>
      </c>
      <c r="BH36" s="1">
        <v>5</v>
      </c>
      <c r="BI36" s="1">
        <v>0.57699999999999996</v>
      </c>
      <c r="BJ36" s="1">
        <v>21.989000000000001</v>
      </c>
      <c r="BK36" s="1">
        <v>22.282</v>
      </c>
      <c r="BL36" s="1">
        <v>11</v>
      </c>
      <c r="BM36" s="1">
        <v>2</v>
      </c>
      <c r="BN36" s="1">
        <v>5</v>
      </c>
      <c r="BO36" s="1">
        <v>0.128</v>
      </c>
      <c r="BP36" s="1">
        <v>21.576000000000001</v>
      </c>
      <c r="BQ36" s="1">
        <v>22.056999999999999</v>
      </c>
      <c r="BR36" s="1">
        <v>13</v>
      </c>
      <c r="BS36" s="1">
        <v>1</v>
      </c>
      <c r="BT36" s="1">
        <v>5</v>
      </c>
      <c r="BU36" s="1">
        <v>0.58599999999999997</v>
      </c>
      <c r="BV36" s="1">
        <v>10.659000000000001</v>
      </c>
      <c r="BW36" s="1">
        <v>11.159000000000001</v>
      </c>
      <c r="BX36" s="1">
        <v>7</v>
      </c>
      <c r="BY36" s="1">
        <v>5</v>
      </c>
      <c r="BZ36" s="1">
        <v>3</v>
      </c>
      <c r="CA36" s="1">
        <v>5.0739999999999998</v>
      </c>
      <c r="CB36" s="1">
        <v>15.686999999999999</v>
      </c>
      <c r="CC36" s="1">
        <v>16.667999999999999</v>
      </c>
      <c r="CD36" s="1">
        <v>8</v>
      </c>
      <c r="CE36" s="1">
        <v>3</v>
      </c>
      <c r="CF36" s="1">
        <v>5</v>
      </c>
      <c r="CG36" s="1">
        <v>0.308</v>
      </c>
      <c r="CH36" s="1">
        <v>13.926</v>
      </c>
      <c r="CI36" s="1">
        <v>14.939</v>
      </c>
      <c r="CJ36" s="1">
        <v>9</v>
      </c>
      <c r="CK36" s="1">
        <v>1</v>
      </c>
      <c r="CL36" s="1">
        <v>4</v>
      </c>
      <c r="CM36" s="1">
        <v>0.78900000000000003</v>
      </c>
      <c r="CN36" s="1">
        <v>22.202999999999999</v>
      </c>
      <c r="CO36" s="1">
        <v>22.550999999999998</v>
      </c>
      <c r="CP36" s="1">
        <v>13</v>
      </c>
      <c r="CQ36" s="1">
        <v>2</v>
      </c>
      <c r="CR36" s="1">
        <v>5</v>
      </c>
      <c r="CS36" s="1">
        <v>0.89600000000000002</v>
      </c>
      <c r="CT36" s="1">
        <v>51.694000000000003</v>
      </c>
      <c r="CU36" s="1">
        <v>51.984999999999999</v>
      </c>
      <c r="CV36" s="1">
        <v>18</v>
      </c>
      <c r="CW36" s="1">
        <v>1</v>
      </c>
      <c r="CX36" s="1">
        <v>6</v>
      </c>
      <c r="CY36" s="1">
        <v>0.71499999999999997</v>
      </c>
      <c r="CZ36" s="1">
        <v>16.521000000000001</v>
      </c>
      <c r="DA36" s="1">
        <v>16.814</v>
      </c>
      <c r="DB36" s="1">
        <v>13</v>
      </c>
      <c r="DC36" s="1">
        <v>5</v>
      </c>
      <c r="DD36" s="1">
        <v>4</v>
      </c>
      <c r="DE36" s="1">
        <v>0.61599999999999999</v>
      </c>
      <c r="DF36" s="1">
        <v>14.644</v>
      </c>
      <c r="DG36" s="1">
        <v>15.265000000000001</v>
      </c>
      <c r="DH36" s="1">
        <v>8</v>
      </c>
      <c r="DI36" s="1">
        <v>3</v>
      </c>
      <c r="DJ36" s="1">
        <v>4</v>
      </c>
      <c r="DK36" s="1">
        <v>0.63</v>
      </c>
      <c r="DL36" s="1">
        <v>11.693</v>
      </c>
      <c r="DM36" s="1">
        <v>12.24</v>
      </c>
      <c r="DN36" s="1">
        <v>5</v>
      </c>
      <c r="DO36" s="1">
        <v>1</v>
      </c>
      <c r="DP36" s="1">
        <v>5</v>
      </c>
      <c r="DQ36" s="1">
        <v>0.58099999999999996</v>
      </c>
      <c r="DR36" s="1">
        <v>10.419</v>
      </c>
      <c r="DS36" s="1">
        <v>10.949</v>
      </c>
      <c r="DT36" s="1">
        <v>5</v>
      </c>
      <c r="DU36" s="1">
        <v>2</v>
      </c>
      <c r="DV36" s="1">
        <v>6</v>
      </c>
      <c r="DW36" s="1">
        <v>0.57299999999999995</v>
      </c>
      <c r="DX36" s="1">
        <v>11.973000000000001</v>
      </c>
      <c r="DY36" s="1">
        <v>12.602</v>
      </c>
      <c r="DZ36" s="1">
        <v>9</v>
      </c>
      <c r="EA36" s="1">
        <v>1</v>
      </c>
      <c r="EB36" s="1">
        <v>4</v>
      </c>
      <c r="EC36" s="1">
        <v>0.54300000000000004</v>
      </c>
      <c r="ED36" s="1">
        <v>39.89</v>
      </c>
      <c r="EE36" s="1">
        <v>40.201000000000001</v>
      </c>
      <c r="EF36" s="1">
        <v>13</v>
      </c>
      <c r="EG36" s="1">
        <v>5</v>
      </c>
      <c r="EH36" s="1">
        <v>4</v>
      </c>
      <c r="EI36" s="1">
        <v>0.58099999999999996</v>
      </c>
      <c r="EJ36" s="1">
        <v>30.385000000000002</v>
      </c>
      <c r="EK36" s="1">
        <v>30.800999999999998</v>
      </c>
      <c r="EL36" s="1">
        <v>13</v>
      </c>
      <c r="EM36" s="1">
        <v>3</v>
      </c>
      <c r="EN36" s="1">
        <v>5</v>
      </c>
      <c r="EO36" s="1">
        <v>5.8319999999999999</v>
      </c>
      <c r="EP36" s="1">
        <v>13.612</v>
      </c>
      <c r="EQ36" s="1">
        <v>13.923999999999999</v>
      </c>
      <c r="ER36" s="1">
        <v>6</v>
      </c>
      <c r="ES36" s="1">
        <v>1</v>
      </c>
      <c r="ET36" s="1">
        <v>6</v>
      </c>
      <c r="EU36" s="1">
        <v>0.78400000000000003</v>
      </c>
      <c r="EV36" s="1">
        <v>15.407999999999999</v>
      </c>
      <c r="EW36" s="1">
        <v>15.682</v>
      </c>
      <c r="EX36" s="1">
        <v>11</v>
      </c>
      <c r="EY36" s="1">
        <v>2</v>
      </c>
      <c r="EZ36" s="1">
        <v>7</v>
      </c>
      <c r="FA36" s="1">
        <v>0.83499999999999996</v>
      </c>
      <c r="FB36" s="1">
        <v>42.951999999999998</v>
      </c>
      <c r="FC36" s="1">
        <v>43.686999999999998</v>
      </c>
      <c r="FD36" s="1">
        <v>24</v>
      </c>
      <c r="FE36" s="1">
        <v>5</v>
      </c>
      <c r="FF36" s="1">
        <v>6</v>
      </c>
      <c r="FG36" s="1">
        <v>12.502000000000001</v>
      </c>
      <c r="FH36" s="1">
        <v>17.221</v>
      </c>
      <c r="FI36" s="1">
        <v>17.721</v>
      </c>
      <c r="FJ36" s="1">
        <v>4</v>
      </c>
      <c r="FK36" s="1">
        <v>1</v>
      </c>
      <c r="FL36" s="1">
        <v>6</v>
      </c>
      <c r="FM36" s="1">
        <v>7.8460000000000001</v>
      </c>
      <c r="FN36" s="1">
        <v>16.638999999999999</v>
      </c>
      <c r="FO36" s="1">
        <v>17.416</v>
      </c>
      <c r="FP36" s="1">
        <v>7</v>
      </c>
      <c r="FQ36" s="1">
        <v>2</v>
      </c>
      <c r="FR36" s="1">
        <v>7</v>
      </c>
      <c r="FS36" s="1">
        <v>0.66900000000000004</v>
      </c>
      <c r="FT36" s="1">
        <v>10.58</v>
      </c>
      <c r="FU36" s="1">
        <v>11.5</v>
      </c>
      <c r="FV36" s="1">
        <v>7</v>
      </c>
      <c r="FW36" s="1">
        <v>5</v>
      </c>
      <c r="FX36" s="1">
        <v>6</v>
      </c>
      <c r="FY36" s="1">
        <v>0.66700000000000004</v>
      </c>
      <c r="FZ36" s="1">
        <v>9.4179999999999993</v>
      </c>
      <c r="GA36" s="1">
        <v>9.86</v>
      </c>
      <c r="GB36" s="1">
        <v>7</v>
      </c>
      <c r="GC36" s="1">
        <v>1</v>
      </c>
      <c r="GD36" s="1">
        <v>6</v>
      </c>
      <c r="GE36" s="1">
        <v>0.873</v>
      </c>
      <c r="GF36" s="1">
        <v>9.5579999999999998</v>
      </c>
      <c r="GG36" s="1">
        <v>10.021000000000001</v>
      </c>
      <c r="GH36" s="1">
        <v>8</v>
      </c>
      <c r="GI36" s="1">
        <v>2</v>
      </c>
      <c r="GJ36" s="1">
        <v>7</v>
      </c>
      <c r="GK36" s="1">
        <v>7.9820000000000002</v>
      </c>
      <c r="GL36" s="1">
        <v>15.516999999999999</v>
      </c>
      <c r="GM36" s="1">
        <v>16.117000000000001</v>
      </c>
      <c r="GN36" s="1">
        <v>10</v>
      </c>
      <c r="GO36" s="1">
        <v>5</v>
      </c>
      <c r="GP36" s="1">
        <v>4</v>
      </c>
      <c r="GQ36" s="1">
        <v>8.5999999999999993E-2</v>
      </c>
      <c r="GR36" s="1">
        <v>10.849</v>
      </c>
      <c r="GS36" s="1">
        <v>11.537000000000001</v>
      </c>
      <c r="GT36" s="1">
        <v>10</v>
      </c>
      <c r="GU36" s="1">
        <v>1</v>
      </c>
      <c r="GV36" s="1">
        <v>6</v>
      </c>
      <c r="GW36" s="1">
        <v>0.98199999999999998</v>
      </c>
      <c r="GX36" s="1">
        <v>15.313000000000001</v>
      </c>
      <c r="GY36" s="1">
        <v>15.589</v>
      </c>
      <c r="GZ36" s="1">
        <v>10</v>
      </c>
      <c r="HA36" s="1">
        <v>2</v>
      </c>
      <c r="HB36" s="1">
        <v>7</v>
      </c>
      <c r="HC36" s="1">
        <v>0.65900000000000003</v>
      </c>
      <c r="HD36" s="1">
        <v>9.4640000000000004</v>
      </c>
      <c r="HE36" s="1">
        <v>9.8559999999999999</v>
      </c>
      <c r="HF36" s="1">
        <v>5</v>
      </c>
      <c r="HG36" s="1">
        <v>1</v>
      </c>
      <c r="HH36" s="1">
        <v>5</v>
      </c>
      <c r="HI36" s="1">
        <v>2.6909999999999998</v>
      </c>
      <c r="HJ36" s="1">
        <v>16.419</v>
      </c>
      <c r="HK36" s="1">
        <v>16.600000000000001</v>
      </c>
      <c r="HL36" s="1">
        <v>6</v>
      </c>
      <c r="HM36" s="4" t="s">
        <v>697</v>
      </c>
      <c r="HN36" s="4" t="s">
        <v>698</v>
      </c>
      <c r="HO36" s="4" t="s">
        <v>699</v>
      </c>
      <c r="HP36" s="4" t="s">
        <v>699</v>
      </c>
      <c r="HQ36" s="4" t="s">
        <v>700</v>
      </c>
      <c r="HR36" s="4" t="s">
        <v>701</v>
      </c>
      <c r="HS36" s="4" t="s">
        <v>702</v>
      </c>
      <c r="HT36" s="4" t="s">
        <v>703</v>
      </c>
      <c r="HU36" s="4" t="s">
        <v>704</v>
      </c>
      <c r="HV36" s="4" t="s">
        <v>704</v>
      </c>
      <c r="HW36" s="4" t="s">
        <v>282</v>
      </c>
      <c r="HX36" s="4" t="s">
        <v>282</v>
      </c>
      <c r="HY36" s="4" t="s">
        <v>312</v>
      </c>
      <c r="HZ36" s="4" t="s">
        <v>356</v>
      </c>
      <c r="IA36" s="4" t="s">
        <v>313</v>
      </c>
      <c r="IB36" s="4" t="s">
        <v>282</v>
      </c>
      <c r="IC36" s="4" t="s">
        <v>282</v>
      </c>
    </row>
    <row r="37" spans="1:237" x14ac:dyDescent="0.2">
      <c r="A37" s="3">
        <v>45748.362083333333</v>
      </c>
      <c r="B37" s="3">
        <v>45748.428854166668</v>
      </c>
      <c r="C37" s="1">
        <v>0</v>
      </c>
      <c r="D37" s="4" t="s">
        <v>705</v>
      </c>
      <c r="E37" s="1">
        <v>100</v>
      </c>
      <c r="F37" s="1">
        <v>5769</v>
      </c>
      <c r="G37" s="1">
        <v>1</v>
      </c>
      <c r="H37" s="3">
        <v>45748.428873680554</v>
      </c>
      <c r="I37" s="4" t="s">
        <v>706</v>
      </c>
      <c r="J37" s="4" t="s">
        <v>282</v>
      </c>
      <c r="K37" s="4" t="s">
        <v>282</v>
      </c>
      <c r="L37" s="4" t="s">
        <v>282</v>
      </c>
      <c r="M37" s="4" t="s">
        <v>282</v>
      </c>
      <c r="N37" s="1">
        <v>-37.666200000000003</v>
      </c>
      <c r="O37" s="1">
        <v>145.0181</v>
      </c>
      <c r="P37" s="4" t="s">
        <v>283</v>
      </c>
      <c r="Q37" s="4" t="s">
        <v>284</v>
      </c>
      <c r="R37" s="1">
        <v>0.69999998807907104</v>
      </c>
      <c r="S37" s="1">
        <v>1</v>
      </c>
      <c r="T37" s="1">
        <v>1</v>
      </c>
      <c r="U37" s="1">
        <v>1</v>
      </c>
      <c r="V37" s="1">
        <v>1</v>
      </c>
      <c r="W37" s="1">
        <v>12</v>
      </c>
      <c r="X37" s="4" t="s">
        <v>1284</v>
      </c>
      <c r="Y37" s="1">
        <v>5</v>
      </c>
      <c r="Z37" s="1">
        <v>3</v>
      </c>
      <c r="AA37" s="1">
        <v>3</v>
      </c>
      <c r="AB37" s="1">
        <v>1</v>
      </c>
      <c r="AC37" s="1">
        <v>1</v>
      </c>
      <c r="AD37" s="1">
        <v>7</v>
      </c>
      <c r="AE37" s="1">
        <v>10.265000000000001</v>
      </c>
      <c r="AF37" s="1">
        <v>12.37</v>
      </c>
      <c r="AG37" s="1">
        <v>13.053000000000001</v>
      </c>
      <c r="AH37" s="1">
        <v>2</v>
      </c>
      <c r="AI37" s="1">
        <v>2</v>
      </c>
      <c r="AJ37" s="1">
        <v>6</v>
      </c>
      <c r="AK37" s="1">
        <v>9.9459999999999997</v>
      </c>
      <c r="AL37" s="1">
        <v>11.48</v>
      </c>
      <c r="AM37" s="1">
        <v>12.24</v>
      </c>
      <c r="AN37" s="1">
        <v>2</v>
      </c>
      <c r="AO37" s="1">
        <v>2</v>
      </c>
      <c r="AP37" s="1">
        <v>5</v>
      </c>
      <c r="AQ37" s="1">
        <v>9.0540000000000003</v>
      </c>
      <c r="AR37" s="1">
        <v>12.295999999999999</v>
      </c>
      <c r="AS37" s="1">
        <v>13.006</v>
      </c>
      <c r="AT37" s="1">
        <v>2</v>
      </c>
      <c r="AU37" s="1">
        <v>5</v>
      </c>
      <c r="AV37" s="1">
        <v>7</v>
      </c>
      <c r="AW37" s="1">
        <v>7.8540000000000001</v>
      </c>
      <c r="AX37" s="1">
        <v>9.6199999999999992</v>
      </c>
      <c r="AY37" s="1">
        <v>10.304</v>
      </c>
      <c r="AZ37" s="1">
        <v>2</v>
      </c>
      <c r="BA37" s="1">
        <v>5</v>
      </c>
      <c r="BB37" s="1">
        <v>6</v>
      </c>
      <c r="BC37" s="1">
        <v>11.122999999999999</v>
      </c>
      <c r="BD37" s="1">
        <v>13.787000000000001</v>
      </c>
      <c r="BE37" s="1">
        <v>14.547000000000001</v>
      </c>
      <c r="BF37" s="1">
        <v>2</v>
      </c>
      <c r="BG37" s="1">
        <v>1</v>
      </c>
      <c r="BH37" s="1">
        <v>7</v>
      </c>
      <c r="BI37" s="1">
        <v>11.058999999999999</v>
      </c>
      <c r="BJ37" s="1">
        <v>13.117000000000001</v>
      </c>
      <c r="BK37" s="1">
        <v>13.801</v>
      </c>
      <c r="BL37" s="1">
        <v>2</v>
      </c>
      <c r="BM37" s="1">
        <v>2</v>
      </c>
      <c r="BN37" s="1">
        <v>6</v>
      </c>
      <c r="BO37" s="1">
        <v>11.631</v>
      </c>
      <c r="BP37" s="1">
        <v>16.132999999999999</v>
      </c>
      <c r="BQ37" s="1">
        <v>16.837</v>
      </c>
      <c r="BR37" s="1">
        <v>2</v>
      </c>
      <c r="BS37" s="1">
        <v>4</v>
      </c>
      <c r="BT37" s="1">
        <v>5</v>
      </c>
      <c r="BU37" s="1">
        <v>9.0129999999999999</v>
      </c>
      <c r="BV37" s="1">
        <v>10.593999999999999</v>
      </c>
      <c r="BW37" s="1">
        <v>11.43</v>
      </c>
      <c r="BX37" s="1">
        <v>2</v>
      </c>
      <c r="BY37" s="1">
        <v>5</v>
      </c>
      <c r="BZ37" s="1">
        <v>7</v>
      </c>
      <c r="CA37" s="1">
        <v>10.568</v>
      </c>
      <c r="CB37" s="1">
        <v>12.834</v>
      </c>
      <c r="CC37" s="1">
        <v>13.54</v>
      </c>
      <c r="CD37" s="1">
        <v>2</v>
      </c>
      <c r="CE37" s="1">
        <v>3</v>
      </c>
      <c r="CF37" s="1">
        <v>6</v>
      </c>
      <c r="CG37" s="1">
        <v>9.5</v>
      </c>
      <c r="CH37" s="1">
        <v>11.695</v>
      </c>
      <c r="CI37" s="1">
        <v>12.423999999999999</v>
      </c>
      <c r="CJ37" s="1">
        <v>2</v>
      </c>
      <c r="CK37" s="1">
        <v>1</v>
      </c>
      <c r="CL37" s="1">
        <v>7</v>
      </c>
      <c r="CM37" s="1">
        <v>10.901</v>
      </c>
      <c r="CN37" s="1">
        <v>12.41</v>
      </c>
      <c r="CO37" s="1">
        <v>13.157</v>
      </c>
      <c r="CP37" s="1">
        <v>2</v>
      </c>
      <c r="CQ37" s="1">
        <v>2</v>
      </c>
      <c r="CR37" s="1">
        <v>7</v>
      </c>
      <c r="CS37" s="1">
        <v>11.148999999999999</v>
      </c>
      <c r="CT37" s="1">
        <v>13.037000000000001</v>
      </c>
      <c r="CU37" s="1">
        <v>13.946999999999999</v>
      </c>
      <c r="CV37" s="1">
        <v>3</v>
      </c>
      <c r="CW37" s="1">
        <v>4</v>
      </c>
      <c r="CX37" s="1">
        <v>5</v>
      </c>
      <c r="CY37" s="1">
        <v>12.305999999999999</v>
      </c>
      <c r="CZ37" s="1">
        <v>13.988</v>
      </c>
      <c r="DA37" s="1">
        <v>14.840999999999999</v>
      </c>
      <c r="DB37" s="1">
        <v>2</v>
      </c>
      <c r="DC37" s="1">
        <v>5</v>
      </c>
      <c r="DD37" s="1">
        <v>6</v>
      </c>
      <c r="DE37" s="1">
        <v>21.753</v>
      </c>
      <c r="DF37" s="1">
        <v>35.564</v>
      </c>
      <c r="DG37" s="1">
        <v>36.371000000000002</v>
      </c>
      <c r="DH37" s="1">
        <v>2</v>
      </c>
      <c r="DI37" s="1">
        <v>3</v>
      </c>
      <c r="DJ37" s="1">
        <v>6</v>
      </c>
      <c r="DK37" s="1">
        <v>9.5370000000000008</v>
      </c>
      <c r="DL37" s="1">
        <v>13.156000000000001</v>
      </c>
      <c r="DM37" s="1">
        <v>14.025</v>
      </c>
      <c r="DN37" s="1">
        <v>2</v>
      </c>
      <c r="DO37" s="1">
        <v>1</v>
      </c>
      <c r="DP37" s="1">
        <v>7</v>
      </c>
      <c r="DQ37" s="1">
        <v>11.976000000000001</v>
      </c>
      <c r="DR37" s="1">
        <v>13.304</v>
      </c>
      <c r="DS37" s="1">
        <v>14.010999999999999</v>
      </c>
      <c r="DT37" s="1">
        <v>2</v>
      </c>
      <c r="DU37" s="1">
        <v>2</v>
      </c>
      <c r="DV37" s="1">
        <v>7</v>
      </c>
      <c r="DW37" s="1">
        <v>13.379</v>
      </c>
      <c r="DX37" s="1">
        <v>15.414</v>
      </c>
      <c r="DY37" s="1">
        <v>16.138000000000002</v>
      </c>
      <c r="DZ37" s="1">
        <v>2</v>
      </c>
      <c r="EA37" s="1">
        <v>1</v>
      </c>
      <c r="EB37" s="1">
        <v>5</v>
      </c>
      <c r="EC37" s="1">
        <v>40.805</v>
      </c>
      <c r="ED37" s="1">
        <v>43.777999999999999</v>
      </c>
      <c r="EE37" s="1">
        <v>45.078000000000003</v>
      </c>
      <c r="EF37" s="1">
        <v>2</v>
      </c>
      <c r="EG37" s="1">
        <v>5</v>
      </c>
      <c r="EH37" s="1">
        <v>7</v>
      </c>
      <c r="EI37" s="1">
        <v>8.8089999999999993</v>
      </c>
      <c r="EJ37" s="1">
        <v>14.708</v>
      </c>
      <c r="EK37" s="1">
        <v>15.548999999999999</v>
      </c>
      <c r="EL37" s="1">
        <v>2</v>
      </c>
      <c r="EM37" s="1">
        <v>3</v>
      </c>
      <c r="EN37" s="1">
        <v>7</v>
      </c>
      <c r="EO37" s="1">
        <v>9.4510000000000005</v>
      </c>
      <c r="EP37" s="1">
        <v>12.73</v>
      </c>
      <c r="EQ37" s="1">
        <v>13.46</v>
      </c>
      <c r="ER37" s="1">
        <v>2</v>
      </c>
      <c r="ES37" s="4" t="s">
        <v>282</v>
      </c>
      <c r="ET37" s="1">
        <v>7</v>
      </c>
      <c r="EU37" s="1">
        <v>18.244</v>
      </c>
      <c r="EV37" s="1">
        <v>19.587</v>
      </c>
      <c r="EW37" s="1">
        <v>20.873999999999999</v>
      </c>
      <c r="EX37" s="1">
        <v>2</v>
      </c>
      <c r="EY37" s="1">
        <v>2</v>
      </c>
      <c r="EZ37" s="1">
        <v>5</v>
      </c>
      <c r="FA37" s="1">
        <v>34.978000000000002</v>
      </c>
      <c r="FB37" s="1">
        <v>37.680999999999997</v>
      </c>
      <c r="FC37" s="1">
        <v>38.662999999999997</v>
      </c>
      <c r="FD37" s="1">
        <v>2</v>
      </c>
      <c r="FE37" s="4" t="s">
        <v>282</v>
      </c>
      <c r="FF37" s="1">
        <v>6</v>
      </c>
      <c r="FG37" s="1">
        <v>10.478</v>
      </c>
      <c r="FH37" s="1">
        <v>18.579999999999998</v>
      </c>
      <c r="FI37" s="1">
        <v>19.405000000000001</v>
      </c>
      <c r="FJ37" s="1">
        <v>2</v>
      </c>
      <c r="FK37" s="1">
        <v>1</v>
      </c>
      <c r="FL37" s="1">
        <v>7</v>
      </c>
      <c r="FM37" s="1">
        <v>8.9719999999999995</v>
      </c>
      <c r="FN37" s="1">
        <v>13.895</v>
      </c>
      <c r="FO37" s="1">
        <v>14.698</v>
      </c>
      <c r="FP37" s="1">
        <v>2</v>
      </c>
      <c r="FQ37" s="1">
        <v>2</v>
      </c>
      <c r="FR37" s="1">
        <v>6</v>
      </c>
      <c r="FS37" s="1">
        <v>33.950000000000003</v>
      </c>
      <c r="FT37" s="1">
        <v>36.591000000000001</v>
      </c>
      <c r="FU37" s="1">
        <v>37.618000000000002</v>
      </c>
      <c r="FV37" s="1">
        <v>2</v>
      </c>
      <c r="FW37" s="4" t="s">
        <v>282</v>
      </c>
      <c r="FX37" s="1">
        <v>7</v>
      </c>
      <c r="FY37" s="1">
        <v>13.339</v>
      </c>
      <c r="FZ37" s="1">
        <v>14.497</v>
      </c>
      <c r="GA37" s="1">
        <v>15.276999999999999</v>
      </c>
      <c r="GB37" s="1">
        <v>2</v>
      </c>
      <c r="GC37" s="1">
        <v>1</v>
      </c>
      <c r="GD37" s="1">
        <v>6</v>
      </c>
      <c r="GE37" s="1">
        <v>11.462999999999999</v>
      </c>
      <c r="GF37" s="1">
        <v>12.525</v>
      </c>
      <c r="GG37" s="1">
        <v>14.127000000000001</v>
      </c>
      <c r="GH37" s="1">
        <v>2</v>
      </c>
      <c r="GI37" s="1">
        <v>2</v>
      </c>
      <c r="GJ37" s="1">
        <v>6</v>
      </c>
      <c r="GK37" s="1">
        <v>11.518000000000001</v>
      </c>
      <c r="GL37" s="1">
        <v>16.466000000000001</v>
      </c>
      <c r="GM37" s="1">
        <v>17.951000000000001</v>
      </c>
      <c r="GN37" s="1">
        <v>3</v>
      </c>
      <c r="GO37" s="4" t="s">
        <v>282</v>
      </c>
      <c r="GP37" s="1">
        <v>4</v>
      </c>
      <c r="GQ37" s="1">
        <v>22.914000000000001</v>
      </c>
      <c r="GR37" s="1">
        <v>25.004999999999999</v>
      </c>
      <c r="GS37" s="1">
        <v>25.791</v>
      </c>
      <c r="GT37" s="1">
        <v>2</v>
      </c>
      <c r="GU37" s="1">
        <v>1</v>
      </c>
      <c r="GV37" s="1">
        <v>6</v>
      </c>
      <c r="GW37" s="1">
        <v>18.059999999999999</v>
      </c>
      <c r="GX37" s="1">
        <v>18.95</v>
      </c>
      <c r="GY37" s="1">
        <v>20.539000000000001</v>
      </c>
      <c r="GZ37" s="1">
        <v>2</v>
      </c>
      <c r="HA37" s="4" t="s">
        <v>282</v>
      </c>
      <c r="HB37" s="1">
        <v>5</v>
      </c>
      <c r="HC37" s="1">
        <v>14.52</v>
      </c>
      <c r="HD37" s="1">
        <v>24.341999999999999</v>
      </c>
      <c r="HE37" s="1">
        <v>26.818000000000001</v>
      </c>
      <c r="HF37" s="1">
        <v>3</v>
      </c>
      <c r="HG37" s="1">
        <v>1</v>
      </c>
      <c r="HH37" s="1">
        <v>7</v>
      </c>
      <c r="HI37" s="1">
        <v>10.861000000000001</v>
      </c>
      <c r="HJ37" s="1">
        <v>12.2</v>
      </c>
      <c r="HK37" s="1">
        <v>13.852</v>
      </c>
      <c r="HL37" s="1">
        <v>2</v>
      </c>
      <c r="HM37" s="4" t="s">
        <v>707</v>
      </c>
      <c r="HN37" s="4" t="s">
        <v>708</v>
      </c>
      <c r="HO37" s="4" t="s">
        <v>709</v>
      </c>
      <c r="HP37" s="4" t="s">
        <v>710</v>
      </c>
      <c r="HQ37" s="4" t="s">
        <v>711</v>
      </c>
      <c r="HR37" s="4" t="s">
        <v>712</v>
      </c>
      <c r="HS37" s="4" t="s">
        <v>713</v>
      </c>
      <c r="HT37" s="4" t="s">
        <v>714</v>
      </c>
      <c r="HU37" s="4" t="s">
        <v>715</v>
      </c>
      <c r="HV37" s="4" t="s">
        <v>716</v>
      </c>
      <c r="HW37" s="4" t="s">
        <v>717</v>
      </c>
      <c r="HX37" s="4" t="s">
        <v>282</v>
      </c>
      <c r="HY37" s="4" t="s">
        <v>312</v>
      </c>
      <c r="HZ37" s="4" t="s">
        <v>356</v>
      </c>
      <c r="IA37" s="4" t="s">
        <v>313</v>
      </c>
      <c r="IB37" s="4" t="s">
        <v>282</v>
      </c>
      <c r="IC37" s="4" t="s">
        <v>282</v>
      </c>
    </row>
    <row r="38" spans="1:237" x14ac:dyDescent="0.2">
      <c r="A38" s="3">
        <v>45748.426365740743</v>
      </c>
      <c r="B38" s="3">
        <v>45748.445497685185</v>
      </c>
      <c r="C38" s="1">
        <v>0</v>
      </c>
      <c r="D38" s="4" t="s">
        <v>718</v>
      </c>
      <c r="E38" s="1">
        <v>100</v>
      </c>
      <c r="F38" s="1">
        <v>1653</v>
      </c>
      <c r="G38" s="1">
        <v>1</v>
      </c>
      <c r="H38" s="3">
        <v>45748.445516192129</v>
      </c>
      <c r="I38" s="4" t="s">
        <v>719</v>
      </c>
      <c r="J38" s="4" t="s">
        <v>282</v>
      </c>
      <c r="K38" s="4" t="s">
        <v>282</v>
      </c>
      <c r="L38" s="4" t="s">
        <v>282</v>
      </c>
      <c r="M38" s="4" t="s">
        <v>282</v>
      </c>
      <c r="N38" s="1">
        <v>49.817900000000002</v>
      </c>
      <c r="O38" s="1">
        <v>-97.153499999999994</v>
      </c>
      <c r="P38" s="4" t="s">
        <v>283</v>
      </c>
      <c r="Q38" s="4" t="s">
        <v>284</v>
      </c>
      <c r="R38" s="1">
        <v>0.89999997615814209</v>
      </c>
      <c r="S38" s="1">
        <v>1</v>
      </c>
      <c r="T38" s="1">
        <v>1</v>
      </c>
      <c r="U38" s="1">
        <v>1</v>
      </c>
      <c r="V38" s="1">
        <v>1</v>
      </c>
      <c r="W38" s="1">
        <v>5</v>
      </c>
      <c r="X38" s="4" t="s">
        <v>1291</v>
      </c>
      <c r="Y38" s="1">
        <v>5</v>
      </c>
      <c r="Z38" s="1">
        <v>1</v>
      </c>
      <c r="AA38" s="1">
        <v>1</v>
      </c>
      <c r="AB38" s="1">
        <v>2</v>
      </c>
      <c r="AC38" s="1">
        <v>1</v>
      </c>
      <c r="AD38" s="1">
        <v>7</v>
      </c>
      <c r="AE38" s="1">
        <v>10.435</v>
      </c>
      <c r="AF38" s="1">
        <v>14.367000000000001</v>
      </c>
      <c r="AG38" s="1">
        <v>16.108000000000001</v>
      </c>
      <c r="AH38" s="1">
        <v>2</v>
      </c>
      <c r="AI38" s="1">
        <v>2</v>
      </c>
      <c r="AJ38" s="1">
        <v>6</v>
      </c>
      <c r="AK38" s="1">
        <v>12.452</v>
      </c>
      <c r="AL38" s="1">
        <v>16.495999999999999</v>
      </c>
      <c r="AM38" s="1">
        <v>23.297000000000001</v>
      </c>
      <c r="AN38" s="1">
        <v>2</v>
      </c>
      <c r="AO38" s="1">
        <v>2</v>
      </c>
      <c r="AP38" s="1">
        <v>6</v>
      </c>
      <c r="AQ38" s="1">
        <v>14.646000000000001</v>
      </c>
      <c r="AR38" s="1">
        <v>18.949000000000002</v>
      </c>
      <c r="AS38" s="1">
        <v>21.835999999999999</v>
      </c>
      <c r="AT38" s="1">
        <v>2</v>
      </c>
      <c r="AU38" s="1">
        <v>3</v>
      </c>
      <c r="AV38" s="1">
        <v>5</v>
      </c>
      <c r="AW38" s="1">
        <v>11.167999999999999</v>
      </c>
      <c r="AX38" s="1">
        <v>15.468999999999999</v>
      </c>
      <c r="AY38" s="1">
        <v>16.844999999999999</v>
      </c>
      <c r="AZ38" s="1">
        <v>2</v>
      </c>
      <c r="BA38" s="1">
        <v>5</v>
      </c>
      <c r="BB38" s="1">
        <v>5</v>
      </c>
      <c r="BC38" s="1">
        <v>39.942999999999998</v>
      </c>
      <c r="BD38" s="1">
        <v>45.588000000000001</v>
      </c>
      <c r="BE38" s="1">
        <v>47.015000000000001</v>
      </c>
      <c r="BF38" s="1">
        <v>2</v>
      </c>
      <c r="BG38" s="1">
        <v>1</v>
      </c>
      <c r="BH38" s="1">
        <v>5</v>
      </c>
      <c r="BI38" s="1">
        <v>18.757000000000001</v>
      </c>
      <c r="BJ38" s="1">
        <v>21.077000000000002</v>
      </c>
      <c r="BK38" s="1">
        <v>23.181000000000001</v>
      </c>
      <c r="BL38" s="1">
        <v>2</v>
      </c>
      <c r="BM38" s="1">
        <v>2</v>
      </c>
      <c r="BN38" s="1">
        <v>7</v>
      </c>
      <c r="BO38" s="1">
        <v>11.371</v>
      </c>
      <c r="BP38" s="1">
        <v>15.215999999999999</v>
      </c>
      <c r="BQ38" s="1">
        <v>18.152999999999999</v>
      </c>
      <c r="BR38" s="1">
        <v>2</v>
      </c>
      <c r="BS38" s="1">
        <v>1</v>
      </c>
      <c r="BT38" s="1">
        <v>6</v>
      </c>
      <c r="BU38" s="1">
        <v>11.095000000000001</v>
      </c>
      <c r="BV38" s="1">
        <v>15.146000000000001</v>
      </c>
      <c r="BW38" s="1">
        <v>16.785</v>
      </c>
      <c r="BX38" s="1">
        <v>2</v>
      </c>
      <c r="BY38" s="1">
        <v>3</v>
      </c>
      <c r="BZ38" s="1">
        <v>4</v>
      </c>
      <c r="CA38" s="1">
        <v>16.471</v>
      </c>
      <c r="CB38" s="1">
        <v>20.198</v>
      </c>
      <c r="CC38" s="1">
        <v>22.573</v>
      </c>
      <c r="CD38" s="1">
        <v>2</v>
      </c>
      <c r="CE38" s="1">
        <v>3</v>
      </c>
      <c r="CF38" s="1">
        <v>6</v>
      </c>
      <c r="CG38" s="1">
        <v>12.911</v>
      </c>
      <c r="CH38" s="1">
        <v>24.794</v>
      </c>
      <c r="CI38" s="1">
        <v>26.887</v>
      </c>
      <c r="CJ38" s="1">
        <v>2</v>
      </c>
      <c r="CK38" s="1">
        <v>1</v>
      </c>
      <c r="CL38" s="1">
        <v>6</v>
      </c>
      <c r="CM38" s="1">
        <v>11.109</v>
      </c>
      <c r="CN38" s="1">
        <v>14.356999999999999</v>
      </c>
      <c r="CO38" s="1">
        <v>16.428999999999998</v>
      </c>
      <c r="CP38" s="1">
        <v>2</v>
      </c>
      <c r="CQ38" s="1">
        <v>2</v>
      </c>
      <c r="CR38" s="1">
        <v>7</v>
      </c>
      <c r="CS38" s="1">
        <v>11.646000000000001</v>
      </c>
      <c r="CT38" s="1">
        <v>14.446</v>
      </c>
      <c r="CU38" s="1">
        <v>16.315999999999999</v>
      </c>
      <c r="CV38" s="1">
        <v>2</v>
      </c>
      <c r="CW38" s="1">
        <v>1</v>
      </c>
      <c r="CX38" s="1">
        <v>5</v>
      </c>
      <c r="CY38" s="1">
        <v>11.954000000000001</v>
      </c>
      <c r="CZ38" s="1">
        <v>19.28</v>
      </c>
      <c r="DA38" s="1">
        <v>25.388999999999999</v>
      </c>
      <c r="DB38" s="1">
        <v>2</v>
      </c>
      <c r="DC38" s="1">
        <v>4</v>
      </c>
      <c r="DD38" s="1">
        <v>7</v>
      </c>
      <c r="DE38" s="1">
        <v>11.544</v>
      </c>
      <c r="DF38" s="1">
        <v>15.377000000000001</v>
      </c>
      <c r="DG38" s="1">
        <v>17.065000000000001</v>
      </c>
      <c r="DH38" s="1">
        <v>2</v>
      </c>
      <c r="DI38" s="1">
        <v>3</v>
      </c>
      <c r="DJ38" s="1">
        <v>5</v>
      </c>
      <c r="DK38" s="1">
        <v>41.091000000000001</v>
      </c>
      <c r="DL38" s="1">
        <v>43.942</v>
      </c>
      <c r="DM38" s="1">
        <v>46.517000000000003</v>
      </c>
      <c r="DN38" s="1">
        <v>2</v>
      </c>
      <c r="DO38" s="1">
        <v>1</v>
      </c>
      <c r="DP38" s="1">
        <v>6</v>
      </c>
      <c r="DQ38" s="1">
        <v>12.098000000000001</v>
      </c>
      <c r="DR38" s="1">
        <v>15.111000000000001</v>
      </c>
      <c r="DS38" s="1">
        <v>44</v>
      </c>
      <c r="DT38" s="1">
        <v>2</v>
      </c>
      <c r="DU38" s="1">
        <v>2</v>
      </c>
      <c r="DV38" s="1">
        <v>6</v>
      </c>
      <c r="DW38" s="1">
        <v>13.377000000000001</v>
      </c>
      <c r="DX38" s="1">
        <v>18.157</v>
      </c>
      <c r="DY38" s="1">
        <v>20.216999999999999</v>
      </c>
      <c r="DZ38" s="1">
        <v>2</v>
      </c>
      <c r="EA38" s="1">
        <v>1</v>
      </c>
      <c r="EB38" s="1">
        <v>7</v>
      </c>
      <c r="EC38" s="1">
        <v>23.527000000000001</v>
      </c>
      <c r="ED38" s="1">
        <v>26.827000000000002</v>
      </c>
      <c r="EE38" s="1">
        <v>28.652999999999999</v>
      </c>
      <c r="EF38" s="1">
        <v>2</v>
      </c>
      <c r="EG38" s="1">
        <v>4</v>
      </c>
      <c r="EH38" s="1">
        <v>7</v>
      </c>
      <c r="EI38" s="1">
        <v>13.894</v>
      </c>
      <c r="EJ38" s="1">
        <v>17.327000000000002</v>
      </c>
      <c r="EK38" s="1">
        <v>19.960999999999999</v>
      </c>
      <c r="EL38" s="1">
        <v>2</v>
      </c>
      <c r="EM38" s="1">
        <v>3</v>
      </c>
      <c r="EN38" s="1">
        <v>5</v>
      </c>
      <c r="EO38" s="1">
        <v>16.225000000000001</v>
      </c>
      <c r="EP38" s="1">
        <v>19.140999999999998</v>
      </c>
      <c r="EQ38" s="1">
        <v>21.23</v>
      </c>
      <c r="ER38" s="1">
        <v>2</v>
      </c>
      <c r="ES38" s="1">
        <v>1</v>
      </c>
      <c r="ET38" s="1">
        <v>6</v>
      </c>
      <c r="EU38" s="1">
        <v>14.302</v>
      </c>
      <c r="EV38" s="1">
        <v>17.318999999999999</v>
      </c>
      <c r="EW38" s="1">
        <v>20.74</v>
      </c>
      <c r="EX38" s="1">
        <v>2</v>
      </c>
      <c r="EY38" s="1">
        <v>2</v>
      </c>
      <c r="EZ38" s="1">
        <v>7</v>
      </c>
      <c r="FA38" s="1">
        <v>10.297000000000001</v>
      </c>
      <c r="FB38" s="1">
        <v>18.597000000000001</v>
      </c>
      <c r="FC38" s="1">
        <v>20.963999999999999</v>
      </c>
      <c r="FD38" s="1">
        <v>2</v>
      </c>
      <c r="FE38" s="1">
        <v>5</v>
      </c>
      <c r="FF38" s="1">
        <v>7</v>
      </c>
      <c r="FG38" s="1">
        <v>10.757999999999999</v>
      </c>
      <c r="FH38" s="1">
        <v>14.635999999999999</v>
      </c>
      <c r="FI38" s="1">
        <v>16.965</v>
      </c>
      <c r="FJ38" s="1">
        <v>2</v>
      </c>
      <c r="FK38" s="1">
        <v>1</v>
      </c>
      <c r="FL38" s="1">
        <v>6</v>
      </c>
      <c r="FM38" s="1">
        <v>19.506</v>
      </c>
      <c r="FN38" s="1">
        <v>27.41</v>
      </c>
      <c r="FO38" s="1">
        <v>29.805</v>
      </c>
      <c r="FP38" s="1">
        <v>2</v>
      </c>
      <c r="FQ38" s="1">
        <v>2</v>
      </c>
      <c r="FR38" s="1">
        <v>6</v>
      </c>
      <c r="FS38" s="1">
        <v>20.033000000000001</v>
      </c>
      <c r="FT38" s="1">
        <v>22.975999999999999</v>
      </c>
      <c r="FU38" s="1">
        <v>25.818999999999999</v>
      </c>
      <c r="FV38" s="1">
        <v>2</v>
      </c>
      <c r="FW38" s="1">
        <v>5</v>
      </c>
      <c r="FX38" s="1">
        <v>6</v>
      </c>
      <c r="FY38" s="1">
        <v>14.768000000000001</v>
      </c>
      <c r="FZ38" s="1">
        <v>19.042999999999999</v>
      </c>
      <c r="GA38" s="1">
        <v>21.675999999999998</v>
      </c>
      <c r="GB38" s="1">
        <v>2</v>
      </c>
      <c r="GC38" s="1">
        <v>1</v>
      </c>
      <c r="GD38" s="1">
        <v>6</v>
      </c>
      <c r="GE38" s="1">
        <v>11.942</v>
      </c>
      <c r="GF38" s="1">
        <v>15.939</v>
      </c>
      <c r="GG38" s="1">
        <v>17.428000000000001</v>
      </c>
      <c r="GH38" s="1">
        <v>2</v>
      </c>
      <c r="GI38" s="1">
        <v>2</v>
      </c>
      <c r="GJ38" s="1">
        <v>6</v>
      </c>
      <c r="GK38" s="1">
        <v>12.441000000000001</v>
      </c>
      <c r="GL38" s="1">
        <v>21.207999999999998</v>
      </c>
      <c r="GM38" s="1">
        <v>23.638000000000002</v>
      </c>
      <c r="GN38" s="1">
        <v>2</v>
      </c>
      <c r="GO38" s="1">
        <v>1</v>
      </c>
      <c r="GP38" s="1">
        <v>4</v>
      </c>
      <c r="GQ38" s="1">
        <v>54.682000000000002</v>
      </c>
      <c r="GR38" s="1">
        <v>61.887</v>
      </c>
      <c r="GS38" s="1">
        <v>63.677999999999997</v>
      </c>
      <c r="GT38" s="1">
        <v>3</v>
      </c>
      <c r="GU38" s="1">
        <v>1</v>
      </c>
      <c r="GV38" s="1">
        <v>7</v>
      </c>
      <c r="GW38" s="1">
        <v>10.37</v>
      </c>
      <c r="GX38" s="1">
        <v>13.39</v>
      </c>
      <c r="GY38" s="1">
        <v>15.669</v>
      </c>
      <c r="GZ38" s="1">
        <v>2</v>
      </c>
      <c r="HA38" s="1">
        <v>2</v>
      </c>
      <c r="HB38" s="1">
        <v>6</v>
      </c>
      <c r="HC38" s="1">
        <v>9.875</v>
      </c>
      <c r="HD38" s="1">
        <v>14.797000000000001</v>
      </c>
      <c r="HE38" s="1">
        <v>16.341000000000001</v>
      </c>
      <c r="HF38" s="1">
        <v>2</v>
      </c>
      <c r="HG38" s="1">
        <v>1</v>
      </c>
      <c r="HH38" s="1">
        <v>6</v>
      </c>
      <c r="HI38" s="1">
        <v>21.981999999999999</v>
      </c>
      <c r="HJ38" s="1">
        <v>25.382000000000001</v>
      </c>
      <c r="HK38" s="1">
        <v>26.731999999999999</v>
      </c>
      <c r="HL38" s="1">
        <v>2</v>
      </c>
      <c r="HM38" s="4" t="s">
        <v>720</v>
      </c>
      <c r="HN38" s="4" t="s">
        <v>721</v>
      </c>
      <c r="HO38" s="4" t="s">
        <v>722</v>
      </c>
      <c r="HP38" s="4" t="s">
        <v>723</v>
      </c>
      <c r="HQ38" s="4" t="s">
        <v>724</v>
      </c>
      <c r="HR38" s="4" t="s">
        <v>725</v>
      </c>
      <c r="HS38" s="4" t="s">
        <v>726</v>
      </c>
      <c r="HT38" s="4" t="s">
        <v>727</v>
      </c>
      <c r="HU38" s="4" t="s">
        <v>728</v>
      </c>
      <c r="HV38" s="4" t="s">
        <v>729</v>
      </c>
      <c r="HW38" s="4" t="s">
        <v>730</v>
      </c>
      <c r="HX38" s="4" t="s">
        <v>282</v>
      </c>
      <c r="HY38" s="4" t="s">
        <v>312</v>
      </c>
      <c r="HZ38" s="4" t="s">
        <v>372</v>
      </c>
      <c r="IA38" s="4" t="s">
        <v>325</v>
      </c>
      <c r="IB38" s="4" t="s">
        <v>282</v>
      </c>
      <c r="IC38" s="4" t="s">
        <v>282</v>
      </c>
    </row>
    <row r="39" spans="1:237" x14ac:dyDescent="0.2">
      <c r="A39" s="3">
        <v>45748.44908564815</v>
      </c>
      <c r="B39" s="3">
        <v>45748.466331018521</v>
      </c>
      <c r="C39" s="1">
        <v>0</v>
      </c>
      <c r="D39" s="4" t="s">
        <v>731</v>
      </c>
      <c r="E39" s="1">
        <v>100</v>
      </c>
      <c r="F39" s="1">
        <v>1490</v>
      </c>
      <c r="G39" s="1">
        <v>1</v>
      </c>
      <c r="H39" s="3">
        <v>45748.466350509261</v>
      </c>
      <c r="I39" s="4" t="s">
        <v>732</v>
      </c>
      <c r="J39" s="4" t="s">
        <v>282</v>
      </c>
      <c r="K39" s="4" t="s">
        <v>282</v>
      </c>
      <c r="L39" s="4" t="s">
        <v>282</v>
      </c>
      <c r="M39" s="4" t="s">
        <v>282</v>
      </c>
      <c r="N39" s="1">
        <v>-38.022399999999998</v>
      </c>
      <c r="O39" s="1">
        <v>145.1018</v>
      </c>
      <c r="P39" s="4" t="s">
        <v>283</v>
      </c>
      <c r="Q39" s="4" t="s">
        <v>284</v>
      </c>
      <c r="R39" s="1">
        <v>1</v>
      </c>
      <c r="S39" s="1">
        <v>1</v>
      </c>
      <c r="T39" s="1">
        <v>1</v>
      </c>
      <c r="U39" s="1">
        <v>1</v>
      </c>
      <c r="V39" s="1">
        <v>1</v>
      </c>
      <c r="W39" s="1">
        <v>4</v>
      </c>
      <c r="X39" s="4" t="s">
        <v>497</v>
      </c>
      <c r="Y39" s="1">
        <v>5</v>
      </c>
      <c r="Z39" s="1">
        <v>1</v>
      </c>
      <c r="AA39" s="1">
        <v>1</v>
      </c>
      <c r="AB39" s="1">
        <v>2</v>
      </c>
      <c r="AC39" s="1">
        <v>1</v>
      </c>
      <c r="AD39" s="1">
        <v>5</v>
      </c>
      <c r="AE39" s="1">
        <v>10.755000000000001</v>
      </c>
      <c r="AF39" s="1">
        <v>13.853999999999999</v>
      </c>
      <c r="AG39" s="1">
        <v>14.768000000000001</v>
      </c>
      <c r="AH39" s="1">
        <v>2</v>
      </c>
      <c r="AI39" s="1">
        <v>2</v>
      </c>
      <c r="AJ39" s="1">
        <v>6</v>
      </c>
      <c r="AK39" s="1">
        <v>6.7809999999999997</v>
      </c>
      <c r="AL39" s="1">
        <v>12.273999999999999</v>
      </c>
      <c r="AM39" s="1">
        <v>12.917999999999999</v>
      </c>
      <c r="AN39" s="1">
        <v>3</v>
      </c>
      <c r="AO39" s="1">
        <v>2</v>
      </c>
      <c r="AP39" s="1">
        <v>5</v>
      </c>
      <c r="AQ39" s="1">
        <v>4.9029999999999996</v>
      </c>
      <c r="AR39" s="1">
        <v>12.45</v>
      </c>
      <c r="AS39" s="1">
        <v>14.071999999999999</v>
      </c>
      <c r="AT39" s="1">
        <v>2</v>
      </c>
      <c r="AU39" s="1">
        <v>5</v>
      </c>
      <c r="AV39" s="1">
        <v>6</v>
      </c>
      <c r="AW39" s="1">
        <v>7.774</v>
      </c>
      <c r="AX39" s="1">
        <v>10.371</v>
      </c>
      <c r="AY39" s="1">
        <v>11.85</v>
      </c>
      <c r="AZ39" s="1">
        <v>2</v>
      </c>
      <c r="BA39" s="1">
        <v>4</v>
      </c>
      <c r="BB39" s="1">
        <v>4</v>
      </c>
      <c r="BC39" s="1">
        <v>11.356999999999999</v>
      </c>
      <c r="BD39" s="1">
        <v>13.398</v>
      </c>
      <c r="BE39" s="1">
        <v>14.773</v>
      </c>
      <c r="BF39" s="1">
        <v>2</v>
      </c>
      <c r="BG39" s="1">
        <v>1</v>
      </c>
      <c r="BH39" s="1">
        <v>6</v>
      </c>
      <c r="BI39" s="1">
        <v>7.22</v>
      </c>
      <c r="BJ39" s="1">
        <v>9.0830000000000002</v>
      </c>
      <c r="BK39" s="1">
        <v>10.28</v>
      </c>
      <c r="BL39" s="1">
        <v>2</v>
      </c>
      <c r="BM39" s="1">
        <v>2</v>
      </c>
      <c r="BN39" s="1">
        <v>5</v>
      </c>
      <c r="BO39" s="1">
        <v>5.84</v>
      </c>
      <c r="BP39" s="1">
        <v>9.0289999999999999</v>
      </c>
      <c r="BQ39" s="1">
        <v>10.53</v>
      </c>
      <c r="BR39" s="1">
        <v>2</v>
      </c>
      <c r="BS39" s="1">
        <v>1</v>
      </c>
      <c r="BT39" s="1">
        <v>5</v>
      </c>
      <c r="BU39" s="1">
        <v>13.866</v>
      </c>
      <c r="BV39" s="1">
        <v>27.661000000000001</v>
      </c>
      <c r="BW39" s="1">
        <v>33.341999999999999</v>
      </c>
      <c r="BX39" s="1">
        <v>3</v>
      </c>
      <c r="BY39" s="1">
        <v>4</v>
      </c>
      <c r="BZ39" s="1">
        <v>6</v>
      </c>
      <c r="CA39" s="1">
        <v>7.2619999999999996</v>
      </c>
      <c r="CB39" s="1">
        <v>10.178000000000001</v>
      </c>
      <c r="CC39" s="1">
        <v>14.602</v>
      </c>
      <c r="CD39" s="1">
        <v>2</v>
      </c>
      <c r="CE39" s="1">
        <v>3</v>
      </c>
      <c r="CF39" s="1">
        <v>6</v>
      </c>
      <c r="CG39" s="1">
        <v>6.2910000000000004</v>
      </c>
      <c r="CH39" s="1">
        <v>7.8650000000000002</v>
      </c>
      <c r="CI39" s="1">
        <v>11.515000000000001</v>
      </c>
      <c r="CJ39" s="1">
        <v>2</v>
      </c>
      <c r="CK39" s="1">
        <v>1</v>
      </c>
      <c r="CL39" s="1">
        <v>5</v>
      </c>
      <c r="CM39" s="1">
        <v>5.1980000000000004</v>
      </c>
      <c r="CN39" s="1">
        <v>14.202999999999999</v>
      </c>
      <c r="CO39" s="1">
        <v>15.327</v>
      </c>
      <c r="CP39" s="1">
        <v>4</v>
      </c>
      <c r="CQ39" s="1">
        <v>2</v>
      </c>
      <c r="CR39" s="1">
        <v>6</v>
      </c>
      <c r="CS39" s="1">
        <v>5.1440000000000001</v>
      </c>
      <c r="CT39" s="1">
        <v>8.1300000000000008</v>
      </c>
      <c r="CU39" s="1">
        <v>11.346</v>
      </c>
      <c r="CV39" s="1">
        <v>2</v>
      </c>
      <c r="CW39" s="1">
        <v>1</v>
      </c>
      <c r="CX39" s="1">
        <v>5</v>
      </c>
      <c r="CY39" s="1">
        <v>21.855</v>
      </c>
      <c r="CZ39" s="1">
        <v>24.300999999999998</v>
      </c>
      <c r="DA39" s="1">
        <v>25.391999999999999</v>
      </c>
      <c r="DB39" s="1">
        <v>2</v>
      </c>
      <c r="DC39" s="1">
        <v>3</v>
      </c>
      <c r="DD39" s="1">
        <v>5</v>
      </c>
      <c r="DE39" s="1">
        <v>9.4700000000000006</v>
      </c>
      <c r="DF39" s="1">
        <v>11.794</v>
      </c>
      <c r="DG39" s="1">
        <v>13.214</v>
      </c>
      <c r="DH39" s="1">
        <v>2</v>
      </c>
      <c r="DI39" s="1">
        <v>3</v>
      </c>
      <c r="DJ39" s="1">
        <v>5</v>
      </c>
      <c r="DK39" s="1">
        <v>7.4009999999999998</v>
      </c>
      <c r="DL39" s="1">
        <v>19.213999999999999</v>
      </c>
      <c r="DM39" s="1">
        <v>21.091999999999999</v>
      </c>
      <c r="DN39" s="1">
        <v>4</v>
      </c>
      <c r="DO39" s="1">
        <v>1</v>
      </c>
      <c r="DP39" s="1">
        <v>6</v>
      </c>
      <c r="DQ39" s="1">
        <v>10.978</v>
      </c>
      <c r="DR39" s="1">
        <v>15.535</v>
      </c>
      <c r="DS39" s="1">
        <v>16.379000000000001</v>
      </c>
      <c r="DT39" s="1">
        <v>3</v>
      </c>
      <c r="DU39" s="1">
        <v>2</v>
      </c>
      <c r="DV39" s="1">
        <v>5</v>
      </c>
      <c r="DW39" s="1">
        <v>8.0180000000000007</v>
      </c>
      <c r="DX39" s="1">
        <v>11.589</v>
      </c>
      <c r="DY39" s="1">
        <v>13.25</v>
      </c>
      <c r="DZ39" s="1">
        <v>3</v>
      </c>
      <c r="EA39" s="1">
        <v>4</v>
      </c>
      <c r="EB39" s="1">
        <v>5</v>
      </c>
      <c r="EC39" s="1">
        <v>10.398999999999999</v>
      </c>
      <c r="ED39" s="1">
        <v>15.89</v>
      </c>
      <c r="EE39" s="1">
        <v>17.417999999999999</v>
      </c>
      <c r="EF39" s="1">
        <v>2</v>
      </c>
      <c r="EG39" s="1">
        <v>5</v>
      </c>
      <c r="EH39" s="1">
        <v>6</v>
      </c>
      <c r="EI39" s="1">
        <v>6.6349999999999998</v>
      </c>
      <c r="EJ39" s="1">
        <v>8.327</v>
      </c>
      <c r="EK39" s="1">
        <v>11.164999999999999</v>
      </c>
      <c r="EL39" s="1">
        <v>2</v>
      </c>
      <c r="EM39" s="1">
        <v>3</v>
      </c>
      <c r="EN39" s="1">
        <v>5</v>
      </c>
      <c r="EO39" s="1">
        <v>10.667999999999999</v>
      </c>
      <c r="EP39" s="1">
        <v>13.55</v>
      </c>
      <c r="EQ39" s="1">
        <v>14.492000000000001</v>
      </c>
      <c r="ER39" s="1">
        <v>2</v>
      </c>
      <c r="ES39" s="1">
        <v>1</v>
      </c>
      <c r="ET39" s="1">
        <v>6</v>
      </c>
      <c r="EU39" s="1">
        <v>6.02</v>
      </c>
      <c r="EV39" s="1">
        <v>8.4390000000000001</v>
      </c>
      <c r="EW39" s="1">
        <v>10.754</v>
      </c>
      <c r="EX39" s="1">
        <v>2</v>
      </c>
      <c r="EY39" s="1">
        <v>2</v>
      </c>
      <c r="EZ39" s="1">
        <v>7</v>
      </c>
      <c r="FA39" s="1">
        <v>2.681</v>
      </c>
      <c r="FB39" s="1">
        <v>3.53</v>
      </c>
      <c r="FC39" s="1">
        <v>9.9559999999999995</v>
      </c>
      <c r="FD39" s="1">
        <v>2</v>
      </c>
      <c r="FE39" s="1">
        <v>5</v>
      </c>
      <c r="FF39" s="1">
        <v>7</v>
      </c>
      <c r="FG39" s="1">
        <v>3.9540000000000002</v>
      </c>
      <c r="FH39" s="1">
        <v>4.8710000000000004</v>
      </c>
      <c r="FI39" s="1">
        <v>11.326000000000001</v>
      </c>
      <c r="FJ39" s="1">
        <v>2</v>
      </c>
      <c r="FK39" s="1">
        <v>1</v>
      </c>
      <c r="FL39" s="1">
        <v>7</v>
      </c>
      <c r="FM39" s="1">
        <v>3.919</v>
      </c>
      <c r="FN39" s="1">
        <v>4.9560000000000004</v>
      </c>
      <c r="FO39" s="1">
        <v>11.964</v>
      </c>
      <c r="FP39" s="1">
        <v>2</v>
      </c>
      <c r="FQ39" s="1">
        <v>2</v>
      </c>
      <c r="FR39" s="1">
        <v>7</v>
      </c>
      <c r="FS39" s="1">
        <v>5.46</v>
      </c>
      <c r="FT39" s="1">
        <v>6.8620000000000001</v>
      </c>
      <c r="FU39" s="1">
        <v>9.1829999999999998</v>
      </c>
      <c r="FV39" s="1">
        <v>2</v>
      </c>
      <c r="FW39" s="1">
        <v>5</v>
      </c>
      <c r="FX39" s="1">
        <v>7</v>
      </c>
      <c r="FY39" s="1">
        <v>3.8380000000000001</v>
      </c>
      <c r="FZ39" s="1">
        <v>5.2389999999999999</v>
      </c>
      <c r="GA39" s="1">
        <v>9.016</v>
      </c>
      <c r="GB39" s="1">
        <v>2</v>
      </c>
      <c r="GC39" s="1">
        <v>1</v>
      </c>
      <c r="GD39" s="1">
        <v>7</v>
      </c>
      <c r="GE39" s="1">
        <v>7.4690000000000003</v>
      </c>
      <c r="GF39" s="1">
        <v>8.6790000000000003</v>
      </c>
      <c r="GG39" s="1">
        <v>9.3510000000000009</v>
      </c>
      <c r="GH39" s="1">
        <v>2</v>
      </c>
      <c r="GI39" s="1">
        <v>2</v>
      </c>
      <c r="GJ39" s="1">
        <v>7</v>
      </c>
      <c r="GK39" s="1">
        <v>2.323</v>
      </c>
      <c r="GL39" s="1">
        <v>3.7639999999999998</v>
      </c>
      <c r="GM39" s="1">
        <v>9.6620000000000008</v>
      </c>
      <c r="GN39" s="1">
        <v>2</v>
      </c>
      <c r="GO39" s="1">
        <v>5</v>
      </c>
      <c r="GP39" s="1">
        <v>7</v>
      </c>
      <c r="GQ39" s="1">
        <v>5.0709999999999997</v>
      </c>
      <c r="GR39" s="1">
        <v>9.6530000000000005</v>
      </c>
      <c r="GS39" s="1">
        <v>13.022</v>
      </c>
      <c r="GT39" s="1">
        <v>2</v>
      </c>
      <c r="GU39" s="1">
        <v>1</v>
      </c>
      <c r="GV39" s="1">
        <v>7</v>
      </c>
      <c r="GW39" s="1">
        <v>5.2279999999999998</v>
      </c>
      <c r="GX39" s="1">
        <v>8.26</v>
      </c>
      <c r="GY39" s="1">
        <v>10.88</v>
      </c>
      <c r="GZ39" s="1">
        <v>3</v>
      </c>
      <c r="HA39" s="1">
        <v>2</v>
      </c>
      <c r="HB39" s="1">
        <v>7</v>
      </c>
      <c r="HC39" s="1">
        <v>2.4900000000000002</v>
      </c>
      <c r="HD39" s="1">
        <v>3.798</v>
      </c>
      <c r="HE39" s="1">
        <v>10.302</v>
      </c>
      <c r="HF39" s="1">
        <v>2</v>
      </c>
      <c r="HG39" s="1">
        <v>2</v>
      </c>
      <c r="HH39" s="1">
        <v>4</v>
      </c>
      <c r="HI39" s="1">
        <v>10.384</v>
      </c>
      <c r="HJ39" s="1">
        <v>20.902999999999999</v>
      </c>
      <c r="HK39" s="1">
        <v>22.893000000000001</v>
      </c>
      <c r="HL39" s="1">
        <v>3</v>
      </c>
      <c r="HM39" s="4" t="s">
        <v>733</v>
      </c>
      <c r="HN39" s="4" t="s">
        <v>734</v>
      </c>
      <c r="HO39" s="4" t="s">
        <v>735</v>
      </c>
      <c r="HP39" s="4" t="s">
        <v>735</v>
      </c>
      <c r="HQ39" s="4" t="s">
        <v>736</v>
      </c>
      <c r="HR39" s="4" t="s">
        <v>737</v>
      </c>
      <c r="HS39" s="4" t="s">
        <v>693</v>
      </c>
      <c r="HT39" s="4" t="s">
        <v>693</v>
      </c>
      <c r="HU39" s="4" t="s">
        <v>738</v>
      </c>
      <c r="HV39" s="4" t="s">
        <v>738</v>
      </c>
      <c r="HW39" s="4" t="s">
        <v>739</v>
      </c>
      <c r="HX39" s="4" t="s">
        <v>282</v>
      </c>
      <c r="HY39" s="4" t="s">
        <v>312</v>
      </c>
      <c r="HZ39" s="4" t="s">
        <v>372</v>
      </c>
      <c r="IA39" s="4" t="s">
        <v>325</v>
      </c>
      <c r="IB39" s="4" t="s">
        <v>282</v>
      </c>
      <c r="IC39" s="4" t="s">
        <v>282</v>
      </c>
    </row>
    <row r="40" spans="1:237" x14ac:dyDescent="0.2">
      <c r="A40" s="3">
        <v>45748.458368055559</v>
      </c>
      <c r="B40" s="3">
        <v>45748.468472222223</v>
      </c>
      <c r="C40" s="1">
        <v>0</v>
      </c>
      <c r="D40" s="4" t="s">
        <v>740</v>
      </c>
      <c r="E40" s="1">
        <v>100</v>
      </c>
      <c r="F40" s="1">
        <v>873</v>
      </c>
      <c r="G40" s="1">
        <v>1</v>
      </c>
      <c r="H40" s="3">
        <v>45748.468488229169</v>
      </c>
      <c r="I40" s="4" t="s">
        <v>741</v>
      </c>
      <c r="J40" s="4" t="s">
        <v>282</v>
      </c>
      <c r="K40" s="4" t="s">
        <v>282</v>
      </c>
      <c r="L40" s="4" t="s">
        <v>282</v>
      </c>
      <c r="M40" s="4" t="s">
        <v>282</v>
      </c>
      <c r="N40" s="1">
        <v>-37.8003</v>
      </c>
      <c r="O40" s="1">
        <v>144.97329999999999</v>
      </c>
      <c r="P40" s="4" t="s">
        <v>283</v>
      </c>
      <c r="Q40" s="4" t="s">
        <v>284</v>
      </c>
      <c r="R40" s="1">
        <v>1</v>
      </c>
      <c r="S40" s="1">
        <v>1</v>
      </c>
      <c r="T40" s="1">
        <v>1</v>
      </c>
      <c r="U40" s="1">
        <v>1</v>
      </c>
      <c r="V40" s="1">
        <v>1</v>
      </c>
      <c r="W40" s="1">
        <v>4</v>
      </c>
      <c r="X40" s="4" t="s">
        <v>497</v>
      </c>
      <c r="Y40" s="1">
        <v>5</v>
      </c>
      <c r="Z40" s="1">
        <v>2</v>
      </c>
      <c r="AA40" s="1">
        <v>4</v>
      </c>
      <c r="AB40" s="1">
        <v>3</v>
      </c>
      <c r="AC40" s="1">
        <v>1</v>
      </c>
      <c r="AD40" s="1">
        <v>5</v>
      </c>
      <c r="AE40" s="1">
        <v>9.5009999999999994</v>
      </c>
      <c r="AF40" s="1">
        <v>11.972</v>
      </c>
      <c r="AG40" s="1">
        <v>12.321</v>
      </c>
      <c r="AH40" s="1">
        <v>3</v>
      </c>
      <c r="AI40" s="1">
        <v>2</v>
      </c>
      <c r="AJ40" s="1">
        <v>6</v>
      </c>
      <c r="AK40" s="1">
        <v>8.1590000000000007</v>
      </c>
      <c r="AL40" s="1">
        <v>9.6</v>
      </c>
      <c r="AM40" s="1">
        <v>10.791</v>
      </c>
      <c r="AN40" s="1">
        <v>2</v>
      </c>
      <c r="AO40" s="1">
        <v>2</v>
      </c>
      <c r="AP40" s="1">
        <v>5</v>
      </c>
      <c r="AQ40" s="1">
        <v>7.3680000000000003</v>
      </c>
      <c r="AR40" s="1">
        <v>13.286</v>
      </c>
      <c r="AS40" s="1">
        <v>14.567</v>
      </c>
      <c r="AT40" s="1">
        <v>2</v>
      </c>
      <c r="AU40" s="1">
        <v>5</v>
      </c>
      <c r="AV40" s="1">
        <v>5</v>
      </c>
      <c r="AW40" s="1">
        <v>10.891999999999999</v>
      </c>
      <c r="AX40" s="1">
        <v>12.644</v>
      </c>
      <c r="AY40" s="1">
        <v>14.025</v>
      </c>
      <c r="AZ40" s="1">
        <v>2</v>
      </c>
      <c r="BA40" s="1">
        <v>5</v>
      </c>
      <c r="BB40" s="1">
        <v>4</v>
      </c>
      <c r="BC40" s="1">
        <v>10.348000000000001</v>
      </c>
      <c r="BD40" s="1">
        <v>13.398999999999999</v>
      </c>
      <c r="BE40" s="1">
        <v>13.72</v>
      </c>
      <c r="BF40" s="1">
        <v>4</v>
      </c>
      <c r="BG40" s="1">
        <v>1</v>
      </c>
      <c r="BH40" s="1">
        <v>5</v>
      </c>
      <c r="BI40" s="1">
        <v>8.9979999999999993</v>
      </c>
      <c r="BJ40" s="1">
        <v>11.911</v>
      </c>
      <c r="BK40" s="1">
        <v>12.483000000000001</v>
      </c>
      <c r="BL40" s="1">
        <v>3</v>
      </c>
      <c r="BM40" s="1">
        <v>2</v>
      </c>
      <c r="BN40" s="1">
        <v>6</v>
      </c>
      <c r="BO40" s="1">
        <v>6.2869999999999999</v>
      </c>
      <c r="BP40" s="1">
        <v>9.5039999999999996</v>
      </c>
      <c r="BQ40" s="1">
        <v>10.65</v>
      </c>
      <c r="BR40" s="1">
        <v>2</v>
      </c>
      <c r="BS40" s="1">
        <v>3</v>
      </c>
      <c r="BT40" s="1">
        <v>4</v>
      </c>
      <c r="BU40" s="1">
        <v>9.8879999999999999</v>
      </c>
      <c r="BV40" s="1">
        <v>11.246</v>
      </c>
      <c r="BW40" s="1">
        <v>12.101000000000001</v>
      </c>
      <c r="BX40" s="1">
        <v>2</v>
      </c>
      <c r="BY40" s="1">
        <v>5</v>
      </c>
      <c r="BZ40" s="1">
        <v>5</v>
      </c>
      <c r="CA40" s="1">
        <v>6.1139999999999999</v>
      </c>
      <c r="CB40" s="1">
        <v>8.641</v>
      </c>
      <c r="CC40" s="1">
        <v>9.9860000000000007</v>
      </c>
      <c r="CD40" s="1">
        <v>2</v>
      </c>
      <c r="CE40" s="1">
        <v>3</v>
      </c>
      <c r="CF40" s="1">
        <v>6</v>
      </c>
      <c r="CG40" s="1">
        <v>9.4770000000000003</v>
      </c>
      <c r="CH40" s="1">
        <v>11.183</v>
      </c>
      <c r="CI40" s="1">
        <v>14.375</v>
      </c>
      <c r="CJ40" s="1">
        <v>2</v>
      </c>
      <c r="CK40" s="1">
        <v>1</v>
      </c>
      <c r="CL40" s="1">
        <v>5</v>
      </c>
      <c r="CM40" s="1">
        <v>5.4269999999999996</v>
      </c>
      <c r="CN40" s="1">
        <v>13.595000000000001</v>
      </c>
      <c r="CO40" s="1">
        <v>14.669</v>
      </c>
      <c r="CP40" s="1">
        <v>2</v>
      </c>
      <c r="CQ40" s="1">
        <v>2</v>
      </c>
      <c r="CR40" s="1">
        <v>6</v>
      </c>
      <c r="CS40" s="1">
        <v>13.44</v>
      </c>
      <c r="CT40" s="1">
        <v>15.374000000000001</v>
      </c>
      <c r="CU40" s="1">
        <v>16.282</v>
      </c>
      <c r="CV40" s="1">
        <v>2</v>
      </c>
      <c r="CW40" s="1">
        <v>1</v>
      </c>
      <c r="CX40" s="1">
        <v>5</v>
      </c>
      <c r="CY40" s="1">
        <v>6.97</v>
      </c>
      <c r="CZ40" s="1">
        <v>9.7759999999999998</v>
      </c>
      <c r="DA40" s="1">
        <v>10.651999999999999</v>
      </c>
      <c r="DB40" s="1">
        <v>2</v>
      </c>
      <c r="DC40" s="1">
        <v>5</v>
      </c>
      <c r="DD40" s="1">
        <v>5</v>
      </c>
      <c r="DE40" s="1">
        <v>6.7190000000000003</v>
      </c>
      <c r="DF40" s="1">
        <v>8.4429999999999996</v>
      </c>
      <c r="DG40" s="1">
        <v>9.4689999999999994</v>
      </c>
      <c r="DH40" s="1">
        <v>2</v>
      </c>
      <c r="DI40" s="1">
        <v>3</v>
      </c>
      <c r="DJ40" s="1">
        <v>5</v>
      </c>
      <c r="DK40" s="1">
        <v>10.143000000000001</v>
      </c>
      <c r="DL40" s="1">
        <v>11.461</v>
      </c>
      <c r="DM40" s="1">
        <v>12.339</v>
      </c>
      <c r="DN40" s="1">
        <v>2</v>
      </c>
      <c r="DO40" s="1">
        <v>1</v>
      </c>
      <c r="DP40" s="1">
        <v>5</v>
      </c>
      <c r="DQ40" s="1">
        <v>9.8239999999999998</v>
      </c>
      <c r="DR40" s="1">
        <v>13.27</v>
      </c>
      <c r="DS40" s="1">
        <v>14.157</v>
      </c>
      <c r="DT40" s="1">
        <v>2</v>
      </c>
      <c r="DU40" s="1">
        <v>2</v>
      </c>
      <c r="DV40" s="1">
        <v>6</v>
      </c>
      <c r="DW40" s="1">
        <v>6.375</v>
      </c>
      <c r="DX40" s="1">
        <v>10.127000000000001</v>
      </c>
      <c r="DY40" s="1">
        <v>11.327999999999999</v>
      </c>
      <c r="DZ40" s="1">
        <v>2</v>
      </c>
      <c r="EA40" s="1">
        <v>4</v>
      </c>
      <c r="EB40" s="1">
        <v>6</v>
      </c>
      <c r="EC40" s="1">
        <v>6.1390000000000002</v>
      </c>
      <c r="ED40" s="1">
        <v>9.0909999999999993</v>
      </c>
      <c r="EE40" s="1">
        <v>10.837</v>
      </c>
      <c r="EF40" s="1">
        <v>2</v>
      </c>
      <c r="EG40" s="1">
        <v>3</v>
      </c>
      <c r="EH40" s="1">
        <v>5</v>
      </c>
      <c r="EI40" s="1">
        <v>6.7380000000000004</v>
      </c>
      <c r="EJ40" s="1">
        <v>9.3819999999999997</v>
      </c>
      <c r="EK40" s="1">
        <v>10.715</v>
      </c>
      <c r="EL40" s="1">
        <v>2</v>
      </c>
      <c r="EM40" s="1">
        <v>3</v>
      </c>
      <c r="EN40" s="1">
        <v>5</v>
      </c>
      <c r="EO40" s="1">
        <v>7.6719999999999997</v>
      </c>
      <c r="EP40" s="1">
        <v>9.5180000000000007</v>
      </c>
      <c r="EQ40" s="1">
        <v>10.335000000000001</v>
      </c>
      <c r="ER40" s="1">
        <v>2</v>
      </c>
      <c r="ES40" s="1">
        <v>1</v>
      </c>
      <c r="ET40" s="1">
        <v>5</v>
      </c>
      <c r="EU40" s="1">
        <v>12.855</v>
      </c>
      <c r="EV40" s="1">
        <v>14.127000000000001</v>
      </c>
      <c r="EW40" s="1">
        <v>16.108000000000001</v>
      </c>
      <c r="EX40" s="1">
        <v>2</v>
      </c>
      <c r="EY40" s="1">
        <v>2</v>
      </c>
      <c r="EZ40" s="1">
        <v>6</v>
      </c>
      <c r="FA40" s="1">
        <v>5.0190000000000001</v>
      </c>
      <c r="FB40" s="1">
        <v>23.562999999999999</v>
      </c>
      <c r="FC40" s="1">
        <v>24.268999999999998</v>
      </c>
      <c r="FD40" s="1">
        <v>2</v>
      </c>
      <c r="FE40" s="1">
        <v>5</v>
      </c>
      <c r="FF40" s="1">
        <v>5</v>
      </c>
      <c r="FG40" s="1">
        <v>5.399</v>
      </c>
      <c r="FH40" s="1">
        <v>12.981</v>
      </c>
      <c r="FI40" s="1">
        <v>14.067</v>
      </c>
      <c r="FJ40" s="1">
        <v>2</v>
      </c>
      <c r="FK40" s="1">
        <v>1</v>
      </c>
      <c r="FL40" s="1">
        <v>6</v>
      </c>
      <c r="FM40" s="1">
        <v>8.8030000000000008</v>
      </c>
      <c r="FN40" s="1">
        <v>12.372</v>
      </c>
      <c r="FO40" s="1">
        <v>13.545</v>
      </c>
      <c r="FP40" s="1">
        <v>2</v>
      </c>
      <c r="FQ40" s="1">
        <v>2</v>
      </c>
      <c r="FR40" s="1">
        <v>7</v>
      </c>
      <c r="FS40" s="1">
        <v>5.5090000000000003</v>
      </c>
      <c r="FT40" s="1">
        <v>7.0490000000000004</v>
      </c>
      <c r="FU40" s="1">
        <v>8.9410000000000007</v>
      </c>
      <c r="FV40" s="1">
        <v>2</v>
      </c>
      <c r="FW40" s="1">
        <v>5</v>
      </c>
      <c r="FX40" s="1">
        <v>5</v>
      </c>
      <c r="FY40" s="1">
        <v>9.9580000000000002</v>
      </c>
      <c r="FZ40" s="1">
        <v>11.628</v>
      </c>
      <c r="GA40" s="1">
        <v>12.75</v>
      </c>
      <c r="GB40" s="1">
        <v>2</v>
      </c>
      <c r="GC40" s="1">
        <v>1</v>
      </c>
      <c r="GD40" s="1">
        <v>6</v>
      </c>
      <c r="GE40" s="1">
        <v>8.6010000000000009</v>
      </c>
      <c r="GF40" s="1">
        <v>9.9160000000000004</v>
      </c>
      <c r="GG40" s="1">
        <v>10.958</v>
      </c>
      <c r="GH40" s="1">
        <v>2</v>
      </c>
      <c r="GI40" s="1">
        <v>2</v>
      </c>
      <c r="GJ40" s="1">
        <v>7</v>
      </c>
      <c r="GK40" s="1">
        <v>2.9590000000000001</v>
      </c>
      <c r="GL40" s="1">
        <v>5.0389999999999997</v>
      </c>
      <c r="GM40" s="1">
        <v>11.617000000000001</v>
      </c>
      <c r="GN40" s="1">
        <v>2</v>
      </c>
      <c r="GO40" s="1">
        <v>1</v>
      </c>
      <c r="GP40" s="1">
        <v>5</v>
      </c>
      <c r="GQ40" s="1">
        <v>13.510999999999999</v>
      </c>
      <c r="GR40" s="1">
        <v>15.305999999999999</v>
      </c>
      <c r="GS40" s="1">
        <v>16.442</v>
      </c>
      <c r="GT40" s="1">
        <v>2</v>
      </c>
      <c r="GU40" s="1">
        <v>1</v>
      </c>
      <c r="GV40" s="1">
        <v>7</v>
      </c>
      <c r="GW40" s="1">
        <v>7.3780000000000001</v>
      </c>
      <c r="GX40" s="1">
        <v>10.194000000000001</v>
      </c>
      <c r="GY40" s="1">
        <v>11.324</v>
      </c>
      <c r="GZ40" s="1">
        <v>2</v>
      </c>
      <c r="HA40" s="1">
        <v>2</v>
      </c>
      <c r="HB40" s="1">
        <v>6</v>
      </c>
      <c r="HC40" s="1">
        <v>4.2919999999999998</v>
      </c>
      <c r="HD40" s="1">
        <v>7.6150000000000002</v>
      </c>
      <c r="HE40" s="1">
        <v>12.225</v>
      </c>
      <c r="HF40" s="1">
        <v>2</v>
      </c>
      <c r="HG40" s="1">
        <v>1</v>
      </c>
      <c r="HH40" s="1">
        <v>5</v>
      </c>
      <c r="HI40" s="1">
        <v>12.417</v>
      </c>
      <c r="HJ40" s="1">
        <v>14.670999999999999</v>
      </c>
      <c r="HK40" s="1">
        <v>15.4</v>
      </c>
      <c r="HL40" s="1">
        <v>2</v>
      </c>
      <c r="HM40" s="4" t="s">
        <v>742</v>
      </c>
      <c r="HN40" s="4" t="s">
        <v>743</v>
      </c>
      <c r="HO40" s="4" t="s">
        <v>744</v>
      </c>
      <c r="HP40" s="4" t="s">
        <v>745</v>
      </c>
      <c r="HQ40" s="4" t="s">
        <v>746</v>
      </c>
      <c r="HR40" s="4" t="s">
        <v>747</v>
      </c>
      <c r="HS40" s="4" t="s">
        <v>748</v>
      </c>
      <c r="HT40" s="4" t="s">
        <v>749</v>
      </c>
      <c r="HU40" s="4" t="s">
        <v>750</v>
      </c>
      <c r="HV40" s="4" t="s">
        <v>751</v>
      </c>
      <c r="HW40" s="4" t="s">
        <v>752</v>
      </c>
      <c r="HX40" s="4" t="s">
        <v>282</v>
      </c>
      <c r="HY40" s="4" t="s">
        <v>312</v>
      </c>
      <c r="HZ40" s="4" t="s">
        <v>356</v>
      </c>
      <c r="IA40" s="4" t="s">
        <v>313</v>
      </c>
      <c r="IB40" s="4" t="s">
        <v>282</v>
      </c>
      <c r="IC40" s="4" t="s">
        <v>282</v>
      </c>
    </row>
    <row r="41" spans="1:237" x14ac:dyDescent="0.2">
      <c r="A41" s="3">
        <v>45748.476631944446</v>
      </c>
      <c r="B41" s="3">
        <v>45748.485115740739</v>
      </c>
      <c r="C41" s="1">
        <v>0</v>
      </c>
      <c r="D41" s="4" t="s">
        <v>753</v>
      </c>
      <c r="E41" s="1">
        <v>100</v>
      </c>
      <c r="F41" s="1">
        <v>733</v>
      </c>
      <c r="G41" s="1">
        <v>1</v>
      </c>
      <c r="H41" s="3">
        <v>45748.485129328707</v>
      </c>
      <c r="I41" s="4" t="s">
        <v>754</v>
      </c>
      <c r="J41" s="4" t="s">
        <v>282</v>
      </c>
      <c r="K41" s="4" t="s">
        <v>282</v>
      </c>
      <c r="L41" s="4" t="s">
        <v>282</v>
      </c>
      <c r="M41" s="4" t="s">
        <v>282</v>
      </c>
      <c r="N41" s="1">
        <v>49.463000000000001</v>
      </c>
      <c r="O41" s="1">
        <v>-112.66500000000001</v>
      </c>
      <c r="P41" s="4" t="s">
        <v>283</v>
      </c>
      <c r="Q41" s="4" t="s">
        <v>284</v>
      </c>
      <c r="R41" s="1">
        <v>1</v>
      </c>
      <c r="S41" s="1">
        <v>1</v>
      </c>
      <c r="T41" s="1">
        <v>1</v>
      </c>
      <c r="U41" s="1">
        <v>1</v>
      </c>
      <c r="V41" s="1">
        <v>1</v>
      </c>
      <c r="W41" s="1">
        <v>12</v>
      </c>
      <c r="X41" s="4" t="s">
        <v>1282</v>
      </c>
      <c r="Y41" s="1">
        <v>5</v>
      </c>
      <c r="Z41" s="1">
        <v>5</v>
      </c>
      <c r="AA41" s="1">
        <v>1</v>
      </c>
      <c r="AB41" s="1">
        <v>1</v>
      </c>
      <c r="AC41" s="1">
        <v>1</v>
      </c>
      <c r="AD41" s="1">
        <v>5</v>
      </c>
      <c r="AE41" s="1">
        <v>5.7919999999999998</v>
      </c>
      <c r="AF41" s="1">
        <v>9.2609999999999992</v>
      </c>
      <c r="AG41" s="1">
        <v>9.9629999999999992</v>
      </c>
      <c r="AH41" s="1">
        <v>5</v>
      </c>
      <c r="AI41" s="1">
        <v>2</v>
      </c>
      <c r="AJ41" s="1">
        <v>6</v>
      </c>
      <c r="AK41" s="1">
        <v>5.64</v>
      </c>
      <c r="AL41" s="1">
        <v>9.3810000000000002</v>
      </c>
      <c r="AM41" s="1">
        <v>10.207000000000001</v>
      </c>
      <c r="AN41" s="1">
        <v>7</v>
      </c>
      <c r="AO41" s="1">
        <v>2</v>
      </c>
      <c r="AP41" s="1">
        <v>6</v>
      </c>
      <c r="AQ41" s="1">
        <v>2.855</v>
      </c>
      <c r="AR41" s="1">
        <v>10.41</v>
      </c>
      <c r="AS41" s="1">
        <v>10.9</v>
      </c>
      <c r="AT41" s="1">
        <v>9</v>
      </c>
      <c r="AU41" s="1">
        <v>4</v>
      </c>
      <c r="AV41" s="1">
        <v>5</v>
      </c>
      <c r="AW41" s="1">
        <v>1.5629999999999999</v>
      </c>
      <c r="AX41" s="1">
        <v>13.669</v>
      </c>
      <c r="AY41" s="1">
        <v>14.24</v>
      </c>
      <c r="AZ41" s="1">
        <v>8</v>
      </c>
      <c r="BA41" s="1">
        <v>4</v>
      </c>
      <c r="BB41" s="1">
        <v>6</v>
      </c>
      <c r="BC41" s="1">
        <v>1.56</v>
      </c>
      <c r="BD41" s="1">
        <v>12.052</v>
      </c>
      <c r="BE41" s="1">
        <v>12.678000000000001</v>
      </c>
      <c r="BF41" s="1">
        <v>8</v>
      </c>
      <c r="BG41" s="1">
        <v>1</v>
      </c>
      <c r="BH41" s="1">
        <v>6</v>
      </c>
      <c r="BI41" s="1">
        <v>4.0830000000000002</v>
      </c>
      <c r="BJ41" s="1">
        <v>19.827000000000002</v>
      </c>
      <c r="BK41" s="1">
        <v>20.542999999999999</v>
      </c>
      <c r="BL41" s="1">
        <v>13</v>
      </c>
      <c r="BM41" s="1">
        <v>2</v>
      </c>
      <c r="BN41" s="1">
        <v>6</v>
      </c>
      <c r="BO41" s="1">
        <v>7.8689999999999998</v>
      </c>
      <c r="BP41" s="1">
        <v>14.978</v>
      </c>
      <c r="BQ41" s="1">
        <v>15.871</v>
      </c>
      <c r="BR41" s="1">
        <v>12</v>
      </c>
      <c r="BS41" s="1">
        <v>2</v>
      </c>
      <c r="BT41" s="1">
        <v>5</v>
      </c>
      <c r="BU41" s="1">
        <v>1.617</v>
      </c>
      <c r="BV41" s="1">
        <v>11.811999999999999</v>
      </c>
      <c r="BW41" s="1">
        <v>12.207000000000001</v>
      </c>
      <c r="BX41" s="1">
        <v>8</v>
      </c>
      <c r="BY41" s="1">
        <v>4</v>
      </c>
      <c r="BZ41" s="1">
        <v>6</v>
      </c>
      <c r="CA41" s="1">
        <v>1.425</v>
      </c>
      <c r="CB41" s="1">
        <v>11.904</v>
      </c>
      <c r="CC41" s="1">
        <v>12.391</v>
      </c>
      <c r="CD41" s="1">
        <v>8</v>
      </c>
      <c r="CE41" s="1">
        <v>3</v>
      </c>
      <c r="CF41" s="1">
        <v>5</v>
      </c>
      <c r="CG41" s="1">
        <v>12.807</v>
      </c>
      <c r="CH41" s="1">
        <v>15.792999999999999</v>
      </c>
      <c r="CI41" s="1">
        <v>16.373999999999999</v>
      </c>
      <c r="CJ41" s="1">
        <v>8</v>
      </c>
      <c r="CK41" s="1">
        <v>1</v>
      </c>
      <c r="CL41" s="1">
        <v>6</v>
      </c>
      <c r="CM41" s="1">
        <v>2.48</v>
      </c>
      <c r="CN41" s="1">
        <v>13.247999999999999</v>
      </c>
      <c r="CO41" s="1">
        <v>13.641</v>
      </c>
      <c r="CP41" s="1">
        <v>11</v>
      </c>
      <c r="CQ41" s="1">
        <v>2</v>
      </c>
      <c r="CR41" s="1">
        <v>5</v>
      </c>
      <c r="CS41" s="1">
        <v>1.9490000000000001</v>
      </c>
      <c r="CT41" s="1">
        <v>17.218</v>
      </c>
      <c r="CU41" s="1">
        <v>17.75</v>
      </c>
      <c r="CV41" s="1">
        <v>9</v>
      </c>
      <c r="CW41" s="1">
        <v>4</v>
      </c>
      <c r="CX41" s="1">
        <v>5</v>
      </c>
      <c r="CY41" s="1">
        <v>7.17</v>
      </c>
      <c r="CZ41" s="1">
        <v>12.74</v>
      </c>
      <c r="DA41" s="1">
        <v>13.385999999999999</v>
      </c>
      <c r="DB41" s="1">
        <v>9</v>
      </c>
      <c r="DC41" s="1">
        <v>5</v>
      </c>
      <c r="DD41" s="1">
        <v>4</v>
      </c>
      <c r="DE41" s="1">
        <v>1.9350000000000001</v>
      </c>
      <c r="DF41" s="1">
        <v>11.173999999999999</v>
      </c>
      <c r="DG41" s="1">
        <v>12.074999999999999</v>
      </c>
      <c r="DH41" s="1">
        <v>11</v>
      </c>
      <c r="DI41" s="1">
        <v>3</v>
      </c>
      <c r="DJ41" s="1">
        <v>6</v>
      </c>
      <c r="DK41" s="1">
        <v>1.7010000000000001</v>
      </c>
      <c r="DL41" s="1">
        <v>12.081</v>
      </c>
      <c r="DM41" s="1">
        <v>12.68</v>
      </c>
      <c r="DN41" s="1">
        <v>11</v>
      </c>
      <c r="DO41" s="1">
        <v>1</v>
      </c>
      <c r="DP41" s="1">
        <v>5</v>
      </c>
      <c r="DQ41" s="1">
        <v>2.4790000000000001</v>
      </c>
      <c r="DR41" s="1">
        <v>11.353999999999999</v>
      </c>
      <c r="DS41" s="1">
        <v>11.84</v>
      </c>
      <c r="DT41" s="1">
        <v>9</v>
      </c>
      <c r="DU41" s="1">
        <v>2</v>
      </c>
      <c r="DV41" s="1">
        <v>6</v>
      </c>
      <c r="DW41" s="1">
        <v>6.5220000000000002</v>
      </c>
      <c r="DX41" s="1">
        <v>9.8089999999999993</v>
      </c>
      <c r="DY41" s="1">
        <v>10.37</v>
      </c>
      <c r="DZ41" s="1">
        <v>9</v>
      </c>
      <c r="EA41" s="1">
        <v>4</v>
      </c>
      <c r="EB41" s="1">
        <v>6</v>
      </c>
      <c r="EC41" s="1">
        <v>1.599</v>
      </c>
      <c r="ED41" s="1">
        <v>10.208</v>
      </c>
      <c r="EE41" s="1">
        <v>10.67</v>
      </c>
      <c r="EF41" s="1">
        <v>10</v>
      </c>
      <c r="EG41" s="1">
        <v>5</v>
      </c>
      <c r="EH41" s="1">
        <v>4</v>
      </c>
      <c r="EI41" s="1">
        <v>10.842000000000001</v>
      </c>
      <c r="EJ41" s="1">
        <v>14.983000000000001</v>
      </c>
      <c r="EK41" s="1">
        <v>15.444000000000001</v>
      </c>
      <c r="EL41" s="1">
        <v>8</v>
      </c>
      <c r="EM41" s="1">
        <v>3</v>
      </c>
      <c r="EN41" s="1">
        <v>6</v>
      </c>
      <c r="EO41" s="1">
        <v>3.2669999999999999</v>
      </c>
      <c r="EP41" s="1">
        <v>13.673999999999999</v>
      </c>
      <c r="EQ41" s="1">
        <v>14.045</v>
      </c>
      <c r="ER41" s="1">
        <v>10</v>
      </c>
      <c r="ES41" s="1">
        <v>1</v>
      </c>
      <c r="ET41" s="1">
        <v>6</v>
      </c>
      <c r="EU41" s="1">
        <v>3.2320000000000002</v>
      </c>
      <c r="EV41" s="1">
        <v>8.7650000000000006</v>
      </c>
      <c r="EW41" s="1">
        <v>9.657</v>
      </c>
      <c r="EX41" s="1">
        <v>7</v>
      </c>
      <c r="EY41" s="1">
        <v>2</v>
      </c>
      <c r="EZ41" s="1">
        <v>6</v>
      </c>
      <c r="FA41" s="1">
        <v>9.8089999999999993</v>
      </c>
      <c r="FB41" s="1">
        <v>12.887</v>
      </c>
      <c r="FC41" s="1">
        <v>13.798999999999999</v>
      </c>
      <c r="FD41" s="1">
        <v>7</v>
      </c>
      <c r="FE41" s="1">
        <v>2</v>
      </c>
      <c r="FF41" s="1">
        <v>6</v>
      </c>
      <c r="FG41" s="1">
        <v>3.4329999999999998</v>
      </c>
      <c r="FH41" s="1">
        <v>14.239000000000001</v>
      </c>
      <c r="FI41" s="1">
        <v>15.192</v>
      </c>
      <c r="FJ41" s="1">
        <v>12</v>
      </c>
      <c r="FK41" s="1">
        <v>1</v>
      </c>
      <c r="FL41" s="1">
        <v>5</v>
      </c>
      <c r="FM41" s="1">
        <v>2.58</v>
      </c>
      <c r="FN41" s="1">
        <v>12.813000000000001</v>
      </c>
      <c r="FO41" s="1">
        <v>13.478</v>
      </c>
      <c r="FP41" s="1">
        <v>11</v>
      </c>
      <c r="FQ41" s="1">
        <v>2</v>
      </c>
      <c r="FR41" s="1">
        <v>6</v>
      </c>
      <c r="FS41" s="1">
        <v>4.827</v>
      </c>
      <c r="FT41" s="1">
        <v>10.378</v>
      </c>
      <c r="FU41" s="1">
        <v>11.025</v>
      </c>
      <c r="FV41" s="1">
        <v>10</v>
      </c>
      <c r="FW41" s="1">
        <v>2</v>
      </c>
      <c r="FX41" s="1">
        <v>5</v>
      </c>
      <c r="FY41" s="1">
        <v>6.0789999999999997</v>
      </c>
      <c r="FZ41" s="1">
        <v>16.04</v>
      </c>
      <c r="GA41" s="1">
        <v>16.562999999999999</v>
      </c>
      <c r="GB41" s="1">
        <v>9</v>
      </c>
      <c r="GC41" s="1">
        <v>1</v>
      </c>
      <c r="GD41" s="1">
        <v>5</v>
      </c>
      <c r="GE41" s="1">
        <v>6.61</v>
      </c>
      <c r="GF41" s="1">
        <v>8.8130000000000006</v>
      </c>
      <c r="GG41" s="1">
        <v>9.5739999999999998</v>
      </c>
      <c r="GH41" s="1">
        <v>6</v>
      </c>
      <c r="GI41" s="1">
        <v>2</v>
      </c>
      <c r="GJ41" s="1">
        <v>6</v>
      </c>
      <c r="GK41" s="1">
        <v>4.7539999999999996</v>
      </c>
      <c r="GL41" s="1">
        <v>7.8390000000000004</v>
      </c>
      <c r="GM41" s="1">
        <v>8.85</v>
      </c>
      <c r="GN41" s="1">
        <v>8</v>
      </c>
      <c r="GO41" s="1">
        <v>5</v>
      </c>
      <c r="GP41" s="1">
        <v>6</v>
      </c>
      <c r="GQ41" s="1">
        <v>4.6449999999999996</v>
      </c>
      <c r="GR41" s="1">
        <v>8.7200000000000006</v>
      </c>
      <c r="GS41" s="1">
        <v>9.5190000000000001</v>
      </c>
      <c r="GT41" s="1">
        <v>8</v>
      </c>
      <c r="GU41" s="1">
        <v>1</v>
      </c>
      <c r="GV41" s="1">
        <v>5</v>
      </c>
      <c r="GW41" s="1">
        <v>2.3210000000000002</v>
      </c>
      <c r="GX41" s="1">
        <v>7.0739999999999998</v>
      </c>
      <c r="GY41" s="1">
        <v>8.69</v>
      </c>
      <c r="GZ41" s="1">
        <v>7</v>
      </c>
      <c r="HA41" s="1">
        <v>2</v>
      </c>
      <c r="HB41" s="1">
        <v>6</v>
      </c>
      <c r="HC41" s="1">
        <v>1.7989999999999999</v>
      </c>
      <c r="HD41" s="1">
        <v>7.7050000000000001</v>
      </c>
      <c r="HE41" s="1">
        <v>8.7040000000000006</v>
      </c>
      <c r="HF41" s="1">
        <v>9</v>
      </c>
      <c r="HG41" s="1">
        <v>5</v>
      </c>
      <c r="HH41" s="1">
        <v>5</v>
      </c>
      <c r="HI41" s="1">
        <v>2.3029999999999999</v>
      </c>
      <c r="HJ41" s="1">
        <v>10.089</v>
      </c>
      <c r="HK41" s="1">
        <v>10.878</v>
      </c>
      <c r="HL41" s="1">
        <v>10</v>
      </c>
      <c r="HM41" s="4" t="s">
        <v>755</v>
      </c>
      <c r="HN41" s="4" t="s">
        <v>756</v>
      </c>
      <c r="HO41" s="4" t="s">
        <v>757</v>
      </c>
      <c r="HP41" s="4" t="s">
        <v>758</v>
      </c>
      <c r="HQ41" s="4" t="s">
        <v>759</v>
      </c>
      <c r="HR41" s="4" t="s">
        <v>760</v>
      </c>
      <c r="HS41" s="4" t="s">
        <v>761</v>
      </c>
      <c r="HT41" s="4" t="s">
        <v>762</v>
      </c>
      <c r="HU41" s="4" t="s">
        <v>763</v>
      </c>
      <c r="HV41" s="4" t="s">
        <v>763</v>
      </c>
      <c r="HW41" s="4" t="s">
        <v>282</v>
      </c>
      <c r="HX41" s="4" t="s">
        <v>282</v>
      </c>
      <c r="HY41" s="4" t="s">
        <v>312</v>
      </c>
      <c r="HZ41" s="4" t="s">
        <v>372</v>
      </c>
      <c r="IA41" s="4" t="s">
        <v>325</v>
      </c>
      <c r="IB41" s="4" t="s">
        <v>282</v>
      </c>
      <c r="IC41" s="4" t="s">
        <v>282</v>
      </c>
    </row>
    <row r="42" spans="1:237" x14ac:dyDescent="0.2">
      <c r="A42" s="3">
        <v>45748.464768518519</v>
      </c>
      <c r="B42" s="3">
        <v>45748.485208333332</v>
      </c>
      <c r="C42" s="1">
        <v>0</v>
      </c>
      <c r="D42" s="4" t="s">
        <v>764</v>
      </c>
      <c r="E42" s="1">
        <v>100</v>
      </c>
      <c r="F42" s="1">
        <v>1766</v>
      </c>
      <c r="G42" s="1">
        <v>1</v>
      </c>
      <c r="H42" s="3">
        <v>45748.485223750002</v>
      </c>
      <c r="I42" s="4" t="s">
        <v>765</v>
      </c>
      <c r="J42" s="4" t="s">
        <v>282</v>
      </c>
      <c r="K42" s="4" t="s">
        <v>282</v>
      </c>
      <c r="L42" s="4" t="s">
        <v>282</v>
      </c>
      <c r="M42" s="4" t="s">
        <v>282</v>
      </c>
      <c r="N42" s="1">
        <v>49.235900000000001</v>
      </c>
      <c r="O42" s="1">
        <v>-123.15300000000001</v>
      </c>
      <c r="P42" s="4" t="s">
        <v>283</v>
      </c>
      <c r="Q42" s="4" t="s">
        <v>284</v>
      </c>
      <c r="R42" s="1">
        <v>1</v>
      </c>
      <c r="S42" s="1">
        <v>1</v>
      </c>
      <c r="T42" s="1">
        <v>1</v>
      </c>
      <c r="U42" s="1">
        <v>1</v>
      </c>
      <c r="V42" s="1">
        <v>1</v>
      </c>
      <c r="W42" s="1">
        <v>11</v>
      </c>
      <c r="X42" s="4" t="s">
        <v>1287</v>
      </c>
      <c r="Y42" s="1">
        <v>5</v>
      </c>
      <c r="Z42" s="1">
        <v>1</v>
      </c>
      <c r="AA42" s="1">
        <v>1</v>
      </c>
      <c r="AB42" s="1">
        <v>2</v>
      </c>
      <c r="AC42" s="1">
        <v>1</v>
      </c>
      <c r="AD42" s="1">
        <v>5</v>
      </c>
      <c r="AE42" s="1">
        <v>7.0019999999999998</v>
      </c>
      <c r="AF42" s="1">
        <v>10.39</v>
      </c>
      <c r="AG42" s="1">
        <v>11.516999999999999</v>
      </c>
      <c r="AH42" s="1">
        <v>2</v>
      </c>
      <c r="AI42" s="1">
        <v>2</v>
      </c>
      <c r="AJ42" s="1">
        <v>4</v>
      </c>
      <c r="AK42" s="1">
        <v>9.5510000000000002</v>
      </c>
      <c r="AL42" s="1">
        <v>12.536</v>
      </c>
      <c r="AM42" s="1">
        <v>14.538</v>
      </c>
      <c r="AN42" s="1">
        <v>2</v>
      </c>
      <c r="AO42" s="1">
        <v>2</v>
      </c>
      <c r="AP42" s="1">
        <v>4</v>
      </c>
      <c r="AQ42" s="1">
        <v>9.0079999999999991</v>
      </c>
      <c r="AR42" s="1">
        <v>11.734999999999999</v>
      </c>
      <c r="AS42" s="1">
        <v>12.717000000000001</v>
      </c>
      <c r="AT42" s="1">
        <v>2</v>
      </c>
      <c r="AU42" s="1">
        <v>5</v>
      </c>
      <c r="AV42" s="1">
        <v>4</v>
      </c>
      <c r="AW42" s="1">
        <v>13.824</v>
      </c>
      <c r="AX42" s="1">
        <v>28.696000000000002</v>
      </c>
      <c r="AY42" s="1">
        <v>30.681000000000001</v>
      </c>
      <c r="AZ42" s="1">
        <v>3</v>
      </c>
      <c r="BA42" s="1">
        <v>4</v>
      </c>
      <c r="BB42" s="1">
        <v>6</v>
      </c>
      <c r="BC42" s="1">
        <v>10.064</v>
      </c>
      <c r="BD42" s="1">
        <v>15.956</v>
      </c>
      <c r="BE42" s="1">
        <v>17.129000000000001</v>
      </c>
      <c r="BF42" s="1">
        <v>2</v>
      </c>
      <c r="BG42" s="1">
        <v>1</v>
      </c>
      <c r="BH42" s="1">
        <v>6</v>
      </c>
      <c r="BI42" s="1">
        <v>12.336</v>
      </c>
      <c r="BJ42" s="1">
        <v>15.928000000000001</v>
      </c>
      <c r="BK42" s="1">
        <v>17.061</v>
      </c>
      <c r="BL42" s="1">
        <v>2</v>
      </c>
      <c r="BM42" s="1">
        <v>2</v>
      </c>
      <c r="BN42" s="1">
        <v>5</v>
      </c>
      <c r="BO42" s="1">
        <v>6.5330000000000004</v>
      </c>
      <c r="BP42" s="1">
        <v>11.821</v>
      </c>
      <c r="BQ42" s="1">
        <v>12.942</v>
      </c>
      <c r="BR42" s="1">
        <v>2</v>
      </c>
      <c r="BS42" s="4" t="s">
        <v>282</v>
      </c>
      <c r="BT42" s="1">
        <v>4</v>
      </c>
      <c r="BU42" s="1">
        <v>16.670000000000002</v>
      </c>
      <c r="BV42" s="1">
        <v>33.585000000000001</v>
      </c>
      <c r="BW42" s="1">
        <v>35.539000000000001</v>
      </c>
      <c r="BX42" s="1">
        <v>7</v>
      </c>
      <c r="BY42" s="1">
        <v>5</v>
      </c>
      <c r="BZ42" s="1">
        <v>3</v>
      </c>
      <c r="CA42" s="1">
        <v>10.733000000000001</v>
      </c>
      <c r="CB42" s="1">
        <v>13.079000000000001</v>
      </c>
      <c r="CC42" s="1">
        <v>14.134</v>
      </c>
      <c r="CD42" s="1">
        <v>2</v>
      </c>
      <c r="CE42" s="1">
        <v>2</v>
      </c>
      <c r="CF42" s="1">
        <v>5</v>
      </c>
      <c r="CG42" s="1">
        <v>12.581</v>
      </c>
      <c r="CH42" s="1">
        <v>16.727</v>
      </c>
      <c r="CI42" s="1">
        <v>17.814</v>
      </c>
      <c r="CJ42" s="1">
        <v>2</v>
      </c>
      <c r="CK42" s="1">
        <v>1</v>
      </c>
      <c r="CL42" s="1">
        <v>6</v>
      </c>
      <c r="CM42" s="1">
        <v>16.145</v>
      </c>
      <c r="CN42" s="1">
        <v>19.626000000000001</v>
      </c>
      <c r="CO42" s="1">
        <v>21.219000000000001</v>
      </c>
      <c r="CP42" s="1">
        <v>2</v>
      </c>
      <c r="CQ42" s="1">
        <v>2</v>
      </c>
      <c r="CR42" s="1">
        <v>6</v>
      </c>
      <c r="CS42" s="1">
        <v>9.8529999999999998</v>
      </c>
      <c r="CT42" s="1">
        <v>12.631</v>
      </c>
      <c r="CU42" s="1">
        <v>13.772</v>
      </c>
      <c r="CV42" s="1">
        <v>2</v>
      </c>
      <c r="CW42" s="1">
        <v>2</v>
      </c>
      <c r="CX42" s="1">
        <v>3</v>
      </c>
      <c r="CY42" s="1">
        <v>20.817</v>
      </c>
      <c r="CZ42" s="1">
        <v>24.940999999999999</v>
      </c>
      <c r="DA42" s="1">
        <v>26.196999999999999</v>
      </c>
      <c r="DB42" s="1">
        <v>2</v>
      </c>
      <c r="DC42" s="1">
        <v>3</v>
      </c>
      <c r="DD42" s="1">
        <v>3</v>
      </c>
      <c r="DE42" s="1">
        <v>49.86</v>
      </c>
      <c r="DF42" s="1">
        <v>52.741</v>
      </c>
      <c r="DG42" s="1">
        <v>53.877000000000002</v>
      </c>
      <c r="DH42" s="1">
        <v>2</v>
      </c>
      <c r="DI42" s="1">
        <v>3</v>
      </c>
      <c r="DJ42" s="1">
        <v>5</v>
      </c>
      <c r="DK42" s="1">
        <v>10.308999999999999</v>
      </c>
      <c r="DL42" s="1">
        <v>14.211</v>
      </c>
      <c r="DM42" s="1">
        <v>15.379</v>
      </c>
      <c r="DN42" s="1">
        <v>2</v>
      </c>
      <c r="DO42" s="1">
        <v>1</v>
      </c>
      <c r="DP42" s="1">
        <v>4</v>
      </c>
      <c r="DQ42" s="1">
        <v>8.6050000000000004</v>
      </c>
      <c r="DR42" s="1">
        <v>13.334</v>
      </c>
      <c r="DS42" s="1">
        <v>15</v>
      </c>
      <c r="DT42" s="1">
        <v>2</v>
      </c>
      <c r="DU42" s="1">
        <v>2</v>
      </c>
      <c r="DV42" s="1">
        <v>6</v>
      </c>
      <c r="DW42" s="1">
        <v>14.552</v>
      </c>
      <c r="DX42" s="1">
        <v>20.285</v>
      </c>
      <c r="DY42" s="1">
        <v>21.303999999999998</v>
      </c>
      <c r="DZ42" s="1">
        <v>4</v>
      </c>
      <c r="EA42" s="1">
        <v>4</v>
      </c>
      <c r="EB42" s="1">
        <v>4</v>
      </c>
      <c r="EC42" s="1">
        <v>18.381</v>
      </c>
      <c r="ED42" s="1">
        <v>23.568999999999999</v>
      </c>
      <c r="EE42" s="1">
        <v>24.741</v>
      </c>
      <c r="EF42" s="1">
        <v>2</v>
      </c>
      <c r="EG42" s="1">
        <v>3</v>
      </c>
      <c r="EH42" s="1">
        <v>4</v>
      </c>
      <c r="EI42" s="1">
        <v>27.152999999999999</v>
      </c>
      <c r="EJ42" s="1">
        <v>28.954999999999998</v>
      </c>
      <c r="EK42" s="1">
        <v>30.088999999999999</v>
      </c>
      <c r="EL42" s="1">
        <v>2</v>
      </c>
      <c r="EM42" s="1">
        <v>3</v>
      </c>
      <c r="EN42" s="1">
        <v>5</v>
      </c>
      <c r="EO42" s="1">
        <v>11.294</v>
      </c>
      <c r="EP42" s="1">
        <v>14.805</v>
      </c>
      <c r="EQ42" s="1">
        <v>16.675999999999998</v>
      </c>
      <c r="ER42" s="1">
        <v>2</v>
      </c>
      <c r="ES42" s="1">
        <v>1</v>
      </c>
      <c r="ET42" s="1">
        <v>6</v>
      </c>
      <c r="EU42" s="1">
        <v>6.52</v>
      </c>
      <c r="EV42" s="1">
        <v>8.7449999999999992</v>
      </c>
      <c r="EW42" s="1">
        <v>10.356999999999999</v>
      </c>
      <c r="EX42" s="1">
        <v>2</v>
      </c>
      <c r="EY42" s="1">
        <v>2</v>
      </c>
      <c r="EZ42" s="1">
        <v>6</v>
      </c>
      <c r="FA42" s="1">
        <v>6.74</v>
      </c>
      <c r="FB42" s="1">
        <v>10.319000000000001</v>
      </c>
      <c r="FC42" s="1">
        <v>11.451000000000001</v>
      </c>
      <c r="FD42" s="1">
        <v>2</v>
      </c>
      <c r="FE42" s="1">
        <v>5</v>
      </c>
      <c r="FF42" s="1">
        <v>4</v>
      </c>
      <c r="FG42" s="1">
        <v>8.4629999999999992</v>
      </c>
      <c r="FH42" s="1">
        <v>12.754</v>
      </c>
      <c r="FI42" s="1">
        <v>14.125</v>
      </c>
      <c r="FJ42" s="1">
        <v>2</v>
      </c>
      <c r="FK42" s="1">
        <v>1</v>
      </c>
      <c r="FL42" s="1">
        <v>5</v>
      </c>
      <c r="FM42" s="1">
        <v>5.5709999999999997</v>
      </c>
      <c r="FN42" s="1">
        <v>15.148</v>
      </c>
      <c r="FO42" s="1">
        <v>16.286000000000001</v>
      </c>
      <c r="FP42" s="1">
        <v>2</v>
      </c>
      <c r="FQ42" s="1">
        <v>2</v>
      </c>
      <c r="FR42" s="1">
        <v>6</v>
      </c>
      <c r="FS42" s="1">
        <v>9.532</v>
      </c>
      <c r="FT42" s="1">
        <v>13.494</v>
      </c>
      <c r="FU42" s="1">
        <v>14.348000000000001</v>
      </c>
      <c r="FV42" s="1">
        <v>4</v>
      </c>
      <c r="FW42" s="1">
        <v>5</v>
      </c>
      <c r="FX42" s="1">
        <v>6</v>
      </c>
      <c r="FY42" s="1">
        <v>7.0110000000000001</v>
      </c>
      <c r="FZ42" s="1">
        <v>11.335000000000001</v>
      </c>
      <c r="GA42" s="1">
        <v>12.398</v>
      </c>
      <c r="GB42" s="1">
        <v>3</v>
      </c>
      <c r="GC42" s="1">
        <v>1</v>
      </c>
      <c r="GD42" s="1">
        <v>5</v>
      </c>
      <c r="GE42" s="1">
        <v>5.1790000000000003</v>
      </c>
      <c r="GF42" s="1">
        <v>11.959</v>
      </c>
      <c r="GG42" s="1">
        <v>12.994</v>
      </c>
      <c r="GH42" s="1">
        <v>2</v>
      </c>
      <c r="GI42" s="1">
        <v>2</v>
      </c>
      <c r="GJ42" s="1">
        <v>6</v>
      </c>
      <c r="GK42" s="1">
        <v>8.4480000000000004</v>
      </c>
      <c r="GL42" s="1">
        <v>13.617000000000001</v>
      </c>
      <c r="GM42" s="1">
        <v>14.609</v>
      </c>
      <c r="GN42" s="1">
        <v>3</v>
      </c>
      <c r="GO42" s="1">
        <v>5</v>
      </c>
      <c r="GP42" s="1">
        <v>5</v>
      </c>
      <c r="GQ42" s="1">
        <v>8.093</v>
      </c>
      <c r="GR42" s="1">
        <v>11.5</v>
      </c>
      <c r="GS42" s="1">
        <v>12.635999999999999</v>
      </c>
      <c r="GT42" s="1">
        <v>2</v>
      </c>
      <c r="GU42" s="1">
        <v>1</v>
      </c>
      <c r="GV42" s="1">
        <v>5</v>
      </c>
      <c r="GW42" s="1">
        <v>6.2949999999999999</v>
      </c>
      <c r="GX42" s="1">
        <v>13.07</v>
      </c>
      <c r="GY42" s="1">
        <v>14.154</v>
      </c>
      <c r="GZ42" s="1">
        <v>2</v>
      </c>
      <c r="HA42" s="1">
        <v>2</v>
      </c>
      <c r="HB42" s="1">
        <v>6</v>
      </c>
      <c r="HC42" s="1">
        <v>6.0890000000000004</v>
      </c>
      <c r="HD42" s="1">
        <v>8.5380000000000003</v>
      </c>
      <c r="HE42" s="1">
        <v>9.6289999999999996</v>
      </c>
      <c r="HF42" s="1">
        <v>2</v>
      </c>
      <c r="HG42" s="1">
        <v>2</v>
      </c>
      <c r="HH42" s="1">
        <v>5</v>
      </c>
      <c r="HI42" s="1">
        <v>9.8480000000000008</v>
      </c>
      <c r="HJ42" s="1">
        <v>12.919</v>
      </c>
      <c r="HK42" s="1">
        <v>14.664</v>
      </c>
      <c r="HL42" s="1">
        <v>2</v>
      </c>
      <c r="HM42" s="4" t="s">
        <v>766</v>
      </c>
      <c r="HN42" s="4" t="s">
        <v>766</v>
      </c>
      <c r="HO42" s="4" t="s">
        <v>767</v>
      </c>
      <c r="HP42" s="4" t="s">
        <v>767</v>
      </c>
      <c r="HQ42" s="4" t="s">
        <v>768</v>
      </c>
      <c r="HR42" s="4" t="s">
        <v>769</v>
      </c>
      <c r="HS42" s="4" t="s">
        <v>770</v>
      </c>
      <c r="HT42" s="4" t="s">
        <v>770</v>
      </c>
      <c r="HU42" s="4" t="s">
        <v>771</v>
      </c>
      <c r="HV42" s="4" t="s">
        <v>772</v>
      </c>
      <c r="HW42" s="4" t="s">
        <v>773</v>
      </c>
      <c r="HX42" s="4" t="s">
        <v>282</v>
      </c>
      <c r="HY42" s="4" t="s">
        <v>312</v>
      </c>
      <c r="HZ42" s="4" t="s">
        <v>372</v>
      </c>
      <c r="IA42" s="4" t="s">
        <v>325</v>
      </c>
      <c r="IB42" s="4" t="s">
        <v>282</v>
      </c>
      <c r="IC42" s="4" t="s">
        <v>282</v>
      </c>
    </row>
    <row r="43" spans="1:237" x14ac:dyDescent="0.2">
      <c r="A43" s="3">
        <v>45748.466944444444</v>
      </c>
      <c r="B43" s="3">
        <v>45748.500324074077</v>
      </c>
      <c r="C43" s="1">
        <v>0</v>
      </c>
      <c r="D43" s="4" t="s">
        <v>774</v>
      </c>
      <c r="E43" s="1">
        <v>100</v>
      </c>
      <c r="F43" s="1">
        <v>2884</v>
      </c>
      <c r="G43" s="1">
        <v>1</v>
      </c>
      <c r="H43" s="3">
        <v>45748.500343217594</v>
      </c>
      <c r="I43" s="4" t="s">
        <v>775</v>
      </c>
      <c r="J43" s="4" t="s">
        <v>282</v>
      </c>
      <c r="K43" s="4" t="s">
        <v>282</v>
      </c>
      <c r="L43" s="4" t="s">
        <v>282</v>
      </c>
      <c r="M43" s="4" t="s">
        <v>282</v>
      </c>
      <c r="N43" s="1">
        <v>-37.8964</v>
      </c>
      <c r="O43" s="1">
        <v>145.07990000000001</v>
      </c>
      <c r="P43" s="4" t="s">
        <v>283</v>
      </c>
      <c r="Q43" s="4" t="s">
        <v>284</v>
      </c>
      <c r="R43" s="1">
        <v>0.89999997615814209</v>
      </c>
      <c r="S43" s="1">
        <v>1</v>
      </c>
      <c r="T43" s="1">
        <v>1</v>
      </c>
      <c r="U43" s="1">
        <v>1</v>
      </c>
      <c r="V43" s="1">
        <v>1</v>
      </c>
      <c r="W43" s="1">
        <v>4</v>
      </c>
      <c r="X43" s="4" t="s">
        <v>1292</v>
      </c>
      <c r="Y43" s="1">
        <v>5</v>
      </c>
      <c r="Z43" s="1">
        <v>2</v>
      </c>
      <c r="AA43" s="1">
        <v>1</v>
      </c>
      <c r="AB43" s="1">
        <v>2</v>
      </c>
      <c r="AC43" s="1">
        <v>1</v>
      </c>
      <c r="AD43" s="1">
        <v>4</v>
      </c>
      <c r="AE43" s="1">
        <v>55.576999999999998</v>
      </c>
      <c r="AF43" s="1">
        <v>57.192999999999998</v>
      </c>
      <c r="AG43" s="1">
        <v>58.619</v>
      </c>
      <c r="AH43" s="1">
        <v>3</v>
      </c>
      <c r="AI43" s="1">
        <v>2</v>
      </c>
      <c r="AJ43" s="1">
        <v>5</v>
      </c>
      <c r="AK43" s="1">
        <v>10.86</v>
      </c>
      <c r="AL43" s="1">
        <v>20.102</v>
      </c>
      <c r="AM43" s="1">
        <v>20.940999999999999</v>
      </c>
      <c r="AN43" s="1">
        <v>3</v>
      </c>
      <c r="AO43" s="1">
        <v>2</v>
      </c>
      <c r="AP43" s="1">
        <v>5</v>
      </c>
      <c r="AQ43" s="1">
        <v>10.853</v>
      </c>
      <c r="AR43" s="1">
        <v>13.005000000000001</v>
      </c>
      <c r="AS43" s="1">
        <v>13.539</v>
      </c>
      <c r="AT43" s="1">
        <v>3</v>
      </c>
      <c r="AU43" s="1">
        <v>5</v>
      </c>
      <c r="AV43" s="1">
        <v>4</v>
      </c>
      <c r="AW43" s="1">
        <v>11.099</v>
      </c>
      <c r="AX43" s="1">
        <v>11.946999999999999</v>
      </c>
      <c r="AY43" s="1">
        <v>13.127000000000001</v>
      </c>
      <c r="AZ43" s="1">
        <v>2</v>
      </c>
      <c r="BA43" s="1">
        <v>5</v>
      </c>
      <c r="BB43" s="1">
        <v>4</v>
      </c>
      <c r="BC43" s="1">
        <v>8.2119999999999997</v>
      </c>
      <c r="BD43" s="1">
        <v>9.9570000000000007</v>
      </c>
      <c r="BE43" s="1">
        <v>10.714</v>
      </c>
      <c r="BF43" s="1">
        <v>3</v>
      </c>
      <c r="BG43" s="1">
        <v>1</v>
      </c>
      <c r="BH43" s="1">
        <v>4</v>
      </c>
      <c r="BI43" s="1">
        <v>8.1259999999999994</v>
      </c>
      <c r="BJ43" s="1">
        <v>10.007</v>
      </c>
      <c r="BK43" s="1">
        <v>11.000999999999999</v>
      </c>
      <c r="BL43" s="1">
        <v>3</v>
      </c>
      <c r="BM43" s="1">
        <v>2</v>
      </c>
      <c r="BN43" s="1">
        <v>5</v>
      </c>
      <c r="BO43" s="1">
        <v>7.7869999999999999</v>
      </c>
      <c r="BP43" s="1">
        <v>8.8350000000000009</v>
      </c>
      <c r="BQ43" s="1">
        <v>9.3490000000000002</v>
      </c>
      <c r="BR43" s="1">
        <v>2</v>
      </c>
      <c r="BS43" s="1">
        <v>1</v>
      </c>
      <c r="BT43" s="1">
        <v>4</v>
      </c>
      <c r="BU43" s="1">
        <v>5.9809999999999999</v>
      </c>
      <c r="BV43" s="1">
        <v>8.798</v>
      </c>
      <c r="BW43" s="1">
        <v>9.4619999999999997</v>
      </c>
      <c r="BX43" s="1">
        <v>3</v>
      </c>
      <c r="BY43" s="1">
        <v>5</v>
      </c>
      <c r="BZ43" s="1">
        <v>4</v>
      </c>
      <c r="CA43" s="1">
        <v>9.7040000000000006</v>
      </c>
      <c r="CB43" s="1">
        <v>13.186999999999999</v>
      </c>
      <c r="CC43" s="1">
        <v>13.718</v>
      </c>
      <c r="CD43" s="1">
        <v>3</v>
      </c>
      <c r="CE43" s="1">
        <v>4</v>
      </c>
      <c r="CF43" s="1">
        <v>5</v>
      </c>
      <c r="CG43" s="1">
        <v>8.6869999999999994</v>
      </c>
      <c r="CH43" s="1">
        <v>11.855</v>
      </c>
      <c r="CI43" s="1">
        <v>12.645</v>
      </c>
      <c r="CJ43" s="1">
        <v>4</v>
      </c>
      <c r="CK43" s="1">
        <v>1</v>
      </c>
      <c r="CL43" s="1">
        <v>5</v>
      </c>
      <c r="CM43" s="1">
        <v>8.141</v>
      </c>
      <c r="CN43" s="1">
        <v>10.15</v>
      </c>
      <c r="CO43" s="1">
        <v>12.114000000000001</v>
      </c>
      <c r="CP43" s="1">
        <v>2</v>
      </c>
      <c r="CQ43" s="1">
        <v>2</v>
      </c>
      <c r="CR43" s="1">
        <v>4</v>
      </c>
      <c r="CS43" s="1">
        <v>9.2110000000000003</v>
      </c>
      <c r="CT43" s="1">
        <v>10.317</v>
      </c>
      <c r="CU43" s="1">
        <v>11.12</v>
      </c>
      <c r="CV43" s="1">
        <v>2</v>
      </c>
      <c r="CW43" s="1">
        <v>1</v>
      </c>
      <c r="CX43" s="1">
        <v>4</v>
      </c>
      <c r="CY43" s="1">
        <v>6.5910000000000002</v>
      </c>
      <c r="CZ43" s="1">
        <v>7.7350000000000003</v>
      </c>
      <c r="DA43" s="1">
        <v>8.7149999999999999</v>
      </c>
      <c r="DB43" s="1">
        <v>2</v>
      </c>
      <c r="DC43" s="1">
        <v>5</v>
      </c>
      <c r="DD43" s="1">
        <v>4</v>
      </c>
      <c r="DE43" s="1">
        <v>13.342000000000001</v>
      </c>
      <c r="DF43" s="1">
        <v>20.844999999999999</v>
      </c>
      <c r="DG43" s="1">
        <v>21.58</v>
      </c>
      <c r="DH43" s="1">
        <v>4</v>
      </c>
      <c r="DI43" s="1">
        <v>4</v>
      </c>
      <c r="DJ43" s="1">
        <v>4</v>
      </c>
      <c r="DK43" s="1">
        <v>7.2069999999999999</v>
      </c>
      <c r="DL43" s="1">
        <v>64.98</v>
      </c>
      <c r="DM43" s="1">
        <v>65.748999999999995</v>
      </c>
      <c r="DN43" s="1">
        <v>13</v>
      </c>
      <c r="DO43" s="1">
        <v>1</v>
      </c>
      <c r="DP43" s="1">
        <v>4</v>
      </c>
      <c r="DQ43" s="1">
        <v>9.1679999999999993</v>
      </c>
      <c r="DR43" s="1">
        <v>12.734999999999999</v>
      </c>
      <c r="DS43" s="1">
        <v>13.46</v>
      </c>
      <c r="DT43" s="1">
        <v>2</v>
      </c>
      <c r="DU43" s="1">
        <v>2</v>
      </c>
      <c r="DV43" s="1">
        <v>4</v>
      </c>
      <c r="DW43" s="1">
        <v>6.4619999999999997</v>
      </c>
      <c r="DX43" s="1">
        <v>7.5330000000000004</v>
      </c>
      <c r="DY43" s="1">
        <v>8.8230000000000004</v>
      </c>
      <c r="DZ43" s="1">
        <v>2</v>
      </c>
      <c r="EA43" s="1">
        <v>3</v>
      </c>
      <c r="EB43" s="1">
        <v>4</v>
      </c>
      <c r="EC43" s="1">
        <v>11.503</v>
      </c>
      <c r="ED43" s="1">
        <v>13.179</v>
      </c>
      <c r="EE43" s="1">
        <v>13.773</v>
      </c>
      <c r="EF43" s="1">
        <v>2</v>
      </c>
      <c r="EG43" s="1">
        <v>3</v>
      </c>
      <c r="EH43" s="1">
        <v>4</v>
      </c>
      <c r="EI43" s="1">
        <v>11.39</v>
      </c>
      <c r="EJ43" s="1">
        <v>12.43</v>
      </c>
      <c r="EK43" s="1">
        <v>12.962</v>
      </c>
      <c r="EL43" s="1">
        <v>2</v>
      </c>
      <c r="EM43" s="1">
        <v>4</v>
      </c>
      <c r="EN43" s="1">
        <v>4</v>
      </c>
      <c r="EO43" s="1">
        <v>8.1910000000000007</v>
      </c>
      <c r="EP43" s="1">
        <v>9.0640000000000001</v>
      </c>
      <c r="EQ43" s="1">
        <v>9.8379999999999992</v>
      </c>
      <c r="ER43" s="1">
        <v>2</v>
      </c>
      <c r="ES43" s="1">
        <v>1</v>
      </c>
      <c r="ET43" s="1">
        <v>5</v>
      </c>
      <c r="EU43" s="1">
        <v>5.8529999999999998</v>
      </c>
      <c r="EV43" s="1">
        <v>7.74</v>
      </c>
      <c r="EW43" s="1">
        <v>9.1210000000000004</v>
      </c>
      <c r="EX43" s="1">
        <v>2</v>
      </c>
      <c r="EY43" s="1">
        <v>2</v>
      </c>
      <c r="EZ43" s="1">
        <v>5</v>
      </c>
      <c r="FA43" s="1">
        <v>5.3680000000000003</v>
      </c>
      <c r="FB43" s="1">
        <v>6.7990000000000004</v>
      </c>
      <c r="FC43" s="1">
        <v>10.491</v>
      </c>
      <c r="FD43" s="1">
        <v>2</v>
      </c>
      <c r="FE43" s="1">
        <v>5</v>
      </c>
      <c r="FF43" s="1">
        <v>5</v>
      </c>
      <c r="FG43" s="1">
        <v>4.6890000000000001</v>
      </c>
      <c r="FH43" s="1">
        <v>5.4450000000000003</v>
      </c>
      <c r="FI43" s="1">
        <v>10.77</v>
      </c>
      <c r="FJ43" s="1">
        <v>2</v>
      </c>
      <c r="FK43" s="1">
        <v>1</v>
      </c>
      <c r="FL43" s="1">
        <v>5</v>
      </c>
      <c r="FM43" s="1">
        <v>9.125</v>
      </c>
      <c r="FN43" s="1">
        <v>11.35</v>
      </c>
      <c r="FO43" s="1">
        <v>12.055</v>
      </c>
      <c r="FP43" s="1">
        <v>3</v>
      </c>
      <c r="FQ43" s="1">
        <v>2</v>
      </c>
      <c r="FR43" s="1">
        <v>5</v>
      </c>
      <c r="FS43" s="1">
        <v>4.9580000000000002</v>
      </c>
      <c r="FT43" s="1">
        <v>5.774</v>
      </c>
      <c r="FU43" s="1">
        <v>14.411</v>
      </c>
      <c r="FV43" s="1">
        <v>2</v>
      </c>
      <c r="FW43" s="1">
        <v>5</v>
      </c>
      <c r="FX43" s="1">
        <v>5</v>
      </c>
      <c r="FY43" s="1">
        <v>5.6619999999999999</v>
      </c>
      <c r="FZ43" s="1">
        <v>7.0469999999999997</v>
      </c>
      <c r="GA43" s="1">
        <v>9.4879999999999995</v>
      </c>
      <c r="GB43" s="1">
        <v>2</v>
      </c>
      <c r="GC43" s="1">
        <v>1</v>
      </c>
      <c r="GD43" s="1">
        <v>5</v>
      </c>
      <c r="GE43" s="1">
        <v>2.5169999999999999</v>
      </c>
      <c r="GF43" s="1">
        <v>14.651999999999999</v>
      </c>
      <c r="GG43" s="1">
        <v>16.015999999999998</v>
      </c>
      <c r="GH43" s="1">
        <v>5</v>
      </c>
      <c r="GI43" s="1">
        <v>2</v>
      </c>
      <c r="GJ43" s="1">
        <v>5</v>
      </c>
      <c r="GK43" s="1">
        <v>6.1769999999999996</v>
      </c>
      <c r="GL43" s="1">
        <v>7.5439999999999996</v>
      </c>
      <c r="GM43" s="1">
        <v>9.0510000000000002</v>
      </c>
      <c r="GN43" s="1">
        <v>2</v>
      </c>
      <c r="GO43" s="1">
        <v>5</v>
      </c>
      <c r="GP43" s="1">
        <v>5</v>
      </c>
      <c r="GQ43" s="1">
        <v>4.2510000000000003</v>
      </c>
      <c r="GR43" s="1">
        <v>5.3360000000000003</v>
      </c>
      <c r="GS43" s="1">
        <v>9.3970000000000002</v>
      </c>
      <c r="GT43" s="1">
        <v>2</v>
      </c>
      <c r="GU43" s="1">
        <v>1</v>
      </c>
      <c r="GV43" s="1">
        <v>5</v>
      </c>
      <c r="GW43" s="1">
        <v>74.257000000000005</v>
      </c>
      <c r="GX43" s="1">
        <v>76.866</v>
      </c>
      <c r="GY43" s="1">
        <v>78.227000000000004</v>
      </c>
      <c r="GZ43" s="1">
        <v>2</v>
      </c>
      <c r="HA43" s="1">
        <v>2</v>
      </c>
      <c r="HB43" s="1">
        <v>5</v>
      </c>
      <c r="HC43" s="1">
        <v>7.8079999999999998</v>
      </c>
      <c r="HD43" s="1">
        <v>9.1509999999999998</v>
      </c>
      <c r="HE43" s="1">
        <v>9.82</v>
      </c>
      <c r="HF43" s="1">
        <v>2</v>
      </c>
      <c r="HG43" s="1">
        <v>5</v>
      </c>
      <c r="HH43" s="1">
        <v>5</v>
      </c>
      <c r="HI43" s="1">
        <v>5.8929999999999998</v>
      </c>
      <c r="HJ43" s="1">
        <v>6.8140000000000001</v>
      </c>
      <c r="HK43" s="1">
        <v>9.0589999999999993</v>
      </c>
      <c r="HL43" s="1">
        <v>2</v>
      </c>
      <c r="HM43" s="4" t="s">
        <v>777</v>
      </c>
      <c r="HN43" s="4" t="s">
        <v>777</v>
      </c>
      <c r="HO43" s="4" t="s">
        <v>778</v>
      </c>
      <c r="HP43" s="4" t="s">
        <v>778</v>
      </c>
      <c r="HQ43" s="4" t="s">
        <v>779</v>
      </c>
      <c r="HR43" s="4" t="s">
        <v>779</v>
      </c>
      <c r="HS43" s="4" t="s">
        <v>780</v>
      </c>
      <c r="HT43" s="4" t="s">
        <v>780</v>
      </c>
      <c r="HU43" s="4" t="s">
        <v>780</v>
      </c>
      <c r="HV43" s="4" t="s">
        <v>781</v>
      </c>
      <c r="HW43" s="4" t="s">
        <v>282</v>
      </c>
      <c r="HX43" s="4" t="s">
        <v>282</v>
      </c>
      <c r="HY43" s="4" t="s">
        <v>312</v>
      </c>
      <c r="HZ43" s="4" t="s">
        <v>372</v>
      </c>
      <c r="IA43" s="4" t="s">
        <v>325</v>
      </c>
      <c r="IB43" s="4" t="s">
        <v>282</v>
      </c>
      <c r="IC43" s="4" t="s">
        <v>282</v>
      </c>
    </row>
    <row r="44" spans="1:237" x14ac:dyDescent="0.2">
      <c r="A44" s="3">
        <v>45748.487905092596</v>
      </c>
      <c r="B44" s="3">
        <v>45748.505810185183</v>
      </c>
      <c r="C44" s="1">
        <v>0</v>
      </c>
      <c r="D44" s="4" t="s">
        <v>782</v>
      </c>
      <c r="E44" s="1">
        <v>100</v>
      </c>
      <c r="F44" s="1">
        <v>1546</v>
      </c>
      <c r="G44" s="1">
        <v>1</v>
      </c>
      <c r="H44" s="3">
        <v>45748.505820497689</v>
      </c>
      <c r="I44" s="4" t="s">
        <v>783</v>
      </c>
      <c r="J44" s="4" t="s">
        <v>282</v>
      </c>
      <c r="K44" s="4" t="s">
        <v>282</v>
      </c>
      <c r="L44" s="4" t="s">
        <v>282</v>
      </c>
      <c r="M44" s="4" t="s">
        <v>282</v>
      </c>
      <c r="N44" s="1">
        <v>43.7012</v>
      </c>
      <c r="O44" s="1">
        <v>-79.387699999999995</v>
      </c>
      <c r="P44" s="4" t="s">
        <v>283</v>
      </c>
      <c r="Q44" s="4" t="s">
        <v>284</v>
      </c>
      <c r="R44" s="1">
        <v>0.89999997615814209</v>
      </c>
      <c r="S44" s="1">
        <v>1</v>
      </c>
      <c r="T44" s="1">
        <v>1</v>
      </c>
      <c r="U44" s="1">
        <v>1</v>
      </c>
      <c r="V44" s="1">
        <v>1</v>
      </c>
      <c r="W44" s="1">
        <v>5</v>
      </c>
      <c r="X44" s="4" t="s">
        <v>497</v>
      </c>
      <c r="Y44" s="1">
        <v>5</v>
      </c>
      <c r="Z44" s="1">
        <v>3</v>
      </c>
      <c r="AA44" s="1">
        <v>1</v>
      </c>
      <c r="AB44" s="1">
        <v>3</v>
      </c>
      <c r="AC44" s="1">
        <v>1</v>
      </c>
      <c r="AD44" s="1">
        <v>6</v>
      </c>
      <c r="AE44" s="1">
        <v>0.83299999999999996</v>
      </c>
      <c r="AF44" s="1">
        <v>11.885999999999999</v>
      </c>
      <c r="AG44" s="1">
        <v>12.433999999999999</v>
      </c>
      <c r="AH44" s="1">
        <v>5</v>
      </c>
      <c r="AI44" s="1">
        <v>2</v>
      </c>
      <c r="AJ44" s="1">
        <v>6</v>
      </c>
      <c r="AK44" s="1">
        <v>1.776</v>
      </c>
      <c r="AL44" s="1">
        <v>19.327999999999999</v>
      </c>
      <c r="AM44" s="1">
        <v>19.800999999999998</v>
      </c>
      <c r="AN44" s="1">
        <v>6</v>
      </c>
      <c r="AO44" s="1">
        <v>2</v>
      </c>
      <c r="AP44" s="1">
        <v>6</v>
      </c>
      <c r="AQ44" s="1">
        <v>0.76700000000000002</v>
      </c>
      <c r="AR44" s="1">
        <v>13.282999999999999</v>
      </c>
      <c r="AS44" s="1">
        <v>14.08</v>
      </c>
      <c r="AT44" s="1">
        <v>7</v>
      </c>
      <c r="AU44" s="1">
        <v>5</v>
      </c>
      <c r="AV44" s="1">
        <v>7</v>
      </c>
      <c r="AW44" s="1">
        <v>0.89600000000000002</v>
      </c>
      <c r="AX44" s="1">
        <v>12.627000000000001</v>
      </c>
      <c r="AY44" s="1">
        <v>13.175000000000001</v>
      </c>
      <c r="AZ44" s="1">
        <v>5</v>
      </c>
      <c r="BA44" s="1">
        <v>5</v>
      </c>
      <c r="BB44" s="1">
        <v>5</v>
      </c>
      <c r="BC44" s="1">
        <v>1.742</v>
      </c>
      <c r="BD44" s="1">
        <v>17.262</v>
      </c>
      <c r="BE44" s="1">
        <v>21.055</v>
      </c>
      <c r="BF44" s="1">
        <v>6</v>
      </c>
      <c r="BG44" s="1">
        <v>1</v>
      </c>
      <c r="BH44" s="1">
        <v>6</v>
      </c>
      <c r="BI44" s="1">
        <v>1.0549999999999999</v>
      </c>
      <c r="BJ44" s="1">
        <v>12.811</v>
      </c>
      <c r="BK44" s="1">
        <v>13.118</v>
      </c>
      <c r="BL44" s="1">
        <v>6</v>
      </c>
      <c r="BM44" s="1">
        <v>2</v>
      </c>
      <c r="BN44" s="1">
        <v>6</v>
      </c>
      <c r="BO44" s="1">
        <v>1.204</v>
      </c>
      <c r="BP44" s="1">
        <v>10.486000000000001</v>
      </c>
      <c r="BQ44" s="1">
        <v>10.7</v>
      </c>
      <c r="BR44" s="1">
        <v>6</v>
      </c>
      <c r="BS44" s="1">
        <v>1</v>
      </c>
      <c r="BT44" s="1">
        <v>7</v>
      </c>
      <c r="BU44" s="1">
        <v>1.5740000000000001</v>
      </c>
      <c r="BV44" s="1">
        <v>17.030999999999999</v>
      </c>
      <c r="BW44" s="1">
        <v>17.629000000000001</v>
      </c>
      <c r="BX44" s="1">
        <v>5</v>
      </c>
      <c r="BY44" s="1">
        <v>3</v>
      </c>
      <c r="BZ44" s="1">
        <v>6</v>
      </c>
      <c r="CA44" s="1">
        <v>0.79100000000000004</v>
      </c>
      <c r="CB44" s="1">
        <v>17.213000000000001</v>
      </c>
      <c r="CC44" s="1">
        <v>17.795000000000002</v>
      </c>
      <c r="CD44" s="1">
        <v>5</v>
      </c>
      <c r="CE44" s="1">
        <v>3</v>
      </c>
      <c r="CF44" s="1">
        <v>6</v>
      </c>
      <c r="CG44" s="1">
        <v>0.82599999999999996</v>
      </c>
      <c r="CH44" s="1">
        <v>10.413</v>
      </c>
      <c r="CI44" s="1">
        <v>11.119</v>
      </c>
      <c r="CJ44" s="1">
        <v>5</v>
      </c>
      <c r="CK44" s="1">
        <v>1</v>
      </c>
      <c r="CL44" s="1">
        <v>6</v>
      </c>
      <c r="CM44" s="1">
        <v>0.98499999999999999</v>
      </c>
      <c r="CN44" s="1">
        <v>12.103999999999999</v>
      </c>
      <c r="CO44" s="1">
        <v>12.526999999999999</v>
      </c>
      <c r="CP44" s="1">
        <v>6</v>
      </c>
      <c r="CQ44" s="1">
        <v>2</v>
      </c>
      <c r="CR44" s="1">
        <v>6</v>
      </c>
      <c r="CS44" s="1">
        <v>0.78700000000000003</v>
      </c>
      <c r="CT44" s="1">
        <v>16.201000000000001</v>
      </c>
      <c r="CU44" s="1">
        <v>16.716999999999999</v>
      </c>
      <c r="CV44" s="1">
        <v>5</v>
      </c>
      <c r="CW44" s="1">
        <v>1</v>
      </c>
      <c r="CX44" s="1">
        <v>5</v>
      </c>
      <c r="CY44" s="1">
        <v>0.89600000000000002</v>
      </c>
      <c r="CZ44" s="1">
        <v>12.847</v>
      </c>
      <c r="DA44" s="1">
        <v>13.396000000000001</v>
      </c>
      <c r="DB44" s="1">
        <v>7</v>
      </c>
      <c r="DC44" s="1">
        <v>4</v>
      </c>
      <c r="DD44" s="1">
        <v>5</v>
      </c>
      <c r="DE44" s="1">
        <v>0.91300000000000003</v>
      </c>
      <c r="DF44" s="1">
        <v>27.024000000000001</v>
      </c>
      <c r="DG44" s="1">
        <v>27.657</v>
      </c>
      <c r="DH44" s="1">
        <v>6</v>
      </c>
      <c r="DI44" s="1">
        <v>3</v>
      </c>
      <c r="DJ44" s="1">
        <v>7</v>
      </c>
      <c r="DK44" s="1">
        <v>0.82799999999999996</v>
      </c>
      <c r="DL44" s="1">
        <v>11.542</v>
      </c>
      <c r="DM44" s="1">
        <v>12.156000000000001</v>
      </c>
      <c r="DN44" s="1">
        <v>5</v>
      </c>
      <c r="DO44" s="1">
        <v>1</v>
      </c>
      <c r="DP44" s="1">
        <v>6</v>
      </c>
      <c r="DQ44" s="1">
        <v>1.032</v>
      </c>
      <c r="DR44" s="1">
        <v>13.574999999999999</v>
      </c>
      <c r="DS44" s="1">
        <v>13.9</v>
      </c>
      <c r="DT44" s="1">
        <v>6</v>
      </c>
      <c r="DU44" s="1">
        <v>2</v>
      </c>
      <c r="DV44" s="1">
        <v>7</v>
      </c>
      <c r="DW44" s="1">
        <v>1.2829999999999999</v>
      </c>
      <c r="DX44" s="1">
        <v>16.331</v>
      </c>
      <c r="DY44" s="1">
        <v>16.689</v>
      </c>
      <c r="DZ44" s="1">
        <v>6</v>
      </c>
      <c r="EA44" s="1">
        <v>4</v>
      </c>
      <c r="EB44" s="1">
        <v>5</v>
      </c>
      <c r="EC44" s="1">
        <v>0.88900000000000001</v>
      </c>
      <c r="ED44" s="1">
        <v>26.198</v>
      </c>
      <c r="EE44" s="1">
        <v>26.745000000000001</v>
      </c>
      <c r="EF44" s="1">
        <v>6</v>
      </c>
      <c r="EG44" s="1">
        <v>5</v>
      </c>
      <c r="EH44" s="1">
        <v>5</v>
      </c>
      <c r="EI44" s="1">
        <v>1.585</v>
      </c>
      <c r="EJ44" s="1">
        <v>33.116999999999997</v>
      </c>
      <c r="EK44" s="1">
        <v>33.531999999999996</v>
      </c>
      <c r="EL44" s="1">
        <v>7</v>
      </c>
      <c r="EM44" s="1">
        <v>3</v>
      </c>
      <c r="EN44" s="1">
        <v>6</v>
      </c>
      <c r="EO44" s="1">
        <v>0.82499999999999996</v>
      </c>
      <c r="EP44" s="1">
        <v>11.814</v>
      </c>
      <c r="EQ44" s="1">
        <v>12.516</v>
      </c>
      <c r="ER44" s="1">
        <v>7</v>
      </c>
      <c r="ES44" s="1">
        <v>1</v>
      </c>
      <c r="ET44" s="1">
        <v>5</v>
      </c>
      <c r="EU44" s="1">
        <v>1.071</v>
      </c>
      <c r="EV44" s="1">
        <v>19.481999999999999</v>
      </c>
      <c r="EW44" s="1">
        <v>20.062000000000001</v>
      </c>
      <c r="EX44" s="1">
        <v>5</v>
      </c>
      <c r="EY44" s="1">
        <v>1</v>
      </c>
      <c r="EZ44" s="1">
        <v>5</v>
      </c>
      <c r="FA44" s="1">
        <v>1.752</v>
      </c>
      <c r="FB44" s="1">
        <v>20.295999999999999</v>
      </c>
      <c r="FC44" s="1">
        <v>20.716999999999999</v>
      </c>
      <c r="FD44" s="1">
        <v>7</v>
      </c>
      <c r="FE44" s="1">
        <v>5</v>
      </c>
      <c r="FF44" s="1">
        <v>5</v>
      </c>
      <c r="FG44" s="1">
        <v>5.1509999999999998</v>
      </c>
      <c r="FH44" s="1">
        <v>39.860999999999997</v>
      </c>
      <c r="FI44" s="1">
        <v>40.5</v>
      </c>
      <c r="FJ44" s="1">
        <v>9</v>
      </c>
      <c r="FK44" s="1">
        <v>1</v>
      </c>
      <c r="FL44" s="1">
        <v>7</v>
      </c>
      <c r="FM44" s="1">
        <v>1.4319999999999999</v>
      </c>
      <c r="FN44" s="1">
        <v>17.513000000000002</v>
      </c>
      <c r="FO44" s="1">
        <v>17.986000000000001</v>
      </c>
      <c r="FP44" s="1">
        <v>8</v>
      </c>
      <c r="FQ44" s="1">
        <v>2</v>
      </c>
      <c r="FR44" s="1">
        <v>5</v>
      </c>
      <c r="FS44" s="1">
        <v>1.3080000000000001</v>
      </c>
      <c r="FT44" s="1">
        <v>14.981</v>
      </c>
      <c r="FU44" s="1">
        <v>15.369</v>
      </c>
      <c r="FV44" s="1">
        <v>6</v>
      </c>
      <c r="FW44" s="1">
        <v>5</v>
      </c>
      <c r="FX44" s="1">
        <v>7</v>
      </c>
      <c r="FY44" s="1">
        <v>0.95</v>
      </c>
      <c r="FZ44" s="1">
        <v>14.878</v>
      </c>
      <c r="GA44" s="1">
        <v>15.298999999999999</v>
      </c>
      <c r="GB44" s="1">
        <v>6</v>
      </c>
      <c r="GC44" s="1">
        <v>1</v>
      </c>
      <c r="GD44" s="1">
        <v>6</v>
      </c>
      <c r="GE44" s="1">
        <v>0.91800000000000004</v>
      </c>
      <c r="GF44" s="1">
        <v>17.768000000000001</v>
      </c>
      <c r="GG44" s="1">
        <v>18.155999999999999</v>
      </c>
      <c r="GH44" s="1">
        <v>7</v>
      </c>
      <c r="GI44" s="1">
        <v>2</v>
      </c>
      <c r="GJ44" s="1">
        <v>7</v>
      </c>
      <c r="GK44" s="1">
        <v>1.7190000000000001</v>
      </c>
      <c r="GL44" s="1">
        <v>19.053999999999998</v>
      </c>
      <c r="GM44" s="1">
        <v>19.425000000000001</v>
      </c>
      <c r="GN44" s="1">
        <v>8</v>
      </c>
      <c r="GO44" s="1">
        <v>1</v>
      </c>
      <c r="GP44" s="1">
        <v>6</v>
      </c>
      <c r="GQ44" s="1">
        <v>1.591</v>
      </c>
      <c r="GR44" s="1">
        <v>37.409999999999997</v>
      </c>
      <c r="GS44" s="1">
        <v>38.106000000000002</v>
      </c>
      <c r="GT44" s="1">
        <v>9</v>
      </c>
      <c r="GU44" s="1">
        <v>1</v>
      </c>
      <c r="GV44" s="1">
        <v>6</v>
      </c>
      <c r="GW44" s="1">
        <v>1.512</v>
      </c>
      <c r="GX44" s="1">
        <v>12.881</v>
      </c>
      <c r="GY44" s="1">
        <v>13.253</v>
      </c>
      <c r="GZ44" s="1">
        <v>7</v>
      </c>
      <c r="HA44" s="1">
        <v>1</v>
      </c>
      <c r="HB44" s="1">
        <v>5</v>
      </c>
      <c r="HC44" s="1">
        <v>2.677</v>
      </c>
      <c r="HD44" s="1">
        <v>24.463000000000001</v>
      </c>
      <c r="HE44" s="1">
        <v>24.835999999999999</v>
      </c>
      <c r="HF44" s="1">
        <v>7</v>
      </c>
      <c r="HG44" s="1">
        <v>1</v>
      </c>
      <c r="HH44" s="1">
        <v>6</v>
      </c>
      <c r="HI44" s="1">
        <v>1.06</v>
      </c>
      <c r="HJ44" s="1">
        <v>17.86</v>
      </c>
      <c r="HK44" s="1">
        <v>18.523</v>
      </c>
      <c r="HL44" s="1">
        <v>8</v>
      </c>
      <c r="HM44" s="4" t="s">
        <v>784</v>
      </c>
      <c r="HN44" s="4" t="s">
        <v>785</v>
      </c>
      <c r="HO44" s="4" t="s">
        <v>786</v>
      </c>
      <c r="HP44" s="4" t="s">
        <v>787</v>
      </c>
      <c r="HQ44" s="4" t="s">
        <v>788</v>
      </c>
      <c r="HR44" s="4" t="s">
        <v>789</v>
      </c>
      <c r="HS44" s="4" t="s">
        <v>790</v>
      </c>
      <c r="HT44" s="4" t="s">
        <v>791</v>
      </c>
      <c r="HU44" s="4" t="s">
        <v>792</v>
      </c>
      <c r="HV44" s="4" t="s">
        <v>793</v>
      </c>
      <c r="HW44" s="4" t="s">
        <v>794</v>
      </c>
      <c r="HX44" s="4" t="s">
        <v>282</v>
      </c>
      <c r="HY44" s="4" t="s">
        <v>312</v>
      </c>
      <c r="HZ44" s="4" t="s">
        <v>356</v>
      </c>
      <c r="IA44" s="4" t="s">
        <v>313</v>
      </c>
      <c r="IB44" s="4" t="s">
        <v>282</v>
      </c>
      <c r="IC44" s="4" t="s">
        <v>282</v>
      </c>
    </row>
    <row r="45" spans="1:237" x14ac:dyDescent="0.2">
      <c r="A45" s="3">
        <v>45748.460868055554</v>
      </c>
      <c r="B45" s="3">
        <v>45748.505937499998</v>
      </c>
      <c r="C45" s="1">
        <v>0</v>
      </c>
      <c r="D45" s="4" t="s">
        <v>795</v>
      </c>
      <c r="E45" s="1">
        <v>100</v>
      </c>
      <c r="F45" s="1">
        <v>3894</v>
      </c>
      <c r="G45" s="1">
        <v>1</v>
      </c>
      <c r="H45" s="3">
        <v>45748.505955451386</v>
      </c>
      <c r="I45" s="4" t="s">
        <v>796</v>
      </c>
      <c r="J45" s="4" t="s">
        <v>282</v>
      </c>
      <c r="K45" s="4" t="s">
        <v>282</v>
      </c>
      <c r="L45" s="4" t="s">
        <v>282</v>
      </c>
      <c r="M45" s="4" t="s">
        <v>282</v>
      </c>
      <c r="N45" s="1">
        <v>49.822099999999999</v>
      </c>
      <c r="O45" s="1">
        <v>-97.031499999999994</v>
      </c>
      <c r="P45" s="4" t="s">
        <v>283</v>
      </c>
      <c r="Q45" s="4" t="s">
        <v>284</v>
      </c>
      <c r="R45" s="1">
        <v>0.89999997615814209</v>
      </c>
      <c r="S45" s="1">
        <v>1</v>
      </c>
      <c r="T45" s="1">
        <v>1</v>
      </c>
      <c r="U45" s="1">
        <v>1</v>
      </c>
      <c r="V45" s="1">
        <v>1</v>
      </c>
      <c r="W45" s="1">
        <v>12</v>
      </c>
      <c r="X45" s="4" t="s">
        <v>1293</v>
      </c>
      <c r="Y45" s="1">
        <v>5</v>
      </c>
      <c r="Z45" s="1">
        <v>1</v>
      </c>
      <c r="AA45" s="1">
        <v>1</v>
      </c>
      <c r="AB45" s="1">
        <v>2</v>
      </c>
      <c r="AC45" s="1">
        <v>5</v>
      </c>
      <c r="AD45" s="1">
        <v>4</v>
      </c>
      <c r="AE45" s="1">
        <v>12.528</v>
      </c>
      <c r="AF45" s="1">
        <v>24.646000000000001</v>
      </c>
      <c r="AG45" s="1">
        <v>25.977</v>
      </c>
      <c r="AH45" s="1">
        <v>10</v>
      </c>
      <c r="AI45" s="1">
        <v>4</v>
      </c>
      <c r="AJ45" s="1">
        <v>5</v>
      </c>
      <c r="AK45" s="1">
        <v>10.432</v>
      </c>
      <c r="AL45" s="1">
        <v>22.164999999999999</v>
      </c>
      <c r="AM45" s="1">
        <v>25.428999999999998</v>
      </c>
      <c r="AN45" s="1">
        <v>18</v>
      </c>
      <c r="AO45" s="1">
        <v>4</v>
      </c>
      <c r="AP45" s="1">
        <v>5</v>
      </c>
      <c r="AQ45" s="1">
        <v>17.582000000000001</v>
      </c>
      <c r="AR45" s="1">
        <v>27.606999999999999</v>
      </c>
      <c r="AS45" s="1">
        <v>28.834</v>
      </c>
      <c r="AT45" s="1">
        <v>11</v>
      </c>
      <c r="AU45" s="1">
        <v>2</v>
      </c>
      <c r="AV45" s="1">
        <v>5</v>
      </c>
      <c r="AW45" s="1">
        <v>20.003</v>
      </c>
      <c r="AX45" s="1">
        <v>29.952999999999999</v>
      </c>
      <c r="AY45" s="1">
        <v>31.135999999999999</v>
      </c>
      <c r="AZ45" s="1">
        <v>7</v>
      </c>
      <c r="BA45" s="1">
        <v>5</v>
      </c>
      <c r="BB45" s="1">
        <v>5</v>
      </c>
      <c r="BC45" s="1">
        <v>12.223000000000001</v>
      </c>
      <c r="BD45" s="1">
        <v>17.033999999999999</v>
      </c>
      <c r="BE45" s="1">
        <v>18.391999999999999</v>
      </c>
      <c r="BF45" s="1">
        <v>7</v>
      </c>
      <c r="BG45" s="1">
        <v>2</v>
      </c>
      <c r="BH45" s="1">
        <v>5</v>
      </c>
      <c r="BI45" s="1">
        <v>17.463000000000001</v>
      </c>
      <c r="BJ45" s="1">
        <v>33.087000000000003</v>
      </c>
      <c r="BK45" s="1">
        <v>34.415999999999997</v>
      </c>
      <c r="BL45" s="1">
        <v>10</v>
      </c>
      <c r="BM45" s="1">
        <v>2</v>
      </c>
      <c r="BN45" s="1">
        <v>5</v>
      </c>
      <c r="BO45" s="1">
        <v>6.9580000000000002</v>
      </c>
      <c r="BP45" s="1">
        <v>15.195</v>
      </c>
      <c r="BQ45" s="1">
        <v>16.859000000000002</v>
      </c>
      <c r="BR45" s="1">
        <v>9</v>
      </c>
      <c r="BS45" s="1">
        <v>1</v>
      </c>
      <c r="BT45" s="1">
        <v>4</v>
      </c>
      <c r="BU45" s="1">
        <v>51.1</v>
      </c>
      <c r="BV45" s="1">
        <v>58.637</v>
      </c>
      <c r="BW45" s="1">
        <v>59.936</v>
      </c>
      <c r="BX45" s="1">
        <v>8</v>
      </c>
      <c r="BY45" s="1">
        <v>5</v>
      </c>
      <c r="BZ45" s="1">
        <v>5</v>
      </c>
      <c r="CA45" s="1">
        <v>12.994999999999999</v>
      </c>
      <c r="CB45" s="1">
        <v>20.445</v>
      </c>
      <c r="CC45" s="1">
        <v>21.911999999999999</v>
      </c>
      <c r="CD45" s="1">
        <v>10</v>
      </c>
      <c r="CE45" s="1">
        <v>3</v>
      </c>
      <c r="CF45" s="1">
        <v>5</v>
      </c>
      <c r="CG45" s="1">
        <v>14.484999999999999</v>
      </c>
      <c r="CH45" s="1">
        <v>18.702999999999999</v>
      </c>
      <c r="CI45" s="1">
        <v>20.273</v>
      </c>
      <c r="CJ45" s="1">
        <v>7</v>
      </c>
      <c r="CK45" s="1">
        <v>1</v>
      </c>
      <c r="CL45" s="1">
        <v>5</v>
      </c>
      <c r="CM45" s="1">
        <v>7.3079999999999998</v>
      </c>
      <c r="CN45" s="1">
        <v>17.21</v>
      </c>
      <c r="CO45" s="1">
        <v>18.620999999999999</v>
      </c>
      <c r="CP45" s="1">
        <v>12</v>
      </c>
      <c r="CQ45" s="1">
        <v>2</v>
      </c>
      <c r="CR45" s="1">
        <v>4</v>
      </c>
      <c r="CS45" s="1">
        <v>13.041</v>
      </c>
      <c r="CT45" s="1">
        <v>26.960999999999999</v>
      </c>
      <c r="CU45" s="1">
        <v>28.395</v>
      </c>
      <c r="CV45" s="1">
        <v>12</v>
      </c>
      <c r="CW45" s="1">
        <v>1</v>
      </c>
      <c r="CX45" s="1">
        <v>4</v>
      </c>
      <c r="CY45" s="1">
        <v>20.004000000000001</v>
      </c>
      <c r="CZ45" s="1">
        <v>52.646999999999998</v>
      </c>
      <c r="DA45" s="1">
        <v>54.350999999999999</v>
      </c>
      <c r="DB45" s="1">
        <v>11</v>
      </c>
      <c r="DC45" s="1">
        <v>1</v>
      </c>
      <c r="DD45" s="1">
        <v>5</v>
      </c>
      <c r="DE45" s="1">
        <v>12.363</v>
      </c>
      <c r="DF45" s="1">
        <v>19.497</v>
      </c>
      <c r="DG45" s="1">
        <v>20.867999999999999</v>
      </c>
      <c r="DH45" s="1">
        <v>12</v>
      </c>
      <c r="DI45" s="1">
        <v>3</v>
      </c>
      <c r="DJ45" s="1">
        <v>5</v>
      </c>
      <c r="DK45" s="1">
        <v>21.76</v>
      </c>
      <c r="DL45" s="1">
        <v>27.257999999999999</v>
      </c>
      <c r="DM45" s="1">
        <v>28.762</v>
      </c>
      <c r="DN45" s="1">
        <v>8</v>
      </c>
      <c r="DO45" s="1">
        <v>1</v>
      </c>
      <c r="DP45" s="1">
        <v>5</v>
      </c>
      <c r="DQ45" s="1">
        <v>8.4570000000000007</v>
      </c>
      <c r="DR45" s="1">
        <v>14.250999999999999</v>
      </c>
      <c r="DS45" s="1">
        <v>16.349</v>
      </c>
      <c r="DT45" s="1">
        <v>8</v>
      </c>
      <c r="DU45" s="1">
        <v>2</v>
      </c>
      <c r="DV45" s="1">
        <v>5</v>
      </c>
      <c r="DW45" s="1">
        <v>9.5830000000000002</v>
      </c>
      <c r="DX45" s="1">
        <v>15.339</v>
      </c>
      <c r="DY45" s="1">
        <v>17.335999999999999</v>
      </c>
      <c r="DZ45" s="1">
        <v>8</v>
      </c>
      <c r="EA45" s="1">
        <v>4</v>
      </c>
      <c r="EB45" s="1">
        <v>4</v>
      </c>
      <c r="EC45" s="1">
        <v>10.573</v>
      </c>
      <c r="ED45" s="1">
        <v>20.556999999999999</v>
      </c>
      <c r="EE45" s="1">
        <v>22.155000000000001</v>
      </c>
      <c r="EF45" s="1">
        <v>8</v>
      </c>
      <c r="EG45" s="1">
        <v>5</v>
      </c>
      <c r="EH45" s="1">
        <v>5</v>
      </c>
      <c r="EI45" s="1">
        <v>14.215</v>
      </c>
      <c r="EJ45" s="1">
        <v>22.591000000000001</v>
      </c>
      <c r="EK45" s="1">
        <v>24.277999999999999</v>
      </c>
      <c r="EL45" s="1">
        <v>9</v>
      </c>
      <c r="EM45" s="1">
        <v>3</v>
      </c>
      <c r="EN45" s="1">
        <v>5</v>
      </c>
      <c r="EO45" s="1">
        <v>10.56</v>
      </c>
      <c r="EP45" s="1">
        <v>18.425999999999998</v>
      </c>
      <c r="EQ45" s="1">
        <v>19.97</v>
      </c>
      <c r="ER45" s="1">
        <v>10</v>
      </c>
      <c r="ES45" s="1">
        <v>1</v>
      </c>
      <c r="ET45" s="1">
        <v>5</v>
      </c>
      <c r="EU45" s="1">
        <v>3.839</v>
      </c>
      <c r="EV45" s="1">
        <v>12.329000000000001</v>
      </c>
      <c r="EW45" s="1">
        <v>12.968999999999999</v>
      </c>
      <c r="EX45" s="1">
        <v>6</v>
      </c>
      <c r="EY45" s="1">
        <v>2</v>
      </c>
      <c r="EZ45" s="1">
        <v>5</v>
      </c>
      <c r="FA45" s="1">
        <v>1.468</v>
      </c>
      <c r="FB45" s="1">
        <v>11.012</v>
      </c>
      <c r="FC45" s="1">
        <v>12.426</v>
      </c>
      <c r="FD45" s="1">
        <v>7</v>
      </c>
      <c r="FE45" s="1">
        <v>5</v>
      </c>
      <c r="FF45" s="1">
        <v>5</v>
      </c>
      <c r="FG45" s="1">
        <v>3.69</v>
      </c>
      <c r="FH45" s="1">
        <v>15.532999999999999</v>
      </c>
      <c r="FI45" s="1">
        <v>16.071999999999999</v>
      </c>
      <c r="FJ45" s="1">
        <v>9</v>
      </c>
      <c r="FK45" s="1">
        <v>1</v>
      </c>
      <c r="FL45" s="1">
        <v>5</v>
      </c>
      <c r="FM45" s="1">
        <v>1.423</v>
      </c>
      <c r="FN45" s="1">
        <v>11.475</v>
      </c>
      <c r="FO45" s="1">
        <v>12.134</v>
      </c>
      <c r="FP45" s="1">
        <v>7</v>
      </c>
      <c r="FQ45" s="1">
        <v>2</v>
      </c>
      <c r="FR45" s="1">
        <v>5</v>
      </c>
      <c r="FS45" s="1">
        <v>8.6959999999999997</v>
      </c>
      <c r="FT45" s="1">
        <v>12.756</v>
      </c>
      <c r="FU45" s="1">
        <v>13.244999999999999</v>
      </c>
      <c r="FV45" s="1">
        <v>6</v>
      </c>
      <c r="FW45" s="1">
        <v>5</v>
      </c>
      <c r="FX45" s="1">
        <v>5</v>
      </c>
      <c r="FY45" s="1">
        <v>4.0860000000000003</v>
      </c>
      <c r="FZ45" s="1">
        <v>8.7989999999999995</v>
      </c>
      <c r="GA45" s="1">
        <v>9.4760000000000009</v>
      </c>
      <c r="GB45" s="1">
        <v>6</v>
      </c>
      <c r="GC45" s="1">
        <v>1</v>
      </c>
      <c r="GD45" s="1">
        <v>5</v>
      </c>
      <c r="GE45" s="1">
        <v>6.4610000000000003</v>
      </c>
      <c r="GF45" s="1">
        <v>9.9339999999999993</v>
      </c>
      <c r="GG45" s="1">
        <v>10.375</v>
      </c>
      <c r="GH45" s="1">
        <v>5</v>
      </c>
      <c r="GI45" s="1">
        <v>2</v>
      </c>
      <c r="GJ45" s="1">
        <v>5</v>
      </c>
      <c r="GK45" s="1">
        <v>2.7269999999999999</v>
      </c>
      <c r="GL45" s="1">
        <v>9.8930000000000007</v>
      </c>
      <c r="GM45" s="1">
        <v>10.738</v>
      </c>
      <c r="GN45" s="1">
        <v>6</v>
      </c>
      <c r="GO45" s="1">
        <v>5</v>
      </c>
      <c r="GP45" s="1">
        <v>5</v>
      </c>
      <c r="GQ45" s="1">
        <v>2.649</v>
      </c>
      <c r="GR45" s="1">
        <v>10.201000000000001</v>
      </c>
      <c r="GS45" s="1">
        <v>11.082000000000001</v>
      </c>
      <c r="GT45" s="1">
        <v>6</v>
      </c>
      <c r="GU45" s="1">
        <v>1</v>
      </c>
      <c r="GV45" s="1">
        <v>5</v>
      </c>
      <c r="GW45" s="1">
        <v>3.7690000000000001</v>
      </c>
      <c r="GX45" s="1">
        <v>10.086</v>
      </c>
      <c r="GY45" s="1">
        <v>10.653</v>
      </c>
      <c r="GZ45" s="1">
        <v>8</v>
      </c>
      <c r="HA45" s="1">
        <v>2</v>
      </c>
      <c r="HB45" s="1">
        <v>5</v>
      </c>
      <c r="HC45" s="1">
        <v>2.2400000000000002</v>
      </c>
      <c r="HD45" s="1">
        <v>9.0950000000000006</v>
      </c>
      <c r="HE45" s="1">
        <v>11.093</v>
      </c>
      <c r="HF45" s="1">
        <v>8</v>
      </c>
      <c r="HG45" s="4" t="s">
        <v>282</v>
      </c>
      <c r="HH45" s="1">
        <v>5</v>
      </c>
      <c r="HI45" s="1">
        <v>12.061</v>
      </c>
      <c r="HJ45" s="1">
        <v>15.346</v>
      </c>
      <c r="HK45" s="1">
        <v>16.082999999999998</v>
      </c>
      <c r="HL45" s="1">
        <v>5</v>
      </c>
      <c r="HM45" s="4" t="s">
        <v>798</v>
      </c>
      <c r="HN45" s="4" t="s">
        <v>799</v>
      </c>
      <c r="HO45" s="4" t="s">
        <v>800</v>
      </c>
      <c r="HP45" s="4" t="s">
        <v>799</v>
      </c>
      <c r="HQ45" s="4" t="s">
        <v>801</v>
      </c>
      <c r="HR45" s="4" t="s">
        <v>802</v>
      </c>
      <c r="HS45" s="4" t="s">
        <v>803</v>
      </c>
      <c r="HT45" s="4" t="s">
        <v>799</v>
      </c>
      <c r="HU45" s="4" t="s">
        <v>804</v>
      </c>
      <c r="HV45" s="4" t="s">
        <v>799</v>
      </c>
      <c r="HW45" s="4" t="s">
        <v>282</v>
      </c>
      <c r="HX45" s="4" t="s">
        <v>282</v>
      </c>
      <c r="HY45" s="4" t="s">
        <v>312</v>
      </c>
      <c r="HZ45" s="4" t="s">
        <v>372</v>
      </c>
      <c r="IA45" s="4" t="s">
        <v>325</v>
      </c>
      <c r="IB45" s="4" t="s">
        <v>282</v>
      </c>
      <c r="IC45" s="4" t="s">
        <v>282</v>
      </c>
    </row>
    <row r="46" spans="1:237" x14ac:dyDescent="0.2">
      <c r="A46" s="3">
        <v>45748.491631944446</v>
      </c>
      <c r="B46" s="3">
        <v>45748.511087962965</v>
      </c>
      <c r="C46" s="1">
        <v>0</v>
      </c>
      <c r="D46" s="4" t="s">
        <v>805</v>
      </c>
      <c r="E46" s="1">
        <v>100</v>
      </c>
      <c r="F46" s="1">
        <v>1680</v>
      </c>
      <c r="G46" s="1">
        <v>1</v>
      </c>
      <c r="H46" s="3">
        <v>45748.511103333331</v>
      </c>
      <c r="I46" s="4" t="s">
        <v>806</v>
      </c>
      <c r="J46" s="4" t="s">
        <v>282</v>
      </c>
      <c r="K46" s="4" t="s">
        <v>282</v>
      </c>
      <c r="L46" s="4" t="s">
        <v>282</v>
      </c>
      <c r="M46" s="4" t="s">
        <v>282</v>
      </c>
      <c r="N46" s="1">
        <v>49.817900000000002</v>
      </c>
      <c r="O46" s="1">
        <v>-97.153499999999994</v>
      </c>
      <c r="P46" s="4" t="s">
        <v>283</v>
      </c>
      <c r="Q46" s="4" t="s">
        <v>284</v>
      </c>
      <c r="R46" s="1">
        <v>0.80000001192092896</v>
      </c>
      <c r="S46" s="1">
        <v>1</v>
      </c>
      <c r="T46" s="1">
        <v>1</v>
      </c>
      <c r="U46" s="1">
        <v>1</v>
      </c>
      <c r="V46" s="1">
        <v>1</v>
      </c>
      <c r="W46" s="1">
        <v>11</v>
      </c>
      <c r="X46" s="4" t="s">
        <v>1282</v>
      </c>
      <c r="Y46" s="1">
        <v>5</v>
      </c>
      <c r="Z46" s="1">
        <v>1</v>
      </c>
      <c r="AA46" s="1">
        <v>1</v>
      </c>
      <c r="AB46" s="1">
        <v>2</v>
      </c>
      <c r="AC46" s="1">
        <v>1</v>
      </c>
      <c r="AD46" s="1">
        <v>5</v>
      </c>
      <c r="AE46" s="1">
        <v>11.231</v>
      </c>
      <c r="AF46" s="1">
        <v>14.31</v>
      </c>
      <c r="AG46" s="1">
        <v>15.353999999999999</v>
      </c>
      <c r="AH46" s="1">
        <v>5</v>
      </c>
      <c r="AI46" s="1">
        <v>2</v>
      </c>
      <c r="AJ46" s="1">
        <v>5</v>
      </c>
      <c r="AK46" s="1">
        <v>7.6630000000000003</v>
      </c>
      <c r="AL46" s="1">
        <v>10.347</v>
      </c>
      <c r="AM46" s="1">
        <v>11.122999999999999</v>
      </c>
      <c r="AN46" s="1">
        <v>6</v>
      </c>
      <c r="AO46" s="1">
        <v>2</v>
      </c>
      <c r="AP46" s="1">
        <v>5</v>
      </c>
      <c r="AQ46" s="1">
        <v>9.3140000000000001</v>
      </c>
      <c r="AR46" s="1">
        <v>12.935</v>
      </c>
      <c r="AS46" s="1">
        <v>13.849</v>
      </c>
      <c r="AT46" s="1">
        <v>5</v>
      </c>
      <c r="AU46" s="1">
        <v>5</v>
      </c>
      <c r="AV46" s="1">
        <v>6</v>
      </c>
      <c r="AW46" s="1">
        <v>0.29299999999999998</v>
      </c>
      <c r="AX46" s="1">
        <v>14.61</v>
      </c>
      <c r="AY46" s="1">
        <v>15.321999999999999</v>
      </c>
      <c r="AZ46" s="1">
        <v>8</v>
      </c>
      <c r="BA46" s="1">
        <v>5</v>
      </c>
      <c r="BB46" s="1">
        <v>5</v>
      </c>
      <c r="BC46" s="1">
        <v>5.7910000000000004</v>
      </c>
      <c r="BD46" s="1">
        <v>10.956</v>
      </c>
      <c r="BE46" s="1">
        <v>11.763999999999999</v>
      </c>
      <c r="BF46" s="1">
        <v>7</v>
      </c>
      <c r="BG46" s="1">
        <v>1</v>
      </c>
      <c r="BH46" s="1">
        <v>5</v>
      </c>
      <c r="BI46" s="1">
        <v>5.9249999999999998</v>
      </c>
      <c r="BJ46" s="1">
        <v>9.8840000000000003</v>
      </c>
      <c r="BK46" s="1">
        <v>10.615</v>
      </c>
      <c r="BL46" s="1">
        <v>6</v>
      </c>
      <c r="BM46" s="1">
        <v>2</v>
      </c>
      <c r="BN46" s="1">
        <v>5</v>
      </c>
      <c r="BO46" s="1">
        <v>5.391</v>
      </c>
      <c r="BP46" s="1">
        <v>9.4979999999999993</v>
      </c>
      <c r="BQ46" s="1">
        <v>10.185</v>
      </c>
      <c r="BR46" s="1">
        <v>5</v>
      </c>
      <c r="BS46" s="1">
        <v>1</v>
      </c>
      <c r="BT46" s="1">
        <v>5</v>
      </c>
      <c r="BU46" s="1">
        <v>95.274000000000001</v>
      </c>
      <c r="BV46" s="1">
        <v>99.132999999999996</v>
      </c>
      <c r="BW46" s="1">
        <v>99.632000000000005</v>
      </c>
      <c r="BX46" s="1">
        <v>7</v>
      </c>
      <c r="BY46" s="1">
        <v>5</v>
      </c>
      <c r="BZ46" s="1">
        <v>5</v>
      </c>
      <c r="CA46" s="1">
        <v>18.077000000000002</v>
      </c>
      <c r="CB46" s="1">
        <v>24.027999999999999</v>
      </c>
      <c r="CC46" s="1">
        <v>24.585999999999999</v>
      </c>
      <c r="CD46" s="1">
        <v>5</v>
      </c>
      <c r="CE46" s="1">
        <v>3</v>
      </c>
      <c r="CF46" s="1">
        <v>5</v>
      </c>
      <c r="CG46" s="1">
        <v>14.023999999999999</v>
      </c>
      <c r="CH46" s="1">
        <v>21.138000000000002</v>
      </c>
      <c r="CI46" s="1">
        <v>22.024999999999999</v>
      </c>
      <c r="CJ46" s="1">
        <v>6</v>
      </c>
      <c r="CK46" s="1">
        <v>1</v>
      </c>
      <c r="CL46" s="1">
        <v>5</v>
      </c>
      <c r="CM46" s="1">
        <v>7.8029999999999999</v>
      </c>
      <c r="CN46" s="1">
        <v>11.273999999999999</v>
      </c>
      <c r="CO46" s="1">
        <v>12.029</v>
      </c>
      <c r="CP46" s="1">
        <v>6</v>
      </c>
      <c r="CQ46" s="1">
        <v>2</v>
      </c>
      <c r="CR46" s="1">
        <v>5</v>
      </c>
      <c r="CS46" s="1">
        <v>6.9249999999999998</v>
      </c>
      <c r="CT46" s="1">
        <v>9.9090000000000007</v>
      </c>
      <c r="CU46" s="1">
        <v>10.627000000000001</v>
      </c>
      <c r="CV46" s="1">
        <v>7</v>
      </c>
      <c r="CW46" s="1">
        <v>3</v>
      </c>
      <c r="CX46" s="1">
        <v>4</v>
      </c>
      <c r="CY46" s="1">
        <v>8.5549999999999997</v>
      </c>
      <c r="CZ46" s="1">
        <v>14.843</v>
      </c>
      <c r="DA46" s="1">
        <v>15.513999999999999</v>
      </c>
      <c r="DB46" s="1">
        <v>8</v>
      </c>
      <c r="DC46" s="1">
        <v>5</v>
      </c>
      <c r="DD46" s="1">
        <v>5</v>
      </c>
      <c r="DE46" s="1">
        <v>7.484</v>
      </c>
      <c r="DF46" s="1">
        <v>16.390999999999998</v>
      </c>
      <c r="DG46" s="1">
        <v>17.37</v>
      </c>
      <c r="DH46" s="1">
        <v>6</v>
      </c>
      <c r="DI46" s="1">
        <v>1</v>
      </c>
      <c r="DJ46" s="1">
        <v>5</v>
      </c>
      <c r="DK46" s="1">
        <v>26.692</v>
      </c>
      <c r="DL46" s="1">
        <v>29.597000000000001</v>
      </c>
      <c r="DM46" s="1">
        <v>31.495000000000001</v>
      </c>
      <c r="DN46" s="1">
        <v>5</v>
      </c>
      <c r="DO46" s="1">
        <v>1</v>
      </c>
      <c r="DP46" s="1">
        <v>5</v>
      </c>
      <c r="DQ46" s="1">
        <v>10.561</v>
      </c>
      <c r="DR46" s="1">
        <v>14.454000000000001</v>
      </c>
      <c r="DS46" s="1">
        <v>15.449</v>
      </c>
      <c r="DT46" s="1">
        <v>7</v>
      </c>
      <c r="DU46" s="1">
        <v>2</v>
      </c>
      <c r="DV46" s="1">
        <v>5</v>
      </c>
      <c r="DW46" s="1">
        <v>5.3259999999999996</v>
      </c>
      <c r="DX46" s="1">
        <v>28.884</v>
      </c>
      <c r="DY46" s="1">
        <v>29.466999999999999</v>
      </c>
      <c r="DZ46" s="1">
        <v>8</v>
      </c>
      <c r="EA46" s="1">
        <v>4</v>
      </c>
      <c r="EB46" s="1">
        <v>5</v>
      </c>
      <c r="EC46" s="1">
        <v>9.8439999999999994</v>
      </c>
      <c r="ED46" s="1">
        <v>12.692</v>
      </c>
      <c r="EE46" s="1">
        <v>13.618</v>
      </c>
      <c r="EF46" s="1">
        <v>6</v>
      </c>
      <c r="EG46" s="1">
        <v>5</v>
      </c>
      <c r="EH46" s="1">
        <v>5</v>
      </c>
      <c r="EI46" s="1">
        <v>6.633</v>
      </c>
      <c r="EJ46" s="1">
        <v>11.348000000000001</v>
      </c>
      <c r="EK46" s="1">
        <v>22.600999999999999</v>
      </c>
      <c r="EL46" s="1">
        <v>7</v>
      </c>
      <c r="EM46" s="1">
        <v>1</v>
      </c>
      <c r="EN46" s="1">
        <v>5</v>
      </c>
      <c r="EO46" s="1">
        <v>5.0469999999999997</v>
      </c>
      <c r="EP46" s="1">
        <v>7.7350000000000003</v>
      </c>
      <c r="EQ46" s="1">
        <v>10.598000000000001</v>
      </c>
      <c r="ER46" s="1">
        <v>6</v>
      </c>
      <c r="ES46" s="1">
        <v>1</v>
      </c>
      <c r="ET46" s="1">
        <v>5</v>
      </c>
      <c r="EU46" s="1">
        <v>12.667</v>
      </c>
      <c r="EV46" s="1">
        <v>16.945</v>
      </c>
      <c r="EW46" s="1">
        <v>18.600999999999999</v>
      </c>
      <c r="EX46" s="1">
        <v>8</v>
      </c>
      <c r="EY46" s="1">
        <v>2</v>
      </c>
      <c r="EZ46" s="1">
        <v>6</v>
      </c>
      <c r="FA46" s="1">
        <v>12.696</v>
      </c>
      <c r="FB46" s="1">
        <v>15.795</v>
      </c>
      <c r="FC46" s="1">
        <v>16.646000000000001</v>
      </c>
      <c r="FD46" s="1">
        <v>4</v>
      </c>
      <c r="FE46" s="1">
        <v>5</v>
      </c>
      <c r="FF46" s="1">
        <v>5</v>
      </c>
      <c r="FG46" s="1">
        <v>6.4379999999999997</v>
      </c>
      <c r="FH46" s="1">
        <v>10.332000000000001</v>
      </c>
      <c r="FI46" s="1">
        <v>10.87</v>
      </c>
      <c r="FJ46" s="1">
        <v>7</v>
      </c>
      <c r="FK46" s="1">
        <v>1</v>
      </c>
      <c r="FL46" s="1">
        <v>5</v>
      </c>
      <c r="FM46" s="1">
        <v>6.1520000000000001</v>
      </c>
      <c r="FN46" s="1">
        <v>9.3719999999999999</v>
      </c>
      <c r="FO46" s="1">
        <v>9.8000000000000007</v>
      </c>
      <c r="FP46" s="1">
        <v>6</v>
      </c>
      <c r="FQ46" s="1">
        <v>2</v>
      </c>
      <c r="FR46" s="1">
        <v>5</v>
      </c>
      <c r="FS46" s="1">
        <v>4.4340000000000002</v>
      </c>
      <c r="FT46" s="1">
        <v>8.3670000000000009</v>
      </c>
      <c r="FU46" s="1">
        <v>9.1379999999999999</v>
      </c>
      <c r="FV46" s="1">
        <v>7</v>
      </c>
      <c r="FW46" s="1">
        <v>5</v>
      </c>
      <c r="FX46" s="1">
        <v>5</v>
      </c>
      <c r="FY46" s="1">
        <v>4.391</v>
      </c>
      <c r="FZ46" s="1">
        <v>9.3089999999999993</v>
      </c>
      <c r="GA46" s="1">
        <v>9.8469999999999995</v>
      </c>
      <c r="GB46" s="1">
        <v>7</v>
      </c>
      <c r="GC46" s="1">
        <v>1</v>
      </c>
      <c r="GD46" s="1">
        <v>5</v>
      </c>
      <c r="GE46" s="1">
        <v>16.847999999999999</v>
      </c>
      <c r="GF46" s="1">
        <v>19.216000000000001</v>
      </c>
      <c r="GG46" s="1">
        <v>19.821000000000002</v>
      </c>
      <c r="GH46" s="1">
        <v>5</v>
      </c>
      <c r="GI46" s="1">
        <v>2</v>
      </c>
      <c r="GJ46" s="1">
        <v>6</v>
      </c>
      <c r="GK46" s="1">
        <v>6.194</v>
      </c>
      <c r="GL46" s="1">
        <v>10.412000000000001</v>
      </c>
      <c r="GM46" s="1">
        <v>10.999000000000001</v>
      </c>
      <c r="GN46" s="1">
        <v>6</v>
      </c>
      <c r="GO46" s="1">
        <v>2</v>
      </c>
      <c r="GP46" s="1">
        <v>5</v>
      </c>
      <c r="GQ46" s="1">
        <v>12.943</v>
      </c>
      <c r="GR46" s="1">
        <v>22.04</v>
      </c>
      <c r="GS46" s="1">
        <v>23.233000000000001</v>
      </c>
      <c r="GT46" s="1">
        <v>7</v>
      </c>
      <c r="GU46" s="1">
        <v>1</v>
      </c>
      <c r="GV46" s="1">
        <v>5</v>
      </c>
      <c r="GW46" s="1">
        <v>7.5810000000000004</v>
      </c>
      <c r="GX46" s="1">
        <v>11.26</v>
      </c>
      <c r="GY46" s="1">
        <v>11.849</v>
      </c>
      <c r="GZ46" s="1">
        <v>6</v>
      </c>
      <c r="HA46" s="1">
        <v>2</v>
      </c>
      <c r="HB46" s="1">
        <v>6</v>
      </c>
      <c r="HC46" s="1">
        <v>5.0010000000000003</v>
      </c>
      <c r="HD46" s="1">
        <v>8.9740000000000002</v>
      </c>
      <c r="HE46" s="1">
        <v>9.6210000000000004</v>
      </c>
      <c r="HF46" s="1">
        <v>7</v>
      </c>
      <c r="HG46" s="1">
        <v>2</v>
      </c>
      <c r="HH46" s="1">
        <v>5</v>
      </c>
      <c r="HI46" s="1">
        <v>9.9169999999999998</v>
      </c>
      <c r="HJ46" s="1">
        <v>15.007</v>
      </c>
      <c r="HK46" s="1">
        <v>15.679</v>
      </c>
      <c r="HL46" s="1">
        <v>7</v>
      </c>
      <c r="HM46" s="4" t="s">
        <v>807</v>
      </c>
      <c r="HN46" s="4" t="s">
        <v>808</v>
      </c>
      <c r="HO46" s="4" t="s">
        <v>809</v>
      </c>
      <c r="HP46" s="4" t="s">
        <v>810</v>
      </c>
      <c r="HQ46" s="4" t="s">
        <v>811</v>
      </c>
      <c r="HR46" s="4" t="s">
        <v>812</v>
      </c>
      <c r="HS46" s="4" t="s">
        <v>308</v>
      </c>
      <c r="HT46" s="4" t="s">
        <v>813</v>
      </c>
      <c r="HU46" s="4" t="s">
        <v>814</v>
      </c>
      <c r="HV46" s="4" t="s">
        <v>815</v>
      </c>
      <c r="HW46" s="4" t="s">
        <v>282</v>
      </c>
      <c r="HX46" s="4" t="s">
        <v>282</v>
      </c>
      <c r="HY46" s="4" t="s">
        <v>312</v>
      </c>
      <c r="HZ46" s="4" t="s">
        <v>356</v>
      </c>
      <c r="IA46" s="4" t="s">
        <v>313</v>
      </c>
      <c r="IB46" s="4" t="s">
        <v>282</v>
      </c>
      <c r="IC46" s="4" t="s">
        <v>282</v>
      </c>
    </row>
    <row r="47" spans="1:237" x14ac:dyDescent="0.2">
      <c r="A47" s="3">
        <v>45748.529826388891</v>
      </c>
      <c r="B47" s="3">
        <v>45748.545729166668</v>
      </c>
      <c r="C47" s="1">
        <v>0</v>
      </c>
      <c r="D47" s="4" t="s">
        <v>816</v>
      </c>
      <c r="E47" s="1">
        <v>100</v>
      </c>
      <c r="F47" s="1">
        <v>1373</v>
      </c>
      <c r="G47" s="1">
        <v>1</v>
      </c>
      <c r="H47" s="3">
        <v>45748.545743252318</v>
      </c>
      <c r="I47" s="4" t="s">
        <v>817</v>
      </c>
      <c r="J47" s="4" t="s">
        <v>282</v>
      </c>
      <c r="K47" s="4" t="s">
        <v>282</v>
      </c>
      <c r="L47" s="4" t="s">
        <v>282</v>
      </c>
      <c r="M47" s="4" t="s">
        <v>282</v>
      </c>
      <c r="N47" s="1">
        <v>49.843200000000003</v>
      </c>
      <c r="O47" s="1">
        <v>-97.114099999999993</v>
      </c>
      <c r="P47" s="4" t="s">
        <v>283</v>
      </c>
      <c r="Q47" s="4" t="s">
        <v>284</v>
      </c>
      <c r="R47" s="1">
        <v>0.89999997615814209</v>
      </c>
      <c r="S47" s="1">
        <v>1</v>
      </c>
      <c r="T47" s="1">
        <v>1</v>
      </c>
      <c r="U47" s="1">
        <v>1</v>
      </c>
      <c r="V47" s="1">
        <v>1</v>
      </c>
      <c r="W47" s="1">
        <v>12</v>
      </c>
      <c r="X47" s="4" t="s">
        <v>1294</v>
      </c>
      <c r="Y47" s="1">
        <v>5</v>
      </c>
      <c r="Z47" s="1">
        <v>3</v>
      </c>
      <c r="AA47" s="1">
        <v>3</v>
      </c>
      <c r="AB47" s="1">
        <v>4</v>
      </c>
      <c r="AC47" s="1">
        <v>1</v>
      </c>
      <c r="AD47" s="1">
        <v>6</v>
      </c>
      <c r="AE47" s="1">
        <v>0.73799999999999999</v>
      </c>
      <c r="AF47" s="1">
        <v>12.154999999999999</v>
      </c>
      <c r="AG47" s="1">
        <v>13.382999999999999</v>
      </c>
      <c r="AH47" s="1">
        <v>7</v>
      </c>
      <c r="AI47" s="1">
        <v>2</v>
      </c>
      <c r="AJ47" s="1">
        <v>6</v>
      </c>
      <c r="AK47" s="1">
        <v>1.1970000000000001</v>
      </c>
      <c r="AL47" s="1">
        <v>14.29</v>
      </c>
      <c r="AM47" s="1">
        <v>15.456</v>
      </c>
      <c r="AN47" s="1">
        <v>7</v>
      </c>
      <c r="AO47" s="1">
        <v>2</v>
      </c>
      <c r="AP47" s="1">
        <v>6</v>
      </c>
      <c r="AQ47" s="1">
        <v>1.6479999999999999</v>
      </c>
      <c r="AR47" s="1">
        <v>24.193999999999999</v>
      </c>
      <c r="AS47" s="1">
        <v>24.501000000000001</v>
      </c>
      <c r="AT47" s="1">
        <v>9</v>
      </c>
      <c r="AU47" s="1">
        <v>5</v>
      </c>
      <c r="AV47" s="1">
        <v>5</v>
      </c>
      <c r="AW47" s="1">
        <v>1.1619999999999999</v>
      </c>
      <c r="AX47" s="1">
        <v>24.463000000000001</v>
      </c>
      <c r="AY47" s="1">
        <v>25.643999999999998</v>
      </c>
      <c r="AZ47" s="1">
        <v>8</v>
      </c>
      <c r="BA47" s="1">
        <v>5</v>
      </c>
      <c r="BB47" s="1">
        <v>6</v>
      </c>
      <c r="BC47" s="1">
        <v>1.2090000000000001</v>
      </c>
      <c r="BD47" s="1">
        <v>14.206</v>
      </c>
      <c r="BE47" s="1">
        <v>14.675000000000001</v>
      </c>
      <c r="BF47" s="1">
        <v>6</v>
      </c>
      <c r="BG47" s="1">
        <v>1</v>
      </c>
      <c r="BH47" s="1">
        <v>5</v>
      </c>
      <c r="BI47" s="1">
        <v>1.3360000000000001</v>
      </c>
      <c r="BJ47" s="1">
        <v>20.661999999999999</v>
      </c>
      <c r="BK47" s="1">
        <v>21.765999999999998</v>
      </c>
      <c r="BL47" s="1">
        <v>10</v>
      </c>
      <c r="BM47" s="1">
        <v>2</v>
      </c>
      <c r="BN47" s="1">
        <v>6</v>
      </c>
      <c r="BO47" s="1">
        <v>1.1879999999999999</v>
      </c>
      <c r="BP47" s="1">
        <v>26.321999999999999</v>
      </c>
      <c r="BQ47" s="1">
        <v>27.433</v>
      </c>
      <c r="BR47" s="1">
        <v>13</v>
      </c>
      <c r="BS47" s="1">
        <v>1</v>
      </c>
      <c r="BT47" s="1">
        <v>6</v>
      </c>
      <c r="BU47" s="1">
        <v>3.9940000000000002</v>
      </c>
      <c r="BV47" s="1">
        <v>12.561</v>
      </c>
      <c r="BW47" s="1">
        <v>12.589</v>
      </c>
      <c r="BX47" s="1">
        <v>7</v>
      </c>
      <c r="BY47" s="1">
        <v>3</v>
      </c>
      <c r="BZ47" s="1">
        <v>4</v>
      </c>
      <c r="CA47" s="1">
        <v>0.96599999999999997</v>
      </c>
      <c r="CB47" s="1">
        <v>27.181000000000001</v>
      </c>
      <c r="CC47" s="1">
        <v>27.992999999999999</v>
      </c>
      <c r="CD47" s="1">
        <v>8</v>
      </c>
      <c r="CE47" s="1">
        <v>3</v>
      </c>
      <c r="CF47" s="1">
        <v>6</v>
      </c>
      <c r="CG47" s="1">
        <v>6.5350000000000001</v>
      </c>
      <c r="CH47" s="1">
        <v>22.388999999999999</v>
      </c>
      <c r="CI47" s="1">
        <v>24.689</v>
      </c>
      <c r="CJ47" s="1">
        <v>8</v>
      </c>
      <c r="CK47" s="1">
        <v>1</v>
      </c>
      <c r="CL47" s="1">
        <v>6</v>
      </c>
      <c r="CM47" s="1">
        <v>1.012</v>
      </c>
      <c r="CN47" s="1">
        <v>25.378</v>
      </c>
      <c r="CO47" s="1">
        <v>26.15</v>
      </c>
      <c r="CP47" s="1">
        <v>9</v>
      </c>
      <c r="CQ47" s="1">
        <v>2</v>
      </c>
      <c r="CR47" s="1">
        <v>6</v>
      </c>
      <c r="CS47" s="1">
        <v>2.0590000000000002</v>
      </c>
      <c r="CT47" s="1">
        <v>16.584</v>
      </c>
      <c r="CU47" s="1">
        <v>17.501000000000001</v>
      </c>
      <c r="CV47" s="1">
        <v>7</v>
      </c>
      <c r="CW47" s="1">
        <v>1</v>
      </c>
      <c r="CX47" s="1">
        <v>5</v>
      </c>
      <c r="CY47" s="1">
        <v>10.538</v>
      </c>
      <c r="CZ47" s="1">
        <v>23.254999999999999</v>
      </c>
      <c r="DA47" s="1">
        <v>24.388000000000002</v>
      </c>
      <c r="DB47" s="1">
        <v>6</v>
      </c>
      <c r="DC47" s="1">
        <v>5</v>
      </c>
      <c r="DD47" s="1">
        <v>5</v>
      </c>
      <c r="DE47" s="1">
        <v>2.3140000000000001</v>
      </c>
      <c r="DF47" s="1">
        <v>19.414999999999999</v>
      </c>
      <c r="DG47" s="1">
        <v>23.259</v>
      </c>
      <c r="DH47" s="1">
        <v>8</v>
      </c>
      <c r="DI47" s="1">
        <v>1</v>
      </c>
      <c r="DJ47" s="1">
        <v>6</v>
      </c>
      <c r="DK47" s="1">
        <v>14.28</v>
      </c>
      <c r="DL47" s="1">
        <v>47.872</v>
      </c>
      <c r="DM47" s="1">
        <v>48.613999999999997</v>
      </c>
      <c r="DN47" s="1">
        <v>10</v>
      </c>
      <c r="DO47" s="1">
        <v>1</v>
      </c>
      <c r="DP47" s="1">
        <v>6</v>
      </c>
      <c r="DQ47" s="1">
        <v>1.163</v>
      </c>
      <c r="DR47" s="1">
        <v>18.576000000000001</v>
      </c>
      <c r="DS47" s="1">
        <v>19.236999999999998</v>
      </c>
      <c r="DT47" s="1">
        <v>8</v>
      </c>
      <c r="DU47" s="1">
        <v>2</v>
      </c>
      <c r="DV47" s="1">
        <v>6</v>
      </c>
      <c r="DW47" s="1">
        <v>1.0149999999999999</v>
      </c>
      <c r="DX47" s="1">
        <v>20.233000000000001</v>
      </c>
      <c r="DY47" s="1">
        <v>20.893999999999998</v>
      </c>
      <c r="DZ47" s="1">
        <v>8</v>
      </c>
      <c r="EA47" s="1">
        <v>4</v>
      </c>
      <c r="EB47" s="1">
        <v>5</v>
      </c>
      <c r="EC47" s="1">
        <v>2.3809999999999998</v>
      </c>
      <c r="ED47" s="1">
        <v>17.131</v>
      </c>
      <c r="EE47" s="1">
        <v>18.212</v>
      </c>
      <c r="EF47" s="1">
        <v>6</v>
      </c>
      <c r="EG47" s="1">
        <v>5</v>
      </c>
      <c r="EH47" s="1">
        <v>5</v>
      </c>
      <c r="EI47" s="1">
        <v>0.77400000000000002</v>
      </c>
      <c r="EJ47" s="1">
        <v>17.379000000000001</v>
      </c>
      <c r="EK47" s="1">
        <v>18.088000000000001</v>
      </c>
      <c r="EL47" s="1">
        <v>8</v>
      </c>
      <c r="EM47" s="1">
        <v>1</v>
      </c>
      <c r="EN47" s="1">
        <v>6</v>
      </c>
      <c r="EO47" s="1">
        <v>1.24</v>
      </c>
      <c r="EP47" s="1">
        <v>16.852</v>
      </c>
      <c r="EQ47" s="1">
        <v>18.100999999999999</v>
      </c>
      <c r="ER47" s="1">
        <v>7</v>
      </c>
      <c r="ES47" s="1">
        <v>1</v>
      </c>
      <c r="ET47" s="1">
        <v>5</v>
      </c>
      <c r="EU47" s="1">
        <v>1.218</v>
      </c>
      <c r="EV47" s="1">
        <v>20.015000000000001</v>
      </c>
      <c r="EW47" s="1">
        <v>20.443000000000001</v>
      </c>
      <c r="EX47" s="1">
        <v>11</v>
      </c>
      <c r="EY47" s="1">
        <v>2</v>
      </c>
      <c r="EZ47" s="1">
        <v>6</v>
      </c>
      <c r="FA47" s="1">
        <v>2.4809999999999999</v>
      </c>
      <c r="FB47" s="1">
        <v>17.231999999999999</v>
      </c>
      <c r="FC47" s="1">
        <v>17.728999999999999</v>
      </c>
      <c r="FD47" s="1">
        <v>7</v>
      </c>
      <c r="FE47" s="1">
        <v>5</v>
      </c>
      <c r="FF47" s="1">
        <v>6</v>
      </c>
      <c r="FG47" s="1">
        <v>8.8179999999999996</v>
      </c>
      <c r="FH47" s="1">
        <v>27.138999999999999</v>
      </c>
      <c r="FI47" s="1">
        <v>27.869</v>
      </c>
      <c r="FJ47" s="1">
        <v>9</v>
      </c>
      <c r="FK47" s="1">
        <v>1</v>
      </c>
      <c r="FL47" s="1">
        <v>7</v>
      </c>
      <c r="FM47" s="1">
        <v>1.0860000000000001</v>
      </c>
      <c r="FN47" s="1">
        <v>15.355</v>
      </c>
      <c r="FO47" s="1">
        <v>16.079999999999998</v>
      </c>
      <c r="FP47" s="1">
        <v>9</v>
      </c>
      <c r="FQ47" s="1">
        <v>2</v>
      </c>
      <c r="FR47" s="1">
        <v>7</v>
      </c>
      <c r="FS47" s="1">
        <v>9.8230000000000004</v>
      </c>
      <c r="FT47" s="1">
        <v>14.805</v>
      </c>
      <c r="FU47" s="1">
        <v>16.5</v>
      </c>
      <c r="FV47" s="1">
        <v>5</v>
      </c>
      <c r="FW47" s="1">
        <v>5</v>
      </c>
      <c r="FX47" s="1">
        <v>5</v>
      </c>
      <c r="FY47" s="1">
        <v>1.1220000000000001</v>
      </c>
      <c r="FZ47" s="1">
        <v>17.172000000000001</v>
      </c>
      <c r="GA47" s="1">
        <v>17.773</v>
      </c>
      <c r="GB47" s="1">
        <v>6</v>
      </c>
      <c r="GC47" s="1">
        <v>1</v>
      </c>
      <c r="GD47" s="1">
        <v>5</v>
      </c>
      <c r="GE47" s="1">
        <v>1.365</v>
      </c>
      <c r="GF47" s="1">
        <v>23.795999999999999</v>
      </c>
      <c r="GG47" s="1">
        <v>24.850999999999999</v>
      </c>
      <c r="GH47" s="1">
        <v>13</v>
      </c>
      <c r="GI47" s="1">
        <v>2</v>
      </c>
      <c r="GJ47" s="1">
        <v>7</v>
      </c>
      <c r="GK47" s="1">
        <v>0.32300000000000001</v>
      </c>
      <c r="GL47" s="1">
        <v>21.381</v>
      </c>
      <c r="GM47" s="1">
        <v>21.978999999999999</v>
      </c>
      <c r="GN47" s="1">
        <v>12</v>
      </c>
      <c r="GO47" s="1">
        <v>5</v>
      </c>
      <c r="GP47" s="1">
        <v>5</v>
      </c>
      <c r="GQ47" s="1">
        <v>1.706</v>
      </c>
      <c r="GR47" s="1">
        <v>18.175999999999998</v>
      </c>
      <c r="GS47" s="1">
        <v>19.081</v>
      </c>
      <c r="GT47" s="1">
        <v>9</v>
      </c>
      <c r="GU47" s="1">
        <v>1</v>
      </c>
      <c r="GV47" s="1">
        <v>6</v>
      </c>
      <c r="GW47" s="1">
        <v>1.389</v>
      </c>
      <c r="GX47" s="1">
        <v>34.57</v>
      </c>
      <c r="GY47" s="1">
        <v>35.136000000000003</v>
      </c>
      <c r="GZ47" s="1">
        <v>7</v>
      </c>
      <c r="HA47" s="1">
        <v>2</v>
      </c>
      <c r="HB47" s="1">
        <v>6</v>
      </c>
      <c r="HC47" s="1">
        <v>1.6080000000000001</v>
      </c>
      <c r="HD47" s="1">
        <v>18.548999999999999</v>
      </c>
      <c r="HE47" s="1">
        <v>19.265999999999998</v>
      </c>
      <c r="HF47" s="1">
        <v>7</v>
      </c>
      <c r="HG47" s="1">
        <v>1</v>
      </c>
      <c r="HH47" s="1">
        <v>6</v>
      </c>
      <c r="HI47" s="1">
        <v>3.4020000000000001</v>
      </c>
      <c r="HJ47" s="1">
        <v>30.225999999999999</v>
      </c>
      <c r="HK47" s="1">
        <v>30.827999999999999</v>
      </c>
      <c r="HL47" s="1">
        <v>11</v>
      </c>
      <c r="HM47" s="4" t="s">
        <v>819</v>
      </c>
      <c r="HN47" s="4" t="s">
        <v>820</v>
      </c>
      <c r="HO47" s="4" t="s">
        <v>821</v>
      </c>
      <c r="HP47" s="4" t="s">
        <v>822</v>
      </c>
      <c r="HQ47" s="4" t="s">
        <v>823</v>
      </c>
      <c r="HR47" s="4" t="s">
        <v>824</v>
      </c>
      <c r="HS47" s="4" t="s">
        <v>825</v>
      </c>
      <c r="HT47" s="4" t="s">
        <v>826</v>
      </c>
      <c r="HU47" s="4" t="s">
        <v>827</v>
      </c>
      <c r="HV47" s="4" t="s">
        <v>828</v>
      </c>
      <c r="HW47" s="4" t="s">
        <v>282</v>
      </c>
      <c r="HX47" s="4" t="s">
        <v>282</v>
      </c>
      <c r="HY47" s="4" t="s">
        <v>312</v>
      </c>
      <c r="HZ47" s="4" t="s">
        <v>356</v>
      </c>
      <c r="IA47" s="4" t="s">
        <v>313</v>
      </c>
      <c r="IB47" s="4" t="s">
        <v>282</v>
      </c>
      <c r="IC47" s="4" t="s">
        <v>282</v>
      </c>
    </row>
    <row r="48" spans="1:237" x14ac:dyDescent="0.2">
      <c r="A48" s="3">
        <v>45748.527708333335</v>
      </c>
      <c r="B48" s="3">
        <v>45748.559224537035</v>
      </c>
      <c r="C48" s="1">
        <v>0</v>
      </c>
      <c r="D48" s="4" t="s">
        <v>829</v>
      </c>
      <c r="E48" s="1">
        <v>100</v>
      </c>
      <c r="F48" s="1">
        <v>2722</v>
      </c>
      <c r="G48" s="1">
        <v>1</v>
      </c>
      <c r="H48" s="3">
        <v>45748.559239050926</v>
      </c>
      <c r="I48" s="4" t="s">
        <v>830</v>
      </c>
      <c r="J48" s="4" t="s">
        <v>282</v>
      </c>
      <c r="K48" s="4" t="s">
        <v>282</v>
      </c>
      <c r="L48" s="4" t="s">
        <v>282</v>
      </c>
      <c r="M48" s="4" t="s">
        <v>282</v>
      </c>
      <c r="N48" s="1">
        <v>49.817900000000002</v>
      </c>
      <c r="O48" s="1">
        <v>-97.153499999999994</v>
      </c>
      <c r="P48" s="4" t="s">
        <v>283</v>
      </c>
      <c r="Q48" s="4" t="s">
        <v>284</v>
      </c>
      <c r="R48" s="1">
        <v>0.89999997615814209</v>
      </c>
      <c r="S48" s="1">
        <v>1</v>
      </c>
      <c r="T48" s="1">
        <v>1</v>
      </c>
      <c r="U48" s="1">
        <v>1</v>
      </c>
      <c r="V48" s="1">
        <v>1</v>
      </c>
      <c r="W48" s="1">
        <v>5</v>
      </c>
      <c r="X48" s="4" t="s">
        <v>1294</v>
      </c>
      <c r="Y48" s="1">
        <v>5</v>
      </c>
      <c r="Z48" s="1">
        <v>3</v>
      </c>
      <c r="AA48" s="1">
        <v>1</v>
      </c>
      <c r="AB48" s="1">
        <v>1</v>
      </c>
      <c r="AC48" s="4" t="s">
        <v>282</v>
      </c>
      <c r="AD48" s="1">
        <v>5</v>
      </c>
      <c r="AE48" s="1">
        <v>27.196000000000002</v>
      </c>
      <c r="AF48" s="1">
        <v>30.582999999999998</v>
      </c>
      <c r="AG48" s="1">
        <v>32.448</v>
      </c>
      <c r="AH48" s="1">
        <v>4</v>
      </c>
      <c r="AI48" s="4" t="s">
        <v>282</v>
      </c>
      <c r="AJ48" s="1">
        <v>6</v>
      </c>
      <c r="AK48" s="1">
        <v>15.154</v>
      </c>
      <c r="AL48" s="1">
        <v>19.21</v>
      </c>
      <c r="AM48" s="1">
        <v>20.254999999999999</v>
      </c>
      <c r="AN48" s="1">
        <v>4</v>
      </c>
      <c r="AO48" s="1">
        <v>4</v>
      </c>
      <c r="AP48" s="1">
        <v>6</v>
      </c>
      <c r="AQ48" s="1">
        <v>29.170999999999999</v>
      </c>
      <c r="AR48" s="1">
        <v>52.256999999999998</v>
      </c>
      <c r="AS48" s="1">
        <v>53.826000000000001</v>
      </c>
      <c r="AT48" s="1">
        <v>5</v>
      </c>
      <c r="AU48" s="1">
        <v>5</v>
      </c>
      <c r="AV48" s="1">
        <v>6</v>
      </c>
      <c r="AW48" s="1">
        <v>14.635</v>
      </c>
      <c r="AX48" s="1">
        <v>23.309000000000001</v>
      </c>
      <c r="AY48" s="1">
        <v>24.640999999999998</v>
      </c>
      <c r="AZ48" s="1">
        <v>5</v>
      </c>
      <c r="BA48" s="1">
        <v>5</v>
      </c>
      <c r="BB48" s="1">
        <v>6</v>
      </c>
      <c r="BC48" s="1">
        <v>15.286</v>
      </c>
      <c r="BD48" s="1">
        <v>18.177</v>
      </c>
      <c r="BE48" s="1">
        <v>19.312999999999999</v>
      </c>
      <c r="BF48" s="1">
        <v>4</v>
      </c>
      <c r="BG48" s="4" t="s">
        <v>282</v>
      </c>
      <c r="BH48" s="1">
        <v>5</v>
      </c>
      <c r="BI48" s="1">
        <v>13.946999999999999</v>
      </c>
      <c r="BJ48" s="1">
        <v>20.367999999999999</v>
      </c>
      <c r="BK48" s="1">
        <v>21.241</v>
      </c>
      <c r="BL48" s="1">
        <v>5</v>
      </c>
      <c r="BM48" s="1">
        <v>2</v>
      </c>
      <c r="BN48" s="1">
        <v>6</v>
      </c>
      <c r="BO48" s="1">
        <v>44.656999999999996</v>
      </c>
      <c r="BP48" s="1">
        <v>76.710999999999999</v>
      </c>
      <c r="BQ48" s="1">
        <v>79.430000000000007</v>
      </c>
      <c r="BR48" s="1">
        <v>6</v>
      </c>
      <c r="BS48" s="1">
        <v>4</v>
      </c>
      <c r="BT48" s="1">
        <v>5</v>
      </c>
      <c r="BU48" s="1">
        <v>35.683</v>
      </c>
      <c r="BV48" s="1">
        <v>39.402000000000001</v>
      </c>
      <c r="BW48" s="1">
        <v>40.875999999999998</v>
      </c>
      <c r="BX48" s="1">
        <v>4</v>
      </c>
      <c r="BY48" s="1">
        <v>5</v>
      </c>
      <c r="BZ48" s="1">
        <v>6</v>
      </c>
      <c r="CA48" s="1">
        <v>15.138999999999999</v>
      </c>
      <c r="CB48" s="1">
        <v>17.289000000000001</v>
      </c>
      <c r="CC48" s="1">
        <v>18.106000000000002</v>
      </c>
      <c r="CD48" s="1">
        <v>4</v>
      </c>
      <c r="CE48" s="1">
        <v>3</v>
      </c>
      <c r="CF48" s="1">
        <v>6</v>
      </c>
      <c r="CG48" s="1">
        <v>29.125</v>
      </c>
      <c r="CH48" s="1">
        <v>35.768999999999998</v>
      </c>
      <c r="CI48" s="1">
        <v>37.161999999999999</v>
      </c>
      <c r="CJ48" s="1">
        <v>4</v>
      </c>
      <c r="CK48" s="4" t="s">
        <v>282</v>
      </c>
      <c r="CL48" s="1">
        <v>6</v>
      </c>
      <c r="CM48" s="1">
        <v>16.356999999999999</v>
      </c>
      <c r="CN48" s="1">
        <v>18.899999999999999</v>
      </c>
      <c r="CO48" s="1">
        <v>20.259</v>
      </c>
      <c r="CP48" s="1">
        <v>4</v>
      </c>
      <c r="CQ48" s="1">
        <v>4</v>
      </c>
      <c r="CR48" s="1">
        <v>5</v>
      </c>
      <c r="CS48" s="1">
        <v>12.593</v>
      </c>
      <c r="CT48" s="1">
        <v>18.657</v>
      </c>
      <c r="CU48" s="1">
        <v>19.835000000000001</v>
      </c>
      <c r="CV48" s="1">
        <v>5</v>
      </c>
      <c r="CW48" s="1">
        <v>4</v>
      </c>
      <c r="CX48" s="1">
        <v>6</v>
      </c>
      <c r="CY48" s="1">
        <v>16.721</v>
      </c>
      <c r="CZ48" s="1">
        <v>21.106000000000002</v>
      </c>
      <c r="DA48" s="1">
        <v>22.401</v>
      </c>
      <c r="DB48" s="1">
        <v>4</v>
      </c>
      <c r="DC48" s="1">
        <v>5</v>
      </c>
      <c r="DD48" s="1">
        <v>6</v>
      </c>
      <c r="DE48" s="1">
        <v>20.785</v>
      </c>
      <c r="DF48" s="1">
        <v>23.684999999999999</v>
      </c>
      <c r="DG48" s="1">
        <v>25.056000000000001</v>
      </c>
      <c r="DH48" s="1">
        <v>4</v>
      </c>
      <c r="DI48" s="1">
        <v>3</v>
      </c>
      <c r="DJ48" s="1">
        <v>7</v>
      </c>
      <c r="DK48" s="1">
        <v>12.644</v>
      </c>
      <c r="DL48" s="1">
        <v>20.516999999999999</v>
      </c>
      <c r="DM48" s="1">
        <v>21.904</v>
      </c>
      <c r="DN48" s="1">
        <v>6</v>
      </c>
      <c r="DO48" s="4" t="s">
        <v>282</v>
      </c>
      <c r="DP48" s="1">
        <v>7</v>
      </c>
      <c r="DQ48" s="1">
        <v>16.042999999999999</v>
      </c>
      <c r="DR48" s="1">
        <v>20.777000000000001</v>
      </c>
      <c r="DS48" s="1">
        <v>22.007999999999999</v>
      </c>
      <c r="DT48" s="1">
        <v>4</v>
      </c>
      <c r="DU48" s="1">
        <v>1</v>
      </c>
      <c r="DV48" s="1">
        <v>6</v>
      </c>
      <c r="DW48" s="1">
        <v>22.172999999999998</v>
      </c>
      <c r="DX48" s="1">
        <v>61.168999999999997</v>
      </c>
      <c r="DY48" s="1">
        <v>64.010000000000005</v>
      </c>
      <c r="DZ48" s="1">
        <v>6</v>
      </c>
      <c r="EA48" s="1">
        <v>1</v>
      </c>
      <c r="EB48" s="1">
        <v>6</v>
      </c>
      <c r="EC48" s="1">
        <v>24.773</v>
      </c>
      <c r="ED48" s="1">
        <v>57.892000000000003</v>
      </c>
      <c r="EE48" s="1">
        <v>58.89</v>
      </c>
      <c r="EF48" s="1">
        <v>5</v>
      </c>
      <c r="EG48" s="1">
        <v>3</v>
      </c>
      <c r="EH48" s="1">
        <v>6</v>
      </c>
      <c r="EI48" s="1">
        <v>15.093999999999999</v>
      </c>
      <c r="EJ48" s="1">
        <v>19.535</v>
      </c>
      <c r="EK48" s="1">
        <v>20.881</v>
      </c>
      <c r="EL48" s="1">
        <v>5</v>
      </c>
      <c r="EM48" s="1">
        <v>3</v>
      </c>
      <c r="EN48" s="1">
        <v>5</v>
      </c>
      <c r="EO48" s="1">
        <v>47.761000000000003</v>
      </c>
      <c r="EP48" s="1">
        <v>87.001000000000005</v>
      </c>
      <c r="EQ48" s="1">
        <v>90.08</v>
      </c>
      <c r="ER48" s="1">
        <v>11</v>
      </c>
      <c r="ES48" s="4" t="s">
        <v>282</v>
      </c>
      <c r="ET48" s="1">
        <v>7</v>
      </c>
      <c r="EU48" s="1">
        <v>19.689</v>
      </c>
      <c r="EV48" s="1">
        <v>30.349</v>
      </c>
      <c r="EW48" s="1">
        <v>31.190999999999999</v>
      </c>
      <c r="EX48" s="1">
        <v>5</v>
      </c>
      <c r="EY48" s="1">
        <v>2</v>
      </c>
      <c r="EZ48" s="1">
        <v>7</v>
      </c>
      <c r="FA48" s="1">
        <v>22.08</v>
      </c>
      <c r="FB48" s="1">
        <v>28.209</v>
      </c>
      <c r="FC48" s="1">
        <v>29.067</v>
      </c>
      <c r="FD48" s="1">
        <v>4</v>
      </c>
      <c r="FE48" s="1">
        <v>5</v>
      </c>
      <c r="FF48" s="1">
        <v>7</v>
      </c>
      <c r="FG48" s="1">
        <v>21.975000000000001</v>
      </c>
      <c r="FH48" s="1">
        <v>25.908999999999999</v>
      </c>
      <c r="FI48" s="1">
        <v>26.984000000000002</v>
      </c>
      <c r="FJ48" s="1">
        <v>4</v>
      </c>
      <c r="FK48" s="4" t="s">
        <v>282</v>
      </c>
      <c r="FL48" s="1">
        <v>7</v>
      </c>
      <c r="FM48" s="1">
        <v>31.361999999999998</v>
      </c>
      <c r="FN48" s="1">
        <v>51.917000000000002</v>
      </c>
      <c r="FO48" s="1">
        <v>53.055999999999997</v>
      </c>
      <c r="FP48" s="1">
        <v>10</v>
      </c>
      <c r="FQ48" s="4" t="s">
        <v>282</v>
      </c>
      <c r="FR48" s="1">
        <v>6</v>
      </c>
      <c r="FS48" s="1">
        <v>48.69</v>
      </c>
      <c r="FT48" s="1">
        <v>53.155000000000001</v>
      </c>
      <c r="FU48" s="1">
        <v>53.69</v>
      </c>
      <c r="FV48" s="1">
        <v>6</v>
      </c>
      <c r="FW48" s="4" t="s">
        <v>282</v>
      </c>
      <c r="FX48" s="1">
        <v>6</v>
      </c>
      <c r="FY48" s="1">
        <v>16.643000000000001</v>
      </c>
      <c r="FZ48" s="1">
        <v>24.638000000000002</v>
      </c>
      <c r="GA48" s="1">
        <v>25.658999999999999</v>
      </c>
      <c r="GB48" s="1">
        <v>5</v>
      </c>
      <c r="GC48" s="1">
        <v>1</v>
      </c>
      <c r="GD48" s="1">
        <v>6</v>
      </c>
      <c r="GE48" s="1">
        <v>27.108000000000001</v>
      </c>
      <c r="GF48" s="1">
        <v>42.05</v>
      </c>
      <c r="GG48" s="1">
        <v>43.253</v>
      </c>
      <c r="GH48" s="1">
        <v>7</v>
      </c>
      <c r="GI48" s="4" t="s">
        <v>282</v>
      </c>
      <c r="GJ48" s="1">
        <v>7</v>
      </c>
      <c r="GK48" s="1">
        <v>15.084</v>
      </c>
      <c r="GL48" s="1">
        <v>18.196000000000002</v>
      </c>
      <c r="GM48" s="1">
        <v>19.25</v>
      </c>
      <c r="GN48" s="1">
        <v>4</v>
      </c>
      <c r="GO48" s="4" t="s">
        <v>282</v>
      </c>
      <c r="GP48" s="1">
        <v>6</v>
      </c>
      <c r="GQ48" s="1">
        <v>36.042000000000002</v>
      </c>
      <c r="GR48" s="1">
        <v>49.058999999999997</v>
      </c>
      <c r="GS48" s="1">
        <v>50.277999999999999</v>
      </c>
      <c r="GT48" s="1">
        <v>5</v>
      </c>
      <c r="GU48" s="4" t="s">
        <v>282</v>
      </c>
      <c r="GV48" s="1">
        <v>6</v>
      </c>
      <c r="GW48" s="1">
        <v>20.013999999999999</v>
      </c>
      <c r="GX48" s="1">
        <v>26.741</v>
      </c>
      <c r="GY48" s="1">
        <v>28.177</v>
      </c>
      <c r="GZ48" s="1">
        <v>6</v>
      </c>
      <c r="HA48" s="1">
        <v>2</v>
      </c>
      <c r="HB48" s="1">
        <v>7</v>
      </c>
      <c r="HC48" s="1">
        <v>33.546999999999997</v>
      </c>
      <c r="HD48" s="1">
        <v>42.942999999999998</v>
      </c>
      <c r="HE48" s="1">
        <v>44.462000000000003</v>
      </c>
      <c r="HF48" s="1">
        <v>6</v>
      </c>
      <c r="HG48" s="1">
        <v>1</v>
      </c>
      <c r="HH48" s="1">
        <v>7</v>
      </c>
      <c r="HI48" s="1">
        <v>147.071</v>
      </c>
      <c r="HJ48" s="1">
        <v>250.685</v>
      </c>
      <c r="HK48" s="1">
        <v>251.886</v>
      </c>
      <c r="HL48" s="1">
        <v>5</v>
      </c>
      <c r="HM48" s="4" t="s">
        <v>831</v>
      </c>
      <c r="HN48" s="4" t="s">
        <v>832</v>
      </c>
      <c r="HO48" s="4" t="s">
        <v>833</v>
      </c>
      <c r="HP48" s="4" t="s">
        <v>834</v>
      </c>
      <c r="HQ48" s="4" t="s">
        <v>835</v>
      </c>
      <c r="HR48" s="4" t="s">
        <v>836</v>
      </c>
      <c r="HS48" s="4" t="s">
        <v>837</v>
      </c>
      <c r="HT48" s="4" t="s">
        <v>838</v>
      </c>
      <c r="HU48" s="4" t="s">
        <v>839</v>
      </c>
      <c r="HV48" s="4" t="s">
        <v>840</v>
      </c>
      <c r="HW48" s="4" t="s">
        <v>841</v>
      </c>
      <c r="HX48" s="4" t="s">
        <v>842</v>
      </c>
      <c r="HY48" s="4" t="s">
        <v>312</v>
      </c>
      <c r="HZ48" s="4" t="s">
        <v>372</v>
      </c>
      <c r="IA48" s="4" t="s">
        <v>325</v>
      </c>
      <c r="IB48" s="4" t="s">
        <v>282</v>
      </c>
      <c r="IC48" s="4" t="s">
        <v>282</v>
      </c>
    </row>
    <row r="49" spans="1:237" x14ac:dyDescent="0.2">
      <c r="A49" s="3">
        <v>45748.534479166665</v>
      </c>
      <c r="B49" s="3">
        <v>45748.567928240744</v>
      </c>
      <c r="C49" s="1">
        <v>0</v>
      </c>
      <c r="D49" s="4" t="s">
        <v>843</v>
      </c>
      <c r="E49" s="1">
        <v>100</v>
      </c>
      <c r="F49" s="1">
        <v>2889</v>
      </c>
      <c r="G49" s="1">
        <v>1</v>
      </c>
      <c r="H49" s="3">
        <v>45748.56794591435</v>
      </c>
      <c r="I49" s="4" t="s">
        <v>844</v>
      </c>
      <c r="J49" s="4" t="s">
        <v>282</v>
      </c>
      <c r="K49" s="4" t="s">
        <v>282</v>
      </c>
      <c r="L49" s="4" t="s">
        <v>282</v>
      </c>
      <c r="M49" s="4" t="s">
        <v>282</v>
      </c>
      <c r="N49" s="1">
        <v>-37.8964</v>
      </c>
      <c r="O49" s="1">
        <v>145.07990000000001</v>
      </c>
      <c r="P49" s="4" t="s">
        <v>283</v>
      </c>
      <c r="Q49" s="4" t="s">
        <v>284</v>
      </c>
      <c r="R49" s="1">
        <v>1</v>
      </c>
      <c r="S49" s="1">
        <v>1</v>
      </c>
      <c r="T49" s="1">
        <v>1</v>
      </c>
      <c r="U49" s="1">
        <v>1</v>
      </c>
      <c r="V49" s="1">
        <v>1</v>
      </c>
      <c r="W49" s="1">
        <v>10</v>
      </c>
      <c r="X49" s="4" t="s">
        <v>497</v>
      </c>
      <c r="Y49" s="1">
        <v>5</v>
      </c>
      <c r="Z49" s="1">
        <v>1</v>
      </c>
      <c r="AA49" s="1">
        <v>2</v>
      </c>
      <c r="AB49" s="1">
        <v>2</v>
      </c>
      <c r="AC49" s="1">
        <v>1</v>
      </c>
      <c r="AD49" s="1">
        <v>5</v>
      </c>
      <c r="AE49" s="1">
        <v>21.27</v>
      </c>
      <c r="AF49" s="1">
        <v>27.059000000000001</v>
      </c>
      <c r="AG49" s="1">
        <v>29.722000000000001</v>
      </c>
      <c r="AH49" s="1">
        <v>3</v>
      </c>
      <c r="AI49" s="1">
        <v>2</v>
      </c>
      <c r="AJ49" s="1">
        <v>6</v>
      </c>
      <c r="AK49" s="1">
        <v>10.766999999999999</v>
      </c>
      <c r="AL49" s="1">
        <v>15.007</v>
      </c>
      <c r="AM49" s="1">
        <v>16.925000000000001</v>
      </c>
      <c r="AN49" s="1">
        <v>2</v>
      </c>
      <c r="AO49" s="1">
        <v>2</v>
      </c>
      <c r="AP49" s="1">
        <v>7</v>
      </c>
      <c r="AQ49" s="1">
        <v>5.5460000000000003</v>
      </c>
      <c r="AR49" s="1">
        <v>8.01</v>
      </c>
      <c r="AS49" s="1">
        <v>9.2840000000000007</v>
      </c>
      <c r="AT49" s="1">
        <v>2</v>
      </c>
      <c r="AU49" s="1">
        <v>5</v>
      </c>
      <c r="AV49" s="1">
        <v>6</v>
      </c>
      <c r="AW49" s="1">
        <v>7.7969999999999997</v>
      </c>
      <c r="AX49" s="1">
        <v>8.7590000000000003</v>
      </c>
      <c r="AY49" s="1">
        <v>9.9</v>
      </c>
      <c r="AZ49" s="1">
        <v>2</v>
      </c>
      <c r="BA49" s="1">
        <v>5</v>
      </c>
      <c r="BB49" s="1">
        <v>6</v>
      </c>
      <c r="BC49" s="1">
        <v>8.3460000000000001</v>
      </c>
      <c r="BD49" s="1">
        <v>10.569000000000001</v>
      </c>
      <c r="BE49" s="1">
        <v>11.198</v>
      </c>
      <c r="BF49" s="1">
        <v>2</v>
      </c>
      <c r="BG49" s="1">
        <v>1</v>
      </c>
      <c r="BH49" s="1">
        <v>6</v>
      </c>
      <c r="BI49" s="1">
        <v>17.419</v>
      </c>
      <c r="BJ49" s="1">
        <v>22.518999999999998</v>
      </c>
      <c r="BK49" s="1">
        <v>24.780999999999999</v>
      </c>
      <c r="BL49" s="1">
        <v>2</v>
      </c>
      <c r="BM49" s="1">
        <v>2</v>
      </c>
      <c r="BN49" s="1">
        <v>6</v>
      </c>
      <c r="BO49" s="1">
        <v>1.8520000000000001</v>
      </c>
      <c r="BP49" s="1">
        <v>16.053999999999998</v>
      </c>
      <c r="BQ49" s="1">
        <v>17.047000000000001</v>
      </c>
      <c r="BR49" s="1">
        <v>3</v>
      </c>
      <c r="BS49" s="1">
        <v>1</v>
      </c>
      <c r="BT49" s="1">
        <v>5</v>
      </c>
      <c r="BU49" s="1">
        <v>19.183</v>
      </c>
      <c r="BV49" s="1">
        <v>32.548999999999999</v>
      </c>
      <c r="BW49" s="1">
        <v>33.549999999999997</v>
      </c>
      <c r="BX49" s="1">
        <v>3</v>
      </c>
      <c r="BY49" s="1">
        <v>5</v>
      </c>
      <c r="BZ49" s="1">
        <v>5</v>
      </c>
      <c r="CA49" s="1">
        <v>11.048999999999999</v>
      </c>
      <c r="CB49" s="1">
        <v>15.365</v>
      </c>
      <c r="CC49" s="1">
        <v>16.038</v>
      </c>
      <c r="CD49" s="1">
        <v>3</v>
      </c>
      <c r="CE49" s="1">
        <v>3</v>
      </c>
      <c r="CF49" s="1">
        <v>6</v>
      </c>
      <c r="CG49" s="1">
        <v>16.193999999999999</v>
      </c>
      <c r="CH49" s="1">
        <v>21.707999999999998</v>
      </c>
      <c r="CI49" s="1">
        <v>23.26</v>
      </c>
      <c r="CJ49" s="1">
        <v>2</v>
      </c>
      <c r="CK49" s="1">
        <v>1</v>
      </c>
      <c r="CL49" s="1">
        <v>4</v>
      </c>
      <c r="CM49" s="1">
        <v>17.443000000000001</v>
      </c>
      <c r="CN49" s="1">
        <v>18.312999999999999</v>
      </c>
      <c r="CO49" s="1">
        <v>32.529000000000003</v>
      </c>
      <c r="CP49" s="1">
        <v>2</v>
      </c>
      <c r="CQ49" s="1">
        <v>4</v>
      </c>
      <c r="CR49" s="1">
        <v>4</v>
      </c>
      <c r="CS49" s="1">
        <v>25.994</v>
      </c>
      <c r="CT49" s="1">
        <v>27.042999999999999</v>
      </c>
      <c r="CU49" s="1">
        <v>29.513000000000002</v>
      </c>
      <c r="CV49" s="1">
        <v>2</v>
      </c>
      <c r="CW49" s="1">
        <v>1</v>
      </c>
      <c r="CX49" s="1">
        <v>5</v>
      </c>
      <c r="CY49" s="1">
        <v>32.091999999999999</v>
      </c>
      <c r="CZ49" s="1">
        <v>33.497999999999998</v>
      </c>
      <c r="DA49" s="1">
        <v>34.968000000000004</v>
      </c>
      <c r="DB49" s="1">
        <v>2</v>
      </c>
      <c r="DC49" s="1">
        <v>5</v>
      </c>
      <c r="DD49" s="1">
        <v>5</v>
      </c>
      <c r="DE49" s="1">
        <v>11.454000000000001</v>
      </c>
      <c r="DF49" s="1">
        <v>12.677</v>
      </c>
      <c r="DG49" s="1">
        <v>17.013999999999999</v>
      </c>
      <c r="DH49" s="1">
        <v>2</v>
      </c>
      <c r="DI49" s="1">
        <v>3</v>
      </c>
      <c r="DJ49" s="1">
        <v>6</v>
      </c>
      <c r="DK49" s="1">
        <v>7.774</v>
      </c>
      <c r="DL49" s="1">
        <v>14.811999999999999</v>
      </c>
      <c r="DM49" s="1">
        <v>15.37</v>
      </c>
      <c r="DN49" s="1">
        <v>4</v>
      </c>
      <c r="DO49" s="1">
        <v>1</v>
      </c>
      <c r="DP49" s="1">
        <v>6</v>
      </c>
      <c r="DQ49" s="1">
        <v>3.786</v>
      </c>
      <c r="DR49" s="1">
        <v>21.102</v>
      </c>
      <c r="DS49" s="1">
        <v>22.358000000000001</v>
      </c>
      <c r="DT49" s="1">
        <v>3</v>
      </c>
      <c r="DU49" s="1">
        <v>4</v>
      </c>
      <c r="DV49" s="1">
        <v>6</v>
      </c>
      <c r="DW49" s="1">
        <v>6.5030000000000001</v>
      </c>
      <c r="DX49" s="1">
        <v>8.7319999999999993</v>
      </c>
      <c r="DY49" s="1">
        <v>10.874000000000001</v>
      </c>
      <c r="DZ49" s="1">
        <v>2</v>
      </c>
      <c r="EA49" s="1">
        <v>4</v>
      </c>
      <c r="EB49" s="1">
        <v>6</v>
      </c>
      <c r="EC49" s="1">
        <v>27.69</v>
      </c>
      <c r="ED49" s="1">
        <v>29.457999999999998</v>
      </c>
      <c r="EE49" s="1">
        <v>30.79</v>
      </c>
      <c r="EF49" s="1">
        <v>2</v>
      </c>
      <c r="EG49" s="1">
        <v>5</v>
      </c>
      <c r="EH49" s="1">
        <v>6</v>
      </c>
      <c r="EI49" s="1">
        <v>9.7669999999999995</v>
      </c>
      <c r="EJ49" s="1">
        <v>13.959</v>
      </c>
      <c r="EK49" s="1">
        <v>14.548</v>
      </c>
      <c r="EL49" s="1">
        <v>3</v>
      </c>
      <c r="EM49" s="1">
        <v>3</v>
      </c>
      <c r="EN49" s="1">
        <v>7</v>
      </c>
      <c r="EO49" s="1">
        <v>7.8929999999999998</v>
      </c>
      <c r="EP49" s="1">
        <v>11.574</v>
      </c>
      <c r="EQ49" s="1">
        <v>13.077</v>
      </c>
      <c r="ER49" s="1">
        <v>2</v>
      </c>
      <c r="ES49" s="1">
        <v>1</v>
      </c>
      <c r="ET49" s="1">
        <v>6</v>
      </c>
      <c r="EU49" s="1">
        <v>3.8079999999999998</v>
      </c>
      <c r="EV49" s="1">
        <v>5.4059999999999997</v>
      </c>
      <c r="EW49" s="1">
        <v>11.35</v>
      </c>
      <c r="EX49" s="1">
        <v>2</v>
      </c>
      <c r="EY49" s="1">
        <v>2</v>
      </c>
      <c r="EZ49" s="1">
        <v>7</v>
      </c>
      <c r="FA49" s="1">
        <v>10.191000000000001</v>
      </c>
      <c r="FB49" s="1">
        <v>11.996</v>
      </c>
      <c r="FC49" s="1">
        <v>15.31</v>
      </c>
      <c r="FD49" s="1">
        <v>2</v>
      </c>
      <c r="FE49" s="1">
        <v>5</v>
      </c>
      <c r="FF49" s="1">
        <v>5</v>
      </c>
      <c r="FG49" s="1">
        <v>4.9939999999999998</v>
      </c>
      <c r="FH49" s="1">
        <v>8.7370000000000001</v>
      </c>
      <c r="FI49" s="1">
        <v>11.641999999999999</v>
      </c>
      <c r="FJ49" s="1">
        <v>2</v>
      </c>
      <c r="FK49" s="1">
        <v>1</v>
      </c>
      <c r="FL49" s="1">
        <v>7</v>
      </c>
      <c r="FM49" s="1">
        <v>4.3099999999999996</v>
      </c>
      <c r="FN49" s="1">
        <v>15.833</v>
      </c>
      <c r="FO49" s="1">
        <v>16.959</v>
      </c>
      <c r="FP49" s="1">
        <v>5</v>
      </c>
      <c r="FQ49" s="1">
        <v>2</v>
      </c>
      <c r="FR49" s="1">
        <v>6</v>
      </c>
      <c r="FS49" s="1">
        <v>3.4359999999999999</v>
      </c>
      <c r="FT49" s="1">
        <v>5.9859999999999998</v>
      </c>
      <c r="FU49" s="1">
        <v>9.19</v>
      </c>
      <c r="FV49" s="1">
        <v>2</v>
      </c>
      <c r="FW49" s="1">
        <v>5</v>
      </c>
      <c r="FX49" s="1">
        <v>7</v>
      </c>
      <c r="FY49" s="1">
        <v>4.5350000000000001</v>
      </c>
      <c r="FZ49" s="1">
        <v>38.356000000000002</v>
      </c>
      <c r="GA49" s="1">
        <v>45.377000000000002</v>
      </c>
      <c r="GB49" s="1">
        <v>12</v>
      </c>
      <c r="GC49" s="1">
        <v>1</v>
      </c>
      <c r="GD49" s="1">
        <v>7</v>
      </c>
      <c r="GE49" s="1">
        <v>5.444</v>
      </c>
      <c r="GF49" s="1">
        <v>7.1390000000000002</v>
      </c>
      <c r="GG49" s="1">
        <v>10.933999999999999</v>
      </c>
      <c r="GH49" s="1">
        <v>2</v>
      </c>
      <c r="GI49" s="1">
        <v>2</v>
      </c>
      <c r="GJ49" s="1">
        <v>6</v>
      </c>
      <c r="GK49" s="1">
        <v>1.7310000000000001</v>
      </c>
      <c r="GL49" s="1">
        <v>18.591000000000001</v>
      </c>
      <c r="GM49" s="1">
        <v>19.771000000000001</v>
      </c>
      <c r="GN49" s="1">
        <v>3</v>
      </c>
      <c r="GO49" s="1">
        <v>5</v>
      </c>
      <c r="GP49" s="1">
        <v>5</v>
      </c>
      <c r="GQ49" s="1">
        <v>4.1420000000000003</v>
      </c>
      <c r="GR49" s="1">
        <v>8.6809999999999992</v>
      </c>
      <c r="GS49" s="1">
        <v>13.269</v>
      </c>
      <c r="GT49" s="1">
        <v>2</v>
      </c>
      <c r="GU49" s="1">
        <v>1</v>
      </c>
      <c r="GV49" s="1">
        <v>6</v>
      </c>
      <c r="GW49" s="1">
        <v>4.8570000000000002</v>
      </c>
      <c r="GX49" s="1">
        <v>9.2370000000000001</v>
      </c>
      <c r="GY49" s="1">
        <v>11.869</v>
      </c>
      <c r="GZ49" s="1">
        <v>2</v>
      </c>
      <c r="HA49" s="1">
        <v>2</v>
      </c>
      <c r="HB49" s="1">
        <v>6</v>
      </c>
      <c r="HC49" s="1">
        <v>6.5789999999999997</v>
      </c>
      <c r="HD49" s="1">
        <v>7.8330000000000002</v>
      </c>
      <c r="HE49" s="1">
        <v>8.93</v>
      </c>
      <c r="HF49" s="1">
        <v>2</v>
      </c>
      <c r="HG49" s="1">
        <v>1</v>
      </c>
      <c r="HH49" s="1">
        <v>5</v>
      </c>
      <c r="HI49" s="1">
        <v>7.319</v>
      </c>
      <c r="HJ49" s="1">
        <v>8.1780000000000008</v>
      </c>
      <c r="HK49" s="1">
        <v>12.023</v>
      </c>
      <c r="HL49" s="1">
        <v>2</v>
      </c>
      <c r="HM49" s="4" t="s">
        <v>846</v>
      </c>
      <c r="HN49" s="4" t="s">
        <v>847</v>
      </c>
      <c r="HO49" s="4" t="s">
        <v>848</v>
      </c>
      <c r="HP49" s="4" t="s">
        <v>849</v>
      </c>
      <c r="HQ49" s="4" t="s">
        <v>850</v>
      </c>
      <c r="HR49" s="4" t="s">
        <v>851</v>
      </c>
      <c r="HS49" s="4" t="s">
        <v>852</v>
      </c>
      <c r="HT49" s="4" t="s">
        <v>853</v>
      </c>
      <c r="HU49" s="4" t="s">
        <v>854</v>
      </c>
      <c r="HV49" s="4" t="s">
        <v>855</v>
      </c>
      <c r="HW49" s="4" t="s">
        <v>856</v>
      </c>
      <c r="HX49" s="4" t="s">
        <v>857</v>
      </c>
      <c r="HY49" s="4" t="s">
        <v>312</v>
      </c>
      <c r="HZ49" s="4" t="s">
        <v>372</v>
      </c>
      <c r="IA49" s="4" t="s">
        <v>325</v>
      </c>
      <c r="IB49" s="4" t="s">
        <v>282</v>
      </c>
      <c r="IC49" s="4" t="s">
        <v>282</v>
      </c>
    </row>
    <row r="50" spans="1:237" x14ac:dyDescent="0.2">
      <c r="A50" s="3">
        <v>45748.583599537036</v>
      </c>
      <c r="B50" s="3">
        <v>45748.592592592591</v>
      </c>
      <c r="C50" s="1">
        <v>0</v>
      </c>
      <c r="D50" s="4" t="s">
        <v>858</v>
      </c>
      <c r="E50" s="1">
        <v>100</v>
      </c>
      <c r="F50" s="1">
        <v>776</v>
      </c>
      <c r="G50" s="1">
        <v>1</v>
      </c>
      <c r="H50" s="3">
        <v>45748.592600682867</v>
      </c>
      <c r="I50" s="4" t="s">
        <v>859</v>
      </c>
      <c r="J50" s="4" t="s">
        <v>282</v>
      </c>
      <c r="K50" s="4" t="s">
        <v>282</v>
      </c>
      <c r="L50" s="4" t="s">
        <v>282</v>
      </c>
      <c r="M50" s="4" t="s">
        <v>282</v>
      </c>
      <c r="N50" s="1">
        <v>42.338799999999999</v>
      </c>
      <c r="O50" s="1">
        <v>-71.072599999999994</v>
      </c>
      <c r="P50" s="4" t="s">
        <v>283</v>
      </c>
      <c r="Q50" s="4" t="s">
        <v>284</v>
      </c>
      <c r="R50" s="1">
        <v>0.89999997615814209</v>
      </c>
      <c r="S50" s="1">
        <v>1</v>
      </c>
      <c r="T50" s="1">
        <v>1</v>
      </c>
      <c r="U50" s="1">
        <v>1</v>
      </c>
      <c r="V50" s="1">
        <v>1</v>
      </c>
      <c r="W50" s="1">
        <v>4</v>
      </c>
      <c r="X50" s="4" t="s">
        <v>1295</v>
      </c>
      <c r="Y50" s="1">
        <v>5</v>
      </c>
      <c r="Z50" s="1">
        <v>1</v>
      </c>
      <c r="AA50" s="1">
        <v>5</v>
      </c>
      <c r="AB50" s="1">
        <v>2</v>
      </c>
      <c r="AC50" s="4" t="s">
        <v>282</v>
      </c>
      <c r="AD50" s="1">
        <v>5</v>
      </c>
      <c r="AE50" s="1">
        <v>10.622999999999999</v>
      </c>
      <c r="AF50" s="1">
        <v>13.131</v>
      </c>
      <c r="AG50" s="1">
        <v>14.275</v>
      </c>
      <c r="AH50" s="1">
        <v>2</v>
      </c>
      <c r="AI50" s="1">
        <v>2</v>
      </c>
      <c r="AJ50" s="1">
        <v>7</v>
      </c>
      <c r="AK50" s="1">
        <v>5.9859999999999998</v>
      </c>
      <c r="AL50" s="1">
        <v>7.1289999999999996</v>
      </c>
      <c r="AM50" s="1">
        <v>8.65</v>
      </c>
      <c r="AN50" s="1">
        <v>2</v>
      </c>
      <c r="AO50" s="1">
        <v>2</v>
      </c>
      <c r="AP50" s="1">
        <v>7</v>
      </c>
      <c r="AQ50" s="1">
        <v>8.5960000000000001</v>
      </c>
      <c r="AR50" s="1">
        <v>11.398999999999999</v>
      </c>
      <c r="AS50" s="1">
        <v>12.619</v>
      </c>
      <c r="AT50" s="1">
        <v>2</v>
      </c>
      <c r="AU50" s="1">
        <v>5</v>
      </c>
      <c r="AV50" s="1">
        <v>5</v>
      </c>
      <c r="AW50" s="1">
        <v>12.205</v>
      </c>
      <c r="AX50" s="1">
        <v>16.311</v>
      </c>
      <c r="AY50" s="1">
        <v>17.138999999999999</v>
      </c>
      <c r="AZ50" s="1">
        <v>3</v>
      </c>
      <c r="BA50" s="1">
        <v>5</v>
      </c>
      <c r="BB50" s="1">
        <v>7</v>
      </c>
      <c r="BC50" s="1">
        <v>7.23</v>
      </c>
      <c r="BD50" s="1">
        <v>9.9589999999999996</v>
      </c>
      <c r="BE50" s="1">
        <v>10.622</v>
      </c>
      <c r="BF50" s="1">
        <v>3</v>
      </c>
      <c r="BG50" s="1">
        <v>1</v>
      </c>
      <c r="BH50" s="1">
        <v>6</v>
      </c>
      <c r="BI50" s="1">
        <v>6.5990000000000002</v>
      </c>
      <c r="BJ50" s="1">
        <v>7.5890000000000004</v>
      </c>
      <c r="BK50" s="1">
        <v>8.5009999999999994</v>
      </c>
      <c r="BL50" s="1">
        <v>2</v>
      </c>
      <c r="BM50" s="1">
        <v>2</v>
      </c>
      <c r="BN50" s="1">
        <v>7</v>
      </c>
      <c r="BO50" s="1">
        <v>10.465</v>
      </c>
      <c r="BP50" s="1">
        <v>12.336</v>
      </c>
      <c r="BQ50" s="1">
        <v>13.045999999999999</v>
      </c>
      <c r="BR50" s="1">
        <v>3</v>
      </c>
      <c r="BS50" s="1">
        <v>3</v>
      </c>
      <c r="BT50" s="1">
        <v>6</v>
      </c>
      <c r="BU50" s="1">
        <v>10.523999999999999</v>
      </c>
      <c r="BV50" s="1">
        <v>14.122</v>
      </c>
      <c r="BW50" s="1">
        <v>15.003</v>
      </c>
      <c r="BX50" s="1">
        <v>2</v>
      </c>
      <c r="BY50" s="1">
        <v>5</v>
      </c>
      <c r="BZ50" s="1">
        <v>6</v>
      </c>
      <c r="CA50" s="1">
        <v>24.263999999999999</v>
      </c>
      <c r="CB50" s="1">
        <v>34.954999999999998</v>
      </c>
      <c r="CC50" s="1">
        <v>36.021000000000001</v>
      </c>
      <c r="CD50" s="1">
        <v>3</v>
      </c>
      <c r="CE50" s="1">
        <v>3</v>
      </c>
      <c r="CF50" s="1">
        <v>7</v>
      </c>
      <c r="CG50" s="1">
        <v>12.287000000000001</v>
      </c>
      <c r="CH50" s="1">
        <v>13.163</v>
      </c>
      <c r="CI50" s="1">
        <v>14.2</v>
      </c>
      <c r="CJ50" s="1">
        <v>2</v>
      </c>
      <c r="CK50" s="1">
        <v>1</v>
      </c>
      <c r="CL50" s="1">
        <v>6</v>
      </c>
      <c r="CM50" s="1">
        <v>10.218999999999999</v>
      </c>
      <c r="CN50" s="1">
        <v>11.676</v>
      </c>
      <c r="CO50" s="1">
        <v>12.752000000000001</v>
      </c>
      <c r="CP50" s="1">
        <v>2</v>
      </c>
      <c r="CQ50" s="1">
        <v>2</v>
      </c>
      <c r="CR50" s="1">
        <v>7</v>
      </c>
      <c r="CS50" s="1">
        <v>6.7889999999999997</v>
      </c>
      <c r="CT50" s="1">
        <v>9.0449999999999999</v>
      </c>
      <c r="CU50" s="1">
        <v>10.132999999999999</v>
      </c>
      <c r="CV50" s="1">
        <v>2</v>
      </c>
      <c r="CW50" s="1">
        <v>1</v>
      </c>
      <c r="CX50" s="1">
        <v>5</v>
      </c>
      <c r="CY50" s="1">
        <v>10.487</v>
      </c>
      <c r="CZ50" s="1">
        <v>11.823</v>
      </c>
      <c r="DA50" s="1">
        <v>12.499000000000001</v>
      </c>
      <c r="DB50" s="1">
        <v>2</v>
      </c>
      <c r="DC50" s="1">
        <v>3</v>
      </c>
      <c r="DD50" s="1">
        <v>6</v>
      </c>
      <c r="DE50" s="1">
        <v>9.6649999999999991</v>
      </c>
      <c r="DF50" s="1">
        <v>11.117000000000001</v>
      </c>
      <c r="DG50" s="1">
        <v>11.847</v>
      </c>
      <c r="DH50" s="1">
        <v>2</v>
      </c>
      <c r="DI50" s="1">
        <v>3</v>
      </c>
      <c r="DJ50" s="1">
        <v>7</v>
      </c>
      <c r="DK50" s="1">
        <v>8.2710000000000008</v>
      </c>
      <c r="DL50" s="1">
        <v>9.2829999999999995</v>
      </c>
      <c r="DM50" s="1">
        <v>10.476000000000001</v>
      </c>
      <c r="DN50" s="1">
        <v>2</v>
      </c>
      <c r="DO50" s="1">
        <v>1</v>
      </c>
      <c r="DP50" s="1">
        <v>6</v>
      </c>
      <c r="DQ50" s="1">
        <v>5.8940000000000001</v>
      </c>
      <c r="DR50" s="1">
        <v>7.7560000000000002</v>
      </c>
      <c r="DS50" s="1">
        <v>8.8309999999999995</v>
      </c>
      <c r="DT50" s="1">
        <v>2</v>
      </c>
      <c r="DU50" s="1">
        <v>2</v>
      </c>
      <c r="DV50" s="1">
        <v>7</v>
      </c>
      <c r="DW50" s="1">
        <v>9.9060000000000006</v>
      </c>
      <c r="DX50" s="1">
        <v>11.282999999999999</v>
      </c>
      <c r="DY50" s="1">
        <v>12.159000000000001</v>
      </c>
      <c r="DZ50" s="1">
        <v>2</v>
      </c>
      <c r="EA50" s="1">
        <v>4</v>
      </c>
      <c r="EB50" s="1">
        <v>7</v>
      </c>
      <c r="EC50" s="1">
        <v>6.7549999999999999</v>
      </c>
      <c r="ED50" s="1">
        <v>9.8550000000000004</v>
      </c>
      <c r="EE50" s="1">
        <v>10.4</v>
      </c>
      <c r="EF50" s="1">
        <v>3</v>
      </c>
      <c r="EG50" s="1">
        <v>3</v>
      </c>
      <c r="EH50" s="1">
        <v>7</v>
      </c>
      <c r="EI50" s="1">
        <v>9.0779999999999994</v>
      </c>
      <c r="EJ50" s="1">
        <v>10.055</v>
      </c>
      <c r="EK50" s="1">
        <v>10.773</v>
      </c>
      <c r="EL50" s="1">
        <v>2</v>
      </c>
      <c r="EM50" s="1">
        <v>3</v>
      </c>
      <c r="EN50" s="1">
        <v>7</v>
      </c>
      <c r="EO50" s="1">
        <v>7.952</v>
      </c>
      <c r="EP50" s="1">
        <v>9.2159999999999993</v>
      </c>
      <c r="EQ50" s="1">
        <v>10.95</v>
      </c>
      <c r="ER50" s="1">
        <v>2</v>
      </c>
      <c r="ES50" s="1">
        <v>1</v>
      </c>
      <c r="ET50" s="1">
        <v>4</v>
      </c>
      <c r="EU50" s="1">
        <v>25.853999999999999</v>
      </c>
      <c r="EV50" s="1">
        <v>40.069000000000003</v>
      </c>
      <c r="EW50" s="1">
        <v>41.052999999999997</v>
      </c>
      <c r="EX50" s="1">
        <v>4</v>
      </c>
      <c r="EY50" s="1">
        <v>2</v>
      </c>
      <c r="EZ50" s="1">
        <v>7</v>
      </c>
      <c r="FA50" s="1">
        <v>8.1080000000000005</v>
      </c>
      <c r="FB50" s="1">
        <v>10.680999999999999</v>
      </c>
      <c r="FC50" s="1">
        <v>11.476000000000001</v>
      </c>
      <c r="FD50" s="1">
        <v>2</v>
      </c>
      <c r="FE50" s="1">
        <v>5</v>
      </c>
      <c r="FF50" s="1">
        <v>5</v>
      </c>
      <c r="FG50" s="1">
        <v>8.327</v>
      </c>
      <c r="FH50" s="1">
        <v>11.118</v>
      </c>
      <c r="FI50" s="1">
        <v>11.475</v>
      </c>
      <c r="FJ50" s="1">
        <v>3</v>
      </c>
      <c r="FK50" s="1">
        <v>1</v>
      </c>
      <c r="FL50" s="1">
        <v>6</v>
      </c>
      <c r="FM50" s="1">
        <v>9.2170000000000005</v>
      </c>
      <c r="FN50" s="1">
        <v>10.824</v>
      </c>
      <c r="FO50" s="1">
        <v>11.58</v>
      </c>
      <c r="FP50" s="1">
        <v>2</v>
      </c>
      <c r="FQ50" s="1">
        <v>2</v>
      </c>
      <c r="FR50" s="1">
        <v>6</v>
      </c>
      <c r="FS50" s="1">
        <v>9.1489999999999991</v>
      </c>
      <c r="FT50" s="1">
        <v>10.59</v>
      </c>
      <c r="FU50" s="1">
        <v>11.749000000000001</v>
      </c>
      <c r="FV50" s="1">
        <v>2</v>
      </c>
      <c r="FW50" s="1">
        <v>5</v>
      </c>
      <c r="FX50" s="1">
        <v>7</v>
      </c>
      <c r="FY50" s="1">
        <v>9.9390000000000001</v>
      </c>
      <c r="FZ50" s="1">
        <v>11.446999999999999</v>
      </c>
      <c r="GA50" s="1">
        <v>12.16</v>
      </c>
      <c r="GB50" s="1">
        <v>2</v>
      </c>
      <c r="GC50" s="1">
        <v>1</v>
      </c>
      <c r="GD50" s="1">
        <v>6</v>
      </c>
      <c r="GE50" s="1">
        <v>10.861000000000001</v>
      </c>
      <c r="GF50" s="1">
        <v>12.483000000000001</v>
      </c>
      <c r="GG50" s="1">
        <v>13.8</v>
      </c>
      <c r="GH50" s="1">
        <v>2</v>
      </c>
      <c r="GI50" s="1">
        <v>2</v>
      </c>
      <c r="GJ50" s="1">
        <v>7</v>
      </c>
      <c r="GK50" s="1">
        <v>8.0449999999999999</v>
      </c>
      <c r="GL50" s="1">
        <v>8.9030000000000005</v>
      </c>
      <c r="GM50" s="1">
        <v>9.5850000000000009</v>
      </c>
      <c r="GN50" s="1">
        <v>2</v>
      </c>
      <c r="GO50" s="1">
        <v>5</v>
      </c>
      <c r="GP50" s="1">
        <v>5</v>
      </c>
      <c r="GQ50" s="1">
        <v>12.769</v>
      </c>
      <c r="GR50" s="1">
        <v>14.869</v>
      </c>
      <c r="GS50" s="1">
        <v>15.965</v>
      </c>
      <c r="GT50" s="1">
        <v>2</v>
      </c>
      <c r="GU50" s="1">
        <v>1</v>
      </c>
      <c r="GV50" s="1">
        <v>6</v>
      </c>
      <c r="GW50" s="1">
        <v>16.622</v>
      </c>
      <c r="GX50" s="1">
        <v>18.709</v>
      </c>
      <c r="GY50" s="1">
        <v>20.289000000000001</v>
      </c>
      <c r="GZ50" s="1">
        <v>2</v>
      </c>
      <c r="HA50" s="1">
        <v>2</v>
      </c>
      <c r="HB50" s="1">
        <v>7</v>
      </c>
      <c r="HC50" s="1">
        <v>6.6829999999999998</v>
      </c>
      <c r="HD50" s="1">
        <v>9.3149999999999995</v>
      </c>
      <c r="HE50" s="1">
        <v>10.129</v>
      </c>
      <c r="HF50" s="1">
        <v>2</v>
      </c>
      <c r="HG50" s="1">
        <v>1</v>
      </c>
      <c r="HH50" s="1">
        <v>5</v>
      </c>
      <c r="HI50" s="1">
        <v>8.9139999999999997</v>
      </c>
      <c r="HJ50" s="1">
        <v>16.492999999999999</v>
      </c>
      <c r="HK50" s="1">
        <v>16.934999999999999</v>
      </c>
      <c r="HL50" s="1">
        <v>3</v>
      </c>
      <c r="HM50" s="4" t="s">
        <v>861</v>
      </c>
      <c r="HN50" s="4" t="s">
        <v>862</v>
      </c>
      <c r="HO50" s="4" t="s">
        <v>863</v>
      </c>
      <c r="HP50" s="4" t="s">
        <v>863</v>
      </c>
      <c r="HQ50" s="4" t="s">
        <v>864</v>
      </c>
      <c r="HR50" s="4" t="s">
        <v>864</v>
      </c>
      <c r="HS50" s="4" t="s">
        <v>865</v>
      </c>
      <c r="HT50" s="4" t="s">
        <v>866</v>
      </c>
      <c r="HU50" s="4" t="s">
        <v>867</v>
      </c>
      <c r="HV50" s="4" t="s">
        <v>868</v>
      </c>
      <c r="HW50" s="4" t="s">
        <v>282</v>
      </c>
      <c r="HX50" s="4" t="s">
        <v>869</v>
      </c>
      <c r="HY50" s="4" t="s">
        <v>312</v>
      </c>
      <c r="HZ50" s="4" t="s">
        <v>356</v>
      </c>
      <c r="IA50" s="4" t="s">
        <v>313</v>
      </c>
      <c r="IB50" s="4" t="s">
        <v>282</v>
      </c>
      <c r="IC50" s="4" t="s">
        <v>282</v>
      </c>
    </row>
    <row r="51" spans="1:237" x14ac:dyDescent="0.2">
      <c r="A51" s="3">
        <v>45748.582314814812</v>
      </c>
      <c r="B51" s="3">
        <v>45748.596354166664</v>
      </c>
      <c r="C51" s="1">
        <v>0</v>
      </c>
      <c r="D51" s="4" t="s">
        <v>870</v>
      </c>
      <c r="E51" s="1">
        <v>100</v>
      </c>
      <c r="F51" s="1">
        <v>1213</v>
      </c>
      <c r="G51" s="1">
        <v>1</v>
      </c>
      <c r="H51" s="3">
        <v>45748.596369826388</v>
      </c>
      <c r="I51" s="4" t="s">
        <v>871</v>
      </c>
      <c r="J51" s="4" t="s">
        <v>282</v>
      </c>
      <c r="K51" s="4" t="s">
        <v>282</v>
      </c>
      <c r="L51" s="4" t="s">
        <v>282</v>
      </c>
      <c r="M51" s="4" t="s">
        <v>282</v>
      </c>
      <c r="N51" s="1">
        <v>51.109400000000001</v>
      </c>
      <c r="O51" s="1">
        <v>-114.0488</v>
      </c>
      <c r="P51" s="4" t="s">
        <v>283</v>
      </c>
      <c r="Q51" s="4" t="s">
        <v>284</v>
      </c>
      <c r="R51" s="1">
        <v>1</v>
      </c>
      <c r="S51" s="1">
        <v>1</v>
      </c>
      <c r="T51" s="1">
        <v>1</v>
      </c>
      <c r="U51" s="1">
        <v>1</v>
      </c>
      <c r="V51" s="1">
        <v>1</v>
      </c>
      <c r="W51" s="1">
        <v>5</v>
      </c>
      <c r="X51" s="4" t="s">
        <v>1222</v>
      </c>
      <c r="Y51" s="1">
        <v>5</v>
      </c>
      <c r="Z51" s="1">
        <v>1</v>
      </c>
      <c r="AA51" s="1">
        <v>1</v>
      </c>
      <c r="AB51" s="1">
        <v>2</v>
      </c>
      <c r="AC51" s="1">
        <v>1</v>
      </c>
      <c r="AD51" s="1">
        <v>6</v>
      </c>
      <c r="AE51" s="1">
        <v>8.4789999999999992</v>
      </c>
      <c r="AF51" s="1">
        <v>15.563000000000001</v>
      </c>
      <c r="AG51" s="1">
        <v>16.350999999999999</v>
      </c>
      <c r="AH51" s="1">
        <v>7</v>
      </c>
      <c r="AI51" s="1">
        <v>4</v>
      </c>
      <c r="AJ51" s="1">
        <v>5</v>
      </c>
      <c r="AK51" s="1">
        <v>9.1319999999999997</v>
      </c>
      <c r="AL51" s="1">
        <v>15.266999999999999</v>
      </c>
      <c r="AM51" s="1">
        <v>16.041</v>
      </c>
      <c r="AN51" s="1">
        <v>9</v>
      </c>
      <c r="AO51" s="1">
        <v>2</v>
      </c>
      <c r="AP51" s="1">
        <v>5</v>
      </c>
      <c r="AQ51" s="1">
        <v>8.5289999999999999</v>
      </c>
      <c r="AR51" s="1">
        <v>16.308</v>
      </c>
      <c r="AS51" s="1">
        <v>17.033000000000001</v>
      </c>
      <c r="AT51" s="1">
        <v>7</v>
      </c>
      <c r="AU51" s="1">
        <v>5</v>
      </c>
      <c r="AV51" s="1">
        <v>6</v>
      </c>
      <c r="AW51" s="1">
        <v>10.044</v>
      </c>
      <c r="AX51" s="1">
        <v>14.346</v>
      </c>
      <c r="AY51" s="1">
        <v>15.019</v>
      </c>
      <c r="AZ51" s="1">
        <v>6</v>
      </c>
      <c r="BA51" s="1">
        <v>5</v>
      </c>
      <c r="BB51" s="1">
        <v>5</v>
      </c>
      <c r="BC51" s="1">
        <v>11.773</v>
      </c>
      <c r="BD51" s="1">
        <v>17.786000000000001</v>
      </c>
      <c r="BE51" s="1">
        <v>18.43</v>
      </c>
      <c r="BF51" s="1">
        <v>7</v>
      </c>
      <c r="BG51" s="1">
        <v>1</v>
      </c>
      <c r="BH51" s="1">
        <v>6</v>
      </c>
      <c r="BI51" s="1">
        <v>9.6839999999999993</v>
      </c>
      <c r="BJ51" s="1">
        <v>14.702999999999999</v>
      </c>
      <c r="BK51" s="1">
        <v>15.457000000000001</v>
      </c>
      <c r="BL51" s="1">
        <v>7</v>
      </c>
      <c r="BM51" s="1">
        <v>2</v>
      </c>
      <c r="BN51" s="1">
        <v>5</v>
      </c>
      <c r="BO51" s="1">
        <v>10.795999999999999</v>
      </c>
      <c r="BP51" s="1">
        <v>20.227</v>
      </c>
      <c r="BQ51" s="1">
        <v>20.925000000000001</v>
      </c>
      <c r="BR51" s="1">
        <v>7</v>
      </c>
      <c r="BS51" s="1">
        <v>1</v>
      </c>
      <c r="BT51" s="1">
        <v>5</v>
      </c>
      <c r="BU51" s="1">
        <v>7.9279999999999999</v>
      </c>
      <c r="BV51" s="1">
        <v>13.353999999999999</v>
      </c>
      <c r="BW51" s="1">
        <v>14.106</v>
      </c>
      <c r="BX51" s="1">
        <v>7</v>
      </c>
      <c r="BY51" s="1">
        <v>3</v>
      </c>
      <c r="BZ51" s="1">
        <v>5</v>
      </c>
      <c r="CA51" s="1">
        <v>14.515000000000001</v>
      </c>
      <c r="CB51" s="1">
        <v>44.604999999999997</v>
      </c>
      <c r="CC51" s="1">
        <v>45.612000000000002</v>
      </c>
      <c r="CD51" s="1">
        <v>12</v>
      </c>
      <c r="CE51" s="1">
        <v>2</v>
      </c>
      <c r="CF51" s="1">
        <v>5</v>
      </c>
      <c r="CG51" s="1">
        <v>10.028</v>
      </c>
      <c r="CH51" s="1">
        <v>22.626999999999999</v>
      </c>
      <c r="CI51" s="1">
        <v>23.356999999999999</v>
      </c>
      <c r="CJ51" s="1">
        <v>9</v>
      </c>
      <c r="CK51" s="1">
        <v>1</v>
      </c>
      <c r="CL51" s="1">
        <v>6</v>
      </c>
      <c r="CM51" s="1">
        <v>10.46</v>
      </c>
      <c r="CN51" s="1">
        <v>15.9</v>
      </c>
      <c r="CO51" s="1">
        <v>16.581</v>
      </c>
      <c r="CP51" s="1">
        <v>6</v>
      </c>
      <c r="CQ51" s="1">
        <v>2</v>
      </c>
      <c r="CR51" s="1">
        <v>5</v>
      </c>
      <c r="CS51" s="1">
        <v>8.8949999999999996</v>
      </c>
      <c r="CT51" s="1">
        <v>17.067</v>
      </c>
      <c r="CU51" s="1">
        <v>17.548999999999999</v>
      </c>
      <c r="CV51" s="1">
        <v>10</v>
      </c>
      <c r="CW51" s="1">
        <v>1</v>
      </c>
      <c r="CX51" s="1">
        <v>6</v>
      </c>
      <c r="CY51" s="1">
        <v>9.9640000000000004</v>
      </c>
      <c r="CZ51" s="1">
        <v>20.423999999999999</v>
      </c>
      <c r="DA51" s="1">
        <v>21.225000000000001</v>
      </c>
      <c r="DB51" s="1">
        <v>8</v>
      </c>
      <c r="DC51" s="1">
        <v>5</v>
      </c>
      <c r="DD51" s="1">
        <v>6</v>
      </c>
      <c r="DE51" s="1">
        <v>9.2829999999999995</v>
      </c>
      <c r="DF51" s="1">
        <v>13.563000000000001</v>
      </c>
      <c r="DG51" s="1">
        <v>14.311999999999999</v>
      </c>
      <c r="DH51" s="1">
        <v>7</v>
      </c>
      <c r="DI51" s="1">
        <v>1</v>
      </c>
      <c r="DJ51" s="1">
        <v>6</v>
      </c>
      <c r="DK51" s="1">
        <v>9.3710000000000004</v>
      </c>
      <c r="DL51" s="1">
        <v>15.601000000000001</v>
      </c>
      <c r="DM51" s="1">
        <v>16.279</v>
      </c>
      <c r="DN51" s="1">
        <v>8</v>
      </c>
      <c r="DO51" s="1">
        <v>1</v>
      </c>
      <c r="DP51" s="1">
        <v>6</v>
      </c>
      <c r="DQ51" s="1">
        <v>10.647</v>
      </c>
      <c r="DR51" s="1">
        <v>17.253</v>
      </c>
      <c r="DS51" s="1">
        <v>17.783000000000001</v>
      </c>
      <c r="DT51" s="1">
        <v>10</v>
      </c>
      <c r="DU51" s="1">
        <v>4</v>
      </c>
      <c r="DV51" s="1">
        <v>5</v>
      </c>
      <c r="DW51" s="1">
        <v>11.534000000000001</v>
      </c>
      <c r="DX51" s="1">
        <v>19.943999999999999</v>
      </c>
      <c r="DY51" s="1">
        <v>20.818999999999999</v>
      </c>
      <c r="DZ51" s="1">
        <v>7</v>
      </c>
      <c r="EA51" s="4" t="s">
        <v>282</v>
      </c>
      <c r="EB51" s="1">
        <v>6</v>
      </c>
      <c r="EC51" s="1">
        <v>9.4960000000000004</v>
      </c>
      <c r="ED51" s="1">
        <v>14.638</v>
      </c>
      <c r="EE51" s="1">
        <v>15.252000000000001</v>
      </c>
      <c r="EF51" s="1">
        <v>9</v>
      </c>
      <c r="EG51" s="1">
        <v>5</v>
      </c>
      <c r="EH51" s="1">
        <v>5</v>
      </c>
      <c r="EI51" s="1">
        <v>12.512</v>
      </c>
      <c r="EJ51" s="1">
        <v>20.382999999999999</v>
      </c>
      <c r="EK51" s="1">
        <v>21.263999999999999</v>
      </c>
      <c r="EL51" s="1">
        <v>9</v>
      </c>
      <c r="EM51" s="1">
        <v>1</v>
      </c>
      <c r="EN51" s="1">
        <v>6</v>
      </c>
      <c r="EO51" s="1">
        <v>9.2449999999999992</v>
      </c>
      <c r="EP51" s="1">
        <v>13.003</v>
      </c>
      <c r="EQ51" s="1">
        <v>13.837999999999999</v>
      </c>
      <c r="ER51" s="1">
        <v>5</v>
      </c>
      <c r="ES51" s="1">
        <v>1</v>
      </c>
      <c r="ET51" s="1">
        <v>6</v>
      </c>
      <c r="EU51" s="1">
        <v>8.3170000000000002</v>
      </c>
      <c r="EV51" s="1">
        <v>12.393000000000001</v>
      </c>
      <c r="EW51" s="1">
        <v>13.11</v>
      </c>
      <c r="EX51" s="1">
        <v>5</v>
      </c>
      <c r="EY51" s="1">
        <v>2</v>
      </c>
      <c r="EZ51" s="1">
        <v>7</v>
      </c>
      <c r="FA51" s="1">
        <v>11.47</v>
      </c>
      <c r="FB51" s="1">
        <v>14.502000000000001</v>
      </c>
      <c r="FC51" s="1">
        <v>15.164</v>
      </c>
      <c r="FD51" s="1">
        <v>5</v>
      </c>
      <c r="FE51" s="1">
        <v>5</v>
      </c>
      <c r="FF51" s="1">
        <v>6</v>
      </c>
      <c r="FG51" s="1">
        <v>11.058999999999999</v>
      </c>
      <c r="FH51" s="1">
        <v>15.061999999999999</v>
      </c>
      <c r="FI51" s="1">
        <v>15.803000000000001</v>
      </c>
      <c r="FJ51" s="1">
        <v>6</v>
      </c>
      <c r="FK51" s="1">
        <v>2</v>
      </c>
      <c r="FL51" s="1">
        <v>6</v>
      </c>
      <c r="FM51" s="1">
        <v>9.0640000000000001</v>
      </c>
      <c r="FN51" s="1">
        <v>13.73</v>
      </c>
      <c r="FO51" s="1">
        <v>14.456</v>
      </c>
      <c r="FP51" s="1">
        <v>4</v>
      </c>
      <c r="FQ51" s="1">
        <v>2</v>
      </c>
      <c r="FR51" s="1">
        <v>6</v>
      </c>
      <c r="FS51" s="1">
        <v>8.2669999999999995</v>
      </c>
      <c r="FT51" s="1">
        <v>14.708</v>
      </c>
      <c r="FU51" s="1">
        <v>15.631</v>
      </c>
      <c r="FV51" s="1">
        <v>8</v>
      </c>
      <c r="FW51" s="1">
        <v>5</v>
      </c>
      <c r="FX51" s="1">
        <v>5</v>
      </c>
      <c r="FY51" s="1">
        <v>9.3670000000000009</v>
      </c>
      <c r="FZ51" s="1">
        <v>17.812000000000001</v>
      </c>
      <c r="GA51" s="1">
        <v>18.504000000000001</v>
      </c>
      <c r="GB51" s="1">
        <v>6</v>
      </c>
      <c r="GC51" s="1">
        <v>1</v>
      </c>
      <c r="GD51" s="1">
        <v>7</v>
      </c>
      <c r="GE51" s="1">
        <v>9.65</v>
      </c>
      <c r="GF51" s="1">
        <v>13.404</v>
      </c>
      <c r="GG51" s="1">
        <v>14.231</v>
      </c>
      <c r="GH51" s="1">
        <v>5</v>
      </c>
      <c r="GI51" s="1">
        <v>2</v>
      </c>
      <c r="GJ51" s="1">
        <v>7</v>
      </c>
      <c r="GK51" s="1">
        <v>9.1969999999999992</v>
      </c>
      <c r="GL51" s="1">
        <v>13.07</v>
      </c>
      <c r="GM51" s="1">
        <v>13.885</v>
      </c>
      <c r="GN51" s="1">
        <v>5</v>
      </c>
      <c r="GO51" s="1">
        <v>5</v>
      </c>
      <c r="GP51" s="1">
        <v>6</v>
      </c>
      <c r="GQ51" s="1">
        <v>10.164</v>
      </c>
      <c r="GR51" s="1">
        <v>13.541</v>
      </c>
      <c r="GS51" s="1">
        <v>14.237</v>
      </c>
      <c r="GT51" s="1">
        <v>5</v>
      </c>
      <c r="GU51" s="1">
        <v>1</v>
      </c>
      <c r="GV51" s="1">
        <v>6</v>
      </c>
      <c r="GW51" s="1">
        <v>8.8610000000000007</v>
      </c>
      <c r="GX51" s="1">
        <v>12.497999999999999</v>
      </c>
      <c r="GY51" s="1">
        <v>13.257</v>
      </c>
      <c r="GZ51" s="1">
        <v>4</v>
      </c>
      <c r="HA51" s="1">
        <v>2</v>
      </c>
      <c r="HB51" s="1">
        <v>6</v>
      </c>
      <c r="HC51" s="1">
        <v>7.8449999999999998</v>
      </c>
      <c r="HD51" s="1">
        <v>13.571999999999999</v>
      </c>
      <c r="HE51" s="1">
        <v>14.194000000000001</v>
      </c>
      <c r="HF51" s="1">
        <v>6</v>
      </c>
      <c r="HG51" s="1">
        <v>1</v>
      </c>
      <c r="HH51" s="1">
        <v>5</v>
      </c>
      <c r="HI51" s="1">
        <v>10.281000000000001</v>
      </c>
      <c r="HJ51" s="1">
        <v>14.324</v>
      </c>
      <c r="HK51" s="1">
        <v>15.032999999999999</v>
      </c>
      <c r="HL51" s="1">
        <v>6</v>
      </c>
      <c r="HM51" s="4" t="s">
        <v>872</v>
      </c>
      <c r="HN51" s="4" t="s">
        <v>592</v>
      </c>
      <c r="HO51" s="4" t="s">
        <v>873</v>
      </c>
      <c r="HP51" s="4" t="s">
        <v>592</v>
      </c>
      <c r="HQ51" s="4" t="s">
        <v>874</v>
      </c>
      <c r="HR51" s="4" t="s">
        <v>875</v>
      </c>
      <c r="HS51" s="4" t="s">
        <v>693</v>
      </c>
      <c r="HT51" s="4" t="s">
        <v>592</v>
      </c>
      <c r="HU51" s="4" t="s">
        <v>876</v>
      </c>
      <c r="HV51" s="4" t="s">
        <v>592</v>
      </c>
      <c r="HW51" s="4" t="s">
        <v>282</v>
      </c>
      <c r="HX51" s="4" t="s">
        <v>282</v>
      </c>
      <c r="HY51" s="4" t="s">
        <v>312</v>
      </c>
      <c r="HZ51" s="4" t="s">
        <v>372</v>
      </c>
      <c r="IA51" s="4" t="s">
        <v>325</v>
      </c>
      <c r="IB51" s="4" t="s">
        <v>282</v>
      </c>
      <c r="IC51" s="4" t="s">
        <v>282</v>
      </c>
    </row>
    <row r="52" spans="1:237" x14ac:dyDescent="0.2">
      <c r="A52" s="3">
        <v>45748.603229166663</v>
      </c>
      <c r="B52" s="3">
        <v>45748.615682870368</v>
      </c>
      <c r="C52" s="1">
        <v>0</v>
      </c>
      <c r="D52" s="4" t="s">
        <v>877</v>
      </c>
      <c r="E52" s="1">
        <v>100</v>
      </c>
      <c r="F52" s="1">
        <v>1075</v>
      </c>
      <c r="G52" s="1">
        <v>1</v>
      </c>
      <c r="H52" s="3">
        <v>45748.615696817127</v>
      </c>
      <c r="I52" s="4" t="s">
        <v>878</v>
      </c>
      <c r="J52" s="4" t="s">
        <v>282</v>
      </c>
      <c r="K52" s="4" t="s">
        <v>282</v>
      </c>
      <c r="L52" s="4" t="s">
        <v>282</v>
      </c>
      <c r="M52" s="4" t="s">
        <v>282</v>
      </c>
      <c r="N52" s="1">
        <v>49.866599999999998</v>
      </c>
      <c r="O52" s="1">
        <v>-97.195700000000002</v>
      </c>
      <c r="P52" s="4" t="s">
        <v>283</v>
      </c>
      <c r="Q52" s="4" t="s">
        <v>284</v>
      </c>
      <c r="R52" s="1">
        <v>1</v>
      </c>
      <c r="S52" s="1">
        <v>1</v>
      </c>
      <c r="T52" s="1">
        <v>1</v>
      </c>
      <c r="U52" s="1">
        <v>1</v>
      </c>
      <c r="V52" s="1">
        <v>1</v>
      </c>
      <c r="W52" s="1">
        <v>11</v>
      </c>
      <c r="X52" s="4" t="s">
        <v>1222</v>
      </c>
      <c r="Y52" s="1">
        <v>5</v>
      </c>
      <c r="Z52" s="1">
        <v>5</v>
      </c>
      <c r="AA52" s="1">
        <v>1</v>
      </c>
      <c r="AB52" s="1">
        <v>2</v>
      </c>
      <c r="AC52" s="1">
        <v>1</v>
      </c>
      <c r="AD52" s="1">
        <v>5</v>
      </c>
      <c r="AE52" s="1">
        <v>2.7480000000000002</v>
      </c>
      <c r="AF52" s="1">
        <v>18.760999999999999</v>
      </c>
      <c r="AG52" s="1">
        <v>19.286999999999999</v>
      </c>
      <c r="AH52" s="1">
        <v>11</v>
      </c>
      <c r="AI52" s="1">
        <v>2</v>
      </c>
      <c r="AJ52" s="1">
        <v>6</v>
      </c>
      <c r="AK52" s="1">
        <v>1.224</v>
      </c>
      <c r="AL52" s="1">
        <v>10.393000000000001</v>
      </c>
      <c r="AM52" s="1">
        <v>10.877000000000001</v>
      </c>
      <c r="AN52" s="1">
        <v>8</v>
      </c>
      <c r="AO52" s="1">
        <v>2</v>
      </c>
      <c r="AP52" s="1">
        <v>6</v>
      </c>
      <c r="AQ52" s="1">
        <v>1.167</v>
      </c>
      <c r="AR52" s="1">
        <v>13.82</v>
      </c>
      <c r="AS52" s="1">
        <v>14.53</v>
      </c>
      <c r="AT52" s="1">
        <v>9</v>
      </c>
      <c r="AU52" s="1">
        <v>3</v>
      </c>
      <c r="AV52" s="1">
        <v>6</v>
      </c>
      <c r="AW52" s="1">
        <v>1.161</v>
      </c>
      <c r="AX52" s="1">
        <v>24.045000000000002</v>
      </c>
      <c r="AY52" s="1">
        <v>24.603999999999999</v>
      </c>
      <c r="AZ52" s="1">
        <v>11</v>
      </c>
      <c r="BA52" s="1">
        <v>3</v>
      </c>
      <c r="BB52" s="1">
        <v>6</v>
      </c>
      <c r="BC52" s="1">
        <v>2.0070000000000001</v>
      </c>
      <c r="BD52" s="1">
        <v>17.484999999999999</v>
      </c>
      <c r="BE52" s="1">
        <v>18.14</v>
      </c>
      <c r="BF52" s="1">
        <v>9</v>
      </c>
      <c r="BG52" s="1">
        <v>1</v>
      </c>
      <c r="BH52" s="1">
        <v>6</v>
      </c>
      <c r="BI52" s="1">
        <v>1.1140000000000001</v>
      </c>
      <c r="BJ52" s="1">
        <v>12.66</v>
      </c>
      <c r="BK52" s="1">
        <v>13.157999999999999</v>
      </c>
      <c r="BL52" s="1">
        <v>9</v>
      </c>
      <c r="BM52" s="1">
        <v>2</v>
      </c>
      <c r="BN52" s="1">
        <v>6</v>
      </c>
      <c r="BO52" s="1">
        <v>1.2949999999999999</v>
      </c>
      <c r="BP52" s="1">
        <v>10.941000000000001</v>
      </c>
      <c r="BQ52" s="1">
        <v>11.33</v>
      </c>
      <c r="BR52" s="1">
        <v>8</v>
      </c>
      <c r="BS52" s="1">
        <v>5</v>
      </c>
      <c r="BT52" s="1">
        <v>4</v>
      </c>
      <c r="BU52" s="1">
        <v>0.96899999999999997</v>
      </c>
      <c r="BV52" s="1">
        <v>23.643999999999998</v>
      </c>
      <c r="BW52" s="1">
        <v>24.024999999999999</v>
      </c>
      <c r="BX52" s="1">
        <v>12</v>
      </c>
      <c r="BY52" s="1">
        <v>3</v>
      </c>
      <c r="BZ52" s="1">
        <v>6</v>
      </c>
      <c r="CA52" s="1">
        <v>1.3109999999999999</v>
      </c>
      <c r="CB52" s="1">
        <v>14.09</v>
      </c>
      <c r="CC52" s="1">
        <v>14.675000000000001</v>
      </c>
      <c r="CD52" s="1">
        <v>7</v>
      </c>
      <c r="CE52" s="1">
        <v>3</v>
      </c>
      <c r="CF52" s="1">
        <v>6</v>
      </c>
      <c r="CG52" s="1">
        <v>1.046</v>
      </c>
      <c r="CH52" s="1">
        <v>14.654</v>
      </c>
      <c r="CI52" s="1">
        <v>15.228</v>
      </c>
      <c r="CJ52" s="1">
        <v>8</v>
      </c>
      <c r="CK52" s="1">
        <v>1</v>
      </c>
      <c r="CL52" s="1">
        <v>6</v>
      </c>
      <c r="CM52" s="1">
        <v>1.1619999999999999</v>
      </c>
      <c r="CN52" s="1">
        <v>10.130000000000001</v>
      </c>
      <c r="CO52" s="1">
        <v>10.628</v>
      </c>
      <c r="CP52" s="1">
        <v>7</v>
      </c>
      <c r="CQ52" s="1">
        <v>2</v>
      </c>
      <c r="CR52" s="1">
        <v>6</v>
      </c>
      <c r="CS52" s="1">
        <v>8.907</v>
      </c>
      <c r="CT52" s="1">
        <v>13.381</v>
      </c>
      <c r="CU52" s="1">
        <v>13.881</v>
      </c>
      <c r="CV52" s="1">
        <v>7</v>
      </c>
      <c r="CW52" s="1">
        <v>5</v>
      </c>
      <c r="CX52" s="1">
        <v>4</v>
      </c>
      <c r="CY52" s="1">
        <v>1.0960000000000001</v>
      </c>
      <c r="CZ52" s="1">
        <v>15.195</v>
      </c>
      <c r="DA52" s="1">
        <v>15.795999999999999</v>
      </c>
      <c r="DB52" s="1">
        <v>11</v>
      </c>
      <c r="DC52" s="1">
        <v>3</v>
      </c>
      <c r="DD52" s="1">
        <v>6</v>
      </c>
      <c r="DE52" s="1">
        <v>1.2769999999999999</v>
      </c>
      <c r="DF52" s="1">
        <v>13.849</v>
      </c>
      <c r="DG52" s="1">
        <v>14.273</v>
      </c>
      <c r="DH52" s="1">
        <v>9</v>
      </c>
      <c r="DI52" s="1">
        <v>1</v>
      </c>
      <c r="DJ52" s="1">
        <v>5</v>
      </c>
      <c r="DK52" s="1">
        <v>8.2149999999999999</v>
      </c>
      <c r="DL52" s="1">
        <v>16.239000000000001</v>
      </c>
      <c r="DM52" s="1">
        <v>16.716999999999999</v>
      </c>
      <c r="DN52" s="1">
        <v>11</v>
      </c>
      <c r="DO52" s="1">
        <v>1</v>
      </c>
      <c r="DP52" s="1">
        <v>5</v>
      </c>
      <c r="DQ52" s="1">
        <v>1.141</v>
      </c>
      <c r="DR52" s="1">
        <v>11.116</v>
      </c>
      <c r="DS52" s="1">
        <v>12.282999999999999</v>
      </c>
      <c r="DT52" s="1">
        <v>7</v>
      </c>
      <c r="DU52" s="1">
        <v>2</v>
      </c>
      <c r="DV52" s="1">
        <v>6</v>
      </c>
      <c r="DW52" s="1">
        <v>1.173</v>
      </c>
      <c r="DX52" s="1">
        <v>14.3</v>
      </c>
      <c r="DY52" s="1">
        <v>14.788</v>
      </c>
      <c r="DZ52" s="1">
        <v>8</v>
      </c>
      <c r="EA52" s="1">
        <v>4</v>
      </c>
      <c r="EB52" s="1">
        <v>6</v>
      </c>
      <c r="EC52" s="1">
        <v>1.1519999999999999</v>
      </c>
      <c r="ED52" s="1">
        <v>16.954999999999998</v>
      </c>
      <c r="EE52" s="1">
        <v>17.850999999999999</v>
      </c>
      <c r="EF52" s="1">
        <v>7</v>
      </c>
      <c r="EG52" s="1">
        <v>3</v>
      </c>
      <c r="EH52" s="1">
        <v>6</v>
      </c>
      <c r="EI52" s="1">
        <v>1.6259999999999999</v>
      </c>
      <c r="EJ52" s="1">
        <v>12.037000000000001</v>
      </c>
      <c r="EK52" s="1">
        <v>12.648999999999999</v>
      </c>
      <c r="EL52" s="1">
        <v>7</v>
      </c>
      <c r="EM52" s="1">
        <v>1</v>
      </c>
      <c r="EN52" s="1">
        <v>5</v>
      </c>
      <c r="EO52" s="1">
        <v>1.1519999999999999</v>
      </c>
      <c r="EP52" s="1">
        <v>17.782</v>
      </c>
      <c r="EQ52" s="1">
        <v>18.37</v>
      </c>
      <c r="ER52" s="1">
        <v>10</v>
      </c>
      <c r="ES52" s="1">
        <v>1</v>
      </c>
      <c r="ET52" s="1">
        <v>4</v>
      </c>
      <c r="EU52" s="1">
        <v>1.2070000000000001</v>
      </c>
      <c r="EV52" s="1">
        <v>19.494</v>
      </c>
      <c r="EW52" s="1">
        <v>19.905999999999999</v>
      </c>
      <c r="EX52" s="1">
        <v>9</v>
      </c>
      <c r="EY52" s="1">
        <v>2</v>
      </c>
      <c r="EZ52" s="1">
        <v>7</v>
      </c>
      <c r="FA52" s="1">
        <v>1.2070000000000001</v>
      </c>
      <c r="FB52" s="1">
        <v>10.461</v>
      </c>
      <c r="FC52" s="1">
        <v>11.226000000000001</v>
      </c>
      <c r="FD52" s="1">
        <v>8</v>
      </c>
      <c r="FE52" s="1">
        <v>5</v>
      </c>
      <c r="FF52" s="1">
        <v>5</v>
      </c>
      <c r="FG52" s="1">
        <v>1.1839999999999999</v>
      </c>
      <c r="FH52" s="1">
        <v>13.494</v>
      </c>
      <c r="FI52" s="1">
        <v>14.02</v>
      </c>
      <c r="FJ52" s="1">
        <v>8</v>
      </c>
      <c r="FK52" s="1">
        <v>1</v>
      </c>
      <c r="FL52" s="1">
        <v>5</v>
      </c>
      <c r="FM52" s="1">
        <v>1.1910000000000001</v>
      </c>
      <c r="FN52" s="1">
        <v>13.132999999999999</v>
      </c>
      <c r="FO52" s="1">
        <v>13.814</v>
      </c>
      <c r="FP52" s="1">
        <v>8</v>
      </c>
      <c r="FQ52" s="1">
        <v>2</v>
      </c>
      <c r="FR52" s="1">
        <v>6</v>
      </c>
      <c r="FS52" s="1">
        <v>1.694</v>
      </c>
      <c r="FT52" s="1">
        <v>16.954999999999998</v>
      </c>
      <c r="FU52" s="1">
        <v>17.463999999999999</v>
      </c>
      <c r="FV52" s="1">
        <v>10</v>
      </c>
      <c r="FW52" s="1">
        <v>5</v>
      </c>
      <c r="FX52" s="1">
        <v>5</v>
      </c>
      <c r="FY52" s="1">
        <v>1.4850000000000001</v>
      </c>
      <c r="FZ52" s="1">
        <v>16.414000000000001</v>
      </c>
      <c r="GA52" s="1">
        <v>17.963000000000001</v>
      </c>
      <c r="GB52" s="1">
        <v>8</v>
      </c>
      <c r="GC52" s="1">
        <v>1</v>
      </c>
      <c r="GD52" s="1">
        <v>6</v>
      </c>
      <c r="GE52" s="1">
        <v>1.2090000000000001</v>
      </c>
      <c r="GF52" s="1">
        <v>14.515000000000001</v>
      </c>
      <c r="GG52" s="1">
        <v>15.212</v>
      </c>
      <c r="GH52" s="1">
        <v>8</v>
      </c>
      <c r="GI52" s="1">
        <v>2</v>
      </c>
      <c r="GJ52" s="1">
        <v>6</v>
      </c>
      <c r="GK52" s="1">
        <v>1.3049999999999999</v>
      </c>
      <c r="GL52" s="1">
        <v>11.398</v>
      </c>
      <c r="GM52" s="1">
        <v>12.07</v>
      </c>
      <c r="GN52" s="1">
        <v>9</v>
      </c>
      <c r="GO52" s="1">
        <v>5</v>
      </c>
      <c r="GP52" s="1">
        <v>6</v>
      </c>
      <c r="GQ52" s="1">
        <v>1.1439999999999999</v>
      </c>
      <c r="GR52" s="1">
        <v>10.602</v>
      </c>
      <c r="GS52" s="1">
        <v>11.117000000000001</v>
      </c>
      <c r="GT52" s="1">
        <v>8</v>
      </c>
      <c r="GU52" s="1">
        <v>1</v>
      </c>
      <c r="GV52" s="1">
        <v>5</v>
      </c>
      <c r="GW52" s="1">
        <v>2.0209999999999999</v>
      </c>
      <c r="GX52" s="1">
        <v>22.045999999999999</v>
      </c>
      <c r="GY52" s="1">
        <v>22.81</v>
      </c>
      <c r="GZ52" s="1">
        <v>10</v>
      </c>
      <c r="HA52" s="1">
        <v>2</v>
      </c>
      <c r="HB52" s="1">
        <v>7</v>
      </c>
      <c r="HC52" s="1">
        <v>1.3049999999999999</v>
      </c>
      <c r="HD52" s="1">
        <v>11.723000000000001</v>
      </c>
      <c r="HE52" s="1">
        <v>12.225</v>
      </c>
      <c r="HF52" s="1">
        <v>9</v>
      </c>
      <c r="HG52" s="1">
        <v>5</v>
      </c>
      <c r="HH52" s="1">
        <v>5</v>
      </c>
      <c r="HI52" s="1">
        <v>1.2430000000000001</v>
      </c>
      <c r="HJ52" s="1">
        <v>40.627000000000002</v>
      </c>
      <c r="HK52" s="1">
        <v>41.354999999999997</v>
      </c>
      <c r="HL52" s="1">
        <v>15</v>
      </c>
      <c r="HM52" s="4" t="s">
        <v>879</v>
      </c>
      <c r="HN52" s="4" t="s">
        <v>880</v>
      </c>
      <c r="HO52" s="4" t="s">
        <v>881</v>
      </c>
      <c r="HP52" s="4" t="s">
        <v>882</v>
      </c>
      <c r="HQ52" s="4" t="s">
        <v>883</v>
      </c>
      <c r="HR52" s="4" t="s">
        <v>884</v>
      </c>
      <c r="HS52" s="4" t="s">
        <v>885</v>
      </c>
      <c r="HT52" s="4" t="s">
        <v>886</v>
      </c>
      <c r="HU52" s="4" t="s">
        <v>887</v>
      </c>
      <c r="HV52" s="4" t="s">
        <v>888</v>
      </c>
      <c r="HW52" s="4" t="s">
        <v>282</v>
      </c>
      <c r="HX52" s="4" t="s">
        <v>889</v>
      </c>
      <c r="HY52" s="4" t="s">
        <v>312</v>
      </c>
      <c r="HZ52" s="4" t="s">
        <v>356</v>
      </c>
      <c r="IA52" s="4" t="s">
        <v>313</v>
      </c>
      <c r="IB52" s="4" t="s">
        <v>282</v>
      </c>
      <c r="IC52" s="4" t="s">
        <v>282</v>
      </c>
    </row>
    <row r="53" spans="1:237" x14ac:dyDescent="0.2">
      <c r="A53" s="3">
        <v>45748.599097222221</v>
      </c>
      <c r="B53" s="3">
        <v>45748.623078703706</v>
      </c>
      <c r="C53" s="1">
        <v>0</v>
      </c>
      <c r="D53" s="4" t="s">
        <v>890</v>
      </c>
      <c r="E53" s="1">
        <v>100</v>
      </c>
      <c r="F53" s="1">
        <v>2072</v>
      </c>
      <c r="G53" s="1">
        <v>1</v>
      </c>
      <c r="H53" s="3">
        <v>45748.623086273146</v>
      </c>
      <c r="I53" s="4" t="s">
        <v>891</v>
      </c>
      <c r="J53" s="4" t="s">
        <v>282</v>
      </c>
      <c r="K53" s="4" t="s">
        <v>282</v>
      </c>
      <c r="L53" s="4" t="s">
        <v>282</v>
      </c>
      <c r="M53" s="4" t="s">
        <v>282</v>
      </c>
      <c r="N53" s="1">
        <v>43.631900000000002</v>
      </c>
      <c r="O53" s="1">
        <v>-79.371600000000001</v>
      </c>
      <c r="P53" s="4" t="s">
        <v>283</v>
      </c>
      <c r="Q53" s="4" t="s">
        <v>284</v>
      </c>
      <c r="R53" s="1">
        <v>0.80000001192092896</v>
      </c>
      <c r="S53" s="1">
        <v>1</v>
      </c>
      <c r="T53" s="1">
        <v>1</v>
      </c>
      <c r="U53" s="1">
        <v>1</v>
      </c>
      <c r="V53" s="1">
        <v>1</v>
      </c>
      <c r="W53" s="1">
        <v>12</v>
      </c>
      <c r="X53" s="4" t="s">
        <v>312</v>
      </c>
      <c r="Y53" s="1">
        <v>5</v>
      </c>
      <c r="Z53" s="1">
        <v>1</v>
      </c>
      <c r="AA53" s="1">
        <v>2</v>
      </c>
      <c r="AB53" s="1">
        <v>1</v>
      </c>
      <c r="AC53" s="1">
        <v>1</v>
      </c>
      <c r="AD53" s="1">
        <v>5</v>
      </c>
      <c r="AE53" s="1">
        <v>13.111000000000001</v>
      </c>
      <c r="AF53" s="1">
        <v>20.817</v>
      </c>
      <c r="AG53" s="1">
        <v>21.483000000000001</v>
      </c>
      <c r="AH53" s="1">
        <v>7</v>
      </c>
      <c r="AI53" s="1">
        <v>4</v>
      </c>
      <c r="AJ53" s="1">
        <v>7</v>
      </c>
      <c r="AK53" s="1">
        <v>21.321000000000002</v>
      </c>
      <c r="AL53" s="1">
        <v>25.899000000000001</v>
      </c>
      <c r="AM53" s="1">
        <v>27.076000000000001</v>
      </c>
      <c r="AN53" s="1">
        <v>4</v>
      </c>
      <c r="AO53" s="1">
        <v>4</v>
      </c>
      <c r="AP53" s="1">
        <v>6</v>
      </c>
      <c r="AQ53" s="1">
        <v>19.754999999999999</v>
      </c>
      <c r="AR53" s="1">
        <v>25.048999999999999</v>
      </c>
      <c r="AS53" s="1">
        <v>25.928000000000001</v>
      </c>
      <c r="AT53" s="1">
        <v>5</v>
      </c>
      <c r="AU53" s="1">
        <v>5</v>
      </c>
      <c r="AV53" s="1">
        <v>7</v>
      </c>
      <c r="AW53" s="1">
        <v>17.343</v>
      </c>
      <c r="AX53" s="1">
        <v>22.402000000000001</v>
      </c>
      <c r="AY53" s="1">
        <v>23.93</v>
      </c>
      <c r="AZ53" s="1">
        <v>5</v>
      </c>
      <c r="BA53" s="1">
        <v>5</v>
      </c>
      <c r="BB53" s="1">
        <v>6</v>
      </c>
      <c r="BC53" s="1">
        <v>15.863</v>
      </c>
      <c r="BD53" s="1">
        <v>74.856999999999999</v>
      </c>
      <c r="BE53" s="1">
        <v>75.423000000000002</v>
      </c>
      <c r="BF53" s="1">
        <v>10</v>
      </c>
      <c r="BG53" s="1">
        <v>1</v>
      </c>
      <c r="BH53" s="1">
        <v>6</v>
      </c>
      <c r="BI53" s="1">
        <v>12.829000000000001</v>
      </c>
      <c r="BJ53" s="1">
        <v>18.486999999999998</v>
      </c>
      <c r="BK53" s="1">
        <v>19.565000000000001</v>
      </c>
      <c r="BL53" s="1">
        <v>6</v>
      </c>
      <c r="BM53" s="1">
        <v>4</v>
      </c>
      <c r="BN53" s="1">
        <v>7</v>
      </c>
      <c r="BO53" s="1">
        <v>11.846</v>
      </c>
      <c r="BP53" s="1">
        <v>20.963999999999999</v>
      </c>
      <c r="BQ53" s="1">
        <v>21.600999999999999</v>
      </c>
      <c r="BR53" s="1">
        <v>7</v>
      </c>
      <c r="BS53" s="1">
        <v>1</v>
      </c>
      <c r="BT53" s="1">
        <v>5</v>
      </c>
      <c r="BU53" s="1">
        <v>16.664000000000001</v>
      </c>
      <c r="BV53" s="1">
        <v>40.174999999999997</v>
      </c>
      <c r="BW53" s="1">
        <v>40.725000000000001</v>
      </c>
      <c r="BX53" s="1">
        <v>10</v>
      </c>
      <c r="BY53" s="1">
        <v>5</v>
      </c>
      <c r="BZ53" s="1">
        <v>6</v>
      </c>
      <c r="CA53" s="1">
        <v>14.704000000000001</v>
      </c>
      <c r="CB53" s="1">
        <v>28</v>
      </c>
      <c r="CC53" s="1">
        <v>33.238999999999997</v>
      </c>
      <c r="CD53" s="1">
        <v>9</v>
      </c>
      <c r="CE53" s="1">
        <v>2</v>
      </c>
      <c r="CF53" s="1">
        <v>5</v>
      </c>
      <c r="CG53" s="1">
        <v>28.95</v>
      </c>
      <c r="CH53" s="1">
        <v>50</v>
      </c>
      <c r="CI53" s="1">
        <v>51.612000000000002</v>
      </c>
      <c r="CJ53" s="1">
        <v>8</v>
      </c>
      <c r="CK53" s="1">
        <v>1</v>
      </c>
      <c r="CL53" s="1">
        <v>6</v>
      </c>
      <c r="CM53" s="1">
        <v>13.628</v>
      </c>
      <c r="CN53" s="1">
        <v>18.902000000000001</v>
      </c>
      <c r="CO53" s="1">
        <v>19.498999999999999</v>
      </c>
      <c r="CP53" s="1">
        <v>5</v>
      </c>
      <c r="CQ53" s="1">
        <v>4</v>
      </c>
      <c r="CR53" s="1">
        <v>7</v>
      </c>
      <c r="CS53" s="1">
        <v>16.798999999999999</v>
      </c>
      <c r="CT53" s="1">
        <v>23.904</v>
      </c>
      <c r="CU53" s="1">
        <v>24.731000000000002</v>
      </c>
      <c r="CV53" s="1">
        <v>5</v>
      </c>
      <c r="CW53" s="1">
        <v>1</v>
      </c>
      <c r="CX53" s="1">
        <v>4</v>
      </c>
      <c r="CY53" s="1">
        <v>17.879000000000001</v>
      </c>
      <c r="CZ53" s="1">
        <v>34.534999999999997</v>
      </c>
      <c r="DA53" s="1">
        <v>35.348999999999997</v>
      </c>
      <c r="DB53" s="1">
        <v>6</v>
      </c>
      <c r="DC53" s="1">
        <v>5</v>
      </c>
      <c r="DD53" s="1">
        <v>6</v>
      </c>
      <c r="DE53" s="1">
        <v>27.402999999999999</v>
      </c>
      <c r="DF53" s="1">
        <v>37.987000000000002</v>
      </c>
      <c r="DG53" s="1">
        <v>39.432000000000002</v>
      </c>
      <c r="DH53" s="1">
        <v>6</v>
      </c>
      <c r="DI53" s="1">
        <v>3</v>
      </c>
      <c r="DJ53" s="1">
        <v>5</v>
      </c>
      <c r="DK53" s="1">
        <v>10.664</v>
      </c>
      <c r="DL53" s="1">
        <v>19.936</v>
      </c>
      <c r="DM53" s="1">
        <v>20.780999999999999</v>
      </c>
      <c r="DN53" s="1">
        <v>7</v>
      </c>
      <c r="DO53" s="1">
        <v>1</v>
      </c>
      <c r="DP53" s="1">
        <v>6</v>
      </c>
      <c r="DQ53" s="1">
        <v>12.143000000000001</v>
      </c>
      <c r="DR53" s="1">
        <v>18.675000000000001</v>
      </c>
      <c r="DS53" s="1">
        <v>19.661999999999999</v>
      </c>
      <c r="DT53" s="1">
        <v>7</v>
      </c>
      <c r="DU53" s="1">
        <v>4</v>
      </c>
      <c r="DV53" s="1">
        <v>6</v>
      </c>
      <c r="DW53" s="1">
        <v>12.978999999999999</v>
      </c>
      <c r="DX53" s="1">
        <v>19.835000000000001</v>
      </c>
      <c r="DY53" s="1">
        <v>20.53</v>
      </c>
      <c r="DZ53" s="1">
        <v>6</v>
      </c>
      <c r="EA53" s="1">
        <v>1</v>
      </c>
      <c r="EB53" s="1">
        <v>6</v>
      </c>
      <c r="EC53" s="1">
        <v>12.317</v>
      </c>
      <c r="ED53" s="1">
        <v>17.457999999999998</v>
      </c>
      <c r="EE53" s="1">
        <v>18.539000000000001</v>
      </c>
      <c r="EF53" s="1">
        <v>5</v>
      </c>
      <c r="EG53" s="1">
        <v>5</v>
      </c>
      <c r="EH53" s="1">
        <v>6</v>
      </c>
      <c r="EI53" s="1">
        <v>31.027000000000001</v>
      </c>
      <c r="EJ53" s="1">
        <v>37.435000000000002</v>
      </c>
      <c r="EK53" s="1">
        <v>38.244999999999997</v>
      </c>
      <c r="EL53" s="1">
        <v>7</v>
      </c>
      <c r="EM53" s="1">
        <v>1</v>
      </c>
      <c r="EN53" s="1">
        <v>6</v>
      </c>
      <c r="EO53" s="1">
        <v>18.132999999999999</v>
      </c>
      <c r="EP53" s="1">
        <v>22.51</v>
      </c>
      <c r="EQ53" s="1">
        <v>23.271999999999998</v>
      </c>
      <c r="ER53" s="1">
        <v>4</v>
      </c>
      <c r="ES53" s="1">
        <v>1</v>
      </c>
      <c r="ET53" s="1">
        <v>7</v>
      </c>
      <c r="EU53" s="1">
        <v>14.486000000000001</v>
      </c>
      <c r="EV53" s="1">
        <v>20.161000000000001</v>
      </c>
      <c r="EW53" s="1">
        <v>20.957999999999998</v>
      </c>
      <c r="EX53" s="1">
        <v>7</v>
      </c>
      <c r="EY53" s="1">
        <v>2</v>
      </c>
      <c r="EZ53" s="1">
        <v>7</v>
      </c>
      <c r="FA53" s="1">
        <v>7.1390000000000002</v>
      </c>
      <c r="FB53" s="1">
        <v>12.430999999999999</v>
      </c>
      <c r="FC53" s="1">
        <v>13.161</v>
      </c>
      <c r="FD53" s="1">
        <v>5</v>
      </c>
      <c r="FE53" s="1">
        <v>5</v>
      </c>
      <c r="FF53" s="1">
        <v>6</v>
      </c>
      <c r="FG53" s="1">
        <v>16.863</v>
      </c>
      <c r="FH53" s="1">
        <v>26.048999999999999</v>
      </c>
      <c r="FI53" s="1">
        <v>26.4</v>
      </c>
      <c r="FJ53" s="1">
        <v>7</v>
      </c>
      <c r="FK53" s="1">
        <v>1</v>
      </c>
      <c r="FL53" s="1">
        <v>7</v>
      </c>
      <c r="FM53" s="1">
        <v>10.481999999999999</v>
      </c>
      <c r="FN53" s="1">
        <v>16.239000000000001</v>
      </c>
      <c r="FO53" s="1">
        <v>17.135999999999999</v>
      </c>
      <c r="FP53" s="1">
        <v>7</v>
      </c>
      <c r="FQ53" s="1">
        <v>2</v>
      </c>
      <c r="FR53" s="1">
        <v>7</v>
      </c>
      <c r="FS53" s="1">
        <v>31.291</v>
      </c>
      <c r="FT53" s="1">
        <v>38.180999999999997</v>
      </c>
      <c r="FU53" s="1">
        <v>38.944000000000003</v>
      </c>
      <c r="FV53" s="1">
        <v>7</v>
      </c>
      <c r="FW53" s="1">
        <v>5</v>
      </c>
      <c r="FX53" s="1">
        <v>6</v>
      </c>
      <c r="FY53" s="1">
        <v>13.266999999999999</v>
      </c>
      <c r="FZ53" s="1">
        <v>19.774000000000001</v>
      </c>
      <c r="GA53" s="1">
        <v>20.619</v>
      </c>
      <c r="GB53" s="1">
        <v>6</v>
      </c>
      <c r="GC53" s="1">
        <v>1</v>
      </c>
      <c r="GD53" s="1">
        <v>6</v>
      </c>
      <c r="GE53" s="1">
        <v>8.8940000000000001</v>
      </c>
      <c r="GF53" s="1">
        <v>20.018999999999998</v>
      </c>
      <c r="GG53" s="1">
        <v>20.768000000000001</v>
      </c>
      <c r="GH53" s="1">
        <v>8</v>
      </c>
      <c r="GI53" s="1">
        <v>2</v>
      </c>
      <c r="GJ53" s="1">
        <v>6</v>
      </c>
      <c r="GK53" s="1">
        <v>32.241</v>
      </c>
      <c r="GL53" s="1">
        <v>38.866999999999997</v>
      </c>
      <c r="GM53" s="1">
        <v>39.712000000000003</v>
      </c>
      <c r="GN53" s="1">
        <v>5</v>
      </c>
      <c r="GO53" s="1">
        <v>5</v>
      </c>
      <c r="GP53" s="1">
        <v>6</v>
      </c>
      <c r="GQ53" s="1">
        <v>14.252000000000001</v>
      </c>
      <c r="GR53" s="1">
        <v>22.89</v>
      </c>
      <c r="GS53" s="1">
        <v>24.100999999999999</v>
      </c>
      <c r="GT53" s="1">
        <v>8</v>
      </c>
      <c r="GU53" s="1">
        <v>1</v>
      </c>
      <c r="GV53" s="1">
        <v>7</v>
      </c>
      <c r="GW53" s="1">
        <v>14.255000000000001</v>
      </c>
      <c r="GX53" s="1">
        <v>18.234000000000002</v>
      </c>
      <c r="GY53" s="1">
        <v>19.013999999999999</v>
      </c>
      <c r="GZ53" s="1">
        <v>5</v>
      </c>
      <c r="HA53" s="1">
        <v>2</v>
      </c>
      <c r="HB53" s="1">
        <v>6</v>
      </c>
      <c r="HC53" s="1">
        <v>33.805999999999997</v>
      </c>
      <c r="HD53" s="1">
        <v>42.258000000000003</v>
      </c>
      <c r="HE53" s="1">
        <v>43.475000000000001</v>
      </c>
      <c r="HF53" s="1">
        <v>7</v>
      </c>
      <c r="HG53" s="1">
        <v>1</v>
      </c>
      <c r="HH53" s="1">
        <v>6</v>
      </c>
      <c r="HI53" s="1">
        <v>22.721</v>
      </c>
      <c r="HJ53" s="1">
        <v>35.279000000000003</v>
      </c>
      <c r="HK53" s="1">
        <v>36.226999999999997</v>
      </c>
      <c r="HL53" s="1">
        <v>6</v>
      </c>
      <c r="HM53" s="4" t="s">
        <v>892</v>
      </c>
      <c r="HN53" s="4" t="s">
        <v>893</v>
      </c>
      <c r="HO53" s="4" t="s">
        <v>894</v>
      </c>
      <c r="HP53" s="4" t="s">
        <v>895</v>
      </c>
      <c r="HQ53" s="4" t="s">
        <v>896</v>
      </c>
      <c r="HR53" s="4" t="s">
        <v>592</v>
      </c>
      <c r="HS53" s="4" t="s">
        <v>897</v>
      </c>
      <c r="HT53" s="4" t="s">
        <v>898</v>
      </c>
      <c r="HU53" s="4" t="s">
        <v>899</v>
      </c>
      <c r="HV53" s="4" t="s">
        <v>900</v>
      </c>
      <c r="HW53" s="4" t="s">
        <v>901</v>
      </c>
      <c r="HX53" s="4" t="s">
        <v>902</v>
      </c>
      <c r="HY53" s="4" t="s">
        <v>312</v>
      </c>
      <c r="HZ53" s="4" t="s">
        <v>372</v>
      </c>
      <c r="IA53" s="4" t="s">
        <v>325</v>
      </c>
      <c r="IB53" s="4" t="s">
        <v>282</v>
      </c>
      <c r="IC53" s="4" t="s">
        <v>282</v>
      </c>
    </row>
    <row r="54" spans="1:237" x14ac:dyDescent="0.2">
      <c r="A54" s="3">
        <v>45748.622604166667</v>
      </c>
      <c r="B54" s="3">
        <v>45748.640092592592</v>
      </c>
      <c r="C54" s="1">
        <v>0</v>
      </c>
      <c r="D54" s="4" t="s">
        <v>903</v>
      </c>
      <c r="E54" s="1">
        <v>100</v>
      </c>
      <c r="F54" s="1">
        <v>1510</v>
      </c>
      <c r="G54" s="1">
        <v>1</v>
      </c>
      <c r="H54" s="3">
        <v>45748.640103645834</v>
      </c>
      <c r="I54" s="4" t="s">
        <v>904</v>
      </c>
      <c r="J54" s="4" t="s">
        <v>282</v>
      </c>
      <c r="K54" s="4" t="s">
        <v>282</v>
      </c>
      <c r="L54" s="4" t="s">
        <v>282</v>
      </c>
      <c r="M54" s="4" t="s">
        <v>282</v>
      </c>
      <c r="N54" s="1">
        <v>49.7851</v>
      </c>
      <c r="O54" s="1">
        <v>-97.211699999999993</v>
      </c>
      <c r="P54" s="4" t="s">
        <v>283</v>
      </c>
      <c r="Q54" s="4" t="s">
        <v>284</v>
      </c>
      <c r="R54" s="1">
        <v>1</v>
      </c>
      <c r="S54" s="1">
        <v>1</v>
      </c>
      <c r="T54" s="1">
        <v>1</v>
      </c>
      <c r="U54" s="1">
        <v>1</v>
      </c>
      <c r="V54" s="1">
        <v>1</v>
      </c>
      <c r="W54" s="1">
        <v>8</v>
      </c>
      <c r="X54" s="4" t="s">
        <v>1296</v>
      </c>
      <c r="Y54" s="1">
        <v>5</v>
      </c>
      <c r="Z54" s="1">
        <v>1</v>
      </c>
      <c r="AA54" s="1">
        <v>1</v>
      </c>
      <c r="AB54" s="1">
        <v>3</v>
      </c>
      <c r="AC54" s="1">
        <v>1</v>
      </c>
      <c r="AD54" s="1">
        <v>6</v>
      </c>
      <c r="AE54" s="1">
        <v>3.6190000000000002</v>
      </c>
      <c r="AF54" s="1">
        <v>30.257999999999999</v>
      </c>
      <c r="AG54" s="1">
        <v>30.8</v>
      </c>
      <c r="AH54" s="1">
        <v>10</v>
      </c>
      <c r="AI54" s="1">
        <v>4</v>
      </c>
      <c r="AJ54" s="1">
        <v>6</v>
      </c>
      <c r="AK54" s="1">
        <v>11.374000000000001</v>
      </c>
      <c r="AL54" s="1">
        <v>18.236999999999998</v>
      </c>
      <c r="AM54" s="1">
        <v>18.782</v>
      </c>
      <c r="AN54" s="1">
        <v>10</v>
      </c>
      <c r="AO54" s="1">
        <v>2</v>
      </c>
      <c r="AP54" s="1">
        <v>5</v>
      </c>
      <c r="AQ54" s="1">
        <v>14.318</v>
      </c>
      <c r="AR54" s="1">
        <v>38.192</v>
      </c>
      <c r="AS54" s="1">
        <v>38.616</v>
      </c>
      <c r="AT54" s="1">
        <v>23</v>
      </c>
      <c r="AU54" s="1">
        <v>5</v>
      </c>
      <c r="AV54" s="1">
        <v>6</v>
      </c>
      <c r="AW54" s="1">
        <v>11.217000000000001</v>
      </c>
      <c r="AX54" s="1">
        <v>32.090000000000003</v>
      </c>
      <c r="AY54" s="1">
        <v>32.500999999999998</v>
      </c>
      <c r="AZ54" s="1">
        <v>16</v>
      </c>
      <c r="BA54" s="1">
        <v>4</v>
      </c>
      <c r="BB54" s="1">
        <v>6</v>
      </c>
      <c r="BC54" s="1">
        <v>6.4180000000000001</v>
      </c>
      <c r="BD54" s="1">
        <v>12.627000000000001</v>
      </c>
      <c r="BE54" s="1">
        <v>13.343999999999999</v>
      </c>
      <c r="BF54" s="1">
        <v>10</v>
      </c>
      <c r="BG54" s="1">
        <v>1</v>
      </c>
      <c r="BH54" s="1">
        <v>6</v>
      </c>
      <c r="BI54" s="1">
        <v>7.6719999999999997</v>
      </c>
      <c r="BJ54" s="1">
        <v>27.815000000000001</v>
      </c>
      <c r="BK54" s="1">
        <v>28.481000000000002</v>
      </c>
      <c r="BL54" s="1">
        <v>18</v>
      </c>
      <c r="BM54" s="1">
        <v>2</v>
      </c>
      <c r="BN54" s="1">
        <v>6</v>
      </c>
      <c r="BO54" s="1">
        <v>6.8710000000000004</v>
      </c>
      <c r="BP54" s="1">
        <v>12.451000000000001</v>
      </c>
      <c r="BQ54" s="1">
        <v>12.956</v>
      </c>
      <c r="BR54" s="1">
        <v>11</v>
      </c>
      <c r="BS54" s="1">
        <v>2</v>
      </c>
      <c r="BT54" s="1">
        <v>6</v>
      </c>
      <c r="BU54" s="1">
        <v>6.6890000000000001</v>
      </c>
      <c r="BV54" s="1">
        <v>14.51</v>
      </c>
      <c r="BW54" s="1">
        <v>14.874000000000001</v>
      </c>
      <c r="BX54" s="1">
        <v>10</v>
      </c>
      <c r="BY54" s="1">
        <v>4</v>
      </c>
      <c r="BZ54" s="1">
        <v>7</v>
      </c>
      <c r="CA54" s="1">
        <v>8.3879999999999999</v>
      </c>
      <c r="CB54" s="1">
        <v>24.344000000000001</v>
      </c>
      <c r="CC54" s="1">
        <v>24.794</v>
      </c>
      <c r="CD54" s="1">
        <v>11</v>
      </c>
      <c r="CE54" s="1">
        <v>3</v>
      </c>
      <c r="CF54" s="1">
        <v>6</v>
      </c>
      <c r="CG54" s="1">
        <v>10.023999999999999</v>
      </c>
      <c r="CH54" s="1">
        <v>27.577999999999999</v>
      </c>
      <c r="CI54" s="1">
        <v>28.317</v>
      </c>
      <c r="CJ54" s="1">
        <v>11</v>
      </c>
      <c r="CK54" s="1">
        <v>1</v>
      </c>
      <c r="CL54" s="1">
        <v>5</v>
      </c>
      <c r="CM54" s="1">
        <v>14.409000000000001</v>
      </c>
      <c r="CN54" s="1">
        <v>31.616</v>
      </c>
      <c r="CO54" s="1">
        <v>32</v>
      </c>
      <c r="CP54" s="1">
        <v>10</v>
      </c>
      <c r="CQ54" s="1">
        <v>2</v>
      </c>
      <c r="CR54" s="1">
        <v>7</v>
      </c>
      <c r="CS54" s="1">
        <v>7.7089999999999996</v>
      </c>
      <c r="CT54" s="1">
        <v>37.064</v>
      </c>
      <c r="CU54" s="1">
        <v>38.148000000000003</v>
      </c>
      <c r="CV54" s="1">
        <v>14</v>
      </c>
      <c r="CW54" s="1">
        <v>2</v>
      </c>
      <c r="CX54" s="1">
        <v>5</v>
      </c>
      <c r="CY54" s="1">
        <v>18.579000000000001</v>
      </c>
      <c r="CZ54" s="1">
        <v>51.225000000000001</v>
      </c>
      <c r="DA54" s="1">
        <v>52.027999999999999</v>
      </c>
      <c r="DB54" s="1">
        <v>21</v>
      </c>
      <c r="DC54" s="1">
        <v>5</v>
      </c>
      <c r="DD54" s="1">
        <v>6</v>
      </c>
      <c r="DE54" s="1">
        <v>12.340999999999999</v>
      </c>
      <c r="DF54" s="1">
        <v>24.030999999999999</v>
      </c>
      <c r="DG54" s="1">
        <v>24.501000000000001</v>
      </c>
      <c r="DH54" s="1">
        <v>16</v>
      </c>
      <c r="DI54" s="1">
        <v>3</v>
      </c>
      <c r="DJ54" s="1">
        <v>6</v>
      </c>
      <c r="DK54" s="1">
        <v>9.4480000000000004</v>
      </c>
      <c r="DL54" s="1">
        <v>39.997</v>
      </c>
      <c r="DM54" s="1">
        <v>40.654000000000003</v>
      </c>
      <c r="DN54" s="1">
        <v>10</v>
      </c>
      <c r="DO54" s="1">
        <v>1</v>
      </c>
      <c r="DP54" s="1">
        <v>5</v>
      </c>
      <c r="DQ54" s="1">
        <v>9.5299999999999994</v>
      </c>
      <c r="DR54" s="1">
        <v>16.667999999999999</v>
      </c>
      <c r="DS54" s="1">
        <v>17</v>
      </c>
      <c r="DT54" s="1">
        <v>11</v>
      </c>
      <c r="DU54" s="1">
        <v>4</v>
      </c>
      <c r="DV54" s="1">
        <v>6</v>
      </c>
      <c r="DW54" s="1">
        <v>11.093</v>
      </c>
      <c r="DX54" s="1">
        <v>20.353000000000002</v>
      </c>
      <c r="DY54" s="1">
        <v>20.7</v>
      </c>
      <c r="DZ54" s="1">
        <v>11</v>
      </c>
      <c r="EA54" s="1">
        <v>5</v>
      </c>
      <c r="EB54" s="1">
        <v>5</v>
      </c>
      <c r="EC54" s="1">
        <v>24.834</v>
      </c>
      <c r="ED54" s="1">
        <v>37.659999999999997</v>
      </c>
      <c r="EE54" s="1">
        <v>38.411000000000001</v>
      </c>
      <c r="EF54" s="1">
        <v>7</v>
      </c>
      <c r="EG54" s="1">
        <v>5</v>
      </c>
      <c r="EH54" s="1">
        <v>6</v>
      </c>
      <c r="EI54" s="1">
        <v>9.4190000000000005</v>
      </c>
      <c r="EJ54" s="1">
        <v>14.827999999999999</v>
      </c>
      <c r="EK54" s="1">
        <v>15.298</v>
      </c>
      <c r="EL54" s="1">
        <v>9</v>
      </c>
      <c r="EM54" s="1">
        <v>3</v>
      </c>
      <c r="EN54" s="1">
        <v>6</v>
      </c>
      <c r="EO54" s="1">
        <v>10.353</v>
      </c>
      <c r="EP54" s="1">
        <v>16.664000000000001</v>
      </c>
      <c r="EQ54" s="1">
        <v>17.114999999999998</v>
      </c>
      <c r="ER54" s="1">
        <v>9</v>
      </c>
      <c r="ES54" s="1">
        <v>1</v>
      </c>
      <c r="ET54" s="1">
        <v>6</v>
      </c>
      <c r="EU54" s="1">
        <v>7.8940000000000001</v>
      </c>
      <c r="EV54" s="1">
        <v>16.439</v>
      </c>
      <c r="EW54" s="1">
        <v>17.145</v>
      </c>
      <c r="EX54" s="1">
        <v>13</v>
      </c>
      <c r="EY54" s="1">
        <v>2</v>
      </c>
      <c r="EZ54" s="1">
        <v>6</v>
      </c>
      <c r="FA54" s="1">
        <v>6.1970000000000001</v>
      </c>
      <c r="FB54" s="1">
        <v>11.74</v>
      </c>
      <c r="FC54" s="1">
        <v>12.121</v>
      </c>
      <c r="FD54" s="1">
        <v>8</v>
      </c>
      <c r="FE54" s="1">
        <v>5</v>
      </c>
      <c r="FF54" s="1">
        <v>7</v>
      </c>
      <c r="FG54" s="1">
        <v>5.1950000000000003</v>
      </c>
      <c r="FH54" s="1">
        <v>11.59</v>
      </c>
      <c r="FI54" s="1">
        <v>12.051</v>
      </c>
      <c r="FJ54" s="1">
        <v>8</v>
      </c>
      <c r="FK54" s="1">
        <v>1</v>
      </c>
      <c r="FL54" s="1">
        <v>7</v>
      </c>
      <c r="FM54" s="1">
        <v>5.69</v>
      </c>
      <c r="FN54" s="1">
        <v>9.4139999999999997</v>
      </c>
      <c r="FO54" s="1">
        <v>9.7870000000000008</v>
      </c>
      <c r="FP54" s="1">
        <v>7</v>
      </c>
      <c r="FQ54" s="1">
        <v>2</v>
      </c>
      <c r="FR54" s="1">
        <v>6</v>
      </c>
      <c r="FS54" s="1">
        <v>6.5</v>
      </c>
      <c r="FT54" s="1">
        <v>12.113</v>
      </c>
      <c r="FU54" s="1">
        <v>12.454000000000001</v>
      </c>
      <c r="FV54" s="1">
        <v>7</v>
      </c>
      <c r="FW54" s="1">
        <v>5</v>
      </c>
      <c r="FX54" s="1">
        <v>6</v>
      </c>
      <c r="FY54" s="1">
        <v>5.4669999999999996</v>
      </c>
      <c r="FZ54" s="1">
        <v>14.961</v>
      </c>
      <c r="GA54" s="1">
        <v>16.375</v>
      </c>
      <c r="GB54" s="1">
        <v>13</v>
      </c>
      <c r="GC54" s="1">
        <v>1</v>
      </c>
      <c r="GD54" s="1">
        <v>7</v>
      </c>
      <c r="GE54" s="1">
        <v>6.335</v>
      </c>
      <c r="GF54" s="1">
        <v>15.044</v>
      </c>
      <c r="GG54" s="1">
        <v>15.612</v>
      </c>
      <c r="GH54" s="1">
        <v>8</v>
      </c>
      <c r="GI54" s="1">
        <v>2</v>
      </c>
      <c r="GJ54" s="1">
        <v>6</v>
      </c>
      <c r="GK54" s="1">
        <v>7.4109999999999996</v>
      </c>
      <c r="GL54" s="1">
        <v>10.507999999999999</v>
      </c>
      <c r="GM54" s="1">
        <v>10.895</v>
      </c>
      <c r="GN54" s="1">
        <v>7</v>
      </c>
      <c r="GO54" s="1">
        <v>5</v>
      </c>
      <c r="GP54" s="1">
        <v>6</v>
      </c>
      <c r="GQ54" s="1">
        <v>6.3280000000000003</v>
      </c>
      <c r="GR54" s="1">
        <v>9.2360000000000007</v>
      </c>
      <c r="GS54" s="1">
        <v>9.5890000000000004</v>
      </c>
      <c r="GT54" s="1">
        <v>8</v>
      </c>
      <c r="GU54" s="1">
        <v>1</v>
      </c>
      <c r="GV54" s="1">
        <v>6</v>
      </c>
      <c r="GW54" s="1">
        <v>7.1609999999999996</v>
      </c>
      <c r="GX54" s="1">
        <v>11.763</v>
      </c>
      <c r="GY54" s="1">
        <v>12.163</v>
      </c>
      <c r="GZ54" s="1">
        <v>7</v>
      </c>
      <c r="HA54" s="1">
        <v>2</v>
      </c>
      <c r="HB54" s="1">
        <v>6</v>
      </c>
      <c r="HC54" s="1">
        <v>6.5789999999999997</v>
      </c>
      <c r="HD54" s="1">
        <v>20.803999999999998</v>
      </c>
      <c r="HE54" s="1">
        <v>21.158000000000001</v>
      </c>
      <c r="HF54" s="1">
        <v>11</v>
      </c>
      <c r="HG54" s="1">
        <v>1</v>
      </c>
      <c r="HH54" s="1">
        <v>5</v>
      </c>
      <c r="HI54" s="1">
        <v>5.0190000000000001</v>
      </c>
      <c r="HJ54" s="1">
        <v>8.6980000000000004</v>
      </c>
      <c r="HK54" s="1">
        <v>9.032</v>
      </c>
      <c r="HL54" s="1">
        <v>5</v>
      </c>
      <c r="HM54" s="4" t="s">
        <v>907</v>
      </c>
      <c r="HN54" s="4" t="s">
        <v>908</v>
      </c>
      <c r="HO54" s="4" t="s">
        <v>909</v>
      </c>
      <c r="HP54" s="4" t="s">
        <v>910</v>
      </c>
      <c r="HQ54" s="4" t="s">
        <v>911</v>
      </c>
      <c r="HR54" s="4" t="s">
        <v>912</v>
      </c>
      <c r="HS54" s="4" t="s">
        <v>396</v>
      </c>
      <c r="HT54" s="4" t="s">
        <v>913</v>
      </c>
      <c r="HU54" s="4" t="s">
        <v>914</v>
      </c>
      <c r="HV54" s="4" t="s">
        <v>592</v>
      </c>
      <c r="HW54" s="4" t="s">
        <v>282</v>
      </c>
      <c r="HX54" s="4" t="s">
        <v>915</v>
      </c>
      <c r="HY54" s="4" t="s">
        <v>312</v>
      </c>
      <c r="HZ54" s="4" t="s">
        <v>372</v>
      </c>
      <c r="IA54" s="4" t="s">
        <v>325</v>
      </c>
      <c r="IB54" s="4" t="s">
        <v>282</v>
      </c>
      <c r="IC54" s="4" t="s">
        <v>282</v>
      </c>
    </row>
    <row r="55" spans="1:237" x14ac:dyDescent="0.2">
      <c r="A55" s="3">
        <v>45748.610810185186</v>
      </c>
      <c r="B55" s="3">
        <v>45748.641273148147</v>
      </c>
      <c r="C55" s="1">
        <v>0</v>
      </c>
      <c r="D55" s="4" t="s">
        <v>916</v>
      </c>
      <c r="E55" s="1">
        <v>100</v>
      </c>
      <c r="F55" s="1">
        <v>2631</v>
      </c>
      <c r="G55" s="1">
        <v>1</v>
      </c>
      <c r="H55" s="3">
        <v>45748.641282638891</v>
      </c>
      <c r="I55" s="4" t="s">
        <v>917</v>
      </c>
      <c r="J55" s="4" t="s">
        <v>282</v>
      </c>
      <c r="K55" s="4" t="s">
        <v>282</v>
      </c>
      <c r="L55" s="4" t="s">
        <v>282</v>
      </c>
      <c r="M55" s="4" t="s">
        <v>282</v>
      </c>
      <c r="N55" s="1">
        <v>-37.918900000000001</v>
      </c>
      <c r="O55" s="1">
        <v>145.126</v>
      </c>
      <c r="P55" s="4" t="s">
        <v>283</v>
      </c>
      <c r="Q55" s="4" t="s">
        <v>284</v>
      </c>
      <c r="R55" s="1">
        <v>1</v>
      </c>
      <c r="S55" s="1">
        <v>1</v>
      </c>
      <c r="T55" s="1">
        <v>1</v>
      </c>
      <c r="U55" s="1">
        <v>1</v>
      </c>
      <c r="V55" s="1">
        <v>1</v>
      </c>
      <c r="W55" s="1">
        <v>7</v>
      </c>
      <c r="X55" s="4" t="s">
        <v>497</v>
      </c>
      <c r="Y55" s="1">
        <v>5</v>
      </c>
      <c r="Z55" s="1">
        <v>2</v>
      </c>
      <c r="AA55" s="1">
        <v>3</v>
      </c>
      <c r="AB55" s="1">
        <v>2</v>
      </c>
      <c r="AC55" s="1">
        <v>1</v>
      </c>
      <c r="AD55" s="1">
        <v>6</v>
      </c>
      <c r="AE55" s="1">
        <v>7.2880000000000003</v>
      </c>
      <c r="AF55" s="1">
        <v>8.6539999999999999</v>
      </c>
      <c r="AG55" s="1">
        <v>9.5039999999999996</v>
      </c>
      <c r="AH55" s="1">
        <v>2</v>
      </c>
      <c r="AI55" s="1">
        <v>4</v>
      </c>
      <c r="AJ55" s="1">
        <v>5</v>
      </c>
      <c r="AK55" s="1">
        <v>7.6689999999999996</v>
      </c>
      <c r="AL55" s="1">
        <v>9.8230000000000004</v>
      </c>
      <c r="AM55" s="1">
        <v>10.656000000000001</v>
      </c>
      <c r="AN55" s="1">
        <v>2</v>
      </c>
      <c r="AO55" s="1">
        <v>4</v>
      </c>
      <c r="AP55" s="1">
        <v>5</v>
      </c>
      <c r="AQ55" s="1">
        <v>7.9269999999999996</v>
      </c>
      <c r="AR55" s="1">
        <v>9.3780000000000001</v>
      </c>
      <c r="AS55" s="1">
        <v>10.209</v>
      </c>
      <c r="AT55" s="1">
        <v>2</v>
      </c>
      <c r="AU55" s="1">
        <v>5</v>
      </c>
      <c r="AV55" s="1">
        <v>6</v>
      </c>
      <c r="AW55" s="1">
        <v>7.9889999999999999</v>
      </c>
      <c r="AX55" s="1">
        <v>10.455</v>
      </c>
      <c r="AY55" s="1">
        <v>11.316000000000001</v>
      </c>
      <c r="AZ55" s="1">
        <v>2</v>
      </c>
      <c r="BA55" s="1">
        <v>4</v>
      </c>
      <c r="BB55" s="1">
        <v>5</v>
      </c>
      <c r="BC55" s="1">
        <v>11.423999999999999</v>
      </c>
      <c r="BD55" s="1">
        <v>14.002000000000001</v>
      </c>
      <c r="BE55" s="1">
        <v>14.920999999999999</v>
      </c>
      <c r="BF55" s="1">
        <v>2</v>
      </c>
      <c r="BG55" s="1">
        <v>1</v>
      </c>
      <c r="BH55" s="1">
        <v>6</v>
      </c>
      <c r="BI55" s="1">
        <v>5.0419999999999998</v>
      </c>
      <c r="BJ55" s="1">
        <v>7.4130000000000003</v>
      </c>
      <c r="BK55" s="1">
        <v>8.64</v>
      </c>
      <c r="BL55" s="1">
        <v>2</v>
      </c>
      <c r="BM55" s="1">
        <v>4</v>
      </c>
      <c r="BN55" s="1">
        <v>6</v>
      </c>
      <c r="BO55" s="1">
        <v>5.9669999999999996</v>
      </c>
      <c r="BP55" s="1">
        <v>13.798</v>
      </c>
      <c r="BQ55" s="1">
        <v>15.505000000000001</v>
      </c>
      <c r="BR55" s="1">
        <v>3</v>
      </c>
      <c r="BS55" s="1">
        <v>1</v>
      </c>
      <c r="BT55" s="1">
        <v>7</v>
      </c>
      <c r="BU55" s="1">
        <v>7.6310000000000002</v>
      </c>
      <c r="BV55" s="1">
        <v>9.3650000000000002</v>
      </c>
      <c r="BW55" s="1">
        <v>10.488</v>
      </c>
      <c r="BX55" s="1">
        <v>2</v>
      </c>
      <c r="BY55" s="1">
        <v>4</v>
      </c>
      <c r="BZ55" s="1">
        <v>5</v>
      </c>
      <c r="CA55" s="1">
        <v>28.678000000000001</v>
      </c>
      <c r="CB55" s="1">
        <v>32.996000000000002</v>
      </c>
      <c r="CC55" s="1">
        <v>34.143000000000001</v>
      </c>
      <c r="CD55" s="1">
        <v>2</v>
      </c>
      <c r="CE55" s="1">
        <v>3</v>
      </c>
      <c r="CF55" s="1">
        <v>5</v>
      </c>
      <c r="CG55" s="1">
        <v>7.9980000000000002</v>
      </c>
      <c r="CH55" s="1">
        <v>9.4719999999999995</v>
      </c>
      <c r="CI55" s="1">
        <v>10.676</v>
      </c>
      <c r="CJ55" s="1">
        <v>2</v>
      </c>
      <c r="CK55" s="1">
        <v>1</v>
      </c>
      <c r="CL55" s="1">
        <v>6</v>
      </c>
      <c r="CM55" s="1">
        <v>12.516</v>
      </c>
      <c r="CN55" s="1">
        <v>14.967000000000001</v>
      </c>
      <c r="CO55" s="1">
        <v>15.861000000000001</v>
      </c>
      <c r="CP55" s="1">
        <v>2</v>
      </c>
      <c r="CQ55" s="1">
        <v>2</v>
      </c>
      <c r="CR55" s="1">
        <v>5</v>
      </c>
      <c r="CS55" s="1">
        <v>9.6010000000000009</v>
      </c>
      <c r="CT55" s="1">
        <v>11.209</v>
      </c>
      <c r="CU55" s="1">
        <v>12.269</v>
      </c>
      <c r="CV55" s="1">
        <v>2</v>
      </c>
      <c r="CW55" s="1">
        <v>1</v>
      </c>
      <c r="CX55" s="1">
        <v>6</v>
      </c>
      <c r="CY55" s="1">
        <v>7.2839999999999998</v>
      </c>
      <c r="CZ55" s="1">
        <v>9.2769999999999992</v>
      </c>
      <c r="DA55" s="1">
        <v>10.465</v>
      </c>
      <c r="DB55" s="1">
        <v>2</v>
      </c>
      <c r="DC55" s="1">
        <v>3</v>
      </c>
      <c r="DD55" s="1">
        <v>5</v>
      </c>
      <c r="DE55" s="1">
        <v>11.098000000000001</v>
      </c>
      <c r="DF55" s="1">
        <v>19.437000000000001</v>
      </c>
      <c r="DG55" s="1">
        <v>20.138000000000002</v>
      </c>
      <c r="DH55" s="1">
        <v>3</v>
      </c>
      <c r="DI55" s="1">
        <v>1</v>
      </c>
      <c r="DJ55" s="1">
        <v>5</v>
      </c>
      <c r="DK55" s="1">
        <v>11.617000000000001</v>
      </c>
      <c r="DL55" s="1">
        <v>16.213999999999999</v>
      </c>
      <c r="DM55" s="1">
        <v>17.117000000000001</v>
      </c>
      <c r="DN55" s="1">
        <v>3</v>
      </c>
      <c r="DO55" s="1">
        <v>1</v>
      </c>
      <c r="DP55" s="1">
        <v>5</v>
      </c>
      <c r="DQ55" s="1">
        <v>6.2910000000000004</v>
      </c>
      <c r="DR55" s="1">
        <v>7.8630000000000004</v>
      </c>
      <c r="DS55" s="1">
        <v>9.1359999999999992</v>
      </c>
      <c r="DT55" s="1">
        <v>2</v>
      </c>
      <c r="DU55" s="1">
        <v>4</v>
      </c>
      <c r="DV55" s="1">
        <v>6</v>
      </c>
      <c r="DW55" s="1">
        <v>9.0640000000000001</v>
      </c>
      <c r="DX55" s="1">
        <v>10.525</v>
      </c>
      <c r="DY55" s="1">
        <v>11.843</v>
      </c>
      <c r="DZ55" s="1">
        <v>2</v>
      </c>
      <c r="EA55" s="1">
        <v>4</v>
      </c>
      <c r="EB55" s="1">
        <v>6</v>
      </c>
      <c r="EC55" s="1">
        <v>8.0169999999999995</v>
      </c>
      <c r="ED55" s="1">
        <v>9.798</v>
      </c>
      <c r="EE55" s="1">
        <v>10.759</v>
      </c>
      <c r="EF55" s="1">
        <v>2</v>
      </c>
      <c r="EG55" s="1">
        <v>5</v>
      </c>
      <c r="EH55" s="1">
        <v>5</v>
      </c>
      <c r="EI55" s="1">
        <v>11.346</v>
      </c>
      <c r="EJ55" s="1">
        <v>14.355</v>
      </c>
      <c r="EK55" s="1">
        <v>15.257</v>
      </c>
      <c r="EL55" s="1">
        <v>2</v>
      </c>
      <c r="EM55" s="1">
        <v>1</v>
      </c>
      <c r="EN55" s="1">
        <v>5</v>
      </c>
      <c r="EO55" s="1">
        <v>8.3889999999999993</v>
      </c>
      <c r="EP55" s="1">
        <v>12.743</v>
      </c>
      <c r="EQ55" s="1">
        <v>14.148999999999999</v>
      </c>
      <c r="ER55" s="1">
        <v>3</v>
      </c>
      <c r="ES55" s="1">
        <v>1</v>
      </c>
      <c r="ET55" s="1">
        <v>7</v>
      </c>
      <c r="EU55" s="1">
        <v>7.2050000000000001</v>
      </c>
      <c r="EV55" s="1">
        <v>9.24</v>
      </c>
      <c r="EW55" s="1">
        <v>11.2</v>
      </c>
      <c r="EX55" s="1">
        <v>2</v>
      </c>
      <c r="EY55" s="1">
        <v>1</v>
      </c>
      <c r="EZ55" s="1">
        <v>5</v>
      </c>
      <c r="FA55" s="1">
        <v>5.9829999999999997</v>
      </c>
      <c r="FB55" s="1">
        <v>11.712999999999999</v>
      </c>
      <c r="FC55" s="1">
        <v>12.869</v>
      </c>
      <c r="FD55" s="1">
        <v>4</v>
      </c>
      <c r="FE55" s="1">
        <v>5</v>
      </c>
      <c r="FF55" s="1">
        <v>5</v>
      </c>
      <c r="FG55" s="1">
        <v>11.941000000000001</v>
      </c>
      <c r="FH55" s="1">
        <v>25.146999999999998</v>
      </c>
      <c r="FI55" s="1">
        <v>26.503</v>
      </c>
      <c r="FJ55" s="1">
        <v>2</v>
      </c>
      <c r="FK55" s="1">
        <v>1</v>
      </c>
      <c r="FL55" s="1">
        <v>6</v>
      </c>
      <c r="FM55" s="1">
        <v>27.652000000000001</v>
      </c>
      <c r="FN55" s="1">
        <v>29.155999999999999</v>
      </c>
      <c r="FO55" s="1">
        <v>30.457000000000001</v>
      </c>
      <c r="FP55" s="1">
        <v>2</v>
      </c>
      <c r="FQ55" s="1">
        <v>2</v>
      </c>
      <c r="FR55" s="1">
        <v>7</v>
      </c>
      <c r="FS55" s="1">
        <v>6.5259999999999998</v>
      </c>
      <c r="FT55" s="1">
        <v>8.266</v>
      </c>
      <c r="FU55" s="1">
        <v>9.4700000000000006</v>
      </c>
      <c r="FV55" s="1">
        <v>2</v>
      </c>
      <c r="FW55" s="1">
        <v>5</v>
      </c>
      <c r="FX55" s="1">
        <v>5</v>
      </c>
      <c r="FY55" s="1">
        <v>42.459000000000003</v>
      </c>
      <c r="FZ55" s="1">
        <v>50.674999999999997</v>
      </c>
      <c r="GA55" s="1">
        <v>51.863999999999997</v>
      </c>
      <c r="GB55" s="1">
        <v>3</v>
      </c>
      <c r="GC55" s="1">
        <v>1</v>
      </c>
      <c r="GD55" s="1">
        <v>6</v>
      </c>
      <c r="GE55" s="1">
        <v>10.183</v>
      </c>
      <c r="GF55" s="1">
        <v>13.728999999999999</v>
      </c>
      <c r="GG55" s="1">
        <v>15.827999999999999</v>
      </c>
      <c r="GH55" s="1">
        <v>2</v>
      </c>
      <c r="GI55" s="1">
        <v>2</v>
      </c>
      <c r="GJ55" s="1">
        <v>7</v>
      </c>
      <c r="GK55" s="1">
        <v>7.6189999999999998</v>
      </c>
      <c r="GL55" s="1">
        <v>9.3010000000000002</v>
      </c>
      <c r="GM55" s="1">
        <v>10.741</v>
      </c>
      <c r="GN55" s="1">
        <v>2</v>
      </c>
      <c r="GO55" s="1">
        <v>1</v>
      </c>
      <c r="GP55" s="1">
        <v>5</v>
      </c>
      <c r="GQ55" s="1">
        <v>14.590999999999999</v>
      </c>
      <c r="GR55" s="1">
        <v>16.436</v>
      </c>
      <c r="GS55" s="1">
        <v>17.324000000000002</v>
      </c>
      <c r="GT55" s="1">
        <v>2</v>
      </c>
      <c r="GU55" s="1">
        <v>1</v>
      </c>
      <c r="GV55" s="1">
        <v>6</v>
      </c>
      <c r="GW55" s="1">
        <v>6.8109999999999999</v>
      </c>
      <c r="GX55" s="1">
        <v>8.5830000000000002</v>
      </c>
      <c r="GY55" s="1">
        <v>9.5609999999999999</v>
      </c>
      <c r="GZ55" s="1">
        <v>2</v>
      </c>
      <c r="HA55" s="1">
        <v>1</v>
      </c>
      <c r="HB55" s="1">
        <v>6</v>
      </c>
      <c r="HC55" s="1">
        <v>2.5859999999999999</v>
      </c>
      <c r="HD55" s="1">
        <v>10.57</v>
      </c>
      <c r="HE55" s="1">
        <v>12.016999999999999</v>
      </c>
      <c r="HF55" s="1">
        <v>3</v>
      </c>
      <c r="HG55" s="1">
        <v>1</v>
      </c>
      <c r="HH55" s="1">
        <v>5</v>
      </c>
      <c r="HI55" s="1">
        <v>7.202</v>
      </c>
      <c r="HJ55" s="1">
        <v>9.0709999999999997</v>
      </c>
      <c r="HK55" s="1">
        <v>9.9890000000000008</v>
      </c>
      <c r="HL55" s="1">
        <v>2</v>
      </c>
      <c r="HM55" s="4" t="s">
        <v>918</v>
      </c>
      <c r="HN55" s="4" t="s">
        <v>919</v>
      </c>
      <c r="HO55" s="4" t="s">
        <v>920</v>
      </c>
      <c r="HP55" s="4" t="s">
        <v>921</v>
      </c>
      <c r="HQ55" s="4" t="s">
        <v>922</v>
      </c>
      <c r="HR55" s="4" t="s">
        <v>923</v>
      </c>
      <c r="HS55" s="4" t="s">
        <v>924</v>
      </c>
      <c r="HT55" s="4" t="s">
        <v>925</v>
      </c>
      <c r="HU55" s="4" t="s">
        <v>926</v>
      </c>
      <c r="HV55" s="4" t="s">
        <v>927</v>
      </c>
      <c r="HW55" s="4" t="s">
        <v>282</v>
      </c>
      <c r="HX55" s="4" t="s">
        <v>282</v>
      </c>
      <c r="HY55" s="4" t="s">
        <v>312</v>
      </c>
      <c r="HZ55" s="4" t="s">
        <v>356</v>
      </c>
      <c r="IA55" s="4" t="s">
        <v>313</v>
      </c>
      <c r="IB55" s="4" t="s">
        <v>282</v>
      </c>
      <c r="IC55" s="4" t="s">
        <v>282</v>
      </c>
    </row>
    <row r="56" spans="1:237" x14ac:dyDescent="0.2">
      <c r="A56" s="3">
        <v>45748.624849537038</v>
      </c>
      <c r="B56" s="3">
        <v>45748.64271990741</v>
      </c>
      <c r="C56" s="1">
        <v>0</v>
      </c>
      <c r="D56" s="4" t="s">
        <v>928</v>
      </c>
      <c r="E56" s="1">
        <v>100</v>
      </c>
      <c r="F56" s="1">
        <v>1544</v>
      </c>
      <c r="G56" s="1">
        <v>1</v>
      </c>
      <c r="H56" s="3">
        <v>45748.642737488422</v>
      </c>
      <c r="I56" s="4" t="s">
        <v>929</v>
      </c>
      <c r="J56" s="4" t="s">
        <v>282</v>
      </c>
      <c r="K56" s="4" t="s">
        <v>282</v>
      </c>
      <c r="L56" s="4" t="s">
        <v>282</v>
      </c>
      <c r="M56" s="4" t="s">
        <v>282</v>
      </c>
      <c r="N56" s="1">
        <v>-37.871699999999997</v>
      </c>
      <c r="O56" s="1">
        <v>145.02520000000001</v>
      </c>
      <c r="P56" s="4" t="s">
        <v>283</v>
      </c>
      <c r="Q56" s="4" t="s">
        <v>284</v>
      </c>
      <c r="R56" s="1">
        <v>1</v>
      </c>
      <c r="S56" s="1">
        <v>1</v>
      </c>
      <c r="T56" s="1">
        <v>1</v>
      </c>
      <c r="U56" s="1">
        <v>1</v>
      </c>
      <c r="V56" s="1">
        <v>1</v>
      </c>
      <c r="W56" s="1">
        <v>12</v>
      </c>
      <c r="X56" s="4" t="s">
        <v>1290</v>
      </c>
      <c r="Y56" s="1">
        <v>5</v>
      </c>
      <c r="Z56" s="1">
        <v>1</v>
      </c>
      <c r="AA56" s="1">
        <v>1</v>
      </c>
      <c r="AB56" s="1">
        <v>1</v>
      </c>
      <c r="AC56" s="1">
        <v>1</v>
      </c>
      <c r="AD56" s="1">
        <v>6</v>
      </c>
      <c r="AE56" s="1">
        <v>10.981</v>
      </c>
      <c r="AF56" s="1">
        <v>13.606</v>
      </c>
      <c r="AG56" s="1">
        <v>14.269</v>
      </c>
      <c r="AH56" s="1">
        <v>3</v>
      </c>
      <c r="AI56" s="1">
        <v>2</v>
      </c>
      <c r="AJ56" s="1">
        <v>6</v>
      </c>
      <c r="AK56" s="1">
        <v>10.032999999999999</v>
      </c>
      <c r="AL56" s="1">
        <v>13.99</v>
      </c>
      <c r="AM56" s="1">
        <v>14.736000000000001</v>
      </c>
      <c r="AN56" s="1">
        <v>6</v>
      </c>
      <c r="AO56" s="1">
        <v>2</v>
      </c>
      <c r="AP56" s="1">
        <v>6</v>
      </c>
      <c r="AQ56" s="1">
        <v>10.616</v>
      </c>
      <c r="AR56" s="1">
        <v>14.026999999999999</v>
      </c>
      <c r="AS56" s="1">
        <v>15.534000000000001</v>
      </c>
      <c r="AT56" s="1">
        <v>6</v>
      </c>
      <c r="AU56" s="1">
        <v>5</v>
      </c>
      <c r="AV56" s="1">
        <v>6</v>
      </c>
      <c r="AW56" s="1">
        <v>14.016</v>
      </c>
      <c r="AX56" s="1">
        <v>18.122</v>
      </c>
      <c r="AY56" s="1">
        <v>18.875</v>
      </c>
      <c r="AZ56" s="1">
        <v>5</v>
      </c>
      <c r="BA56" s="1">
        <v>5</v>
      </c>
      <c r="BB56" s="1">
        <v>6</v>
      </c>
      <c r="BC56" s="1">
        <v>13.904999999999999</v>
      </c>
      <c r="BD56" s="1">
        <v>17.033000000000001</v>
      </c>
      <c r="BE56" s="1">
        <v>17.673999999999999</v>
      </c>
      <c r="BF56" s="1">
        <v>6</v>
      </c>
      <c r="BG56" s="1">
        <v>1</v>
      </c>
      <c r="BH56" s="1">
        <v>6</v>
      </c>
      <c r="BI56" s="1">
        <v>11.878</v>
      </c>
      <c r="BJ56" s="1">
        <v>16.178999999999998</v>
      </c>
      <c r="BK56" s="1">
        <v>16.945</v>
      </c>
      <c r="BL56" s="1">
        <v>6</v>
      </c>
      <c r="BM56" s="1">
        <v>2</v>
      </c>
      <c r="BN56" s="1">
        <v>6</v>
      </c>
      <c r="BO56" s="1">
        <v>9.4529999999999994</v>
      </c>
      <c r="BP56" s="1">
        <v>12.493</v>
      </c>
      <c r="BQ56" s="1">
        <v>13.14</v>
      </c>
      <c r="BR56" s="1">
        <v>5</v>
      </c>
      <c r="BS56" s="1">
        <v>1</v>
      </c>
      <c r="BT56" s="1">
        <v>5</v>
      </c>
      <c r="BU56" s="1">
        <v>11.856999999999999</v>
      </c>
      <c r="BV56" s="1">
        <v>32.093000000000004</v>
      </c>
      <c r="BW56" s="1">
        <v>33.218000000000004</v>
      </c>
      <c r="BX56" s="1">
        <v>12</v>
      </c>
      <c r="BY56" s="1">
        <v>5</v>
      </c>
      <c r="BZ56" s="1">
        <v>6</v>
      </c>
      <c r="CA56" s="1">
        <v>11.664999999999999</v>
      </c>
      <c r="CB56" s="1">
        <v>16.093</v>
      </c>
      <c r="CC56" s="1">
        <v>16.591000000000001</v>
      </c>
      <c r="CD56" s="1">
        <v>6</v>
      </c>
      <c r="CE56" s="1">
        <v>3</v>
      </c>
      <c r="CF56" s="1">
        <v>5</v>
      </c>
      <c r="CG56" s="1">
        <v>13.634</v>
      </c>
      <c r="CH56" s="1">
        <v>24.864000000000001</v>
      </c>
      <c r="CI56" s="1">
        <v>25.594999999999999</v>
      </c>
      <c r="CJ56" s="1">
        <v>8</v>
      </c>
      <c r="CK56" s="1">
        <v>1</v>
      </c>
      <c r="CL56" s="1">
        <v>5</v>
      </c>
      <c r="CM56" s="1">
        <v>11.816000000000001</v>
      </c>
      <c r="CN56" s="1">
        <v>387.22800000000001</v>
      </c>
      <c r="CO56" s="1">
        <v>387.96600000000001</v>
      </c>
      <c r="CP56" s="1">
        <v>6</v>
      </c>
      <c r="CQ56" s="1">
        <v>2</v>
      </c>
      <c r="CR56" s="1">
        <v>5</v>
      </c>
      <c r="CS56" s="1">
        <v>31.853999999999999</v>
      </c>
      <c r="CT56" s="1">
        <v>49.356000000000002</v>
      </c>
      <c r="CU56" s="1">
        <v>50.197000000000003</v>
      </c>
      <c r="CV56" s="1">
        <v>7</v>
      </c>
      <c r="CW56" s="1">
        <v>1</v>
      </c>
      <c r="CX56" s="1">
        <v>5</v>
      </c>
      <c r="CY56" s="1">
        <v>8.8290000000000006</v>
      </c>
      <c r="CZ56" s="1">
        <v>12.814</v>
      </c>
      <c r="DA56" s="1">
        <v>13.361000000000001</v>
      </c>
      <c r="DB56" s="1">
        <v>4</v>
      </c>
      <c r="DC56" s="1">
        <v>5</v>
      </c>
      <c r="DD56" s="1">
        <v>5</v>
      </c>
      <c r="DE56" s="1">
        <v>11.920999999999999</v>
      </c>
      <c r="DF56" s="1">
        <v>16.47</v>
      </c>
      <c r="DG56" s="1">
        <v>17.201000000000001</v>
      </c>
      <c r="DH56" s="1">
        <v>7</v>
      </c>
      <c r="DI56" s="1">
        <v>1</v>
      </c>
      <c r="DJ56" s="1">
        <v>6</v>
      </c>
      <c r="DK56" s="1">
        <v>12.443</v>
      </c>
      <c r="DL56" s="1">
        <v>13.991</v>
      </c>
      <c r="DM56" s="1">
        <v>14.657</v>
      </c>
      <c r="DN56" s="1">
        <v>4</v>
      </c>
      <c r="DO56" s="1">
        <v>1</v>
      </c>
      <c r="DP56" s="1">
        <v>5</v>
      </c>
      <c r="DQ56" s="1">
        <v>72.337999999999994</v>
      </c>
      <c r="DR56" s="1">
        <v>129.87100000000001</v>
      </c>
      <c r="DS56" s="1">
        <v>131.80699999999999</v>
      </c>
      <c r="DT56" s="1">
        <v>5</v>
      </c>
      <c r="DU56" s="1">
        <v>2</v>
      </c>
      <c r="DV56" s="1">
        <v>5</v>
      </c>
      <c r="DW56" s="1">
        <v>21.059000000000001</v>
      </c>
      <c r="DX56" s="1">
        <v>24.85</v>
      </c>
      <c r="DY56" s="1">
        <v>25.579000000000001</v>
      </c>
      <c r="DZ56" s="1">
        <v>7</v>
      </c>
      <c r="EA56" s="1">
        <v>4</v>
      </c>
      <c r="EB56" s="1">
        <v>6</v>
      </c>
      <c r="EC56" s="1">
        <v>12.723000000000001</v>
      </c>
      <c r="ED56" s="1">
        <v>16.701000000000001</v>
      </c>
      <c r="EE56" s="1">
        <v>17.239999999999998</v>
      </c>
      <c r="EF56" s="1">
        <v>6</v>
      </c>
      <c r="EG56" s="1">
        <v>5</v>
      </c>
      <c r="EH56" s="1">
        <v>5</v>
      </c>
      <c r="EI56" s="1">
        <v>18.841999999999999</v>
      </c>
      <c r="EJ56" s="1">
        <v>26.989000000000001</v>
      </c>
      <c r="EK56" s="1">
        <v>27.934999999999999</v>
      </c>
      <c r="EL56" s="1">
        <v>8</v>
      </c>
      <c r="EM56" s="1">
        <v>1</v>
      </c>
      <c r="EN56" s="1">
        <v>6</v>
      </c>
      <c r="EO56" s="1">
        <v>11.279</v>
      </c>
      <c r="EP56" s="1">
        <v>13.722</v>
      </c>
      <c r="EQ56" s="1">
        <v>14.542</v>
      </c>
      <c r="ER56" s="1">
        <v>4</v>
      </c>
      <c r="ES56" s="1">
        <v>1</v>
      </c>
      <c r="ET56" s="1">
        <v>5</v>
      </c>
      <c r="EU56" s="1">
        <v>14.805999999999999</v>
      </c>
      <c r="EV56" s="1">
        <v>17.640999999999998</v>
      </c>
      <c r="EW56" s="1">
        <v>18.311</v>
      </c>
      <c r="EX56" s="1">
        <v>5</v>
      </c>
      <c r="EY56" s="1">
        <v>2</v>
      </c>
      <c r="EZ56" s="1">
        <v>6</v>
      </c>
      <c r="FA56" s="1">
        <v>7.2859999999999996</v>
      </c>
      <c r="FB56" s="1">
        <v>9.9879999999999995</v>
      </c>
      <c r="FC56" s="1">
        <v>10.701000000000001</v>
      </c>
      <c r="FD56" s="1">
        <v>5</v>
      </c>
      <c r="FE56" s="1">
        <v>5</v>
      </c>
      <c r="FF56" s="1">
        <v>6</v>
      </c>
      <c r="FG56" s="1">
        <v>17.366</v>
      </c>
      <c r="FH56" s="1">
        <v>19.927</v>
      </c>
      <c r="FI56" s="1">
        <v>21.187000000000001</v>
      </c>
      <c r="FJ56" s="1">
        <v>4</v>
      </c>
      <c r="FK56" s="1">
        <v>1</v>
      </c>
      <c r="FL56" s="1">
        <v>6</v>
      </c>
      <c r="FM56" s="1">
        <v>10.816000000000001</v>
      </c>
      <c r="FN56" s="1">
        <v>14.273</v>
      </c>
      <c r="FO56" s="1">
        <v>14.286</v>
      </c>
      <c r="FP56" s="1">
        <v>6</v>
      </c>
      <c r="FQ56" s="1">
        <v>2</v>
      </c>
      <c r="FR56" s="1">
        <v>6</v>
      </c>
      <c r="FS56" s="1">
        <v>7.7709999999999999</v>
      </c>
      <c r="FT56" s="1">
        <v>9.8970000000000002</v>
      </c>
      <c r="FU56" s="1">
        <v>10.627000000000001</v>
      </c>
      <c r="FV56" s="1">
        <v>4</v>
      </c>
      <c r="FW56" s="1">
        <v>5</v>
      </c>
      <c r="FX56" s="1">
        <v>6</v>
      </c>
      <c r="FY56" s="1">
        <v>9.2579999999999991</v>
      </c>
      <c r="FZ56" s="1">
        <v>11.846</v>
      </c>
      <c r="GA56" s="1">
        <v>13.131</v>
      </c>
      <c r="GB56" s="1">
        <v>4</v>
      </c>
      <c r="GC56" s="1">
        <v>1</v>
      </c>
      <c r="GD56" s="1">
        <v>7</v>
      </c>
      <c r="GE56" s="1">
        <v>7.7809999999999997</v>
      </c>
      <c r="GF56" s="1">
        <v>13.236000000000001</v>
      </c>
      <c r="GG56" s="1">
        <v>13.747999999999999</v>
      </c>
      <c r="GH56" s="1">
        <v>5</v>
      </c>
      <c r="GI56" s="1">
        <v>2</v>
      </c>
      <c r="GJ56" s="1">
        <v>7</v>
      </c>
      <c r="GK56" s="1">
        <v>10.234999999999999</v>
      </c>
      <c r="GL56" s="1">
        <v>12.968</v>
      </c>
      <c r="GM56" s="1">
        <v>13.563000000000001</v>
      </c>
      <c r="GN56" s="1">
        <v>4</v>
      </c>
      <c r="GO56" s="1">
        <v>5</v>
      </c>
      <c r="GP56" s="1">
        <v>6</v>
      </c>
      <c r="GQ56" s="1">
        <v>8.9809999999999999</v>
      </c>
      <c r="GR56" s="1">
        <v>11.526</v>
      </c>
      <c r="GS56" s="1">
        <v>12.14</v>
      </c>
      <c r="GT56" s="1">
        <v>5</v>
      </c>
      <c r="GU56" s="1">
        <v>1</v>
      </c>
      <c r="GV56" s="1">
        <v>6</v>
      </c>
      <c r="GW56" s="1">
        <v>23.623999999999999</v>
      </c>
      <c r="GX56" s="1">
        <v>27.885000000000002</v>
      </c>
      <c r="GY56" s="1">
        <v>28.625</v>
      </c>
      <c r="GZ56" s="1">
        <v>6</v>
      </c>
      <c r="HA56" s="1">
        <v>2</v>
      </c>
      <c r="HB56" s="1">
        <v>6</v>
      </c>
      <c r="HC56" s="1">
        <v>9.2080000000000002</v>
      </c>
      <c r="HD56" s="1">
        <v>19.815000000000001</v>
      </c>
      <c r="HE56" s="1">
        <v>20.872</v>
      </c>
      <c r="HF56" s="1">
        <v>10</v>
      </c>
      <c r="HG56" s="1">
        <v>2</v>
      </c>
      <c r="HH56" s="1">
        <v>5</v>
      </c>
      <c r="HI56" s="1">
        <v>12.721</v>
      </c>
      <c r="HJ56" s="1">
        <v>17.079999999999998</v>
      </c>
      <c r="HK56" s="1">
        <v>18.530999999999999</v>
      </c>
      <c r="HL56" s="1">
        <v>5</v>
      </c>
      <c r="HM56" s="4" t="s">
        <v>930</v>
      </c>
      <c r="HN56" s="4" t="s">
        <v>930</v>
      </c>
      <c r="HO56" s="4" t="s">
        <v>931</v>
      </c>
      <c r="HP56" s="4" t="s">
        <v>931</v>
      </c>
      <c r="HQ56" s="4" t="s">
        <v>932</v>
      </c>
      <c r="HR56" s="4" t="s">
        <v>933</v>
      </c>
      <c r="HS56" s="4" t="s">
        <v>934</v>
      </c>
      <c r="HT56" s="4" t="s">
        <v>935</v>
      </c>
      <c r="HU56" s="4" t="s">
        <v>936</v>
      </c>
      <c r="HV56" s="4" t="s">
        <v>937</v>
      </c>
      <c r="HW56" s="4" t="s">
        <v>282</v>
      </c>
      <c r="HX56" s="4" t="s">
        <v>282</v>
      </c>
      <c r="HY56" s="4" t="s">
        <v>312</v>
      </c>
      <c r="HZ56" s="4" t="s">
        <v>372</v>
      </c>
      <c r="IA56" s="4" t="s">
        <v>325</v>
      </c>
      <c r="IB56" s="4" t="s">
        <v>282</v>
      </c>
      <c r="IC56" s="4" t="s">
        <v>282</v>
      </c>
    </row>
    <row r="57" spans="1:237" x14ac:dyDescent="0.2">
      <c r="A57" s="3">
        <v>45748.627476851849</v>
      </c>
      <c r="B57" s="3">
        <v>45748.646863425929</v>
      </c>
      <c r="C57" s="1">
        <v>0</v>
      </c>
      <c r="D57" s="4" t="s">
        <v>938</v>
      </c>
      <c r="E57" s="1">
        <v>100</v>
      </c>
      <c r="F57" s="1">
        <v>1674</v>
      </c>
      <c r="G57" s="1">
        <v>1</v>
      </c>
      <c r="H57" s="3">
        <v>45748.646875706021</v>
      </c>
      <c r="I57" s="4" t="s">
        <v>939</v>
      </c>
      <c r="J57" s="4" t="s">
        <v>282</v>
      </c>
      <c r="K57" s="4" t="s">
        <v>282</v>
      </c>
      <c r="L57" s="4" t="s">
        <v>282</v>
      </c>
      <c r="M57" s="4" t="s">
        <v>282</v>
      </c>
      <c r="N57" s="1">
        <v>49.865699999999997</v>
      </c>
      <c r="O57" s="1">
        <v>-97.067099999999996</v>
      </c>
      <c r="P57" s="4" t="s">
        <v>283</v>
      </c>
      <c r="Q57" s="4" t="s">
        <v>284</v>
      </c>
      <c r="R57" s="1">
        <v>1</v>
      </c>
      <c r="S57" s="1">
        <v>1</v>
      </c>
      <c r="T57" s="1">
        <v>1</v>
      </c>
      <c r="U57" s="1">
        <v>1</v>
      </c>
      <c r="V57" s="1">
        <v>1</v>
      </c>
      <c r="W57" s="1">
        <v>11</v>
      </c>
      <c r="X57" s="4" t="s">
        <v>1280</v>
      </c>
      <c r="Y57" s="1">
        <v>5</v>
      </c>
      <c r="Z57" s="1">
        <v>5</v>
      </c>
      <c r="AA57" s="1">
        <v>1</v>
      </c>
      <c r="AB57" s="1">
        <v>2</v>
      </c>
      <c r="AC57" s="1">
        <v>1</v>
      </c>
      <c r="AD57" s="1">
        <v>6</v>
      </c>
      <c r="AE57" s="1">
        <v>0.80300000000000005</v>
      </c>
      <c r="AF57" s="1">
        <v>14.452999999999999</v>
      </c>
      <c r="AG57" s="1">
        <v>15.026</v>
      </c>
      <c r="AH57" s="1">
        <v>7</v>
      </c>
      <c r="AI57" s="1">
        <v>2</v>
      </c>
      <c r="AJ57" s="1">
        <v>7</v>
      </c>
      <c r="AK57" s="1">
        <v>0.873</v>
      </c>
      <c r="AL57" s="1">
        <v>13.282999999999999</v>
      </c>
      <c r="AM57" s="1">
        <v>13.74</v>
      </c>
      <c r="AN57" s="1">
        <v>5</v>
      </c>
      <c r="AO57" s="1">
        <v>2</v>
      </c>
      <c r="AP57" s="1">
        <v>7</v>
      </c>
      <c r="AQ57" s="1">
        <v>0.69</v>
      </c>
      <c r="AR57" s="1">
        <v>14.557</v>
      </c>
      <c r="AS57" s="1">
        <v>14.571999999999999</v>
      </c>
      <c r="AT57" s="1">
        <v>9</v>
      </c>
      <c r="AU57" s="1">
        <v>5</v>
      </c>
      <c r="AV57" s="1">
        <v>6</v>
      </c>
      <c r="AW57" s="1">
        <v>0.72399999999999998</v>
      </c>
      <c r="AX57" s="1">
        <v>13.573</v>
      </c>
      <c r="AY57" s="1">
        <v>14.313000000000001</v>
      </c>
      <c r="AZ57" s="1">
        <v>8</v>
      </c>
      <c r="BA57" s="1">
        <v>4</v>
      </c>
      <c r="BB57" s="1">
        <v>4</v>
      </c>
      <c r="BC57" s="1">
        <v>0.9</v>
      </c>
      <c r="BD57" s="1">
        <v>14.391</v>
      </c>
      <c r="BE57" s="1">
        <v>16.218</v>
      </c>
      <c r="BF57" s="1">
        <v>5</v>
      </c>
      <c r="BG57" s="1">
        <v>1</v>
      </c>
      <c r="BH57" s="1">
        <v>6</v>
      </c>
      <c r="BI57" s="1">
        <v>0.79200000000000004</v>
      </c>
      <c r="BJ57" s="1">
        <v>15.217000000000001</v>
      </c>
      <c r="BK57" s="1">
        <v>15.569000000000001</v>
      </c>
      <c r="BL57" s="1">
        <v>6</v>
      </c>
      <c r="BM57" s="1">
        <v>2</v>
      </c>
      <c r="BN57" s="1">
        <v>7</v>
      </c>
      <c r="BO57" s="1">
        <v>0.625</v>
      </c>
      <c r="BP57" s="1">
        <v>14.311999999999999</v>
      </c>
      <c r="BQ57" s="1">
        <v>17.04</v>
      </c>
      <c r="BR57" s="1">
        <v>7</v>
      </c>
      <c r="BS57" s="1">
        <v>1</v>
      </c>
      <c r="BT57" s="1">
        <v>4</v>
      </c>
      <c r="BU57" s="1">
        <v>0.75900000000000001</v>
      </c>
      <c r="BV57" s="1">
        <v>21.184000000000001</v>
      </c>
      <c r="BW57" s="1">
        <v>22.475999999999999</v>
      </c>
      <c r="BX57" s="1">
        <v>13</v>
      </c>
      <c r="BY57" s="1">
        <v>4</v>
      </c>
      <c r="BZ57" s="1">
        <v>5</v>
      </c>
      <c r="CA57" s="1">
        <v>0.76600000000000001</v>
      </c>
      <c r="CB57" s="1">
        <v>22.007000000000001</v>
      </c>
      <c r="CC57" s="1">
        <v>21.911000000000001</v>
      </c>
      <c r="CD57" s="1">
        <v>10</v>
      </c>
      <c r="CE57" s="1">
        <v>3</v>
      </c>
      <c r="CF57" s="1">
        <v>6</v>
      </c>
      <c r="CG57" s="1">
        <v>1.597</v>
      </c>
      <c r="CH57" s="1">
        <v>21.885000000000002</v>
      </c>
      <c r="CI57" s="1">
        <v>23.407</v>
      </c>
      <c r="CJ57" s="1">
        <v>11</v>
      </c>
      <c r="CK57" s="1">
        <v>1</v>
      </c>
      <c r="CL57" s="1">
        <v>6</v>
      </c>
      <c r="CM57" s="1">
        <v>1.298</v>
      </c>
      <c r="CN57" s="1">
        <v>38.731999999999999</v>
      </c>
      <c r="CO57" s="1">
        <v>39.405000000000001</v>
      </c>
      <c r="CP57" s="1">
        <v>12</v>
      </c>
      <c r="CQ57" s="1">
        <v>2</v>
      </c>
      <c r="CR57" s="1">
        <v>7</v>
      </c>
      <c r="CS57" s="1">
        <v>0.30399999999999999</v>
      </c>
      <c r="CT57" s="1">
        <v>26.106999999999999</v>
      </c>
      <c r="CU57" s="1">
        <v>27.041</v>
      </c>
      <c r="CV57" s="1">
        <v>17</v>
      </c>
      <c r="CW57" s="1">
        <v>1</v>
      </c>
      <c r="CX57" s="1">
        <v>5</v>
      </c>
      <c r="CY57" s="1">
        <v>1.3859999999999999</v>
      </c>
      <c r="CZ57" s="1">
        <v>21.056000000000001</v>
      </c>
      <c r="DA57" s="1">
        <v>21.55</v>
      </c>
      <c r="DB57" s="1">
        <v>6</v>
      </c>
      <c r="DC57" s="1">
        <v>5</v>
      </c>
      <c r="DD57" s="1">
        <v>6</v>
      </c>
      <c r="DE57" s="1">
        <v>1.0089999999999999</v>
      </c>
      <c r="DF57" s="1">
        <v>14.21</v>
      </c>
      <c r="DG57" s="1">
        <v>15.077999999999999</v>
      </c>
      <c r="DH57" s="1">
        <v>7</v>
      </c>
      <c r="DI57" s="1">
        <v>3</v>
      </c>
      <c r="DJ57" s="1">
        <v>5</v>
      </c>
      <c r="DK57" s="1">
        <v>0.67300000000000004</v>
      </c>
      <c r="DL57" s="1">
        <v>51.737000000000002</v>
      </c>
      <c r="DM57" s="1">
        <v>52.323</v>
      </c>
      <c r="DN57" s="1">
        <v>33</v>
      </c>
      <c r="DO57" s="1">
        <v>1</v>
      </c>
      <c r="DP57" s="1">
        <v>6</v>
      </c>
      <c r="DQ57" s="1">
        <v>0.85499999999999998</v>
      </c>
      <c r="DR57" s="1">
        <v>19.838999999999999</v>
      </c>
      <c r="DS57" s="1">
        <v>19.859000000000002</v>
      </c>
      <c r="DT57" s="1">
        <v>9</v>
      </c>
      <c r="DU57" s="1">
        <v>2</v>
      </c>
      <c r="DV57" s="1">
        <v>7</v>
      </c>
      <c r="DW57" s="1">
        <v>0.82699999999999996</v>
      </c>
      <c r="DX57" s="1">
        <v>13.179</v>
      </c>
      <c r="DY57" s="1">
        <v>13.205</v>
      </c>
      <c r="DZ57" s="1">
        <v>7</v>
      </c>
      <c r="EA57" s="1">
        <v>4</v>
      </c>
      <c r="EB57" s="1">
        <v>5</v>
      </c>
      <c r="EC57" s="1">
        <v>0.63700000000000001</v>
      </c>
      <c r="ED57" s="1">
        <v>33.540999999999997</v>
      </c>
      <c r="EE57" s="1">
        <v>35.957999999999998</v>
      </c>
      <c r="EF57" s="1">
        <v>10</v>
      </c>
      <c r="EG57" s="1">
        <v>5</v>
      </c>
      <c r="EH57" s="1">
        <v>4</v>
      </c>
      <c r="EI57" s="1">
        <v>4.0609999999999999</v>
      </c>
      <c r="EJ57" s="1">
        <v>17.228999999999999</v>
      </c>
      <c r="EK57" s="1">
        <v>17.661000000000001</v>
      </c>
      <c r="EL57" s="1">
        <v>7</v>
      </c>
      <c r="EM57" s="1">
        <v>3</v>
      </c>
      <c r="EN57" s="1">
        <v>6</v>
      </c>
      <c r="EO57" s="1">
        <v>3.4129999999999998</v>
      </c>
      <c r="EP57" s="1">
        <v>22.521000000000001</v>
      </c>
      <c r="EQ57" s="1">
        <v>22.425999999999998</v>
      </c>
      <c r="ER57" s="1">
        <v>6</v>
      </c>
      <c r="ES57" s="1">
        <v>1</v>
      </c>
      <c r="ET57" s="1">
        <v>6</v>
      </c>
      <c r="EU57" s="1">
        <v>0.96599999999999997</v>
      </c>
      <c r="EV57" s="1">
        <v>17.102</v>
      </c>
      <c r="EW57" s="1">
        <v>17.677</v>
      </c>
      <c r="EX57" s="1">
        <v>9</v>
      </c>
      <c r="EY57" s="1">
        <v>2</v>
      </c>
      <c r="EZ57" s="1">
        <v>6</v>
      </c>
      <c r="FA57" s="1">
        <v>3.3130000000000002</v>
      </c>
      <c r="FB57" s="1">
        <v>28.172999999999998</v>
      </c>
      <c r="FC57" s="1">
        <v>28.890999999999998</v>
      </c>
      <c r="FD57" s="1">
        <v>8</v>
      </c>
      <c r="FE57" s="1">
        <v>5</v>
      </c>
      <c r="FF57" s="1">
        <v>5</v>
      </c>
      <c r="FG57" s="1">
        <v>0.85099999999999998</v>
      </c>
      <c r="FH57" s="1">
        <v>13.316000000000001</v>
      </c>
      <c r="FI57" s="1">
        <v>14.076000000000001</v>
      </c>
      <c r="FJ57" s="1">
        <v>7</v>
      </c>
      <c r="FK57" s="1">
        <v>1</v>
      </c>
      <c r="FL57" s="1">
        <v>7</v>
      </c>
      <c r="FM57" s="1">
        <v>1.5960000000000001</v>
      </c>
      <c r="FN57" s="1">
        <v>21.103000000000002</v>
      </c>
      <c r="FO57" s="1">
        <v>21.123999999999999</v>
      </c>
      <c r="FP57" s="1">
        <v>12</v>
      </c>
      <c r="FQ57" s="1">
        <v>2</v>
      </c>
      <c r="FR57" s="1">
        <v>6</v>
      </c>
      <c r="FS57" s="1">
        <v>0.92500000000000004</v>
      </c>
      <c r="FT57" s="1">
        <v>24.228000000000002</v>
      </c>
      <c r="FU57" s="1">
        <v>24.794</v>
      </c>
      <c r="FV57" s="1">
        <v>5</v>
      </c>
      <c r="FW57" s="1">
        <v>5</v>
      </c>
      <c r="FX57" s="1">
        <v>6</v>
      </c>
      <c r="FY57" s="1">
        <v>0.94199999999999995</v>
      </c>
      <c r="FZ57" s="1">
        <v>52.328000000000003</v>
      </c>
      <c r="GA57" s="1">
        <v>54.45</v>
      </c>
      <c r="GB57" s="1">
        <v>13</v>
      </c>
      <c r="GC57" s="1">
        <v>1</v>
      </c>
      <c r="GD57" s="1">
        <v>6</v>
      </c>
      <c r="GE57" s="1">
        <v>3.3849999999999998</v>
      </c>
      <c r="GF57" s="1">
        <v>20.152000000000001</v>
      </c>
      <c r="GG57" s="1">
        <v>22.141999999999999</v>
      </c>
      <c r="GH57" s="1">
        <v>8</v>
      </c>
      <c r="GI57" s="1">
        <v>2</v>
      </c>
      <c r="GJ57" s="1">
        <v>7</v>
      </c>
      <c r="GK57" s="1">
        <v>0.995</v>
      </c>
      <c r="GL57" s="1">
        <v>19.686</v>
      </c>
      <c r="GM57" s="1">
        <v>20.747</v>
      </c>
      <c r="GN57" s="1">
        <v>9</v>
      </c>
      <c r="GO57" s="1">
        <v>5</v>
      </c>
      <c r="GP57" s="1">
        <v>5</v>
      </c>
      <c r="GQ57" s="1">
        <v>1.012</v>
      </c>
      <c r="GR57" s="1">
        <v>18.155000000000001</v>
      </c>
      <c r="GS57" s="1">
        <v>18.943000000000001</v>
      </c>
      <c r="GT57" s="1">
        <v>8</v>
      </c>
      <c r="GU57" s="1">
        <v>1</v>
      </c>
      <c r="GV57" s="1">
        <v>6</v>
      </c>
      <c r="GW57" s="1">
        <v>7.1909999999999998</v>
      </c>
      <c r="GX57" s="1">
        <v>26.035</v>
      </c>
      <c r="GY57" s="1">
        <v>29.719000000000001</v>
      </c>
      <c r="GZ57" s="1">
        <v>7</v>
      </c>
      <c r="HA57" s="1">
        <v>2</v>
      </c>
      <c r="HB57" s="1">
        <v>6</v>
      </c>
      <c r="HC57" s="1">
        <v>3.2559999999999998</v>
      </c>
      <c r="HD57" s="1">
        <v>23.905999999999999</v>
      </c>
      <c r="HE57" s="1">
        <v>24.62</v>
      </c>
      <c r="HF57" s="1">
        <v>10</v>
      </c>
      <c r="HG57" s="1">
        <v>1</v>
      </c>
      <c r="HH57" s="1">
        <v>4</v>
      </c>
      <c r="HI57" s="1">
        <v>0.97699999999999998</v>
      </c>
      <c r="HJ57" s="1">
        <v>30.771999999999998</v>
      </c>
      <c r="HK57" s="1">
        <v>32.374000000000002</v>
      </c>
      <c r="HL57" s="1">
        <v>12</v>
      </c>
      <c r="HM57" s="4" t="s">
        <v>940</v>
      </c>
      <c r="HN57" s="4" t="s">
        <v>941</v>
      </c>
      <c r="HO57" s="4" t="s">
        <v>942</v>
      </c>
      <c r="HP57" s="4" t="s">
        <v>943</v>
      </c>
      <c r="HQ57" s="4" t="s">
        <v>944</v>
      </c>
      <c r="HR57" s="4" t="s">
        <v>945</v>
      </c>
      <c r="HS57" s="4" t="s">
        <v>946</v>
      </c>
      <c r="HT57" s="4" t="s">
        <v>947</v>
      </c>
      <c r="HU57" s="4" t="s">
        <v>948</v>
      </c>
      <c r="HV57" s="4" t="s">
        <v>949</v>
      </c>
      <c r="HW57" s="4" t="s">
        <v>282</v>
      </c>
      <c r="HX57" s="4" t="s">
        <v>282</v>
      </c>
      <c r="HY57" s="4" t="s">
        <v>312</v>
      </c>
      <c r="HZ57" s="4" t="s">
        <v>356</v>
      </c>
      <c r="IA57" s="4" t="s">
        <v>313</v>
      </c>
      <c r="IB57" s="4" t="s">
        <v>282</v>
      </c>
      <c r="IC57" s="4" t="s">
        <v>282</v>
      </c>
    </row>
    <row r="58" spans="1:237" x14ac:dyDescent="0.2">
      <c r="A58" s="3">
        <v>45748.644224537034</v>
      </c>
      <c r="B58" s="3">
        <v>45748.658206018517</v>
      </c>
      <c r="C58" s="1">
        <v>0</v>
      </c>
      <c r="D58" s="4" t="s">
        <v>950</v>
      </c>
      <c r="E58" s="1">
        <v>100</v>
      </c>
      <c r="F58" s="1">
        <v>1208</v>
      </c>
      <c r="G58" s="1">
        <v>1</v>
      </c>
      <c r="H58" s="3">
        <v>45748.658226770836</v>
      </c>
      <c r="I58" s="4" t="s">
        <v>951</v>
      </c>
      <c r="J58" s="4" t="s">
        <v>282</v>
      </c>
      <c r="K58" s="4" t="s">
        <v>282</v>
      </c>
      <c r="L58" s="4" t="s">
        <v>282</v>
      </c>
      <c r="M58" s="4" t="s">
        <v>282</v>
      </c>
      <c r="N58" s="1">
        <v>37.371699999999997</v>
      </c>
      <c r="O58" s="1">
        <v>126.9466</v>
      </c>
      <c r="P58" s="4" t="s">
        <v>283</v>
      </c>
      <c r="Q58" s="4" t="s">
        <v>284</v>
      </c>
      <c r="R58" s="1">
        <v>1</v>
      </c>
      <c r="S58" s="1">
        <v>1</v>
      </c>
      <c r="T58" s="1">
        <v>1</v>
      </c>
      <c r="U58" s="1">
        <v>1</v>
      </c>
      <c r="V58" s="1">
        <v>1</v>
      </c>
      <c r="W58" s="1">
        <v>4</v>
      </c>
      <c r="X58" s="4" t="s">
        <v>497</v>
      </c>
      <c r="Y58" s="1">
        <v>5</v>
      </c>
      <c r="Z58" s="1">
        <v>4</v>
      </c>
      <c r="AA58" s="1">
        <v>2</v>
      </c>
      <c r="AB58" s="1">
        <v>2</v>
      </c>
      <c r="AC58" s="1">
        <v>1</v>
      </c>
      <c r="AD58" s="1">
        <v>5</v>
      </c>
      <c r="AE58" s="1">
        <v>6.7350000000000003</v>
      </c>
      <c r="AF58" s="1">
        <v>8.3989999999999991</v>
      </c>
      <c r="AG58" s="1">
        <v>9.2309999999999999</v>
      </c>
      <c r="AH58" s="1">
        <v>2</v>
      </c>
      <c r="AI58" s="1">
        <v>2</v>
      </c>
      <c r="AJ58" s="1">
        <v>6</v>
      </c>
      <c r="AK58" s="1">
        <v>5.7089999999999996</v>
      </c>
      <c r="AL58" s="1">
        <v>7.5389999999999997</v>
      </c>
      <c r="AM58" s="1">
        <v>8.6479999999999997</v>
      </c>
      <c r="AN58" s="1">
        <v>3</v>
      </c>
      <c r="AO58" s="1">
        <v>2</v>
      </c>
      <c r="AP58" s="1">
        <v>5</v>
      </c>
      <c r="AQ58" s="1">
        <v>12.478</v>
      </c>
      <c r="AR58" s="1">
        <v>15.766</v>
      </c>
      <c r="AS58" s="1">
        <v>17.373999999999999</v>
      </c>
      <c r="AT58" s="1">
        <v>3</v>
      </c>
      <c r="AU58" s="1">
        <v>3</v>
      </c>
      <c r="AV58" s="1">
        <v>5</v>
      </c>
      <c r="AW58" s="1">
        <v>10.743</v>
      </c>
      <c r="AX58" s="1">
        <v>12.916</v>
      </c>
      <c r="AY58" s="1">
        <v>13.938000000000001</v>
      </c>
      <c r="AZ58" s="1">
        <v>2</v>
      </c>
      <c r="BA58" s="1">
        <v>3</v>
      </c>
      <c r="BB58" s="1">
        <v>6</v>
      </c>
      <c r="BC58" s="1">
        <v>5.6349999999999998</v>
      </c>
      <c r="BD58" s="1">
        <v>12.676</v>
      </c>
      <c r="BE58" s="1">
        <v>13.961</v>
      </c>
      <c r="BF58" s="1">
        <v>3</v>
      </c>
      <c r="BG58" s="1">
        <v>2</v>
      </c>
      <c r="BH58" s="1">
        <v>6</v>
      </c>
      <c r="BI58" s="1">
        <v>6.202</v>
      </c>
      <c r="BJ58" s="1">
        <v>8.5530000000000008</v>
      </c>
      <c r="BK58" s="1">
        <v>9.3789999999999996</v>
      </c>
      <c r="BL58" s="1">
        <v>2</v>
      </c>
      <c r="BM58" s="1">
        <v>4</v>
      </c>
      <c r="BN58" s="1">
        <v>5</v>
      </c>
      <c r="BO58" s="1">
        <v>7.1349999999999998</v>
      </c>
      <c r="BP58" s="1">
        <v>11.526999999999999</v>
      </c>
      <c r="BQ58" s="1">
        <v>12.483000000000001</v>
      </c>
      <c r="BR58" s="1">
        <v>2</v>
      </c>
      <c r="BS58" s="1">
        <v>2</v>
      </c>
      <c r="BT58" s="1">
        <v>6</v>
      </c>
      <c r="BU58" s="1">
        <v>14.185</v>
      </c>
      <c r="BV58" s="1">
        <v>15.455</v>
      </c>
      <c r="BW58" s="1">
        <v>16.608000000000001</v>
      </c>
      <c r="BX58" s="1">
        <v>2</v>
      </c>
      <c r="BY58" s="1">
        <v>5</v>
      </c>
      <c r="BZ58" s="1">
        <v>7</v>
      </c>
      <c r="CA58" s="1">
        <v>4.8899999999999997</v>
      </c>
      <c r="CB58" s="1">
        <v>6.8979999999999997</v>
      </c>
      <c r="CC58" s="1">
        <v>8.7669999999999995</v>
      </c>
      <c r="CD58" s="1">
        <v>3</v>
      </c>
      <c r="CE58" s="1">
        <v>3</v>
      </c>
      <c r="CF58" s="1">
        <v>6</v>
      </c>
      <c r="CG58" s="1">
        <v>9.3859999999999992</v>
      </c>
      <c r="CH58" s="1">
        <v>12.502000000000001</v>
      </c>
      <c r="CI58" s="1">
        <v>12.843999999999999</v>
      </c>
      <c r="CJ58" s="1">
        <v>3</v>
      </c>
      <c r="CK58" s="1">
        <v>2</v>
      </c>
      <c r="CL58" s="1">
        <v>6</v>
      </c>
      <c r="CM58" s="1">
        <v>8.5909999999999993</v>
      </c>
      <c r="CN58" s="1">
        <v>9.8119999999999994</v>
      </c>
      <c r="CO58" s="1">
        <v>10.976000000000001</v>
      </c>
      <c r="CP58" s="1">
        <v>2</v>
      </c>
      <c r="CQ58" s="1">
        <v>2</v>
      </c>
      <c r="CR58" s="1">
        <v>7</v>
      </c>
      <c r="CS58" s="1">
        <v>6.8550000000000004</v>
      </c>
      <c r="CT58" s="1">
        <v>8.6709999999999994</v>
      </c>
      <c r="CU58" s="1">
        <v>10.763999999999999</v>
      </c>
      <c r="CV58" s="1">
        <v>2</v>
      </c>
      <c r="CW58" s="1">
        <v>2</v>
      </c>
      <c r="CX58" s="1">
        <v>6</v>
      </c>
      <c r="CY58" s="1">
        <v>7.1920000000000002</v>
      </c>
      <c r="CZ58" s="1">
        <v>8.4060000000000006</v>
      </c>
      <c r="DA58" s="1">
        <v>9.2959999999999994</v>
      </c>
      <c r="DB58" s="1">
        <v>2</v>
      </c>
      <c r="DC58" s="1">
        <v>5</v>
      </c>
      <c r="DD58" s="1">
        <v>6</v>
      </c>
      <c r="DE58" s="1">
        <v>6.0739999999999998</v>
      </c>
      <c r="DF58" s="1">
        <v>7.1589999999999998</v>
      </c>
      <c r="DG58" s="1">
        <v>8.8309999999999995</v>
      </c>
      <c r="DH58" s="1">
        <v>2</v>
      </c>
      <c r="DI58" s="1">
        <v>3</v>
      </c>
      <c r="DJ58" s="1">
        <v>6</v>
      </c>
      <c r="DK58" s="1">
        <v>5.9710000000000001</v>
      </c>
      <c r="DL58" s="1">
        <v>9.3550000000000004</v>
      </c>
      <c r="DM58" s="1">
        <v>11.170999999999999</v>
      </c>
      <c r="DN58" s="1">
        <v>3</v>
      </c>
      <c r="DO58" s="1">
        <v>1</v>
      </c>
      <c r="DP58" s="1">
        <v>4</v>
      </c>
      <c r="DQ58" s="1">
        <v>8.1419999999999995</v>
      </c>
      <c r="DR58" s="1">
        <v>45.707999999999998</v>
      </c>
      <c r="DS58" s="1">
        <v>47.228000000000002</v>
      </c>
      <c r="DT58" s="1">
        <v>9</v>
      </c>
      <c r="DU58" s="1">
        <v>2</v>
      </c>
      <c r="DV58" s="1">
        <v>6</v>
      </c>
      <c r="DW58" s="1">
        <v>7.633</v>
      </c>
      <c r="DX58" s="1">
        <v>8.7040000000000006</v>
      </c>
      <c r="DY58" s="1">
        <v>9.8689999999999998</v>
      </c>
      <c r="DZ58" s="1">
        <v>2</v>
      </c>
      <c r="EA58" s="1">
        <v>4</v>
      </c>
      <c r="EB58" s="1">
        <v>5</v>
      </c>
      <c r="EC58" s="1">
        <v>8.35</v>
      </c>
      <c r="ED58" s="1">
        <v>11.214</v>
      </c>
      <c r="EE58" s="1">
        <v>11.544</v>
      </c>
      <c r="EF58" s="1">
        <v>3</v>
      </c>
      <c r="EG58" s="1">
        <v>3</v>
      </c>
      <c r="EH58" s="1">
        <v>6</v>
      </c>
      <c r="EI58" s="1">
        <v>8.25</v>
      </c>
      <c r="EJ58" s="1">
        <v>9.798</v>
      </c>
      <c r="EK58" s="1">
        <v>10.58</v>
      </c>
      <c r="EL58" s="1">
        <v>2</v>
      </c>
      <c r="EM58" s="1">
        <v>1</v>
      </c>
      <c r="EN58" s="1">
        <v>5</v>
      </c>
      <c r="EO58" s="1">
        <v>19.149999999999999</v>
      </c>
      <c r="EP58" s="1">
        <v>20.643999999999998</v>
      </c>
      <c r="EQ58" s="1">
        <v>21.484000000000002</v>
      </c>
      <c r="ER58" s="1">
        <v>2</v>
      </c>
      <c r="ES58" s="1">
        <v>1</v>
      </c>
      <c r="ET58" s="1">
        <v>5</v>
      </c>
      <c r="EU58" s="1">
        <v>9.3239999999999998</v>
      </c>
      <c r="EV58" s="1">
        <v>14.14</v>
      </c>
      <c r="EW58" s="1">
        <v>15.874000000000001</v>
      </c>
      <c r="EX58" s="1">
        <v>2</v>
      </c>
      <c r="EY58" s="1">
        <v>2</v>
      </c>
      <c r="EZ58" s="1">
        <v>6</v>
      </c>
      <c r="FA58" s="1">
        <v>5.54</v>
      </c>
      <c r="FB58" s="1">
        <v>6.5640000000000001</v>
      </c>
      <c r="FC58" s="1">
        <v>8.6839999999999993</v>
      </c>
      <c r="FD58" s="1">
        <v>2</v>
      </c>
      <c r="FE58" s="1">
        <v>5</v>
      </c>
      <c r="FF58" s="1">
        <v>5</v>
      </c>
      <c r="FG58" s="1">
        <v>6.9210000000000003</v>
      </c>
      <c r="FH58" s="1">
        <v>10.457000000000001</v>
      </c>
      <c r="FI58" s="1">
        <v>10.845000000000001</v>
      </c>
      <c r="FJ58" s="1">
        <v>3</v>
      </c>
      <c r="FK58" s="1">
        <v>1</v>
      </c>
      <c r="FL58" s="1">
        <v>6</v>
      </c>
      <c r="FM58" s="1">
        <v>6.7549999999999999</v>
      </c>
      <c r="FN58" s="1">
        <v>8.1890000000000001</v>
      </c>
      <c r="FO58" s="1">
        <v>9.0169999999999995</v>
      </c>
      <c r="FP58" s="1">
        <v>2</v>
      </c>
      <c r="FQ58" s="1">
        <v>2</v>
      </c>
      <c r="FR58" s="1">
        <v>5</v>
      </c>
      <c r="FS58" s="1">
        <v>13.595000000000001</v>
      </c>
      <c r="FT58" s="1">
        <v>17.529</v>
      </c>
      <c r="FU58" s="1">
        <v>18.649000000000001</v>
      </c>
      <c r="FV58" s="1">
        <v>2</v>
      </c>
      <c r="FW58" s="1">
        <v>5</v>
      </c>
      <c r="FX58" s="1">
        <v>6</v>
      </c>
      <c r="FY58" s="1">
        <v>5.3810000000000002</v>
      </c>
      <c r="FZ58" s="1">
        <v>6.601</v>
      </c>
      <c r="GA58" s="1">
        <v>9.0530000000000008</v>
      </c>
      <c r="GB58" s="1">
        <v>2</v>
      </c>
      <c r="GC58" s="1">
        <v>1</v>
      </c>
      <c r="GD58" s="1">
        <v>6</v>
      </c>
      <c r="GE58" s="1">
        <v>5.4710000000000001</v>
      </c>
      <c r="GF58" s="1">
        <v>6.6349999999999998</v>
      </c>
      <c r="GG58" s="1">
        <v>8.8089999999999993</v>
      </c>
      <c r="GH58" s="1">
        <v>2</v>
      </c>
      <c r="GI58" s="1">
        <v>2</v>
      </c>
      <c r="GJ58" s="1">
        <v>5</v>
      </c>
      <c r="GK58" s="1">
        <v>8.5960000000000001</v>
      </c>
      <c r="GL58" s="1">
        <v>10.234</v>
      </c>
      <c r="GM58" s="1">
        <v>11.455</v>
      </c>
      <c r="GN58" s="1">
        <v>2</v>
      </c>
      <c r="GO58" s="1">
        <v>5</v>
      </c>
      <c r="GP58" s="1">
        <v>6</v>
      </c>
      <c r="GQ58" s="1">
        <v>6.7130000000000001</v>
      </c>
      <c r="GR58" s="1">
        <v>10.3</v>
      </c>
      <c r="GS58" s="1">
        <v>11.563000000000001</v>
      </c>
      <c r="GT58" s="1">
        <v>2</v>
      </c>
      <c r="GU58" s="1">
        <v>1</v>
      </c>
      <c r="GV58" s="1">
        <v>6</v>
      </c>
      <c r="GW58" s="1">
        <v>5.8620000000000001</v>
      </c>
      <c r="GX58" s="1">
        <v>7.3940000000000001</v>
      </c>
      <c r="GY58" s="1">
        <v>8.84</v>
      </c>
      <c r="GZ58" s="1">
        <v>2</v>
      </c>
      <c r="HA58" s="1">
        <v>2</v>
      </c>
      <c r="HB58" s="1">
        <v>5</v>
      </c>
      <c r="HC58" s="1">
        <v>7.4660000000000002</v>
      </c>
      <c r="HD58" s="1">
        <v>15.212999999999999</v>
      </c>
      <c r="HE58" s="1">
        <v>16.396000000000001</v>
      </c>
      <c r="HF58" s="1">
        <v>3</v>
      </c>
      <c r="HG58" s="1">
        <v>1</v>
      </c>
      <c r="HH58" s="1">
        <v>6</v>
      </c>
      <c r="HI58" s="1">
        <v>6.6070000000000002</v>
      </c>
      <c r="HJ58" s="1">
        <v>7.7329999999999997</v>
      </c>
      <c r="HK58" s="1">
        <v>9.1229999999999993</v>
      </c>
      <c r="HL58" s="1">
        <v>2</v>
      </c>
      <c r="HM58" s="4" t="s">
        <v>952</v>
      </c>
      <c r="HN58" s="4" t="s">
        <v>953</v>
      </c>
      <c r="HO58" s="4" t="s">
        <v>954</v>
      </c>
      <c r="HP58" s="4" t="s">
        <v>954</v>
      </c>
      <c r="HQ58" s="4" t="s">
        <v>955</v>
      </c>
      <c r="HR58" s="4" t="s">
        <v>956</v>
      </c>
      <c r="HS58" s="4" t="s">
        <v>957</v>
      </c>
      <c r="HT58" s="4" t="s">
        <v>958</v>
      </c>
      <c r="HU58" s="4" t="s">
        <v>959</v>
      </c>
      <c r="HV58" s="4" t="s">
        <v>959</v>
      </c>
      <c r="HW58" s="4" t="s">
        <v>282</v>
      </c>
      <c r="HX58" s="4" t="s">
        <v>960</v>
      </c>
      <c r="HY58" s="4" t="s">
        <v>312</v>
      </c>
      <c r="HZ58" s="4" t="s">
        <v>356</v>
      </c>
      <c r="IA58" s="4" t="s">
        <v>313</v>
      </c>
      <c r="IB58" s="4" t="s">
        <v>282</v>
      </c>
      <c r="IC58" s="4" t="s">
        <v>282</v>
      </c>
    </row>
    <row r="59" spans="1:237" x14ac:dyDescent="0.2">
      <c r="A59" s="3">
        <v>45748.656990740739</v>
      </c>
      <c r="B59" s="3">
        <v>45748.668668981481</v>
      </c>
      <c r="C59" s="1">
        <v>0</v>
      </c>
      <c r="D59" s="4" t="s">
        <v>961</v>
      </c>
      <c r="E59" s="1">
        <v>100</v>
      </c>
      <c r="F59" s="1">
        <v>1009</v>
      </c>
      <c r="G59" s="1">
        <v>1</v>
      </c>
      <c r="H59" s="3">
        <v>45748.668682048614</v>
      </c>
      <c r="I59" s="4" t="s">
        <v>962</v>
      </c>
      <c r="J59" s="4" t="s">
        <v>282</v>
      </c>
      <c r="K59" s="4" t="s">
        <v>282</v>
      </c>
      <c r="L59" s="4" t="s">
        <v>282</v>
      </c>
      <c r="M59" s="4" t="s">
        <v>282</v>
      </c>
      <c r="N59" s="1">
        <v>49.7851</v>
      </c>
      <c r="O59" s="1">
        <v>-97.211699999999993</v>
      </c>
      <c r="P59" s="4" t="s">
        <v>283</v>
      </c>
      <c r="Q59" s="4" t="s">
        <v>284</v>
      </c>
      <c r="R59" s="1">
        <v>0.89999997615814209</v>
      </c>
      <c r="S59" s="1">
        <v>1</v>
      </c>
      <c r="T59" s="1">
        <v>1</v>
      </c>
      <c r="U59" s="1">
        <v>1</v>
      </c>
      <c r="V59" s="1">
        <v>1</v>
      </c>
      <c r="W59" s="1">
        <v>11</v>
      </c>
      <c r="X59" s="4" t="s">
        <v>497</v>
      </c>
      <c r="Y59" s="1">
        <v>5</v>
      </c>
      <c r="Z59" s="1">
        <v>1</v>
      </c>
      <c r="AA59" s="1">
        <v>1</v>
      </c>
      <c r="AB59" s="1">
        <v>2</v>
      </c>
      <c r="AC59" s="1">
        <v>1</v>
      </c>
      <c r="AD59" s="1">
        <v>5</v>
      </c>
      <c r="AE59" s="1">
        <v>13.476000000000001</v>
      </c>
      <c r="AF59" s="1">
        <v>24.814</v>
      </c>
      <c r="AG59" s="1">
        <v>25.95</v>
      </c>
      <c r="AH59" s="1">
        <v>6</v>
      </c>
      <c r="AI59" s="1">
        <v>2</v>
      </c>
      <c r="AJ59" s="1">
        <v>5</v>
      </c>
      <c r="AK59" s="1">
        <v>12.978</v>
      </c>
      <c r="AL59" s="1">
        <v>16.773</v>
      </c>
      <c r="AM59" s="1">
        <v>17.675000000000001</v>
      </c>
      <c r="AN59" s="1">
        <v>5</v>
      </c>
      <c r="AO59" s="1">
        <v>2</v>
      </c>
      <c r="AP59" s="1">
        <v>5</v>
      </c>
      <c r="AQ59" s="1">
        <v>13.29</v>
      </c>
      <c r="AR59" s="1">
        <v>16.602</v>
      </c>
      <c r="AS59" s="1">
        <v>17.547999999999998</v>
      </c>
      <c r="AT59" s="1">
        <v>6</v>
      </c>
      <c r="AU59" s="1">
        <v>5</v>
      </c>
      <c r="AV59" s="1">
        <v>4</v>
      </c>
      <c r="AW59" s="1">
        <v>8.6419999999999995</v>
      </c>
      <c r="AX59" s="1">
        <v>12.304</v>
      </c>
      <c r="AY59" s="1">
        <v>13.323</v>
      </c>
      <c r="AZ59" s="1">
        <v>6</v>
      </c>
      <c r="BA59" s="1">
        <v>5</v>
      </c>
      <c r="BB59" s="1">
        <v>4</v>
      </c>
      <c r="BC59" s="1">
        <v>11.837</v>
      </c>
      <c r="BD59" s="1">
        <v>16.481999999999999</v>
      </c>
      <c r="BE59" s="1">
        <v>17.501999999999999</v>
      </c>
      <c r="BF59" s="1">
        <v>6</v>
      </c>
      <c r="BG59" s="1">
        <v>1</v>
      </c>
      <c r="BH59" s="1">
        <v>5</v>
      </c>
      <c r="BI59" s="1">
        <v>22.893999999999998</v>
      </c>
      <c r="BJ59" s="1">
        <v>28.654</v>
      </c>
      <c r="BK59" s="1">
        <v>28.672999999999998</v>
      </c>
      <c r="BL59" s="1">
        <v>6</v>
      </c>
      <c r="BM59" s="1">
        <v>2</v>
      </c>
      <c r="BN59" s="1">
        <v>5</v>
      </c>
      <c r="BO59" s="1">
        <v>12.414</v>
      </c>
      <c r="BP59" s="1">
        <v>16.355</v>
      </c>
      <c r="BQ59" s="1">
        <v>16.373999999999999</v>
      </c>
      <c r="BR59" s="1">
        <v>7</v>
      </c>
      <c r="BS59" s="1">
        <v>2</v>
      </c>
      <c r="BT59" s="1">
        <v>5</v>
      </c>
      <c r="BU59" s="1">
        <v>18.161999999999999</v>
      </c>
      <c r="BV59" s="1">
        <v>31.539000000000001</v>
      </c>
      <c r="BW59" s="1">
        <v>32.840000000000003</v>
      </c>
      <c r="BX59" s="1">
        <v>7</v>
      </c>
      <c r="BY59" s="1">
        <v>2</v>
      </c>
      <c r="BZ59" s="1">
        <v>5</v>
      </c>
      <c r="CA59" s="1">
        <v>3.8639999999999999</v>
      </c>
      <c r="CB59" s="1">
        <v>20.89</v>
      </c>
      <c r="CC59" s="1">
        <v>21.774999999999999</v>
      </c>
      <c r="CD59" s="1">
        <v>8</v>
      </c>
      <c r="CE59" s="1">
        <v>5</v>
      </c>
      <c r="CF59" s="1">
        <v>4</v>
      </c>
      <c r="CG59" s="1">
        <v>12.627000000000001</v>
      </c>
      <c r="CH59" s="1">
        <v>18.920999999999999</v>
      </c>
      <c r="CI59" s="1">
        <v>19.919</v>
      </c>
      <c r="CJ59" s="1">
        <v>8</v>
      </c>
      <c r="CK59" s="1">
        <v>1</v>
      </c>
      <c r="CL59" s="1">
        <v>5</v>
      </c>
      <c r="CM59" s="1">
        <v>13.789</v>
      </c>
      <c r="CN59" s="1">
        <v>17.466000000000001</v>
      </c>
      <c r="CO59" s="1">
        <v>18.434000000000001</v>
      </c>
      <c r="CP59" s="1">
        <v>3</v>
      </c>
      <c r="CQ59" s="1">
        <v>2</v>
      </c>
      <c r="CR59" s="1">
        <v>5</v>
      </c>
      <c r="CS59" s="1">
        <v>10.407</v>
      </c>
      <c r="CT59" s="1">
        <v>15.269</v>
      </c>
      <c r="CU59" s="1">
        <v>16.619</v>
      </c>
      <c r="CV59" s="1">
        <v>6</v>
      </c>
      <c r="CW59" s="1">
        <v>1</v>
      </c>
      <c r="CX59" s="1">
        <v>5</v>
      </c>
      <c r="CY59" s="1">
        <v>4.6529999999999996</v>
      </c>
      <c r="CZ59" s="1">
        <v>22.881</v>
      </c>
      <c r="DA59" s="1">
        <v>23.664999999999999</v>
      </c>
      <c r="DB59" s="1">
        <v>9</v>
      </c>
      <c r="DC59" s="1">
        <v>5</v>
      </c>
      <c r="DD59" s="1">
        <v>5</v>
      </c>
      <c r="DE59" s="1">
        <v>10.038</v>
      </c>
      <c r="DF59" s="1">
        <v>15.715</v>
      </c>
      <c r="DG59" s="1">
        <v>16.600999999999999</v>
      </c>
      <c r="DH59" s="1">
        <v>7</v>
      </c>
      <c r="DI59" s="1">
        <v>3</v>
      </c>
      <c r="DJ59" s="1">
        <v>5</v>
      </c>
      <c r="DK59" s="1">
        <v>13.628</v>
      </c>
      <c r="DL59" s="1">
        <v>15.712</v>
      </c>
      <c r="DM59" s="1">
        <v>16.727</v>
      </c>
      <c r="DN59" s="1">
        <v>5</v>
      </c>
      <c r="DO59" s="1">
        <v>1</v>
      </c>
      <c r="DP59" s="1">
        <v>5</v>
      </c>
      <c r="DQ59" s="1">
        <v>22.224</v>
      </c>
      <c r="DR59" s="1">
        <v>26.384</v>
      </c>
      <c r="DS59" s="1">
        <v>27.619</v>
      </c>
      <c r="DT59" s="1">
        <v>5</v>
      </c>
      <c r="DU59" s="1">
        <v>2</v>
      </c>
      <c r="DV59" s="1">
        <v>5</v>
      </c>
      <c r="DW59" s="1">
        <v>12.173999999999999</v>
      </c>
      <c r="DX59" s="1">
        <v>15.787000000000001</v>
      </c>
      <c r="DY59" s="1">
        <v>16.901</v>
      </c>
      <c r="DZ59" s="1">
        <v>6</v>
      </c>
      <c r="EA59" s="1">
        <v>4</v>
      </c>
      <c r="EB59" s="1">
        <v>5</v>
      </c>
      <c r="EC59" s="1">
        <v>19.085000000000001</v>
      </c>
      <c r="ED59" s="1">
        <v>21.414999999999999</v>
      </c>
      <c r="EE59" s="1">
        <v>22.495000000000001</v>
      </c>
      <c r="EF59" s="1">
        <v>4</v>
      </c>
      <c r="EG59" s="1">
        <v>3</v>
      </c>
      <c r="EH59" s="1">
        <v>5</v>
      </c>
      <c r="EI59" s="1">
        <v>5.1479999999999997</v>
      </c>
      <c r="EJ59" s="1">
        <v>18.981000000000002</v>
      </c>
      <c r="EK59" s="1">
        <v>19.783000000000001</v>
      </c>
      <c r="EL59" s="1">
        <v>7</v>
      </c>
      <c r="EM59" s="1">
        <v>3</v>
      </c>
      <c r="EN59" s="1">
        <v>5</v>
      </c>
      <c r="EO59" s="1">
        <v>12.510999999999999</v>
      </c>
      <c r="EP59" s="1">
        <v>15.459</v>
      </c>
      <c r="EQ59" s="1">
        <v>16.459</v>
      </c>
      <c r="ER59" s="1">
        <v>3</v>
      </c>
      <c r="ES59" s="1">
        <v>1</v>
      </c>
      <c r="ET59" s="1">
        <v>5</v>
      </c>
      <c r="EU59" s="1">
        <v>9.5079999999999991</v>
      </c>
      <c r="EV59" s="1">
        <v>11.877000000000001</v>
      </c>
      <c r="EW59" s="1">
        <v>12.9</v>
      </c>
      <c r="EX59" s="1">
        <v>4</v>
      </c>
      <c r="EY59" s="1">
        <v>2</v>
      </c>
      <c r="EZ59" s="1">
        <v>5</v>
      </c>
      <c r="FA59" s="1">
        <v>8.5030000000000001</v>
      </c>
      <c r="FB59" s="1">
        <v>11.75</v>
      </c>
      <c r="FC59" s="1">
        <v>12.667</v>
      </c>
      <c r="FD59" s="1">
        <v>5</v>
      </c>
      <c r="FE59" s="1">
        <v>5</v>
      </c>
      <c r="FF59" s="1">
        <v>5</v>
      </c>
      <c r="FG59" s="1">
        <v>14.875</v>
      </c>
      <c r="FH59" s="1">
        <v>19.187000000000001</v>
      </c>
      <c r="FI59" s="1">
        <v>20.201000000000001</v>
      </c>
      <c r="FJ59" s="1">
        <v>5</v>
      </c>
      <c r="FK59" s="1">
        <v>1</v>
      </c>
      <c r="FL59" s="1">
        <v>5</v>
      </c>
      <c r="FM59" s="1">
        <v>11.349</v>
      </c>
      <c r="FN59" s="1">
        <v>14.363</v>
      </c>
      <c r="FO59" s="1">
        <v>15.026999999999999</v>
      </c>
      <c r="FP59" s="1">
        <v>6</v>
      </c>
      <c r="FQ59" s="1">
        <v>2</v>
      </c>
      <c r="FR59" s="1">
        <v>5</v>
      </c>
      <c r="FS59" s="1">
        <v>12.683999999999999</v>
      </c>
      <c r="FT59" s="1">
        <v>16.446000000000002</v>
      </c>
      <c r="FU59" s="1">
        <v>17.646999999999998</v>
      </c>
      <c r="FV59" s="1">
        <v>4</v>
      </c>
      <c r="FW59" s="4" t="s">
        <v>282</v>
      </c>
      <c r="FX59" s="1">
        <v>5</v>
      </c>
      <c r="FY59" s="1">
        <v>8.44</v>
      </c>
      <c r="FZ59" s="1">
        <v>14.999000000000001</v>
      </c>
      <c r="GA59" s="1">
        <v>15.933999999999999</v>
      </c>
      <c r="GB59" s="1">
        <v>6</v>
      </c>
      <c r="GC59" s="1">
        <v>1</v>
      </c>
      <c r="GD59" s="1">
        <v>5</v>
      </c>
      <c r="GE59" s="1">
        <v>14.242000000000001</v>
      </c>
      <c r="GF59" s="1">
        <v>16.452999999999999</v>
      </c>
      <c r="GG59" s="1">
        <v>17.405000000000001</v>
      </c>
      <c r="GH59" s="1">
        <v>5</v>
      </c>
      <c r="GI59" s="1">
        <v>2</v>
      </c>
      <c r="GJ59" s="1">
        <v>5</v>
      </c>
      <c r="GK59" s="1">
        <v>9.6170000000000009</v>
      </c>
      <c r="GL59" s="1">
        <v>14.29</v>
      </c>
      <c r="GM59" s="1">
        <v>15.756</v>
      </c>
      <c r="GN59" s="1">
        <v>5</v>
      </c>
      <c r="GO59" s="1">
        <v>5</v>
      </c>
      <c r="GP59" s="1">
        <v>5</v>
      </c>
      <c r="GQ59" s="1">
        <v>7.4009999999999998</v>
      </c>
      <c r="GR59" s="1">
        <v>9.3480000000000008</v>
      </c>
      <c r="GS59" s="1">
        <v>10.569000000000001</v>
      </c>
      <c r="GT59" s="1">
        <v>4</v>
      </c>
      <c r="GU59" s="1">
        <v>1</v>
      </c>
      <c r="GV59" s="1">
        <v>5</v>
      </c>
      <c r="GW59" s="1">
        <v>8.5039999999999996</v>
      </c>
      <c r="GX59" s="1">
        <v>11.901999999999999</v>
      </c>
      <c r="GY59" s="1">
        <v>13.625</v>
      </c>
      <c r="GZ59" s="1">
        <v>5</v>
      </c>
      <c r="HA59" s="1">
        <v>2</v>
      </c>
      <c r="HB59" s="1">
        <v>5</v>
      </c>
      <c r="HC59" s="1">
        <v>6.657</v>
      </c>
      <c r="HD59" s="1">
        <v>8.7739999999999991</v>
      </c>
      <c r="HE59" s="1">
        <v>10.061999999999999</v>
      </c>
      <c r="HF59" s="1">
        <v>4</v>
      </c>
      <c r="HG59" s="1">
        <v>5</v>
      </c>
      <c r="HH59" s="1">
        <v>5</v>
      </c>
      <c r="HI59" s="1">
        <v>9.3580000000000005</v>
      </c>
      <c r="HJ59" s="1">
        <v>37.040999999999997</v>
      </c>
      <c r="HK59" s="1">
        <v>37.792000000000002</v>
      </c>
      <c r="HL59" s="1">
        <v>6</v>
      </c>
      <c r="HM59" s="4" t="s">
        <v>963</v>
      </c>
      <c r="HN59" s="4" t="s">
        <v>964</v>
      </c>
      <c r="HO59" s="4" t="s">
        <v>965</v>
      </c>
      <c r="HP59" s="4" t="s">
        <v>966</v>
      </c>
      <c r="HQ59" s="4" t="s">
        <v>967</v>
      </c>
      <c r="HR59" s="4" t="s">
        <v>968</v>
      </c>
      <c r="HS59" s="4" t="s">
        <v>969</v>
      </c>
      <c r="HT59" s="4" t="s">
        <v>970</v>
      </c>
      <c r="HU59" s="4" t="s">
        <v>434</v>
      </c>
      <c r="HV59" s="4" t="s">
        <v>434</v>
      </c>
      <c r="HW59" s="4" t="s">
        <v>282</v>
      </c>
      <c r="HX59" s="4" t="s">
        <v>282</v>
      </c>
      <c r="HY59" s="4" t="s">
        <v>312</v>
      </c>
      <c r="HZ59" s="4" t="s">
        <v>372</v>
      </c>
      <c r="IA59" s="4" t="s">
        <v>325</v>
      </c>
      <c r="IB59" s="4" t="s">
        <v>282</v>
      </c>
      <c r="IC59" s="4" t="s">
        <v>282</v>
      </c>
    </row>
    <row r="60" spans="1:237" x14ac:dyDescent="0.2">
      <c r="A60" s="3">
        <v>45748.696388888886</v>
      </c>
      <c r="B60" s="3">
        <v>45748.714479166665</v>
      </c>
      <c r="C60" s="1">
        <v>0</v>
      </c>
      <c r="D60" s="4" t="s">
        <v>971</v>
      </c>
      <c r="E60" s="1">
        <v>100</v>
      </c>
      <c r="F60" s="1">
        <v>1562</v>
      </c>
      <c r="G60" s="1">
        <v>1</v>
      </c>
      <c r="H60" s="3">
        <v>45748.714488645834</v>
      </c>
      <c r="I60" s="4" t="s">
        <v>972</v>
      </c>
      <c r="J60" s="4" t="s">
        <v>282</v>
      </c>
      <c r="K60" s="4" t="s">
        <v>282</v>
      </c>
      <c r="L60" s="4" t="s">
        <v>282</v>
      </c>
      <c r="M60" s="4" t="s">
        <v>282</v>
      </c>
      <c r="N60" s="1">
        <v>-37.918900000000001</v>
      </c>
      <c r="O60" s="1">
        <v>145.126</v>
      </c>
      <c r="P60" s="4" t="s">
        <v>283</v>
      </c>
      <c r="Q60" s="4" t="s">
        <v>284</v>
      </c>
      <c r="R60" s="1">
        <v>1</v>
      </c>
      <c r="S60" s="1">
        <v>1</v>
      </c>
      <c r="T60" s="1">
        <v>1</v>
      </c>
      <c r="U60" s="1">
        <v>1</v>
      </c>
      <c r="V60" s="1">
        <v>1</v>
      </c>
      <c r="W60" s="1">
        <v>12</v>
      </c>
      <c r="X60" s="4" t="s">
        <v>497</v>
      </c>
      <c r="Y60" s="1">
        <v>5</v>
      </c>
      <c r="Z60" s="1">
        <v>1</v>
      </c>
      <c r="AA60" s="1">
        <v>3</v>
      </c>
      <c r="AB60" s="1">
        <v>2</v>
      </c>
      <c r="AC60" s="1">
        <v>1</v>
      </c>
      <c r="AD60" s="1">
        <v>5</v>
      </c>
      <c r="AE60" s="1">
        <v>7.54</v>
      </c>
      <c r="AF60" s="1">
        <v>12.212999999999999</v>
      </c>
      <c r="AG60" s="1">
        <v>13.427</v>
      </c>
      <c r="AH60" s="1">
        <v>3</v>
      </c>
      <c r="AI60" s="1">
        <v>2</v>
      </c>
      <c r="AJ60" s="1">
        <v>6</v>
      </c>
      <c r="AK60" s="1">
        <v>6.8730000000000002</v>
      </c>
      <c r="AL60" s="1">
        <v>12.093</v>
      </c>
      <c r="AM60" s="1">
        <v>12.971</v>
      </c>
      <c r="AN60" s="1">
        <v>2</v>
      </c>
      <c r="AO60" s="1">
        <v>2</v>
      </c>
      <c r="AP60" s="1">
        <v>7</v>
      </c>
      <c r="AQ60" s="1">
        <v>4.1829999999999998</v>
      </c>
      <c r="AR60" s="1">
        <v>6.7779999999999996</v>
      </c>
      <c r="AS60" s="1">
        <v>10.379</v>
      </c>
      <c r="AT60" s="1">
        <v>2</v>
      </c>
      <c r="AU60" s="1">
        <v>5</v>
      </c>
      <c r="AV60" s="1">
        <v>5</v>
      </c>
      <c r="AW60" s="1">
        <v>7.2770000000000001</v>
      </c>
      <c r="AX60" s="1">
        <v>8.1170000000000009</v>
      </c>
      <c r="AY60" s="1">
        <v>9.1920000000000002</v>
      </c>
      <c r="AZ60" s="1">
        <v>2</v>
      </c>
      <c r="BA60" s="1">
        <v>5</v>
      </c>
      <c r="BB60" s="1">
        <v>6</v>
      </c>
      <c r="BC60" s="1">
        <v>7.9580000000000002</v>
      </c>
      <c r="BD60" s="1">
        <v>9.6449999999999996</v>
      </c>
      <c r="BE60" s="1">
        <v>10.426</v>
      </c>
      <c r="BF60" s="1">
        <v>2</v>
      </c>
      <c r="BG60" s="1">
        <v>1</v>
      </c>
      <c r="BH60" s="1">
        <v>4</v>
      </c>
      <c r="BI60" s="1">
        <v>8.1549999999999994</v>
      </c>
      <c r="BJ60" s="1">
        <v>15.957000000000001</v>
      </c>
      <c r="BK60" s="1">
        <v>16.279</v>
      </c>
      <c r="BL60" s="1">
        <v>3</v>
      </c>
      <c r="BM60" s="1">
        <v>2</v>
      </c>
      <c r="BN60" s="1">
        <v>7</v>
      </c>
      <c r="BO60" s="1">
        <v>2.91</v>
      </c>
      <c r="BP60" s="1">
        <v>22.201000000000001</v>
      </c>
      <c r="BQ60" s="1">
        <v>22.545000000000002</v>
      </c>
      <c r="BR60" s="1">
        <v>10</v>
      </c>
      <c r="BS60" s="1">
        <v>1</v>
      </c>
      <c r="BT60" s="1">
        <v>3</v>
      </c>
      <c r="BU60" s="1">
        <v>11.76</v>
      </c>
      <c r="BV60" s="1">
        <v>13.823</v>
      </c>
      <c r="BW60" s="1">
        <v>14.656000000000001</v>
      </c>
      <c r="BX60" s="1">
        <v>3</v>
      </c>
      <c r="BY60" s="1">
        <v>5</v>
      </c>
      <c r="BZ60" s="1">
        <v>5</v>
      </c>
      <c r="CA60" s="1">
        <v>9.048</v>
      </c>
      <c r="CB60" s="1">
        <v>10.263999999999999</v>
      </c>
      <c r="CC60" s="1">
        <v>11.246</v>
      </c>
      <c r="CD60" s="1">
        <v>2</v>
      </c>
      <c r="CE60" s="1">
        <v>3</v>
      </c>
      <c r="CF60" s="1">
        <v>3</v>
      </c>
      <c r="CG60" s="1">
        <v>9.8689999999999998</v>
      </c>
      <c r="CH60" s="1">
        <v>11.37</v>
      </c>
      <c r="CI60" s="1">
        <v>12.457000000000001</v>
      </c>
      <c r="CJ60" s="1">
        <v>2</v>
      </c>
      <c r="CK60" s="1">
        <v>1</v>
      </c>
      <c r="CL60" s="1">
        <v>4</v>
      </c>
      <c r="CM60" s="1">
        <v>9.2609999999999992</v>
      </c>
      <c r="CN60" s="1">
        <v>10.348000000000001</v>
      </c>
      <c r="CO60" s="1">
        <v>10.987</v>
      </c>
      <c r="CP60" s="1">
        <v>2</v>
      </c>
      <c r="CQ60" s="1">
        <v>2</v>
      </c>
      <c r="CR60" s="1">
        <v>6</v>
      </c>
      <c r="CS60" s="1">
        <v>6.633</v>
      </c>
      <c r="CT60" s="1">
        <v>11.259</v>
      </c>
      <c r="CU60" s="1">
        <v>11.848000000000001</v>
      </c>
      <c r="CV60" s="1">
        <v>2</v>
      </c>
      <c r="CW60" s="1">
        <v>1</v>
      </c>
      <c r="CX60" s="1">
        <v>4</v>
      </c>
      <c r="CY60" s="1">
        <v>5.8479999999999999</v>
      </c>
      <c r="CZ60" s="1">
        <v>9.8539999999999992</v>
      </c>
      <c r="DA60" s="1">
        <v>11.09</v>
      </c>
      <c r="DB60" s="1">
        <v>2</v>
      </c>
      <c r="DC60" s="1">
        <v>3</v>
      </c>
      <c r="DD60" s="1">
        <v>4</v>
      </c>
      <c r="DE60" s="1">
        <v>8.4770000000000003</v>
      </c>
      <c r="DF60" s="1">
        <v>10.013999999999999</v>
      </c>
      <c r="DG60" s="1">
        <v>10.795</v>
      </c>
      <c r="DH60" s="1">
        <v>2</v>
      </c>
      <c r="DI60" s="1">
        <v>4</v>
      </c>
      <c r="DJ60" s="1">
        <v>4</v>
      </c>
      <c r="DK60" s="1">
        <v>9.5</v>
      </c>
      <c r="DL60" s="1">
        <v>11.817</v>
      </c>
      <c r="DM60" s="1">
        <v>12.537000000000001</v>
      </c>
      <c r="DN60" s="1">
        <v>2</v>
      </c>
      <c r="DO60" s="1">
        <v>1</v>
      </c>
      <c r="DP60" s="1">
        <v>5</v>
      </c>
      <c r="DQ60" s="1">
        <v>8.7449999999999992</v>
      </c>
      <c r="DR60" s="1">
        <v>11.49</v>
      </c>
      <c r="DS60" s="1">
        <v>13.958</v>
      </c>
      <c r="DT60" s="1">
        <v>2</v>
      </c>
      <c r="DU60" s="1">
        <v>2</v>
      </c>
      <c r="DV60" s="1">
        <v>7</v>
      </c>
      <c r="DW60" s="1">
        <v>3.9790000000000001</v>
      </c>
      <c r="DX60" s="1">
        <v>17.672000000000001</v>
      </c>
      <c r="DY60" s="1">
        <v>17.846</v>
      </c>
      <c r="DZ60" s="1">
        <v>3</v>
      </c>
      <c r="EA60" s="1">
        <v>4</v>
      </c>
      <c r="EB60" s="1">
        <v>5</v>
      </c>
      <c r="EC60" s="1">
        <v>9.2119999999999997</v>
      </c>
      <c r="ED60" s="1">
        <v>11.417</v>
      </c>
      <c r="EE60" s="1">
        <v>12.579000000000001</v>
      </c>
      <c r="EF60" s="1">
        <v>2</v>
      </c>
      <c r="EG60" s="1">
        <v>3</v>
      </c>
      <c r="EH60" s="1">
        <v>4</v>
      </c>
      <c r="EI60" s="1">
        <v>9.7439999999999998</v>
      </c>
      <c r="EJ60" s="1">
        <v>12.856999999999999</v>
      </c>
      <c r="EK60" s="1">
        <v>14.169</v>
      </c>
      <c r="EL60" s="1">
        <v>2</v>
      </c>
      <c r="EM60" s="1">
        <v>4</v>
      </c>
      <c r="EN60" s="1">
        <v>4</v>
      </c>
      <c r="EO60" s="1">
        <v>6.665</v>
      </c>
      <c r="EP60" s="1">
        <v>10.452</v>
      </c>
      <c r="EQ60" s="1">
        <v>12.952</v>
      </c>
      <c r="ER60" s="1">
        <v>2</v>
      </c>
      <c r="ES60" s="1">
        <v>1</v>
      </c>
      <c r="ET60" s="1">
        <v>4</v>
      </c>
      <c r="EU60" s="1">
        <v>7.7640000000000002</v>
      </c>
      <c r="EV60" s="1">
        <v>9.8789999999999996</v>
      </c>
      <c r="EW60" s="1">
        <v>14.922000000000001</v>
      </c>
      <c r="EX60" s="1">
        <v>2</v>
      </c>
      <c r="EY60" s="1">
        <v>2</v>
      </c>
      <c r="EZ60" s="1">
        <v>5</v>
      </c>
      <c r="FA60" s="1">
        <v>15.539</v>
      </c>
      <c r="FB60" s="1">
        <v>37.972000000000001</v>
      </c>
      <c r="FC60" s="1">
        <v>38.9</v>
      </c>
      <c r="FD60" s="1">
        <v>3</v>
      </c>
      <c r="FE60" s="1">
        <v>5</v>
      </c>
      <c r="FF60" s="1">
        <v>6</v>
      </c>
      <c r="FG60" s="1">
        <v>8.3719999999999999</v>
      </c>
      <c r="FH60" s="1">
        <v>11.718</v>
      </c>
      <c r="FI60" s="1">
        <v>12.724</v>
      </c>
      <c r="FJ60" s="1">
        <v>2</v>
      </c>
      <c r="FK60" s="1">
        <v>1</v>
      </c>
      <c r="FL60" s="1">
        <v>6</v>
      </c>
      <c r="FM60" s="1">
        <v>6.9459999999999997</v>
      </c>
      <c r="FN60" s="1">
        <v>8.0250000000000004</v>
      </c>
      <c r="FO60" s="1">
        <v>10.72</v>
      </c>
      <c r="FP60" s="1">
        <v>2</v>
      </c>
      <c r="FQ60" s="1">
        <v>2</v>
      </c>
      <c r="FR60" s="1">
        <v>6</v>
      </c>
      <c r="FS60" s="1">
        <v>6.7229999999999999</v>
      </c>
      <c r="FT60" s="1">
        <v>8.4260000000000002</v>
      </c>
      <c r="FU60" s="1">
        <v>9.0549999999999997</v>
      </c>
      <c r="FV60" s="1">
        <v>2</v>
      </c>
      <c r="FW60" s="1">
        <v>5</v>
      </c>
      <c r="FX60" s="1">
        <v>7</v>
      </c>
      <c r="FY60" s="1">
        <v>7.9409999999999998</v>
      </c>
      <c r="FZ60" s="1">
        <v>15.539</v>
      </c>
      <c r="GA60" s="1">
        <v>17.571999999999999</v>
      </c>
      <c r="GB60" s="1">
        <v>3</v>
      </c>
      <c r="GC60" s="1">
        <v>1</v>
      </c>
      <c r="GD60" s="1">
        <v>5</v>
      </c>
      <c r="GE60" s="1">
        <v>7.4390000000000001</v>
      </c>
      <c r="GF60" s="1">
        <v>18.952000000000002</v>
      </c>
      <c r="GG60" s="1">
        <v>19.852</v>
      </c>
      <c r="GH60" s="1">
        <v>3</v>
      </c>
      <c r="GI60" s="1">
        <v>2</v>
      </c>
      <c r="GJ60" s="1">
        <v>6</v>
      </c>
      <c r="GK60" s="1">
        <v>6.8719999999999999</v>
      </c>
      <c r="GL60" s="1">
        <v>8.8369999999999997</v>
      </c>
      <c r="GM60" s="1">
        <v>10.592000000000001</v>
      </c>
      <c r="GN60" s="1">
        <v>2</v>
      </c>
      <c r="GO60" s="1">
        <v>5</v>
      </c>
      <c r="GP60" s="1">
        <v>7</v>
      </c>
      <c r="GQ60" s="1">
        <v>4.492</v>
      </c>
      <c r="GR60" s="1">
        <v>12.802</v>
      </c>
      <c r="GS60" s="1">
        <v>13.371</v>
      </c>
      <c r="GT60" s="1">
        <v>3</v>
      </c>
      <c r="GU60" s="1">
        <v>1</v>
      </c>
      <c r="GV60" s="1">
        <v>6</v>
      </c>
      <c r="GW60" s="1">
        <v>8.7870000000000008</v>
      </c>
      <c r="GX60" s="1">
        <v>10.804</v>
      </c>
      <c r="GY60" s="1">
        <v>11.763999999999999</v>
      </c>
      <c r="GZ60" s="1">
        <v>2</v>
      </c>
      <c r="HA60" s="1">
        <v>2</v>
      </c>
      <c r="HB60" s="1">
        <v>5</v>
      </c>
      <c r="HC60" s="1">
        <v>12.523</v>
      </c>
      <c r="HD60" s="1">
        <v>13.372</v>
      </c>
      <c r="HE60" s="1">
        <v>14.5</v>
      </c>
      <c r="HF60" s="1">
        <v>2</v>
      </c>
      <c r="HG60" s="1">
        <v>1</v>
      </c>
      <c r="HH60" s="1">
        <v>5</v>
      </c>
      <c r="HI60" s="1">
        <v>10.515000000000001</v>
      </c>
      <c r="HJ60" s="1">
        <v>11.721</v>
      </c>
      <c r="HK60" s="1">
        <v>12.411</v>
      </c>
      <c r="HL60" s="1">
        <v>2</v>
      </c>
      <c r="HM60" s="4" t="s">
        <v>973</v>
      </c>
      <c r="HN60" s="4" t="s">
        <v>974</v>
      </c>
      <c r="HO60" s="4" t="s">
        <v>975</v>
      </c>
      <c r="HP60" s="4" t="s">
        <v>976</v>
      </c>
      <c r="HQ60" s="4" t="s">
        <v>977</v>
      </c>
      <c r="HR60" s="4" t="s">
        <v>978</v>
      </c>
      <c r="HS60" s="4" t="s">
        <v>566</v>
      </c>
      <c r="HT60" s="4" t="s">
        <v>979</v>
      </c>
      <c r="HU60" s="4" t="s">
        <v>980</v>
      </c>
      <c r="HV60" s="4" t="s">
        <v>981</v>
      </c>
      <c r="HW60" s="4" t="s">
        <v>282</v>
      </c>
      <c r="HX60" s="4" t="s">
        <v>282</v>
      </c>
      <c r="HY60" s="4" t="s">
        <v>312</v>
      </c>
      <c r="HZ60" s="4" t="s">
        <v>356</v>
      </c>
      <c r="IA60" s="4" t="s">
        <v>313</v>
      </c>
      <c r="IB60" s="4" t="s">
        <v>282</v>
      </c>
      <c r="IC60" s="4" t="s">
        <v>282</v>
      </c>
    </row>
    <row r="61" spans="1:237" x14ac:dyDescent="0.2">
      <c r="A61" s="3">
        <v>45748.725462962961</v>
      </c>
      <c r="B61" s="3">
        <v>45748.737337962964</v>
      </c>
      <c r="C61" s="1">
        <v>0</v>
      </c>
      <c r="D61" s="4" t="s">
        <v>982</v>
      </c>
      <c r="E61" s="1">
        <v>100</v>
      </c>
      <c r="F61" s="1">
        <v>1026</v>
      </c>
      <c r="G61" s="1">
        <v>1</v>
      </c>
      <c r="H61" s="3">
        <v>45748.737355902776</v>
      </c>
      <c r="I61" s="4" t="s">
        <v>983</v>
      </c>
      <c r="J61" s="4" t="s">
        <v>282</v>
      </c>
      <c r="K61" s="4" t="s">
        <v>282</v>
      </c>
      <c r="L61" s="4" t="s">
        <v>282</v>
      </c>
      <c r="M61" s="4" t="s">
        <v>282</v>
      </c>
      <c r="N61" s="1">
        <v>48.479700000000001</v>
      </c>
      <c r="O61" s="1">
        <v>-123.53189999999999</v>
      </c>
      <c r="P61" s="4" t="s">
        <v>283</v>
      </c>
      <c r="Q61" s="4" t="s">
        <v>284</v>
      </c>
      <c r="R61" s="1">
        <v>1</v>
      </c>
      <c r="S61" s="1">
        <v>1</v>
      </c>
      <c r="T61" s="1">
        <v>1</v>
      </c>
      <c r="U61" s="1">
        <v>1</v>
      </c>
      <c r="V61" s="1">
        <v>1</v>
      </c>
      <c r="W61" s="1">
        <v>12</v>
      </c>
      <c r="X61" s="4" t="s">
        <v>1282</v>
      </c>
      <c r="Y61" s="1">
        <v>5</v>
      </c>
      <c r="Z61" s="1">
        <v>1</v>
      </c>
      <c r="AA61" s="1">
        <v>1</v>
      </c>
      <c r="AB61" s="1">
        <v>1</v>
      </c>
      <c r="AC61" s="1">
        <v>1</v>
      </c>
      <c r="AD61" s="1">
        <v>5</v>
      </c>
      <c r="AE61" s="1">
        <v>8.4039999999999999</v>
      </c>
      <c r="AF61" s="1">
        <v>13.430999999999999</v>
      </c>
      <c r="AG61" s="1">
        <v>13.987</v>
      </c>
      <c r="AH61" s="1">
        <v>6</v>
      </c>
      <c r="AI61" s="1">
        <v>2</v>
      </c>
      <c r="AJ61" s="1">
        <v>6</v>
      </c>
      <c r="AK61" s="1">
        <v>6.1189999999999998</v>
      </c>
      <c r="AL61" s="1">
        <v>10.148</v>
      </c>
      <c r="AM61" s="1">
        <v>10.984</v>
      </c>
      <c r="AN61" s="1">
        <v>4</v>
      </c>
      <c r="AO61" s="1">
        <v>2</v>
      </c>
      <c r="AP61" s="1">
        <v>6</v>
      </c>
      <c r="AQ61" s="1">
        <v>13.564</v>
      </c>
      <c r="AR61" s="1">
        <v>16.448</v>
      </c>
      <c r="AS61" s="1">
        <v>17.369</v>
      </c>
      <c r="AT61" s="1">
        <v>3</v>
      </c>
      <c r="AU61" s="1">
        <v>5</v>
      </c>
      <c r="AV61" s="1">
        <v>6</v>
      </c>
      <c r="AW61" s="1">
        <v>9.5419999999999998</v>
      </c>
      <c r="AX61" s="1">
        <v>18.068999999999999</v>
      </c>
      <c r="AY61" s="1">
        <v>18.675000000000001</v>
      </c>
      <c r="AZ61" s="1">
        <v>7</v>
      </c>
      <c r="BA61" s="1">
        <v>5</v>
      </c>
      <c r="BB61" s="1">
        <v>6</v>
      </c>
      <c r="BC61" s="1">
        <v>8.5860000000000003</v>
      </c>
      <c r="BD61" s="1">
        <v>12.007</v>
      </c>
      <c r="BE61" s="1">
        <v>13.036</v>
      </c>
      <c r="BF61" s="1">
        <v>4</v>
      </c>
      <c r="BG61" s="1">
        <v>1</v>
      </c>
      <c r="BH61" s="1">
        <v>6</v>
      </c>
      <c r="BI61" s="1">
        <v>9.5180000000000007</v>
      </c>
      <c r="BJ61" s="1">
        <v>14.705</v>
      </c>
      <c r="BK61" s="1">
        <v>15.22</v>
      </c>
      <c r="BL61" s="1">
        <v>5</v>
      </c>
      <c r="BM61" s="1">
        <v>2</v>
      </c>
      <c r="BN61" s="1">
        <v>6</v>
      </c>
      <c r="BO61" s="1">
        <v>13.554</v>
      </c>
      <c r="BP61" s="1">
        <v>21.143999999999998</v>
      </c>
      <c r="BQ61" s="1">
        <v>21.78</v>
      </c>
      <c r="BR61" s="1">
        <v>6</v>
      </c>
      <c r="BS61" s="4" t="s">
        <v>282</v>
      </c>
      <c r="BT61" s="1">
        <v>3</v>
      </c>
      <c r="BU61" s="1">
        <v>9.4030000000000005</v>
      </c>
      <c r="BV61" s="1">
        <v>16.152999999999999</v>
      </c>
      <c r="BW61" s="1">
        <v>17.561</v>
      </c>
      <c r="BX61" s="1">
        <v>5</v>
      </c>
      <c r="BY61" s="1">
        <v>5</v>
      </c>
      <c r="BZ61" s="1">
        <v>5</v>
      </c>
      <c r="CA61" s="1">
        <v>13.048</v>
      </c>
      <c r="CB61" s="1">
        <v>28.538</v>
      </c>
      <c r="CC61" s="1">
        <v>29.22</v>
      </c>
      <c r="CD61" s="1">
        <v>7</v>
      </c>
      <c r="CE61" s="1">
        <v>3</v>
      </c>
      <c r="CF61" s="1">
        <v>4</v>
      </c>
      <c r="CG61" s="1">
        <v>9.7850000000000001</v>
      </c>
      <c r="CH61" s="1">
        <v>16.725999999999999</v>
      </c>
      <c r="CI61" s="1">
        <v>17.442</v>
      </c>
      <c r="CJ61" s="1">
        <v>6</v>
      </c>
      <c r="CK61" s="1">
        <v>1</v>
      </c>
      <c r="CL61" s="1">
        <v>5</v>
      </c>
      <c r="CM61" s="1">
        <v>9.1910000000000007</v>
      </c>
      <c r="CN61" s="1">
        <v>16.745999999999999</v>
      </c>
      <c r="CO61" s="1">
        <v>17.673999999999999</v>
      </c>
      <c r="CP61" s="1">
        <v>7</v>
      </c>
      <c r="CQ61" s="1">
        <v>2</v>
      </c>
      <c r="CR61" s="1">
        <v>6</v>
      </c>
      <c r="CS61" s="1">
        <v>15.42</v>
      </c>
      <c r="CT61" s="1">
        <v>23.654</v>
      </c>
      <c r="CU61" s="1">
        <v>24.259</v>
      </c>
      <c r="CV61" s="1">
        <v>7</v>
      </c>
      <c r="CW61" s="4" t="s">
        <v>282</v>
      </c>
      <c r="CX61" s="1">
        <v>3</v>
      </c>
      <c r="CY61" s="1">
        <v>11.622999999999999</v>
      </c>
      <c r="CZ61" s="1">
        <v>27.882999999999999</v>
      </c>
      <c r="DA61" s="1">
        <v>28.763000000000002</v>
      </c>
      <c r="DB61" s="1">
        <v>6</v>
      </c>
      <c r="DC61" s="1">
        <v>4</v>
      </c>
      <c r="DD61" s="1">
        <v>5</v>
      </c>
      <c r="DE61" s="1">
        <v>11.939</v>
      </c>
      <c r="DF61" s="1">
        <v>17.786999999999999</v>
      </c>
      <c r="DG61" s="1">
        <v>18.373999999999999</v>
      </c>
      <c r="DH61" s="1">
        <v>7</v>
      </c>
      <c r="DI61" s="1">
        <v>1</v>
      </c>
      <c r="DJ61" s="1">
        <v>4</v>
      </c>
      <c r="DK61" s="1">
        <v>11.212999999999999</v>
      </c>
      <c r="DL61" s="1">
        <v>20.309999999999999</v>
      </c>
      <c r="DM61" s="1">
        <v>21.63</v>
      </c>
      <c r="DN61" s="1">
        <v>5</v>
      </c>
      <c r="DO61" s="1">
        <v>1</v>
      </c>
      <c r="DP61" s="1">
        <v>6</v>
      </c>
      <c r="DQ61" s="1">
        <v>15.36</v>
      </c>
      <c r="DR61" s="1">
        <v>31.617000000000001</v>
      </c>
      <c r="DS61" s="1">
        <v>32.277999999999999</v>
      </c>
      <c r="DT61" s="1">
        <v>6</v>
      </c>
      <c r="DU61" s="1">
        <v>2</v>
      </c>
      <c r="DV61" s="1">
        <v>6</v>
      </c>
      <c r="DW61" s="1">
        <v>7.5</v>
      </c>
      <c r="DX61" s="1">
        <v>15.295999999999999</v>
      </c>
      <c r="DY61" s="1">
        <v>15.893000000000001</v>
      </c>
      <c r="DZ61" s="1">
        <v>7</v>
      </c>
      <c r="EA61" s="1">
        <v>4</v>
      </c>
      <c r="EB61" s="1">
        <v>5</v>
      </c>
      <c r="EC61" s="1">
        <v>13.564</v>
      </c>
      <c r="ED61" s="1">
        <v>18.942</v>
      </c>
      <c r="EE61" s="1">
        <v>19.751000000000001</v>
      </c>
      <c r="EF61" s="1">
        <v>10</v>
      </c>
      <c r="EG61" s="1">
        <v>4</v>
      </c>
      <c r="EH61" s="1">
        <v>5</v>
      </c>
      <c r="EI61" s="1">
        <v>12.115</v>
      </c>
      <c r="EJ61" s="1">
        <v>16.248000000000001</v>
      </c>
      <c r="EK61" s="1">
        <v>16.952000000000002</v>
      </c>
      <c r="EL61" s="1">
        <v>5</v>
      </c>
      <c r="EM61" s="1">
        <v>3</v>
      </c>
      <c r="EN61" s="1">
        <v>4</v>
      </c>
      <c r="EO61" s="1">
        <v>17.905999999999999</v>
      </c>
      <c r="EP61" s="1">
        <v>39.000999999999998</v>
      </c>
      <c r="EQ61" s="1">
        <v>42.139000000000003</v>
      </c>
      <c r="ER61" s="1">
        <v>7</v>
      </c>
      <c r="ES61" s="1">
        <v>1</v>
      </c>
      <c r="ET61" s="1">
        <v>6</v>
      </c>
      <c r="EU61" s="1">
        <v>7.6420000000000003</v>
      </c>
      <c r="EV61" s="1">
        <v>11.581</v>
      </c>
      <c r="EW61" s="1">
        <v>12.718999999999999</v>
      </c>
      <c r="EX61" s="1">
        <v>4</v>
      </c>
      <c r="EY61" s="1">
        <v>2</v>
      </c>
      <c r="EZ61" s="1">
        <v>5</v>
      </c>
      <c r="FA61" s="1">
        <v>5.9160000000000004</v>
      </c>
      <c r="FB61" s="1">
        <v>8.1519999999999992</v>
      </c>
      <c r="FC61" s="1">
        <v>9.4740000000000002</v>
      </c>
      <c r="FD61" s="1">
        <v>4</v>
      </c>
      <c r="FE61" s="1">
        <v>5</v>
      </c>
      <c r="FF61" s="1">
        <v>5</v>
      </c>
      <c r="FG61" s="1">
        <v>6.2439999999999998</v>
      </c>
      <c r="FH61" s="1">
        <v>10.98</v>
      </c>
      <c r="FI61" s="1">
        <v>11.664</v>
      </c>
      <c r="FJ61" s="1">
        <v>6</v>
      </c>
      <c r="FK61" s="1">
        <v>1</v>
      </c>
      <c r="FL61" s="1">
        <v>6</v>
      </c>
      <c r="FM61" s="1">
        <v>12.208</v>
      </c>
      <c r="FN61" s="1">
        <v>18.457999999999998</v>
      </c>
      <c r="FO61" s="1">
        <v>19.518000000000001</v>
      </c>
      <c r="FP61" s="1">
        <v>4</v>
      </c>
      <c r="FQ61" s="1">
        <v>2</v>
      </c>
      <c r="FR61" s="1">
        <v>5</v>
      </c>
      <c r="FS61" s="1">
        <v>4.8019999999999996</v>
      </c>
      <c r="FT61" s="1">
        <v>14.03</v>
      </c>
      <c r="FU61" s="1">
        <v>14.6</v>
      </c>
      <c r="FV61" s="1">
        <v>7</v>
      </c>
      <c r="FW61" s="1">
        <v>5</v>
      </c>
      <c r="FX61" s="1">
        <v>5</v>
      </c>
      <c r="FY61" s="1">
        <v>1.321</v>
      </c>
      <c r="FZ61" s="1">
        <v>9.39</v>
      </c>
      <c r="GA61" s="1">
        <v>10.429</v>
      </c>
      <c r="GB61" s="1">
        <v>6</v>
      </c>
      <c r="GC61" s="1">
        <v>1</v>
      </c>
      <c r="GD61" s="1">
        <v>5</v>
      </c>
      <c r="GE61" s="1">
        <v>6.2089999999999996</v>
      </c>
      <c r="GF61" s="1">
        <v>9.8170000000000002</v>
      </c>
      <c r="GG61" s="1">
        <v>10.545</v>
      </c>
      <c r="GH61" s="1">
        <v>5</v>
      </c>
      <c r="GI61" s="1">
        <v>2</v>
      </c>
      <c r="GJ61" s="1">
        <v>4</v>
      </c>
      <c r="GK61" s="1">
        <v>18.965</v>
      </c>
      <c r="GL61" s="1">
        <v>22.946999999999999</v>
      </c>
      <c r="GM61" s="1">
        <v>23.852</v>
      </c>
      <c r="GN61" s="1">
        <v>5</v>
      </c>
      <c r="GO61" s="1">
        <v>5</v>
      </c>
      <c r="GP61" s="1">
        <v>4</v>
      </c>
      <c r="GQ61" s="1">
        <v>10.71</v>
      </c>
      <c r="GR61" s="1">
        <v>14.548999999999999</v>
      </c>
      <c r="GS61" s="1">
        <v>15.609</v>
      </c>
      <c r="GT61" s="1">
        <v>4</v>
      </c>
      <c r="GU61" s="1">
        <v>1</v>
      </c>
      <c r="GV61" s="1">
        <v>6</v>
      </c>
      <c r="GW61" s="1">
        <v>7.5</v>
      </c>
      <c r="GX61" s="1">
        <v>11.036</v>
      </c>
      <c r="GY61" s="1">
        <v>11.891</v>
      </c>
      <c r="GZ61" s="1">
        <v>3</v>
      </c>
      <c r="HA61" s="1">
        <v>2</v>
      </c>
      <c r="HB61" s="1">
        <v>4</v>
      </c>
      <c r="HC61" s="1">
        <v>11.933</v>
      </c>
      <c r="HD61" s="1">
        <v>14.795</v>
      </c>
      <c r="HE61" s="1">
        <v>19.861000000000001</v>
      </c>
      <c r="HF61" s="1">
        <v>5</v>
      </c>
      <c r="HG61" s="4" t="s">
        <v>282</v>
      </c>
      <c r="HH61" s="1">
        <v>5</v>
      </c>
      <c r="HI61" s="1">
        <v>3.419</v>
      </c>
      <c r="HJ61" s="1">
        <v>11.117000000000001</v>
      </c>
      <c r="HK61" s="1">
        <v>11.701000000000001</v>
      </c>
      <c r="HL61" s="1">
        <v>6</v>
      </c>
      <c r="HM61" s="4" t="s">
        <v>984</v>
      </c>
      <c r="HN61" s="4" t="s">
        <v>985</v>
      </c>
      <c r="HO61" s="4" t="s">
        <v>986</v>
      </c>
      <c r="HP61" s="4" t="s">
        <v>987</v>
      </c>
      <c r="HQ61" s="4" t="s">
        <v>988</v>
      </c>
      <c r="HR61" s="4" t="s">
        <v>989</v>
      </c>
      <c r="HS61" s="4" t="s">
        <v>693</v>
      </c>
      <c r="HT61" s="4" t="s">
        <v>990</v>
      </c>
      <c r="HU61" s="4" t="s">
        <v>991</v>
      </c>
      <c r="HV61" s="4" t="s">
        <v>992</v>
      </c>
      <c r="HW61" s="4" t="s">
        <v>993</v>
      </c>
      <c r="HX61" s="4" t="s">
        <v>282</v>
      </c>
      <c r="HY61" s="4" t="s">
        <v>312</v>
      </c>
      <c r="HZ61" s="4" t="s">
        <v>372</v>
      </c>
      <c r="IA61" s="4" t="s">
        <v>325</v>
      </c>
      <c r="IB61" s="4" t="s">
        <v>282</v>
      </c>
      <c r="IC61" s="4" t="s">
        <v>282</v>
      </c>
    </row>
    <row r="62" spans="1:237" x14ac:dyDescent="0.2">
      <c r="A62" s="3">
        <v>45748.833935185183</v>
      </c>
      <c r="B62" s="3">
        <v>45748.842997685184</v>
      </c>
      <c r="C62" s="1">
        <v>0</v>
      </c>
      <c r="D62" s="4" t="s">
        <v>994</v>
      </c>
      <c r="E62" s="1">
        <v>100</v>
      </c>
      <c r="F62" s="1">
        <v>782</v>
      </c>
      <c r="G62" s="1">
        <v>1</v>
      </c>
      <c r="H62" s="3">
        <v>45748.843009201388</v>
      </c>
      <c r="I62" s="4" t="s">
        <v>995</v>
      </c>
      <c r="J62" s="4" t="s">
        <v>282</v>
      </c>
      <c r="K62" s="4" t="s">
        <v>282</v>
      </c>
      <c r="L62" s="4" t="s">
        <v>282</v>
      </c>
      <c r="M62" s="4" t="s">
        <v>282</v>
      </c>
      <c r="N62" s="1">
        <v>55.874600000000001</v>
      </c>
      <c r="O62" s="1">
        <v>-3.1032999999999999</v>
      </c>
      <c r="P62" s="4" t="s">
        <v>283</v>
      </c>
      <c r="Q62" s="4" t="s">
        <v>284</v>
      </c>
      <c r="R62" s="1">
        <v>1</v>
      </c>
      <c r="S62" s="1">
        <v>1</v>
      </c>
      <c r="T62" s="1">
        <v>1</v>
      </c>
      <c r="U62" s="1">
        <v>1</v>
      </c>
      <c r="V62" s="1">
        <v>1</v>
      </c>
      <c r="W62" s="1">
        <v>5</v>
      </c>
      <c r="X62" s="4" t="s">
        <v>312</v>
      </c>
      <c r="Y62" s="1">
        <v>5</v>
      </c>
      <c r="Z62" s="1">
        <v>1</v>
      </c>
      <c r="AA62" s="1">
        <v>1</v>
      </c>
      <c r="AB62" s="1">
        <v>1</v>
      </c>
      <c r="AC62" s="1">
        <v>1</v>
      </c>
      <c r="AD62" s="1">
        <v>5</v>
      </c>
      <c r="AE62" s="1">
        <v>6.6289999999999996</v>
      </c>
      <c r="AF62" s="1">
        <v>16.356999999999999</v>
      </c>
      <c r="AG62" s="1">
        <v>16.986000000000001</v>
      </c>
      <c r="AH62" s="1">
        <v>8</v>
      </c>
      <c r="AI62" s="1">
        <v>4</v>
      </c>
      <c r="AJ62" s="1">
        <v>6</v>
      </c>
      <c r="AK62" s="1">
        <v>12.971</v>
      </c>
      <c r="AL62" s="1">
        <v>15.78</v>
      </c>
      <c r="AM62" s="1">
        <v>16.422999999999998</v>
      </c>
      <c r="AN62" s="1">
        <v>5</v>
      </c>
      <c r="AO62" s="1">
        <v>4</v>
      </c>
      <c r="AP62" s="1">
        <v>6</v>
      </c>
      <c r="AQ62" s="1">
        <v>10.317</v>
      </c>
      <c r="AR62" s="1">
        <v>13.301</v>
      </c>
      <c r="AS62" s="1">
        <v>13.882999999999999</v>
      </c>
      <c r="AT62" s="1">
        <v>7</v>
      </c>
      <c r="AU62" s="1">
        <v>5</v>
      </c>
      <c r="AV62" s="1">
        <v>6</v>
      </c>
      <c r="AW62" s="1">
        <v>6.1109999999999998</v>
      </c>
      <c r="AX62" s="1">
        <v>8.8520000000000003</v>
      </c>
      <c r="AY62" s="1">
        <v>9.4600000000000009</v>
      </c>
      <c r="AZ62" s="1">
        <v>5</v>
      </c>
      <c r="BA62" s="1">
        <v>5</v>
      </c>
      <c r="BB62" s="1">
        <v>6</v>
      </c>
      <c r="BC62" s="1">
        <v>6.06</v>
      </c>
      <c r="BD62" s="1">
        <v>7.9589999999999996</v>
      </c>
      <c r="BE62" s="1">
        <v>8.4510000000000005</v>
      </c>
      <c r="BF62" s="1">
        <v>5</v>
      </c>
      <c r="BG62" s="1">
        <v>1</v>
      </c>
      <c r="BH62" s="1">
        <v>6</v>
      </c>
      <c r="BI62" s="1">
        <v>6.4569999999999999</v>
      </c>
      <c r="BJ62" s="1">
        <v>8.5890000000000004</v>
      </c>
      <c r="BK62" s="1">
        <v>9.1579999999999995</v>
      </c>
      <c r="BL62" s="1">
        <v>5</v>
      </c>
      <c r="BM62" s="1">
        <v>2</v>
      </c>
      <c r="BN62" s="1">
        <v>4</v>
      </c>
      <c r="BO62" s="1">
        <v>12.32</v>
      </c>
      <c r="BP62" s="1">
        <v>14.778</v>
      </c>
      <c r="BQ62" s="1">
        <v>16.792000000000002</v>
      </c>
      <c r="BR62" s="1">
        <v>5</v>
      </c>
      <c r="BS62" s="1">
        <v>1</v>
      </c>
      <c r="BT62" s="1">
        <v>4</v>
      </c>
      <c r="BU62" s="1">
        <v>10.836</v>
      </c>
      <c r="BV62" s="1">
        <v>24.451000000000001</v>
      </c>
      <c r="BW62" s="1">
        <v>26.265000000000001</v>
      </c>
      <c r="BX62" s="1">
        <v>7</v>
      </c>
      <c r="BY62" s="1">
        <v>5</v>
      </c>
      <c r="BZ62" s="1">
        <v>5</v>
      </c>
      <c r="CA62" s="1">
        <v>5.4989999999999997</v>
      </c>
      <c r="CB62" s="1">
        <v>10.117000000000001</v>
      </c>
      <c r="CC62" s="1">
        <v>11.837</v>
      </c>
      <c r="CD62" s="1">
        <v>7</v>
      </c>
      <c r="CE62" s="1">
        <v>5</v>
      </c>
      <c r="CF62" s="1">
        <v>5</v>
      </c>
      <c r="CG62" s="1">
        <v>7.202</v>
      </c>
      <c r="CH62" s="1">
        <v>11.486000000000001</v>
      </c>
      <c r="CI62" s="1">
        <v>12.146000000000001</v>
      </c>
      <c r="CJ62" s="1">
        <v>5</v>
      </c>
      <c r="CK62" s="1">
        <v>1</v>
      </c>
      <c r="CL62" s="1">
        <v>6</v>
      </c>
      <c r="CM62" s="1">
        <v>6.2460000000000004</v>
      </c>
      <c r="CN62" s="1">
        <v>8.5969999999999995</v>
      </c>
      <c r="CO62" s="1">
        <v>10.282</v>
      </c>
      <c r="CP62" s="1">
        <v>5</v>
      </c>
      <c r="CQ62" s="1">
        <v>4</v>
      </c>
      <c r="CR62" s="1">
        <v>5</v>
      </c>
      <c r="CS62" s="1">
        <v>14.02</v>
      </c>
      <c r="CT62" s="1">
        <v>17.108000000000001</v>
      </c>
      <c r="CU62" s="1">
        <v>17.875</v>
      </c>
      <c r="CV62" s="1">
        <v>6</v>
      </c>
      <c r="CW62" s="1">
        <v>1</v>
      </c>
      <c r="CX62" s="1">
        <v>5</v>
      </c>
      <c r="CY62" s="1">
        <v>7.1609999999999996</v>
      </c>
      <c r="CZ62" s="1">
        <v>10.095000000000001</v>
      </c>
      <c r="DA62" s="1">
        <v>11.731</v>
      </c>
      <c r="DB62" s="1">
        <v>5</v>
      </c>
      <c r="DC62" s="1">
        <v>5</v>
      </c>
      <c r="DD62" s="1">
        <v>5</v>
      </c>
      <c r="DE62" s="1">
        <v>8.2110000000000003</v>
      </c>
      <c r="DF62" s="1">
        <v>10.46</v>
      </c>
      <c r="DG62" s="1">
        <v>11.045</v>
      </c>
      <c r="DH62" s="1">
        <v>5</v>
      </c>
      <c r="DI62" s="1">
        <v>3</v>
      </c>
      <c r="DJ62" s="1">
        <v>5</v>
      </c>
      <c r="DK62" s="1">
        <v>6.8360000000000003</v>
      </c>
      <c r="DL62" s="1">
        <v>11.926</v>
      </c>
      <c r="DM62" s="1">
        <v>12.561999999999999</v>
      </c>
      <c r="DN62" s="1">
        <v>5</v>
      </c>
      <c r="DO62" s="1">
        <v>1</v>
      </c>
      <c r="DP62" s="1">
        <v>6</v>
      </c>
      <c r="DQ62" s="1">
        <v>6.032</v>
      </c>
      <c r="DR62" s="1">
        <v>9.6980000000000004</v>
      </c>
      <c r="DS62" s="1">
        <v>10.249000000000001</v>
      </c>
      <c r="DT62" s="1">
        <v>7</v>
      </c>
      <c r="DU62" s="1">
        <v>4</v>
      </c>
      <c r="DV62" s="1">
        <v>5</v>
      </c>
      <c r="DW62" s="1">
        <v>12.193</v>
      </c>
      <c r="DX62" s="1">
        <v>15.4</v>
      </c>
      <c r="DY62" s="1">
        <v>16.2</v>
      </c>
      <c r="DZ62" s="1">
        <v>6</v>
      </c>
      <c r="EA62" s="1">
        <v>4</v>
      </c>
      <c r="EB62" s="1">
        <v>5</v>
      </c>
      <c r="EC62" s="1">
        <v>13.867000000000001</v>
      </c>
      <c r="ED62" s="1">
        <v>15.983000000000001</v>
      </c>
      <c r="EE62" s="1">
        <v>16.573</v>
      </c>
      <c r="EF62" s="1">
        <v>5</v>
      </c>
      <c r="EG62" s="1">
        <v>3</v>
      </c>
      <c r="EH62" s="1">
        <v>6</v>
      </c>
      <c r="EI62" s="1">
        <v>7.95</v>
      </c>
      <c r="EJ62" s="1">
        <v>9.6679999999999993</v>
      </c>
      <c r="EK62" s="1">
        <v>10.315</v>
      </c>
      <c r="EL62" s="1">
        <v>4</v>
      </c>
      <c r="EM62" s="1">
        <v>3</v>
      </c>
      <c r="EN62" s="1">
        <v>6</v>
      </c>
      <c r="EO62" s="1">
        <v>7.548</v>
      </c>
      <c r="EP62" s="1">
        <v>9.8979999999999997</v>
      </c>
      <c r="EQ62" s="1">
        <v>10.515000000000001</v>
      </c>
      <c r="ER62" s="1">
        <v>6</v>
      </c>
      <c r="ES62" s="1">
        <v>1</v>
      </c>
      <c r="ET62" s="1">
        <v>5</v>
      </c>
      <c r="EU62" s="1">
        <v>7.3810000000000002</v>
      </c>
      <c r="EV62" s="1">
        <v>12.484999999999999</v>
      </c>
      <c r="EW62" s="1">
        <v>13.145</v>
      </c>
      <c r="EX62" s="1">
        <v>7</v>
      </c>
      <c r="EY62" s="1">
        <v>2</v>
      </c>
      <c r="EZ62" s="1">
        <v>7</v>
      </c>
      <c r="FA62" s="1">
        <v>4.2709999999999999</v>
      </c>
      <c r="FB62" s="1">
        <v>11.965999999999999</v>
      </c>
      <c r="FC62" s="1">
        <v>12.614000000000001</v>
      </c>
      <c r="FD62" s="1">
        <v>9</v>
      </c>
      <c r="FE62" s="1">
        <v>2</v>
      </c>
      <c r="FF62" s="1">
        <v>6</v>
      </c>
      <c r="FG62" s="1">
        <v>8.6760000000000002</v>
      </c>
      <c r="FH62" s="1">
        <v>11.038</v>
      </c>
      <c r="FI62" s="1">
        <v>11.667999999999999</v>
      </c>
      <c r="FJ62" s="1">
        <v>5</v>
      </c>
      <c r="FK62" s="1">
        <v>1</v>
      </c>
      <c r="FL62" s="1">
        <v>5</v>
      </c>
      <c r="FM62" s="1">
        <v>6.3470000000000004</v>
      </c>
      <c r="FN62" s="1">
        <v>9.7460000000000004</v>
      </c>
      <c r="FO62" s="1">
        <v>11.786</v>
      </c>
      <c r="FP62" s="1">
        <v>6</v>
      </c>
      <c r="FQ62" s="1">
        <v>2</v>
      </c>
      <c r="FR62" s="1">
        <v>7</v>
      </c>
      <c r="FS62" s="1">
        <v>3.96</v>
      </c>
      <c r="FT62" s="1">
        <v>10.811999999999999</v>
      </c>
      <c r="FU62" s="1">
        <v>11.052</v>
      </c>
      <c r="FV62" s="1">
        <v>8</v>
      </c>
      <c r="FW62" s="4" t="s">
        <v>282</v>
      </c>
      <c r="FX62" s="1">
        <v>4</v>
      </c>
      <c r="FY62" s="1">
        <v>13.388999999999999</v>
      </c>
      <c r="FZ62" s="1">
        <v>18.878</v>
      </c>
      <c r="GA62" s="1">
        <v>19.474</v>
      </c>
      <c r="GB62" s="1">
        <v>8</v>
      </c>
      <c r="GC62" s="1">
        <v>1</v>
      </c>
      <c r="GD62" s="1">
        <v>4</v>
      </c>
      <c r="GE62" s="1">
        <v>6.3689999999999998</v>
      </c>
      <c r="GF62" s="1">
        <v>14.481999999999999</v>
      </c>
      <c r="GG62" s="1">
        <v>15.090999999999999</v>
      </c>
      <c r="GH62" s="1">
        <v>7</v>
      </c>
      <c r="GI62" s="1">
        <v>2</v>
      </c>
      <c r="GJ62" s="1">
        <v>7</v>
      </c>
      <c r="GK62" s="1">
        <v>15.997999999999999</v>
      </c>
      <c r="GL62" s="1">
        <v>17.695</v>
      </c>
      <c r="GM62" s="1">
        <v>18.312000000000001</v>
      </c>
      <c r="GN62" s="1">
        <v>3</v>
      </c>
      <c r="GO62" s="1">
        <v>5</v>
      </c>
      <c r="GP62" s="1">
        <v>4</v>
      </c>
      <c r="GQ62" s="1">
        <v>8.6180000000000003</v>
      </c>
      <c r="GR62" s="1">
        <v>17.196000000000002</v>
      </c>
      <c r="GS62" s="1">
        <v>17.917999999999999</v>
      </c>
      <c r="GT62" s="1">
        <v>8</v>
      </c>
      <c r="GU62" s="1">
        <v>1</v>
      </c>
      <c r="GV62" s="1">
        <v>5</v>
      </c>
      <c r="GW62" s="1">
        <v>8.1080000000000005</v>
      </c>
      <c r="GX62" s="1">
        <v>12.446</v>
      </c>
      <c r="GY62" s="1">
        <v>13.035</v>
      </c>
      <c r="GZ62" s="1">
        <v>7</v>
      </c>
      <c r="HA62" s="1">
        <v>2</v>
      </c>
      <c r="HB62" s="1">
        <v>6</v>
      </c>
      <c r="HC62" s="1">
        <v>7.0030000000000001</v>
      </c>
      <c r="HD62" s="1">
        <v>9.42</v>
      </c>
      <c r="HE62" s="1">
        <v>11.32</v>
      </c>
      <c r="HF62" s="1">
        <v>6</v>
      </c>
      <c r="HG62" s="1">
        <v>2</v>
      </c>
      <c r="HH62" s="1">
        <v>6</v>
      </c>
      <c r="HI62" s="1">
        <v>32.883000000000003</v>
      </c>
      <c r="HJ62" s="1">
        <v>40.262999999999998</v>
      </c>
      <c r="HK62" s="1">
        <v>41.030999999999999</v>
      </c>
      <c r="HL62" s="1">
        <v>6</v>
      </c>
      <c r="HM62" s="4" t="s">
        <v>996</v>
      </c>
      <c r="HN62" s="4" t="s">
        <v>997</v>
      </c>
      <c r="HO62" s="4" t="s">
        <v>998</v>
      </c>
      <c r="HP62" s="4" t="s">
        <v>999</v>
      </c>
      <c r="HQ62" s="4" t="s">
        <v>1000</v>
      </c>
      <c r="HR62" s="4" t="s">
        <v>1001</v>
      </c>
      <c r="HS62" s="4" t="s">
        <v>1002</v>
      </c>
      <c r="HT62" s="4" t="s">
        <v>1003</v>
      </c>
      <c r="HU62" s="4" t="s">
        <v>1004</v>
      </c>
      <c r="HV62" s="4" t="s">
        <v>1005</v>
      </c>
      <c r="HW62" s="4" t="s">
        <v>282</v>
      </c>
      <c r="HX62" s="4" t="s">
        <v>282</v>
      </c>
      <c r="HY62" s="4" t="s">
        <v>312</v>
      </c>
      <c r="HZ62" s="4" t="s">
        <v>356</v>
      </c>
      <c r="IA62" s="4" t="s">
        <v>313</v>
      </c>
      <c r="IB62" s="4" t="s">
        <v>282</v>
      </c>
      <c r="IC62" s="4" t="s">
        <v>282</v>
      </c>
    </row>
    <row r="63" spans="1:237" x14ac:dyDescent="0.2">
      <c r="A63" s="3">
        <v>45749.011087962965</v>
      </c>
      <c r="B63" s="3">
        <v>45749.030104166668</v>
      </c>
      <c r="C63" s="1">
        <v>0</v>
      </c>
      <c r="D63" s="4" t="s">
        <v>1006</v>
      </c>
      <c r="E63" s="1">
        <v>100</v>
      </c>
      <c r="F63" s="1">
        <v>1642</v>
      </c>
      <c r="G63" s="1">
        <v>1</v>
      </c>
      <c r="H63" s="3">
        <v>45749.030116215275</v>
      </c>
      <c r="I63" s="4" t="s">
        <v>1007</v>
      </c>
      <c r="J63" s="4" t="s">
        <v>282</v>
      </c>
      <c r="K63" s="4" t="s">
        <v>282</v>
      </c>
      <c r="L63" s="4" t="s">
        <v>282</v>
      </c>
      <c r="M63" s="4" t="s">
        <v>282</v>
      </c>
      <c r="N63" s="1">
        <v>49.817900000000002</v>
      </c>
      <c r="O63" s="1">
        <v>-97.153499999999994</v>
      </c>
      <c r="P63" s="4" t="s">
        <v>283</v>
      </c>
      <c r="Q63" s="4" t="s">
        <v>284</v>
      </c>
      <c r="R63" s="1">
        <v>0.89999997615814209</v>
      </c>
      <c r="S63" s="1">
        <v>1</v>
      </c>
      <c r="T63" s="1">
        <v>1</v>
      </c>
      <c r="U63" s="1">
        <v>1</v>
      </c>
      <c r="V63" s="1">
        <v>1</v>
      </c>
      <c r="W63" s="1">
        <v>9</v>
      </c>
      <c r="X63" s="4" t="s">
        <v>312</v>
      </c>
      <c r="Y63" s="1">
        <v>5</v>
      </c>
      <c r="Z63" s="1">
        <v>4</v>
      </c>
      <c r="AA63" s="1">
        <v>1</v>
      </c>
      <c r="AB63" s="1">
        <v>1</v>
      </c>
      <c r="AC63" s="1">
        <v>1</v>
      </c>
      <c r="AD63" s="1">
        <v>7</v>
      </c>
      <c r="AE63" s="1">
        <v>9.67</v>
      </c>
      <c r="AF63" s="1">
        <v>18.321000000000002</v>
      </c>
      <c r="AG63" s="1">
        <v>19.757999999999999</v>
      </c>
      <c r="AH63" s="1">
        <v>7</v>
      </c>
      <c r="AI63" s="1">
        <v>4</v>
      </c>
      <c r="AJ63" s="1">
        <v>6</v>
      </c>
      <c r="AK63" s="1">
        <v>14.753</v>
      </c>
      <c r="AL63" s="1">
        <v>19.638000000000002</v>
      </c>
      <c r="AM63" s="1">
        <v>20.625</v>
      </c>
      <c r="AN63" s="1">
        <v>5</v>
      </c>
      <c r="AO63" s="1">
        <v>2</v>
      </c>
      <c r="AP63" s="1">
        <v>5</v>
      </c>
      <c r="AQ63" s="1">
        <v>17.451000000000001</v>
      </c>
      <c r="AR63" s="1">
        <v>42.735999999999997</v>
      </c>
      <c r="AS63" s="1">
        <v>44.121000000000002</v>
      </c>
      <c r="AT63" s="1">
        <v>8</v>
      </c>
      <c r="AU63" s="1">
        <v>2</v>
      </c>
      <c r="AV63" s="1">
        <v>6</v>
      </c>
      <c r="AW63" s="1">
        <v>22.064</v>
      </c>
      <c r="AX63" s="1">
        <v>34.859000000000002</v>
      </c>
      <c r="AY63" s="1">
        <v>36.03</v>
      </c>
      <c r="AZ63" s="1">
        <v>8</v>
      </c>
      <c r="BA63" s="1">
        <v>3</v>
      </c>
      <c r="BB63" s="1">
        <v>6</v>
      </c>
      <c r="BC63" s="1">
        <v>18.991</v>
      </c>
      <c r="BD63" s="1">
        <v>26.309000000000001</v>
      </c>
      <c r="BE63" s="1">
        <v>27.021000000000001</v>
      </c>
      <c r="BF63" s="1">
        <v>6</v>
      </c>
      <c r="BG63" s="1">
        <v>1</v>
      </c>
      <c r="BH63" s="1">
        <v>6</v>
      </c>
      <c r="BI63" s="1">
        <v>17.204999999999998</v>
      </c>
      <c r="BJ63" s="1">
        <v>25.721</v>
      </c>
      <c r="BK63" s="1">
        <v>27.001999999999999</v>
      </c>
      <c r="BL63" s="1">
        <v>7</v>
      </c>
      <c r="BM63" s="1">
        <v>4</v>
      </c>
      <c r="BN63" s="1">
        <v>7</v>
      </c>
      <c r="BO63" s="1">
        <v>11.332000000000001</v>
      </c>
      <c r="BP63" s="1">
        <v>18.411999999999999</v>
      </c>
      <c r="BQ63" s="1">
        <v>19.402999999999999</v>
      </c>
      <c r="BR63" s="1">
        <v>6</v>
      </c>
      <c r="BS63" s="1">
        <v>1</v>
      </c>
      <c r="BT63" s="1">
        <v>7</v>
      </c>
      <c r="BU63" s="1">
        <v>9.7140000000000004</v>
      </c>
      <c r="BV63" s="1">
        <v>14.763</v>
      </c>
      <c r="BW63" s="1">
        <v>15.461</v>
      </c>
      <c r="BX63" s="1">
        <v>5</v>
      </c>
      <c r="BY63" s="1">
        <v>2</v>
      </c>
      <c r="BZ63" s="1">
        <v>6</v>
      </c>
      <c r="CA63" s="1">
        <v>21.184000000000001</v>
      </c>
      <c r="CB63" s="1">
        <v>34.204999999999998</v>
      </c>
      <c r="CC63" s="1">
        <v>35.353000000000002</v>
      </c>
      <c r="CD63" s="1">
        <v>7</v>
      </c>
      <c r="CE63" s="1">
        <v>4</v>
      </c>
      <c r="CF63" s="1">
        <v>4</v>
      </c>
      <c r="CG63" s="1">
        <v>31.934000000000001</v>
      </c>
      <c r="CH63" s="1">
        <v>39.363999999999997</v>
      </c>
      <c r="CI63" s="1">
        <v>39.938000000000002</v>
      </c>
      <c r="CJ63" s="1">
        <v>6</v>
      </c>
      <c r="CK63" s="1">
        <v>1</v>
      </c>
      <c r="CL63" s="1">
        <v>5</v>
      </c>
      <c r="CM63" s="1">
        <v>22.545999999999999</v>
      </c>
      <c r="CN63" s="1">
        <v>25.896999999999998</v>
      </c>
      <c r="CO63" s="1">
        <v>26.53</v>
      </c>
      <c r="CP63" s="1">
        <v>4</v>
      </c>
      <c r="CQ63" s="1">
        <v>4</v>
      </c>
      <c r="CR63" s="1">
        <v>7</v>
      </c>
      <c r="CS63" s="1">
        <v>12.316000000000001</v>
      </c>
      <c r="CT63" s="1">
        <v>17.117999999999999</v>
      </c>
      <c r="CU63" s="1">
        <v>18.030999999999999</v>
      </c>
      <c r="CV63" s="1">
        <v>5</v>
      </c>
      <c r="CW63" s="1">
        <v>1</v>
      </c>
      <c r="CX63" s="1">
        <v>7</v>
      </c>
      <c r="CY63" s="1">
        <v>18.68</v>
      </c>
      <c r="CZ63" s="1">
        <v>22.312999999999999</v>
      </c>
      <c r="DA63" s="1">
        <v>23.183</v>
      </c>
      <c r="DB63" s="1">
        <v>3</v>
      </c>
      <c r="DC63" s="1">
        <v>5</v>
      </c>
      <c r="DD63" s="1">
        <v>7</v>
      </c>
      <c r="DE63" s="1">
        <v>11.478</v>
      </c>
      <c r="DF63" s="1">
        <v>16.311</v>
      </c>
      <c r="DG63" s="1">
        <v>17.170999999999999</v>
      </c>
      <c r="DH63" s="1">
        <v>6</v>
      </c>
      <c r="DI63" s="1">
        <v>1</v>
      </c>
      <c r="DJ63" s="1">
        <v>7</v>
      </c>
      <c r="DK63" s="1">
        <v>20.890999999999998</v>
      </c>
      <c r="DL63" s="1">
        <v>26.395</v>
      </c>
      <c r="DM63" s="1">
        <v>27.382000000000001</v>
      </c>
      <c r="DN63" s="1">
        <v>5</v>
      </c>
      <c r="DO63" s="1">
        <v>1</v>
      </c>
      <c r="DP63" s="1">
        <v>5</v>
      </c>
      <c r="DQ63" s="1">
        <v>17.702000000000002</v>
      </c>
      <c r="DR63" s="1">
        <v>43.198</v>
      </c>
      <c r="DS63" s="1">
        <v>44.256999999999998</v>
      </c>
      <c r="DT63" s="1">
        <v>9</v>
      </c>
      <c r="DU63" s="1">
        <v>4</v>
      </c>
      <c r="DV63" s="1">
        <v>6</v>
      </c>
      <c r="DW63" s="1">
        <v>14.098000000000001</v>
      </c>
      <c r="DX63" s="1">
        <v>19.219000000000001</v>
      </c>
      <c r="DY63" s="1">
        <v>23.994</v>
      </c>
      <c r="DZ63" s="1">
        <v>6</v>
      </c>
      <c r="EA63" s="1">
        <v>4</v>
      </c>
      <c r="EB63" s="1">
        <v>5</v>
      </c>
      <c r="EC63" s="1">
        <v>29.463999999999999</v>
      </c>
      <c r="ED63" s="1">
        <v>67.641000000000005</v>
      </c>
      <c r="EE63" s="1">
        <v>70.370999999999995</v>
      </c>
      <c r="EF63" s="1">
        <v>13</v>
      </c>
      <c r="EG63" s="1">
        <v>5</v>
      </c>
      <c r="EH63" s="1">
        <v>7</v>
      </c>
      <c r="EI63" s="1">
        <v>17.907</v>
      </c>
      <c r="EJ63" s="1">
        <v>20.356000000000002</v>
      </c>
      <c r="EK63" s="1">
        <v>21.315999999999999</v>
      </c>
      <c r="EL63" s="1">
        <v>3</v>
      </c>
      <c r="EM63" s="1">
        <v>3</v>
      </c>
      <c r="EN63" s="1">
        <v>7</v>
      </c>
      <c r="EO63" s="1">
        <v>24.114999999999998</v>
      </c>
      <c r="EP63" s="1">
        <v>26.681999999999999</v>
      </c>
      <c r="EQ63" s="1">
        <v>27.588999999999999</v>
      </c>
      <c r="ER63" s="1">
        <v>4</v>
      </c>
      <c r="ES63" s="1">
        <v>1</v>
      </c>
      <c r="ET63" s="1">
        <v>7</v>
      </c>
      <c r="EU63" s="1">
        <v>13.583</v>
      </c>
      <c r="EV63" s="1">
        <v>16.957000000000001</v>
      </c>
      <c r="EW63" s="1">
        <v>17.827999999999999</v>
      </c>
      <c r="EX63" s="1">
        <v>4</v>
      </c>
      <c r="EY63" s="1">
        <v>2</v>
      </c>
      <c r="EZ63" s="1">
        <v>7</v>
      </c>
      <c r="FA63" s="1">
        <v>8.0310000000000006</v>
      </c>
      <c r="FB63" s="1">
        <v>12.846</v>
      </c>
      <c r="FC63" s="1">
        <v>13.278</v>
      </c>
      <c r="FD63" s="1">
        <v>6</v>
      </c>
      <c r="FE63" s="1">
        <v>5</v>
      </c>
      <c r="FF63" s="1">
        <v>7</v>
      </c>
      <c r="FG63" s="1">
        <v>9.3840000000000003</v>
      </c>
      <c r="FH63" s="1">
        <v>13.414999999999999</v>
      </c>
      <c r="FI63" s="1">
        <v>14.218999999999999</v>
      </c>
      <c r="FJ63" s="1">
        <v>5</v>
      </c>
      <c r="FK63" s="1">
        <v>1</v>
      </c>
      <c r="FL63" s="1">
        <v>7</v>
      </c>
      <c r="FM63" s="1">
        <v>15.385999999999999</v>
      </c>
      <c r="FN63" s="1">
        <v>19.431999999999999</v>
      </c>
      <c r="FO63" s="1">
        <v>20.111999999999998</v>
      </c>
      <c r="FP63" s="1">
        <v>5</v>
      </c>
      <c r="FQ63" s="1">
        <v>2</v>
      </c>
      <c r="FR63" s="1">
        <v>7</v>
      </c>
      <c r="FS63" s="1">
        <v>14.532</v>
      </c>
      <c r="FT63" s="1">
        <v>19.506</v>
      </c>
      <c r="FU63" s="1">
        <v>20.323</v>
      </c>
      <c r="FV63" s="1">
        <v>5</v>
      </c>
      <c r="FW63" s="1">
        <v>5</v>
      </c>
      <c r="FX63" s="1">
        <v>7</v>
      </c>
      <c r="FY63" s="1">
        <v>8.42</v>
      </c>
      <c r="FZ63" s="1">
        <v>23.64</v>
      </c>
      <c r="GA63" s="1">
        <v>26.22</v>
      </c>
      <c r="GB63" s="1">
        <v>7</v>
      </c>
      <c r="GC63" s="1">
        <v>1</v>
      </c>
      <c r="GD63" s="1">
        <v>7</v>
      </c>
      <c r="GE63" s="1">
        <v>15.648999999999999</v>
      </c>
      <c r="GF63" s="1">
        <v>21.135999999999999</v>
      </c>
      <c r="GG63" s="1">
        <v>21.89</v>
      </c>
      <c r="GH63" s="1">
        <v>5</v>
      </c>
      <c r="GI63" s="4" t="s">
        <v>282</v>
      </c>
      <c r="GJ63" s="1">
        <v>7</v>
      </c>
      <c r="GK63" s="1">
        <v>7.3730000000000002</v>
      </c>
      <c r="GL63" s="1">
        <v>18.806999999999999</v>
      </c>
      <c r="GM63" s="1">
        <v>19.550999999999998</v>
      </c>
      <c r="GN63" s="1">
        <v>6</v>
      </c>
      <c r="GO63" s="1">
        <v>2</v>
      </c>
      <c r="GP63" s="1">
        <v>7</v>
      </c>
      <c r="GQ63" s="1">
        <v>14.874000000000001</v>
      </c>
      <c r="GR63" s="1">
        <v>30.623999999999999</v>
      </c>
      <c r="GS63" s="1">
        <v>31.658999999999999</v>
      </c>
      <c r="GT63" s="1">
        <v>5</v>
      </c>
      <c r="GU63" s="1">
        <v>1</v>
      </c>
      <c r="GV63" s="1">
        <v>7</v>
      </c>
      <c r="GW63" s="1">
        <v>9.4130000000000003</v>
      </c>
      <c r="GX63" s="1">
        <v>15.404</v>
      </c>
      <c r="GY63" s="1">
        <v>15.909000000000001</v>
      </c>
      <c r="GZ63" s="1">
        <v>6</v>
      </c>
      <c r="HA63" s="1">
        <v>2</v>
      </c>
      <c r="HB63" s="1">
        <v>7</v>
      </c>
      <c r="HC63" s="1">
        <v>8.7579999999999991</v>
      </c>
      <c r="HD63" s="1">
        <v>13.26</v>
      </c>
      <c r="HE63" s="1">
        <v>14.029</v>
      </c>
      <c r="HF63" s="1">
        <v>6</v>
      </c>
      <c r="HG63" s="4" t="s">
        <v>282</v>
      </c>
      <c r="HH63" s="1">
        <v>7</v>
      </c>
      <c r="HI63" s="1">
        <v>24.544</v>
      </c>
      <c r="HJ63" s="1">
        <v>27.646999999999998</v>
      </c>
      <c r="HK63" s="1">
        <v>28.401</v>
      </c>
      <c r="HL63" s="1">
        <v>4</v>
      </c>
      <c r="HM63" s="4" t="s">
        <v>1008</v>
      </c>
      <c r="HN63" s="4" t="s">
        <v>592</v>
      </c>
      <c r="HO63" s="4" t="s">
        <v>1009</v>
      </c>
      <c r="HP63" s="4" t="s">
        <v>1010</v>
      </c>
      <c r="HQ63" s="4" t="s">
        <v>1011</v>
      </c>
      <c r="HR63" s="4" t="s">
        <v>592</v>
      </c>
      <c r="HS63" s="4" t="s">
        <v>1012</v>
      </c>
      <c r="HT63" s="4" t="s">
        <v>1013</v>
      </c>
      <c r="HU63" s="4" t="s">
        <v>1014</v>
      </c>
      <c r="HV63" s="4" t="s">
        <v>1015</v>
      </c>
      <c r="HW63" s="4" t="s">
        <v>1016</v>
      </c>
      <c r="HX63" s="4" t="s">
        <v>282</v>
      </c>
      <c r="HY63" s="4" t="s">
        <v>312</v>
      </c>
      <c r="HZ63" s="4" t="s">
        <v>372</v>
      </c>
      <c r="IA63" s="4" t="s">
        <v>325</v>
      </c>
      <c r="IB63" s="4" t="s">
        <v>282</v>
      </c>
      <c r="IC63" s="4" t="s">
        <v>282</v>
      </c>
    </row>
    <row r="64" spans="1:237" x14ac:dyDescent="0.2">
      <c r="A64" s="3">
        <v>45749.118842592594</v>
      </c>
      <c r="B64" s="3">
        <v>45749.133425925924</v>
      </c>
      <c r="C64" s="1">
        <v>0</v>
      </c>
      <c r="D64" s="4" t="s">
        <v>1017</v>
      </c>
      <c r="E64" s="1">
        <v>100</v>
      </c>
      <c r="F64" s="1">
        <v>1259</v>
      </c>
      <c r="G64" s="1">
        <v>1</v>
      </c>
      <c r="H64" s="3">
        <v>45749.133445381944</v>
      </c>
      <c r="I64" s="4" t="s">
        <v>1018</v>
      </c>
      <c r="J64" s="4" t="s">
        <v>282</v>
      </c>
      <c r="K64" s="4" t="s">
        <v>282</v>
      </c>
      <c r="L64" s="4" t="s">
        <v>282</v>
      </c>
      <c r="M64" s="4" t="s">
        <v>282</v>
      </c>
      <c r="N64" s="1">
        <v>53.518500000000003</v>
      </c>
      <c r="O64" s="1">
        <v>-113.6579</v>
      </c>
      <c r="P64" s="4" t="s">
        <v>283</v>
      </c>
      <c r="Q64" s="4" t="s">
        <v>284</v>
      </c>
      <c r="R64" s="1">
        <v>1</v>
      </c>
      <c r="S64" s="1">
        <v>1</v>
      </c>
      <c r="T64" s="1">
        <v>1</v>
      </c>
      <c r="U64" s="1">
        <v>1</v>
      </c>
      <c r="V64" s="1">
        <v>1</v>
      </c>
      <c r="W64" s="1">
        <v>14</v>
      </c>
      <c r="X64" s="4" t="s">
        <v>1297</v>
      </c>
      <c r="Y64" s="1">
        <v>5</v>
      </c>
      <c r="Z64" s="1">
        <v>2</v>
      </c>
      <c r="AA64" s="1">
        <v>5</v>
      </c>
      <c r="AB64" s="1">
        <v>5</v>
      </c>
      <c r="AC64" s="1">
        <v>3</v>
      </c>
      <c r="AD64" s="1">
        <v>5</v>
      </c>
      <c r="AE64" s="1">
        <v>8.8490000000000002</v>
      </c>
      <c r="AF64" s="1">
        <v>12.92</v>
      </c>
      <c r="AG64" s="1">
        <v>13.202</v>
      </c>
      <c r="AH64" s="1">
        <v>8</v>
      </c>
      <c r="AI64" s="1">
        <v>4</v>
      </c>
      <c r="AJ64" s="1">
        <v>6</v>
      </c>
      <c r="AK64" s="1">
        <v>6.218</v>
      </c>
      <c r="AL64" s="1">
        <v>10.289</v>
      </c>
      <c r="AM64" s="1">
        <v>10.676</v>
      </c>
      <c r="AN64" s="1">
        <v>6</v>
      </c>
      <c r="AO64" s="1">
        <v>2</v>
      </c>
      <c r="AP64" s="1">
        <v>6</v>
      </c>
      <c r="AQ64" s="1">
        <v>8.4019999999999992</v>
      </c>
      <c r="AR64" s="1">
        <v>21.332999999999998</v>
      </c>
      <c r="AS64" s="1">
        <v>21.779</v>
      </c>
      <c r="AT64" s="1">
        <v>14</v>
      </c>
      <c r="AU64" s="1">
        <v>5</v>
      </c>
      <c r="AV64" s="1">
        <v>6</v>
      </c>
      <c r="AW64" s="1">
        <v>6.2640000000000002</v>
      </c>
      <c r="AX64" s="1">
        <v>11.234999999999999</v>
      </c>
      <c r="AY64" s="1">
        <v>12.852</v>
      </c>
      <c r="AZ64" s="1">
        <v>10</v>
      </c>
      <c r="BA64" s="1">
        <v>5</v>
      </c>
      <c r="BB64" s="1">
        <v>6</v>
      </c>
      <c r="BC64" s="1">
        <v>11.436999999999999</v>
      </c>
      <c r="BD64" s="1">
        <v>16.135000000000002</v>
      </c>
      <c r="BE64" s="1">
        <v>16.623000000000001</v>
      </c>
      <c r="BF64" s="1">
        <v>8</v>
      </c>
      <c r="BG64" s="1">
        <v>1</v>
      </c>
      <c r="BH64" s="1">
        <v>6</v>
      </c>
      <c r="BI64" s="1">
        <v>14.425000000000001</v>
      </c>
      <c r="BJ64" s="1">
        <v>18.094999999999999</v>
      </c>
      <c r="BK64" s="1">
        <v>18.620999999999999</v>
      </c>
      <c r="BL64" s="1">
        <v>9</v>
      </c>
      <c r="BM64" s="1">
        <v>2</v>
      </c>
      <c r="BN64" s="1">
        <v>6</v>
      </c>
      <c r="BO64" s="1">
        <v>9.1170000000000009</v>
      </c>
      <c r="BP64" s="1">
        <v>12.551</v>
      </c>
      <c r="BQ64" s="1">
        <v>12.964</v>
      </c>
      <c r="BR64" s="1">
        <v>7</v>
      </c>
      <c r="BS64" s="1">
        <v>1</v>
      </c>
      <c r="BT64" s="1">
        <v>6</v>
      </c>
      <c r="BU64" s="1">
        <v>24.609000000000002</v>
      </c>
      <c r="BV64" s="1">
        <v>27.638000000000002</v>
      </c>
      <c r="BW64" s="1">
        <v>28.7</v>
      </c>
      <c r="BX64" s="1">
        <v>6</v>
      </c>
      <c r="BY64" s="1">
        <v>3</v>
      </c>
      <c r="BZ64" s="1">
        <v>5</v>
      </c>
      <c r="CA64" s="1">
        <v>5.9489999999999998</v>
      </c>
      <c r="CB64" s="1">
        <v>10.971</v>
      </c>
      <c r="CC64" s="1">
        <v>11.375</v>
      </c>
      <c r="CD64" s="1">
        <v>9</v>
      </c>
      <c r="CE64" s="1">
        <v>3</v>
      </c>
      <c r="CF64" s="1">
        <v>6</v>
      </c>
      <c r="CG64" s="1">
        <v>20.329999999999998</v>
      </c>
      <c r="CH64" s="1">
        <v>23.683</v>
      </c>
      <c r="CI64" s="1">
        <v>24.029</v>
      </c>
      <c r="CJ64" s="1">
        <v>8</v>
      </c>
      <c r="CK64" s="1">
        <v>1</v>
      </c>
      <c r="CL64" s="1">
        <v>6</v>
      </c>
      <c r="CM64" s="1">
        <v>7.1749999999999998</v>
      </c>
      <c r="CN64" s="1">
        <v>9.2200000000000006</v>
      </c>
      <c r="CO64" s="1">
        <v>9.4979999999999993</v>
      </c>
      <c r="CP64" s="1">
        <v>6</v>
      </c>
      <c r="CQ64" s="1">
        <v>2</v>
      </c>
      <c r="CR64" s="1">
        <v>4</v>
      </c>
      <c r="CS64" s="1">
        <v>7.6829999999999998</v>
      </c>
      <c r="CT64" s="1">
        <v>12.653</v>
      </c>
      <c r="CU64" s="1">
        <v>13.157</v>
      </c>
      <c r="CV64" s="1">
        <v>8</v>
      </c>
      <c r="CW64" s="1">
        <v>1</v>
      </c>
      <c r="CX64" s="1">
        <v>6</v>
      </c>
      <c r="CY64" s="1">
        <v>7.3970000000000002</v>
      </c>
      <c r="CZ64" s="1">
        <v>11.702</v>
      </c>
      <c r="DA64" s="1">
        <v>12.590999999999999</v>
      </c>
      <c r="DB64" s="1">
        <v>10</v>
      </c>
      <c r="DC64" s="1">
        <v>3</v>
      </c>
      <c r="DD64" s="1">
        <v>6</v>
      </c>
      <c r="DE64" s="1">
        <v>7.819</v>
      </c>
      <c r="DF64" s="1">
        <v>13.952</v>
      </c>
      <c r="DG64" s="1">
        <v>14.288</v>
      </c>
      <c r="DH64" s="1">
        <v>12</v>
      </c>
      <c r="DI64" s="1">
        <v>3</v>
      </c>
      <c r="DJ64" s="1">
        <v>6</v>
      </c>
      <c r="DK64" s="1">
        <v>8.42</v>
      </c>
      <c r="DL64" s="1">
        <v>17.963999999999999</v>
      </c>
      <c r="DM64" s="1">
        <v>18.460999999999999</v>
      </c>
      <c r="DN64" s="1">
        <v>8</v>
      </c>
      <c r="DO64" s="1">
        <v>1</v>
      </c>
      <c r="DP64" s="1">
        <v>5</v>
      </c>
      <c r="DQ64" s="1">
        <v>24.161000000000001</v>
      </c>
      <c r="DR64" s="1">
        <v>27.916</v>
      </c>
      <c r="DS64" s="1">
        <v>28.43</v>
      </c>
      <c r="DT64" s="1">
        <v>8</v>
      </c>
      <c r="DU64" s="1">
        <v>4</v>
      </c>
      <c r="DV64" s="1">
        <v>5</v>
      </c>
      <c r="DW64" s="1">
        <v>6.2949999999999999</v>
      </c>
      <c r="DX64" s="1">
        <v>10.307</v>
      </c>
      <c r="DY64" s="1">
        <v>10.585000000000001</v>
      </c>
      <c r="DZ64" s="1">
        <v>8</v>
      </c>
      <c r="EA64" s="1">
        <v>1</v>
      </c>
      <c r="EB64" s="1">
        <v>5</v>
      </c>
      <c r="EC64" s="1">
        <v>17.893999999999998</v>
      </c>
      <c r="ED64" s="1">
        <v>21.866</v>
      </c>
      <c r="EE64" s="1">
        <v>22.346</v>
      </c>
      <c r="EF64" s="1">
        <v>9</v>
      </c>
      <c r="EG64" s="1">
        <v>5</v>
      </c>
      <c r="EH64" s="1">
        <v>6</v>
      </c>
      <c r="EI64" s="1">
        <v>8.7330000000000005</v>
      </c>
      <c r="EJ64" s="1">
        <v>17.402000000000001</v>
      </c>
      <c r="EK64" s="1">
        <v>17.716999999999999</v>
      </c>
      <c r="EL64" s="1">
        <v>11</v>
      </c>
      <c r="EM64" s="1">
        <v>3</v>
      </c>
      <c r="EN64" s="1">
        <v>5</v>
      </c>
      <c r="EO64" s="1">
        <v>7.7670000000000003</v>
      </c>
      <c r="EP64" s="1">
        <v>15.692</v>
      </c>
      <c r="EQ64" s="1">
        <v>15.984999999999999</v>
      </c>
      <c r="ER64" s="1">
        <v>10</v>
      </c>
      <c r="ES64" s="1">
        <v>1</v>
      </c>
      <c r="ET64" s="1">
        <v>5</v>
      </c>
      <c r="EU64" s="1">
        <v>20.567</v>
      </c>
      <c r="EV64" s="1">
        <v>26.99</v>
      </c>
      <c r="EW64" s="1">
        <v>27.335999999999999</v>
      </c>
      <c r="EX64" s="1">
        <v>8</v>
      </c>
      <c r="EY64" s="1">
        <v>2</v>
      </c>
      <c r="EZ64" s="1">
        <v>6</v>
      </c>
      <c r="FA64" s="1">
        <v>24.538</v>
      </c>
      <c r="FB64" s="1">
        <v>37.970999999999997</v>
      </c>
      <c r="FC64" s="1">
        <v>38.427999999999997</v>
      </c>
      <c r="FD64" s="1">
        <v>11</v>
      </c>
      <c r="FE64" s="1">
        <v>5</v>
      </c>
      <c r="FF64" s="1">
        <v>7</v>
      </c>
      <c r="FG64" s="1">
        <v>9.952</v>
      </c>
      <c r="FH64" s="1">
        <v>14.282999999999999</v>
      </c>
      <c r="FI64" s="1">
        <v>14.5</v>
      </c>
      <c r="FJ64" s="1">
        <v>8</v>
      </c>
      <c r="FK64" s="1">
        <v>1</v>
      </c>
      <c r="FL64" s="1">
        <v>7</v>
      </c>
      <c r="FM64" s="1">
        <v>8.4250000000000007</v>
      </c>
      <c r="FN64" s="1">
        <v>12.295</v>
      </c>
      <c r="FO64" s="1">
        <v>12.608000000000001</v>
      </c>
      <c r="FP64" s="1">
        <v>9</v>
      </c>
      <c r="FQ64" s="1">
        <v>2</v>
      </c>
      <c r="FR64" s="1">
        <v>5</v>
      </c>
      <c r="FS64" s="1">
        <v>8.6449999999999996</v>
      </c>
      <c r="FT64" s="1">
        <v>17.954999999999998</v>
      </c>
      <c r="FU64" s="1">
        <v>18.321000000000002</v>
      </c>
      <c r="FV64" s="1">
        <v>14</v>
      </c>
      <c r="FW64" s="1">
        <v>5</v>
      </c>
      <c r="FX64" s="1">
        <v>7</v>
      </c>
      <c r="FY64" s="1">
        <v>9.8379999999999992</v>
      </c>
      <c r="FZ64" s="1">
        <v>14.475</v>
      </c>
      <c r="GA64" s="1">
        <v>14.901</v>
      </c>
      <c r="GB64" s="1">
        <v>10</v>
      </c>
      <c r="GC64" s="1">
        <v>1</v>
      </c>
      <c r="GD64" s="1">
        <v>5</v>
      </c>
      <c r="GE64" s="1">
        <v>9.93</v>
      </c>
      <c r="GF64" s="1">
        <v>22.577999999999999</v>
      </c>
      <c r="GG64" s="1">
        <v>22.891999999999999</v>
      </c>
      <c r="GH64" s="1">
        <v>15</v>
      </c>
      <c r="GI64" s="1">
        <v>2</v>
      </c>
      <c r="GJ64" s="1">
        <v>5</v>
      </c>
      <c r="GK64" s="1">
        <v>8.0370000000000008</v>
      </c>
      <c r="GL64" s="1">
        <v>16.312000000000001</v>
      </c>
      <c r="GM64" s="1">
        <v>16.635000000000002</v>
      </c>
      <c r="GN64" s="1">
        <v>14</v>
      </c>
      <c r="GO64" s="1">
        <v>5</v>
      </c>
      <c r="GP64" s="1">
        <v>7</v>
      </c>
      <c r="GQ64" s="1">
        <v>11.092000000000001</v>
      </c>
      <c r="GR64" s="1">
        <v>18.899999999999999</v>
      </c>
      <c r="GS64" s="1">
        <v>19.390999999999998</v>
      </c>
      <c r="GT64" s="1">
        <v>11</v>
      </c>
      <c r="GU64" s="1">
        <v>1</v>
      </c>
      <c r="GV64" s="1">
        <v>6</v>
      </c>
      <c r="GW64" s="1">
        <v>22.140999999999998</v>
      </c>
      <c r="GX64" s="1">
        <v>27.462</v>
      </c>
      <c r="GY64" s="1">
        <v>27.890999999999998</v>
      </c>
      <c r="GZ64" s="1">
        <v>8</v>
      </c>
      <c r="HA64" s="1">
        <v>2</v>
      </c>
      <c r="HB64" s="1">
        <v>7</v>
      </c>
      <c r="HC64" s="1">
        <v>7.8529999999999998</v>
      </c>
      <c r="HD64" s="1">
        <v>12.382</v>
      </c>
      <c r="HE64" s="1">
        <v>12.6</v>
      </c>
      <c r="HF64" s="1">
        <v>7</v>
      </c>
      <c r="HG64" s="1">
        <v>5</v>
      </c>
      <c r="HH64" s="1">
        <v>5</v>
      </c>
      <c r="HI64" s="1">
        <v>27.931000000000001</v>
      </c>
      <c r="HJ64" s="1">
        <v>46.951999999999998</v>
      </c>
      <c r="HK64" s="1">
        <v>48.243000000000002</v>
      </c>
      <c r="HL64" s="1">
        <v>16</v>
      </c>
      <c r="HM64" s="4" t="s">
        <v>1021</v>
      </c>
      <c r="HN64" s="4" t="s">
        <v>1022</v>
      </c>
      <c r="HO64" s="4" t="s">
        <v>1023</v>
      </c>
      <c r="HP64" s="4" t="s">
        <v>1024</v>
      </c>
      <c r="HQ64" s="4" t="s">
        <v>1025</v>
      </c>
      <c r="HR64" s="4" t="s">
        <v>1026</v>
      </c>
      <c r="HS64" s="4" t="s">
        <v>1027</v>
      </c>
      <c r="HT64" s="4" t="s">
        <v>1028</v>
      </c>
      <c r="HU64" s="4" t="s">
        <v>1029</v>
      </c>
      <c r="HV64" s="4" t="s">
        <v>1030</v>
      </c>
      <c r="HW64" s="4" t="s">
        <v>282</v>
      </c>
      <c r="HX64" s="4" t="s">
        <v>282</v>
      </c>
      <c r="HY64" s="4" t="s">
        <v>312</v>
      </c>
      <c r="HZ64" s="4" t="s">
        <v>356</v>
      </c>
      <c r="IA64" s="4" t="s">
        <v>313</v>
      </c>
      <c r="IB64" s="4" t="s">
        <v>282</v>
      </c>
      <c r="IC64" s="4" t="s">
        <v>282</v>
      </c>
    </row>
    <row r="65" spans="1:237" x14ac:dyDescent="0.2">
      <c r="A65" s="3">
        <v>45749.118842592594</v>
      </c>
      <c r="B65" s="3">
        <v>45749.139791666668</v>
      </c>
      <c r="C65" s="1">
        <v>0</v>
      </c>
      <c r="D65" s="4" t="s">
        <v>1031</v>
      </c>
      <c r="E65" s="1">
        <v>100</v>
      </c>
      <c r="F65" s="1">
        <v>1809</v>
      </c>
      <c r="G65" s="1">
        <v>1</v>
      </c>
      <c r="H65" s="3">
        <v>45749.139803206017</v>
      </c>
      <c r="I65" s="4" t="s">
        <v>1032</v>
      </c>
      <c r="J65" s="4" t="s">
        <v>282</v>
      </c>
      <c r="K65" s="4" t="s">
        <v>282</v>
      </c>
      <c r="L65" s="4" t="s">
        <v>282</v>
      </c>
      <c r="M65" s="4" t="s">
        <v>282</v>
      </c>
      <c r="N65" s="1">
        <v>49.884</v>
      </c>
      <c r="O65" s="1">
        <v>-97.128799999999998</v>
      </c>
      <c r="P65" s="4" t="s">
        <v>283</v>
      </c>
      <c r="Q65" s="4" t="s">
        <v>284</v>
      </c>
      <c r="R65" s="1">
        <v>0.80000001192092896</v>
      </c>
      <c r="S65" s="1">
        <v>1</v>
      </c>
      <c r="T65" s="1">
        <v>1</v>
      </c>
      <c r="U65" s="1">
        <v>1</v>
      </c>
      <c r="V65" s="1">
        <v>1</v>
      </c>
      <c r="W65" s="1">
        <v>11</v>
      </c>
      <c r="X65" s="4" t="s">
        <v>497</v>
      </c>
      <c r="Y65" s="1">
        <v>5</v>
      </c>
      <c r="Z65" s="1">
        <v>1</v>
      </c>
      <c r="AA65" s="1">
        <v>1</v>
      </c>
      <c r="AB65" s="1">
        <v>1</v>
      </c>
      <c r="AC65" s="1">
        <v>3</v>
      </c>
      <c r="AD65" s="1">
        <v>7</v>
      </c>
      <c r="AE65" s="1">
        <v>20.696000000000002</v>
      </c>
      <c r="AF65" s="1">
        <v>34.234999999999999</v>
      </c>
      <c r="AG65" s="1">
        <v>34.988999999999997</v>
      </c>
      <c r="AH65" s="1">
        <v>5</v>
      </c>
      <c r="AI65" s="1">
        <v>2</v>
      </c>
      <c r="AJ65" s="1">
        <v>6</v>
      </c>
      <c r="AK65" s="1">
        <v>18.13</v>
      </c>
      <c r="AL65" s="1">
        <v>23.463000000000001</v>
      </c>
      <c r="AM65" s="1">
        <v>24.701000000000001</v>
      </c>
      <c r="AN65" s="1">
        <v>6</v>
      </c>
      <c r="AO65" s="4" t="s">
        <v>282</v>
      </c>
      <c r="AP65" s="1">
        <v>7</v>
      </c>
      <c r="AQ65" s="1">
        <v>12.609</v>
      </c>
      <c r="AR65" s="1">
        <v>24.369</v>
      </c>
      <c r="AS65" s="1">
        <v>25.866</v>
      </c>
      <c r="AT65" s="1">
        <v>7</v>
      </c>
      <c r="AU65" s="1">
        <v>3</v>
      </c>
      <c r="AV65" s="1">
        <v>6</v>
      </c>
      <c r="AW65" s="1">
        <v>12.874000000000001</v>
      </c>
      <c r="AX65" s="1">
        <v>24.966999999999999</v>
      </c>
      <c r="AY65" s="1">
        <v>25.797000000000001</v>
      </c>
      <c r="AZ65" s="1">
        <v>7</v>
      </c>
      <c r="BA65" s="1">
        <v>3</v>
      </c>
      <c r="BB65" s="1">
        <v>5</v>
      </c>
      <c r="BC65" s="1">
        <v>27.026</v>
      </c>
      <c r="BD65" s="1">
        <v>62.189</v>
      </c>
      <c r="BE65" s="1">
        <v>63.381</v>
      </c>
      <c r="BF65" s="1">
        <v>5</v>
      </c>
      <c r="BG65" s="1">
        <v>3</v>
      </c>
      <c r="BH65" s="1">
        <v>5</v>
      </c>
      <c r="BI65" s="1">
        <v>38.988</v>
      </c>
      <c r="BJ65" s="1">
        <v>46.679000000000002</v>
      </c>
      <c r="BK65" s="1">
        <v>47.994</v>
      </c>
      <c r="BL65" s="1">
        <v>5</v>
      </c>
      <c r="BM65" s="1">
        <v>4</v>
      </c>
      <c r="BN65" s="1">
        <v>6</v>
      </c>
      <c r="BO65" s="1">
        <v>25.753</v>
      </c>
      <c r="BP65" s="1">
        <v>41.042000000000002</v>
      </c>
      <c r="BQ65" s="1">
        <v>41.872</v>
      </c>
      <c r="BR65" s="1">
        <v>5</v>
      </c>
      <c r="BS65" s="1">
        <v>1</v>
      </c>
      <c r="BT65" s="1">
        <v>7</v>
      </c>
      <c r="BU65" s="1">
        <v>13.548</v>
      </c>
      <c r="BV65" s="1">
        <v>17.334</v>
      </c>
      <c r="BW65" s="1">
        <v>17.344000000000001</v>
      </c>
      <c r="BX65" s="1">
        <v>4</v>
      </c>
      <c r="BY65" s="1">
        <v>3</v>
      </c>
      <c r="BZ65" s="1">
        <v>5</v>
      </c>
      <c r="CA65" s="1">
        <v>23.015999999999998</v>
      </c>
      <c r="CB65" s="1">
        <v>28.29</v>
      </c>
      <c r="CC65" s="1">
        <v>29.199000000000002</v>
      </c>
      <c r="CD65" s="1">
        <v>4</v>
      </c>
      <c r="CE65" s="1">
        <v>2</v>
      </c>
      <c r="CF65" s="1">
        <v>7</v>
      </c>
      <c r="CG65" s="1">
        <v>28.9</v>
      </c>
      <c r="CH65" s="1">
        <v>56.164000000000001</v>
      </c>
      <c r="CI65" s="1">
        <v>57.473999999999997</v>
      </c>
      <c r="CJ65" s="1">
        <v>7</v>
      </c>
      <c r="CK65" s="1">
        <v>1</v>
      </c>
      <c r="CL65" s="1">
        <v>5</v>
      </c>
      <c r="CM65" s="1">
        <v>18.231000000000002</v>
      </c>
      <c r="CN65" s="1">
        <v>45.256</v>
      </c>
      <c r="CO65" s="1">
        <v>46.6</v>
      </c>
      <c r="CP65" s="1">
        <v>9</v>
      </c>
      <c r="CQ65" s="1">
        <v>2</v>
      </c>
      <c r="CR65" s="1">
        <v>5</v>
      </c>
      <c r="CS65" s="1">
        <v>10.701000000000001</v>
      </c>
      <c r="CT65" s="1">
        <v>19.556999999999999</v>
      </c>
      <c r="CU65" s="1">
        <v>20.960999999999999</v>
      </c>
      <c r="CV65" s="1">
        <v>6</v>
      </c>
      <c r="CW65" s="4" t="s">
        <v>282</v>
      </c>
      <c r="CX65" s="1">
        <v>7</v>
      </c>
      <c r="CY65" s="1">
        <v>15.401</v>
      </c>
      <c r="CZ65" s="1">
        <v>34.64</v>
      </c>
      <c r="DA65" s="1">
        <v>37.100999999999999</v>
      </c>
      <c r="DB65" s="1">
        <v>7</v>
      </c>
      <c r="DC65" s="1">
        <v>3</v>
      </c>
      <c r="DD65" s="1">
        <v>5</v>
      </c>
      <c r="DE65" s="1">
        <v>25.184000000000001</v>
      </c>
      <c r="DF65" s="1">
        <v>30.122</v>
      </c>
      <c r="DG65" s="1">
        <v>31.186</v>
      </c>
      <c r="DH65" s="1">
        <v>5</v>
      </c>
      <c r="DI65" s="1">
        <v>1</v>
      </c>
      <c r="DJ65" s="1">
        <v>5</v>
      </c>
      <c r="DK65" s="1">
        <v>13.756</v>
      </c>
      <c r="DL65" s="1">
        <v>18.494</v>
      </c>
      <c r="DM65" s="1">
        <v>22.111999999999998</v>
      </c>
      <c r="DN65" s="1">
        <v>4</v>
      </c>
      <c r="DO65" s="1">
        <v>5</v>
      </c>
      <c r="DP65" s="1">
        <v>5</v>
      </c>
      <c r="DQ65" s="1">
        <v>20.3</v>
      </c>
      <c r="DR65" s="1">
        <v>31.239000000000001</v>
      </c>
      <c r="DS65" s="1">
        <v>34.061999999999998</v>
      </c>
      <c r="DT65" s="1">
        <v>7</v>
      </c>
      <c r="DU65" s="1">
        <v>4</v>
      </c>
      <c r="DV65" s="1">
        <v>7</v>
      </c>
      <c r="DW65" s="1">
        <v>14.355</v>
      </c>
      <c r="DX65" s="1">
        <v>27.899000000000001</v>
      </c>
      <c r="DY65" s="1">
        <v>29.071000000000002</v>
      </c>
      <c r="DZ65" s="1">
        <v>6</v>
      </c>
      <c r="EA65" s="4" t="s">
        <v>282</v>
      </c>
      <c r="EB65" s="1">
        <v>5</v>
      </c>
      <c r="EC65" s="1">
        <v>64.73</v>
      </c>
      <c r="ED65" s="1">
        <v>82.384</v>
      </c>
      <c r="EE65" s="1">
        <v>84.320999999999998</v>
      </c>
      <c r="EF65" s="1">
        <v>5</v>
      </c>
      <c r="EG65" s="1">
        <v>1</v>
      </c>
      <c r="EH65" s="1">
        <v>6</v>
      </c>
      <c r="EI65" s="1">
        <v>22.024999999999999</v>
      </c>
      <c r="EJ65" s="1">
        <v>27.128</v>
      </c>
      <c r="EK65" s="1">
        <v>27.827999999999999</v>
      </c>
      <c r="EL65" s="1">
        <v>4</v>
      </c>
      <c r="EM65" s="1">
        <v>1</v>
      </c>
      <c r="EN65" s="1">
        <v>6</v>
      </c>
      <c r="EO65" s="1">
        <v>10.394</v>
      </c>
      <c r="EP65" s="1">
        <v>15.599</v>
      </c>
      <c r="EQ65" s="1">
        <v>16.638999999999999</v>
      </c>
      <c r="ER65" s="1">
        <v>2</v>
      </c>
      <c r="ES65" s="1">
        <v>5</v>
      </c>
      <c r="ET65" s="1">
        <v>5</v>
      </c>
      <c r="EU65" s="1">
        <v>10.599</v>
      </c>
      <c r="EV65" s="1">
        <v>18.024000000000001</v>
      </c>
      <c r="EW65" s="1">
        <v>19.265999999999998</v>
      </c>
      <c r="EX65" s="1">
        <v>6</v>
      </c>
      <c r="EY65" s="1">
        <v>2</v>
      </c>
      <c r="EZ65" s="1">
        <v>6</v>
      </c>
      <c r="FA65" s="1">
        <v>9.0139999999999993</v>
      </c>
      <c r="FB65" s="1">
        <v>17.87</v>
      </c>
      <c r="FC65" s="1">
        <v>19.096</v>
      </c>
      <c r="FD65" s="1">
        <v>6</v>
      </c>
      <c r="FE65" s="4" t="s">
        <v>282</v>
      </c>
      <c r="FF65" s="1">
        <v>5</v>
      </c>
      <c r="FG65" s="1">
        <v>16.135999999999999</v>
      </c>
      <c r="FH65" s="1">
        <v>35.006999999999998</v>
      </c>
      <c r="FI65" s="1">
        <v>35.033000000000001</v>
      </c>
      <c r="FJ65" s="1">
        <v>5</v>
      </c>
      <c r="FK65" s="1">
        <v>1</v>
      </c>
      <c r="FL65" s="1">
        <v>6</v>
      </c>
      <c r="FM65" s="1">
        <v>7.2110000000000003</v>
      </c>
      <c r="FN65" s="1">
        <v>10.816000000000001</v>
      </c>
      <c r="FO65" s="1">
        <v>11.804</v>
      </c>
      <c r="FP65" s="1">
        <v>3</v>
      </c>
      <c r="FQ65" s="4" t="s">
        <v>282</v>
      </c>
      <c r="FR65" s="1">
        <v>6</v>
      </c>
      <c r="FS65" s="1">
        <v>14.955</v>
      </c>
      <c r="FT65" s="1">
        <v>26.143999999999998</v>
      </c>
      <c r="FU65" s="1">
        <v>26.716000000000001</v>
      </c>
      <c r="FV65" s="1">
        <v>4</v>
      </c>
      <c r="FW65" s="1">
        <v>2</v>
      </c>
      <c r="FX65" s="1">
        <v>5</v>
      </c>
      <c r="FY65" s="1">
        <v>44.640999999999998</v>
      </c>
      <c r="FZ65" s="1">
        <v>51.783999999999999</v>
      </c>
      <c r="GA65" s="1">
        <v>52.7</v>
      </c>
      <c r="GB65" s="1">
        <v>8</v>
      </c>
      <c r="GC65" s="1">
        <v>1</v>
      </c>
      <c r="GD65" s="1">
        <v>6</v>
      </c>
      <c r="GE65" s="1">
        <v>23.896000000000001</v>
      </c>
      <c r="GF65" s="1">
        <v>63.317999999999998</v>
      </c>
      <c r="GG65" s="1">
        <v>67.144999999999996</v>
      </c>
      <c r="GH65" s="1">
        <v>8</v>
      </c>
      <c r="GI65" s="1">
        <v>2</v>
      </c>
      <c r="GJ65" s="1">
        <v>5</v>
      </c>
      <c r="GK65" s="1">
        <v>4.5039999999999996</v>
      </c>
      <c r="GL65" s="1">
        <v>26.753</v>
      </c>
      <c r="GM65" s="1">
        <v>28.523</v>
      </c>
      <c r="GN65" s="1">
        <v>5</v>
      </c>
      <c r="GO65" s="1">
        <v>2</v>
      </c>
      <c r="GP65" s="1">
        <v>6</v>
      </c>
      <c r="GQ65" s="1">
        <v>11.54</v>
      </c>
      <c r="GR65" s="1">
        <v>26.356000000000002</v>
      </c>
      <c r="GS65" s="1">
        <v>27.242999999999999</v>
      </c>
      <c r="GT65" s="1">
        <v>9</v>
      </c>
      <c r="GU65" s="1">
        <v>1</v>
      </c>
      <c r="GV65" s="1">
        <v>6</v>
      </c>
      <c r="GW65" s="1">
        <v>9.8209999999999997</v>
      </c>
      <c r="GX65" s="1">
        <v>18.492999999999999</v>
      </c>
      <c r="GY65" s="1">
        <v>19.762</v>
      </c>
      <c r="GZ65" s="1">
        <v>5</v>
      </c>
      <c r="HA65" s="1">
        <v>2</v>
      </c>
      <c r="HB65" s="1">
        <v>6</v>
      </c>
      <c r="HC65" s="1">
        <v>12.326000000000001</v>
      </c>
      <c r="HD65" s="1">
        <v>20.381</v>
      </c>
      <c r="HE65" s="1">
        <v>21.513999999999999</v>
      </c>
      <c r="HF65" s="1">
        <v>4</v>
      </c>
      <c r="HG65" s="4" t="s">
        <v>282</v>
      </c>
      <c r="HH65" s="1">
        <v>6</v>
      </c>
      <c r="HI65" s="1">
        <v>11.464</v>
      </c>
      <c r="HJ65" s="1">
        <v>19.352</v>
      </c>
      <c r="HK65" s="1">
        <v>20.366</v>
      </c>
      <c r="HL65" s="1">
        <v>6</v>
      </c>
      <c r="HM65" s="4" t="s">
        <v>1033</v>
      </c>
      <c r="HN65" s="4" t="s">
        <v>1034</v>
      </c>
      <c r="HO65" s="4" t="s">
        <v>1035</v>
      </c>
      <c r="HP65" s="4" t="s">
        <v>1036</v>
      </c>
      <c r="HQ65" s="4" t="s">
        <v>1037</v>
      </c>
      <c r="HR65" s="4" t="s">
        <v>1038</v>
      </c>
      <c r="HS65" s="4" t="s">
        <v>1039</v>
      </c>
      <c r="HT65" s="4" t="s">
        <v>434</v>
      </c>
      <c r="HU65" s="4" t="s">
        <v>1040</v>
      </c>
      <c r="HV65" s="4" t="s">
        <v>1041</v>
      </c>
      <c r="HW65" s="4" t="s">
        <v>282</v>
      </c>
      <c r="HX65" s="4" t="s">
        <v>282</v>
      </c>
      <c r="HY65" s="4" t="s">
        <v>312</v>
      </c>
      <c r="HZ65" s="4" t="s">
        <v>372</v>
      </c>
      <c r="IA65" s="4" t="s">
        <v>325</v>
      </c>
      <c r="IB65" s="4" t="s">
        <v>282</v>
      </c>
      <c r="IC65" s="4" t="s">
        <v>282</v>
      </c>
    </row>
    <row r="66" spans="1:237" x14ac:dyDescent="0.2">
      <c r="A66" s="3">
        <v>45749.181539351855</v>
      </c>
      <c r="B66" s="3">
        <v>45749.192233796297</v>
      </c>
      <c r="C66" s="1">
        <v>0</v>
      </c>
      <c r="D66" s="4" t="s">
        <v>1042</v>
      </c>
      <c r="E66" s="1">
        <v>100</v>
      </c>
      <c r="F66" s="1">
        <v>924</v>
      </c>
      <c r="G66" s="1">
        <v>1</v>
      </c>
      <c r="H66" s="3">
        <v>45749.192245520833</v>
      </c>
      <c r="I66" s="4" t="s">
        <v>1043</v>
      </c>
      <c r="J66" s="4" t="s">
        <v>282</v>
      </c>
      <c r="K66" s="4" t="s">
        <v>282</v>
      </c>
      <c r="L66" s="4" t="s">
        <v>282</v>
      </c>
      <c r="M66" s="4" t="s">
        <v>282</v>
      </c>
      <c r="N66" s="1">
        <v>53.518500000000003</v>
      </c>
      <c r="O66" s="1">
        <v>-113.6579</v>
      </c>
      <c r="P66" s="4" t="s">
        <v>283</v>
      </c>
      <c r="Q66" s="4" t="s">
        <v>284</v>
      </c>
      <c r="R66" s="1">
        <v>0.89999997615814209</v>
      </c>
      <c r="S66" s="1">
        <v>1</v>
      </c>
      <c r="T66" s="1">
        <v>1</v>
      </c>
      <c r="U66" s="1">
        <v>1</v>
      </c>
      <c r="V66" s="1">
        <v>1</v>
      </c>
      <c r="W66" s="1">
        <v>8</v>
      </c>
      <c r="X66" s="4" t="s">
        <v>1298</v>
      </c>
      <c r="Y66" s="1">
        <v>5</v>
      </c>
      <c r="Z66" s="1">
        <v>5</v>
      </c>
      <c r="AA66" s="1">
        <v>1</v>
      </c>
      <c r="AB66" s="1">
        <v>1</v>
      </c>
      <c r="AC66" s="1">
        <v>1</v>
      </c>
      <c r="AD66" s="1">
        <v>7</v>
      </c>
      <c r="AE66" s="1">
        <v>7.6070000000000002</v>
      </c>
      <c r="AF66" s="1">
        <v>10.941000000000001</v>
      </c>
      <c r="AG66" s="1">
        <v>11.641</v>
      </c>
      <c r="AH66" s="1">
        <v>4</v>
      </c>
      <c r="AI66" s="1">
        <v>4</v>
      </c>
      <c r="AJ66" s="1">
        <v>6</v>
      </c>
      <c r="AK66" s="1">
        <v>5.9640000000000004</v>
      </c>
      <c r="AL66" s="1">
        <v>9.3979999999999997</v>
      </c>
      <c r="AM66" s="1">
        <v>9.9499999999999993</v>
      </c>
      <c r="AN66" s="1">
        <v>6</v>
      </c>
      <c r="AO66" s="1">
        <v>4</v>
      </c>
      <c r="AP66" s="1">
        <v>6</v>
      </c>
      <c r="AQ66" s="1">
        <v>7.7960000000000003</v>
      </c>
      <c r="AR66" s="1">
        <v>13.015000000000001</v>
      </c>
      <c r="AS66" s="1">
        <v>13.978999999999999</v>
      </c>
      <c r="AT66" s="1">
        <v>7</v>
      </c>
      <c r="AU66" s="1">
        <v>5</v>
      </c>
      <c r="AV66" s="1">
        <v>6</v>
      </c>
      <c r="AW66" s="1">
        <v>10.683</v>
      </c>
      <c r="AX66" s="1">
        <v>14.837</v>
      </c>
      <c r="AY66" s="1">
        <v>15.648999999999999</v>
      </c>
      <c r="AZ66" s="1">
        <v>6</v>
      </c>
      <c r="BA66" s="1">
        <v>5</v>
      </c>
      <c r="BB66" s="1">
        <v>4</v>
      </c>
      <c r="BC66" s="1">
        <v>11.894</v>
      </c>
      <c r="BD66" s="1">
        <v>24.997</v>
      </c>
      <c r="BE66" s="1">
        <v>25.797000000000001</v>
      </c>
      <c r="BF66" s="1">
        <v>5</v>
      </c>
      <c r="BG66" s="1">
        <v>1</v>
      </c>
      <c r="BH66" s="1">
        <v>5</v>
      </c>
      <c r="BI66" s="1">
        <v>7.6150000000000002</v>
      </c>
      <c r="BJ66" s="1">
        <v>23.280999999999999</v>
      </c>
      <c r="BK66" s="1">
        <v>23.952999999999999</v>
      </c>
      <c r="BL66" s="1">
        <v>9</v>
      </c>
      <c r="BM66" s="1">
        <v>2</v>
      </c>
      <c r="BN66" s="1">
        <v>6</v>
      </c>
      <c r="BO66" s="1">
        <v>7.649</v>
      </c>
      <c r="BP66" s="1">
        <v>11.815</v>
      </c>
      <c r="BQ66" s="1">
        <v>12.446999999999999</v>
      </c>
      <c r="BR66" s="1">
        <v>4</v>
      </c>
      <c r="BS66" s="1">
        <v>2</v>
      </c>
      <c r="BT66" s="1">
        <v>5</v>
      </c>
      <c r="BU66" s="1">
        <v>11.792</v>
      </c>
      <c r="BV66" s="1">
        <v>23.542999999999999</v>
      </c>
      <c r="BW66" s="1">
        <v>24.358000000000001</v>
      </c>
      <c r="BX66" s="1">
        <v>6</v>
      </c>
      <c r="BY66" s="1">
        <v>5</v>
      </c>
      <c r="BZ66" s="1">
        <v>5</v>
      </c>
      <c r="CA66" s="1">
        <v>6.8620000000000001</v>
      </c>
      <c r="CB66" s="1">
        <v>15.144</v>
      </c>
      <c r="CC66" s="1">
        <v>16.067</v>
      </c>
      <c r="CD66" s="1">
        <v>6</v>
      </c>
      <c r="CE66" s="1">
        <v>3</v>
      </c>
      <c r="CF66" s="1">
        <v>7</v>
      </c>
      <c r="CG66" s="1">
        <v>10.201000000000001</v>
      </c>
      <c r="CH66" s="1">
        <v>14.786</v>
      </c>
      <c r="CI66" s="1">
        <v>16.635999999999999</v>
      </c>
      <c r="CJ66" s="1">
        <v>6</v>
      </c>
      <c r="CK66" s="1">
        <v>1</v>
      </c>
      <c r="CL66" s="1">
        <v>6</v>
      </c>
      <c r="CM66" s="1">
        <v>7.4749999999999996</v>
      </c>
      <c r="CN66" s="1">
        <v>12.39</v>
      </c>
      <c r="CO66" s="1">
        <v>13.446</v>
      </c>
      <c r="CP66" s="1">
        <v>6</v>
      </c>
      <c r="CQ66" s="1">
        <v>4</v>
      </c>
      <c r="CR66" s="1">
        <v>7</v>
      </c>
      <c r="CS66" s="1">
        <v>6.3650000000000002</v>
      </c>
      <c r="CT66" s="1">
        <v>12.417999999999999</v>
      </c>
      <c r="CU66" s="1">
        <v>13.282999999999999</v>
      </c>
      <c r="CV66" s="1">
        <v>6</v>
      </c>
      <c r="CW66" s="1">
        <v>2</v>
      </c>
      <c r="CX66" s="1">
        <v>7</v>
      </c>
      <c r="CY66" s="1">
        <v>7.3259999999999996</v>
      </c>
      <c r="CZ66" s="1">
        <v>19.794</v>
      </c>
      <c r="DA66" s="1">
        <v>20.626000000000001</v>
      </c>
      <c r="DB66" s="1">
        <v>7</v>
      </c>
      <c r="DC66" s="1">
        <v>5</v>
      </c>
      <c r="DD66" s="1">
        <v>7</v>
      </c>
      <c r="DE66" s="1">
        <v>6.5659999999999998</v>
      </c>
      <c r="DF66" s="1">
        <v>10.099</v>
      </c>
      <c r="DG66" s="1">
        <v>10.972</v>
      </c>
      <c r="DH66" s="1">
        <v>6</v>
      </c>
      <c r="DI66" s="1">
        <v>3</v>
      </c>
      <c r="DJ66" s="1">
        <v>7</v>
      </c>
      <c r="DK66" s="1">
        <v>7.0279999999999996</v>
      </c>
      <c r="DL66" s="1">
        <v>9.8290000000000006</v>
      </c>
      <c r="DM66" s="1">
        <v>10.62</v>
      </c>
      <c r="DN66" s="1">
        <v>5</v>
      </c>
      <c r="DO66" s="1">
        <v>1</v>
      </c>
      <c r="DP66" s="1">
        <v>6</v>
      </c>
      <c r="DQ66" s="1">
        <v>7.8250000000000002</v>
      </c>
      <c r="DR66" s="1">
        <v>10.525</v>
      </c>
      <c r="DS66" s="1">
        <v>11.201000000000001</v>
      </c>
      <c r="DT66" s="1">
        <v>4</v>
      </c>
      <c r="DU66" s="1">
        <v>4</v>
      </c>
      <c r="DV66" s="1">
        <v>6</v>
      </c>
      <c r="DW66" s="1">
        <v>5.9829999999999997</v>
      </c>
      <c r="DX66" s="1">
        <v>11.067</v>
      </c>
      <c r="DY66" s="1">
        <v>11.789</v>
      </c>
      <c r="DZ66" s="1">
        <v>5</v>
      </c>
      <c r="EA66" s="1">
        <v>1</v>
      </c>
      <c r="EB66" s="1">
        <v>5</v>
      </c>
      <c r="EC66" s="1">
        <v>8.2789999999999999</v>
      </c>
      <c r="ED66" s="1">
        <v>16.629000000000001</v>
      </c>
      <c r="EE66" s="1">
        <v>17.734999999999999</v>
      </c>
      <c r="EF66" s="1">
        <v>6</v>
      </c>
      <c r="EG66" s="1">
        <v>3</v>
      </c>
      <c r="EH66" s="1">
        <v>5</v>
      </c>
      <c r="EI66" s="1">
        <v>9.9269999999999996</v>
      </c>
      <c r="EJ66" s="1">
        <v>20.012</v>
      </c>
      <c r="EK66" s="1">
        <v>21.727</v>
      </c>
      <c r="EL66" s="1">
        <v>5</v>
      </c>
      <c r="EM66" s="1">
        <v>3</v>
      </c>
      <c r="EN66" s="1">
        <v>7</v>
      </c>
      <c r="EO66" s="1">
        <v>8.7149999999999999</v>
      </c>
      <c r="EP66" s="1">
        <v>11.448</v>
      </c>
      <c r="EQ66" s="1">
        <v>12.263999999999999</v>
      </c>
      <c r="ER66" s="1">
        <v>5</v>
      </c>
      <c r="ES66" s="1">
        <v>1</v>
      </c>
      <c r="ET66" s="1">
        <v>7</v>
      </c>
      <c r="EU66" s="1">
        <v>6.6660000000000004</v>
      </c>
      <c r="EV66" s="1">
        <v>9.7059999999999995</v>
      </c>
      <c r="EW66" s="1">
        <v>10.462</v>
      </c>
      <c r="EX66" s="1">
        <v>6</v>
      </c>
      <c r="EY66" s="1">
        <v>2</v>
      </c>
      <c r="EZ66" s="1">
        <v>7</v>
      </c>
      <c r="FA66" s="1">
        <v>6.9009999999999998</v>
      </c>
      <c r="FB66" s="1">
        <v>9.1679999999999993</v>
      </c>
      <c r="FC66" s="1">
        <v>10.387</v>
      </c>
      <c r="FD66" s="1">
        <v>2</v>
      </c>
      <c r="FE66" s="1">
        <v>5</v>
      </c>
      <c r="FF66" s="1">
        <v>7</v>
      </c>
      <c r="FG66" s="1">
        <v>5.6139999999999999</v>
      </c>
      <c r="FH66" s="1">
        <v>9.6980000000000004</v>
      </c>
      <c r="FI66" s="1">
        <v>10.855</v>
      </c>
      <c r="FJ66" s="1">
        <v>6</v>
      </c>
      <c r="FK66" s="1">
        <v>1</v>
      </c>
      <c r="FL66" s="1">
        <v>7</v>
      </c>
      <c r="FM66" s="1">
        <v>5.524</v>
      </c>
      <c r="FN66" s="1">
        <v>9.5220000000000002</v>
      </c>
      <c r="FO66" s="1">
        <v>9.9009999999999998</v>
      </c>
      <c r="FP66" s="1">
        <v>6</v>
      </c>
      <c r="FQ66" s="1">
        <v>2</v>
      </c>
      <c r="FR66" s="1">
        <v>7</v>
      </c>
      <c r="FS66" s="1">
        <v>5.835</v>
      </c>
      <c r="FT66" s="1">
        <v>8.5790000000000006</v>
      </c>
      <c r="FU66" s="1">
        <v>9.3160000000000007</v>
      </c>
      <c r="FV66" s="1">
        <v>2</v>
      </c>
      <c r="FW66" s="1">
        <v>5</v>
      </c>
      <c r="FX66" s="1">
        <v>7</v>
      </c>
      <c r="FY66" s="1">
        <v>5.3630000000000004</v>
      </c>
      <c r="FZ66" s="1">
        <v>8.08</v>
      </c>
      <c r="GA66" s="1">
        <v>9.3010000000000002</v>
      </c>
      <c r="GB66" s="1">
        <v>5</v>
      </c>
      <c r="GC66" s="1">
        <v>1</v>
      </c>
      <c r="GD66" s="1">
        <v>7</v>
      </c>
      <c r="GE66" s="1">
        <v>7</v>
      </c>
      <c r="GF66" s="1">
        <v>9.0709999999999997</v>
      </c>
      <c r="GG66" s="1">
        <v>9.7579999999999991</v>
      </c>
      <c r="GH66" s="1">
        <v>4</v>
      </c>
      <c r="GI66" s="1">
        <v>2</v>
      </c>
      <c r="GJ66" s="1">
        <v>7</v>
      </c>
      <c r="GK66" s="1">
        <v>8.6669999999999998</v>
      </c>
      <c r="GL66" s="1">
        <v>14.000999999999999</v>
      </c>
      <c r="GM66" s="1">
        <v>14.792</v>
      </c>
      <c r="GN66" s="1">
        <v>4</v>
      </c>
      <c r="GO66" s="1">
        <v>5</v>
      </c>
      <c r="GP66" s="1">
        <v>7</v>
      </c>
      <c r="GQ66" s="1">
        <v>4.4420000000000002</v>
      </c>
      <c r="GR66" s="1">
        <v>6.694</v>
      </c>
      <c r="GS66" s="1">
        <v>8.7449999999999992</v>
      </c>
      <c r="GT66" s="1">
        <v>4</v>
      </c>
      <c r="GU66" s="1">
        <v>1</v>
      </c>
      <c r="GV66" s="1">
        <v>7</v>
      </c>
      <c r="GW66" s="1">
        <v>5.4260000000000002</v>
      </c>
      <c r="GX66" s="1">
        <v>7.5970000000000004</v>
      </c>
      <c r="GY66" s="1">
        <v>8.8179999999999996</v>
      </c>
      <c r="GZ66" s="1">
        <v>5</v>
      </c>
      <c r="HA66" s="1">
        <v>2</v>
      </c>
      <c r="HB66" s="1">
        <v>7</v>
      </c>
      <c r="HC66" s="1">
        <v>6.8289999999999997</v>
      </c>
      <c r="HD66" s="1">
        <v>12.445</v>
      </c>
      <c r="HE66" s="1">
        <v>12.986000000000001</v>
      </c>
      <c r="HF66" s="1">
        <v>6</v>
      </c>
      <c r="HG66" s="1">
        <v>1</v>
      </c>
      <c r="HH66" s="1">
        <v>7</v>
      </c>
      <c r="HI66" s="1">
        <v>5.9269999999999996</v>
      </c>
      <c r="HJ66" s="1">
        <v>9.2810000000000006</v>
      </c>
      <c r="HK66" s="1">
        <v>10.6</v>
      </c>
      <c r="HL66" s="1">
        <v>3</v>
      </c>
      <c r="HM66" s="4" t="s">
        <v>1045</v>
      </c>
      <c r="HN66" s="4" t="s">
        <v>1046</v>
      </c>
      <c r="HO66" s="4" t="s">
        <v>1047</v>
      </c>
      <c r="HP66" s="4" t="s">
        <v>1048</v>
      </c>
      <c r="HQ66" s="4" t="s">
        <v>1049</v>
      </c>
      <c r="HR66" s="4" t="s">
        <v>1050</v>
      </c>
      <c r="HS66" s="4" t="s">
        <v>1051</v>
      </c>
      <c r="HT66" s="4" t="s">
        <v>1052</v>
      </c>
      <c r="HU66" s="4" t="s">
        <v>1053</v>
      </c>
      <c r="HV66" s="4" t="s">
        <v>1054</v>
      </c>
      <c r="HW66" s="4" t="s">
        <v>282</v>
      </c>
      <c r="HX66" s="4" t="s">
        <v>282</v>
      </c>
      <c r="HY66" s="4" t="s">
        <v>312</v>
      </c>
      <c r="HZ66" s="4" t="s">
        <v>372</v>
      </c>
      <c r="IA66" s="4" t="s">
        <v>325</v>
      </c>
      <c r="IB66" s="4" t="s">
        <v>282</v>
      </c>
      <c r="IC66" s="4" t="s">
        <v>282</v>
      </c>
    </row>
    <row r="67" spans="1:237" x14ac:dyDescent="0.2">
      <c r="A67" s="3">
        <v>45749.180405092593</v>
      </c>
      <c r="B67" s="3">
        <v>45749.192812499998</v>
      </c>
      <c r="C67" s="1">
        <v>0</v>
      </c>
      <c r="D67" s="4" t="s">
        <v>1055</v>
      </c>
      <c r="E67" s="1">
        <v>100</v>
      </c>
      <c r="F67" s="1">
        <v>1072</v>
      </c>
      <c r="G67" s="1">
        <v>1</v>
      </c>
      <c r="H67" s="3">
        <v>45749.19282527778</v>
      </c>
      <c r="I67" s="4" t="s">
        <v>1056</v>
      </c>
      <c r="J67" s="4" t="s">
        <v>282</v>
      </c>
      <c r="K67" s="4" t="s">
        <v>282</v>
      </c>
      <c r="L67" s="4" t="s">
        <v>282</v>
      </c>
      <c r="M67" s="4" t="s">
        <v>282</v>
      </c>
      <c r="N67" s="1">
        <v>-33.494</v>
      </c>
      <c r="O67" s="1">
        <v>143.21039999999999</v>
      </c>
      <c r="P67" s="4" t="s">
        <v>283</v>
      </c>
      <c r="Q67" s="4" t="s">
        <v>284</v>
      </c>
      <c r="R67" s="1">
        <v>0.89999997615814209</v>
      </c>
      <c r="S67" s="1">
        <v>1</v>
      </c>
      <c r="T67" s="1">
        <v>1</v>
      </c>
      <c r="U67" s="1">
        <v>1</v>
      </c>
      <c r="V67" s="1">
        <v>1</v>
      </c>
      <c r="W67" s="1">
        <v>4</v>
      </c>
      <c r="X67" s="4" t="s">
        <v>497</v>
      </c>
      <c r="Y67" s="1">
        <v>5</v>
      </c>
      <c r="Z67" s="1">
        <v>2</v>
      </c>
      <c r="AA67" s="1">
        <v>2</v>
      </c>
      <c r="AB67" s="1">
        <v>2</v>
      </c>
      <c r="AC67" s="1">
        <v>1</v>
      </c>
      <c r="AD67" s="1">
        <v>6</v>
      </c>
      <c r="AE67" s="1">
        <v>7.6029999999999998</v>
      </c>
      <c r="AF67" s="1">
        <v>9.2140000000000004</v>
      </c>
      <c r="AG67" s="1">
        <v>10.321999999999999</v>
      </c>
      <c r="AH67" s="1">
        <v>2</v>
      </c>
      <c r="AI67" s="1">
        <v>2</v>
      </c>
      <c r="AJ67" s="1">
        <v>6</v>
      </c>
      <c r="AK67" s="1">
        <v>9.4489999999999998</v>
      </c>
      <c r="AL67" s="1">
        <v>11.558999999999999</v>
      </c>
      <c r="AM67" s="1">
        <v>12.678000000000001</v>
      </c>
      <c r="AN67" s="1">
        <v>2</v>
      </c>
      <c r="AO67" s="1">
        <v>2</v>
      </c>
      <c r="AP67" s="1">
        <v>6</v>
      </c>
      <c r="AQ67" s="1">
        <v>7.3529999999999998</v>
      </c>
      <c r="AR67" s="1">
        <v>9.9440000000000008</v>
      </c>
      <c r="AS67" s="1">
        <v>11.090999999999999</v>
      </c>
      <c r="AT67" s="1">
        <v>3</v>
      </c>
      <c r="AU67" s="1">
        <v>5</v>
      </c>
      <c r="AV67" s="1">
        <v>6</v>
      </c>
      <c r="AW67" s="1">
        <v>9.8539999999999992</v>
      </c>
      <c r="AX67" s="1">
        <v>12.207000000000001</v>
      </c>
      <c r="AY67" s="1">
        <v>13.337999999999999</v>
      </c>
      <c r="AZ67" s="1">
        <v>2</v>
      </c>
      <c r="BA67" s="1">
        <v>5</v>
      </c>
      <c r="BB67" s="1">
        <v>5</v>
      </c>
      <c r="BC67" s="1">
        <v>6.7990000000000004</v>
      </c>
      <c r="BD67" s="1">
        <v>11.611000000000001</v>
      </c>
      <c r="BE67" s="1">
        <v>12.721</v>
      </c>
      <c r="BF67" s="1">
        <v>3</v>
      </c>
      <c r="BG67" s="1">
        <v>1</v>
      </c>
      <c r="BH67" s="1">
        <v>5</v>
      </c>
      <c r="BI67" s="1">
        <v>9.734</v>
      </c>
      <c r="BJ67" s="1">
        <v>11.455</v>
      </c>
      <c r="BK67" s="1">
        <v>12.432</v>
      </c>
      <c r="BL67" s="1">
        <v>2</v>
      </c>
      <c r="BM67" s="1">
        <v>2</v>
      </c>
      <c r="BN67" s="1">
        <v>7</v>
      </c>
      <c r="BO67" s="1">
        <v>7.41</v>
      </c>
      <c r="BP67" s="1">
        <v>8.8740000000000006</v>
      </c>
      <c r="BQ67" s="1">
        <v>9.8650000000000002</v>
      </c>
      <c r="BR67" s="1">
        <v>2</v>
      </c>
      <c r="BS67" s="1">
        <v>4</v>
      </c>
      <c r="BT67" s="1">
        <v>5</v>
      </c>
      <c r="BU67" s="1">
        <v>7.093</v>
      </c>
      <c r="BV67" s="1">
        <v>8.6790000000000003</v>
      </c>
      <c r="BW67" s="1">
        <v>9.7910000000000004</v>
      </c>
      <c r="BX67" s="1">
        <v>2</v>
      </c>
      <c r="BY67" s="1">
        <v>5</v>
      </c>
      <c r="BZ67" s="1">
        <v>6</v>
      </c>
      <c r="CA67" s="1">
        <v>8.32</v>
      </c>
      <c r="CB67" s="1">
        <v>10.78</v>
      </c>
      <c r="CC67" s="1">
        <v>11.959</v>
      </c>
      <c r="CD67" s="1">
        <v>2</v>
      </c>
      <c r="CE67" s="1">
        <v>3</v>
      </c>
      <c r="CF67" s="1">
        <v>6</v>
      </c>
      <c r="CG67" s="1">
        <v>6.8550000000000004</v>
      </c>
      <c r="CH67" s="1">
        <v>8.6999999999999993</v>
      </c>
      <c r="CI67" s="1">
        <v>9.6880000000000006</v>
      </c>
      <c r="CJ67" s="1">
        <v>2</v>
      </c>
      <c r="CK67" s="1">
        <v>1</v>
      </c>
      <c r="CL67" s="1">
        <v>6</v>
      </c>
      <c r="CM67" s="1">
        <v>7.492</v>
      </c>
      <c r="CN67" s="1">
        <v>8.9120000000000008</v>
      </c>
      <c r="CO67" s="1">
        <v>10.07</v>
      </c>
      <c r="CP67" s="1">
        <v>2</v>
      </c>
      <c r="CQ67" s="1">
        <v>2</v>
      </c>
      <c r="CR67" s="1">
        <v>6</v>
      </c>
      <c r="CS67" s="1">
        <v>12.926</v>
      </c>
      <c r="CT67" s="1">
        <v>14.464</v>
      </c>
      <c r="CU67" s="1">
        <v>15.637</v>
      </c>
      <c r="CV67" s="1">
        <v>2</v>
      </c>
      <c r="CW67" s="4" t="s">
        <v>282</v>
      </c>
      <c r="CX67" s="1">
        <v>4</v>
      </c>
      <c r="CY67" s="1">
        <v>14.427</v>
      </c>
      <c r="CZ67" s="1">
        <v>16.364000000000001</v>
      </c>
      <c r="DA67" s="1">
        <v>18.866</v>
      </c>
      <c r="DB67" s="1">
        <v>2</v>
      </c>
      <c r="DC67" s="1">
        <v>5</v>
      </c>
      <c r="DD67" s="1">
        <v>5</v>
      </c>
      <c r="DE67" s="1">
        <v>9.4860000000000007</v>
      </c>
      <c r="DF67" s="1">
        <v>10.734</v>
      </c>
      <c r="DG67" s="1">
        <v>11.884</v>
      </c>
      <c r="DH67" s="1">
        <v>2</v>
      </c>
      <c r="DI67" s="1">
        <v>3</v>
      </c>
      <c r="DJ67" s="1">
        <v>6</v>
      </c>
      <c r="DK67" s="1">
        <v>8.1649999999999991</v>
      </c>
      <c r="DL67" s="1">
        <v>12.476000000000001</v>
      </c>
      <c r="DM67" s="1">
        <v>13.512</v>
      </c>
      <c r="DN67" s="1">
        <v>3</v>
      </c>
      <c r="DO67" s="1">
        <v>1</v>
      </c>
      <c r="DP67" s="1">
        <v>6</v>
      </c>
      <c r="DQ67" s="1">
        <v>1.302</v>
      </c>
      <c r="DR67" s="1">
        <v>12.811</v>
      </c>
      <c r="DS67" s="1">
        <v>13.929</v>
      </c>
      <c r="DT67" s="1">
        <v>4</v>
      </c>
      <c r="DU67" s="1">
        <v>2</v>
      </c>
      <c r="DV67" s="1">
        <v>7</v>
      </c>
      <c r="DW67" s="1">
        <v>8.9320000000000004</v>
      </c>
      <c r="DX67" s="1">
        <v>10.782</v>
      </c>
      <c r="DY67" s="1">
        <v>12.301</v>
      </c>
      <c r="DZ67" s="1">
        <v>2</v>
      </c>
      <c r="EA67" s="1">
        <v>4</v>
      </c>
      <c r="EB67" s="1">
        <v>4</v>
      </c>
      <c r="EC67" s="1">
        <v>21.588000000000001</v>
      </c>
      <c r="ED67" s="1">
        <v>25.628</v>
      </c>
      <c r="EE67" s="1">
        <v>26.803000000000001</v>
      </c>
      <c r="EF67" s="1">
        <v>3</v>
      </c>
      <c r="EG67" s="1">
        <v>5</v>
      </c>
      <c r="EH67" s="1">
        <v>5</v>
      </c>
      <c r="EI67" s="1">
        <v>9.8219999999999992</v>
      </c>
      <c r="EJ67" s="1">
        <v>10.878</v>
      </c>
      <c r="EK67" s="1">
        <v>12.045</v>
      </c>
      <c r="EL67" s="1">
        <v>2</v>
      </c>
      <c r="EM67" s="1">
        <v>1</v>
      </c>
      <c r="EN67" s="1">
        <v>5</v>
      </c>
      <c r="EO67" s="1">
        <v>12.212</v>
      </c>
      <c r="EP67" s="1">
        <v>13.603</v>
      </c>
      <c r="EQ67" s="1">
        <v>14.503</v>
      </c>
      <c r="ER67" s="1">
        <v>2</v>
      </c>
      <c r="ES67" s="1">
        <v>1</v>
      </c>
      <c r="ET67" s="1">
        <v>5</v>
      </c>
      <c r="EU67" s="1">
        <v>8.5350000000000001</v>
      </c>
      <c r="EV67" s="1">
        <v>12.096</v>
      </c>
      <c r="EW67" s="1">
        <v>13.273999999999999</v>
      </c>
      <c r="EX67" s="1">
        <v>2</v>
      </c>
      <c r="EY67" s="1">
        <v>2</v>
      </c>
      <c r="EZ67" s="1">
        <v>6</v>
      </c>
      <c r="FA67" s="1">
        <v>9.3680000000000003</v>
      </c>
      <c r="FB67" s="1">
        <v>11.128</v>
      </c>
      <c r="FC67" s="1">
        <v>12.156000000000001</v>
      </c>
      <c r="FD67" s="1">
        <v>2</v>
      </c>
      <c r="FE67" s="1">
        <v>5</v>
      </c>
      <c r="FF67" s="1">
        <v>7</v>
      </c>
      <c r="FG67" s="1">
        <v>10.927</v>
      </c>
      <c r="FH67" s="1">
        <v>12.497999999999999</v>
      </c>
      <c r="FI67" s="1">
        <v>14.801</v>
      </c>
      <c r="FJ67" s="1">
        <v>2</v>
      </c>
      <c r="FK67" s="1">
        <v>1</v>
      </c>
      <c r="FL67" s="1">
        <v>7</v>
      </c>
      <c r="FM67" s="1">
        <v>6.12</v>
      </c>
      <c r="FN67" s="1">
        <v>9.0549999999999997</v>
      </c>
      <c r="FO67" s="1">
        <v>10.166</v>
      </c>
      <c r="FP67" s="1">
        <v>2</v>
      </c>
      <c r="FQ67" s="1">
        <v>2</v>
      </c>
      <c r="FR67" s="1">
        <v>6</v>
      </c>
      <c r="FS67" s="1">
        <v>7.383</v>
      </c>
      <c r="FT67" s="1">
        <v>9.5549999999999997</v>
      </c>
      <c r="FU67" s="1">
        <v>11.010999999999999</v>
      </c>
      <c r="FV67" s="1">
        <v>2</v>
      </c>
      <c r="FW67" s="1">
        <v>5</v>
      </c>
      <c r="FX67" s="1">
        <v>7</v>
      </c>
      <c r="FY67" s="1">
        <v>10.786</v>
      </c>
      <c r="FZ67" s="1">
        <v>13.138</v>
      </c>
      <c r="GA67" s="1">
        <v>14.082000000000001</v>
      </c>
      <c r="GB67" s="1">
        <v>2</v>
      </c>
      <c r="GC67" s="1">
        <v>1</v>
      </c>
      <c r="GD67" s="1">
        <v>6</v>
      </c>
      <c r="GE67" s="1">
        <v>10.066000000000001</v>
      </c>
      <c r="GF67" s="1">
        <v>18.09</v>
      </c>
      <c r="GG67" s="1">
        <v>19.295999999999999</v>
      </c>
      <c r="GH67" s="1">
        <v>5</v>
      </c>
      <c r="GI67" s="1">
        <v>2</v>
      </c>
      <c r="GJ67" s="1">
        <v>6</v>
      </c>
      <c r="GK67" s="1">
        <v>8.5779999999999994</v>
      </c>
      <c r="GL67" s="1">
        <v>10.807</v>
      </c>
      <c r="GM67" s="1">
        <v>12.231</v>
      </c>
      <c r="GN67" s="1">
        <v>2</v>
      </c>
      <c r="GO67" s="1">
        <v>5</v>
      </c>
      <c r="GP67" s="1">
        <v>6</v>
      </c>
      <c r="GQ67" s="1">
        <v>7.24</v>
      </c>
      <c r="GR67" s="1">
        <v>12.746</v>
      </c>
      <c r="GS67" s="1">
        <v>13.846</v>
      </c>
      <c r="GT67" s="1">
        <v>2</v>
      </c>
      <c r="GU67" s="1">
        <v>1</v>
      </c>
      <c r="GV67" s="1">
        <v>5</v>
      </c>
      <c r="GW67" s="1">
        <v>8.9830000000000005</v>
      </c>
      <c r="GX67" s="1">
        <v>10.609</v>
      </c>
      <c r="GY67" s="1">
        <v>13.311999999999999</v>
      </c>
      <c r="GZ67" s="1">
        <v>2</v>
      </c>
      <c r="HA67" s="1">
        <v>2</v>
      </c>
      <c r="HB67" s="1">
        <v>6</v>
      </c>
      <c r="HC67" s="1">
        <v>8.4610000000000003</v>
      </c>
      <c r="HD67" s="1">
        <v>11.823</v>
      </c>
      <c r="HE67" s="1">
        <v>13.066000000000001</v>
      </c>
      <c r="HF67" s="1">
        <v>2</v>
      </c>
      <c r="HG67" s="1">
        <v>5</v>
      </c>
      <c r="HH67" s="1">
        <v>6</v>
      </c>
      <c r="HI67" s="1">
        <v>8.9849999999999994</v>
      </c>
      <c r="HJ67" s="1">
        <v>13.635</v>
      </c>
      <c r="HK67" s="1">
        <v>14.771000000000001</v>
      </c>
      <c r="HL67" s="1">
        <v>2</v>
      </c>
      <c r="HM67" s="4" t="s">
        <v>1057</v>
      </c>
      <c r="HN67" s="4" t="s">
        <v>1058</v>
      </c>
      <c r="HO67" s="4" t="s">
        <v>1059</v>
      </c>
      <c r="HP67" s="4" t="s">
        <v>1058</v>
      </c>
      <c r="HQ67" s="4" t="s">
        <v>1060</v>
      </c>
      <c r="HR67" s="4" t="s">
        <v>1061</v>
      </c>
      <c r="HS67" s="4" t="s">
        <v>1062</v>
      </c>
      <c r="HT67" s="4" t="s">
        <v>1058</v>
      </c>
      <c r="HU67" s="4" t="s">
        <v>1063</v>
      </c>
      <c r="HV67" s="4" t="s">
        <v>1058</v>
      </c>
      <c r="HW67" s="4" t="s">
        <v>1064</v>
      </c>
      <c r="HX67" s="4" t="s">
        <v>1065</v>
      </c>
      <c r="HY67" s="4" t="s">
        <v>312</v>
      </c>
      <c r="HZ67" s="4" t="s">
        <v>356</v>
      </c>
      <c r="IA67" s="4" t="s">
        <v>313</v>
      </c>
      <c r="IB67" s="4" t="s">
        <v>282</v>
      </c>
      <c r="IC67" s="4" t="s">
        <v>282</v>
      </c>
    </row>
    <row r="68" spans="1:237" x14ac:dyDescent="0.2">
      <c r="A68" s="3">
        <v>45749.190613425926</v>
      </c>
      <c r="B68" s="3">
        <v>45749.208240740743</v>
      </c>
      <c r="C68" s="1">
        <v>0</v>
      </c>
      <c r="D68" s="4" t="s">
        <v>616</v>
      </c>
      <c r="E68" s="1">
        <v>100</v>
      </c>
      <c r="F68" s="1">
        <v>1522</v>
      </c>
      <c r="G68" s="1">
        <v>1</v>
      </c>
      <c r="H68" s="3">
        <v>45749.208258935185</v>
      </c>
      <c r="I68" s="4" t="s">
        <v>1066</v>
      </c>
      <c r="J68" s="4" t="s">
        <v>282</v>
      </c>
      <c r="K68" s="4" t="s">
        <v>282</v>
      </c>
      <c r="L68" s="4" t="s">
        <v>282</v>
      </c>
      <c r="M68" s="4" t="s">
        <v>282</v>
      </c>
      <c r="N68" s="1">
        <v>50.926499999999997</v>
      </c>
      <c r="O68" s="1">
        <v>-113.9725</v>
      </c>
      <c r="P68" s="4" t="s">
        <v>283</v>
      </c>
      <c r="Q68" s="4" t="s">
        <v>284</v>
      </c>
      <c r="R68" s="1">
        <v>0.89999997615814209</v>
      </c>
      <c r="S68" s="1">
        <v>1</v>
      </c>
      <c r="T68" s="1">
        <v>1</v>
      </c>
      <c r="U68" s="1">
        <v>1</v>
      </c>
      <c r="V68" s="1">
        <v>1</v>
      </c>
      <c r="W68" s="1">
        <v>11</v>
      </c>
      <c r="X68" s="4" t="s">
        <v>1299</v>
      </c>
      <c r="Y68" s="1">
        <v>5</v>
      </c>
      <c r="Z68" s="1">
        <v>1</v>
      </c>
      <c r="AA68" s="1">
        <v>2</v>
      </c>
      <c r="AB68" s="1">
        <v>2</v>
      </c>
      <c r="AC68" s="1">
        <v>1</v>
      </c>
      <c r="AD68" s="1">
        <v>5</v>
      </c>
      <c r="AE68" s="1">
        <v>11.297000000000001</v>
      </c>
      <c r="AF68" s="1">
        <v>13.773</v>
      </c>
      <c r="AG68" s="1">
        <v>15.297000000000001</v>
      </c>
      <c r="AH68" s="1">
        <v>2</v>
      </c>
      <c r="AI68" s="1">
        <v>4</v>
      </c>
      <c r="AJ68" s="1">
        <v>5</v>
      </c>
      <c r="AK68" s="1">
        <v>17.648</v>
      </c>
      <c r="AL68" s="1">
        <v>19.026</v>
      </c>
      <c r="AM68" s="1">
        <v>20.454000000000001</v>
      </c>
      <c r="AN68" s="1">
        <v>2</v>
      </c>
      <c r="AO68" s="1">
        <v>4</v>
      </c>
      <c r="AP68" s="1">
        <v>6</v>
      </c>
      <c r="AQ68" s="1">
        <v>10.507999999999999</v>
      </c>
      <c r="AR68" s="1">
        <v>14.112</v>
      </c>
      <c r="AS68" s="1">
        <v>14.86</v>
      </c>
      <c r="AT68" s="1">
        <v>2</v>
      </c>
      <c r="AU68" s="1">
        <v>5</v>
      </c>
      <c r="AV68" s="1">
        <v>5</v>
      </c>
      <c r="AW68" s="1">
        <v>11.473000000000001</v>
      </c>
      <c r="AX68" s="1">
        <v>13.736000000000001</v>
      </c>
      <c r="AY68" s="1">
        <v>15.276</v>
      </c>
      <c r="AZ68" s="1">
        <v>2</v>
      </c>
      <c r="BA68" s="1">
        <v>5</v>
      </c>
      <c r="BB68" s="1">
        <v>6</v>
      </c>
      <c r="BC68" s="1">
        <v>13.827999999999999</v>
      </c>
      <c r="BD68" s="1">
        <v>16.68</v>
      </c>
      <c r="BE68" s="1">
        <v>18.878</v>
      </c>
      <c r="BF68" s="1">
        <v>3</v>
      </c>
      <c r="BG68" s="1">
        <v>1</v>
      </c>
      <c r="BH68" s="1">
        <v>5</v>
      </c>
      <c r="BI68" s="1">
        <v>31.385000000000002</v>
      </c>
      <c r="BJ68" s="1">
        <v>34.625</v>
      </c>
      <c r="BK68" s="1">
        <v>35.896999999999998</v>
      </c>
      <c r="BL68" s="1">
        <v>2</v>
      </c>
      <c r="BM68" s="1">
        <v>2</v>
      </c>
      <c r="BN68" s="1">
        <v>4</v>
      </c>
      <c r="BO68" s="1">
        <v>13.978999999999999</v>
      </c>
      <c r="BP68" s="1">
        <v>17.035</v>
      </c>
      <c r="BQ68" s="1">
        <v>18.440999999999999</v>
      </c>
      <c r="BR68" s="1">
        <v>2</v>
      </c>
      <c r="BS68" s="1">
        <v>3</v>
      </c>
      <c r="BT68" s="1">
        <v>3</v>
      </c>
      <c r="BU68" s="1">
        <v>34.308</v>
      </c>
      <c r="BV68" s="1">
        <v>35.706000000000003</v>
      </c>
      <c r="BW68" s="1">
        <v>37.043999999999997</v>
      </c>
      <c r="BX68" s="1">
        <v>2</v>
      </c>
      <c r="BY68" s="1">
        <v>5</v>
      </c>
      <c r="BZ68" s="1">
        <v>5</v>
      </c>
      <c r="CA68" s="1">
        <v>12.45</v>
      </c>
      <c r="CB68" s="1">
        <v>13.964</v>
      </c>
      <c r="CC68" s="1">
        <v>17.788</v>
      </c>
      <c r="CD68" s="1">
        <v>2</v>
      </c>
      <c r="CE68" s="1">
        <v>3</v>
      </c>
      <c r="CF68" s="1">
        <v>5</v>
      </c>
      <c r="CG68" s="1">
        <v>17.100999999999999</v>
      </c>
      <c r="CH68" s="1">
        <v>30.838000000000001</v>
      </c>
      <c r="CI68" s="1">
        <v>32.398000000000003</v>
      </c>
      <c r="CJ68" s="1">
        <v>2</v>
      </c>
      <c r="CK68" s="1">
        <v>1</v>
      </c>
      <c r="CL68" s="1">
        <v>6</v>
      </c>
      <c r="CM68" s="1">
        <v>11.106</v>
      </c>
      <c r="CN68" s="1">
        <v>13.169</v>
      </c>
      <c r="CO68" s="1">
        <v>16.875</v>
      </c>
      <c r="CP68" s="1">
        <v>2</v>
      </c>
      <c r="CQ68" s="1">
        <v>4</v>
      </c>
      <c r="CR68" s="1">
        <v>5</v>
      </c>
      <c r="CS68" s="1">
        <v>12.345000000000001</v>
      </c>
      <c r="CT68" s="1">
        <v>17.466999999999999</v>
      </c>
      <c r="CU68" s="1">
        <v>18.619</v>
      </c>
      <c r="CV68" s="1">
        <v>3</v>
      </c>
      <c r="CW68" s="1">
        <v>3</v>
      </c>
      <c r="CX68" s="1">
        <v>3</v>
      </c>
      <c r="CY68" s="1">
        <v>18.07</v>
      </c>
      <c r="CZ68" s="1">
        <v>20.11</v>
      </c>
      <c r="DA68" s="1">
        <v>21.628</v>
      </c>
      <c r="DB68" s="1">
        <v>2</v>
      </c>
      <c r="DC68" s="1">
        <v>5</v>
      </c>
      <c r="DD68" s="1">
        <v>6</v>
      </c>
      <c r="DE68" s="1">
        <v>11.759</v>
      </c>
      <c r="DF68" s="1">
        <v>17.983000000000001</v>
      </c>
      <c r="DG68" s="1">
        <v>20.832999999999998</v>
      </c>
      <c r="DH68" s="1">
        <v>3</v>
      </c>
      <c r="DI68" s="1">
        <v>1</v>
      </c>
      <c r="DJ68" s="1">
        <v>6</v>
      </c>
      <c r="DK68" s="1">
        <v>10.667</v>
      </c>
      <c r="DL68" s="1">
        <v>13.859</v>
      </c>
      <c r="DM68" s="1">
        <v>15.347</v>
      </c>
      <c r="DN68" s="1">
        <v>2</v>
      </c>
      <c r="DO68" s="1">
        <v>1</v>
      </c>
      <c r="DP68" s="1">
        <v>5</v>
      </c>
      <c r="DQ68" s="1">
        <v>11.329000000000001</v>
      </c>
      <c r="DR68" s="1">
        <v>14.951000000000001</v>
      </c>
      <c r="DS68" s="1">
        <v>15.794</v>
      </c>
      <c r="DT68" s="1">
        <v>2</v>
      </c>
      <c r="DU68" s="1">
        <v>2</v>
      </c>
      <c r="DV68" s="1">
        <v>4</v>
      </c>
      <c r="DW68" s="1">
        <v>11.663</v>
      </c>
      <c r="DX68" s="1">
        <v>14.662000000000001</v>
      </c>
      <c r="DY68" s="1">
        <v>16.094999999999999</v>
      </c>
      <c r="DZ68" s="1">
        <v>3</v>
      </c>
      <c r="EA68" s="1">
        <v>2</v>
      </c>
      <c r="EB68" s="1">
        <v>4</v>
      </c>
      <c r="EC68" s="1">
        <v>36.823</v>
      </c>
      <c r="ED68" s="1">
        <v>47.191000000000003</v>
      </c>
      <c r="EE68" s="1">
        <v>49.268999999999998</v>
      </c>
      <c r="EF68" s="1">
        <v>2</v>
      </c>
      <c r="EG68" s="1">
        <v>5</v>
      </c>
      <c r="EH68" s="1">
        <v>6</v>
      </c>
      <c r="EI68" s="1">
        <v>12.731999999999999</v>
      </c>
      <c r="EJ68" s="1">
        <v>15.327999999999999</v>
      </c>
      <c r="EK68" s="1">
        <v>16.834</v>
      </c>
      <c r="EL68" s="1">
        <v>2</v>
      </c>
      <c r="EM68" s="1">
        <v>3</v>
      </c>
      <c r="EN68" s="1">
        <v>5</v>
      </c>
      <c r="EO68" s="1">
        <v>15.842000000000001</v>
      </c>
      <c r="EP68" s="1">
        <v>17.948</v>
      </c>
      <c r="EQ68" s="1">
        <v>20.446000000000002</v>
      </c>
      <c r="ER68" s="1">
        <v>2</v>
      </c>
      <c r="ES68" s="1">
        <v>1</v>
      </c>
      <c r="ET68" s="1">
        <v>5</v>
      </c>
      <c r="EU68" s="1">
        <v>13.843999999999999</v>
      </c>
      <c r="EV68" s="1">
        <v>25.245000000000001</v>
      </c>
      <c r="EW68" s="1">
        <v>25.65</v>
      </c>
      <c r="EX68" s="1">
        <v>5</v>
      </c>
      <c r="EY68" s="1">
        <v>2</v>
      </c>
      <c r="EZ68" s="1">
        <v>7</v>
      </c>
      <c r="FA68" s="1">
        <v>24.446999999999999</v>
      </c>
      <c r="FB68" s="1">
        <v>26.35</v>
      </c>
      <c r="FC68" s="1">
        <v>27.667000000000002</v>
      </c>
      <c r="FD68" s="1">
        <v>2</v>
      </c>
      <c r="FE68" s="1">
        <v>5</v>
      </c>
      <c r="FF68" s="1">
        <v>6</v>
      </c>
      <c r="FG68" s="1">
        <v>12.63</v>
      </c>
      <c r="FH68" s="1">
        <v>14.114000000000001</v>
      </c>
      <c r="FI68" s="1">
        <v>15.4</v>
      </c>
      <c r="FJ68" s="1">
        <v>2</v>
      </c>
      <c r="FK68" s="1">
        <v>1</v>
      </c>
      <c r="FL68" s="1">
        <v>7</v>
      </c>
      <c r="FM68" s="1">
        <v>12.444000000000001</v>
      </c>
      <c r="FN68" s="1">
        <v>14.055999999999999</v>
      </c>
      <c r="FO68" s="1">
        <v>14.973000000000001</v>
      </c>
      <c r="FP68" s="1">
        <v>2</v>
      </c>
      <c r="FQ68" s="1">
        <v>2</v>
      </c>
      <c r="FR68" s="1">
        <v>6</v>
      </c>
      <c r="FS68" s="1">
        <v>10.45</v>
      </c>
      <c r="FT68" s="1">
        <v>12.762</v>
      </c>
      <c r="FU68" s="1">
        <v>15.952</v>
      </c>
      <c r="FV68" s="1">
        <v>3</v>
      </c>
      <c r="FW68" s="1">
        <v>5</v>
      </c>
      <c r="FX68" s="1">
        <v>7</v>
      </c>
      <c r="FY68" s="1">
        <v>14.28</v>
      </c>
      <c r="FZ68" s="1">
        <v>20.216999999999999</v>
      </c>
      <c r="GA68" s="1">
        <v>26.35</v>
      </c>
      <c r="GB68" s="1">
        <v>2</v>
      </c>
      <c r="GC68" s="1">
        <v>1</v>
      </c>
      <c r="GD68" s="1">
        <v>6</v>
      </c>
      <c r="GE68" s="1">
        <v>10.795</v>
      </c>
      <c r="GF68" s="1">
        <v>13.430999999999999</v>
      </c>
      <c r="GG68" s="1">
        <v>15.051</v>
      </c>
      <c r="GH68" s="1">
        <v>2</v>
      </c>
      <c r="GI68" s="1">
        <v>2</v>
      </c>
      <c r="GJ68" s="1">
        <v>5</v>
      </c>
      <c r="GK68" s="1">
        <v>11.967000000000001</v>
      </c>
      <c r="GL68" s="1">
        <v>14.061</v>
      </c>
      <c r="GM68" s="1">
        <v>15.750999999999999</v>
      </c>
      <c r="GN68" s="1">
        <v>2</v>
      </c>
      <c r="GO68" s="1">
        <v>5</v>
      </c>
      <c r="GP68" s="1">
        <v>6</v>
      </c>
      <c r="GQ68" s="1">
        <v>12.473000000000001</v>
      </c>
      <c r="GR68" s="1">
        <v>14.686999999999999</v>
      </c>
      <c r="GS68" s="1">
        <v>16.61</v>
      </c>
      <c r="GT68" s="1">
        <v>2</v>
      </c>
      <c r="GU68" s="1">
        <v>1</v>
      </c>
      <c r="GV68" s="1">
        <v>6</v>
      </c>
      <c r="GW68" s="1">
        <v>15.233000000000001</v>
      </c>
      <c r="GX68" s="1">
        <v>22.172000000000001</v>
      </c>
      <c r="GY68" s="1">
        <v>23.341999999999999</v>
      </c>
      <c r="GZ68" s="1">
        <v>2</v>
      </c>
      <c r="HA68" s="1">
        <v>2</v>
      </c>
      <c r="HB68" s="1">
        <v>6</v>
      </c>
      <c r="HC68" s="1">
        <v>14.19</v>
      </c>
      <c r="HD68" s="1">
        <v>21.544</v>
      </c>
      <c r="HE68" s="1">
        <v>23.265000000000001</v>
      </c>
      <c r="HF68" s="1">
        <v>2</v>
      </c>
      <c r="HG68" s="1">
        <v>1</v>
      </c>
      <c r="HH68" s="1">
        <v>4</v>
      </c>
      <c r="HI68" s="1">
        <v>11.54</v>
      </c>
      <c r="HJ68" s="1">
        <v>14.8</v>
      </c>
      <c r="HK68" s="1">
        <v>18.713999999999999</v>
      </c>
      <c r="HL68" s="1">
        <v>2</v>
      </c>
      <c r="HM68" s="4" t="s">
        <v>1068</v>
      </c>
      <c r="HN68" s="4" t="s">
        <v>1069</v>
      </c>
      <c r="HO68" s="4" t="s">
        <v>1070</v>
      </c>
      <c r="HP68" s="4" t="s">
        <v>1071</v>
      </c>
      <c r="HQ68" s="4" t="s">
        <v>1070</v>
      </c>
      <c r="HR68" s="4" t="s">
        <v>1072</v>
      </c>
      <c r="HS68" s="4" t="s">
        <v>693</v>
      </c>
      <c r="HT68" s="4" t="s">
        <v>1073</v>
      </c>
      <c r="HU68" s="4" t="s">
        <v>1074</v>
      </c>
      <c r="HV68" s="4" t="s">
        <v>1075</v>
      </c>
      <c r="HW68" s="4" t="s">
        <v>1076</v>
      </c>
      <c r="HX68" s="4" t="s">
        <v>1077</v>
      </c>
      <c r="HY68" s="4" t="s">
        <v>312</v>
      </c>
      <c r="HZ68" s="4" t="s">
        <v>356</v>
      </c>
      <c r="IA68" s="4" t="s">
        <v>313</v>
      </c>
      <c r="IB68" s="4" t="s">
        <v>282</v>
      </c>
      <c r="IC68" s="4" t="s">
        <v>282</v>
      </c>
    </row>
    <row r="69" spans="1:237" x14ac:dyDescent="0.2">
      <c r="A69" s="3">
        <v>45749.191458333335</v>
      </c>
      <c r="B69" s="3">
        <v>45749.219027777777</v>
      </c>
      <c r="C69" s="1">
        <v>0</v>
      </c>
      <c r="D69" s="4" t="s">
        <v>1078</v>
      </c>
      <c r="E69" s="1">
        <v>100</v>
      </c>
      <c r="F69" s="1">
        <v>2381</v>
      </c>
      <c r="G69" s="1">
        <v>1</v>
      </c>
      <c r="H69" s="3">
        <v>45749.21903641204</v>
      </c>
      <c r="I69" s="4" t="s">
        <v>1079</v>
      </c>
      <c r="J69" s="4" t="s">
        <v>282</v>
      </c>
      <c r="K69" s="4" t="s">
        <v>282</v>
      </c>
      <c r="L69" s="4" t="s">
        <v>282</v>
      </c>
      <c r="M69" s="4" t="s">
        <v>282</v>
      </c>
      <c r="N69" s="1">
        <v>51.156399999999998</v>
      </c>
      <c r="O69" s="1">
        <v>-114.0566</v>
      </c>
      <c r="P69" s="4" t="s">
        <v>283</v>
      </c>
      <c r="Q69" s="4" t="s">
        <v>284</v>
      </c>
      <c r="R69" s="1">
        <v>0.89999997615814209</v>
      </c>
      <c r="S69" s="1">
        <v>1</v>
      </c>
      <c r="T69" s="1">
        <v>1</v>
      </c>
      <c r="U69" s="1">
        <v>1</v>
      </c>
      <c r="V69" s="1">
        <v>1</v>
      </c>
      <c r="W69" s="1">
        <v>10</v>
      </c>
      <c r="X69" s="4" t="s">
        <v>1295</v>
      </c>
      <c r="Y69" s="1">
        <v>5</v>
      </c>
      <c r="Z69" s="1">
        <v>1</v>
      </c>
      <c r="AA69" s="1">
        <v>1</v>
      </c>
      <c r="AB69" s="1">
        <v>1</v>
      </c>
      <c r="AC69" s="1">
        <v>1</v>
      </c>
      <c r="AD69" s="1">
        <v>7</v>
      </c>
      <c r="AE69" s="1">
        <v>9.6910000000000007</v>
      </c>
      <c r="AF69" s="1">
        <v>11.875</v>
      </c>
      <c r="AG69" s="1">
        <v>13.061999999999999</v>
      </c>
      <c r="AH69" s="1">
        <v>2</v>
      </c>
      <c r="AI69" s="1">
        <v>4</v>
      </c>
      <c r="AJ69" s="1">
        <v>7</v>
      </c>
      <c r="AK69" s="1">
        <v>9.8919999999999995</v>
      </c>
      <c r="AL69" s="1">
        <v>11.699</v>
      </c>
      <c r="AM69" s="1">
        <v>13.196999999999999</v>
      </c>
      <c r="AN69" s="1">
        <v>2</v>
      </c>
      <c r="AO69" s="1">
        <v>4</v>
      </c>
      <c r="AP69" s="1">
        <v>7</v>
      </c>
      <c r="AQ69" s="1">
        <v>5.4</v>
      </c>
      <c r="AR69" s="1">
        <v>6.8179999999999996</v>
      </c>
      <c r="AS69" s="1">
        <v>11.247999999999999</v>
      </c>
      <c r="AT69" s="1">
        <v>2</v>
      </c>
      <c r="AU69" s="1">
        <v>5</v>
      </c>
      <c r="AV69" s="1">
        <v>7</v>
      </c>
      <c r="AW69" s="1">
        <v>5.2350000000000003</v>
      </c>
      <c r="AX69" s="1">
        <v>8.6890000000000001</v>
      </c>
      <c r="AY69" s="1">
        <v>9.6470000000000002</v>
      </c>
      <c r="AZ69" s="1">
        <v>2</v>
      </c>
      <c r="BA69" s="1">
        <v>5</v>
      </c>
      <c r="BB69" s="1">
        <v>7</v>
      </c>
      <c r="BC69" s="1">
        <v>7.0620000000000003</v>
      </c>
      <c r="BD69" s="1">
        <v>9.73</v>
      </c>
      <c r="BE69" s="1">
        <v>11.407</v>
      </c>
      <c r="BF69" s="1">
        <v>2</v>
      </c>
      <c r="BG69" s="1">
        <v>1</v>
      </c>
      <c r="BH69" s="1">
        <v>6</v>
      </c>
      <c r="BI69" s="1">
        <v>12.347</v>
      </c>
      <c r="BJ69" s="1">
        <v>37.527000000000001</v>
      </c>
      <c r="BK69" s="1">
        <v>39.622</v>
      </c>
      <c r="BL69" s="1">
        <v>6</v>
      </c>
      <c r="BM69" s="1">
        <v>2</v>
      </c>
      <c r="BN69" s="1">
        <v>6</v>
      </c>
      <c r="BO69" s="1">
        <v>15.603</v>
      </c>
      <c r="BP69" s="1">
        <v>29.5</v>
      </c>
      <c r="BQ69" s="1">
        <v>31.599</v>
      </c>
      <c r="BR69" s="1">
        <v>2</v>
      </c>
      <c r="BS69" s="1">
        <v>3</v>
      </c>
      <c r="BT69" s="1">
        <v>6</v>
      </c>
      <c r="BU69" s="1">
        <v>20.420000000000002</v>
      </c>
      <c r="BV69" s="1">
        <v>26.585999999999999</v>
      </c>
      <c r="BW69" s="1">
        <v>69.924999999999997</v>
      </c>
      <c r="BX69" s="1">
        <v>2</v>
      </c>
      <c r="BY69" s="1">
        <v>5</v>
      </c>
      <c r="BZ69" s="1">
        <v>7</v>
      </c>
      <c r="CA69" s="1">
        <v>6.1859999999999999</v>
      </c>
      <c r="CB69" s="1">
        <v>7.4580000000000002</v>
      </c>
      <c r="CC69" s="1">
        <v>9.8510000000000009</v>
      </c>
      <c r="CD69" s="1">
        <v>2</v>
      </c>
      <c r="CE69" s="1">
        <v>3</v>
      </c>
      <c r="CF69" s="1">
        <v>7</v>
      </c>
      <c r="CG69" s="1">
        <v>14.819000000000001</v>
      </c>
      <c r="CH69" s="1">
        <v>24.05</v>
      </c>
      <c r="CI69" s="1">
        <v>28.55</v>
      </c>
      <c r="CJ69" s="1">
        <v>2</v>
      </c>
      <c r="CK69" s="1">
        <v>1</v>
      </c>
      <c r="CL69" s="1">
        <v>7</v>
      </c>
      <c r="CM69" s="1">
        <v>7.8840000000000003</v>
      </c>
      <c r="CN69" s="1">
        <v>10.358000000000001</v>
      </c>
      <c r="CO69" s="1">
        <v>11.255000000000001</v>
      </c>
      <c r="CP69" s="1">
        <v>2</v>
      </c>
      <c r="CQ69" s="1">
        <v>4</v>
      </c>
      <c r="CR69" s="1">
        <v>6</v>
      </c>
      <c r="CS69" s="1">
        <v>12.329000000000001</v>
      </c>
      <c r="CT69" s="1">
        <v>52.639000000000003</v>
      </c>
      <c r="CU69" s="1">
        <v>54.545999999999999</v>
      </c>
      <c r="CV69" s="1">
        <v>3</v>
      </c>
      <c r="CW69" s="1">
        <v>1</v>
      </c>
      <c r="CX69" s="1">
        <v>6</v>
      </c>
      <c r="CY69" s="1">
        <v>15.147</v>
      </c>
      <c r="CZ69" s="1">
        <v>16.888000000000002</v>
      </c>
      <c r="DA69" s="1">
        <v>20.475000000000001</v>
      </c>
      <c r="DB69" s="1">
        <v>2</v>
      </c>
      <c r="DC69" s="1">
        <v>5</v>
      </c>
      <c r="DD69" s="1">
        <v>7</v>
      </c>
      <c r="DE69" s="1">
        <v>7.7850000000000001</v>
      </c>
      <c r="DF69" s="1">
        <v>9.3699999999999992</v>
      </c>
      <c r="DG69" s="1">
        <v>12.012</v>
      </c>
      <c r="DH69" s="1">
        <v>2</v>
      </c>
      <c r="DI69" s="1">
        <v>5</v>
      </c>
      <c r="DJ69" s="1">
        <v>6</v>
      </c>
      <c r="DK69" s="1">
        <v>11.601000000000001</v>
      </c>
      <c r="DL69" s="1">
        <v>20.218</v>
      </c>
      <c r="DM69" s="1">
        <v>23.106000000000002</v>
      </c>
      <c r="DN69" s="1">
        <v>2</v>
      </c>
      <c r="DO69" s="1">
        <v>1</v>
      </c>
      <c r="DP69" s="1">
        <v>7</v>
      </c>
      <c r="DQ69" s="1">
        <v>5.5270000000000001</v>
      </c>
      <c r="DR69" s="1">
        <v>7.9939999999999998</v>
      </c>
      <c r="DS69" s="1">
        <v>9.3190000000000008</v>
      </c>
      <c r="DT69" s="1">
        <v>2</v>
      </c>
      <c r="DU69" s="1">
        <v>4</v>
      </c>
      <c r="DV69" s="1">
        <v>7</v>
      </c>
      <c r="DW69" s="1">
        <v>56.103999999999999</v>
      </c>
      <c r="DX69" s="1">
        <v>56.996000000000002</v>
      </c>
      <c r="DY69" s="1">
        <v>58.811999999999998</v>
      </c>
      <c r="DZ69" s="1">
        <v>2</v>
      </c>
      <c r="EA69" s="4" t="s">
        <v>282</v>
      </c>
      <c r="EB69" s="1">
        <v>4</v>
      </c>
      <c r="EC69" s="1">
        <v>45.77</v>
      </c>
      <c r="ED69" s="1">
        <v>51.664000000000001</v>
      </c>
      <c r="EE69" s="1">
        <v>53.75</v>
      </c>
      <c r="EF69" s="1">
        <v>2</v>
      </c>
      <c r="EG69" s="1">
        <v>5</v>
      </c>
      <c r="EH69" s="1">
        <v>6</v>
      </c>
      <c r="EI69" s="1">
        <v>12.436999999999999</v>
      </c>
      <c r="EJ69" s="1">
        <v>17.373999999999999</v>
      </c>
      <c r="EK69" s="1">
        <v>18.449000000000002</v>
      </c>
      <c r="EL69" s="1">
        <v>3</v>
      </c>
      <c r="EM69" s="1">
        <v>5</v>
      </c>
      <c r="EN69" s="1">
        <v>5</v>
      </c>
      <c r="EO69" s="1">
        <v>37.273000000000003</v>
      </c>
      <c r="EP69" s="1">
        <v>40.174999999999997</v>
      </c>
      <c r="EQ69" s="1">
        <v>42.709000000000003</v>
      </c>
      <c r="ER69" s="1">
        <v>2</v>
      </c>
      <c r="ES69" s="1">
        <v>1</v>
      </c>
      <c r="ET69" s="1">
        <v>5</v>
      </c>
      <c r="EU69" s="1">
        <v>6.984</v>
      </c>
      <c r="EV69" s="1">
        <v>10.903</v>
      </c>
      <c r="EW69" s="1">
        <v>12.154</v>
      </c>
      <c r="EX69" s="1">
        <v>2</v>
      </c>
      <c r="EY69" s="4" t="s">
        <v>282</v>
      </c>
      <c r="EZ69" s="1">
        <v>5</v>
      </c>
      <c r="FA69" s="1">
        <v>9.18</v>
      </c>
      <c r="FB69" s="1">
        <v>10.249000000000001</v>
      </c>
      <c r="FC69" s="1">
        <v>11.438000000000001</v>
      </c>
      <c r="FD69" s="1">
        <v>2</v>
      </c>
      <c r="FE69" s="4" t="s">
        <v>282</v>
      </c>
      <c r="FF69" s="1">
        <v>6</v>
      </c>
      <c r="FG69" s="1">
        <v>5.7960000000000003</v>
      </c>
      <c r="FH69" s="1">
        <v>10.183</v>
      </c>
      <c r="FI69" s="1">
        <v>11.3</v>
      </c>
      <c r="FJ69" s="1">
        <v>2</v>
      </c>
      <c r="FK69" s="1">
        <v>5</v>
      </c>
      <c r="FL69" s="1">
        <v>6</v>
      </c>
      <c r="FM69" s="1">
        <v>6.9550000000000001</v>
      </c>
      <c r="FN69" s="1">
        <v>8.7319999999999993</v>
      </c>
      <c r="FO69" s="1">
        <v>10.131</v>
      </c>
      <c r="FP69" s="1">
        <v>2</v>
      </c>
      <c r="FQ69" s="1">
        <v>2</v>
      </c>
      <c r="FR69" s="1">
        <v>5</v>
      </c>
      <c r="FS69" s="1">
        <v>8.4</v>
      </c>
      <c r="FT69" s="1">
        <v>13.086</v>
      </c>
      <c r="FU69" s="1">
        <v>15.462</v>
      </c>
      <c r="FV69" s="1">
        <v>2</v>
      </c>
      <c r="FW69" s="4" t="s">
        <v>282</v>
      </c>
      <c r="FX69" s="1">
        <v>5</v>
      </c>
      <c r="FY69" s="1">
        <v>11.166</v>
      </c>
      <c r="FZ69" s="1">
        <v>14.99</v>
      </c>
      <c r="GA69" s="1">
        <v>16.628</v>
      </c>
      <c r="GB69" s="1">
        <v>3</v>
      </c>
      <c r="GC69" s="1">
        <v>1</v>
      </c>
      <c r="GD69" s="1">
        <v>6</v>
      </c>
      <c r="GE69" s="1">
        <v>19.913</v>
      </c>
      <c r="GF69" s="1">
        <v>21.289000000000001</v>
      </c>
      <c r="GG69" s="1">
        <v>22.274000000000001</v>
      </c>
      <c r="GH69" s="1">
        <v>2</v>
      </c>
      <c r="GI69" s="1">
        <v>2</v>
      </c>
      <c r="GJ69" s="1">
        <v>5</v>
      </c>
      <c r="GK69" s="1">
        <v>17.594000000000001</v>
      </c>
      <c r="GL69" s="1">
        <v>20.134</v>
      </c>
      <c r="GM69" s="1">
        <v>21.448</v>
      </c>
      <c r="GN69" s="1">
        <v>2</v>
      </c>
      <c r="GO69" s="1">
        <v>5</v>
      </c>
      <c r="GP69" s="1">
        <v>5</v>
      </c>
      <c r="GQ69" s="1">
        <v>14.487</v>
      </c>
      <c r="GR69" s="1">
        <v>16.225999999999999</v>
      </c>
      <c r="GS69" s="1">
        <v>18.297999999999998</v>
      </c>
      <c r="GT69" s="1">
        <v>2</v>
      </c>
      <c r="GU69" s="1">
        <v>1</v>
      </c>
      <c r="GV69" s="1">
        <v>6</v>
      </c>
      <c r="GW69" s="1">
        <v>7.8630000000000004</v>
      </c>
      <c r="GX69" s="1">
        <v>9.9649999999999999</v>
      </c>
      <c r="GY69" s="1">
        <v>11.041</v>
      </c>
      <c r="GZ69" s="1">
        <v>2</v>
      </c>
      <c r="HA69" s="4" t="s">
        <v>282</v>
      </c>
      <c r="HB69" s="1">
        <v>5</v>
      </c>
      <c r="HC69" s="1">
        <v>8.5449999999999999</v>
      </c>
      <c r="HD69" s="1">
        <v>75.774000000000001</v>
      </c>
      <c r="HE69" s="1">
        <v>77.122</v>
      </c>
      <c r="HF69" s="1">
        <v>3</v>
      </c>
      <c r="HG69" s="1">
        <v>1</v>
      </c>
      <c r="HH69" s="1">
        <v>6</v>
      </c>
      <c r="HI69" s="1">
        <v>12.151999999999999</v>
      </c>
      <c r="HJ69" s="1">
        <v>16.856000000000002</v>
      </c>
      <c r="HK69" s="1">
        <v>17.298999999999999</v>
      </c>
      <c r="HL69" s="1">
        <v>3</v>
      </c>
      <c r="HM69" s="4" t="s">
        <v>1080</v>
      </c>
      <c r="HN69" s="4" t="s">
        <v>1081</v>
      </c>
      <c r="HO69" s="4" t="s">
        <v>1082</v>
      </c>
      <c r="HP69" s="4" t="s">
        <v>1082</v>
      </c>
      <c r="HQ69" s="4" t="s">
        <v>1083</v>
      </c>
      <c r="HR69" s="4" t="s">
        <v>1084</v>
      </c>
      <c r="HS69" s="4" t="s">
        <v>1085</v>
      </c>
      <c r="HT69" s="4" t="s">
        <v>1086</v>
      </c>
      <c r="HU69" s="4" t="s">
        <v>1087</v>
      </c>
      <c r="HV69" s="4" t="s">
        <v>1088</v>
      </c>
      <c r="HW69" s="4" t="s">
        <v>282</v>
      </c>
      <c r="HX69" s="4" t="s">
        <v>1089</v>
      </c>
      <c r="HY69" s="4" t="s">
        <v>312</v>
      </c>
      <c r="HZ69" s="4" t="s">
        <v>372</v>
      </c>
      <c r="IA69" s="4" t="s">
        <v>325</v>
      </c>
      <c r="IB69" s="4" t="s">
        <v>282</v>
      </c>
      <c r="IC69" s="4" t="s">
        <v>282</v>
      </c>
    </row>
    <row r="70" spans="1:237" x14ac:dyDescent="0.2">
      <c r="A70" s="3">
        <v>45749.257291666669</v>
      </c>
      <c r="B70" s="3">
        <v>45749.279675925929</v>
      </c>
      <c r="C70" s="1">
        <v>0</v>
      </c>
      <c r="D70" s="4" t="s">
        <v>1090</v>
      </c>
      <c r="E70" s="1">
        <v>100</v>
      </c>
      <c r="F70" s="1">
        <v>1934</v>
      </c>
      <c r="G70" s="1">
        <v>1</v>
      </c>
      <c r="H70" s="3">
        <v>45749.27969127315</v>
      </c>
      <c r="I70" s="4" t="s">
        <v>1091</v>
      </c>
      <c r="J70" s="4" t="s">
        <v>282</v>
      </c>
      <c r="K70" s="4" t="s">
        <v>282</v>
      </c>
      <c r="L70" s="4" t="s">
        <v>282</v>
      </c>
      <c r="M70" s="4" t="s">
        <v>282</v>
      </c>
      <c r="N70" s="1">
        <v>49.939900000000002</v>
      </c>
      <c r="O70" s="1">
        <v>-97.216800000000006</v>
      </c>
      <c r="P70" s="4" t="s">
        <v>283</v>
      </c>
      <c r="Q70" s="4" t="s">
        <v>284</v>
      </c>
      <c r="R70" s="1">
        <v>0.89999997615814209</v>
      </c>
      <c r="S70" s="1">
        <v>1</v>
      </c>
      <c r="T70" s="1">
        <v>1</v>
      </c>
      <c r="U70" s="1">
        <v>1</v>
      </c>
      <c r="V70" s="1">
        <v>1</v>
      </c>
      <c r="W70" s="1">
        <v>5</v>
      </c>
      <c r="X70" s="4" t="s">
        <v>1222</v>
      </c>
      <c r="Y70" s="1">
        <v>5</v>
      </c>
      <c r="Z70" s="1">
        <v>1</v>
      </c>
      <c r="AA70" s="1">
        <v>2</v>
      </c>
      <c r="AB70" s="1">
        <v>1</v>
      </c>
      <c r="AC70" s="1">
        <v>1</v>
      </c>
      <c r="AD70" s="1">
        <v>5</v>
      </c>
      <c r="AE70" s="1">
        <v>12.878</v>
      </c>
      <c r="AF70" s="1">
        <v>24.120999999999999</v>
      </c>
      <c r="AG70" s="1">
        <v>24.802</v>
      </c>
      <c r="AH70" s="1">
        <v>10</v>
      </c>
      <c r="AI70" s="1">
        <v>2</v>
      </c>
      <c r="AJ70" s="1">
        <v>5</v>
      </c>
      <c r="AK70" s="1">
        <v>7.9640000000000004</v>
      </c>
      <c r="AL70" s="1">
        <v>13.079000000000001</v>
      </c>
      <c r="AM70" s="1">
        <v>13.709</v>
      </c>
      <c r="AN70" s="1">
        <v>8</v>
      </c>
      <c r="AO70" s="1">
        <v>2</v>
      </c>
      <c r="AP70" s="1">
        <v>7</v>
      </c>
      <c r="AQ70" s="1">
        <v>10.599</v>
      </c>
      <c r="AR70" s="1">
        <v>15.43</v>
      </c>
      <c r="AS70" s="1">
        <v>16.161999999999999</v>
      </c>
      <c r="AT70" s="1">
        <v>7</v>
      </c>
      <c r="AU70" s="1">
        <v>5</v>
      </c>
      <c r="AV70" s="1">
        <v>7</v>
      </c>
      <c r="AW70" s="1">
        <v>13.500999999999999</v>
      </c>
      <c r="AX70" s="1">
        <v>17.516999999999999</v>
      </c>
      <c r="AY70" s="1">
        <v>17.905999999999999</v>
      </c>
      <c r="AZ70" s="1">
        <v>6</v>
      </c>
      <c r="BA70" s="1">
        <v>4</v>
      </c>
      <c r="BB70" s="1">
        <v>7</v>
      </c>
      <c r="BC70" s="1">
        <v>19.045999999999999</v>
      </c>
      <c r="BD70" s="1">
        <v>46.420999999999999</v>
      </c>
      <c r="BE70" s="1">
        <v>47.307000000000002</v>
      </c>
      <c r="BF70" s="1">
        <v>11</v>
      </c>
      <c r="BG70" s="1">
        <v>1</v>
      </c>
      <c r="BH70" s="1">
        <v>6</v>
      </c>
      <c r="BI70" s="1">
        <v>7.0949999999999998</v>
      </c>
      <c r="BJ70" s="1">
        <v>13.488</v>
      </c>
      <c r="BK70" s="1">
        <v>13.897</v>
      </c>
      <c r="BL70" s="1">
        <v>5</v>
      </c>
      <c r="BM70" s="1">
        <v>2</v>
      </c>
      <c r="BN70" s="1">
        <v>7</v>
      </c>
      <c r="BO70" s="1">
        <v>12.182</v>
      </c>
      <c r="BP70" s="1">
        <v>17.28</v>
      </c>
      <c r="BQ70" s="1">
        <v>17.745999999999999</v>
      </c>
      <c r="BR70" s="1">
        <v>6</v>
      </c>
      <c r="BS70" s="1">
        <v>5</v>
      </c>
      <c r="BT70" s="1">
        <v>6</v>
      </c>
      <c r="BU70" s="1">
        <v>8.0839999999999996</v>
      </c>
      <c r="BV70" s="1">
        <v>14.228999999999999</v>
      </c>
      <c r="BW70" s="1">
        <v>14.821</v>
      </c>
      <c r="BX70" s="1">
        <v>7</v>
      </c>
      <c r="BY70" s="1">
        <v>5</v>
      </c>
      <c r="BZ70" s="1">
        <v>6</v>
      </c>
      <c r="CA70" s="1">
        <v>15.420999999999999</v>
      </c>
      <c r="CB70" s="1">
        <v>18.414000000000001</v>
      </c>
      <c r="CC70" s="1">
        <v>19.321999999999999</v>
      </c>
      <c r="CD70" s="1">
        <v>6</v>
      </c>
      <c r="CE70" s="1">
        <v>3</v>
      </c>
      <c r="CF70" s="1">
        <v>6</v>
      </c>
      <c r="CG70" s="1">
        <v>18.565999999999999</v>
      </c>
      <c r="CH70" s="1">
        <v>35.96</v>
      </c>
      <c r="CI70" s="1">
        <v>36.918999999999997</v>
      </c>
      <c r="CJ70" s="1">
        <v>13</v>
      </c>
      <c r="CK70" s="1">
        <v>1</v>
      </c>
      <c r="CL70" s="1">
        <v>7</v>
      </c>
      <c r="CM70" s="1">
        <v>11.525</v>
      </c>
      <c r="CN70" s="1">
        <v>14.566000000000001</v>
      </c>
      <c r="CO70" s="1">
        <v>15.412000000000001</v>
      </c>
      <c r="CP70" s="1">
        <v>5</v>
      </c>
      <c r="CQ70" s="1">
        <v>2</v>
      </c>
      <c r="CR70" s="1">
        <v>7</v>
      </c>
      <c r="CS70" s="1">
        <v>16.27</v>
      </c>
      <c r="CT70" s="1">
        <v>42.713000000000001</v>
      </c>
      <c r="CU70" s="1">
        <v>43.628999999999998</v>
      </c>
      <c r="CV70" s="1">
        <v>12</v>
      </c>
      <c r="CW70" s="1">
        <v>5</v>
      </c>
      <c r="CX70" s="1">
        <v>5</v>
      </c>
      <c r="CY70" s="1">
        <v>12.945</v>
      </c>
      <c r="CZ70" s="1">
        <v>58.076000000000001</v>
      </c>
      <c r="DA70" s="1">
        <v>58.610999999999997</v>
      </c>
      <c r="DB70" s="1">
        <v>15</v>
      </c>
      <c r="DC70" s="1">
        <v>3</v>
      </c>
      <c r="DD70" s="1">
        <v>6</v>
      </c>
      <c r="DE70" s="1">
        <v>11.574999999999999</v>
      </c>
      <c r="DF70" s="1">
        <v>15.791</v>
      </c>
      <c r="DG70" s="1">
        <v>16.584</v>
      </c>
      <c r="DH70" s="1">
        <v>6</v>
      </c>
      <c r="DI70" s="1">
        <v>1</v>
      </c>
      <c r="DJ70" s="1">
        <v>6</v>
      </c>
      <c r="DK70" s="1">
        <v>13.981</v>
      </c>
      <c r="DL70" s="1">
        <v>25.094999999999999</v>
      </c>
      <c r="DM70" s="1">
        <v>25.529</v>
      </c>
      <c r="DN70" s="1">
        <v>7</v>
      </c>
      <c r="DO70" s="1">
        <v>1</v>
      </c>
      <c r="DP70" s="1">
        <v>6</v>
      </c>
      <c r="DQ70" s="1">
        <v>9.2889999999999997</v>
      </c>
      <c r="DR70" s="1">
        <v>27.353999999999999</v>
      </c>
      <c r="DS70" s="1">
        <v>27.542000000000002</v>
      </c>
      <c r="DT70" s="1">
        <v>10</v>
      </c>
      <c r="DU70" s="1">
        <v>4</v>
      </c>
      <c r="DV70" s="1">
        <v>5</v>
      </c>
      <c r="DW70" s="1">
        <v>12.833</v>
      </c>
      <c r="DX70" s="1">
        <v>23.032</v>
      </c>
      <c r="DY70" s="1">
        <v>23.637</v>
      </c>
      <c r="DZ70" s="1">
        <v>7</v>
      </c>
      <c r="EA70" s="1">
        <v>4</v>
      </c>
      <c r="EB70" s="1">
        <v>6</v>
      </c>
      <c r="EC70" s="1">
        <v>13.221</v>
      </c>
      <c r="ED70" s="1">
        <v>32.244</v>
      </c>
      <c r="EE70" s="1">
        <v>32.715000000000003</v>
      </c>
      <c r="EF70" s="1">
        <v>9</v>
      </c>
      <c r="EG70" s="1">
        <v>3</v>
      </c>
      <c r="EH70" s="1">
        <v>5</v>
      </c>
      <c r="EI70" s="1">
        <v>13.233000000000001</v>
      </c>
      <c r="EJ70" s="1">
        <v>21.710999999999999</v>
      </c>
      <c r="EK70" s="1">
        <v>22.440999999999999</v>
      </c>
      <c r="EL70" s="1">
        <v>10</v>
      </c>
      <c r="EM70" s="1">
        <v>1</v>
      </c>
      <c r="EN70" s="1">
        <v>6</v>
      </c>
      <c r="EO70" s="1">
        <v>13.183999999999999</v>
      </c>
      <c r="EP70" s="1">
        <v>18.47</v>
      </c>
      <c r="EQ70" s="1">
        <v>19.388000000000002</v>
      </c>
      <c r="ER70" s="1">
        <v>4</v>
      </c>
      <c r="ES70" s="1">
        <v>1</v>
      </c>
      <c r="ET70" s="1">
        <v>6</v>
      </c>
      <c r="EU70" s="1">
        <v>13.646000000000001</v>
      </c>
      <c r="EV70" s="1">
        <v>19.876999999999999</v>
      </c>
      <c r="EW70" s="1">
        <v>20.344000000000001</v>
      </c>
      <c r="EX70" s="1">
        <v>7</v>
      </c>
      <c r="EY70" s="1">
        <v>2</v>
      </c>
      <c r="EZ70" s="1">
        <v>7</v>
      </c>
      <c r="FA70" s="1">
        <v>6.9580000000000002</v>
      </c>
      <c r="FB70" s="1">
        <v>13.814</v>
      </c>
      <c r="FC70" s="1">
        <v>14.499000000000001</v>
      </c>
      <c r="FD70" s="1">
        <v>8</v>
      </c>
      <c r="FE70" s="1">
        <v>5</v>
      </c>
      <c r="FF70" s="1">
        <v>6</v>
      </c>
      <c r="FG70" s="1">
        <v>12.571999999999999</v>
      </c>
      <c r="FH70" s="1">
        <v>19.513999999999999</v>
      </c>
      <c r="FI70" s="1">
        <v>19.943000000000001</v>
      </c>
      <c r="FJ70" s="1">
        <v>6</v>
      </c>
      <c r="FK70" s="1">
        <v>1</v>
      </c>
      <c r="FL70" s="1">
        <v>7</v>
      </c>
      <c r="FM70" s="1">
        <v>7.1970000000000001</v>
      </c>
      <c r="FN70" s="1">
        <v>12.51</v>
      </c>
      <c r="FO70" s="1">
        <v>12.997999999999999</v>
      </c>
      <c r="FP70" s="1">
        <v>5</v>
      </c>
      <c r="FQ70" s="1">
        <v>2</v>
      </c>
      <c r="FR70" s="1">
        <v>7</v>
      </c>
      <c r="FS70" s="1">
        <v>9.65</v>
      </c>
      <c r="FT70" s="1">
        <v>15.581</v>
      </c>
      <c r="FU70" s="1">
        <v>16.056000000000001</v>
      </c>
      <c r="FV70" s="1">
        <v>6</v>
      </c>
      <c r="FW70" s="1">
        <v>5</v>
      </c>
      <c r="FX70" s="1">
        <v>7</v>
      </c>
      <c r="FY70" s="1">
        <v>13.106</v>
      </c>
      <c r="FZ70" s="1">
        <v>17.602</v>
      </c>
      <c r="GA70" s="1">
        <v>17.992000000000001</v>
      </c>
      <c r="GB70" s="1">
        <v>8</v>
      </c>
      <c r="GC70" s="1">
        <v>1</v>
      </c>
      <c r="GD70" s="1">
        <v>7</v>
      </c>
      <c r="GE70" s="1">
        <v>5.5229999999999997</v>
      </c>
      <c r="GF70" s="1">
        <v>21.123000000000001</v>
      </c>
      <c r="GG70" s="1">
        <v>21.64</v>
      </c>
      <c r="GH70" s="1">
        <v>7</v>
      </c>
      <c r="GI70" s="1">
        <v>2</v>
      </c>
      <c r="GJ70" s="1">
        <v>7</v>
      </c>
      <c r="GK70" s="1">
        <v>28.669</v>
      </c>
      <c r="GL70" s="1">
        <v>42.924999999999997</v>
      </c>
      <c r="GM70" s="1">
        <v>43.387999999999998</v>
      </c>
      <c r="GN70" s="1">
        <v>7</v>
      </c>
      <c r="GO70" s="1">
        <v>5</v>
      </c>
      <c r="GP70" s="1">
        <v>6</v>
      </c>
      <c r="GQ70" s="1">
        <v>15.637</v>
      </c>
      <c r="GR70" s="1">
        <v>24.446000000000002</v>
      </c>
      <c r="GS70" s="1">
        <v>25.114000000000001</v>
      </c>
      <c r="GT70" s="1">
        <v>10</v>
      </c>
      <c r="GU70" s="1">
        <v>1</v>
      </c>
      <c r="GV70" s="1">
        <v>7</v>
      </c>
      <c r="GW70" s="1">
        <v>8.1790000000000003</v>
      </c>
      <c r="GX70" s="1">
        <v>13.805999999999999</v>
      </c>
      <c r="GY70" s="1">
        <v>14.425000000000001</v>
      </c>
      <c r="GZ70" s="1">
        <v>7</v>
      </c>
      <c r="HA70" s="1">
        <v>2</v>
      </c>
      <c r="HB70" s="1">
        <v>7</v>
      </c>
      <c r="HC70" s="1">
        <v>31.013000000000002</v>
      </c>
      <c r="HD70" s="1">
        <v>45.212000000000003</v>
      </c>
      <c r="HE70" s="1">
        <v>45.923999999999999</v>
      </c>
      <c r="HF70" s="1">
        <v>11</v>
      </c>
      <c r="HG70" s="1">
        <v>2</v>
      </c>
      <c r="HH70" s="1">
        <v>6</v>
      </c>
      <c r="HI70" s="1">
        <v>6.9850000000000003</v>
      </c>
      <c r="HJ70" s="1">
        <v>11.439</v>
      </c>
      <c r="HK70" s="1">
        <v>12.093</v>
      </c>
      <c r="HL70" s="1">
        <v>5</v>
      </c>
      <c r="HM70" s="4" t="s">
        <v>1092</v>
      </c>
      <c r="HN70" s="4" t="s">
        <v>1093</v>
      </c>
      <c r="HO70" s="4" t="s">
        <v>1094</v>
      </c>
      <c r="HP70" s="4" t="s">
        <v>1095</v>
      </c>
      <c r="HQ70" s="4" t="s">
        <v>1096</v>
      </c>
      <c r="HR70" s="4" t="s">
        <v>1097</v>
      </c>
      <c r="HS70" s="4" t="s">
        <v>1098</v>
      </c>
      <c r="HT70" s="4" t="s">
        <v>1099</v>
      </c>
      <c r="HU70" s="4" t="s">
        <v>1100</v>
      </c>
      <c r="HV70" s="4" t="s">
        <v>1101</v>
      </c>
      <c r="HW70" s="4" t="s">
        <v>1102</v>
      </c>
      <c r="HX70" s="4" t="s">
        <v>282</v>
      </c>
      <c r="HY70" s="4" t="s">
        <v>312</v>
      </c>
      <c r="HZ70" s="4" t="s">
        <v>372</v>
      </c>
      <c r="IA70" s="4" t="s">
        <v>325</v>
      </c>
      <c r="IB70" s="4" t="s">
        <v>282</v>
      </c>
      <c r="IC70" s="4" t="s">
        <v>282</v>
      </c>
    </row>
    <row r="71" spans="1:237" x14ac:dyDescent="0.2">
      <c r="A71" s="3">
        <v>45749.312685185185</v>
      </c>
      <c r="B71" s="3">
        <v>45749.33289351852</v>
      </c>
      <c r="C71" s="1">
        <v>0</v>
      </c>
      <c r="D71" s="4" t="s">
        <v>1103</v>
      </c>
      <c r="E71" s="1">
        <v>100</v>
      </c>
      <c r="F71" s="1">
        <v>1746</v>
      </c>
      <c r="G71" s="1">
        <v>1</v>
      </c>
      <c r="H71" s="3">
        <v>45749.332909710647</v>
      </c>
      <c r="I71" s="4" t="s">
        <v>1104</v>
      </c>
      <c r="J71" s="4" t="s">
        <v>282</v>
      </c>
      <c r="K71" s="4" t="s">
        <v>282</v>
      </c>
      <c r="L71" s="4" t="s">
        <v>282</v>
      </c>
      <c r="M71" s="4" t="s">
        <v>282</v>
      </c>
      <c r="N71" s="1">
        <v>39.018000000000001</v>
      </c>
      <c r="O71" s="1">
        <v>-77.539000000000001</v>
      </c>
      <c r="P71" s="4" t="s">
        <v>283</v>
      </c>
      <c r="Q71" s="4" t="s">
        <v>284</v>
      </c>
      <c r="R71" s="1">
        <v>1</v>
      </c>
      <c r="S71" s="1">
        <v>1</v>
      </c>
      <c r="T71" s="1">
        <v>1</v>
      </c>
      <c r="U71" s="1">
        <v>1</v>
      </c>
      <c r="V71" s="1">
        <v>1</v>
      </c>
      <c r="W71" s="1">
        <v>12</v>
      </c>
      <c r="X71" s="4" t="s">
        <v>497</v>
      </c>
      <c r="Y71" s="1">
        <v>5</v>
      </c>
      <c r="Z71" s="1">
        <v>1</v>
      </c>
      <c r="AA71" s="1">
        <v>1</v>
      </c>
      <c r="AB71" s="1">
        <v>2</v>
      </c>
      <c r="AC71" s="1">
        <v>5</v>
      </c>
      <c r="AD71" s="1">
        <v>5</v>
      </c>
      <c r="AE71" s="1">
        <v>3.2869999999999999</v>
      </c>
      <c r="AF71" s="1">
        <v>29.634</v>
      </c>
      <c r="AG71" s="1">
        <v>30.984000000000002</v>
      </c>
      <c r="AH71" s="1">
        <v>11</v>
      </c>
      <c r="AI71" s="1">
        <v>4</v>
      </c>
      <c r="AJ71" s="1">
        <v>5</v>
      </c>
      <c r="AK71" s="1">
        <v>2.7639999999999998</v>
      </c>
      <c r="AL71" s="1">
        <v>17.721</v>
      </c>
      <c r="AM71" s="1">
        <v>18.155999999999999</v>
      </c>
      <c r="AN71" s="1">
        <v>10</v>
      </c>
      <c r="AO71" s="1">
        <v>4</v>
      </c>
      <c r="AP71" s="1">
        <v>7</v>
      </c>
      <c r="AQ71" s="1">
        <v>1.532</v>
      </c>
      <c r="AR71" s="1">
        <v>15.653</v>
      </c>
      <c r="AS71" s="1">
        <v>16.303999999999998</v>
      </c>
      <c r="AT71" s="1">
        <v>10</v>
      </c>
      <c r="AU71" s="1">
        <v>5</v>
      </c>
      <c r="AV71" s="1">
        <v>6</v>
      </c>
      <c r="AW71" s="1">
        <v>6.0220000000000002</v>
      </c>
      <c r="AX71" s="1">
        <v>24.858000000000001</v>
      </c>
      <c r="AY71" s="1">
        <v>25.306000000000001</v>
      </c>
      <c r="AZ71" s="1">
        <v>8</v>
      </c>
      <c r="BA71" s="1">
        <v>5</v>
      </c>
      <c r="BB71" s="1">
        <v>7</v>
      </c>
      <c r="BC71" s="1">
        <v>1.9430000000000001</v>
      </c>
      <c r="BD71" s="1">
        <v>20.855</v>
      </c>
      <c r="BE71" s="1">
        <v>21.454000000000001</v>
      </c>
      <c r="BF71" s="1">
        <v>11</v>
      </c>
      <c r="BG71" s="1">
        <v>1</v>
      </c>
      <c r="BH71" s="1">
        <v>7</v>
      </c>
      <c r="BI71" s="1">
        <v>0.68300000000000005</v>
      </c>
      <c r="BJ71" s="1">
        <v>16.988</v>
      </c>
      <c r="BK71" s="1">
        <v>17.344000000000001</v>
      </c>
      <c r="BL71" s="1">
        <v>11</v>
      </c>
      <c r="BM71" s="1">
        <v>2</v>
      </c>
      <c r="BN71" s="1">
        <v>6</v>
      </c>
      <c r="BO71" s="1">
        <v>3.7269999999999999</v>
      </c>
      <c r="BP71" s="1">
        <v>18.550999999999998</v>
      </c>
      <c r="BQ71" s="1">
        <v>19.350000000000001</v>
      </c>
      <c r="BR71" s="1">
        <v>8</v>
      </c>
      <c r="BS71" s="1">
        <v>1</v>
      </c>
      <c r="BT71" s="1">
        <v>7</v>
      </c>
      <c r="BU71" s="1">
        <v>2.8370000000000002</v>
      </c>
      <c r="BV71" s="1">
        <v>18.370999999999999</v>
      </c>
      <c r="BW71" s="1">
        <v>19.355</v>
      </c>
      <c r="BX71" s="1">
        <v>12</v>
      </c>
      <c r="BY71" s="1">
        <v>5</v>
      </c>
      <c r="BZ71" s="1">
        <v>5</v>
      </c>
      <c r="CA71" s="1">
        <v>2.5409999999999999</v>
      </c>
      <c r="CB71" s="1">
        <v>33.034999999999997</v>
      </c>
      <c r="CC71" s="1">
        <v>33.737000000000002</v>
      </c>
      <c r="CD71" s="1">
        <v>16</v>
      </c>
      <c r="CE71" s="1">
        <v>3</v>
      </c>
      <c r="CF71" s="1">
        <v>6</v>
      </c>
      <c r="CG71" s="1">
        <v>4.3609999999999998</v>
      </c>
      <c r="CH71" s="1">
        <v>25.164999999999999</v>
      </c>
      <c r="CI71" s="1">
        <v>25.713000000000001</v>
      </c>
      <c r="CJ71" s="1">
        <v>11</v>
      </c>
      <c r="CK71" s="1">
        <v>1</v>
      </c>
      <c r="CL71" s="1">
        <v>7</v>
      </c>
      <c r="CM71" s="1">
        <v>5.4610000000000003</v>
      </c>
      <c r="CN71" s="1">
        <v>22.233000000000001</v>
      </c>
      <c r="CO71" s="1">
        <v>22.637</v>
      </c>
      <c r="CP71" s="1">
        <v>9</v>
      </c>
      <c r="CQ71" s="1">
        <v>2</v>
      </c>
      <c r="CR71" s="1">
        <v>5</v>
      </c>
      <c r="CS71" s="1">
        <v>1.04</v>
      </c>
      <c r="CT71" s="1">
        <v>20.39</v>
      </c>
      <c r="CU71" s="1">
        <v>21.044</v>
      </c>
      <c r="CV71" s="1">
        <v>10</v>
      </c>
      <c r="CW71" s="1">
        <v>1</v>
      </c>
      <c r="CX71" s="1">
        <v>4</v>
      </c>
      <c r="CY71" s="1">
        <v>4.0330000000000004</v>
      </c>
      <c r="CZ71" s="1">
        <v>25.135999999999999</v>
      </c>
      <c r="DA71" s="1">
        <v>25.486000000000001</v>
      </c>
      <c r="DB71" s="1">
        <v>11</v>
      </c>
      <c r="DC71" s="1">
        <v>3</v>
      </c>
      <c r="DD71" s="1">
        <v>6</v>
      </c>
      <c r="DE71" s="1">
        <v>2.3370000000000002</v>
      </c>
      <c r="DF71" s="1">
        <v>28.927</v>
      </c>
      <c r="DG71" s="1">
        <v>29.338000000000001</v>
      </c>
      <c r="DH71" s="1">
        <v>11</v>
      </c>
      <c r="DI71" s="1">
        <v>3</v>
      </c>
      <c r="DJ71" s="1">
        <v>6</v>
      </c>
      <c r="DK71" s="1">
        <v>1.9490000000000001</v>
      </c>
      <c r="DL71" s="1">
        <v>19.832000000000001</v>
      </c>
      <c r="DM71" s="1">
        <v>20.436</v>
      </c>
      <c r="DN71" s="1">
        <v>9</v>
      </c>
      <c r="DO71" s="1">
        <v>1</v>
      </c>
      <c r="DP71" s="1">
        <v>7</v>
      </c>
      <c r="DQ71" s="1">
        <v>1.897</v>
      </c>
      <c r="DR71" s="1">
        <v>18.449000000000002</v>
      </c>
      <c r="DS71" s="1">
        <v>18.649999999999999</v>
      </c>
      <c r="DT71" s="1">
        <v>11</v>
      </c>
      <c r="DU71" s="1">
        <v>4</v>
      </c>
      <c r="DV71" s="1">
        <v>5</v>
      </c>
      <c r="DW71" s="1">
        <v>1.583</v>
      </c>
      <c r="DX71" s="1">
        <v>25.291</v>
      </c>
      <c r="DY71" s="1">
        <v>25.838999999999999</v>
      </c>
      <c r="DZ71" s="1">
        <v>13</v>
      </c>
      <c r="EA71" s="1">
        <v>4</v>
      </c>
      <c r="EB71" s="1">
        <v>5</v>
      </c>
      <c r="EC71" s="1">
        <v>3.6240000000000001</v>
      </c>
      <c r="ED71" s="1">
        <v>27.036999999999999</v>
      </c>
      <c r="EE71" s="1">
        <v>27.971</v>
      </c>
      <c r="EF71" s="1">
        <v>13</v>
      </c>
      <c r="EG71" s="1">
        <v>5</v>
      </c>
      <c r="EH71" s="1">
        <v>5</v>
      </c>
      <c r="EI71" s="1">
        <v>4.3280000000000003</v>
      </c>
      <c r="EJ71" s="1">
        <v>28.622</v>
      </c>
      <c r="EK71" s="1">
        <v>29.190999999999999</v>
      </c>
      <c r="EL71" s="1">
        <v>15</v>
      </c>
      <c r="EM71" s="1">
        <v>3</v>
      </c>
      <c r="EN71" s="1">
        <v>6</v>
      </c>
      <c r="EO71" s="1">
        <v>5.7590000000000003</v>
      </c>
      <c r="EP71" s="1">
        <v>17.265999999999998</v>
      </c>
      <c r="EQ71" s="1">
        <v>17.638000000000002</v>
      </c>
      <c r="ER71" s="1">
        <v>5</v>
      </c>
      <c r="ES71" s="1">
        <v>1</v>
      </c>
      <c r="ET71" s="1">
        <v>5</v>
      </c>
      <c r="EU71" s="1">
        <v>5.5529999999999999</v>
      </c>
      <c r="EV71" s="1">
        <v>36.33</v>
      </c>
      <c r="EW71" s="1">
        <v>36.847000000000001</v>
      </c>
      <c r="EX71" s="1">
        <v>13</v>
      </c>
      <c r="EY71" s="1">
        <v>5</v>
      </c>
      <c r="EZ71" s="1">
        <v>5</v>
      </c>
      <c r="FA71" s="1">
        <v>1.601</v>
      </c>
      <c r="FB71" s="1">
        <v>25.564</v>
      </c>
      <c r="FC71" s="1">
        <v>26.074000000000002</v>
      </c>
      <c r="FD71" s="1">
        <v>10</v>
      </c>
      <c r="FE71" s="1">
        <v>5</v>
      </c>
      <c r="FF71" s="1">
        <v>7</v>
      </c>
      <c r="FG71" s="1">
        <v>3.3919999999999999</v>
      </c>
      <c r="FH71" s="1">
        <v>21.762</v>
      </c>
      <c r="FI71" s="1">
        <v>22.166</v>
      </c>
      <c r="FJ71" s="1">
        <v>7</v>
      </c>
      <c r="FK71" s="1">
        <v>1</v>
      </c>
      <c r="FL71" s="1">
        <v>6</v>
      </c>
      <c r="FM71" s="1">
        <v>2.7639999999999998</v>
      </c>
      <c r="FN71" s="1">
        <v>20.363</v>
      </c>
      <c r="FO71" s="1">
        <v>20.59</v>
      </c>
      <c r="FP71" s="1">
        <v>13</v>
      </c>
      <c r="FQ71" s="1">
        <v>2</v>
      </c>
      <c r="FR71" s="1">
        <v>6</v>
      </c>
      <c r="FS71" s="1">
        <v>3.786</v>
      </c>
      <c r="FT71" s="1">
        <v>28.018000000000001</v>
      </c>
      <c r="FU71" s="1">
        <v>28.905999999999999</v>
      </c>
      <c r="FV71" s="1">
        <v>8</v>
      </c>
      <c r="FW71" s="1">
        <v>5</v>
      </c>
      <c r="FX71" s="1">
        <v>7</v>
      </c>
      <c r="FY71" s="1">
        <v>2.4820000000000002</v>
      </c>
      <c r="FZ71" s="1">
        <v>16.22</v>
      </c>
      <c r="GA71" s="1">
        <v>16.991</v>
      </c>
      <c r="GB71" s="1">
        <v>14</v>
      </c>
      <c r="GC71" s="1">
        <v>1</v>
      </c>
      <c r="GD71" s="1">
        <v>7</v>
      </c>
      <c r="GE71" s="1">
        <v>1.7969999999999999</v>
      </c>
      <c r="GF71" s="1">
        <v>24.997</v>
      </c>
      <c r="GG71" s="1">
        <v>25.448</v>
      </c>
      <c r="GH71" s="1">
        <v>7</v>
      </c>
      <c r="GI71" s="1">
        <v>2</v>
      </c>
      <c r="GJ71" s="1">
        <v>7</v>
      </c>
      <c r="GK71" s="1">
        <v>7.3929999999999998</v>
      </c>
      <c r="GL71" s="1">
        <v>39.981999999999999</v>
      </c>
      <c r="GM71" s="1">
        <v>41.033000000000001</v>
      </c>
      <c r="GN71" s="1">
        <v>10</v>
      </c>
      <c r="GO71" s="1">
        <v>5</v>
      </c>
      <c r="GP71" s="1">
        <v>7</v>
      </c>
      <c r="GQ71" s="1">
        <v>5.6559999999999997</v>
      </c>
      <c r="GR71" s="1">
        <v>18.18</v>
      </c>
      <c r="GS71" s="1">
        <v>18.797000000000001</v>
      </c>
      <c r="GT71" s="1">
        <v>7</v>
      </c>
      <c r="GU71" s="1">
        <v>1</v>
      </c>
      <c r="GV71" s="1">
        <v>6</v>
      </c>
      <c r="GW71" s="1">
        <v>3.6659999999999999</v>
      </c>
      <c r="GX71" s="1">
        <v>18.687999999999999</v>
      </c>
      <c r="GY71" s="1">
        <v>19.489999999999998</v>
      </c>
      <c r="GZ71" s="1">
        <v>10</v>
      </c>
      <c r="HA71" s="1">
        <v>5</v>
      </c>
      <c r="HB71" s="1">
        <v>5</v>
      </c>
      <c r="HC71" s="1">
        <v>5.6269999999999998</v>
      </c>
      <c r="HD71" s="1">
        <v>31.076000000000001</v>
      </c>
      <c r="HE71" s="1">
        <v>31.591000000000001</v>
      </c>
      <c r="HF71" s="1">
        <v>10</v>
      </c>
      <c r="HG71" s="1">
        <v>1</v>
      </c>
      <c r="HH71" s="1">
        <v>5</v>
      </c>
      <c r="HI71" s="1">
        <v>2.444</v>
      </c>
      <c r="HJ71" s="1">
        <v>27.388999999999999</v>
      </c>
      <c r="HK71" s="1">
        <v>27.89</v>
      </c>
      <c r="HL71" s="1">
        <v>8</v>
      </c>
      <c r="HM71" s="4" t="s">
        <v>1105</v>
      </c>
      <c r="HN71" s="4" t="s">
        <v>1106</v>
      </c>
      <c r="HO71" s="4" t="s">
        <v>1107</v>
      </c>
      <c r="HP71" s="4" t="s">
        <v>1108</v>
      </c>
      <c r="HQ71" s="4" t="s">
        <v>1109</v>
      </c>
      <c r="HR71" s="4" t="s">
        <v>1110</v>
      </c>
      <c r="HS71" s="4" t="s">
        <v>1111</v>
      </c>
      <c r="HT71" s="4" t="s">
        <v>1112</v>
      </c>
      <c r="HU71" s="4" t="s">
        <v>1113</v>
      </c>
      <c r="HV71" s="4" t="s">
        <v>1114</v>
      </c>
      <c r="HW71" s="4" t="s">
        <v>282</v>
      </c>
      <c r="HX71" s="4" t="s">
        <v>1115</v>
      </c>
      <c r="HY71" s="4" t="s">
        <v>312</v>
      </c>
      <c r="HZ71" s="4" t="s">
        <v>356</v>
      </c>
      <c r="IA71" s="4" t="s">
        <v>313</v>
      </c>
      <c r="IB71" s="4" t="s">
        <v>282</v>
      </c>
      <c r="IC71" s="4" t="s">
        <v>282</v>
      </c>
    </row>
    <row r="72" spans="1:237" x14ac:dyDescent="0.2">
      <c r="A72" s="3">
        <v>45749.327013888891</v>
      </c>
      <c r="B72" s="3">
        <v>45749.336516203701</v>
      </c>
      <c r="C72" s="1">
        <v>0</v>
      </c>
      <c r="D72" s="4" t="s">
        <v>1116</v>
      </c>
      <c r="E72" s="1">
        <v>100</v>
      </c>
      <c r="F72" s="1">
        <v>820</v>
      </c>
      <c r="G72" s="1">
        <v>1</v>
      </c>
      <c r="H72" s="3">
        <v>45749.336532337962</v>
      </c>
      <c r="I72" s="4" t="s">
        <v>1117</v>
      </c>
      <c r="J72" s="4" t="s">
        <v>282</v>
      </c>
      <c r="K72" s="4" t="s">
        <v>282</v>
      </c>
      <c r="L72" s="4" t="s">
        <v>282</v>
      </c>
      <c r="M72" s="4" t="s">
        <v>282</v>
      </c>
      <c r="N72" s="1">
        <v>49.463500000000003</v>
      </c>
      <c r="O72" s="1">
        <v>-122.822</v>
      </c>
      <c r="P72" s="4" t="s">
        <v>283</v>
      </c>
      <c r="Q72" s="4" t="s">
        <v>284</v>
      </c>
      <c r="R72" s="1">
        <v>1</v>
      </c>
      <c r="S72" s="1">
        <v>1</v>
      </c>
      <c r="T72" s="1">
        <v>1</v>
      </c>
      <c r="U72" s="1">
        <v>1</v>
      </c>
      <c r="V72" s="1">
        <v>1</v>
      </c>
      <c r="W72" s="1">
        <v>12</v>
      </c>
      <c r="X72" s="4" t="s">
        <v>1300</v>
      </c>
      <c r="Y72" s="1">
        <v>5</v>
      </c>
      <c r="Z72" s="1">
        <v>1</v>
      </c>
      <c r="AA72" s="1">
        <v>1</v>
      </c>
      <c r="AB72" s="1">
        <v>2</v>
      </c>
      <c r="AC72" s="1">
        <v>1</v>
      </c>
      <c r="AD72" s="1">
        <v>5</v>
      </c>
      <c r="AE72" s="1">
        <v>10.028</v>
      </c>
      <c r="AF72" s="1">
        <v>11.506</v>
      </c>
      <c r="AG72" s="1">
        <v>12.567</v>
      </c>
      <c r="AH72" s="1">
        <v>2</v>
      </c>
      <c r="AI72" s="1">
        <v>4</v>
      </c>
      <c r="AJ72" s="1">
        <v>6</v>
      </c>
      <c r="AK72" s="1">
        <v>15.664999999999999</v>
      </c>
      <c r="AL72" s="1">
        <v>16.881</v>
      </c>
      <c r="AM72" s="1">
        <v>17.553000000000001</v>
      </c>
      <c r="AN72" s="1">
        <v>2</v>
      </c>
      <c r="AO72" s="1">
        <v>2</v>
      </c>
      <c r="AP72" s="1">
        <v>7</v>
      </c>
      <c r="AQ72" s="1">
        <v>8.9649999999999999</v>
      </c>
      <c r="AR72" s="1">
        <v>10.481</v>
      </c>
      <c r="AS72" s="1">
        <v>11.407</v>
      </c>
      <c r="AT72" s="1">
        <v>2</v>
      </c>
      <c r="AU72" s="1">
        <v>3</v>
      </c>
      <c r="AV72" s="1">
        <v>4</v>
      </c>
      <c r="AW72" s="1">
        <v>12.146000000000001</v>
      </c>
      <c r="AX72" s="1">
        <v>14.013</v>
      </c>
      <c r="AY72" s="1">
        <v>15.082000000000001</v>
      </c>
      <c r="AZ72" s="1">
        <v>2</v>
      </c>
      <c r="BA72" s="1">
        <v>4</v>
      </c>
      <c r="BB72" s="1">
        <v>6</v>
      </c>
      <c r="BC72" s="1">
        <v>11.5</v>
      </c>
      <c r="BD72" s="1">
        <v>13.3</v>
      </c>
      <c r="BE72" s="1">
        <v>14.387</v>
      </c>
      <c r="BF72" s="1">
        <v>2</v>
      </c>
      <c r="BG72" s="1">
        <v>1</v>
      </c>
      <c r="BH72" s="1">
        <v>7</v>
      </c>
      <c r="BI72" s="1">
        <v>10.436999999999999</v>
      </c>
      <c r="BJ72" s="1">
        <v>11.741</v>
      </c>
      <c r="BK72" s="1">
        <v>12.356999999999999</v>
      </c>
      <c r="BL72" s="1">
        <v>2</v>
      </c>
      <c r="BM72" s="1">
        <v>2</v>
      </c>
      <c r="BN72" s="1">
        <v>6</v>
      </c>
      <c r="BO72" s="1">
        <v>7.48</v>
      </c>
      <c r="BP72" s="1">
        <v>8.6470000000000002</v>
      </c>
      <c r="BQ72" s="1">
        <v>9.8670000000000009</v>
      </c>
      <c r="BR72" s="1">
        <v>2</v>
      </c>
      <c r="BS72" s="1">
        <v>4</v>
      </c>
      <c r="BT72" s="1">
        <v>5</v>
      </c>
      <c r="BU72" s="1">
        <v>18.09</v>
      </c>
      <c r="BV72" s="1">
        <v>19.672999999999998</v>
      </c>
      <c r="BW72" s="1">
        <v>20.398</v>
      </c>
      <c r="BX72" s="1">
        <v>2</v>
      </c>
      <c r="BY72" s="1">
        <v>3</v>
      </c>
      <c r="BZ72" s="1">
        <v>4</v>
      </c>
      <c r="CA72" s="1">
        <v>16.175999999999998</v>
      </c>
      <c r="CB72" s="1">
        <v>25.625</v>
      </c>
      <c r="CC72" s="1">
        <v>26.530999999999999</v>
      </c>
      <c r="CD72" s="1">
        <v>3</v>
      </c>
      <c r="CE72" s="1">
        <v>3</v>
      </c>
      <c r="CF72" s="1">
        <v>6</v>
      </c>
      <c r="CG72" s="1">
        <v>5.9969999999999999</v>
      </c>
      <c r="CH72" s="1">
        <v>7.7640000000000002</v>
      </c>
      <c r="CI72" s="1">
        <v>9.0009999999999994</v>
      </c>
      <c r="CJ72" s="1">
        <v>2</v>
      </c>
      <c r="CK72" s="1">
        <v>1</v>
      </c>
      <c r="CL72" s="1">
        <v>6</v>
      </c>
      <c r="CM72" s="1">
        <v>8.0500000000000007</v>
      </c>
      <c r="CN72" s="1">
        <v>9.3859999999999992</v>
      </c>
      <c r="CO72" s="1">
        <v>10.776999999999999</v>
      </c>
      <c r="CP72" s="1">
        <v>2</v>
      </c>
      <c r="CQ72" s="1">
        <v>2</v>
      </c>
      <c r="CR72" s="1">
        <v>7</v>
      </c>
      <c r="CS72" s="1">
        <v>11.539</v>
      </c>
      <c r="CT72" s="1">
        <v>13.205</v>
      </c>
      <c r="CU72" s="1">
        <v>14.827</v>
      </c>
      <c r="CV72" s="1">
        <v>2</v>
      </c>
      <c r="CW72" s="1">
        <v>4</v>
      </c>
      <c r="CX72" s="1">
        <v>5</v>
      </c>
      <c r="CY72" s="1">
        <v>17.744</v>
      </c>
      <c r="CZ72" s="1">
        <v>20.021999999999998</v>
      </c>
      <c r="DA72" s="1">
        <v>20.844000000000001</v>
      </c>
      <c r="DB72" s="1">
        <v>3</v>
      </c>
      <c r="DC72" s="1">
        <v>3</v>
      </c>
      <c r="DD72" s="1">
        <v>5</v>
      </c>
      <c r="DE72" s="1">
        <v>51.71</v>
      </c>
      <c r="DF72" s="1">
        <v>56.472000000000001</v>
      </c>
      <c r="DG72" s="1">
        <v>57.545000000000002</v>
      </c>
      <c r="DH72" s="1">
        <v>3</v>
      </c>
      <c r="DI72" s="1">
        <v>3</v>
      </c>
      <c r="DJ72" s="1">
        <v>6</v>
      </c>
      <c r="DK72" s="1">
        <v>8.5679999999999996</v>
      </c>
      <c r="DL72" s="1">
        <v>10.196999999999999</v>
      </c>
      <c r="DM72" s="1">
        <v>11.468</v>
      </c>
      <c r="DN72" s="1">
        <v>2</v>
      </c>
      <c r="DO72" s="1">
        <v>1</v>
      </c>
      <c r="DP72" s="1">
        <v>6</v>
      </c>
      <c r="DQ72" s="1">
        <v>7.6509999999999998</v>
      </c>
      <c r="DR72" s="1">
        <v>9.7840000000000007</v>
      </c>
      <c r="DS72" s="1">
        <v>14.241</v>
      </c>
      <c r="DT72" s="1">
        <v>2</v>
      </c>
      <c r="DU72" s="1">
        <v>4</v>
      </c>
      <c r="DV72" s="1">
        <v>5</v>
      </c>
      <c r="DW72" s="1">
        <v>7.867</v>
      </c>
      <c r="DX72" s="1">
        <v>17.018999999999998</v>
      </c>
      <c r="DY72" s="1">
        <v>19.806000000000001</v>
      </c>
      <c r="DZ72" s="1">
        <v>4</v>
      </c>
      <c r="EA72" s="1">
        <v>1</v>
      </c>
      <c r="EB72" s="1">
        <v>6</v>
      </c>
      <c r="EC72" s="1">
        <v>9.6180000000000003</v>
      </c>
      <c r="ED72" s="1">
        <v>10.629</v>
      </c>
      <c r="EE72" s="1">
        <v>12.27</v>
      </c>
      <c r="EF72" s="1">
        <v>2</v>
      </c>
      <c r="EG72" s="1">
        <v>1</v>
      </c>
      <c r="EH72" s="1">
        <v>6</v>
      </c>
      <c r="EI72" s="1">
        <v>10.96</v>
      </c>
      <c r="EJ72" s="1">
        <v>13.209</v>
      </c>
      <c r="EK72" s="1">
        <v>14.163</v>
      </c>
      <c r="EL72" s="1">
        <v>2</v>
      </c>
      <c r="EM72" s="1">
        <v>1</v>
      </c>
      <c r="EN72" s="1">
        <v>5</v>
      </c>
      <c r="EO72" s="1">
        <v>19.981999999999999</v>
      </c>
      <c r="EP72" s="1">
        <v>24.081</v>
      </c>
      <c r="EQ72" s="1">
        <v>25.484999999999999</v>
      </c>
      <c r="ER72" s="1">
        <v>2</v>
      </c>
      <c r="ES72" s="1">
        <v>1</v>
      </c>
      <c r="ET72" s="1">
        <v>6</v>
      </c>
      <c r="EU72" s="1">
        <v>7.6619999999999999</v>
      </c>
      <c r="EV72" s="1">
        <v>10.6</v>
      </c>
      <c r="EW72" s="1">
        <v>12.199</v>
      </c>
      <c r="EX72" s="1">
        <v>3</v>
      </c>
      <c r="EY72" s="1">
        <v>2</v>
      </c>
      <c r="EZ72" s="1">
        <v>6</v>
      </c>
      <c r="FA72" s="1">
        <v>6.5110000000000001</v>
      </c>
      <c r="FB72" s="1">
        <v>7.0759999999999996</v>
      </c>
      <c r="FC72" s="1">
        <v>9.2309999999999999</v>
      </c>
      <c r="FD72" s="1">
        <v>2</v>
      </c>
      <c r="FE72" s="1">
        <v>2</v>
      </c>
      <c r="FF72" s="1">
        <v>6</v>
      </c>
      <c r="FG72" s="1">
        <v>8.0760000000000005</v>
      </c>
      <c r="FH72" s="1">
        <v>9.9600000000000009</v>
      </c>
      <c r="FI72" s="1">
        <v>10.831</v>
      </c>
      <c r="FJ72" s="1">
        <v>2</v>
      </c>
      <c r="FK72" s="1">
        <v>1</v>
      </c>
      <c r="FL72" s="1">
        <v>6</v>
      </c>
      <c r="FM72" s="1">
        <v>11.433</v>
      </c>
      <c r="FN72" s="1">
        <v>12.984999999999999</v>
      </c>
      <c r="FO72" s="1">
        <v>14.951000000000001</v>
      </c>
      <c r="FP72" s="1">
        <v>2</v>
      </c>
      <c r="FQ72" s="1">
        <v>2</v>
      </c>
      <c r="FR72" s="1">
        <v>6</v>
      </c>
      <c r="FS72" s="1">
        <v>3.355</v>
      </c>
      <c r="FT72" s="1">
        <v>7.2050000000000001</v>
      </c>
      <c r="FU72" s="1">
        <v>8.8089999999999993</v>
      </c>
      <c r="FV72" s="1">
        <v>2</v>
      </c>
      <c r="FW72" s="1">
        <v>2</v>
      </c>
      <c r="FX72" s="1">
        <v>6</v>
      </c>
      <c r="FY72" s="1">
        <v>4.6319999999999997</v>
      </c>
      <c r="FZ72" s="1">
        <v>5.3540000000000001</v>
      </c>
      <c r="GA72" s="1">
        <v>9.7899999999999991</v>
      </c>
      <c r="GB72" s="1">
        <v>2</v>
      </c>
      <c r="GC72" s="1">
        <v>5</v>
      </c>
      <c r="GD72" s="1">
        <v>6</v>
      </c>
      <c r="GE72" s="1">
        <v>6.4470000000000001</v>
      </c>
      <c r="GF72" s="1">
        <v>8.0180000000000007</v>
      </c>
      <c r="GG72" s="1">
        <v>9.7010000000000005</v>
      </c>
      <c r="GH72" s="1">
        <v>2</v>
      </c>
      <c r="GI72" s="1">
        <v>2</v>
      </c>
      <c r="GJ72" s="1">
        <v>6</v>
      </c>
      <c r="GK72" s="1">
        <v>5.617</v>
      </c>
      <c r="GL72" s="1">
        <v>6.6710000000000003</v>
      </c>
      <c r="GM72" s="1">
        <v>9.4719999999999995</v>
      </c>
      <c r="GN72" s="1">
        <v>2</v>
      </c>
      <c r="GO72" s="1">
        <v>5</v>
      </c>
      <c r="GP72" s="1">
        <v>6</v>
      </c>
      <c r="GQ72" s="1">
        <v>5.125</v>
      </c>
      <c r="GR72" s="1">
        <v>6.141</v>
      </c>
      <c r="GS72" s="1">
        <v>9.1620000000000008</v>
      </c>
      <c r="GT72" s="1">
        <v>2</v>
      </c>
      <c r="GU72" s="1">
        <v>5</v>
      </c>
      <c r="GV72" s="1">
        <v>6</v>
      </c>
      <c r="GW72" s="1">
        <v>5.1970000000000001</v>
      </c>
      <c r="GX72" s="1">
        <v>6.2640000000000002</v>
      </c>
      <c r="GY72" s="1">
        <v>9.6329999999999991</v>
      </c>
      <c r="GZ72" s="1">
        <v>2</v>
      </c>
      <c r="HA72" s="1">
        <v>2</v>
      </c>
      <c r="HB72" s="1">
        <v>6</v>
      </c>
      <c r="HC72" s="1">
        <v>5.5679999999999996</v>
      </c>
      <c r="HD72" s="1">
        <v>6.7160000000000002</v>
      </c>
      <c r="HE72" s="1">
        <v>9.4179999999999993</v>
      </c>
      <c r="HF72" s="1">
        <v>2</v>
      </c>
      <c r="HG72" s="1">
        <v>1</v>
      </c>
      <c r="HH72" s="1">
        <v>6</v>
      </c>
      <c r="HI72" s="1">
        <v>7.7770000000000001</v>
      </c>
      <c r="HJ72" s="1">
        <v>11.461</v>
      </c>
      <c r="HK72" s="1">
        <v>12.353999999999999</v>
      </c>
      <c r="HL72" s="1">
        <v>3</v>
      </c>
      <c r="HM72" s="4" t="s">
        <v>1119</v>
      </c>
      <c r="HN72" s="4" t="s">
        <v>1120</v>
      </c>
      <c r="HO72" s="4" t="s">
        <v>1121</v>
      </c>
      <c r="HP72" s="4" t="s">
        <v>1122</v>
      </c>
      <c r="HQ72" s="4" t="s">
        <v>1123</v>
      </c>
      <c r="HR72" s="4" t="s">
        <v>1124</v>
      </c>
      <c r="HS72" s="4" t="s">
        <v>1125</v>
      </c>
      <c r="HT72" s="4" t="s">
        <v>1126</v>
      </c>
      <c r="HU72" s="4" t="s">
        <v>1127</v>
      </c>
      <c r="HV72" s="4" t="s">
        <v>1127</v>
      </c>
      <c r="HW72" s="4" t="s">
        <v>282</v>
      </c>
      <c r="HX72" s="4" t="s">
        <v>282</v>
      </c>
      <c r="HY72" s="4" t="s">
        <v>312</v>
      </c>
      <c r="HZ72" s="4" t="s">
        <v>372</v>
      </c>
      <c r="IA72" s="4" t="s">
        <v>325</v>
      </c>
      <c r="IB72" s="4" t="s">
        <v>282</v>
      </c>
      <c r="IC72" s="4" t="s">
        <v>282</v>
      </c>
    </row>
    <row r="73" spans="1:237" x14ac:dyDescent="0.2">
      <c r="A73" s="3">
        <v>45749.460451388892</v>
      </c>
      <c r="B73" s="3">
        <v>45749.486168981479</v>
      </c>
      <c r="C73" s="1">
        <v>0</v>
      </c>
      <c r="D73" s="4" t="s">
        <v>1128</v>
      </c>
      <c r="E73" s="1">
        <v>100</v>
      </c>
      <c r="F73" s="1">
        <v>2221</v>
      </c>
      <c r="G73" s="1">
        <v>1</v>
      </c>
      <c r="H73" s="3">
        <v>45749.486180138891</v>
      </c>
      <c r="I73" s="4" t="s">
        <v>1129</v>
      </c>
      <c r="J73" s="4" t="s">
        <v>282</v>
      </c>
      <c r="K73" s="4" t="s">
        <v>282</v>
      </c>
      <c r="L73" s="4" t="s">
        <v>282</v>
      </c>
      <c r="M73" s="4" t="s">
        <v>282</v>
      </c>
      <c r="N73" s="1">
        <v>-37.918900000000001</v>
      </c>
      <c r="O73" s="1">
        <v>145.126</v>
      </c>
      <c r="P73" s="4" t="s">
        <v>283</v>
      </c>
      <c r="Q73" s="4" t="s">
        <v>284</v>
      </c>
      <c r="R73" s="1">
        <v>0.5</v>
      </c>
      <c r="S73" s="1">
        <v>1</v>
      </c>
      <c r="T73" s="1">
        <v>1</v>
      </c>
      <c r="U73" s="1">
        <v>1</v>
      </c>
      <c r="V73" s="1">
        <v>1</v>
      </c>
      <c r="W73" s="1">
        <v>12</v>
      </c>
      <c r="X73" s="4" t="s">
        <v>312</v>
      </c>
      <c r="Y73" s="1">
        <v>5</v>
      </c>
      <c r="Z73" s="1">
        <v>3</v>
      </c>
      <c r="AA73" s="1">
        <v>4</v>
      </c>
      <c r="AB73" s="1">
        <v>2</v>
      </c>
      <c r="AC73" s="1">
        <v>1</v>
      </c>
      <c r="AD73" s="1">
        <v>6</v>
      </c>
      <c r="AE73" s="1">
        <v>6.6520000000000001</v>
      </c>
      <c r="AF73" s="1">
        <v>9.4039999999999999</v>
      </c>
      <c r="AG73" s="1">
        <v>10.442</v>
      </c>
      <c r="AH73" s="1">
        <v>2</v>
      </c>
      <c r="AI73" s="1">
        <v>2</v>
      </c>
      <c r="AJ73" s="1">
        <v>6</v>
      </c>
      <c r="AK73" s="1">
        <v>8.9819999999999993</v>
      </c>
      <c r="AL73" s="1">
        <v>11.06</v>
      </c>
      <c r="AM73" s="1">
        <v>12.269</v>
      </c>
      <c r="AN73" s="1">
        <v>2</v>
      </c>
      <c r="AO73" s="1">
        <v>2</v>
      </c>
      <c r="AP73" s="1">
        <v>6</v>
      </c>
      <c r="AQ73" s="1">
        <v>7.282</v>
      </c>
      <c r="AR73" s="1">
        <v>11.407</v>
      </c>
      <c r="AS73" s="1">
        <v>12.85</v>
      </c>
      <c r="AT73" s="1">
        <v>2</v>
      </c>
      <c r="AU73" s="1">
        <v>4</v>
      </c>
      <c r="AV73" s="1">
        <v>5</v>
      </c>
      <c r="AW73" s="1">
        <v>9.5050000000000008</v>
      </c>
      <c r="AX73" s="1">
        <v>11.545999999999999</v>
      </c>
      <c r="AY73" s="1">
        <v>14.315</v>
      </c>
      <c r="AZ73" s="1">
        <v>2</v>
      </c>
      <c r="BA73" s="1">
        <v>4</v>
      </c>
      <c r="BB73" s="1">
        <v>7</v>
      </c>
      <c r="BC73" s="1">
        <v>6.1479999999999997</v>
      </c>
      <c r="BD73" s="1">
        <v>10.335000000000001</v>
      </c>
      <c r="BE73" s="1">
        <v>11.941000000000001</v>
      </c>
      <c r="BF73" s="1">
        <v>3</v>
      </c>
      <c r="BG73" s="1">
        <v>1</v>
      </c>
      <c r="BH73" s="1">
        <v>5</v>
      </c>
      <c r="BI73" s="1">
        <v>8.6929999999999996</v>
      </c>
      <c r="BJ73" s="1">
        <v>10.592000000000001</v>
      </c>
      <c r="BK73" s="1">
        <v>11.471</v>
      </c>
      <c r="BL73" s="1">
        <v>2</v>
      </c>
      <c r="BM73" s="1">
        <v>2</v>
      </c>
      <c r="BN73" s="1">
        <v>6</v>
      </c>
      <c r="BO73" s="1">
        <v>5.9459999999999997</v>
      </c>
      <c r="BP73" s="1">
        <v>7.2210000000000001</v>
      </c>
      <c r="BQ73" s="1">
        <v>9.0679999999999996</v>
      </c>
      <c r="BR73" s="1">
        <v>2</v>
      </c>
      <c r="BS73" s="1">
        <v>1</v>
      </c>
      <c r="BT73" s="1">
        <v>5</v>
      </c>
      <c r="BU73" s="1">
        <v>24.928000000000001</v>
      </c>
      <c r="BV73" s="1">
        <v>26.12</v>
      </c>
      <c r="BW73" s="1">
        <v>26.872</v>
      </c>
      <c r="BX73" s="1">
        <v>2</v>
      </c>
      <c r="BY73" s="1">
        <v>4</v>
      </c>
      <c r="BZ73" s="1">
        <v>5</v>
      </c>
      <c r="CA73" s="1">
        <v>9.9770000000000003</v>
      </c>
      <c r="CB73" s="1">
        <v>11.635</v>
      </c>
      <c r="CC73" s="1">
        <v>12.679</v>
      </c>
      <c r="CD73" s="1">
        <v>2</v>
      </c>
      <c r="CE73" s="1">
        <v>3</v>
      </c>
      <c r="CF73" s="1">
        <v>6</v>
      </c>
      <c r="CG73" s="1">
        <v>6.593</v>
      </c>
      <c r="CH73" s="1">
        <v>8.5739999999999998</v>
      </c>
      <c r="CI73" s="1">
        <v>9.9930000000000003</v>
      </c>
      <c r="CJ73" s="1">
        <v>2</v>
      </c>
      <c r="CK73" s="1">
        <v>1</v>
      </c>
      <c r="CL73" s="1">
        <v>6</v>
      </c>
      <c r="CM73" s="1">
        <v>8.5660000000000007</v>
      </c>
      <c r="CN73" s="1">
        <v>10.538</v>
      </c>
      <c r="CO73" s="1">
        <v>12.032999999999999</v>
      </c>
      <c r="CP73" s="1">
        <v>2</v>
      </c>
      <c r="CQ73" s="1">
        <v>2</v>
      </c>
      <c r="CR73" s="1">
        <v>6</v>
      </c>
      <c r="CS73" s="1">
        <v>10.212999999999999</v>
      </c>
      <c r="CT73" s="1">
        <v>12.426</v>
      </c>
      <c r="CU73" s="1">
        <v>13.32</v>
      </c>
      <c r="CV73" s="1">
        <v>2</v>
      </c>
      <c r="CW73" s="1">
        <v>1</v>
      </c>
      <c r="CX73" s="1">
        <v>6</v>
      </c>
      <c r="CY73" s="1">
        <v>5.9219999999999997</v>
      </c>
      <c r="CZ73" s="1">
        <v>9.4849999999999994</v>
      </c>
      <c r="DA73" s="1">
        <v>10.432</v>
      </c>
      <c r="DB73" s="1">
        <v>2</v>
      </c>
      <c r="DC73" s="1">
        <v>5</v>
      </c>
      <c r="DD73" s="1">
        <v>6</v>
      </c>
      <c r="DE73" s="1">
        <v>7.43</v>
      </c>
      <c r="DF73" s="1">
        <v>12.403</v>
      </c>
      <c r="DG73" s="1">
        <v>13.252000000000001</v>
      </c>
      <c r="DH73" s="1">
        <v>2</v>
      </c>
      <c r="DI73" s="1">
        <v>3</v>
      </c>
      <c r="DJ73" s="1">
        <v>5</v>
      </c>
      <c r="DK73" s="1">
        <v>12.079000000000001</v>
      </c>
      <c r="DL73" s="1">
        <v>17.920999999999999</v>
      </c>
      <c r="DM73" s="1">
        <v>18.620999999999999</v>
      </c>
      <c r="DN73" s="1">
        <v>2</v>
      </c>
      <c r="DO73" s="1">
        <v>1</v>
      </c>
      <c r="DP73" s="1">
        <v>6</v>
      </c>
      <c r="DQ73" s="1">
        <v>6.9820000000000002</v>
      </c>
      <c r="DR73" s="1">
        <v>10.558999999999999</v>
      </c>
      <c r="DS73" s="1">
        <v>11.275</v>
      </c>
      <c r="DT73" s="1">
        <v>2</v>
      </c>
      <c r="DU73" s="1">
        <v>2</v>
      </c>
      <c r="DV73" s="1">
        <v>6</v>
      </c>
      <c r="DW73" s="1">
        <v>5.4409999999999998</v>
      </c>
      <c r="DX73" s="1">
        <v>6.7990000000000004</v>
      </c>
      <c r="DY73" s="1">
        <v>8.9600000000000009</v>
      </c>
      <c r="DZ73" s="1">
        <v>2</v>
      </c>
      <c r="EA73" s="1">
        <v>1</v>
      </c>
      <c r="EB73" s="1">
        <v>6</v>
      </c>
      <c r="EC73" s="1">
        <v>5.9210000000000003</v>
      </c>
      <c r="ED73" s="1">
        <v>10.069000000000001</v>
      </c>
      <c r="EE73" s="1">
        <v>11.098000000000001</v>
      </c>
      <c r="EF73" s="1">
        <v>2</v>
      </c>
      <c r="EG73" s="1">
        <v>5</v>
      </c>
      <c r="EH73" s="1">
        <v>6</v>
      </c>
      <c r="EI73" s="1">
        <v>11.238</v>
      </c>
      <c r="EJ73" s="1">
        <v>12.971</v>
      </c>
      <c r="EK73" s="1">
        <v>14.795</v>
      </c>
      <c r="EL73" s="1">
        <v>2</v>
      </c>
      <c r="EM73" s="1">
        <v>3</v>
      </c>
      <c r="EN73" s="1">
        <v>5</v>
      </c>
      <c r="EO73" s="1">
        <v>9.2360000000000007</v>
      </c>
      <c r="EP73" s="1">
        <v>12.679</v>
      </c>
      <c r="EQ73" s="1">
        <v>13.581</v>
      </c>
      <c r="ER73" s="1">
        <v>2</v>
      </c>
      <c r="ES73" s="4" t="s">
        <v>282</v>
      </c>
      <c r="ET73" s="1">
        <v>5</v>
      </c>
      <c r="EU73" s="1">
        <v>11.829000000000001</v>
      </c>
      <c r="EV73" s="1">
        <v>17.747</v>
      </c>
      <c r="EW73" s="1">
        <v>19.067</v>
      </c>
      <c r="EX73" s="1">
        <v>2</v>
      </c>
      <c r="EY73" s="1">
        <v>2</v>
      </c>
      <c r="EZ73" s="1">
        <v>7</v>
      </c>
      <c r="FA73" s="1">
        <v>14.826000000000001</v>
      </c>
      <c r="FB73" s="1">
        <v>26.128</v>
      </c>
      <c r="FC73" s="1">
        <v>27.172000000000001</v>
      </c>
      <c r="FD73" s="1">
        <v>2</v>
      </c>
      <c r="FE73" s="1">
        <v>5</v>
      </c>
      <c r="FF73" s="1">
        <v>5</v>
      </c>
      <c r="FG73" s="1">
        <v>8.5820000000000007</v>
      </c>
      <c r="FH73" s="1">
        <v>11.762</v>
      </c>
      <c r="FI73" s="1">
        <v>12.611000000000001</v>
      </c>
      <c r="FJ73" s="1">
        <v>3</v>
      </c>
      <c r="FK73" s="1">
        <v>1</v>
      </c>
      <c r="FL73" s="1">
        <v>7</v>
      </c>
      <c r="FM73" s="1">
        <v>8.6229999999999993</v>
      </c>
      <c r="FN73" s="1">
        <v>11.622999999999999</v>
      </c>
      <c r="FO73" s="1">
        <v>13.214</v>
      </c>
      <c r="FP73" s="1">
        <v>2</v>
      </c>
      <c r="FQ73" s="1">
        <v>2</v>
      </c>
      <c r="FR73" s="1">
        <v>6</v>
      </c>
      <c r="FS73" s="1">
        <v>7.3440000000000003</v>
      </c>
      <c r="FT73" s="1">
        <v>9.6690000000000005</v>
      </c>
      <c r="FU73" s="1">
        <v>10.263</v>
      </c>
      <c r="FV73" s="1">
        <v>2</v>
      </c>
      <c r="FW73" s="4" t="s">
        <v>282</v>
      </c>
      <c r="FX73" s="1">
        <v>5</v>
      </c>
      <c r="FY73" s="1">
        <v>35.799999999999997</v>
      </c>
      <c r="FZ73" s="1">
        <v>46.997999999999998</v>
      </c>
      <c r="GA73" s="1">
        <v>47.981999999999999</v>
      </c>
      <c r="GB73" s="1">
        <v>2</v>
      </c>
      <c r="GC73" s="1">
        <v>1</v>
      </c>
      <c r="GD73" s="1">
        <v>6</v>
      </c>
      <c r="GE73" s="1">
        <v>11.271000000000001</v>
      </c>
      <c r="GF73" s="1">
        <v>12.583</v>
      </c>
      <c r="GG73" s="1">
        <v>13.5</v>
      </c>
      <c r="GH73" s="1">
        <v>2</v>
      </c>
      <c r="GI73" s="1">
        <v>2</v>
      </c>
      <c r="GJ73" s="1">
        <v>6</v>
      </c>
      <c r="GK73" s="1">
        <v>16.268000000000001</v>
      </c>
      <c r="GL73" s="1">
        <v>18.239999999999998</v>
      </c>
      <c r="GM73" s="1">
        <v>19.981999999999999</v>
      </c>
      <c r="GN73" s="1">
        <v>2</v>
      </c>
      <c r="GO73" s="1">
        <v>5</v>
      </c>
      <c r="GP73" s="1">
        <v>5</v>
      </c>
      <c r="GQ73" s="1">
        <v>12.91</v>
      </c>
      <c r="GR73" s="1">
        <v>14.5</v>
      </c>
      <c r="GS73" s="1">
        <v>15.56</v>
      </c>
      <c r="GT73" s="1">
        <v>2</v>
      </c>
      <c r="GU73" s="1">
        <v>1</v>
      </c>
      <c r="GV73" s="1">
        <v>7</v>
      </c>
      <c r="GW73" s="1">
        <v>10.179</v>
      </c>
      <c r="GX73" s="1">
        <v>15.542</v>
      </c>
      <c r="GY73" s="1">
        <v>16.795999999999999</v>
      </c>
      <c r="GZ73" s="1">
        <v>2</v>
      </c>
      <c r="HA73" s="1">
        <v>2</v>
      </c>
      <c r="HB73" s="1">
        <v>7</v>
      </c>
      <c r="HC73" s="1">
        <v>5.766</v>
      </c>
      <c r="HD73" s="1">
        <v>8.2479999999999993</v>
      </c>
      <c r="HE73" s="1">
        <v>10.132999999999999</v>
      </c>
      <c r="HF73" s="1">
        <v>3</v>
      </c>
      <c r="HG73" s="1">
        <v>1</v>
      </c>
      <c r="HH73" s="1">
        <v>6</v>
      </c>
      <c r="HI73" s="1">
        <v>29.855</v>
      </c>
      <c r="HJ73" s="1">
        <v>32.405000000000001</v>
      </c>
      <c r="HK73" s="1">
        <v>33.171999999999997</v>
      </c>
      <c r="HL73" s="1">
        <v>2</v>
      </c>
      <c r="HM73" s="4" t="s">
        <v>1130</v>
      </c>
      <c r="HN73" s="4" t="s">
        <v>1131</v>
      </c>
      <c r="HO73" s="4" t="s">
        <v>1132</v>
      </c>
      <c r="HP73" s="4" t="s">
        <v>1133</v>
      </c>
      <c r="HQ73" s="4" t="s">
        <v>1134</v>
      </c>
      <c r="HR73" s="4" t="s">
        <v>1135</v>
      </c>
      <c r="HS73" s="4" t="s">
        <v>1136</v>
      </c>
      <c r="HT73" s="4" t="s">
        <v>1137</v>
      </c>
      <c r="HU73" s="4" t="s">
        <v>1138</v>
      </c>
      <c r="HV73" s="4" t="s">
        <v>1139</v>
      </c>
      <c r="HW73" s="4" t="s">
        <v>1140</v>
      </c>
      <c r="HX73" s="4" t="s">
        <v>282</v>
      </c>
      <c r="HY73" s="4" t="s">
        <v>312</v>
      </c>
      <c r="HZ73" s="4" t="s">
        <v>356</v>
      </c>
      <c r="IA73" s="4" t="s">
        <v>313</v>
      </c>
      <c r="IB73" s="4" t="s">
        <v>282</v>
      </c>
      <c r="IC73" s="4" t="s">
        <v>282</v>
      </c>
    </row>
    <row r="74" spans="1:237" x14ac:dyDescent="0.2">
      <c r="A74" s="3">
        <v>45749.543113425927</v>
      </c>
      <c r="B74" s="3">
        <v>45749.554131944446</v>
      </c>
      <c r="C74" s="1">
        <v>0</v>
      </c>
      <c r="D74" s="4" t="s">
        <v>1141</v>
      </c>
      <c r="E74" s="1">
        <v>100</v>
      </c>
      <c r="F74" s="1">
        <v>951</v>
      </c>
      <c r="G74" s="1">
        <v>1</v>
      </c>
      <c r="H74" s="3">
        <v>45749.554143738424</v>
      </c>
      <c r="I74" s="4" t="s">
        <v>1142</v>
      </c>
      <c r="J74" s="4" t="s">
        <v>282</v>
      </c>
      <c r="K74" s="4" t="s">
        <v>282</v>
      </c>
      <c r="L74" s="4" t="s">
        <v>282</v>
      </c>
      <c r="M74" s="4" t="s">
        <v>282</v>
      </c>
      <c r="N74" s="1">
        <v>-37.815899999999999</v>
      </c>
      <c r="O74" s="1">
        <v>144.96690000000001</v>
      </c>
      <c r="P74" s="4" t="s">
        <v>283</v>
      </c>
      <c r="Q74" s="4" t="s">
        <v>284</v>
      </c>
      <c r="R74" s="1">
        <v>0.89999997615814209</v>
      </c>
      <c r="S74" s="1">
        <v>1</v>
      </c>
      <c r="T74" s="1">
        <v>1</v>
      </c>
      <c r="U74" s="1">
        <v>1</v>
      </c>
      <c r="V74" s="1">
        <v>1</v>
      </c>
      <c r="W74" s="1">
        <v>4</v>
      </c>
      <c r="X74" s="4" t="s">
        <v>1282</v>
      </c>
      <c r="Y74" s="1">
        <v>5</v>
      </c>
      <c r="Z74" s="1">
        <v>1</v>
      </c>
      <c r="AA74" s="1">
        <v>1</v>
      </c>
      <c r="AB74" s="1">
        <v>2</v>
      </c>
      <c r="AC74" s="1">
        <v>1</v>
      </c>
      <c r="AD74" s="1">
        <v>5</v>
      </c>
      <c r="AE74" s="1">
        <v>6.5960000000000001</v>
      </c>
      <c r="AF74" s="1">
        <v>10.141999999999999</v>
      </c>
      <c r="AG74" s="1">
        <v>10.747999999999999</v>
      </c>
      <c r="AH74" s="1">
        <v>6</v>
      </c>
      <c r="AI74" s="1">
        <v>2</v>
      </c>
      <c r="AJ74" s="1">
        <v>6</v>
      </c>
      <c r="AK74" s="1">
        <v>2.7970000000000002</v>
      </c>
      <c r="AL74" s="1">
        <v>9.1050000000000004</v>
      </c>
      <c r="AM74" s="1">
        <v>9.9</v>
      </c>
      <c r="AN74" s="1">
        <v>7</v>
      </c>
      <c r="AO74" s="1">
        <v>2</v>
      </c>
      <c r="AP74" s="1">
        <v>6</v>
      </c>
      <c r="AQ74" s="1">
        <v>5.6669999999999998</v>
      </c>
      <c r="AR74" s="1">
        <v>9.593</v>
      </c>
      <c r="AS74" s="1">
        <v>12.504</v>
      </c>
      <c r="AT74" s="1">
        <v>6</v>
      </c>
      <c r="AU74" s="1">
        <v>5</v>
      </c>
      <c r="AV74" s="1">
        <v>5</v>
      </c>
      <c r="AW74" s="1">
        <v>3.8759999999999999</v>
      </c>
      <c r="AX74" s="1">
        <v>10.166</v>
      </c>
      <c r="AY74" s="1">
        <v>10.763</v>
      </c>
      <c r="AZ74" s="1">
        <v>7</v>
      </c>
      <c r="BA74" s="1">
        <v>5</v>
      </c>
      <c r="BB74" s="1">
        <v>5</v>
      </c>
      <c r="BC74" s="1">
        <v>1.831</v>
      </c>
      <c r="BD74" s="1">
        <v>11.217000000000001</v>
      </c>
      <c r="BE74" s="1">
        <v>11.646000000000001</v>
      </c>
      <c r="BF74" s="1">
        <v>9</v>
      </c>
      <c r="BG74" s="1">
        <v>3</v>
      </c>
      <c r="BH74" s="1">
        <v>5</v>
      </c>
      <c r="BI74" s="1">
        <v>3.056</v>
      </c>
      <c r="BJ74" s="1">
        <v>17.882000000000001</v>
      </c>
      <c r="BK74" s="1">
        <v>18.331</v>
      </c>
      <c r="BL74" s="1">
        <v>13</v>
      </c>
      <c r="BM74" s="1">
        <v>2</v>
      </c>
      <c r="BN74" s="1">
        <v>5</v>
      </c>
      <c r="BO74" s="1">
        <v>14.936999999999999</v>
      </c>
      <c r="BP74" s="1">
        <v>21.225999999999999</v>
      </c>
      <c r="BQ74" s="1">
        <v>22.004999999999999</v>
      </c>
      <c r="BR74" s="1">
        <v>11</v>
      </c>
      <c r="BS74" s="1">
        <v>3</v>
      </c>
      <c r="BT74" s="1">
        <v>6</v>
      </c>
      <c r="BU74" s="1">
        <v>7.6539999999999999</v>
      </c>
      <c r="BV74" s="1">
        <v>15.903</v>
      </c>
      <c r="BW74" s="1">
        <v>16.498999999999999</v>
      </c>
      <c r="BX74" s="1">
        <v>7</v>
      </c>
      <c r="BY74" s="1">
        <v>5</v>
      </c>
      <c r="BZ74" s="1">
        <v>6</v>
      </c>
      <c r="CA74" s="1">
        <v>2.3439999999999999</v>
      </c>
      <c r="CB74" s="1">
        <v>10.199</v>
      </c>
      <c r="CC74" s="1">
        <v>10.778</v>
      </c>
      <c r="CD74" s="1">
        <v>8</v>
      </c>
      <c r="CE74" s="1">
        <v>3</v>
      </c>
      <c r="CF74" s="1">
        <v>5</v>
      </c>
      <c r="CG74" s="1">
        <v>9.5909999999999993</v>
      </c>
      <c r="CH74" s="1">
        <v>13.336</v>
      </c>
      <c r="CI74" s="1">
        <v>13.781000000000001</v>
      </c>
      <c r="CJ74" s="1">
        <v>7</v>
      </c>
      <c r="CK74" s="1">
        <v>1</v>
      </c>
      <c r="CL74" s="1">
        <v>5</v>
      </c>
      <c r="CM74" s="1">
        <v>9.5269999999999992</v>
      </c>
      <c r="CN74" s="1">
        <v>14.151999999999999</v>
      </c>
      <c r="CO74" s="1">
        <v>15.098000000000001</v>
      </c>
      <c r="CP74" s="1">
        <v>8</v>
      </c>
      <c r="CQ74" s="1">
        <v>2</v>
      </c>
      <c r="CR74" s="1">
        <v>6</v>
      </c>
      <c r="CS74" s="1">
        <v>4.87</v>
      </c>
      <c r="CT74" s="1">
        <v>11.042999999999999</v>
      </c>
      <c r="CU74" s="1">
        <v>11.436999999999999</v>
      </c>
      <c r="CV74" s="1">
        <v>8</v>
      </c>
      <c r="CW74" s="1">
        <v>3</v>
      </c>
      <c r="CX74" s="1">
        <v>5</v>
      </c>
      <c r="CY74" s="1">
        <v>2.5750000000000002</v>
      </c>
      <c r="CZ74" s="1">
        <v>15.12</v>
      </c>
      <c r="DA74" s="1">
        <v>15.733000000000001</v>
      </c>
      <c r="DB74" s="1">
        <v>14</v>
      </c>
      <c r="DC74" s="1">
        <v>5</v>
      </c>
      <c r="DD74" s="1">
        <v>5</v>
      </c>
      <c r="DE74" s="1">
        <v>5.7089999999999996</v>
      </c>
      <c r="DF74" s="1">
        <v>13.798</v>
      </c>
      <c r="DG74" s="1">
        <v>14.143000000000001</v>
      </c>
      <c r="DH74" s="1">
        <v>8</v>
      </c>
      <c r="DI74" s="1">
        <v>1</v>
      </c>
      <c r="DJ74" s="1">
        <v>6</v>
      </c>
      <c r="DK74" s="1">
        <v>17.222000000000001</v>
      </c>
      <c r="DL74" s="1">
        <v>19.666</v>
      </c>
      <c r="DM74" s="1">
        <v>20.027000000000001</v>
      </c>
      <c r="DN74" s="1">
        <v>5</v>
      </c>
      <c r="DO74" s="1">
        <v>3</v>
      </c>
      <c r="DP74" s="1">
        <v>5</v>
      </c>
      <c r="DQ74" s="1">
        <v>4.2439999999999998</v>
      </c>
      <c r="DR74" s="1">
        <v>15.279</v>
      </c>
      <c r="DS74" s="1">
        <v>16.123000000000001</v>
      </c>
      <c r="DT74" s="1">
        <v>8</v>
      </c>
      <c r="DU74" s="1">
        <v>2</v>
      </c>
      <c r="DV74" s="1">
        <v>6</v>
      </c>
      <c r="DW74" s="1">
        <v>4.6820000000000004</v>
      </c>
      <c r="DX74" s="1">
        <v>9.49</v>
      </c>
      <c r="DY74" s="1">
        <v>9.8019999999999996</v>
      </c>
      <c r="DZ74" s="1">
        <v>5</v>
      </c>
      <c r="EA74" s="1">
        <v>4</v>
      </c>
      <c r="EB74" s="1">
        <v>6</v>
      </c>
      <c r="EC74" s="1">
        <v>2.4750000000000001</v>
      </c>
      <c r="ED74" s="1">
        <v>8.69</v>
      </c>
      <c r="EE74" s="1">
        <v>9.4190000000000005</v>
      </c>
      <c r="EF74" s="1">
        <v>8</v>
      </c>
      <c r="EG74" s="1">
        <v>3</v>
      </c>
      <c r="EH74" s="1">
        <v>5</v>
      </c>
      <c r="EI74" s="1">
        <v>3.0009999999999999</v>
      </c>
      <c r="EJ74" s="1">
        <v>23.687999999999999</v>
      </c>
      <c r="EK74" s="1">
        <v>24.966000000000001</v>
      </c>
      <c r="EL74" s="1">
        <v>15</v>
      </c>
      <c r="EM74" s="1">
        <v>1</v>
      </c>
      <c r="EN74" s="1">
        <v>6</v>
      </c>
      <c r="EO74" s="1">
        <v>42.392000000000003</v>
      </c>
      <c r="EP74" s="1">
        <v>45.137</v>
      </c>
      <c r="EQ74" s="1">
        <v>45.5</v>
      </c>
      <c r="ER74" s="1">
        <v>6</v>
      </c>
      <c r="ES74" s="1">
        <v>5</v>
      </c>
      <c r="ET74" s="1">
        <v>5</v>
      </c>
      <c r="EU74" s="1">
        <v>1.9710000000000001</v>
      </c>
      <c r="EV74" s="1">
        <v>13.589</v>
      </c>
      <c r="EW74" s="1">
        <v>14.183</v>
      </c>
      <c r="EX74" s="1">
        <v>10</v>
      </c>
      <c r="EY74" s="1">
        <v>2</v>
      </c>
      <c r="EZ74" s="1">
        <v>5</v>
      </c>
      <c r="FA74" s="1">
        <v>2.1989999999999998</v>
      </c>
      <c r="FB74" s="1">
        <v>13.497</v>
      </c>
      <c r="FC74" s="1">
        <v>14.044</v>
      </c>
      <c r="FD74" s="1">
        <v>8</v>
      </c>
      <c r="FE74" s="1">
        <v>5</v>
      </c>
      <c r="FF74" s="1">
        <v>6</v>
      </c>
      <c r="FG74" s="1">
        <v>2.552</v>
      </c>
      <c r="FH74" s="1">
        <v>11.765000000000001</v>
      </c>
      <c r="FI74" s="1">
        <v>13.956</v>
      </c>
      <c r="FJ74" s="1">
        <v>7</v>
      </c>
      <c r="FK74" s="1">
        <v>1</v>
      </c>
      <c r="FL74" s="1">
        <v>6</v>
      </c>
      <c r="FM74" s="1">
        <v>8.4459999999999997</v>
      </c>
      <c r="FN74" s="1">
        <v>13.141</v>
      </c>
      <c r="FO74" s="1">
        <v>13.651999999999999</v>
      </c>
      <c r="FP74" s="1">
        <v>8</v>
      </c>
      <c r="FQ74" s="1">
        <v>2</v>
      </c>
      <c r="FR74" s="1">
        <v>5</v>
      </c>
      <c r="FS74" s="1">
        <v>2.8980000000000001</v>
      </c>
      <c r="FT74" s="1">
        <v>19.126999999999999</v>
      </c>
      <c r="FU74" s="1">
        <v>20.882000000000001</v>
      </c>
      <c r="FV74" s="1">
        <v>10</v>
      </c>
      <c r="FW74" s="1">
        <v>1</v>
      </c>
      <c r="FX74" s="1">
        <v>6</v>
      </c>
      <c r="FY74" s="1">
        <v>4.3019999999999996</v>
      </c>
      <c r="FZ74" s="1">
        <v>16.234000000000002</v>
      </c>
      <c r="GA74" s="1">
        <v>16.777999999999999</v>
      </c>
      <c r="GB74" s="1">
        <v>7</v>
      </c>
      <c r="GC74" s="1">
        <v>1</v>
      </c>
      <c r="GD74" s="1">
        <v>5</v>
      </c>
      <c r="GE74" s="1">
        <v>2.7919999999999998</v>
      </c>
      <c r="GF74" s="1">
        <v>19.417000000000002</v>
      </c>
      <c r="GG74" s="1">
        <v>19.945</v>
      </c>
      <c r="GH74" s="1">
        <v>12</v>
      </c>
      <c r="GI74" s="1">
        <v>2</v>
      </c>
      <c r="GJ74" s="1">
        <v>5</v>
      </c>
      <c r="GK74" s="1">
        <v>8.7490000000000006</v>
      </c>
      <c r="GL74" s="1">
        <v>18.2</v>
      </c>
      <c r="GM74" s="1">
        <v>19.643999999999998</v>
      </c>
      <c r="GN74" s="1">
        <v>9</v>
      </c>
      <c r="GO74" s="1">
        <v>5</v>
      </c>
      <c r="GP74" s="1">
        <v>5</v>
      </c>
      <c r="GQ74" s="1">
        <v>2.4769999999999999</v>
      </c>
      <c r="GR74" s="1">
        <v>11.914</v>
      </c>
      <c r="GS74" s="1">
        <v>12.324999999999999</v>
      </c>
      <c r="GT74" s="1">
        <v>8</v>
      </c>
      <c r="GU74" s="1">
        <v>1</v>
      </c>
      <c r="GV74" s="1">
        <v>6</v>
      </c>
      <c r="GW74" s="1">
        <v>2.7959999999999998</v>
      </c>
      <c r="GX74" s="1">
        <v>15.773999999999999</v>
      </c>
      <c r="GY74" s="1">
        <v>16.169</v>
      </c>
      <c r="GZ74" s="1">
        <v>9</v>
      </c>
      <c r="HA74" s="1">
        <v>2</v>
      </c>
      <c r="HB74" s="1">
        <v>5</v>
      </c>
      <c r="HC74" s="1">
        <v>2.5739999999999998</v>
      </c>
      <c r="HD74" s="1">
        <v>14.154999999999999</v>
      </c>
      <c r="HE74" s="1">
        <v>15.534000000000001</v>
      </c>
      <c r="HF74" s="1">
        <v>7</v>
      </c>
      <c r="HG74" s="1">
        <v>5</v>
      </c>
      <c r="HH74" s="1">
        <v>5</v>
      </c>
      <c r="HI74" s="1">
        <v>2.5</v>
      </c>
      <c r="HJ74" s="1">
        <v>10.263</v>
      </c>
      <c r="HK74" s="1">
        <v>11.21</v>
      </c>
      <c r="HL74" s="1">
        <v>8</v>
      </c>
      <c r="HM74" s="4" t="s">
        <v>1143</v>
      </c>
      <c r="HN74" s="4" t="s">
        <v>1144</v>
      </c>
      <c r="HO74" s="4" t="s">
        <v>1145</v>
      </c>
      <c r="HP74" s="4" t="s">
        <v>1145</v>
      </c>
      <c r="HQ74" s="4" t="s">
        <v>1146</v>
      </c>
      <c r="HR74" s="4" t="s">
        <v>1147</v>
      </c>
      <c r="HS74" s="4" t="s">
        <v>1148</v>
      </c>
      <c r="HT74" s="4" t="s">
        <v>1149</v>
      </c>
      <c r="HU74" s="4" t="s">
        <v>1150</v>
      </c>
      <c r="HV74" s="4" t="s">
        <v>1151</v>
      </c>
      <c r="HW74" s="4" t="s">
        <v>282</v>
      </c>
      <c r="HX74" s="4" t="s">
        <v>1152</v>
      </c>
      <c r="HY74" s="4" t="s">
        <v>312</v>
      </c>
      <c r="HZ74" s="4" t="s">
        <v>356</v>
      </c>
      <c r="IA74" s="4" t="s">
        <v>313</v>
      </c>
      <c r="IB74" s="4" t="s">
        <v>282</v>
      </c>
      <c r="IC74" s="4" t="s">
        <v>282</v>
      </c>
    </row>
    <row r="75" spans="1:237" x14ac:dyDescent="0.2">
      <c r="A75" s="3">
        <v>45749.648877314816</v>
      </c>
      <c r="B75" s="3">
        <v>45749.665902777779</v>
      </c>
      <c r="C75" s="1">
        <v>0</v>
      </c>
      <c r="D75" s="4" t="s">
        <v>1153</v>
      </c>
      <c r="E75" s="1">
        <v>100</v>
      </c>
      <c r="F75" s="1">
        <v>1470</v>
      </c>
      <c r="G75" s="1">
        <v>1</v>
      </c>
      <c r="H75" s="3">
        <v>45749.665912719909</v>
      </c>
      <c r="I75" s="4" t="s">
        <v>1154</v>
      </c>
      <c r="J75" s="4" t="s">
        <v>282</v>
      </c>
      <c r="K75" s="4" t="s">
        <v>282</v>
      </c>
      <c r="L75" s="4" t="s">
        <v>282</v>
      </c>
      <c r="M75" s="4" t="s">
        <v>282</v>
      </c>
      <c r="N75" s="1">
        <v>-37.918900000000001</v>
      </c>
      <c r="O75" s="1">
        <v>145.126</v>
      </c>
      <c r="P75" s="4" t="s">
        <v>283</v>
      </c>
      <c r="Q75" s="4" t="s">
        <v>284</v>
      </c>
      <c r="R75" s="1">
        <v>1</v>
      </c>
      <c r="S75" s="1">
        <v>1</v>
      </c>
      <c r="T75" s="1">
        <v>1</v>
      </c>
      <c r="U75" s="1">
        <v>1</v>
      </c>
      <c r="V75" s="1">
        <v>1</v>
      </c>
      <c r="W75" s="1">
        <v>12</v>
      </c>
      <c r="X75" s="4" t="s">
        <v>497</v>
      </c>
      <c r="Y75" s="1">
        <v>5</v>
      </c>
      <c r="Z75" s="1">
        <v>4</v>
      </c>
      <c r="AA75" s="1">
        <v>4</v>
      </c>
      <c r="AB75" s="1">
        <v>1</v>
      </c>
      <c r="AC75" s="1">
        <v>3</v>
      </c>
      <c r="AD75" s="1">
        <v>6</v>
      </c>
      <c r="AE75" s="1">
        <v>6.5970000000000004</v>
      </c>
      <c r="AF75" s="1">
        <v>13.109</v>
      </c>
      <c r="AG75" s="1">
        <v>14.393000000000001</v>
      </c>
      <c r="AH75" s="1">
        <v>5</v>
      </c>
      <c r="AI75" s="1">
        <v>2</v>
      </c>
      <c r="AJ75" s="1">
        <v>6</v>
      </c>
      <c r="AK75" s="1">
        <v>7.4210000000000003</v>
      </c>
      <c r="AL75" s="1">
        <v>10.647</v>
      </c>
      <c r="AM75" s="1">
        <v>12.49</v>
      </c>
      <c r="AN75" s="1">
        <v>2</v>
      </c>
      <c r="AO75" s="1">
        <v>4</v>
      </c>
      <c r="AP75" s="1">
        <v>4</v>
      </c>
      <c r="AQ75" s="1">
        <v>21.797999999999998</v>
      </c>
      <c r="AR75" s="1">
        <v>23.331</v>
      </c>
      <c r="AS75" s="1">
        <v>24.867000000000001</v>
      </c>
      <c r="AT75" s="1">
        <v>2</v>
      </c>
      <c r="AU75" s="1">
        <v>5</v>
      </c>
      <c r="AV75" s="1">
        <v>6</v>
      </c>
      <c r="AW75" s="1">
        <v>8.2360000000000007</v>
      </c>
      <c r="AX75" s="1">
        <v>9.2040000000000006</v>
      </c>
      <c r="AY75" s="1">
        <v>10.564</v>
      </c>
      <c r="AZ75" s="1">
        <v>2</v>
      </c>
      <c r="BA75" s="1">
        <v>5</v>
      </c>
      <c r="BB75" s="1">
        <v>7</v>
      </c>
      <c r="BC75" s="1">
        <v>10.587</v>
      </c>
      <c r="BD75" s="1">
        <v>12.644</v>
      </c>
      <c r="BE75" s="1">
        <v>13.617000000000001</v>
      </c>
      <c r="BF75" s="1">
        <v>2</v>
      </c>
      <c r="BG75" s="1">
        <v>1</v>
      </c>
      <c r="BH75" s="1">
        <v>5</v>
      </c>
      <c r="BI75" s="1">
        <v>19.082999999999998</v>
      </c>
      <c r="BJ75" s="1">
        <v>20.652999999999999</v>
      </c>
      <c r="BK75" s="1">
        <v>22.158000000000001</v>
      </c>
      <c r="BL75" s="1">
        <v>2</v>
      </c>
      <c r="BM75" s="1">
        <v>2</v>
      </c>
      <c r="BN75" s="1">
        <v>4</v>
      </c>
      <c r="BO75" s="1">
        <v>163.98699999999999</v>
      </c>
      <c r="BP75" s="1">
        <v>169.042</v>
      </c>
      <c r="BQ75" s="1">
        <v>170.97300000000001</v>
      </c>
      <c r="BR75" s="1">
        <v>2</v>
      </c>
      <c r="BS75" s="1">
        <v>1</v>
      </c>
      <c r="BT75" s="1">
        <v>6</v>
      </c>
      <c r="BU75" s="1">
        <v>7.9669999999999996</v>
      </c>
      <c r="BV75" s="1">
        <v>10.254</v>
      </c>
      <c r="BW75" s="1">
        <v>11.244</v>
      </c>
      <c r="BX75" s="1">
        <v>2</v>
      </c>
      <c r="BY75" s="1">
        <v>5</v>
      </c>
      <c r="BZ75" s="1">
        <v>7</v>
      </c>
      <c r="CA75" s="1">
        <v>7.3460000000000001</v>
      </c>
      <c r="CB75" s="1">
        <v>9.6449999999999996</v>
      </c>
      <c r="CC75" s="1">
        <v>10.872999999999999</v>
      </c>
      <c r="CD75" s="1">
        <v>2</v>
      </c>
      <c r="CE75" s="1">
        <v>3</v>
      </c>
      <c r="CF75" s="1">
        <v>5</v>
      </c>
      <c r="CG75" s="1">
        <v>13.228</v>
      </c>
      <c r="CH75" s="1">
        <v>29.236999999999998</v>
      </c>
      <c r="CI75" s="1">
        <v>30.835000000000001</v>
      </c>
      <c r="CJ75" s="1">
        <v>4</v>
      </c>
      <c r="CK75" s="1">
        <v>3</v>
      </c>
      <c r="CL75" s="1">
        <v>6</v>
      </c>
      <c r="CM75" s="1">
        <v>3.5430000000000001</v>
      </c>
      <c r="CN75" s="1">
        <v>9.0549999999999997</v>
      </c>
      <c r="CO75" s="1">
        <v>10.532</v>
      </c>
      <c r="CP75" s="1">
        <v>3</v>
      </c>
      <c r="CQ75" s="1">
        <v>2</v>
      </c>
      <c r="CR75" s="1">
        <v>4</v>
      </c>
      <c r="CS75" s="1">
        <v>12.816000000000001</v>
      </c>
      <c r="CT75" s="1">
        <v>14.691000000000001</v>
      </c>
      <c r="CU75" s="1">
        <v>16.172000000000001</v>
      </c>
      <c r="CV75" s="1">
        <v>2</v>
      </c>
      <c r="CW75" s="1">
        <v>1</v>
      </c>
      <c r="CX75" s="1">
        <v>6</v>
      </c>
      <c r="CY75" s="1">
        <v>10.436</v>
      </c>
      <c r="CZ75" s="1">
        <v>11.932</v>
      </c>
      <c r="DA75" s="1">
        <v>13.057</v>
      </c>
      <c r="DB75" s="1">
        <v>2</v>
      </c>
      <c r="DC75" s="1">
        <v>3</v>
      </c>
      <c r="DD75" s="1">
        <v>6</v>
      </c>
      <c r="DE75" s="1">
        <v>7.0910000000000002</v>
      </c>
      <c r="DF75" s="1">
        <v>8.202</v>
      </c>
      <c r="DG75" s="1">
        <v>9.5180000000000007</v>
      </c>
      <c r="DH75" s="1">
        <v>2</v>
      </c>
      <c r="DI75" s="1">
        <v>1</v>
      </c>
      <c r="DJ75" s="1">
        <v>6</v>
      </c>
      <c r="DK75" s="1">
        <v>10.743</v>
      </c>
      <c r="DL75" s="1">
        <v>12.209</v>
      </c>
      <c r="DM75" s="1">
        <v>13.282</v>
      </c>
      <c r="DN75" s="1">
        <v>2</v>
      </c>
      <c r="DO75" s="1">
        <v>1</v>
      </c>
      <c r="DP75" s="1">
        <v>6</v>
      </c>
      <c r="DQ75" s="1">
        <v>6.7610000000000001</v>
      </c>
      <c r="DR75" s="1">
        <v>9.2750000000000004</v>
      </c>
      <c r="DS75" s="1">
        <v>10.749000000000001</v>
      </c>
      <c r="DT75" s="1">
        <v>2</v>
      </c>
      <c r="DU75" s="1">
        <v>2</v>
      </c>
      <c r="DV75" s="1">
        <v>6</v>
      </c>
      <c r="DW75" s="1">
        <v>10.099</v>
      </c>
      <c r="DX75" s="1">
        <v>13.597</v>
      </c>
      <c r="DY75" s="1">
        <v>14.614000000000001</v>
      </c>
      <c r="DZ75" s="1">
        <v>2</v>
      </c>
      <c r="EA75" s="1">
        <v>1</v>
      </c>
      <c r="EB75" s="1">
        <v>4</v>
      </c>
      <c r="EC75" s="1">
        <v>9.782</v>
      </c>
      <c r="ED75" s="1">
        <v>12.78</v>
      </c>
      <c r="EE75" s="1">
        <v>16.193999999999999</v>
      </c>
      <c r="EF75" s="1">
        <v>2</v>
      </c>
      <c r="EG75" s="1">
        <v>3</v>
      </c>
      <c r="EH75" s="1">
        <v>5</v>
      </c>
      <c r="EI75" s="1">
        <v>14.413</v>
      </c>
      <c r="EJ75" s="1">
        <v>16.698</v>
      </c>
      <c r="EK75" s="1">
        <v>17.754000000000001</v>
      </c>
      <c r="EL75" s="1">
        <v>2</v>
      </c>
      <c r="EM75" s="1">
        <v>1</v>
      </c>
      <c r="EN75" s="1">
        <v>6</v>
      </c>
      <c r="EO75" s="1">
        <v>9.5429999999999993</v>
      </c>
      <c r="EP75" s="1">
        <v>12.497</v>
      </c>
      <c r="EQ75" s="1">
        <v>13.773999999999999</v>
      </c>
      <c r="ER75" s="1">
        <v>2</v>
      </c>
      <c r="ES75" s="1">
        <v>5</v>
      </c>
      <c r="ET75" s="1">
        <v>5</v>
      </c>
      <c r="EU75" s="1">
        <v>23.727</v>
      </c>
      <c r="EV75" s="1">
        <v>42.548999999999999</v>
      </c>
      <c r="EW75" s="1">
        <v>43.503</v>
      </c>
      <c r="EX75" s="1">
        <v>9</v>
      </c>
      <c r="EY75" s="1">
        <v>2</v>
      </c>
      <c r="EZ75" s="1">
        <v>7</v>
      </c>
      <c r="FA75" s="1">
        <v>5.97</v>
      </c>
      <c r="FB75" s="1">
        <v>7.0110000000000001</v>
      </c>
      <c r="FC75" s="1">
        <v>9.0760000000000005</v>
      </c>
      <c r="FD75" s="1">
        <v>2</v>
      </c>
      <c r="FE75" s="1">
        <v>5</v>
      </c>
      <c r="FF75" s="1">
        <v>7</v>
      </c>
      <c r="FG75" s="1">
        <v>6.359</v>
      </c>
      <c r="FH75" s="1">
        <v>9.0090000000000003</v>
      </c>
      <c r="FI75" s="1">
        <v>11.214</v>
      </c>
      <c r="FJ75" s="1">
        <v>2</v>
      </c>
      <c r="FK75" s="1">
        <v>1</v>
      </c>
      <c r="FL75" s="1">
        <v>7</v>
      </c>
      <c r="FM75" s="1">
        <v>20.012</v>
      </c>
      <c r="FN75" s="1">
        <v>21.983000000000001</v>
      </c>
      <c r="FO75" s="1">
        <v>22.8</v>
      </c>
      <c r="FP75" s="1">
        <v>2</v>
      </c>
      <c r="FQ75" s="1">
        <v>2</v>
      </c>
      <c r="FR75" s="1">
        <v>7</v>
      </c>
      <c r="FS75" s="1">
        <v>6.5129999999999999</v>
      </c>
      <c r="FT75" s="1">
        <v>7.7240000000000002</v>
      </c>
      <c r="FU75" s="1">
        <v>9.1</v>
      </c>
      <c r="FV75" s="1">
        <v>2</v>
      </c>
      <c r="FW75" s="1">
        <v>5</v>
      </c>
      <c r="FX75" s="1">
        <v>7</v>
      </c>
      <c r="FY75" s="1">
        <v>6.3810000000000002</v>
      </c>
      <c r="FZ75" s="1">
        <v>8.3309999999999995</v>
      </c>
      <c r="GA75" s="1">
        <v>9.0459999999999994</v>
      </c>
      <c r="GB75" s="1">
        <v>4</v>
      </c>
      <c r="GC75" s="1">
        <v>1</v>
      </c>
      <c r="GD75" s="1">
        <v>6</v>
      </c>
      <c r="GE75" s="1">
        <v>70.736000000000004</v>
      </c>
      <c r="GF75" s="1">
        <v>72.424999999999997</v>
      </c>
      <c r="GG75" s="1">
        <v>73.736000000000004</v>
      </c>
      <c r="GH75" s="1">
        <v>2</v>
      </c>
      <c r="GI75" s="1">
        <v>2</v>
      </c>
      <c r="GJ75" s="1">
        <v>7</v>
      </c>
      <c r="GK75" s="1">
        <v>5.8739999999999997</v>
      </c>
      <c r="GL75" s="1">
        <v>9.2650000000000006</v>
      </c>
      <c r="GM75" s="1">
        <v>10.327</v>
      </c>
      <c r="GN75" s="1">
        <v>3</v>
      </c>
      <c r="GO75" s="1">
        <v>1</v>
      </c>
      <c r="GP75" s="1">
        <v>6</v>
      </c>
      <c r="GQ75" s="1">
        <v>6.2569999999999997</v>
      </c>
      <c r="GR75" s="1">
        <v>26.372</v>
      </c>
      <c r="GS75" s="1">
        <v>29.344999999999999</v>
      </c>
      <c r="GT75" s="1">
        <v>2</v>
      </c>
      <c r="GU75" s="1">
        <v>1</v>
      </c>
      <c r="GV75" s="1">
        <v>6</v>
      </c>
      <c r="GW75" s="1">
        <v>4.6070000000000002</v>
      </c>
      <c r="GX75" s="1">
        <v>8.4469999999999992</v>
      </c>
      <c r="GY75" s="1">
        <v>9.1850000000000005</v>
      </c>
      <c r="GZ75" s="1">
        <v>4</v>
      </c>
      <c r="HA75" s="1">
        <v>2</v>
      </c>
      <c r="HB75" s="1">
        <v>7</v>
      </c>
      <c r="HC75" s="1">
        <v>6.98</v>
      </c>
      <c r="HD75" s="1">
        <v>8.2390000000000008</v>
      </c>
      <c r="HE75" s="1">
        <v>9.4909999999999997</v>
      </c>
      <c r="HF75" s="1">
        <v>2</v>
      </c>
      <c r="HG75" s="1">
        <v>1</v>
      </c>
      <c r="HH75" s="1">
        <v>5</v>
      </c>
      <c r="HI75" s="1">
        <v>8.9740000000000002</v>
      </c>
      <c r="HJ75" s="1">
        <v>11.372999999999999</v>
      </c>
      <c r="HK75" s="1">
        <v>12.935</v>
      </c>
      <c r="HL75" s="1">
        <v>2</v>
      </c>
      <c r="HM75" s="4" t="s">
        <v>1155</v>
      </c>
      <c r="HN75" s="4" t="s">
        <v>1156</v>
      </c>
      <c r="HO75" s="4" t="s">
        <v>1157</v>
      </c>
      <c r="HP75" s="4" t="s">
        <v>1158</v>
      </c>
      <c r="HQ75" s="4" t="s">
        <v>1159</v>
      </c>
      <c r="HR75" s="4" t="s">
        <v>1160</v>
      </c>
      <c r="HS75" s="4" t="s">
        <v>1161</v>
      </c>
      <c r="HT75" s="4" t="s">
        <v>1162</v>
      </c>
      <c r="HU75" s="4" t="s">
        <v>1163</v>
      </c>
      <c r="HV75" s="4" t="s">
        <v>1164</v>
      </c>
      <c r="HW75" s="4" t="s">
        <v>282</v>
      </c>
      <c r="HX75" s="4" t="s">
        <v>1165</v>
      </c>
      <c r="HY75" s="4" t="s">
        <v>312</v>
      </c>
      <c r="HZ75" s="4" t="s">
        <v>372</v>
      </c>
      <c r="IA75" s="4" t="s">
        <v>325</v>
      </c>
      <c r="IB75" s="4" t="s">
        <v>282</v>
      </c>
      <c r="IC75" s="4" t="s">
        <v>282</v>
      </c>
    </row>
    <row r="76" spans="1:237" x14ac:dyDescent="0.2">
      <c r="A76" s="3">
        <v>45750.087870370371</v>
      </c>
      <c r="B76" s="3">
        <v>45750.101759259262</v>
      </c>
      <c r="C76" s="1">
        <v>0</v>
      </c>
      <c r="D76" s="4" t="s">
        <v>1166</v>
      </c>
      <c r="E76" s="1">
        <v>100</v>
      </c>
      <c r="F76" s="1">
        <v>1199</v>
      </c>
      <c r="G76" s="1">
        <v>1</v>
      </c>
      <c r="H76" s="3">
        <v>45750.101775000003</v>
      </c>
      <c r="I76" s="4" t="s">
        <v>1167</v>
      </c>
      <c r="J76" s="4" t="s">
        <v>282</v>
      </c>
      <c r="K76" s="4" t="s">
        <v>282</v>
      </c>
      <c r="L76" s="4" t="s">
        <v>282</v>
      </c>
      <c r="M76" s="4" t="s">
        <v>282</v>
      </c>
      <c r="N76" s="1">
        <v>-37.918900000000001</v>
      </c>
      <c r="O76" s="1">
        <v>145.126</v>
      </c>
      <c r="P76" s="4" t="s">
        <v>283</v>
      </c>
      <c r="Q76" s="4" t="s">
        <v>284</v>
      </c>
      <c r="R76" s="1">
        <v>0.89999997615814209</v>
      </c>
      <c r="S76" s="1">
        <v>1</v>
      </c>
      <c r="T76" s="1">
        <v>1</v>
      </c>
      <c r="U76" s="1">
        <v>1</v>
      </c>
      <c r="V76" s="1">
        <v>1</v>
      </c>
      <c r="W76" s="1">
        <v>7</v>
      </c>
      <c r="X76" s="4" t="s">
        <v>497</v>
      </c>
      <c r="Y76" s="1">
        <v>5</v>
      </c>
      <c r="Z76" s="1">
        <v>1</v>
      </c>
      <c r="AA76" s="1">
        <v>3</v>
      </c>
      <c r="AB76" s="1">
        <v>1</v>
      </c>
      <c r="AC76" s="1">
        <v>1</v>
      </c>
      <c r="AD76" s="1">
        <v>5</v>
      </c>
      <c r="AE76" s="1">
        <v>0.83199999999999996</v>
      </c>
      <c r="AF76" s="1">
        <v>20.369</v>
      </c>
      <c r="AG76" s="1">
        <v>20.887</v>
      </c>
      <c r="AH76" s="1">
        <v>7</v>
      </c>
      <c r="AI76" s="1">
        <v>2</v>
      </c>
      <c r="AJ76" s="1">
        <v>6</v>
      </c>
      <c r="AK76" s="1">
        <v>1.0329999999999999</v>
      </c>
      <c r="AL76" s="1">
        <v>15.494999999999999</v>
      </c>
      <c r="AM76" s="1">
        <v>15.945</v>
      </c>
      <c r="AN76" s="1">
        <v>8</v>
      </c>
      <c r="AO76" s="1">
        <v>2</v>
      </c>
      <c r="AP76" s="1">
        <v>7</v>
      </c>
      <c r="AQ76" s="1">
        <v>0.68799999999999994</v>
      </c>
      <c r="AR76" s="1">
        <v>13.472</v>
      </c>
      <c r="AS76" s="1">
        <v>14.228999999999999</v>
      </c>
      <c r="AT76" s="1">
        <v>12</v>
      </c>
      <c r="AU76" s="1">
        <v>5</v>
      </c>
      <c r="AV76" s="1">
        <v>7</v>
      </c>
      <c r="AW76" s="1">
        <v>13.051</v>
      </c>
      <c r="AX76" s="1">
        <v>21.202999999999999</v>
      </c>
      <c r="AY76" s="1">
        <v>25.183</v>
      </c>
      <c r="AZ76" s="1">
        <v>8</v>
      </c>
      <c r="BA76" s="1">
        <v>5</v>
      </c>
      <c r="BB76" s="1">
        <v>5</v>
      </c>
      <c r="BC76" s="1">
        <v>2.2469999999999999</v>
      </c>
      <c r="BD76" s="1">
        <v>38.871000000000002</v>
      </c>
      <c r="BE76" s="1">
        <v>41.63</v>
      </c>
      <c r="BF76" s="1">
        <v>11</v>
      </c>
      <c r="BG76" s="1">
        <v>3</v>
      </c>
      <c r="BH76" s="1">
        <v>4</v>
      </c>
      <c r="BI76" s="1">
        <v>0.74399999999999999</v>
      </c>
      <c r="BJ76" s="1">
        <v>15.988</v>
      </c>
      <c r="BK76" s="1">
        <v>15.901</v>
      </c>
      <c r="BL76" s="1">
        <v>9</v>
      </c>
      <c r="BM76" s="1">
        <v>2</v>
      </c>
      <c r="BN76" s="1">
        <v>6</v>
      </c>
      <c r="BO76" s="1">
        <v>1.05</v>
      </c>
      <c r="BP76" s="1">
        <v>16.693000000000001</v>
      </c>
      <c r="BQ76" s="1">
        <v>17.058</v>
      </c>
      <c r="BR76" s="1">
        <v>6</v>
      </c>
      <c r="BS76" s="1">
        <v>3</v>
      </c>
      <c r="BT76" s="1">
        <v>5</v>
      </c>
      <c r="BU76" s="1">
        <v>0.85099999999999998</v>
      </c>
      <c r="BV76" s="1">
        <v>18.242999999999999</v>
      </c>
      <c r="BW76" s="1">
        <v>18.643000000000001</v>
      </c>
      <c r="BX76" s="1">
        <v>10</v>
      </c>
      <c r="BY76" s="1">
        <v>5</v>
      </c>
      <c r="BZ76" s="1">
        <v>4</v>
      </c>
      <c r="CA76" s="1">
        <v>2.4849999999999999</v>
      </c>
      <c r="CB76" s="1">
        <v>16.366</v>
      </c>
      <c r="CC76" s="1">
        <v>16.7</v>
      </c>
      <c r="CD76" s="1">
        <v>11</v>
      </c>
      <c r="CE76" s="1">
        <v>1</v>
      </c>
      <c r="CF76" s="1">
        <v>4</v>
      </c>
      <c r="CG76" s="1">
        <v>0.71899999999999997</v>
      </c>
      <c r="CH76" s="1">
        <v>20.459</v>
      </c>
      <c r="CI76" s="1">
        <v>20.853999999999999</v>
      </c>
      <c r="CJ76" s="1">
        <v>7</v>
      </c>
      <c r="CK76" s="1">
        <v>1</v>
      </c>
      <c r="CL76" s="1">
        <v>6</v>
      </c>
      <c r="CM76" s="1">
        <v>0.66</v>
      </c>
      <c r="CN76" s="1">
        <v>13.515000000000001</v>
      </c>
      <c r="CO76" s="1">
        <v>13.868</v>
      </c>
      <c r="CP76" s="1">
        <v>9</v>
      </c>
      <c r="CQ76" s="1">
        <v>2</v>
      </c>
      <c r="CR76" s="1">
        <v>7</v>
      </c>
      <c r="CS76" s="1">
        <v>1.1120000000000001</v>
      </c>
      <c r="CT76" s="1">
        <v>22.663</v>
      </c>
      <c r="CU76" s="1">
        <v>23.46</v>
      </c>
      <c r="CV76" s="1">
        <v>7</v>
      </c>
      <c r="CW76" s="1">
        <v>3</v>
      </c>
      <c r="CX76" s="1">
        <v>5</v>
      </c>
      <c r="CY76" s="1">
        <v>6.5049999999999999</v>
      </c>
      <c r="CZ76" s="1">
        <v>29.24</v>
      </c>
      <c r="DA76" s="1">
        <v>29.256</v>
      </c>
      <c r="DB76" s="1">
        <v>10</v>
      </c>
      <c r="DC76" s="1">
        <v>5</v>
      </c>
      <c r="DD76" s="1">
        <v>5</v>
      </c>
      <c r="DE76" s="1">
        <v>0.82399999999999995</v>
      </c>
      <c r="DF76" s="1">
        <v>17.097999999999999</v>
      </c>
      <c r="DG76" s="1">
        <v>18.542000000000002</v>
      </c>
      <c r="DH76" s="1">
        <v>7</v>
      </c>
      <c r="DI76" s="1">
        <v>1</v>
      </c>
      <c r="DJ76" s="1">
        <v>7</v>
      </c>
      <c r="DK76" s="1">
        <v>7.6280000000000001</v>
      </c>
      <c r="DL76" s="1">
        <v>12.135999999999999</v>
      </c>
      <c r="DM76" s="1">
        <v>12.888</v>
      </c>
      <c r="DN76" s="1">
        <v>6</v>
      </c>
      <c r="DO76" s="1">
        <v>3</v>
      </c>
      <c r="DP76" s="1">
        <v>4</v>
      </c>
      <c r="DQ76" s="1">
        <v>0.72199999999999998</v>
      </c>
      <c r="DR76" s="1">
        <v>20.344999999999999</v>
      </c>
      <c r="DS76" s="1">
        <v>20.745000000000001</v>
      </c>
      <c r="DT76" s="1">
        <v>8</v>
      </c>
      <c r="DU76" s="1">
        <v>4</v>
      </c>
      <c r="DV76" s="1">
        <v>6</v>
      </c>
      <c r="DW76" s="1">
        <v>0.94399999999999995</v>
      </c>
      <c r="DX76" s="1">
        <v>18.766999999999999</v>
      </c>
      <c r="DY76" s="1">
        <v>19.13</v>
      </c>
      <c r="DZ76" s="1">
        <v>8</v>
      </c>
      <c r="EA76" s="1">
        <v>2</v>
      </c>
      <c r="EB76" s="1">
        <v>6</v>
      </c>
      <c r="EC76" s="1">
        <v>1.3819999999999999</v>
      </c>
      <c r="ED76" s="1">
        <v>24.844999999999999</v>
      </c>
      <c r="EE76" s="1">
        <v>25.812000000000001</v>
      </c>
      <c r="EF76" s="1">
        <v>13</v>
      </c>
      <c r="EG76" s="1">
        <v>3</v>
      </c>
      <c r="EH76" s="1">
        <v>6</v>
      </c>
      <c r="EI76" s="1">
        <v>6.6289999999999996</v>
      </c>
      <c r="EJ76" s="1">
        <v>19.010000000000002</v>
      </c>
      <c r="EK76" s="1">
        <v>19.785</v>
      </c>
      <c r="EL76" s="1">
        <v>8</v>
      </c>
      <c r="EM76" s="1">
        <v>1</v>
      </c>
      <c r="EN76" s="1">
        <v>4</v>
      </c>
      <c r="EO76" s="1">
        <v>8.4169999999999998</v>
      </c>
      <c r="EP76" s="1">
        <v>20.166</v>
      </c>
      <c r="EQ76" s="1">
        <v>20.815000000000001</v>
      </c>
      <c r="ER76" s="1">
        <v>10</v>
      </c>
      <c r="ES76" s="1">
        <v>5</v>
      </c>
      <c r="ET76" s="1">
        <v>7</v>
      </c>
      <c r="EU76" s="1">
        <v>6.7830000000000004</v>
      </c>
      <c r="EV76" s="1">
        <v>10.275</v>
      </c>
      <c r="EW76" s="1">
        <v>11.644</v>
      </c>
      <c r="EX76" s="1">
        <v>5</v>
      </c>
      <c r="EY76" s="1">
        <v>2</v>
      </c>
      <c r="EZ76" s="1">
        <v>7</v>
      </c>
      <c r="FA76" s="1">
        <v>8.8279999999999994</v>
      </c>
      <c r="FB76" s="1">
        <v>11.593999999999999</v>
      </c>
      <c r="FC76" s="1">
        <v>12.101000000000001</v>
      </c>
      <c r="FD76" s="1">
        <v>5</v>
      </c>
      <c r="FE76" s="1">
        <v>5</v>
      </c>
      <c r="FF76" s="1">
        <v>7</v>
      </c>
      <c r="FG76" s="1">
        <v>0.79800000000000004</v>
      </c>
      <c r="FH76" s="1">
        <v>10.718</v>
      </c>
      <c r="FI76" s="1">
        <v>11.535</v>
      </c>
      <c r="FJ76" s="1">
        <v>8</v>
      </c>
      <c r="FK76" s="1">
        <v>1</v>
      </c>
      <c r="FL76" s="1">
        <v>7</v>
      </c>
      <c r="FM76" s="1">
        <v>1.444</v>
      </c>
      <c r="FN76" s="1">
        <v>11.946</v>
      </c>
      <c r="FO76" s="1">
        <v>13.196999999999999</v>
      </c>
      <c r="FP76" s="1">
        <v>7</v>
      </c>
      <c r="FQ76" s="1">
        <v>2</v>
      </c>
      <c r="FR76" s="1">
        <v>6</v>
      </c>
      <c r="FS76" s="1">
        <v>10.747999999999999</v>
      </c>
      <c r="FT76" s="1">
        <v>13.843</v>
      </c>
      <c r="FU76" s="1">
        <v>14.391999999999999</v>
      </c>
      <c r="FV76" s="1">
        <v>4</v>
      </c>
      <c r="FW76" s="1">
        <v>5</v>
      </c>
      <c r="FX76" s="1">
        <v>7</v>
      </c>
      <c r="FY76" s="1">
        <v>0.72099999999999997</v>
      </c>
      <c r="FZ76" s="1">
        <v>10.284000000000001</v>
      </c>
      <c r="GA76" s="1">
        <v>11.326000000000001</v>
      </c>
      <c r="GB76" s="1">
        <v>8</v>
      </c>
      <c r="GC76" s="1">
        <v>1</v>
      </c>
      <c r="GD76" s="1">
        <v>7</v>
      </c>
      <c r="GE76" s="1">
        <v>8.032</v>
      </c>
      <c r="GF76" s="1">
        <v>13.805999999999999</v>
      </c>
      <c r="GG76" s="1">
        <v>14.29</v>
      </c>
      <c r="GH76" s="1">
        <v>6</v>
      </c>
      <c r="GI76" s="1">
        <v>2</v>
      </c>
      <c r="GJ76" s="1">
        <v>6</v>
      </c>
      <c r="GK76" s="1">
        <v>0.67600000000000005</v>
      </c>
      <c r="GL76" s="1">
        <v>15.089</v>
      </c>
      <c r="GM76" s="1">
        <v>15.590999999999999</v>
      </c>
      <c r="GN76" s="1">
        <v>6</v>
      </c>
      <c r="GO76" s="1">
        <v>5</v>
      </c>
      <c r="GP76" s="1">
        <v>7</v>
      </c>
      <c r="GQ76" s="1">
        <v>1.6879999999999999</v>
      </c>
      <c r="GR76" s="1">
        <v>24.667999999999999</v>
      </c>
      <c r="GS76" s="1">
        <v>25.048999999999999</v>
      </c>
      <c r="GT76" s="1">
        <v>8</v>
      </c>
      <c r="GU76" s="1">
        <v>1</v>
      </c>
      <c r="GV76" s="1">
        <v>7</v>
      </c>
      <c r="GW76" s="1">
        <v>0.69399999999999995</v>
      </c>
      <c r="GX76" s="1">
        <v>30.725000000000001</v>
      </c>
      <c r="GY76" s="1">
        <v>31.178000000000001</v>
      </c>
      <c r="GZ76" s="1">
        <v>7</v>
      </c>
      <c r="HA76" s="1">
        <v>2</v>
      </c>
      <c r="HB76" s="1">
        <v>6</v>
      </c>
      <c r="HC76" s="1">
        <v>8.7140000000000004</v>
      </c>
      <c r="HD76" s="1">
        <v>12.587999999999999</v>
      </c>
      <c r="HE76" s="1">
        <v>13.24</v>
      </c>
      <c r="HF76" s="1">
        <v>6</v>
      </c>
      <c r="HG76" s="1">
        <v>1</v>
      </c>
      <c r="HH76" s="1">
        <v>7</v>
      </c>
      <c r="HI76" s="1">
        <v>0.9</v>
      </c>
      <c r="HJ76" s="1">
        <v>11.885</v>
      </c>
      <c r="HK76" s="1">
        <v>12.670999999999999</v>
      </c>
      <c r="HL76" s="1">
        <v>10</v>
      </c>
      <c r="HM76" s="4" t="s">
        <v>1168</v>
      </c>
      <c r="HN76" s="4" t="s">
        <v>1169</v>
      </c>
      <c r="HO76" s="4" t="s">
        <v>1170</v>
      </c>
      <c r="HP76" s="4" t="s">
        <v>1171</v>
      </c>
      <c r="HQ76" s="4" t="s">
        <v>1172</v>
      </c>
      <c r="HR76" s="4" t="s">
        <v>1173</v>
      </c>
      <c r="HS76" s="4" t="s">
        <v>1174</v>
      </c>
      <c r="HT76" s="4" t="s">
        <v>1175</v>
      </c>
      <c r="HU76" s="4" t="s">
        <v>1176</v>
      </c>
      <c r="HV76" s="4" t="s">
        <v>1177</v>
      </c>
      <c r="HW76" s="4" t="s">
        <v>282</v>
      </c>
      <c r="HX76" s="4" t="s">
        <v>1178</v>
      </c>
      <c r="HY76" s="4" t="s">
        <v>312</v>
      </c>
      <c r="HZ76" s="4" t="s">
        <v>372</v>
      </c>
      <c r="IA76" s="4" t="s">
        <v>325</v>
      </c>
      <c r="IB76" s="4" t="s">
        <v>282</v>
      </c>
      <c r="IC76" s="4" t="s">
        <v>282</v>
      </c>
    </row>
    <row r="77" spans="1:237" x14ac:dyDescent="0.2">
      <c r="A77" s="3">
        <v>45750.184525462966</v>
      </c>
      <c r="B77" s="3">
        <v>45750.198055555556</v>
      </c>
      <c r="C77" s="1">
        <v>0</v>
      </c>
      <c r="D77" s="4" t="s">
        <v>1179</v>
      </c>
      <c r="E77" s="1">
        <v>100</v>
      </c>
      <c r="F77" s="1">
        <v>1169</v>
      </c>
      <c r="G77" s="1">
        <v>1</v>
      </c>
      <c r="H77" s="3">
        <v>45750.198065937497</v>
      </c>
      <c r="I77" s="4" t="s">
        <v>1180</v>
      </c>
      <c r="J77" s="4" t="s">
        <v>282</v>
      </c>
      <c r="K77" s="4" t="s">
        <v>282</v>
      </c>
      <c r="L77" s="4" t="s">
        <v>282</v>
      </c>
      <c r="M77" s="4" t="s">
        <v>282</v>
      </c>
      <c r="N77" s="1">
        <v>49.500500000000002</v>
      </c>
      <c r="O77" s="1">
        <v>-117.2864</v>
      </c>
      <c r="P77" s="4" t="s">
        <v>283</v>
      </c>
      <c r="Q77" s="4" t="s">
        <v>284</v>
      </c>
      <c r="R77" s="1">
        <v>0.89999997615814209</v>
      </c>
      <c r="S77" s="1">
        <v>1</v>
      </c>
      <c r="T77" s="1">
        <v>1</v>
      </c>
      <c r="U77" s="1">
        <v>1</v>
      </c>
      <c r="V77" s="1">
        <v>1</v>
      </c>
      <c r="W77" s="1">
        <v>4</v>
      </c>
      <c r="X77" s="4" t="s">
        <v>1301</v>
      </c>
      <c r="Y77" s="1">
        <v>5</v>
      </c>
      <c r="Z77" s="1">
        <v>1</v>
      </c>
      <c r="AA77" s="1">
        <v>1</v>
      </c>
      <c r="AB77" s="1">
        <v>1</v>
      </c>
      <c r="AC77" s="1">
        <v>1</v>
      </c>
      <c r="AD77" s="1">
        <v>5</v>
      </c>
      <c r="AE77" s="1">
        <v>8.15</v>
      </c>
      <c r="AF77" s="1">
        <v>13.048</v>
      </c>
      <c r="AG77" s="1">
        <v>14.069000000000001</v>
      </c>
      <c r="AH77" s="1">
        <v>2</v>
      </c>
      <c r="AI77" s="1">
        <v>2</v>
      </c>
      <c r="AJ77" s="1">
        <v>6</v>
      </c>
      <c r="AK77" s="1">
        <v>7.3970000000000002</v>
      </c>
      <c r="AL77" s="1">
        <v>9.0470000000000006</v>
      </c>
      <c r="AM77" s="1">
        <v>9.7319999999999993</v>
      </c>
      <c r="AN77" s="1">
        <v>2</v>
      </c>
      <c r="AO77" s="1">
        <v>2</v>
      </c>
      <c r="AP77" s="1">
        <v>6</v>
      </c>
      <c r="AQ77" s="1">
        <v>7.556</v>
      </c>
      <c r="AR77" s="1">
        <v>9.0180000000000007</v>
      </c>
      <c r="AS77" s="1">
        <v>9.8219999999999992</v>
      </c>
      <c r="AT77" s="1">
        <v>2</v>
      </c>
      <c r="AU77" s="1">
        <v>5</v>
      </c>
      <c r="AV77" s="1">
        <v>5</v>
      </c>
      <c r="AW77" s="1">
        <v>8.6880000000000006</v>
      </c>
      <c r="AX77" s="1">
        <v>10.811</v>
      </c>
      <c r="AY77" s="1">
        <v>11.667999999999999</v>
      </c>
      <c r="AZ77" s="1">
        <v>2</v>
      </c>
      <c r="BA77" s="1">
        <v>5</v>
      </c>
      <c r="BB77" s="1">
        <v>5</v>
      </c>
      <c r="BC77" s="1">
        <v>7.8390000000000004</v>
      </c>
      <c r="BD77" s="1">
        <v>9.9030000000000005</v>
      </c>
      <c r="BE77" s="1">
        <v>10.894</v>
      </c>
      <c r="BF77" s="1">
        <v>2</v>
      </c>
      <c r="BG77" s="1">
        <v>1</v>
      </c>
      <c r="BH77" s="1">
        <v>5</v>
      </c>
      <c r="BI77" s="1">
        <v>7.0190000000000001</v>
      </c>
      <c r="BJ77" s="1">
        <v>9.5090000000000003</v>
      </c>
      <c r="BK77" s="1">
        <v>10.637</v>
      </c>
      <c r="BL77" s="1">
        <v>3</v>
      </c>
      <c r="BM77" s="1">
        <v>2</v>
      </c>
      <c r="BN77" s="1">
        <v>6</v>
      </c>
      <c r="BO77" s="1">
        <v>8.6240000000000006</v>
      </c>
      <c r="BP77" s="1">
        <v>10.281000000000001</v>
      </c>
      <c r="BQ77" s="1">
        <v>11.2</v>
      </c>
      <c r="BR77" s="1">
        <v>2</v>
      </c>
      <c r="BS77" s="1">
        <v>2</v>
      </c>
      <c r="BT77" s="1">
        <v>5</v>
      </c>
      <c r="BU77" s="1">
        <v>11.048999999999999</v>
      </c>
      <c r="BV77" s="1">
        <v>13.119</v>
      </c>
      <c r="BW77" s="1">
        <v>13.992000000000001</v>
      </c>
      <c r="BX77" s="1">
        <v>2</v>
      </c>
      <c r="BY77" s="1">
        <v>3</v>
      </c>
      <c r="BZ77" s="1">
        <v>5</v>
      </c>
      <c r="CA77" s="1">
        <v>20.998999999999999</v>
      </c>
      <c r="CB77" s="1">
        <v>23.387</v>
      </c>
      <c r="CC77" s="1">
        <v>24.396999999999998</v>
      </c>
      <c r="CD77" s="1">
        <v>2</v>
      </c>
      <c r="CE77" s="1">
        <v>3</v>
      </c>
      <c r="CF77" s="1">
        <v>4</v>
      </c>
      <c r="CG77" s="1">
        <v>11.313000000000001</v>
      </c>
      <c r="CH77" s="1">
        <v>13.885</v>
      </c>
      <c r="CI77" s="1">
        <v>15.403</v>
      </c>
      <c r="CJ77" s="1">
        <v>3</v>
      </c>
      <c r="CK77" s="1">
        <v>1</v>
      </c>
      <c r="CL77" s="1">
        <v>5</v>
      </c>
      <c r="CM77" s="1">
        <v>6.9130000000000003</v>
      </c>
      <c r="CN77" s="1">
        <v>8.4030000000000005</v>
      </c>
      <c r="CO77" s="1">
        <v>9.2769999999999992</v>
      </c>
      <c r="CP77" s="1">
        <v>2</v>
      </c>
      <c r="CQ77" s="1">
        <v>2</v>
      </c>
      <c r="CR77" s="1">
        <v>6</v>
      </c>
      <c r="CS77" s="1">
        <v>8.1509999999999998</v>
      </c>
      <c r="CT77" s="1">
        <v>9.6590000000000007</v>
      </c>
      <c r="CU77" s="1">
        <v>11.206</v>
      </c>
      <c r="CV77" s="1">
        <v>2</v>
      </c>
      <c r="CW77" s="1">
        <v>2</v>
      </c>
      <c r="CX77" s="1">
        <v>5</v>
      </c>
      <c r="CY77" s="1">
        <v>7.1130000000000004</v>
      </c>
      <c r="CZ77" s="1">
        <v>9.6329999999999991</v>
      </c>
      <c r="DA77" s="1">
        <v>10.782999999999999</v>
      </c>
      <c r="DB77" s="1">
        <v>2</v>
      </c>
      <c r="DC77" s="1">
        <v>5</v>
      </c>
      <c r="DD77" s="1">
        <v>5</v>
      </c>
      <c r="DE77" s="1">
        <v>7.827</v>
      </c>
      <c r="DF77" s="1">
        <v>9.8879999999999999</v>
      </c>
      <c r="DG77" s="1">
        <v>10.763999999999999</v>
      </c>
      <c r="DH77" s="1">
        <v>2</v>
      </c>
      <c r="DI77" s="1">
        <v>3</v>
      </c>
      <c r="DJ77" s="1">
        <v>6</v>
      </c>
      <c r="DK77" s="1">
        <v>9.3119999999999994</v>
      </c>
      <c r="DL77" s="1">
        <v>11.000999999999999</v>
      </c>
      <c r="DM77" s="1">
        <v>12.727</v>
      </c>
      <c r="DN77" s="1">
        <v>2</v>
      </c>
      <c r="DO77" s="1">
        <v>1</v>
      </c>
      <c r="DP77" s="1">
        <v>5</v>
      </c>
      <c r="DQ77" s="1">
        <v>6.9960000000000004</v>
      </c>
      <c r="DR77" s="1">
        <v>9.2989999999999995</v>
      </c>
      <c r="DS77" s="1">
        <v>10.127000000000001</v>
      </c>
      <c r="DT77" s="1">
        <v>2</v>
      </c>
      <c r="DU77" s="1">
        <v>2</v>
      </c>
      <c r="DV77" s="1">
        <v>6</v>
      </c>
      <c r="DW77" s="1">
        <v>6.6879999999999997</v>
      </c>
      <c r="DX77" s="1">
        <v>9.0660000000000007</v>
      </c>
      <c r="DY77" s="1">
        <v>10.545</v>
      </c>
      <c r="DZ77" s="1">
        <v>2</v>
      </c>
      <c r="EA77" s="1">
        <v>1</v>
      </c>
      <c r="EB77" s="1">
        <v>5</v>
      </c>
      <c r="EC77" s="1">
        <v>11.327999999999999</v>
      </c>
      <c r="ED77" s="1">
        <v>13.121</v>
      </c>
      <c r="EE77" s="1">
        <v>14.256</v>
      </c>
      <c r="EF77" s="1">
        <v>2</v>
      </c>
      <c r="EG77" s="1">
        <v>5</v>
      </c>
      <c r="EH77" s="1">
        <v>6</v>
      </c>
      <c r="EI77" s="1">
        <v>8.4570000000000007</v>
      </c>
      <c r="EJ77" s="1">
        <v>11.577</v>
      </c>
      <c r="EK77" s="1">
        <v>12.509</v>
      </c>
      <c r="EL77" s="1">
        <v>2</v>
      </c>
      <c r="EM77" s="1">
        <v>3</v>
      </c>
      <c r="EN77" s="1">
        <v>5</v>
      </c>
      <c r="EO77" s="1">
        <v>9.9420000000000002</v>
      </c>
      <c r="EP77" s="1">
        <v>12.192</v>
      </c>
      <c r="EQ77" s="1">
        <v>13.26</v>
      </c>
      <c r="ER77" s="1">
        <v>2</v>
      </c>
      <c r="ES77" s="1">
        <v>1</v>
      </c>
      <c r="ET77" s="1">
        <v>5</v>
      </c>
      <c r="EU77" s="1">
        <v>9.6560000000000006</v>
      </c>
      <c r="EV77" s="1">
        <v>10.759</v>
      </c>
      <c r="EW77" s="1">
        <v>12.563000000000001</v>
      </c>
      <c r="EX77" s="1">
        <v>2</v>
      </c>
      <c r="EY77" s="1">
        <v>2</v>
      </c>
      <c r="EZ77" s="1">
        <v>6</v>
      </c>
      <c r="FA77" s="1">
        <v>8.6180000000000003</v>
      </c>
      <c r="FB77" s="1">
        <v>9.6980000000000004</v>
      </c>
      <c r="FC77" s="1">
        <v>11.353999999999999</v>
      </c>
      <c r="FD77" s="1">
        <v>2</v>
      </c>
      <c r="FE77" s="1">
        <v>5</v>
      </c>
      <c r="FF77" s="1">
        <v>5</v>
      </c>
      <c r="FG77" s="1">
        <v>11.727</v>
      </c>
      <c r="FH77" s="1">
        <v>14.083</v>
      </c>
      <c r="FI77" s="1">
        <v>15.023</v>
      </c>
      <c r="FJ77" s="1">
        <v>2</v>
      </c>
      <c r="FK77" s="1">
        <v>1</v>
      </c>
      <c r="FL77" s="1">
        <v>5</v>
      </c>
      <c r="FM77" s="1">
        <v>30.193999999999999</v>
      </c>
      <c r="FN77" s="1">
        <v>35.197000000000003</v>
      </c>
      <c r="FO77" s="1">
        <v>36.353000000000002</v>
      </c>
      <c r="FP77" s="1">
        <v>2</v>
      </c>
      <c r="FQ77" s="1">
        <v>2</v>
      </c>
      <c r="FR77" s="1">
        <v>6</v>
      </c>
      <c r="FS77" s="1">
        <v>13.801</v>
      </c>
      <c r="FT77" s="1">
        <v>18.343</v>
      </c>
      <c r="FU77" s="1">
        <v>19.454999999999998</v>
      </c>
      <c r="FV77" s="1">
        <v>2</v>
      </c>
      <c r="FW77" s="1">
        <v>5</v>
      </c>
      <c r="FX77" s="1">
        <v>5</v>
      </c>
      <c r="FY77" s="1">
        <v>18.190000000000001</v>
      </c>
      <c r="FZ77" s="1">
        <v>21.288</v>
      </c>
      <c r="GA77" s="1">
        <v>22.483000000000001</v>
      </c>
      <c r="GB77" s="1">
        <v>2</v>
      </c>
      <c r="GC77" s="1">
        <v>1</v>
      </c>
      <c r="GD77" s="1">
        <v>6</v>
      </c>
      <c r="GE77" s="1">
        <v>8.1460000000000008</v>
      </c>
      <c r="GF77" s="1">
        <v>9.7739999999999991</v>
      </c>
      <c r="GG77" s="1">
        <v>11.419</v>
      </c>
      <c r="GH77" s="1">
        <v>2</v>
      </c>
      <c r="GI77" s="1">
        <v>2</v>
      </c>
      <c r="GJ77" s="1">
        <v>6</v>
      </c>
      <c r="GK77" s="1">
        <v>8.6199999999999992</v>
      </c>
      <c r="GL77" s="1">
        <v>10.63</v>
      </c>
      <c r="GM77" s="1">
        <v>12.208</v>
      </c>
      <c r="GN77" s="1">
        <v>2</v>
      </c>
      <c r="GO77" s="1">
        <v>5</v>
      </c>
      <c r="GP77" s="1">
        <v>5</v>
      </c>
      <c r="GQ77" s="1">
        <v>23.885999999999999</v>
      </c>
      <c r="GR77" s="1">
        <v>26.428000000000001</v>
      </c>
      <c r="GS77" s="1">
        <v>27.614999999999998</v>
      </c>
      <c r="GT77" s="1">
        <v>2</v>
      </c>
      <c r="GU77" s="1">
        <v>1</v>
      </c>
      <c r="GV77" s="1">
        <v>5</v>
      </c>
      <c r="GW77" s="1">
        <v>8.3119999999999994</v>
      </c>
      <c r="GX77" s="1">
        <v>9.1959999999999997</v>
      </c>
      <c r="GY77" s="1">
        <v>11.215</v>
      </c>
      <c r="GZ77" s="1">
        <v>2</v>
      </c>
      <c r="HA77" s="1">
        <v>2</v>
      </c>
      <c r="HB77" s="1">
        <v>6</v>
      </c>
      <c r="HC77" s="1">
        <v>7.7960000000000003</v>
      </c>
      <c r="HD77" s="1">
        <v>9.7910000000000004</v>
      </c>
      <c r="HE77" s="1">
        <v>10.618</v>
      </c>
      <c r="HF77" s="1">
        <v>2</v>
      </c>
      <c r="HG77" s="1">
        <v>1</v>
      </c>
      <c r="HH77" s="1">
        <v>5</v>
      </c>
      <c r="HI77" s="1">
        <v>9.4339999999999993</v>
      </c>
      <c r="HJ77" s="1">
        <v>11.481999999999999</v>
      </c>
      <c r="HK77" s="1">
        <v>12.422000000000001</v>
      </c>
      <c r="HL77" s="1">
        <v>2</v>
      </c>
      <c r="HM77" s="4" t="s">
        <v>1182</v>
      </c>
      <c r="HN77" s="4" t="s">
        <v>1183</v>
      </c>
      <c r="HO77" s="4" t="s">
        <v>1184</v>
      </c>
      <c r="HP77" s="4" t="s">
        <v>1183</v>
      </c>
      <c r="HQ77" s="4" t="s">
        <v>1185</v>
      </c>
      <c r="HR77" s="4" t="s">
        <v>1183</v>
      </c>
      <c r="HS77" s="4" t="s">
        <v>1186</v>
      </c>
      <c r="HT77" s="4" t="s">
        <v>1183</v>
      </c>
      <c r="HU77" s="4" t="s">
        <v>1187</v>
      </c>
      <c r="HV77" s="4" t="s">
        <v>1183</v>
      </c>
      <c r="HW77" s="4" t="s">
        <v>282</v>
      </c>
      <c r="HX77" s="4" t="s">
        <v>282</v>
      </c>
      <c r="HY77" s="4" t="s">
        <v>312</v>
      </c>
      <c r="HZ77" s="4" t="s">
        <v>356</v>
      </c>
      <c r="IA77" s="4" t="s">
        <v>313</v>
      </c>
      <c r="IB77" s="4" t="s">
        <v>282</v>
      </c>
      <c r="IC77" s="4" t="s">
        <v>282</v>
      </c>
    </row>
    <row r="78" spans="1:237" x14ac:dyDescent="0.2">
      <c r="A78" s="3">
        <v>45750.295127314814</v>
      </c>
      <c r="B78" s="3">
        <v>45750.306481481479</v>
      </c>
      <c r="C78" s="1">
        <v>0</v>
      </c>
      <c r="D78" s="4" t="s">
        <v>1188</v>
      </c>
      <c r="E78" s="1">
        <v>100</v>
      </c>
      <c r="F78" s="1">
        <v>981</v>
      </c>
      <c r="G78" s="1">
        <v>1</v>
      </c>
      <c r="H78" s="3">
        <v>45750.306500810184</v>
      </c>
      <c r="I78" s="4" t="s">
        <v>1189</v>
      </c>
      <c r="J78" s="4" t="s">
        <v>282</v>
      </c>
      <c r="K78" s="4" t="s">
        <v>282</v>
      </c>
      <c r="L78" s="4" t="s">
        <v>282</v>
      </c>
      <c r="M78" s="4" t="s">
        <v>282</v>
      </c>
      <c r="N78" s="1">
        <v>46.614899999999999</v>
      </c>
      <c r="O78" s="1">
        <v>6.5111999999999997</v>
      </c>
      <c r="P78" s="4" t="s">
        <v>283</v>
      </c>
      <c r="Q78" s="4" t="s">
        <v>284</v>
      </c>
      <c r="R78" s="1">
        <v>1</v>
      </c>
      <c r="S78" s="1">
        <v>1</v>
      </c>
      <c r="T78" s="1">
        <v>1</v>
      </c>
      <c r="U78" s="1">
        <v>1</v>
      </c>
      <c r="V78" s="1">
        <v>1</v>
      </c>
      <c r="W78" s="1">
        <v>4</v>
      </c>
      <c r="X78" s="4" t="s">
        <v>497</v>
      </c>
      <c r="Y78" s="1">
        <v>5</v>
      </c>
      <c r="Z78" s="1">
        <v>4</v>
      </c>
      <c r="AA78" s="1">
        <v>4</v>
      </c>
      <c r="AB78" s="1">
        <v>3</v>
      </c>
      <c r="AC78" s="4" t="s">
        <v>282</v>
      </c>
      <c r="AD78" s="1">
        <v>5</v>
      </c>
      <c r="AE78" s="1">
        <v>10.122</v>
      </c>
      <c r="AF78" s="1">
        <v>11.733000000000001</v>
      </c>
      <c r="AG78" s="1">
        <v>12.481</v>
      </c>
      <c r="AH78" s="1">
        <v>2</v>
      </c>
      <c r="AI78" s="1">
        <v>2</v>
      </c>
      <c r="AJ78" s="1">
        <v>6</v>
      </c>
      <c r="AK78" s="1">
        <v>5.8380000000000001</v>
      </c>
      <c r="AL78" s="1">
        <v>9.827</v>
      </c>
      <c r="AM78" s="1">
        <v>10.236000000000001</v>
      </c>
      <c r="AN78" s="1">
        <v>3</v>
      </c>
      <c r="AO78" s="1">
        <v>2</v>
      </c>
      <c r="AP78" s="1">
        <v>5</v>
      </c>
      <c r="AQ78" s="1">
        <v>7.6310000000000002</v>
      </c>
      <c r="AR78" s="1">
        <v>13.023999999999999</v>
      </c>
      <c r="AS78" s="1">
        <v>14.101000000000001</v>
      </c>
      <c r="AT78" s="1">
        <v>4</v>
      </c>
      <c r="AU78" s="1">
        <v>5</v>
      </c>
      <c r="AV78" s="1">
        <v>5</v>
      </c>
      <c r="AW78" s="1">
        <v>7.8159999999999998</v>
      </c>
      <c r="AX78" s="1">
        <v>10.087999999999999</v>
      </c>
      <c r="AY78" s="1">
        <v>10.837</v>
      </c>
      <c r="AZ78" s="1">
        <v>2</v>
      </c>
      <c r="BA78" s="1">
        <v>3</v>
      </c>
      <c r="BB78" s="1">
        <v>4</v>
      </c>
      <c r="BC78" s="1">
        <v>10.816000000000001</v>
      </c>
      <c r="BD78" s="1">
        <v>18.472999999999999</v>
      </c>
      <c r="BE78" s="1">
        <v>19.155999999999999</v>
      </c>
      <c r="BF78" s="1">
        <v>5</v>
      </c>
      <c r="BG78" s="1">
        <v>1</v>
      </c>
      <c r="BH78" s="1">
        <v>5</v>
      </c>
      <c r="BI78" s="1">
        <v>8.5820000000000007</v>
      </c>
      <c r="BJ78" s="1">
        <v>10.426</v>
      </c>
      <c r="BK78" s="1">
        <v>13.4</v>
      </c>
      <c r="BL78" s="1">
        <v>2</v>
      </c>
      <c r="BM78" s="1">
        <v>2</v>
      </c>
      <c r="BN78" s="1">
        <v>5</v>
      </c>
      <c r="BO78" s="1">
        <v>8.0419999999999998</v>
      </c>
      <c r="BP78" s="1">
        <v>11.374000000000001</v>
      </c>
      <c r="BQ78" s="1">
        <v>11.615</v>
      </c>
      <c r="BR78" s="1">
        <v>4</v>
      </c>
      <c r="BS78" s="1">
        <v>3</v>
      </c>
      <c r="BT78" s="1">
        <v>5</v>
      </c>
      <c r="BU78" s="1">
        <v>11.503</v>
      </c>
      <c r="BV78" s="1">
        <v>13.003</v>
      </c>
      <c r="BW78" s="1">
        <v>13.909000000000001</v>
      </c>
      <c r="BX78" s="1">
        <v>2</v>
      </c>
      <c r="BY78" s="1">
        <v>3</v>
      </c>
      <c r="BZ78" s="1">
        <v>6</v>
      </c>
      <c r="CA78" s="1">
        <v>6.38</v>
      </c>
      <c r="CB78" s="1">
        <v>10.603999999999999</v>
      </c>
      <c r="CC78" s="1">
        <v>11.680999999999999</v>
      </c>
      <c r="CD78" s="1">
        <v>2</v>
      </c>
      <c r="CE78" s="1">
        <v>3</v>
      </c>
      <c r="CF78" s="1">
        <v>6</v>
      </c>
      <c r="CG78" s="1">
        <v>7.2619999999999996</v>
      </c>
      <c r="CH78" s="1">
        <v>8.4629999999999992</v>
      </c>
      <c r="CI78" s="1">
        <v>9.5310000000000006</v>
      </c>
      <c r="CJ78" s="1">
        <v>2</v>
      </c>
      <c r="CK78" s="1">
        <v>2</v>
      </c>
      <c r="CL78" s="1">
        <v>5</v>
      </c>
      <c r="CM78" s="1">
        <v>10.058999999999999</v>
      </c>
      <c r="CN78" s="1">
        <v>11.83</v>
      </c>
      <c r="CO78" s="1">
        <v>12.791</v>
      </c>
      <c r="CP78" s="1">
        <v>2</v>
      </c>
      <c r="CQ78" s="1">
        <v>2</v>
      </c>
      <c r="CR78" s="1">
        <v>6</v>
      </c>
      <c r="CS78" s="1">
        <v>8.6560000000000006</v>
      </c>
      <c r="CT78" s="1">
        <v>12.925000000000001</v>
      </c>
      <c r="CU78" s="1">
        <v>13.872</v>
      </c>
      <c r="CV78" s="1">
        <v>2</v>
      </c>
      <c r="CW78" s="4" t="s">
        <v>282</v>
      </c>
      <c r="CX78" s="1">
        <v>5</v>
      </c>
      <c r="CY78" s="1">
        <v>7.7619999999999996</v>
      </c>
      <c r="CZ78" s="1">
        <v>12.794</v>
      </c>
      <c r="DA78" s="1">
        <v>14.18</v>
      </c>
      <c r="DB78" s="1">
        <v>3</v>
      </c>
      <c r="DC78" s="1">
        <v>5</v>
      </c>
      <c r="DD78" s="1">
        <v>4</v>
      </c>
      <c r="DE78" s="1">
        <v>6.5439999999999996</v>
      </c>
      <c r="DF78" s="1">
        <v>10.728999999999999</v>
      </c>
      <c r="DG78" s="1">
        <v>11.895</v>
      </c>
      <c r="DH78" s="1">
        <v>2</v>
      </c>
      <c r="DI78" s="1">
        <v>3</v>
      </c>
      <c r="DJ78" s="1">
        <v>4</v>
      </c>
      <c r="DK78" s="1">
        <v>10.845000000000001</v>
      </c>
      <c r="DL78" s="1">
        <v>15.39</v>
      </c>
      <c r="DM78" s="1">
        <v>16.294</v>
      </c>
      <c r="DN78" s="1">
        <v>2</v>
      </c>
      <c r="DO78" s="4" t="s">
        <v>282</v>
      </c>
      <c r="DP78" s="1">
        <v>4</v>
      </c>
      <c r="DQ78" s="1">
        <v>6.1639999999999997</v>
      </c>
      <c r="DR78" s="1">
        <v>10.602</v>
      </c>
      <c r="DS78" s="1">
        <v>11.552</v>
      </c>
      <c r="DT78" s="1">
        <v>2</v>
      </c>
      <c r="DU78" s="1">
        <v>2</v>
      </c>
      <c r="DV78" s="1">
        <v>6</v>
      </c>
      <c r="DW78" s="1">
        <v>7.6349999999999998</v>
      </c>
      <c r="DX78" s="1">
        <v>12.413</v>
      </c>
      <c r="DY78" s="1">
        <v>12.734</v>
      </c>
      <c r="DZ78" s="1">
        <v>3</v>
      </c>
      <c r="EA78" s="1">
        <v>1</v>
      </c>
      <c r="EB78" s="1">
        <v>6</v>
      </c>
      <c r="EC78" s="1">
        <v>4.7699999999999996</v>
      </c>
      <c r="ED78" s="1">
        <v>6.9809999999999999</v>
      </c>
      <c r="EE78" s="1">
        <v>9.2810000000000006</v>
      </c>
      <c r="EF78" s="1">
        <v>2</v>
      </c>
      <c r="EG78" s="1">
        <v>5</v>
      </c>
      <c r="EH78" s="1">
        <v>6</v>
      </c>
      <c r="EI78" s="1">
        <v>13.682</v>
      </c>
      <c r="EJ78" s="1">
        <v>18.872</v>
      </c>
      <c r="EK78" s="1">
        <v>19.73</v>
      </c>
      <c r="EL78" s="1">
        <v>3</v>
      </c>
      <c r="EM78" s="1">
        <v>3</v>
      </c>
      <c r="EN78" s="1">
        <v>6</v>
      </c>
      <c r="EO78" s="1">
        <v>8.3510000000000009</v>
      </c>
      <c r="EP78" s="1">
        <v>10.762</v>
      </c>
      <c r="EQ78" s="1">
        <v>11.62</v>
      </c>
      <c r="ER78" s="1">
        <v>2</v>
      </c>
      <c r="ES78" s="4" t="s">
        <v>282</v>
      </c>
      <c r="ET78" s="1">
        <v>4</v>
      </c>
      <c r="EU78" s="1">
        <v>11.167999999999999</v>
      </c>
      <c r="EV78" s="1">
        <v>15.087</v>
      </c>
      <c r="EW78" s="1">
        <v>15.647</v>
      </c>
      <c r="EX78" s="1">
        <v>3</v>
      </c>
      <c r="EY78" s="1">
        <v>1</v>
      </c>
      <c r="EZ78" s="1">
        <v>5</v>
      </c>
      <c r="FA78" s="1">
        <v>19.03</v>
      </c>
      <c r="FB78" s="1">
        <v>22.206</v>
      </c>
      <c r="FC78" s="1">
        <v>23.957999999999998</v>
      </c>
      <c r="FD78" s="1">
        <v>2</v>
      </c>
      <c r="FE78" s="1">
        <v>5</v>
      </c>
      <c r="FF78" s="1">
        <v>6</v>
      </c>
      <c r="FG78" s="1">
        <v>7.4219999999999997</v>
      </c>
      <c r="FH78" s="1">
        <v>10.912000000000001</v>
      </c>
      <c r="FI78" s="1">
        <v>12.101000000000001</v>
      </c>
      <c r="FJ78" s="1">
        <v>2</v>
      </c>
      <c r="FK78" s="1">
        <v>1</v>
      </c>
      <c r="FL78" s="1">
        <v>5</v>
      </c>
      <c r="FM78" s="1">
        <v>4.6680000000000001</v>
      </c>
      <c r="FN78" s="1">
        <v>7.8860000000000001</v>
      </c>
      <c r="FO78" s="1">
        <v>9.8239999999999998</v>
      </c>
      <c r="FP78" s="1">
        <v>2</v>
      </c>
      <c r="FQ78" s="1">
        <v>2</v>
      </c>
      <c r="FR78" s="1">
        <v>6</v>
      </c>
      <c r="FS78" s="1">
        <v>7.1559999999999997</v>
      </c>
      <c r="FT78" s="1">
        <v>9.0449999999999999</v>
      </c>
      <c r="FU78" s="1">
        <v>10.016</v>
      </c>
      <c r="FV78" s="1">
        <v>2</v>
      </c>
      <c r="FW78" s="1">
        <v>2</v>
      </c>
      <c r="FX78" s="1">
        <v>5</v>
      </c>
      <c r="FY78" s="1">
        <v>9.7260000000000009</v>
      </c>
      <c r="FZ78" s="1">
        <v>12.164</v>
      </c>
      <c r="GA78" s="1">
        <v>13.601000000000001</v>
      </c>
      <c r="GB78" s="1">
        <v>3</v>
      </c>
      <c r="GC78" s="1">
        <v>1</v>
      </c>
      <c r="GD78" s="1">
        <v>6</v>
      </c>
      <c r="GE78" s="1">
        <v>19.120999999999999</v>
      </c>
      <c r="GF78" s="1">
        <v>26.68</v>
      </c>
      <c r="GG78" s="1">
        <v>27.922999999999998</v>
      </c>
      <c r="GH78" s="1">
        <v>2</v>
      </c>
      <c r="GI78" s="1">
        <v>2</v>
      </c>
      <c r="GJ78" s="1">
        <v>6</v>
      </c>
      <c r="GK78" s="1">
        <v>10.664999999999999</v>
      </c>
      <c r="GL78" s="1">
        <v>13.032999999999999</v>
      </c>
      <c r="GM78" s="1">
        <v>15.137</v>
      </c>
      <c r="GN78" s="1">
        <v>2</v>
      </c>
      <c r="GO78" s="1">
        <v>5</v>
      </c>
      <c r="GP78" s="1">
        <v>6</v>
      </c>
      <c r="GQ78" s="1">
        <v>10.34</v>
      </c>
      <c r="GR78" s="1">
        <v>12.962</v>
      </c>
      <c r="GS78" s="1">
        <v>13.859</v>
      </c>
      <c r="GT78" s="1">
        <v>2</v>
      </c>
      <c r="GU78" s="1">
        <v>1</v>
      </c>
      <c r="GV78" s="1">
        <v>6</v>
      </c>
      <c r="GW78" s="1">
        <v>7.6239999999999997</v>
      </c>
      <c r="GX78" s="1">
        <v>9.4689999999999994</v>
      </c>
      <c r="GY78" s="1">
        <v>10.759</v>
      </c>
      <c r="GZ78" s="1">
        <v>2</v>
      </c>
      <c r="HA78" s="1">
        <v>2</v>
      </c>
      <c r="HB78" s="1">
        <v>5</v>
      </c>
      <c r="HC78" s="1">
        <v>6.9660000000000002</v>
      </c>
      <c r="HD78" s="1">
        <v>11.196</v>
      </c>
      <c r="HE78" s="1">
        <v>11.519</v>
      </c>
      <c r="HF78" s="1">
        <v>3</v>
      </c>
      <c r="HG78" s="1">
        <v>1</v>
      </c>
      <c r="HH78" s="1">
        <v>6</v>
      </c>
      <c r="HI78" s="1">
        <v>6.1760000000000002</v>
      </c>
      <c r="HJ78" s="1">
        <v>8.9499999999999993</v>
      </c>
      <c r="HK78" s="1">
        <v>10.333</v>
      </c>
      <c r="HL78" s="1">
        <v>2</v>
      </c>
      <c r="HM78" s="4" t="s">
        <v>1190</v>
      </c>
      <c r="HN78" s="4" t="s">
        <v>1191</v>
      </c>
      <c r="HO78" s="4" t="s">
        <v>1192</v>
      </c>
      <c r="HP78" s="4" t="s">
        <v>1193</v>
      </c>
      <c r="HQ78" s="4" t="s">
        <v>1194</v>
      </c>
      <c r="HR78" s="4" t="s">
        <v>1195</v>
      </c>
      <c r="HS78" s="4" t="s">
        <v>308</v>
      </c>
      <c r="HT78" s="4" t="s">
        <v>566</v>
      </c>
      <c r="HU78" s="4" t="s">
        <v>1196</v>
      </c>
      <c r="HV78" s="4" t="s">
        <v>1197</v>
      </c>
      <c r="HW78" s="4" t="s">
        <v>282</v>
      </c>
      <c r="HX78" s="4" t="s">
        <v>282</v>
      </c>
      <c r="HY78" s="4" t="s">
        <v>312</v>
      </c>
      <c r="HZ78" s="4" t="s">
        <v>356</v>
      </c>
      <c r="IA78" s="4" t="s">
        <v>313</v>
      </c>
      <c r="IB78" s="4" t="s">
        <v>282</v>
      </c>
      <c r="IC78" s="4" t="s">
        <v>282</v>
      </c>
    </row>
    <row r="79" spans="1:237" x14ac:dyDescent="0.2">
      <c r="A79" s="3">
        <v>45750.346712962964</v>
      </c>
      <c r="B79" s="3">
        <v>45750.368668981479</v>
      </c>
      <c r="C79" s="1">
        <v>0</v>
      </c>
      <c r="D79" s="4" t="s">
        <v>1198</v>
      </c>
      <c r="E79" s="1">
        <v>100</v>
      </c>
      <c r="F79" s="1">
        <v>1896</v>
      </c>
      <c r="G79" s="1">
        <v>1</v>
      </c>
      <c r="H79" s="3">
        <v>45750.368676747683</v>
      </c>
      <c r="I79" s="4" t="s">
        <v>1199</v>
      </c>
      <c r="J79" s="4" t="s">
        <v>282</v>
      </c>
      <c r="K79" s="4" t="s">
        <v>282</v>
      </c>
      <c r="L79" s="4" t="s">
        <v>282</v>
      </c>
      <c r="M79" s="4" t="s">
        <v>282</v>
      </c>
      <c r="N79" s="1">
        <v>51.060499999999998</v>
      </c>
      <c r="O79" s="1">
        <v>-114.11020000000001</v>
      </c>
      <c r="P79" s="4" t="s">
        <v>283</v>
      </c>
      <c r="Q79" s="4" t="s">
        <v>284</v>
      </c>
      <c r="R79" s="1">
        <v>1</v>
      </c>
      <c r="S79" s="1">
        <v>1</v>
      </c>
      <c r="T79" s="1">
        <v>1</v>
      </c>
      <c r="U79" s="1">
        <v>1</v>
      </c>
      <c r="V79" s="1">
        <v>1</v>
      </c>
      <c r="W79" s="1">
        <v>12</v>
      </c>
      <c r="X79" s="4" t="s">
        <v>1282</v>
      </c>
      <c r="Y79" s="1">
        <v>5</v>
      </c>
      <c r="Z79" s="1">
        <v>3</v>
      </c>
      <c r="AA79" s="1">
        <v>5</v>
      </c>
      <c r="AB79" s="1">
        <v>2</v>
      </c>
      <c r="AC79" s="1">
        <v>3</v>
      </c>
      <c r="AD79" s="1">
        <v>3</v>
      </c>
      <c r="AE79" s="1">
        <v>13.35</v>
      </c>
      <c r="AF79" s="1">
        <v>16.745000000000001</v>
      </c>
      <c r="AG79" s="1">
        <v>17.741</v>
      </c>
      <c r="AH79" s="1">
        <v>6</v>
      </c>
      <c r="AI79" s="1">
        <v>2</v>
      </c>
      <c r="AJ79" s="1">
        <v>5</v>
      </c>
      <c r="AK79" s="1">
        <v>7.8470000000000004</v>
      </c>
      <c r="AL79" s="1">
        <v>12.103999999999999</v>
      </c>
      <c r="AM79" s="1">
        <v>12.544</v>
      </c>
      <c r="AN79" s="1">
        <v>8</v>
      </c>
      <c r="AO79" s="1">
        <v>2</v>
      </c>
      <c r="AP79" s="1">
        <v>5</v>
      </c>
      <c r="AQ79" s="1">
        <v>8.2970000000000006</v>
      </c>
      <c r="AR79" s="1">
        <v>15.329000000000001</v>
      </c>
      <c r="AS79" s="1">
        <v>15.932</v>
      </c>
      <c r="AT79" s="1">
        <v>7</v>
      </c>
      <c r="AU79" s="1">
        <v>3</v>
      </c>
      <c r="AV79" s="1">
        <v>3</v>
      </c>
      <c r="AW79" s="1">
        <v>10.64</v>
      </c>
      <c r="AX79" s="1">
        <v>19.091999999999999</v>
      </c>
      <c r="AY79" s="1">
        <v>19.475000000000001</v>
      </c>
      <c r="AZ79" s="1">
        <v>6</v>
      </c>
      <c r="BA79" s="1">
        <v>5</v>
      </c>
      <c r="BB79" s="1">
        <v>4</v>
      </c>
      <c r="BC79" s="1">
        <v>11.048</v>
      </c>
      <c r="BD79" s="1">
        <v>61.735999999999997</v>
      </c>
      <c r="BE79" s="1">
        <v>62.04</v>
      </c>
      <c r="BF79" s="1">
        <v>18</v>
      </c>
      <c r="BG79" s="1">
        <v>1</v>
      </c>
      <c r="BH79" s="1">
        <v>5</v>
      </c>
      <c r="BI79" s="1">
        <v>12.997</v>
      </c>
      <c r="BJ79" s="1">
        <v>25.033999999999999</v>
      </c>
      <c r="BK79" s="1">
        <v>25.797999999999998</v>
      </c>
      <c r="BL79" s="1">
        <v>7</v>
      </c>
      <c r="BM79" s="1">
        <v>2</v>
      </c>
      <c r="BN79" s="1">
        <v>4</v>
      </c>
      <c r="BO79" s="1">
        <v>12.295999999999999</v>
      </c>
      <c r="BP79" s="1">
        <v>21.093</v>
      </c>
      <c r="BQ79" s="1">
        <v>21.638999999999999</v>
      </c>
      <c r="BR79" s="1">
        <v>5</v>
      </c>
      <c r="BS79" s="1">
        <v>4</v>
      </c>
      <c r="BT79" s="1">
        <v>4</v>
      </c>
      <c r="BU79" s="1">
        <v>10.661</v>
      </c>
      <c r="BV79" s="1">
        <v>22.649000000000001</v>
      </c>
      <c r="BW79" s="1">
        <v>23.094999999999999</v>
      </c>
      <c r="BX79" s="1">
        <v>14</v>
      </c>
      <c r="BY79" s="1">
        <v>4</v>
      </c>
      <c r="BZ79" s="1">
        <v>4</v>
      </c>
      <c r="CA79" s="1">
        <v>5.6459999999999999</v>
      </c>
      <c r="CB79" s="1">
        <v>9.2029999999999994</v>
      </c>
      <c r="CC79" s="1">
        <v>9.4789999999999992</v>
      </c>
      <c r="CD79" s="1">
        <v>7</v>
      </c>
      <c r="CE79" s="1">
        <v>3</v>
      </c>
      <c r="CF79" s="1">
        <v>5</v>
      </c>
      <c r="CG79" s="1">
        <v>10.766</v>
      </c>
      <c r="CH79" s="1">
        <v>15.128</v>
      </c>
      <c r="CI79" s="1">
        <v>15.500999999999999</v>
      </c>
      <c r="CJ79" s="1">
        <v>7</v>
      </c>
      <c r="CK79" s="1">
        <v>1</v>
      </c>
      <c r="CL79" s="1">
        <v>4</v>
      </c>
      <c r="CM79" s="1">
        <v>5.1950000000000003</v>
      </c>
      <c r="CN79" s="1">
        <v>653.33100000000002</v>
      </c>
      <c r="CO79" s="1">
        <v>653.70699999999999</v>
      </c>
      <c r="CP79" s="1">
        <v>6</v>
      </c>
      <c r="CQ79" s="1">
        <v>2</v>
      </c>
      <c r="CR79" s="1">
        <v>5</v>
      </c>
      <c r="CS79" s="1">
        <v>10.805</v>
      </c>
      <c r="CT79" s="1">
        <v>12.746</v>
      </c>
      <c r="CU79" s="1">
        <v>13.492000000000001</v>
      </c>
      <c r="CV79" s="1">
        <v>5</v>
      </c>
      <c r="CW79" s="1">
        <v>4</v>
      </c>
      <c r="CX79" s="1">
        <v>3</v>
      </c>
      <c r="CY79" s="1">
        <v>10.256</v>
      </c>
      <c r="CZ79" s="1">
        <v>16.109000000000002</v>
      </c>
      <c r="DA79" s="1">
        <v>16.477</v>
      </c>
      <c r="DB79" s="1">
        <v>6</v>
      </c>
      <c r="DC79" s="1">
        <v>4</v>
      </c>
      <c r="DD79" s="1">
        <v>4</v>
      </c>
      <c r="DE79" s="1">
        <v>8.0530000000000008</v>
      </c>
      <c r="DF79" s="1">
        <v>16.486000000000001</v>
      </c>
      <c r="DG79" s="1">
        <v>17.045000000000002</v>
      </c>
      <c r="DH79" s="1">
        <v>10</v>
      </c>
      <c r="DI79" s="1">
        <v>1</v>
      </c>
      <c r="DJ79" s="1">
        <v>4</v>
      </c>
      <c r="DK79" s="1">
        <v>8.6980000000000004</v>
      </c>
      <c r="DL79" s="1">
        <v>27.923999999999999</v>
      </c>
      <c r="DM79" s="1">
        <v>28.248000000000001</v>
      </c>
      <c r="DN79" s="1">
        <v>9</v>
      </c>
      <c r="DO79" s="1">
        <v>1</v>
      </c>
      <c r="DP79" s="1">
        <v>4</v>
      </c>
      <c r="DQ79" s="1">
        <v>9.2349999999999994</v>
      </c>
      <c r="DR79" s="1">
        <v>12.36</v>
      </c>
      <c r="DS79" s="1">
        <v>12.692</v>
      </c>
      <c r="DT79" s="1">
        <v>5</v>
      </c>
      <c r="DU79" s="1">
        <v>2</v>
      </c>
      <c r="DV79" s="1">
        <v>4</v>
      </c>
      <c r="DW79" s="1">
        <v>6.7850000000000001</v>
      </c>
      <c r="DX79" s="1">
        <v>9.032</v>
      </c>
      <c r="DY79" s="1">
        <v>9.3049999999999997</v>
      </c>
      <c r="DZ79" s="1">
        <v>5</v>
      </c>
      <c r="EA79" s="1">
        <v>4</v>
      </c>
      <c r="EB79" s="1">
        <v>5</v>
      </c>
      <c r="EC79" s="1">
        <v>17.613</v>
      </c>
      <c r="ED79" s="1">
        <v>20.140999999999998</v>
      </c>
      <c r="EE79" s="1">
        <v>20.756</v>
      </c>
      <c r="EF79" s="1">
        <v>6</v>
      </c>
      <c r="EG79" s="1">
        <v>3</v>
      </c>
      <c r="EH79" s="1">
        <v>3</v>
      </c>
      <c r="EI79" s="1">
        <v>11.676</v>
      </c>
      <c r="EJ79" s="1">
        <v>18.728999999999999</v>
      </c>
      <c r="EK79" s="1">
        <v>18.899999999999999</v>
      </c>
      <c r="EL79" s="1">
        <v>7</v>
      </c>
      <c r="EM79" s="1">
        <v>1</v>
      </c>
      <c r="EN79" s="1">
        <v>4</v>
      </c>
      <c r="EO79" s="1">
        <v>11.199</v>
      </c>
      <c r="EP79" s="1">
        <v>32.139000000000003</v>
      </c>
      <c r="EQ79" s="1">
        <v>32.584000000000003</v>
      </c>
      <c r="ER79" s="1">
        <v>17</v>
      </c>
      <c r="ES79" s="1">
        <v>1</v>
      </c>
      <c r="ET79" s="1">
        <v>4</v>
      </c>
      <c r="EU79" s="1">
        <v>8.1430000000000007</v>
      </c>
      <c r="EV79" s="1">
        <v>12.363</v>
      </c>
      <c r="EW79" s="1">
        <v>12.666</v>
      </c>
      <c r="EX79" s="1">
        <v>7</v>
      </c>
      <c r="EY79" s="1">
        <v>2</v>
      </c>
      <c r="EZ79" s="1">
        <v>5</v>
      </c>
      <c r="FA79" s="1">
        <v>4.242</v>
      </c>
      <c r="FB79" s="1">
        <v>7.327</v>
      </c>
      <c r="FC79" s="1">
        <v>8.58</v>
      </c>
      <c r="FD79" s="1">
        <v>6</v>
      </c>
      <c r="FE79" s="1">
        <v>5</v>
      </c>
      <c r="FF79" s="1">
        <v>4</v>
      </c>
      <c r="FG79" s="1">
        <v>6.2160000000000002</v>
      </c>
      <c r="FH79" s="1">
        <v>11.61</v>
      </c>
      <c r="FI79" s="1">
        <v>12.164</v>
      </c>
      <c r="FJ79" s="1">
        <v>8</v>
      </c>
      <c r="FK79" s="1">
        <v>1</v>
      </c>
      <c r="FL79" s="1">
        <v>5</v>
      </c>
      <c r="FM79" s="1">
        <v>4.4320000000000004</v>
      </c>
      <c r="FN79" s="1">
        <v>8.4390000000000001</v>
      </c>
      <c r="FO79" s="1">
        <v>8.7690000000000001</v>
      </c>
      <c r="FP79" s="1">
        <v>7</v>
      </c>
      <c r="FQ79" s="1">
        <v>2</v>
      </c>
      <c r="FR79" s="1">
        <v>5</v>
      </c>
      <c r="FS79" s="1">
        <v>6.0730000000000004</v>
      </c>
      <c r="FT79" s="1">
        <v>10.757999999999999</v>
      </c>
      <c r="FU79" s="1">
        <v>11.375999999999999</v>
      </c>
      <c r="FV79" s="1">
        <v>4</v>
      </c>
      <c r="FW79" s="1">
        <v>5</v>
      </c>
      <c r="FX79" s="1">
        <v>4</v>
      </c>
      <c r="FY79" s="1">
        <v>5.6109999999999998</v>
      </c>
      <c r="FZ79" s="1">
        <v>9.718</v>
      </c>
      <c r="GA79" s="1">
        <v>10.29</v>
      </c>
      <c r="GB79" s="1">
        <v>6</v>
      </c>
      <c r="GC79" s="1">
        <v>1</v>
      </c>
      <c r="GD79" s="1">
        <v>5</v>
      </c>
      <c r="GE79" s="1">
        <v>5.1820000000000004</v>
      </c>
      <c r="GF79" s="1">
        <v>7.7889999999999997</v>
      </c>
      <c r="GG79" s="1">
        <v>8.4700000000000006</v>
      </c>
      <c r="GH79" s="1">
        <v>6</v>
      </c>
      <c r="GI79" s="1">
        <v>2</v>
      </c>
      <c r="GJ79" s="1">
        <v>5</v>
      </c>
      <c r="GK79" s="1">
        <v>4.0720000000000001</v>
      </c>
      <c r="GL79" s="1">
        <v>8.6449999999999996</v>
      </c>
      <c r="GM79" s="1">
        <v>9.3379999999999992</v>
      </c>
      <c r="GN79" s="1">
        <v>7</v>
      </c>
      <c r="GO79" s="1">
        <v>1</v>
      </c>
      <c r="GP79" s="1">
        <v>5</v>
      </c>
      <c r="GQ79" s="1">
        <v>8.8840000000000003</v>
      </c>
      <c r="GR79" s="1">
        <v>21.297000000000001</v>
      </c>
      <c r="GS79" s="1">
        <v>21.702000000000002</v>
      </c>
      <c r="GT79" s="1">
        <v>4</v>
      </c>
      <c r="GU79" s="1">
        <v>1</v>
      </c>
      <c r="GV79" s="1">
        <v>5</v>
      </c>
      <c r="GW79" s="1">
        <v>6.2939999999999996</v>
      </c>
      <c r="GX79" s="1">
        <v>8.5609999999999999</v>
      </c>
      <c r="GY79" s="1">
        <v>8.9469999999999992</v>
      </c>
      <c r="GZ79" s="1">
        <v>6</v>
      </c>
      <c r="HA79" s="1">
        <v>2</v>
      </c>
      <c r="HB79" s="1">
        <v>5</v>
      </c>
      <c r="HC79" s="1">
        <v>5.9240000000000004</v>
      </c>
      <c r="HD79" s="1">
        <v>8.7110000000000003</v>
      </c>
      <c r="HE79" s="1">
        <v>9.0549999999999997</v>
      </c>
      <c r="HF79" s="1">
        <v>7</v>
      </c>
      <c r="HG79" s="1">
        <v>5</v>
      </c>
      <c r="HH79" s="1">
        <v>5</v>
      </c>
      <c r="HI79" s="1">
        <v>10.824999999999999</v>
      </c>
      <c r="HJ79" s="1">
        <v>14.19</v>
      </c>
      <c r="HK79" s="1">
        <v>14.535</v>
      </c>
      <c r="HL79" s="1">
        <v>5</v>
      </c>
      <c r="HM79" s="4" t="s">
        <v>1200</v>
      </c>
      <c r="HN79" s="4" t="s">
        <v>1201</v>
      </c>
      <c r="HO79" s="4" t="s">
        <v>1202</v>
      </c>
      <c r="HP79" s="4" t="s">
        <v>1203</v>
      </c>
      <c r="HQ79" s="4" t="s">
        <v>1202</v>
      </c>
      <c r="HR79" s="4" t="s">
        <v>1204</v>
      </c>
      <c r="HS79" s="4" t="s">
        <v>1203</v>
      </c>
      <c r="HT79" s="4" t="s">
        <v>1203</v>
      </c>
      <c r="HU79" s="4" t="s">
        <v>1205</v>
      </c>
      <c r="HV79" s="4" t="s">
        <v>1206</v>
      </c>
      <c r="HW79" s="4" t="s">
        <v>282</v>
      </c>
      <c r="HX79" s="4" t="s">
        <v>282</v>
      </c>
      <c r="HY79" s="4" t="s">
        <v>312</v>
      </c>
      <c r="HZ79" s="4" t="s">
        <v>372</v>
      </c>
      <c r="IA79" s="4" t="s">
        <v>325</v>
      </c>
      <c r="IB79" s="4" t="s">
        <v>282</v>
      </c>
      <c r="IC79" s="4" t="s">
        <v>282</v>
      </c>
    </row>
    <row r="80" spans="1:237" x14ac:dyDescent="0.2">
      <c r="A80" s="3">
        <v>45750.559386574074</v>
      </c>
      <c r="B80" s="3">
        <v>45750.577777777777</v>
      </c>
      <c r="C80" s="1">
        <v>0</v>
      </c>
      <c r="D80" s="4" t="s">
        <v>1207</v>
      </c>
      <c r="E80" s="1">
        <v>100</v>
      </c>
      <c r="F80" s="1">
        <v>1589</v>
      </c>
      <c r="G80" s="1">
        <v>1</v>
      </c>
      <c r="H80" s="3">
        <v>45750.577794328703</v>
      </c>
      <c r="I80" s="4" t="s">
        <v>1208</v>
      </c>
      <c r="J80" s="4" t="s">
        <v>282</v>
      </c>
      <c r="K80" s="4" t="s">
        <v>282</v>
      </c>
      <c r="L80" s="4" t="s">
        <v>282</v>
      </c>
      <c r="M80" s="4" t="s">
        <v>282</v>
      </c>
      <c r="N80" s="1">
        <v>51.085700000000003</v>
      </c>
      <c r="O80" s="1">
        <v>-114.0234</v>
      </c>
      <c r="P80" s="4" t="s">
        <v>283</v>
      </c>
      <c r="Q80" s="4" t="s">
        <v>284</v>
      </c>
      <c r="R80" s="1">
        <v>0.89999997615814209</v>
      </c>
      <c r="S80" s="1">
        <v>1</v>
      </c>
      <c r="T80" s="1">
        <v>1</v>
      </c>
      <c r="U80" s="1">
        <v>1</v>
      </c>
      <c r="V80" s="1">
        <v>1</v>
      </c>
      <c r="W80" s="1">
        <v>11</v>
      </c>
      <c r="X80" s="4" t="s">
        <v>1282</v>
      </c>
      <c r="Y80" s="1">
        <v>5</v>
      </c>
      <c r="Z80" s="1">
        <v>2</v>
      </c>
      <c r="AA80" s="1">
        <v>4</v>
      </c>
      <c r="AB80" s="1">
        <v>2</v>
      </c>
      <c r="AC80" s="1">
        <v>1</v>
      </c>
      <c r="AD80" s="1">
        <v>6</v>
      </c>
      <c r="AE80" s="1">
        <v>8.0310000000000006</v>
      </c>
      <c r="AF80" s="1">
        <v>20.88</v>
      </c>
      <c r="AG80" s="1">
        <v>22.375</v>
      </c>
      <c r="AH80" s="1">
        <v>10</v>
      </c>
      <c r="AI80" s="1">
        <v>2</v>
      </c>
      <c r="AJ80" s="1">
        <v>6</v>
      </c>
      <c r="AK80" s="1">
        <v>16.731999999999999</v>
      </c>
      <c r="AL80" s="1">
        <v>22.751000000000001</v>
      </c>
      <c r="AM80" s="1">
        <v>23.364000000000001</v>
      </c>
      <c r="AN80" s="1">
        <v>9</v>
      </c>
      <c r="AO80" s="1">
        <v>2</v>
      </c>
      <c r="AP80" s="1">
        <v>6</v>
      </c>
      <c r="AQ80" s="1">
        <v>9.0009999999999994</v>
      </c>
      <c r="AR80" s="1">
        <v>15.811</v>
      </c>
      <c r="AS80" s="1">
        <v>16.439</v>
      </c>
      <c r="AT80" s="1">
        <v>6</v>
      </c>
      <c r="AU80" s="1">
        <v>5</v>
      </c>
      <c r="AV80" s="1">
        <v>5</v>
      </c>
      <c r="AW80" s="1">
        <v>5.968</v>
      </c>
      <c r="AX80" s="1">
        <v>16.672000000000001</v>
      </c>
      <c r="AY80" s="1">
        <v>38.615000000000002</v>
      </c>
      <c r="AZ80" s="1">
        <v>10</v>
      </c>
      <c r="BA80" s="1">
        <v>5</v>
      </c>
      <c r="BB80" s="1">
        <v>5</v>
      </c>
      <c r="BC80" s="1">
        <v>52.017000000000003</v>
      </c>
      <c r="BD80" s="1">
        <v>76.239999999999995</v>
      </c>
      <c r="BE80" s="1">
        <v>76.715999999999994</v>
      </c>
      <c r="BF80" s="1">
        <v>7</v>
      </c>
      <c r="BG80" s="1">
        <v>1</v>
      </c>
      <c r="BH80" s="1">
        <v>6</v>
      </c>
      <c r="BI80" s="1">
        <v>67.674000000000007</v>
      </c>
      <c r="BJ80" s="1">
        <v>71.736000000000004</v>
      </c>
      <c r="BK80" s="1">
        <v>72.210999999999999</v>
      </c>
      <c r="BL80" s="1">
        <v>5</v>
      </c>
      <c r="BM80" s="1">
        <v>2</v>
      </c>
      <c r="BN80" s="1">
        <v>6</v>
      </c>
      <c r="BO80" s="1">
        <v>4.5060000000000002</v>
      </c>
      <c r="BP80" s="1">
        <v>14.385</v>
      </c>
      <c r="BQ80" s="1">
        <v>14.936</v>
      </c>
      <c r="BR80" s="1">
        <v>12</v>
      </c>
      <c r="BS80" s="1">
        <v>3</v>
      </c>
      <c r="BT80" s="1">
        <v>4</v>
      </c>
      <c r="BU80" s="1">
        <v>32.523000000000003</v>
      </c>
      <c r="BV80" s="1">
        <v>38.948</v>
      </c>
      <c r="BW80" s="1">
        <v>39.530999999999999</v>
      </c>
      <c r="BX80" s="1">
        <v>6</v>
      </c>
      <c r="BY80" s="1">
        <v>5</v>
      </c>
      <c r="BZ80" s="1">
        <v>5</v>
      </c>
      <c r="CA80" s="1">
        <v>15.069000000000001</v>
      </c>
      <c r="CB80" s="1">
        <v>72.587000000000003</v>
      </c>
      <c r="CC80" s="1">
        <v>73.084000000000003</v>
      </c>
      <c r="CD80" s="1">
        <v>8</v>
      </c>
      <c r="CE80" s="1">
        <v>3</v>
      </c>
      <c r="CF80" s="1">
        <v>5</v>
      </c>
      <c r="CG80" s="1">
        <v>6.6120000000000001</v>
      </c>
      <c r="CH80" s="1">
        <v>10.254</v>
      </c>
      <c r="CI80" s="1">
        <v>10.874000000000001</v>
      </c>
      <c r="CJ80" s="1">
        <v>5</v>
      </c>
      <c r="CK80" s="1">
        <v>1</v>
      </c>
      <c r="CL80" s="1">
        <v>6</v>
      </c>
      <c r="CM80" s="1">
        <v>3.9470000000000001</v>
      </c>
      <c r="CN80" s="1">
        <v>29.294</v>
      </c>
      <c r="CO80" s="1">
        <v>29.756</v>
      </c>
      <c r="CP80" s="1">
        <v>13</v>
      </c>
      <c r="CQ80" s="1">
        <v>2</v>
      </c>
      <c r="CR80" s="1">
        <v>4</v>
      </c>
      <c r="CS80" s="1">
        <v>40.457000000000001</v>
      </c>
      <c r="CT80" s="1">
        <v>53.066000000000003</v>
      </c>
      <c r="CU80" s="1">
        <v>53.475000000000001</v>
      </c>
      <c r="CV80" s="1">
        <v>8</v>
      </c>
      <c r="CW80" s="1">
        <v>3</v>
      </c>
      <c r="CX80" s="1">
        <v>3</v>
      </c>
      <c r="CY80" s="1">
        <v>18.632000000000001</v>
      </c>
      <c r="CZ80" s="1">
        <v>52.28</v>
      </c>
      <c r="DA80" s="1">
        <v>52.734999999999999</v>
      </c>
      <c r="DB80" s="1">
        <v>13</v>
      </c>
      <c r="DC80" s="1">
        <v>5</v>
      </c>
      <c r="DD80" s="1">
        <v>5</v>
      </c>
      <c r="DE80" s="1">
        <v>7.2110000000000003</v>
      </c>
      <c r="DF80" s="1">
        <v>11.067</v>
      </c>
      <c r="DG80" s="1">
        <v>11.984999999999999</v>
      </c>
      <c r="DH80" s="1">
        <v>5</v>
      </c>
      <c r="DI80" s="1">
        <v>3</v>
      </c>
      <c r="DJ80" s="1">
        <v>3</v>
      </c>
      <c r="DK80" s="1">
        <v>6.4580000000000002</v>
      </c>
      <c r="DL80" s="1">
        <v>17.384</v>
      </c>
      <c r="DM80" s="1">
        <v>17.901</v>
      </c>
      <c r="DN80" s="1">
        <v>11</v>
      </c>
      <c r="DO80" s="1">
        <v>1</v>
      </c>
      <c r="DP80" s="1">
        <v>6</v>
      </c>
      <c r="DQ80" s="1">
        <v>8.6980000000000004</v>
      </c>
      <c r="DR80" s="1">
        <v>11.379</v>
      </c>
      <c r="DS80" s="1">
        <v>12.025</v>
      </c>
      <c r="DT80" s="1">
        <v>3</v>
      </c>
      <c r="DU80" s="1">
        <v>2</v>
      </c>
      <c r="DV80" s="1">
        <v>6</v>
      </c>
      <c r="DW80" s="1">
        <v>9.577</v>
      </c>
      <c r="DX80" s="1">
        <v>17.564</v>
      </c>
      <c r="DY80" s="1">
        <v>18.074999999999999</v>
      </c>
      <c r="DZ80" s="1">
        <v>10</v>
      </c>
      <c r="EA80" s="1">
        <v>3</v>
      </c>
      <c r="EB80" s="1">
        <v>3</v>
      </c>
      <c r="EC80" s="1">
        <v>39.003</v>
      </c>
      <c r="ED80" s="1">
        <v>43.524999999999999</v>
      </c>
      <c r="EE80" s="1">
        <v>44.215000000000003</v>
      </c>
      <c r="EF80" s="1">
        <v>5</v>
      </c>
      <c r="EG80" s="1">
        <v>5</v>
      </c>
      <c r="EH80" s="1">
        <v>5</v>
      </c>
      <c r="EI80" s="1">
        <v>15.608000000000001</v>
      </c>
      <c r="EJ80" s="1">
        <v>20.867999999999999</v>
      </c>
      <c r="EK80" s="1">
        <v>20.881</v>
      </c>
      <c r="EL80" s="1">
        <v>7</v>
      </c>
      <c r="EM80" s="1">
        <v>3</v>
      </c>
      <c r="EN80" s="1">
        <v>5</v>
      </c>
      <c r="EO80" s="1">
        <v>33.481999999999999</v>
      </c>
      <c r="EP80" s="1">
        <v>37.92</v>
      </c>
      <c r="EQ80" s="1">
        <v>38.383000000000003</v>
      </c>
      <c r="ER80" s="1">
        <v>5</v>
      </c>
      <c r="ES80" s="1">
        <v>1</v>
      </c>
      <c r="ET80" s="1">
        <v>6</v>
      </c>
      <c r="EU80" s="1">
        <v>7.01</v>
      </c>
      <c r="EV80" s="1">
        <v>14.414999999999999</v>
      </c>
      <c r="EW80" s="1">
        <v>15.093999999999999</v>
      </c>
      <c r="EX80" s="1">
        <v>6</v>
      </c>
      <c r="EY80" s="1">
        <v>2</v>
      </c>
      <c r="EZ80" s="1">
        <v>6</v>
      </c>
      <c r="FA80" s="1">
        <v>9.0289999999999999</v>
      </c>
      <c r="FB80" s="1">
        <v>13.122</v>
      </c>
      <c r="FC80" s="1">
        <v>13.728999999999999</v>
      </c>
      <c r="FD80" s="1">
        <v>5</v>
      </c>
      <c r="FE80" s="4" t="s">
        <v>282</v>
      </c>
      <c r="FF80" s="1">
        <v>3</v>
      </c>
      <c r="FG80" s="1">
        <v>1.331</v>
      </c>
      <c r="FH80" s="1">
        <v>31.704999999999998</v>
      </c>
      <c r="FI80" s="1">
        <v>33.470999999999997</v>
      </c>
      <c r="FJ80" s="1">
        <v>12</v>
      </c>
      <c r="FK80" s="1">
        <v>1</v>
      </c>
      <c r="FL80" s="1">
        <v>5</v>
      </c>
      <c r="FM80" s="1">
        <v>8.2449999999999992</v>
      </c>
      <c r="FN80" s="1">
        <v>15.513</v>
      </c>
      <c r="FO80" s="1">
        <v>15.904999999999999</v>
      </c>
      <c r="FP80" s="1">
        <v>6</v>
      </c>
      <c r="FQ80" s="1">
        <v>2</v>
      </c>
      <c r="FR80" s="1">
        <v>6</v>
      </c>
      <c r="FS80" s="1">
        <v>4.1719999999999997</v>
      </c>
      <c r="FT80" s="1">
        <v>57.335000000000001</v>
      </c>
      <c r="FU80" s="1">
        <v>57.811999999999998</v>
      </c>
      <c r="FV80" s="1">
        <v>13</v>
      </c>
      <c r="FW80" s="4" t="s">
        <v>282</v>
      </c>
      <c r="FX80" s="1">
        <v>3</v>
      </c>
      <c r="FY80" s="1">
        <v>10.706</v>
      </c>
      <c r="FZ80" s="1">
        <v>20.498000000000001</v>
      </c>
      <c r="GA80" s="1">
        <v>21.015000000000001</v>
      </c>
      <c r="GB80" s="1">
        <v>7</v>
      </c>
      <c r="GC80" s="1">
        <v>1</v>
      </c>
      <c r="GD80" s="1">
        <v>6</v>
      </c>
      <c r="GE80" s="1">
        <v>3.5870000000000002</v>
      </c>
      <c r="GF80" s="1">
        <v>18.158000000000001</v>
      </c>
      <c r="GG80" s="1">
        <v>18.942</v>
      </c>
      <c r="GH80" s="1">
        <v>6</v>
      </c>
      <c r="GI80" s="1">
        <v>2</v>
      </c>
      <c r="GJ80" s="1">
        <v>5</v>
      </c>
      <c r="GK80" s="1">
        <v>8.2379999999999995</v>
      </c>
      <c r="GL80" s="1">
        <v>12.881</v>
      </c>
      <c r="GM80" s="1">
        <v>13.882</v>
      </c>
      <c r="GN80" s="1">
        <v>6</v>
      </c>
      <c r="GO80" s="1">
        <v>5</v>
      </c>
      <c r="GP80" s="1">
        <v>4</v>
      </c>
      <c r="GQ80" s="1">
        <v>6.9470000000000001</v>
      </c>
      <c r="GR80" s="1">
        <v>16.169</v>
      </c>
      <c r="GS80" s="1">
        <v>16.795999999999999</v>
      </c>
      <c r="GT80" s="1">
        <v>8</v>
      </c>
      <c r="GU80" s="1">
        <v>1</v>
      </c>
      <c r="GV80" s="1">
        <v>5</v>
      </c>
      <c r="GW80" s="1">
        <v>8.0820000000000007</v>
      </c>
      <c r="GX80" s="1">
        <v>16.988</v>
      </c>
      <c r="GY80" s="1">
        <v>17.649999999999999</v>
      </c>
      <c r="GZ80" s="1">
        <v>5</v>
      </c>
      <c r="HA80" s="1">
        <v>2</v>
      </c>
      <c r="HB80" s="1">
        <v>7</v>
      </c>
      <c r="HC80" s="1">
        <v>1.978</v>
      </c>
      <c r="HD80" s="1">
        <v>15.773999999999999</v>
      </c>
      <c r="HE80" s="1">
        <v>15.792</v>
      </c>
      <c r="HF80" s="1">
        <v>7</v>
      </c>
      <c r="HG80" s="1">
        <v>5</v>
      </c>
      <c r="HH80" s="1">
        <v>4</v>
      </c>
      <c r="HI80" s="1">
        <v>8.3770000000000007</v>
      </c>
      <c r="HJ80" s="1">
        <v>15.926</v>
      </c>
      <c r="HK80" s="1">
        <v>16.719000000000001</v>
      </c>
      <c r="HL80" s="1">
        <v>6</v>
      </c>
      <c r="HM80" s="4" t="s">
        <v>1209</v>
      </c>
      <c r="HN80" s="4" t="s">
        <v>1210</v>
      </c>
      <c r="HO80" s="4" t="s">
        <v>1211</v>
      </c>
      <c r="HP80" s="4" t="s">
        <v>1212</v>
      </c>
      <c r="HQ80" s="4" t="s">
        <v>1213</v>
      </c>
      <c r="HR80" s="4" t="s">
        <v>1214</v>
      </c>
      <c r="HS80" s="4" t="s">
        <v>693</v>
      </c>
      <c r="HT80" s="4" t="s">
        <v>693</v>
      </c>
      <c r="HU80" s="4" t="s">
        <v>1215</v>
      </c>
      <c r="HV80" s="4" t="s">
        <v>1216</v>
      </c>
      <c r="HW80" s="4" t="s">
        <v>1217</v>
      </c>
      <c r="HX80" s="4" t="s">
        <v>282</v>
      </c>
      <c r="HY80" s="4" t="s">
        <v>312</v>
      </c>
      <c r="HZ80" s="4" t="s">
        <v>356</v>
      </c>
      <c r="IA80" s="4" t="s">
        <v>313</v>
      </c>
      <c r="IB80" s="4" t="s">
        <v>282</v>
      </c>
      <c r="IC80" s="4" t="s">
        <v>282</v>
      </c>
    </row>
    <row r="81" spans="1:237" x14ac:dyDescent="0.2">
      <c r="A81" s="3">
        <v>45744.431145833332</v>
      </c>
      <c r="B81" s="3">
        <v>45744.431342592594</v>
      </c>
      <c r="C81" s="1">
        <v>0</v>
      </c>
      <c r="D81" s="4" t="s">
        <v>1218</v>
      </c>
      <c r="E81" s="1">
        <v>0</v>
      </c>
      <c r="F81" s="1">
        <v>17</v>
      </c>
      <c r="G81" s="1">
        <v>0</v>
      </c>
      <c r="H81" s="3">
        <v>45751.431374907406</v>
      </c>
      <c r="I81" s="4" t="s">
        <v>1219</v>
      </c>
      <c r="J81" s="4" t="s">
        <v>282</v>
      </c>
      <c r="K81" s="4" t="s">
        <v>282</v>
      </c>
      <c r="L81" s="4" t="s">
        <v>282</v>
      </c>
      <c r="M81" s="4" t="s">
        <v>282</v>
      </c>
      <c r="N81" s="1">
        <v>51.060499999999998</v>
      </c>
      <c r="O81" s="1">
        <v>-114.11020000000001</v>
      </c>
      <c r="P81" s="4" t="s">
        <v>283</v>
      </c>
      <c r="Q81" s="4" t="s">
        <v>284</v>
      </c>
      <c r="R81" s="1">
        <v>0.89999997615814209</v>
      </c>
      <c r="S81" s="4" t="s">
        <v>282</v>
      </c>
      <c r="T81" s="4" t="s">
        <v>282</v>
      </c>
      <c r="U81" s="4" t="s">
        <v>282</v>
      </c>
      <c r="V81" s="4" t="s">
        <v>282</v>
      </c>
      <c r="W81" s="4" t="s">
        <v>282</v>
      </c>
      <c r="X81" s="4" t="s">
        <v>282</v>
      </c>
      <c r="Y81" s="4" t="s">
        <v>282</v>
      </c>
      <c r="Z81" s="4" t="s">
        <v>282</v>
      </c>
      <c r="AA81" s="4" t="s">
        <v>282</v>
      </c>
      <c r="AB81" s="4" t="s">
        <v>282</v>
      </c>
      <c r="AC81" s="4" t="s">
        <v>282</v>
      </c>
      <c r="AD81" s="4" t="s">
        <v>282</v>
      </c>
      <c r="AE81" s="4" t="s">
        <v>282</v>
      </c>
      <c r="AF81" s="4" t="s">
        <v>282</v>
      </c>
      <c r="AG81" s="4" t="s">
        <v>282</v>
      </c>
      <c r="AH81" s="4" t="s">
        <v>282</v>
      </c>
      <c r="AI81" s="4" t="s">
        <v>282</v>
      </c>
      <c r="AJ81" s="4" t="s">
        <v>282</v>
      </c>
      <c r="AK81" s="4" t="s">
        <v>282</v>
      </c>
      <c r="AL81" s="4" t="s">
        <v>282</v>
      </c>
      <c r="AM81" s="4" t="s">
        <v>282</v>
      </c>
      <c r="AN81" s="4" t="s">
        <v>282</v>
      </c>
      <c r="AO81" s="4" t="s">
        <v>282</v>
      </c>
      <c r="AP81" s="4" t="s">
        <v>282</v>
      </c>
      <c r="AQ81" s="4" t="s">
        <v>282</v>
      </c>
      <c r="AR81" s="4" t="s">
        <v>282</v>
      </c>
      <c r="AS81" s="4" t="s">
        <v>282</v>
      </c>
      <c r="AT81" s="4" t="s">
        <v>282</v>
      </c>
      <c r="AU81" s="4" t="s">
        <v>282</v>
      </c>
      <c r="AV81" s="4" t="s">
        <v>282</v>
      </c>
      <c r="AW81" s="4" t="s">
        <v>282</v>
      </c>
      <c r="AX81" s="4" t="s">
        <v>282</v>
      </c>
      <c r="AY81" s="4" t="s">
        <v>282</v>
      </c>
      <c r="AZ81" s="4" t="s">
        <v>282</v>
      </c>
      <c r="BA81" s="4" t="s">
        <v>282</v>
      </c>
      <c r="BB81" s="4" t="s">
        <v>282</v>
      </c>
      <c r="BC81" s="4" t="s">
        <v>282</v>
      </c>
      <c r="BD81" s="4" t="s">
        <v>282</v>
      </c>
      <c r="BE81" s="4" t="s">
        <v>282</v>
      </c>
      <c r="BF81" s="4" t="s">
        <v>282</v>
      </c>
      <c r="BG81" s="4" t="s">
        <v>282</v>
      </c>
      <c r="BH81" s="4" t="s">
        <v>282</v>
      </c>
      <c r="BI81" s="4" t="s">
        <v>282</v>
      </c>
      <c r="BJ81" s="4" t="s">
        <v>282</v>
      </c>
      <c r="BK81" s="4" t="s">
        <v>282</v>
      </c>
      <c r="BL81" s="4" t="s">
        <v>282</v>
      </c>
      <c r="BM81" s="4" t="s">
        <v>282</v>
      </c>
      <c r="BN81" s="4" t="s">
        <v>282</v>
      </c>
      <c r="BO81" s="4" t="s">
        <v>282</v>
      </c>
      <c r="BP81" s="4" t="s">
        <v>282</v>
      </c>
      <c r="BQ81" s="4" t="s">
        <v>282</v>
      </c>
      <c r="BR81" s="4" t="s">
        <v>282</v>
      </c>
      <c r="BS81" s="4" t="s">
        <v>282</v>
      </c>
      <c r="BT81" s="4" t="s">
        <v>282</v>
      </c>
      <c r="BU81" s="4" t="s">
        <v>282</v>
      </c>
      <c r="BV81" s="4" t="s">
        <v>282</v>
      </c>
      <c r="BW81" s="4" t="s">
        <v>282</v>
      </c>
      <c r="BX81" s="4" t="s">
        <v>282</v>
      </c>
      <c r="BY81" s="4" t="s">
        <v>282</v>
      </c>
      <c r="BZ81" s="4" t="s">
        <v>282</v>
      </c>
      <c r="CA81" s="4" t="s">
        <v>282</v>
      </c>
      <c r="CB81" s="4" t="s">
        <v>282</v>
      </c>
      <c r="CC81" s="4" t="s">
        <v>282</v>
      </c>
      <c r="CD81" s="4" t="s">
        <v>282</v>
      </c>
      <c r="CE81" s="4" t="s">
        <v>282</v>
      </c>
      <c r="CF81" s="4" t="s">
        <v>282</v>
      </c>
      <c r="CG81" s="4" t="s">
        <v>282</v>
      </c>
      <c r="CH81" s="4" t="s">
        <v>282</v>
      </c>
      <c r="CI81" s="4" t="s">
        <v>282</v>
      </c>
      <c r="CJ81" s="4" t="s">
        <v>282</v>
      </c>
      <c r="CK81" s="4" t="s">
        <v>282</v>
      </c>
      <c r="CL81" s="4" t="s">
        <v>282</v>
      </c>
      <c r="CM81" s="4" t="s">
        <v>282</v>
      </c>
      <c r="CN81" s="4" t="s">
        <v>282</v>
      </c>
      <c r="CO81" s="4" t="s">
        <v>282</v>
      </c>
      <c r="CP81" s="4" t="s">
        <v>282</v>
      </c>
      <c r="CQ81" s="4" t="s">
        <v>282</v>
      </c>
      <c r="CR81" s="4" t="s">
        <v>282</v>
      </c>
      <c r="CS81" s="4" t="s">
        <v>282</v>
      </c>
      <c r="CT81" s="4" t="s">
        <v>282</v>
      </c>
      <c r="CU81" s="4" t="s">
        <v>282</v>
      </c>
      <c r="CV81" s="4" t="s">
        <v>282</v>
      </c>
      <c r="CW81" s="4" t="s">
        <v>282</v>
      </c>
      <c r="CX81" s="4" t="s">
        <v>282</v>
      </c>
      <c r="CY81" s="4" t="s">
        <v>282</v>
      </c>
      <c r="CZ81" s="4" t="s">
        <v>282</v>
      </c>
      <c r="DA81" s="4" t="s">
        <v>282</v>
      </c>
      <c r="DB81" s="4" t="s">
        <v>282</v>
      </c>
      <c r="DC81" s="4" t="s">
        <v>282</v>
      </c>
      <c r="DD81" s="4" t="s">
        <v>282</v>
      </c>
      <c r="DE81" s="4" t="s">
        <v>282</v>
      </c>
      <c r="DF81" s="4" t="s">
        <v>282</v>
      </c>
      <c r="DG81" s="4" t="s">
        <v>282</v>
      </c>
      <c r="DH81" s="4" t="s">
        <v>282</v>
      </c>
      <c r="DI81" s="4" t="s">
        <v>282</v>
      </c>
      <c r="DJ81" s="4" t="s">
        <v>282</v>
      </c>
      <c r="DK81" s="4" t="s">
        <v>282</v>
      </c>
      <c r="DL81" s="4" t="s">
        <v>282</v>
      </c>
      <c r="DM81" s="4" t="s">
        <v>282</v>
      </c>
      <c r="DN81" s="4" t="s">
        <v>282</v>
      </c>
      <c r="DO81" s="4" t="s">
        <v>282</v>
      </c>
      <c r="DP81" s="4" t="s">
        <v>282</v>
      </c>
      <c r="DQ81" s="4" t="s">
        <v>282</v>
      </c>
      <c r="DR81" s="4" t="s">
        <v>282</v>
      </c>
      <c r="DS81" s="4" t="s">
        <v>282</v>
      </c>
      <c r="DT81" s="4" t="s">
        <v>282</v>
      </c>
      <c r="DU81" s="4" t="s">
        <v>282</v>
      </c>
      <c r="DV81" s="4" t="s">
        <v>282</v>
      </c>
      <c r="DW81" s="4" t="s">
        <v>282</v>
      </c>
      <c r="DX81" s="4" t="s">
        <v>282</v>
      </c>
      <c r="DY81" s="4" t="s">
        <v>282</v>
      </c>
      <c r="DZ81" s="4" t="s">
        <v>282</v>
      </c>
      <c r="EA81" s="4" t="s">
        <v>282</v>
      </c>
      <c r="EB81" s="4" t="s">
        <v>282</v>
      </c>
      <c r="EC81" s="4" t="s">
        <v>282</v>
      </c>
      <c r="ED81" s="4" t="s">
        <v>282</v>
      </c>
      <c r="EE81" s="4" t="s">
        <v>282</v>
      </c>
      <c r="EF81" s="4" t="s">
        <v>282</v>
      </c>
      <c r="EG81" s="4" t="s">
        <v>282</v>
      </c>
      <c r="EH81" s="4" t="s">
        <v>282</v>
      </c>
      <c r="EI81" s="4" t="s">
        <v>282</v>
      </c>
      <c r="EJ81" s="4" t="s">
        <v>282</v>
      </c>
      <c r="EK81" s="4" t="s">
        <v>282</v>
      </c>
      <c r="EL81" s="4" t="s">
        <v>282</v>
      </c>
      <c r="EM81" s="4" t="s">
        <v>282</v>
      </c>
      <c r="EN81" s="4" t="s">
        <v>282</v>
      </c>
      <c r="EO81" s="4" t="s">
        <v>282</v>
      </c>
      <c r="EP81" s="4" t="s">
        <v>282</v>
      </c>
      <c r="EQ81" s="4" t="s">
        <v>282</v>
      </c>
      <c r="ER81" s="4" t="s">
        <v>282</v>
      </c>
      <c r="ES81" s="4" t="s">
        <v>282</v>
      </c>
      <c r="ET81" s="4" t="s">
        <v>282</v>
      </c>
      <c r="EU81" s="4" t="s">
        <v>282</v>
      </c>
      <c r="EV81" s="4" t="s">
        <v>282</v>
      </c>
      <c r="EW81" s="4" t="s">
        <v>282</v>
      </c>
      <c r="EX81" s="4" t="s">
        <v>282</v>
      </c>
      <c r="EY81" s="4" t="s">
        <v>282</v>
      </c>
      <c r="EZ81" s="4" t="s">
        <v>282</v>
      </c>
      <c r="FA81" s="4" t="s">
        <v>282</v>
      </c>
      <c r="FB81" s="4" t="s">
        <v>282</v>
      </c>
      <c r="FC81" s="4" t="s">
        <v>282</v>
      </c>
      <c r="FD81" s="4" t="s">
        <v>282</v>
      </c>
      <c r="FE81" s="4" t="s">
        <v>282</v>
      </c>
      <c r="FF81" s="4" t="s">
        <v>282</v>
      </c>
      <c r="FG81" s="4" t="s">
        <v>282</v>
      </c>
      <c r="FH81" s="4" t="s">
        <v>282</v>
      </c>
      <c r="FI81" s="4" t="s">
        <v>282</v>
      </c>
      <c r="FJ81" s="4" t="s">
        <v>282</v>
      </c>
      <c r="FK81" s="4" t="s">
        <v>282</v>
      </c>
      <c r="FL81" s="4" t="s">
        <v>282</v>
      </c>
      <c r="FM81" s="4" t="s">
        <v>282</v>
      </c>
      <c r="FN81" s="4" t="s">
        <v>282</v>
      </c>
      <c r="FO81" s="4" t="s">
        <v>282</v>
      </c>
      <c r="FP81" s="4" t="s">
        <v>282</v>
      </c>
      <c r="FQ81" s="4" t="s">
        <v>282</v>
      </c>
      <c r="FR81" s="4" t="s">
        <v>282</v>
      </c>
      <c r="FS81" s="4" t="s">
        <v>282</v>
      </c>
      <c r="FT81" s="4" t="s">
        <v>282</v>
      </c>
      <c r="FU81" s="4" t="s">
        <v>282</v>
      </c>
      <c r="FV81" s="4" t="s">
        <v>282</v>
      </c>
      <c r="FW81" s="4" t="s">
        <v>282</v>
      </c>
      <c r="FX81" s="4" t="s">
        <v>282</v>
      </c>
      <c r="FY81" s="4" t="s">
        <v>282</v>
      </c>
      <c r="FZ81" s="4" t="s">
        <v>282</v>
      </c>
      <c r="GA81" s="4" t="s">
        <v>282</v>
      </c>
      <c r="GB81" s="4" t="s">
        <v>282</v>
      </c>
      <c r="GC81" s="4" t="s">
        <v>282</v>
      </c>
      <c r="GD81" s="4" t="s">
        <v>282</v>
      </c>
      <c r="GE81" s="4" t="s">
        <v>282</v>
      </c>
      <c r="GF81" s="4" t="s">
        <v>282</v>
      </c>
      <c r="GG81" s="4" t="s">
        <v>282</v>
      </c>
      <c r="GH81" s="4" t="s">
        <v>282</v>
      </c>
      <c r="GI81" s="4" t="s">
        <v>282</v>
      </c>
      <c r="GJ81" s="4" t="s">
        <v>282</v>
      </c>
      <c r="GK81" s="4" t="s">
        <v>282</v>
      </c>
      <c r="GL81" s="4" t="s">
        <v>282</v>
      </c>
      <c r="GM81" s="4" t="s">
        <v>282</v>
      </c>
      <c r="GN81" s="4" t="s">
        <v>282</v>
      </c>
      <c r="GO81" s="4" t="s">
        <v>282</v>
      </c>
      <c r="GP81" s="4" t="s">
        <v>282</v>
      </c>
      <c r="GQ81" s="4" t="s">
        <v>282</v>
      </c>
      <c r="GR81" s="4" t="s">
        <v>282</v>
      </c>
      <c r="GS81" s="4" t="s">
        <v>282</v>
      </c>
      <c r="GT81" s="4" t="s">
        <v>282</v>
      </c>
      <c r="GU81" s="4" t="s">
        <v>282</v>
      </c>
      <c r="GV81" s="4" t="s">
        <v>282</v>
      </c>
      <c r="GW81" s="4" t="s">
        <v>282</v>
      </c>
      <c r="GX81" s="4" t="s">
        <v>282</v>
      </c>
      <c r="GY81" s="4" t="s">
        <v>282</v>
      </c>
      <c r="GZ81" s="4" t="s">
        <v>282</v>
      </c>
      <c r="HA81" s="4" t="s">
        <v>282</v>
      </c>
      <c r="HB81" s="4" t="s">
        <v>282</v>
      </c>
      <c r="HC81" s="4" t="s">
        <v>282</v>
      </c>
      <c r="HD81" s="4" t="s">
        <v>282</v>
      </c>
      <c r="HE81" s="4" t="s">
        <v>282</v>
      </c>
      <c r="HF81" s="4" t="s">
        <v>282</v>
      </c>
      <c r="HG81" s="4" t="s">
        <v>282</v>
      </c>
      <c r="HH81" s="4" t="s">
        <v>282</v>
      </c>
      <c r="HI81" s="4" t="s">
        <v>282</v>
      </c>
      <c r="HJ81" s="4" t="s">
        <v>282</v>
      </c>
      <c r="HK81" s="4" t="s">
        <v>282</v>
      </c>
      <c r="HL81" s="4" t="s">
        <v>282</v>
      </c>
      <c r="HM81" s="4" t="s">
        <v>282</v>
      </c>
      <c r="HN81" s="4" t="s">
        <v>282</v>
      </c>
      <c r="HO81" s="4" t="s">
        <v>282</v>
      </c>
      <c r="HP81" s="4" t="s">
        <v>282</v>
      </c>
      <c r="HQ81" s="4" t="s">
        <v>282</v>
      </c>
      <c r="HR81" s="4" t="s">
        <v>282</v>
      </c>
      <c r="HS81" s="4" t="s">
        <v>282</v>
      </c>
      <c r="HT81" s="4" t="s">
        <v>282</v>
      </c>
      <c r="HU81" s="4" t="s">
        <v>282</v>
      </c>
      <c r="HV81" s="4" t="s">
        <v>282</v>
      </c>
      <c r="HW81" s="4" t="s">
        <v>282</v>
      </c>
      <c r="HX81" s="4" t="s">
        <v>282</v>
      </c>
      <c r="HY81" s="4" t="s">
        <v>282</v>
      </c>
      <c r="HZ81" s="4" t="s">
        <v>282</v>
      </c>
      <c r="IA81" s="4" t="s">
        <v>282</v>
      </c>
      <c r="IB81" s="4" t="s">
        <v>282</v>
      </c>
      <c r="IC81" s="4" t="s">
        <v>282</v>
      </c>
    </row>
    <row r="82" spans="1:237" x14ac:dyDescent="0.2">
      <c r="A82" s="3">
        <v>45744.429930555554</v>
      </c>
      <c r="B82" s="3">
        <v>45744.432789351849</v>
      </c>
      <c r="C82" s="1">
        <v>0</v>
      </c>
      <c r="D82" s="4" t="s">
        <v>1220</v>
      </c>
      <c r="E82" s="1">
        <v>53</v>
      </c>
      <c r="F82" s="1">
        <v>246</v>
      </c>
      <c r="G82" s="1">
        <v>0</v>
      </c>
      <c r="H82" s="3">
        <v>45751.432817696761</v>
      </c>
      <c r="I82" s="4" t="s">
        <v>1221</v>
      </c>
      <c r="J82" s="4" t="s">
        <v>282</v>
      </c>
      <c r="K82" s="4" t="s">
        <v>282</v>
      </c>
      <c r="L82" s="4" t="s">
        <v>282</v>
      </c>
      <c r="M82" s="4" t="s">
        <v>282</v>
      </c>
      <c r="N82" s="1">
        <v>49.817900000000002</v>
      </c>
      <c r="O82" s="1">
        <v>-97.153499999999994</v>
      </c>
      <c r="P82" s="4" t="s">
        <v>283</v>
      </c>
      <c r="Q82" s="4" t="s">
        <v>284</v>
      </c>
      <c r="R82" s="1">
        <v>0.5</v>
      </c>
      <c r="S82" s="1">
        <v>1</v>
      </c>
      <c r="T82" s="1">
        <v>1</v>
      </c>
      <c r="U82" s="1">
        <v>1</v>
      </c>
      <c r="V82" s="1">
        <v>1</v>
      </c>
      <c r="W82" s="1">
        <v>12</v>
      </c>
      <c r="X82" s="4" t="s">
        <v>497</v>
      </c>
      <c r="Y82" s="1">
        <v>5</v>
      </c>
      <c r="Z82" s="1">
        <v>2</v>
      </c>
      <c r="AA82" s="1">
        <v>1</v>
      </c>
      <c r="AB82" s="1">
        <v>1</v>
      </c>
      <c r="AC82" s="4" t="s">
        <v>282</v>
      </c>
      <c r="AD82" s="4" t="s">
        <v>282</v>
      </c>
      <c r="AE82" s="4" t="s">
        <v>282</v>
      </c>
      <c r="AF82" s="4" t="s">
        <v>282</v>
      </c>
      <c r="AG82" s="4" t="s">
        <v>282</v>
      </c>
      <c r="AH82" s="4" t="s">
        <v>282</v>
      </c>
      <c r="AI82" s="4" t="s">
        <v>282</v>
      </c>
      <c r="AJ82" s="4" t="s">
        <v>282</v>
      </c>
      <c r="AK82" s="4" t="s">
        <v>282</v>
      </c>
      <c r="AL82" s="4" t="s">
        <v>282</v>
      </c>
      <c r="AM82" s="4" t="s">
        <v>282</v>
      </c>
      <c r="AN82" s="4" t="s">
        <v>282</v>
      </c>
      <c r="AO82" s="4" t="s">
        <v>282</v>
      </c>
      <c r="AP82" s="4" t="s">
        <v>282</v>
      </c>
      <c r="AQ82" s="4" t="s">
        <v>282</v>
      </c>
      <c r="AR82" s="4" t="s">
        <v>282</v>
      </c>
      <c r="AS82" s="4" t="s">
        <v>282</v>
      </c>
      <c r="AT82" s="4" t="s">
        <v>282</v>
      </c>
      <c r="AU82" s="4" t="s">
        <v>282</v>
      </c>
      <c r="AV82" s="4" t="s">
        <v>282</v>
      </c>
      <c r="AW82" s="4" t="s">
        <v>282</v>
      </c>
      <c r="AX82" s="4" t="s">
        <v>282</v>
      </c>
      <c r="AY82" s="4" t="s">
        <v>282</v>
      </c>
      <c r="AZ82" s="4" t="s">
        <v>282</v>
      </c>
      <c r="BA82" s="4" t="s">
        <v>282</v>
      </c>
      <c r="BB82" s="4" t="s">
        <v>282</v>
      </c>
      <c r="BC82" s="4" t="s">
        <v>282</v>
      </c>
      <c r="BD82" s="4" t="s">
        <v>282</v>
      </c>
      <c r="BE82" s="4" t="s">
        <v>282</v>
      </c>
      <c r="BF82" s="4" t="s">
        <v>282</v>
      </c>
      <c r="BG82" s="4" t="s">
        <v>282</v>
      </c>
      <c r="BH82" s="4" t="s">
        <v>282</v>
      </c>
      <c r="BI82" s="4" t="s">
        <v>282</v>
      </c>
      <c r="BJ82" s="4" t="s">
        <v>282</v>
      </c>
      <c r="BK82" s="4" t="s">
        <v>282</v>
      </c>
      <c r="BL82" s="4" t="s">
        <v>282</v>
      </c>
      <c r="BM82" s="4" t="s">
        <v>282</v>
      </c>
      <c r="BN82" s="4" t="s">
        <v>282</v>
      </c>
      <c r="BO82" s="4" t="s">
        <v>282</v>
      </c>
      <c r="BP82" s="4" t="s">
        <v>282</v>
      </c>
      <c r="BQ82" s="4" t="s">
        <v>282</v>
      </c>
      <c r="BR82" s="4" t="s">
        <v>282</v>
      </c>
      <c r="BS82" s="4" t="s">
        <v>282</v>
      </c>
      <c r="BT82" s="4" t="s">
        <v>282</v>
      </c>
      <c r="BU82" s="4" t="s">
        <v>282</v>
      </c>
      <c r="BV82" s="4" t="s">
        <v>282</v>
      </c>
      <c r="BW82" s="4" t="s">
        <v>282</v>
      </c>
      <c r="BX82" s="4" t="s">
        <v>282</v>
      </c>
      <c r="BY82" s="4" t="s">
        <v>282</v>
      </c>
      <c r="BZ82" s="4" t="s">
        <v>282</v>
      </c>
      <c r="CA82" s="4" t="s">
        <v>282</v>
      </c>
      <c r="CB82" s="4" t="s">
        <v>282</v>
      </c>
      <c r="CC82" s="4" t="s">
        <v>282</v>
      </c>
      <c r="CD82" s="4" t="s">
        <v>282</v>
      </c>
      <c r="CE82" s="4" t="s">
        <v>282</v>
      </c>
      <c r="CF82" s="4" t="s">
        <v>282</v>
      </c>
      <c r="CG82" s="4" t="s">
        <v>282</v>
      </c>
      <c r="CH82" s="4" t="s">
        <v>282</v>
      </c>
      <c r="CI82" s="4" t="s">
        <v>282</v>
      </c>
      <c r="CJ82" s="4" t="s">
        <v>282</v>
      </c>
      <c r="CK82" s="4" t="s">
        <v>282</v>
      </c>
      <c r="CL82" s="4" t="s">
        <v>282</v>
      </c>
      <c r="CM82" s="4" t="s">
        <v>282</v>
      </c>
      <c r="CN82" s="4" t="s">
        <v>282</v>
      </c>
      <c r="CO82" s="4" t="s">
        <v>282</v>
      </c>
      <c r="CP82" s="4" t="s">
        <v>282</v>
      </c>
      <c r="CQ82" s="4" t="s">
        <v>282</v>
      </c>
      <c r="CR82" s="4" t="s">
        <v>282</v>
      </c>
      <c r="CS82" s="4" t="s">
        <v>282</v>
      </c>
      <c r="CT82" s="4" t="s">
        <v>282</v>
      </c>
      <c r="CU82" s="4" t="s">
        <v>282</v>
      </c>
      <c r="CV82" s="4" t="s">
        <v>282</v>
      </c>
      <c r="CW82" s="4" t="s">
        <v>282</v>
      </c>
      <c r="CX82" s="4" t="s">
        <v>282</v>
      </c>
      <c r="CY82" s="4" t="s">
        <v>282</v>
      </c>
      <c r="CZ82" s="4" t="s">
        <v>282</v>
      </c>
      <c r="DA82" s="4" t="s">
        <v>282</v>
      </c>
      <c r="DB82" s="4" t="s">
        <v>282</v>
      </c>
      <c r="DC82" s="4" t="s">
        <v>282</v>
      </c>
      <c r="DD82" s="4" t="s">
        <v>282</v>
      </c>
      <c r="DE82" s="4" t="s">
        <v>282</v>
      </c>
      <c r="DF82" s="4" t="s">
        <v>282</v>
      </c>
      <c r="DG82" s="4" t="s">
        <v>282</v>
      </c>
      <c r="DH82" s="4" t="s">
        <v>282</v>
      </c>
      <c r="DI82" s="4" t="s">
        <v>282</v>
      </c>
      <c r="DJ82" s="4" t="s">
        <v>282</v>
      </c>
      <c r="DK82" s="4" t="s">
        <v>282</v>
      </c>
      <c r="DL82" s="4" t="s">
        <v>282</v>
      </c>
      <c r="DM82" s="4" t="s">
        <v>282</v>
      </c>
      <c r="DN82" s="4" t="s">
        <v>282</v>
      </c>
      <c r="DO82" s="4" t="s">
        <v>282</v>
      </c>
      <c r="DP82" s="4" t="s">
        <v>282</v>
      </c>
      <c r="DQ82" s="4" t="s">
        <v>282</v>
      </c>
      <c r="DR82" s="4" t="s">
        <v>282</v>
      </c>
      <c r="DS82" s="4" t="s">
        <v>282</v>
      </c>
      <c r="DT82" s="4" t="s">
        <v>282</v>
      </c>
      <c r="DU82" s="4" t="s">
        <v>282</v>
      </c>
      <c r="DV82" s="4" t="s">
        <v>282</v>
      </c>
      <c r="DW82" s="4" t="s">
        <v>282</v>
      </c>
      <c r="DX82" s="4" t="s">
        <v>282</v>
      </c>
      <c r="DY82" s="4" t="s">
        <v>282</v>
      </c>
      <c r="DZ82" s="4" t="s">
        <v>282</v>
      </c>
      <c r="EA82" s="4" t="s">
        <v>282</v>
      </c>
      <c r="EB82" s="4" t="s">
        <v>282</v>
      </c>
      <c r="EC82" s="4" t="s">
        <v>282</v>
      </c>
      <c r="ED82" s="4" t="s">
        <v>282</v>
      </c>
      <c r="EE82" s="4" t="s">
        <v>282</v>
      </c>
      <c r="EF82" s="4" t="s">
        <v>282</v>
      </c>
      <c r="EG82" s="4" t="s">
        <v>282</v>
      </c>
      <c r="EH82" s="4" t="s">
        <v>282</v>
      </c>
      <c r="EI82" s="4" t="s">
        <v>282</v>
      </c>
      <c r="EJ82" s="4" t="s">
        <v>282</v>
      </c>
      <c r="EK82" s="4" t="s">
        <v>282</v>
      </c>
      <c r="EL82" s="4" t="s">
        <v>282</v>
      </c>
      <c r="EM82" s="4" t="s">
        <v>282</v>
      </c>
      <c r="EN82" s="4" t="s">
        <v>282</v>
      </c>
      <c r="EO82" s="4" t="s">
        <v>282</v>
      </c>
      <c r="EP82" s="4" t="s">
        <v>282</v>
      </c>
      <c r="EQ82" s="4" t="s">
        <v>282</v>
      </c>
      <c r="ER82" s="4" t="s">
        <v>282</v>
      </c>
      <c r="ES82" s="4" t="s">
        <v>282</v>
      </c>
      <c r="ET82" s="4" t="s">
        <v>282</v>
      </c>
      <c r="EU82" s="4" t="s">
        <v>282</v>
      </c>
      <c r="EV82" s="4" t="s">
        <v>282</v>
      </c>
      <c r="EW82" s="4" t="s">
        <v>282</v>
      </c>
      <c r="EX82" s="4" t="s">
        <v>282</v>
      </c>
      <c r="EY82" s="4" t="s">
        <v>282</v>
      </c>
      <c r="EZ82" s="4" t="s">
        <v>282</v>
      </c>
      <c r="FA82" s="4" t="s">
        <v>282</v>
      </c>
      <c r="FB82" s="4" t="s">
        <v>282</v>
      </c>
      <c r="FC82" s="4" t="s">
        <v>282</v>
      </c>
      <c r="FD82" s="4" t="s">
        <v>282</v>
      </c>
      <c r="FE82" s="1">
        <v>1</v>
      </c>
      <c r="FF82" s="1">
        <v>5</v>
      </c>
      <c r="FG82" s="1">
        <v>14.023999999999999</v>
      </c>
      <c r="FH82" s="1">
        <v>18.22</v>
      </c>
      <c r="FI82" s="1">
        <v>18.919</v>
      </c>
      <c r="FJ82" s="1">
        <v>4</v>
      </c>
      <c r="FK82" s="4" t="s">
        <v>282</v>
      </c>
      <c r="FL82" s="4" t="s">
        <v>282</v>
      </c>
      <c r="FM82" s="4" t="s">
        <v>282</v>
      </c>
      <c r="FN82" s="4" t="s">
        <v>282</v>
      </c>
      <c r="FO82" s="4" t="s">
        <v>282</v>
      </c>
      <c r="FP82" s="4" t="s">
        <v>282</v>
      </c>
      <c r="FQ82" s="4" t="s">
        <v>282</v>
      </c>
      <c r="FR82" s="4" t="s">
        <v>282</v>
      </c>
      <c r="FS82" s="4" t="s">
        <v>282</v>
      </c>
      <c r="FT82" s="4" t="s">
        <v>282</v>
      </c>
      <c r="FU82" s="4" t="s">
        <v>282</v>
      </c>
      <c r="FV82" s="4" t="s">
        <v>282</v>
      </c>
      <c r="FW82" s="4" t="s">
        <v>282</v>
      </c>
      <c r="FX82" s="4" t="s">
        <v>282</v>
      </c>
      <c r="FY82" s="4" t="s">
        <v>282</v>
      </c>
      <c r="FZ82" s="4" t="s">
        <v>282</v>
      </c>
      <c r="GA82" s="4" t="s">
        <v>282</v>
      </c>
      <c r="GB82" s="4" t="s">
        <v>282</v>
      </c>
      <c r="GC82" s="4" t="s">
        <v>282</v>
      </c>
      <c r="GD82" s="4" t="s">
        <v>282</v>
      </c>
      <c r="GE82" s="4" t="s">
        <v>282</v>
      </c>
      <c r="GF82" s="4" t="s">
        <v>282</v>
      </c>
      <c r="GG82" s="4" t="s">
        <v>282</v>
      </c>
      <c r="GH82" s="4" t="s">
        <v>282</v>
      </c>
      <c r="GI82" s="4" t="s">
        <v>282</v>
      </c>
      <c r="GJ82" s="4" t="s">
        <v>282</v>
      </c>
      <c r="GK82" s="4" t="s">
        <v>282</v>
      </c>
      <c r="GL82" s="4" t="s">
        <v>282</v>
      </c>
      <c r="GM82" s="4" t="s">
        <v>282</v>
      </c>
      <c r="GN82" s="4" t="s">
        <v>282</v>
      </c>
      <c r="GO82" s="4" t="s">
        <v>282</v>
      </c>
      <c r="GP82" s="4" t="s">
        <v>282</v>
      </c>
      <c r="GQ82" s="4" t="s">
        <v>282</v>
      </c>
      <c r="GR82" s="4" t="s">
        <v>282</v>
      </c>
      <c r="GS82" s="4" t="s">
        <v>282</v>
      </c>
      <c r="GT82" s="4" t="s">
        <v>282</v>
      </c>
      <c r="GU82" s="4" t="s">
        <v>282</v>
      </c>
      <c r="GV82" s="4" t="s">
        <v>282</v>
      </c>
      <c r="GW82" s="4" t="s">
        <v>282</v>
      </c>
      <c r="GX82" s="4" t="s">
        <v>282</v>
      </c>
      <c r="GY82" s="4" t="s">
        <v>282</v>
      </c>
      <c r="GZ82" s="4" t="s">
        <v>282</v>
      </c>
      <c r="HA82" s="4" t="s">
        <v>282</v>
      </c>
      <c r="HB82" s="4" t="s">
        <v>282</v>
      </c>
      <c r="HC82" s="4" t="s">
        <v>282</v>
      </c>
      <c r="HD82" s="4" t="s">
        <v>282</v>
      </c>
      <c r="HE82" s="4" t="s">
        <v>282</v>
      </c>
      <c r="HF82" s="4" t="s">
        <v>282</v>
      </c>
      <c r="HG82" s="1">
        <v>5</v>
      </c>
      <c r="HH82" s="1">
        <v>5</v>
      </c>
      <c r="HI82" s="1">
        <v>29.571999999999999</v>
      </c>
      <c r="HJ82" s="1">
        <v>35.332000000000001</v>
      </c>
      <c r="HK82" s="1">
        <v>36.216999999999999</v>
      </c>
      <c r="HL82" s="1">
        <v>4</v>
      </c>
      <c r="HM82" s="4" t="s">
        <v>282</v>
      </c>
      <c r="HN82" s="4" t="s">
        <v>282</v>
      </c>
      <c r="HO82" s="4" t="s">
        <v>282</v>
      </c>
      <c r="HP82" s="4" t="s">
        <v>282</v>
      </c>
      <c r="HQ82" s="4" t="s">
        <v>282</v>
      </c>
      <c r="HR82" s="4" t="s">
        <v>282</v>
      </c>
      <c r="HS82" s="4" t="s">
        <v>282</v>
      </c>
      <c r="HT82" s="4" t="s">
        <v>282</v>
      </c>
      <c r="HU82" s="4" t="s">
        <v>282</v>
      </c>
      <c r="HV82" s="4" t="s">
        <v>282</v>
      </c>
      <c r="HW82" s="4" t="s">
        <v>282</v>
      </c>
      <c r="HX82" s="4" t="s">
        <v>282</v>
      </c>
      <c r="HY82" s="4" t="s">
        <v>497</v>
      </c>
      <c r="HZ82" s="4" t="s">
        <v>356</v>
      </c>
      <c r="IA82" s="4" t="s">
        <v>1222</v>
      </c>
      <c r="IB82" s="4" t="s">
        <v>282</v>
      </c>
      <c r="IC82" s="4" t="s">
        <v>282</v>
      </c>
    </row>
    <row r="83" spans="1:237" x14ac:dyDescent="0.2">
      <c r="A83" s="3">
        <v>45744.444930555554</v>
      </c>
      <c r="B83" s="3">
        <v>45744.445254629631</v>
      </c>
      <c r="C83" s="1">
        <v>0</v>
      </c>
      <c r="D83" s="4" t="s">
        <v>385</v>
      </c>
      <c r="E83" s="1">
        <v>1</v>
      </c>
      <c r="F83" s="1">
        <v>28</v>
      </c>
      <c r="G83" s="1">
        <v>0</v>
      </c>
      <c r="H83" s="3">
        <v>45751.445279756947</v>
      </c>
      <c r="I83" s="4" t="s">
        <v>1223</v>
      </c>
      <c r="J83" s="4" t="s">
        <v>282</v>
      </c>
      <c r="K83" s="4" t="s">
        <v>282</v>
      </c>
      <c r="L83" s="4" t="s">
        <v>282</v>
      </c>
      <c r="M83" s="4" t="s">
        <v>282</v>
      </c>
      <c r="N83" s="1">
        <v>49.8538</v>
      </c>
      <c r="O83" s="1">
        <v>-97.290300000000002</v>
      </c>
      <c r="P83" s="4" t="s">
        <v>283</v>
      </c>
      <c r="Q83" s="4" t="s">
        <v>284</v>
      </c>
      <c r="R83" s="1">
        <v>0.89999997615814209</v>
      </c>
      <c r="S83" s="4" t="s">
        <v>282</v>
      </c>
      <c r="T83" s="4" t="s">
        <v>282</v>
      </c>
      <c r="U83" s="4" t="s">
        <v>282</v>
      </c>
      <c r="V83" s="4" t="s">
        <v>282</v>
      </c>
      <c r="W83" s="4" t="s">
        <v>282</v>
      </c>
      <c r="X83" s="4" t="s">
        <v>282</v>
      </c>
      <c r="Y83" s="4" t="s">
        <v>282</v>
      </c>
      <c r="Z83" s="4" t="s">
        <v>282</v>
      </c>
      <c r="AA83" s="4" t="s">
        <v>282</v>
      </c>
      <c r="AB83" s="4" t="s">
        <v>282</v>
      </c>
      <c r="AC83" s="4" t="s">
        <v>282</v>
      </c>
      <c r="AD83" s="4" t="s">
        <v>282</v>
      </c>
      <c r="AE83" s="4" t="s">
        <v>282</v>
      </c>
      <c r="AF83" s="4" t="s">
        <v>282</v>
      </c>
      <c r="AG83" s="4" t="s">
        <v>282</v>
      </c>
      <c r="AH83" s="4" t="s">
        <v>282</v>
      </c>
      <c r="AI83" s="4" t="s">
        <v>282</v>
      </c>
      <c r="AJ83" s="4" t="s">
        <v>282</v>
      </c>
      <c r="AK83" s="4" t="s">
        <v>282</v>
      </c>
      <c r="AL83" s="4" t="s">
        <v>282</v>
      </c>
      <c r="AM83" s="4" t="s">
        <v>282</v>
      </c>
      <c r="AN83" s="4" t="s">
        <v>282</v>
      </c>
      <c r="AO83" s="4" t="s">
        <v>282</v>
      </c>
      <c r="AP83" s="4" t="s">
        <v>282</v>
      </c>
      <c r="AQ83" s="4" t="s">
        <v>282</v>
      </c>
      <c r="AR83" s="4" t="s">
        <v>282</v>
      </c>
      <c r="AS83" s="4" t="s">
        <v>282</v>
      </c>
      <c r="AT83" s="4" t="s">
        <v>282</v>
      </c>
      <c r="AU83" s="4" t="s">
        <v>282</v>
      </c>
      <c r="AV83" s="4" t="s">
        <v>282</v>
      </c>
      <c r="AW83" s="4" t="s">
        <v>282</v>
      </c>
      <c r="AX83" s="4" t="s">
        <v>282</v>
      </c>
      <c r="AY83" s="4" t="s">
        <v>282</v>
      </c>
      <c r="AZ83" s="4" t="s">
        <v>282</v>
      </c>
      <c r="BA83" s="4" t="s">
        <v>282</v>
      </c>
      <c r="BB83" s="4" t="s">
        <v>282</v>
      </c>
      <c r="BC83" s="4" t="s">
        <v>282</v>
      </c>
      <c r="BD83" s="4" t="s">
        <v>282</v>
      </c>
      <c r="BE83" s="4" t="s">
        <v>282</v>
      </c>
      <c r="BF83" s="4" t="s">
        <v>282</v>
      </c>
      <c r="BG83" s="4" t="s">
        <v>282</v>
      </c>
      <c r="BH83" s="4" t="s">
        <v>282</v>
      </c>
      <c r="BI83" s="4" t="s">
        <v>282</v>
      </c>
      <c r="BJ83" s="4" t="s">
        <v>282</v>
      </c>
      <c r="BK83" s="4" t="s">
        <v>282</v>
      </c>
      <c r="BL83" s="4" t="s">
        <v>282</v>
      </c>
      <c r="BM83" s="4" t="s">
        <v>282</v>
      </c>
      <c r="BN83" s="4" t="s">
        <v>282</v>
      </c>
      <c r="BO83" s="4" t="s">
        <v>282</v>
      </c>
      <c r="BP83" s="4" t="s">
        <v>282</v>
      </c>
      <c r="BQ83" s="4" t="s">
        <v>282</v>
      </c>
      <c r="BR83" s="4" t="s">
        <v>282</v>
      </c>
      <c r="BS83" s="4" t="s">
        <v>282</v>
      </c>
      <c r="BT83" s="4" t="s">
        <v>282</v>
      </c>
      <c r="BU83" s="4" t="s">
        <v>282</v>
      </c>
      <c r="BV83" s="4" t="s">
        <v>282</v>
      </c>
      <c r="BW83" s="4" t="s">
        <v>282</v>
      </c>
      <c r="BX83" s="4" t="s">
        <v>282</v>
      </c>
      <c r="BY83" s="4" t="s">
        <v>282</v>
      </c>
      <c r="BZ83" s="4" t="s">
        <v>282</v>
      </c>
      <c r="CA83" s="4" t="s">
        <v>282</v>
      </c>
      <c r="CB83" s="4" t="s">
        <v>282</v>
      </c>
      <c r="CC83" s="4" t="s">
        <v>282</v>
      </c>
      <c r="CD83" s="4" t="s">
        <v>282</v>
      </c>
      <c r="CE83" s="4" t="s">
        <v>282</v>
      </c>
      <c r="CF83" s="4" t="s">
        <v>282</v>
      </c>
      <c r="CG83" s="4" t="s">
        <v>282</v>
      </c>
      <c r="CH83" s="4" t="s">
        <v>282</v>
      </c>
      <c r="CI83" s="4" t="s">
        <v>282</v>
      </c>
      <c r="CJ83" s="4" t="s">
        <v>282</v>
      </c>
      <c r="CK83" s="4" t="s">
        <v>282</v>
      </c>
      <c r="CL83" s="4" t="s">
        <v>282</v>
      </c>
      <c r="CM83" s="4" t="s">
        <v>282</v>
      </c>
      <c r="CN83" s="4" t="s">
        <v>282</v>
      </c>
      <c r="CO83" s="4" t="s">
        <v>282</v>
      </c>
      <c r="CP83" s="4" t="s">
        <v>282</v>
      </c>
      <c r="CQ83" s="4" t="s">
        <v>282</v>
      </c>
      <c r="CR83" s="4" t="s">
        <v>282</v>
      </c>
      <c r="CS83" s="4" t="s">
        <v>282</v>
      </c>
      <c r="CT83" s="4" t="s">
        <v>282</v>
      </c>
      <c r="CU83" s="4" t="s">
        <v>282</v>
      </c>
      <c r="CV83" s="4" t="s">
        <v>282</v>
      </c>
      <c r="CW83" s="4" t="s">
        <v>282</v>
      </c>
      <c r="CX83" s="4" t="s">
        <v>282</v>
      </c>
      <c r="CY83" s="4" t="s">
        <v>282</v>
      </c>
      <c r="CZ83" s="4" t="s">
        <v>282</v>
      </c>
      <c r="DA83" s="4" t="s">
        <v>282</v>
      </c>
      <c r="DB83" s="4" t="s">
        <v>282</v>
      </c>
      <c r="DC83" s="4" t="s">
        <v>282</v>
      </c>
      <c r="DD83" s="4" t="s">
        <v>282</v>
      </c>
      <c r="DE83" s="4" t="s">
        <v>282</v>
      </c>
      <c r="DF83" s="4" t="s">
        <v>282</v>
      </c>
      <c r="DG83" s="4" t="s">
        <v>282</v>
      </c>
      <c r="DH83" s="4" t="s">
        <v>282</v>
      </c>
      <c r="DI83" s="4" t="s">
        <v>282</v>
      </c>
      <c r="DJ83" s="4" t="s">
        <v>282</v>
      </c>
      <c r="DK83" s="4" t="s">
        <v>282</v>
      </c>
      <c r="DL83" s="4" t="s">
        <v>282</v>
      </c>
      <c r="DM83" s="4" t="s">
        <v>282</v>
      </c>
      <c r="DN83" s="4" t="s">
        <v>282</v>
      </c>
      <c r="DO83" s="4" t="s">
        <v>282</v>
      </c>
      <c r="DP83" s="4" t="s">
        <v>282</v>
      </c>
      <c r="DQ83" s="4" t="s">
        <v>282</v>
      </c>
      <c r="DR83" s="4" t="s">
        <v>282</v>
      </c>
      <c r="DS83" s="4" t="s">
        <v>282</v>
      </c>
      <c r="DT83" s="4" t="s">
        <v>282</v>
      </c>
      <c r="DU83" s="4" t="s">
        <v>282</v>
      </c>
      <c r="DV83" s="4" t="s">
        <v>282</v>
      </c>
      <c r="DW83" s="4" t="s">
        <v>282</v>
      </c>
      <c r="DX83" s="4" t="s">
        <v>282</v>
      </c>
      <c r="DY83" s="4" t="s">
        <v>282</v>
      </c>
      <c r="DZ83" s="4" t="s">
        <v>282</v>
      </c>
      <c r="EA83" s="4" t="s">
        <v>282</v>
      </c>
      <c r="EB83" s="4" t="s">
        <v>282</v>
      </c>
      <c r="EC83" s="4" t="s">
        <v>282</v>
      </c>
      <c r="ED83" s="4" t="s">
        <v>282</v>
      </c>
      <c r="EE83" s="4" t="s">
        <v>282</v>
      </c>
      <c r="EF83" s="4" t="s">
        <v>282</v>
      </c>
      <c r="EG83" s="4" t="s">
        <v>282</v>
      </c>
      <c r="EH83" s="4" t="s">
        <v>282</v>
      </c>
      <c r="EI83" s="4" t="s">
        <v>282</v>
      </c>
      <c r="EJ83" s="4" t="s">
        <v>282</v>
      </c>
      <c r="EK83" s="4" t="s">
        <v>282</v>
      </c>
      <c r="EL83" s="4" t="s">
        <v>282</v>
      </c>
      <c r="EM83" s="4" t="s">
        <v>282</v>
      </c>
      <c r="EN83" s="4" t="s">
        <v>282</v>
      </c>
      <c r="EO83" s="4" t="s">
        <v>282</v>
      </c>
      <c r="EP83" s="4" t="s">
        <v>282</v>
      </c>
      <c r="EQ83" s="4" t="s">
        <v>282</v>
      </c>
      <c r="ER83" s="4" t="s">
        <v>282</v>
      </c>
      <c r="ES83" s="4" t="s">
        <v>282</v>
      </c>
      <c r="ET83" s="4" t="s">
        <v>282</v>
      </c>
      <c r="EU83" s="4" t="s">
        <v>282</v>
      </c>
      <c r="EV83" s="4" t="s">
        <v>282</v>
      </c>
      <c r="EW83" s="4" t="s">
        <v>282</v>
      </c>
      <c r="EX83" s="4" t="s">
        <v>282</v>
      </c>
      <c r="EY83" s="4" t="s">
        <v>282</v>
      </c>
      <c r="EZ83" s="4" t="s">
        <v>282</v>
      </c>
      <c r="FA83" s="4" t="s">
        <v>282</v>
      </c>
      <c r="FB83" s="4" t="s">
        <v>282</v>
      </c>
      <c r="FC83" s="4" t="s">
        <v>282</v>
      </c>
      <c r="FD83" s="4" t="s">
        <v>282</v>
      </c>
      <c r="FE83" s="4" t="s">
        <v>282</v>
      </c>
      <c r="FF83" s="4" t="s">
        <v>282</v>
      </c>
      <c r="FG83" s="4" t="s">
        <v>282</v>
      </c>
      <c r="FH83" s="4" t="s">
        <v>282</v>
      </c>
      <c r="FI83" s="4" t="s">
        <v>282</v>
      </c>
      <c r="FJ83" s="4" t="s">
        <v>282</v>
      </c>
      <c r="FK83" s="4" t="s">
        <v>282</v>
      </c>
      <c r="FL83" s="4" t="s">
        <v>282</v>
      </c>
      <c r="FM83" s="4" t="s">
        <v>282</v>
      </c>
      <c r="FN83" s="4" t="s">
        <v>282</v>
      </c>
      <c r="FO83" s="4" t="s">
        <v>282</v>
      </c>
      <c r="FP83" s="4" t="s">
        <v>282</v>
      </c>
      <c r="FQ83" s="4" t="s">
        <v>282</v>
      </c>
      <c r="FR83" s="4" t="s">
        <v>282</v>
      </c>
      <c r="FS83" s="4" t="s">
        <v>282</v>
      </c>
      <c r="FT83" s="4" t="s">
        <v>282</v>
      </c>
      <c r="FU83" s="4" t="s">
        <v>282</v>
      </c>
      <c r="FV83" s="4" t="s">
        <v>282</v>
      </c>
      <c r="FW83" s="4" t="s">
        <v>282</v>
      </c>
      <c r="FX83" s="4" t="s">
        <v>282</v>
      </c>
      <c r="FY83" s="4" t="s">
        <v>282</v>
      </c>
      <c r="FZ83" s="4" t="s">
        <v>282</v>
      </c>
      <c r="GA83" s="4" t="s">
        <v>282</v>
      </c>
      <c r="GB83" s="4" t="s">
        <v>282</v>
      </c>
      <c r="GC83" s="4" t="s">
        <v>282</v>
      </c>
      <c r="GD83" s="4" t="s">
        <v>282</v>
      </c>
      <c r="GE83" s="4" t="s">
        <v>282</v>
      </c>
      <c r="GF83" s="4" t="s">
        <v>282</v>
      </c>
      <c r="GG83" s="4" t="s">
        <v>282</v>
      </c>
      <c r="GH83" s="4" t="s">
        <v>282</v>
      </c>
      <c r="GI83" s="4" t="s">
        <v>282</v>
      </c>
      <c r="GJ83" s="4" t="s">
        <v>282</v>
      </c>
      <c r="GK83" s="4" t="s">
        <v>282</v>
      </c>
      <c r="GL83" s="4" t="s">
        <v>282</v>
      </c>
      <c r="GM83" s="4" t="s">
        <v>282</v>
      </c>
      <c r="GN83" s="4" t="s">
        <v>282</v>
      </c>
      <c r="GO83" s="4" t="s">
        <v>282</v>
      </c>
      <c r="GP83" s="4" t="s">
        <v>282</v>
      </c>
      <c r="GQ83" s="4" t="s">
        <v>282</v>
      </c>
      <c r="GR83" s="4" t="s">
        <v>282</v>
      </c>
      <c r="GS83" s="4" t="s">
        <v>282</v>
      </c>
      <c r="GT83" s="4" t="s">
        <v>282</v>
      </c>
      <c r="GU83" s="4" t="s">
        <v>282</v>
      </c>
      <c r="GV83" s="4" t="s">
        <v>282</v>
      </c>
      <c r="GW83" s="4" t="s">
        <v>282</v>
      </c>
      <c r="GX83" s="4" t="s">
        <v>282</v>
      </c>
      <c r="GY83" s="4" t="s">
        <v>282</v>
      </c>
      <c r="GZ83" s="4" t="s">
        <v>282</v>
      </c>
      <c r="HA83" s="4" t="s">
        <v>282</v>
      </c>
      <c r="HB83" s="4" t="s">
        <v>282</v>
      </c>
      <c r="HC83" s="4" t="s">
        <v>282</v>
      </c>
      <c r="HD83" s="4" t="s">
        <v>282</v>
      </c>
      <c r="HE83" s="4" t="s">
        <v>282</v>
      </c>
      <c r="HF83" s="4" t="s">
        <v>282</v>
      </c>
      <c r="HG83" s="4" t="s">
        <v>282</v>
      </c>
      <c r="HH83" s="4" t="s">
        <v>282</v>
      </c>
      <c r="HI83" s="4" t="s">
        <v>282</v>
      </c>
      <c r="HJ83" s="4" t="s">
        <v>282</v>
      </c>
      <c r="HK83" s="4" t="s">
        <v>282</v>
      </c>
      <c r="HL83" s="4" t="s">
        <v>282</v>
      </c>
      <c r="HM83" s="4" t="s">
        <v>282</v>
      </c>
      <c r="HN83" s="4" t="s">
        <v>282</v>
      </c>
      <c r="HO83" s="4" t="s">
        <v>282</v>
      </c>
      <c r="HP83" s="4" t="s">
        <v>282</v>
      </c>
      <c r="HQ83" s="4" t="s">
        <v>282</v>
      </c>
      <c r="HR83" s="4" t="s">
        <v>282</v>
      </c>
      <c r="HS83" s="4" t="s">
        <v>282</v>
      </c>
      <c r="HT83" s="4" t="s">
        <v>282</v>
      </c>
      <c r="HU83" s="4" t="s">
        <v>282</v>
      </c>
      <c r="HV83" s="4" t="s">
        <v>282</v>
      </c>
      <c r="HW83" s="4" t="s">
        <v>282</v>
      </c>
      <c r="HX83" s="4" t="s">
        <v>282</v>
      </c>
      <c r="HY83" s="4" t="s">
        <v>282</v>
      </c>
      <c r="HZ83" s="4" t="s">
        <v>282</v>
      </c>
      <c r="IA83" s="4" t="s">
        <v>282</v>
      </c>
      <c r="IB83" s="4" t="s">
        <v>282</v>
      </c>
      <c r="IC83" s="4" t="s">
        <v>282</v>
      </c>
    </row>
    <row r="84" spans="1:237" x14ac:dyDescent="0.2">
      <c r="A84" s="3">
        <v>45744.498067129629</v>
      </c>
      <c r="B84" s="3">
        <v>45744.498159722221</v>
      </c>
      <c r="C84" s="1">
        <v>0</v>
      </c>
      <c r="D84" s="4" t="s">
        <v>425</v>
      </c>
      <c r="E84" s="1">
        <v>0</v>
      </c>
      <c r="F84" s="1">
        <v>8</v>
      </c>
      <c r="G84" s="1">
        <v>0</v>
      </c>
      <c r="H84" s="3">
        <v>45751.498179224538</v>
      </c>
      <c r="I84" s="4" t="s">
        <v>1224</v>
      </c>
      <c r="J84" s="4" t="s">
        <v>282</v>
      </c>
      <c r="K84" s="4" t="s">
        <v>282</v>
      </c>
      <c r="L84" s="4" t="s">
        <v>282</v>
      </c>
      <c r="M84" s="4" t="s">
        <v>282</v>
      </c>
      <c r="N84" s="1">
        <v>-37.8964</v>
      </c>
      <c r="O84" s="1">
        <v>145.07990000000001</v>
      </c>
      <c r="P84" s="4" t="s">
        <v>283</v>
      </c>
      <c r="Q84" s="4" t="s">
        <v>284</v>
      </c>
      <c r="R84" s="1">
        <v>0.89999997615814209</v>
      </c>
      <c r="S84" s="4" t="s">
        <v>282</v>
      </c>
      <c r="T84" s="4" t="s">
        <v>282</v>
      </c>
      <c r="U84" s="4" t="s">
        <v>282</v>
      </c>
      <c r="V84" s="4" t="s">
        <v>282</v>
      </c>
      <c r="W84" s="4" t="s">
        <v>282</v>
      </c>
      <c r="X84" s="4" t="s">
        <v>282</v>
      </c>
      <c r="Y84" s="4" t="s">
        <v>282</v>
      </c>
      <c r="Z84" s="4" t="s">
        <v>282</v>
      </c>
      <c r="AA84" s="4" t="s">
        <v>282</v>
      </c>
      <c r="AB84" s="4" t="s">
        <v>282</v>
      </c>
      <c r="AC84" s="4" t="s">
        <v>282</v>
      </c>
      <c r="AD84" s="4" t="s">
        <v>282</v>
      </c>
      <c r="AE84" s="4" t="s">
        <v>282</v>
      </c>
      <c r="AF84" s="4" t="s">
        <v>282</v>
      </c>
      <c r="AG84" s="4" t="s">
        <v>282</v>
      </c>
      <c r="AH84" s="4" t="s">
        <v>282</v>
      </c>
      <c r="AI84" s="4" t="s">
        <v>282</v>
      </c>
      <c r="AJ84" s="4" t="s">
        <v>282</v>
      </c>
      <c r="AK84" s="4" t="s">
        <v>282</v>
      </c>
      <c r="AL84" s="4" t="s">
        <v>282</v>
      </c>
      <c r="AM84" s="4" t="s">
        <v>282</v>
      </c>
      <c r="AN84" s="4" t="s">
        <v>282</v>
      </c>
      <c r="AO84" s="4" t="s">
        <v>282</v>
      </c>
      <c r="AP84" s="4" t="s">
        <v>282</v>
      </c>
      <c r="AQ84" s="4" t="s">
        <v>282</v>
      </c>
      <c r="AR84" s="4" t="s">
        <v>282</v>
      </c>
      <c r="AS84" s="4" t="s">
        <v>282</v>
      </c>
      <c r="AT84" s="4" t="s">
        <v>282</v>
      </c>
      <c r="AU84" s="4" t="s">
        <v>282</v>
      </c>
      <c r="AV84" s="4" t="s">
        <v>282</v>
      </c>
      <c r="AW84" s="4" t="s">
        <v>282</v>
      </c>
      <c r="AX84" s="4" t="s">
        <v>282</v>
      </c>
      <c r="AY84" s="4" t="s">
        <v>282</v>
      </c>
      <c r="AZ84" s="4" t="s">
        <v>282</v>
      </c>
      <c r="BA84" s="4" t="s">
        <v>282</v>
      </c>
      <c r="BB84" s="4" t="s">
        <v>282</v>
      </c>
      <c r="BC84" s="4" t="s">
        <v>282</v>
      </c>
      <c r="BD84" s="4" t="s">
        <v>282</v>
      </c>
      <c r="BE84" s="4" t="s">
        <v>282</v>
      </c>
      <c r="BF84" s="4" t="s">
        <v>282</v>
      </c>
      <c r="BG84" s="4" t="s">
        <v>282</v>
      </c>
      <c r="BH84" s="4" t="s">
        <v>282</v>
      </c>
      <c r="BI84" s="4" t="s">
        <v>282</v>
      </c>
      <c r="BJ84" s="4" t="s">
        <v>282</v>
      </c>
      <c r="BK84" s="4" t="s">
        <v>282</v>
      </c>
      <c r="BL84" s="4" t="s">
        <v>282</v>
      </c>
      <c r="BM84" s="4" t="s">
        <v>282</v>
      </c>
      <c r="BN84" s="4" t="s">
        <v>282</v>
      </c>
      <c r="BO84" s="4" t="s">
        <v>282</v>
      </c>
      <c r="BP84" s="4" t="s">
        <v>282</v>
      </c>
      <c r="BQ84" s="4" t="s">
        <v>282</v>
      </c>
      <c r="BR84" s="4" t="s">
        <v>282</v>
      </c>
      <c r="BS84" s="4" t="s">
        <v>282</v>
      </c>
      <c r="BT84" s="4" t="s">
        <v>282</v>
      </c>
      <c r="BU84" s="4" t="s">
        <v>282</v>
      </c>
      <c r="BV84" s="4" t="s">
        <v>282</v>
      </c>
      <c r="BW84" s="4" t="s">
        <v>282</v>
      </c>
      <c r="BX84" s="4" t="s">
        <v>282</v>
      </c>
      <c r="BY84" s="4" t="s">
        <v>282</v>
      </c>
      <c r="BZ84" s="4" t="s">
        <v>282</v>
      </c>
      <c r="CA84" s="4" t="s">
        <v>282</v>
      </c>
      <c r="CB84" s="4" t="s">
        <v>282</v>
      </c>
      <c r="CC84" s="4" t="s">
        <v>282</v>
      </c>
      <c r="CD84" s="4" t="s">
        <v>282</v>
      </c>
      <c r="CE84" s="4" t="s">
        <v>282</v>
      </c>
      <c r="CF84" s="4" t="s">
        <v>282</v>
      </c>
      <c r="CG84" s="4" t="s">
        <v>282</v>
      </c>
      <c r="CH84" s="4" t="s">
        <v>282</v>
      </c>
      <c r="CI84" s="4" t="s">
        <v>282</v>
      </c>
      <c r="CJ84" s="4" t="s">
        <v>282</v>
      </c>
      <c r="CK84" s="4" t="s">
        <v>282</v>
      </c>
      <c r="CL84" s="4" t="s">
        <v>282</v>
      </c>
      <c r="CM84" s="4" t="s">
        <v>282</v>
      </c>
      <c r="CN84" s="4" t="s">
        <v>282</v>
      </c>
      <c r="CO84" s="4" t="s">
        <v>282</v>
      </c>
      <c r="CP84" s="4" t="s">
        <v>282</v>
      </c>
      <c r="CQ84" s="4" t="s">
        <v>282</v>
      </c>
      <c r="CR84" s="4" t="s">
        <v>282</v>
      </c>
      <c r="CS84" s="4" t="s">
        <v>282</v>
      </c>
      <c r="CT84" s="4" t="s">
        <v>282</v>
      </c>
      <c r="CU84" s="4" t="s">
        <v>282</v>
      </c>
      <c r="CV84" s="4" t="s">
        <v>282</v>
      </c>
      <c r="CW84" s="4" t="s">
        <v>282</v>
      </c>
      <c r="CX84" s="4" t="s">
        <v>282</v>
      </c>
      <c r="CY84" s="4" t="s">
        <v>282</v>
      </c>
      <c r="CZ84" s="4" t="s">
        <v>282</v>
      </c>
      <c r="DA84" s="4" t="s">
        <v>282</v>
      </c>
      <c r="DB84" s="4" t="s">
        <v>282</v>
      </c>
      <c r="DC84" s="4" t="s">
        <v>282</v>
      </c>
      <c r="DD84" s="4" t="s">
        <v>282</v>
      </c>
      <c r="DE84" s="4" t="s">
        <v>282</v>
      </c>
      <c r="DF84" s="4" t="s">
        <v>282</v>
      </c>
      <c r="DG84" s="4" t="s">
        <v>282</v>
      </c>
      <c r="DH84" s="4" t="s">
        <v>282</v>
      </c>
      <c r="DI84" s="4" t="s">
        <v>282</v>
      </c>
      <c r="DJ84" s="4" t="s">
        <v>282</v>
      </c>
      <c r="DK84" s="4" t="s">
        <v>282</v>
      </c>
      <c r="DL84" s="4" t="s">
        <v>282</v>
      </c>
      <c r="DM84" s="4" t="s">
        <v>282</v>
      </c>
      <c r="DN84" s="4" t="s">
        <v>282</v>
      </c>
      <c r="DO84" s="4" t="s">
        <v>282</v>
      </c>
      <c r="DP84" s="4" t="s">
        <v>282</v>
      </c>
      <c r="DQ84" s="4" t="s">
        <v>282</v>
      </c>
      <c r="DR84" s="4" t="s">
        <v>282</v>
      </c>
      <c r="DS84" s="4" t="s">
        <v>282</v>
      </c>
      <c r="DT84" s="4" t="s">
        <v>282</v>
      </c>
      <c r="DU84" s="4" t="s">
        <v>282</v>
      </c>
      <c r="DV84" s="4" t="s">
        <v>282</v>
      </c>
      <c r="DW84" s="4" t="s">
        <v>282</v>
      </c>
      <c r="DX84" s="4" t="s">
        <v>282</v>
      </c>
      <c r="DY84" s="4" t="s">
        <v>282</v>
      </c>
      <c r="DZ84" s="4" t="s">
        <v>282</v>
      </c>
      <c r="EA84" s="4" t="s">
        <v>282</v>
      </c>
      <c r="EB84" s="4" t="s">
        <v>282</v>
      </c>
      <c r="EC84" s="4" t="s">
        <v>282</v>
      </c>
      <c r="ED84" s="4" t="s">
        <v>282</v>
      </c>
      <c r="EE84" s="4" t="s">
        <v>282</v>
      </c>
      <c r="EF84" s="4" t="s">
        <v>282</v>
      </c>
      <c r="EG84" s="4" t="s">
        <v>282</v>
      </c>
      <c r="EH84" s="4" t="s">
        <v>282</v>
      </c>
      <c r="EI84" s="4" t="s">
        <v>282</v>
      </c>
      <c r="EJ84" s="4" t="s">
        <v>282</v>
      </c>
      <c r="EK84" s="4" t="s">
        <v>282</v>
      </c>
      <c r="EL84" s="4" t="s">
        <v>282</v>
      </c>
      <c r="EM84" s="4" t="s">
        <v>282</v>
      </c>
      <c r="EN84" s="4" t="s">
        <v>282</v>
      </c>
      <c r="EO84" s="4" t="s">
        <v>282</v>
      </c>
      <c r="EP84" s="4" t="s">
        <v>282</v>
      </c>
      <c r="EQ84" s="4" t="s">
        <v>282</v>
      </c>
      <c r="ER84" s="4" t="s">
        <v>282</v>
      </c>
      <c r="ES84" s="4" t="s">
        <v>282</v>
      </c>
      <c r="ET84" s="4" t="s">
        <v>282</v>
      </c>
      <c r="EU84" s="4" t="s">
        <v>282</v>
      </c>
      <c r="EV84" s="4" t="s">
        <v>282</v>
      </c>
      <c r="EW84" s="4" t="s">
        <v>282</v>
      </c>
      <c r="EX84" s="4" t="s">
        <v>282</v>
      </c>
      <c r="EY84" s="4" t="s">
        <v>282</v>
      </c>
      <c r="EZ84" s="4" t="s">
        <v>282</v>
      </c>
      <c r="FA84" s="4" t="s">
        <v>282</v>
      </c>
      <c r="FB84" s="4" t="s">
        <v>282</v>
      </c>
      <c r="FC84" s="4" t="s">
        <v>282</v>
      </c>
      <c r="FD84" s="4" t="s">
        <v>282</v>
      </c>
      <c r="FE84" s="4" t="s">
        <v>282</v>
      </c>
      <c r="FF84" s="4" t="s">
        <v>282</v>
      </c>
      <c r="FG84" s="4" t="s">
        <v>282</v>
      </c>
      <c r="FH84" s="4" t="s">
        <v>282</v>
      </c>
      <c r="FI84" s="4" t="s">
        <v>282</v>
      </c>
      <c r="FJ84" s="4" t="s">
        <v>282</v>
      </c>
      <c r="FK84" s="4" t="s">
        <v>282</v>
      </c>
      <c r="FL84" s="4" t="s">
        <v>282</v>
      </c>
      <c r="FM84" s="4" t="s">
        <v>282</v>
      </c>
      <c r="FN84" s="4" t="s">
        <v>282</v>
      </c>
      <c r="FO84" s="4" t="s">
        <v>282</v>
      </c>
      <c r="FP84" s="4" t="s">
        <v>282</v>
      </c>
      <c r="FQ84" s="4" t="s">
        <v>282</v>
      </c>
      <c r="FR84" s="4" t="s">
        <v>282</v>
      </c>
      <c r="FS84" s="4" t="s">
        <v>282</v>
      </c>
      <c r="FT84" s="4" t="s">
        <v>282</v>
      </c>
      <c r="FU84" s="4" t="s">
        <v>282</v>
      </c>
      <c r="FV84" s="4" t="s">
        <v>282</v>
      </c>
      <c r="FW84" s="4" t="s">
        <v>282</v>
      </c>
      <c r="FX84" s="4" t="s">
        <v>282</v>
      </c>
      <c r="FY84" s="4" t="s">
        <v>282</v>
      </c>
      <c r="FZ84" s="4" t="s">
        <v>282</v>
      </c>
      <c r="GA84" s="4" t="s">
        <v>282</v>
      </c>
      <c r="GB84" s="4" t="s">
        <v>282</v>
      </c>
      <c r="GC84" s="4" t="s">
        <v>282</v>
      </c>
      <c r="GD84" s="4" t="s">
        <v>282</v>
      </c>
      <c r="GE84" s="4" t="s">
        <v>282</v>
      </c>
      <c r="GF84" s="4" t="s">
        <v>282</v>
      </c>
      <c r="GG84" s="4" t="s">
        <v>282</v>
      </c>
      <c r="GH84" s="4" t="s">
        <v>282</v>
      </c>
      <c r="GI84" s="4" t="s">
        <v>282</v>
      </c>
      <c r="GJ84" s="4" t="s">
        <v>282</v>
      </c>
      <c r="GK84" s="4" t="s">
        <v>282</v>
      </c>
      <c r="GL84" s="4" t="s">
        <v>282</v>
      </c>
      <c r="GM84" s="4" t="s">
        <v>282</v>
      </c>
      <c r="GN84" s="4" t="s">
        <v>282</v>
      </c>
      <c r="GO84" s="4" t="s">
        <v>282</v>
      </c>
      <c r="GP84" s="4" t="s">
        <v>282</v>
      </c>
      <c r="GQ84" s="4" t="s">
        <v>282</v>
      </c>
      <c r="GR84" s="4" t="s">
        <v>282</v>
      </c>
      <c r="GS84" s="4" t="s">
        <v>282</v>
      </c>
      <c r="GT84" s="4" t="s">
        <v>282</v>
      </c>
      <c r="GU84" s="4" t="s">
        <v>282</v>
      </c>
      <c r="GV84" s="4" t="s">
        <v>282</v>
      </c>
      <c r="GW84" s="4" t="s">
        <v>282</v>
      </c>
      <c r="GX84" s="4" t="s">
        <v>282</v>
      </c>
      <c r="GY84" s="4" t="s">
        <v>282</v>
      </c>
      <c r="GZ84" s="4" t="s">
        <v>282</v>
      </c>
      <c r="HA84" s="4" t="s">
        <v>282</v>
      </c>
      <c r="HB84" s="4" t="s">
        <v>282</v>
      </c>
      <c r="HC84" s="4" t="s">
        <v>282</v>
      </c>
      <c r="HD84" s="4" t="s">
        <v>282</v>
      </c>
      <c r="HE84" s="4" t="s">
        <v>282</v>
      </c>
      <c r="HF84" s="4" t="s">
        <v>282</v>
      </c>
      <c r="HG84" s="4" t="s">
        <v>282</v>
      </c>
      <c r="HH84" s="4" t="s">
        <v>282</v>
      </c>
      <c r="HI84" s="4" t="s">
        <v>282</v>
      </c>
      <c r="HJ84" s="4" t="s">
        <v>282</v>
      </c>
      <c r="HK84" s="4" t="s">
        <v>282</v>
      </c>
      <c r="HL84" s="4" t="s">
        <v>282</v>
      </c>
      <c r="HM84" s="4" t="s">
        <v>282</v>
      </c>
      <c r="HN84" s="4" t="s">
        <v>282</v>
      </c>
      <c r="HO84" s="4" t="s">
        <v>282</v>
      </c>
      <c r="HP84" s="4" t="s">
        <v>282</v>
      </c>
      <c r="HQ84" s="4" t="s">
        <v>282</v>
      </c>
      <c r="HR84" s="4" t="s">
        <v>282</v>
      </c>
      <c r="HS84" s="4" t="s">
        <v>282</v>
      </c>
      <c r="HT84" s="4" t="s">
        <v>282</v>
      </c>
      <c r="HU84" s="4" t="s">
        <v>282</v>
      </c>
      <c r="HV84" s="4" t="s">
        <v>282</v>
      </c>
      <c r="HW84" s="4" t="s">
        <v>282</v>
      </c>
      <c r="HX84" s="4" t="s">
        <v>282</v>
      </c>
      <c r="HY84" s="4" t="s">
        <v>282</v>
      </c>
      <c r="HZ84" s="4" t="s">
        <v>282</v>
      </c>
      <c r="IA84" s="4" t="s">
        <v>282</v>
      </c>
      <c r="IB84" s="4" t="s">
        <v>282</v>
      </c>
      <c r="IC84" s="4" t="s">
        <v>282</v>
      </c>
    </row>
    <row r="85" spans="1:237" x14ac:dyDescent="0.2">
      <c r="A85" s="3">
        <v>45744.500081018516</v>
      </c>
      <c r="B85" s="3">
        <v>45744.500231481485</v>
      </c>
      <c r="C85" s="1">
        <v>0</v>
      </c>
      <c r="D85" s="4" t="s">
        <v>435</v>
      </c>
      <c r="E85" s="1">
        <v>0</v>
      </c>
      <c r="F85" s="1">
        <v>12</v>
      </c>
      <c r="G85" s="1">
        <v>0</v>
      </c>
      <c r="H85" s="3">
        <v>45751.500251377314</v>
      </c>
      <c r="I85" s="4" t="s">
        <v>1225</v>
      </c>
      <c r="J85" s="4" t="s">
        <v>282</v>
      </c>
      <c r="K85" s="4" t="s">
        <v>282</v>
      </c>
      <c r="L85" s="4" t="s">
        <v>282</v>
      </c>
      <c r="M85" s="4" t="s">
        <v>282</v>
      </c>
      <c r="N85" s="1">
        <v>-37.815899999999999</v>
      </c>
      <c r="O85" s="1">
        <v>144.96690000000001</v>
      </c>
      <c r="P85" s="4" t="s">
        <v>283</v>
      </c>
      <c r="Q85" s="4" t="s">
        <v>284</v>
      </c>
      <c r="R85" s="1">
        <v>0.89999997615814209</v>
      </c>
      <c r="S85" s="4" t="s">
        <v>282</v>
      </c>
      <c r="T85" s="4" t="s">
        <v>282</v>
      </c>
      <c r="U85" s="4" t="s">
        <v>282</v>
      </c>
      <c r="V85" s="4" t="s">
        <v>282</v>
      </c>
      <c r="W85" s="4" t="s">
        <v>282</v>
      </c>
      <c r="X85" s="4" t="s">
        <v>282</v>
      </c>
      <c r="Y85" s="4" t="s">
        <v>282</v>
      </c>
      <c r="Z85" s="4" t="s">
        <v>282</v>
      </c>
      <c r="AA85" s="4" t="s">
        <v>282</v>
      </c>
      <c r="AB85" s="4" t="s">
        <v>282</v>
      </c>
      <c r="AC85" s="4" t="s">
        <v>282</v>
      </c>
      <c r="AD85" s="4" t="s">
        <v>282</v>
      </c>
      <c r="AE85" s="4" t="s">
        <v>282</v>
      </c>
      <c r="AF85" s="4" t="s">
        <v>282</v>
      </c>
      <c r="AG85" s="4" t="s">
        <v>282</v>
      </c>
      <c r="AH85" s="4" t="s">
        <v>282</v>
      </c>
      <c r="AI85" s="4" t="s">
        <v>282</v>
      </c>
      <c r="AJ85" s="4" t="s">
        <v>282</v>
      </c>
      <c r="AK85" s="4" t="s">
        <v>282</v>
      </c>
      <c r="AL85" s="4" t="s">
        <v>282</v>
      </c>
      <c r="AM85" s="4" t="s">
        <v>282</v>
      </c>
      <c r="AN85" s="4" t="s">
        <v>282</v>
      </c>
      <c r="AO85" s="4" t="s">
        <v>282</v>
      </c>
      <c r="AP85" s="4" t="s">
        <v>282</v>
      </c>
      <c r="AQ85" s="4" t="s">
        <v>282</v>
      </c>
      <c r="AR85" s="4" t="s">
        <v>282</v>
      </c>
      <c r="AS85" s="4" t="s">
        <v>282</v>
      </c>
      <c r="AT85" s="4" t="s">
        <v>282</v>
      </c>
      <c r="AU85" s="4" t="s">
        <v>282</v>
      </c>
      <c r="AV85" s="4" t="s">
        <v>282</v>
      </c>
      <c r="AW85" s="4" t="s">
        <v>282</v>
      </c>
      <c r="AX85" s="4" t="s">
        <v>282</v>
      </c>
      <c r="AY85" s="4" t="s">
        <v>282</v>
      </c>
      <c r="AZ85" s="4" t="s">
        <v>282</v>
      </c>
      <c r="BA85" s="4" t="s">
        <v>282</v>
      </c>
      <c r="BB85" s="4" t="s">
        <v>282</v>
      </c>
      <c r="BC85" s="4" t="s">
        <v>282</v>
      </c>
      <c r="BD85" s="4" t="s">
        <v>282</v>
      </c>
      <c r="BE85" s="4" t="s">
        <v>282</v>
      </c>
      <c r="BF85" s="4" t="s">
        <v>282</v>
      </c>
      <c r="BG85" s="4" t="s">
        <v>282</v>
      </c>
      <c r="BH85" s="4" t="s">
        <v>282</v>
      </c>
      <c r="BI85" s="4" t="s">
        <v>282</v>
      </c>
      <c r="BJ85" s="4" t="s">
        <v>282</v>
      </c>
      <c r="BK85" s="4" t="s">
        <v>282</v>
      </c>
      <c r="BL85" s="4" t="s">
        <v>282</v>
      </c>
      <c r="BM85" s="4" t="s">
        <v>282</v>
      </c>
      <c r="BN85" s="4" t="s">
        <v>282</v>
      </c>
      <c r="BO85" s="4" t="s">
        <v>282</v>
      </c>
      <c r="BP85" s="4" t="s">
        <v>282</v>
      </c>
      <c r="BQ85" s="4" t="s">
        <v>282</v>
      </c>
      <c r="BR85" s="4" t="s">
        <v>282</v>
      </c>
      <c r="BS85" s="4" t="s">
        <v>282</v>
      </c>
      <c r="BT85" s="4" t="s">
        <v>282</v>
      </c>
      <c r="BU85" s="4" t="s">
        <v>282</v>
      </c>
      <c r="BV85" s="4" t="s">
        <v>282</v>
      </c>
      <c r="BW85" s="4" t="s">
        <v>282</v>
      </c>
      <c r="BX85" s="4" t="s">
        <v>282</v>
      </c>
      <c r="BY85" s="4" t="s">
        <v>282</v>
      </c>
      <c r="BZ85" s="4" t="s">
        <v>282</v>
      </c>
      <c r="CA85" s="4" t="s">
        <v>282</v>
      </c>
      <c r="CB85" s="4" t="s">
        <v>282</v>
      </c>
      <c r="CC85" s="4" t="s">
        <v>282</v>
      </c>
      <c r="CD85" s="4" t="s">
        <v>282</v>
      </c>
      <c r="CE85" s="4" t="s">
        <v>282</v>
      </c>
      <c r="CF85" s="4" t="s">
        <v>282</v>
      </c>
      <c r="CG85" s="4" t="s">
        <v>282</v>
      </c>
      <c r="CH85" s="4" t="s">
        <v>282</v>
      </c>
      <c r="CI85" s="4" t="s">
        <v>282</v>
      </c>
      <c r="CJ85" s="4" t="s">
        <v>282</v>
      </c>
      <c r="CK85" s="4" t="s">
        <v>282</v>
      </c>
      <c r="CL85" s="4" t="s">
        <v>282</v>
      </c>
      <c r="CM85" s="4" t="s">
        <v>282</v>
      </c>
      <c r="CN85" s="4" t="s">
        <v>282</v>
      </c>
      <c r="CO85" s="4" t="s">
        <v>282</v>
      </c>
      <c r="CP85" s="4" t="s">
        <v>282</v>
      </c>
      <c r="CQ85" s="4" t="s">
        <v>282</v>
      </c>
      <c r="CR85" s="4" t="s">
        <v>282</v>
      </c>
      <c r="CS85" s="4" t="s">
        <v>282</v>
      </c>
      <c r="CT85" s="4" t="s">
        <v>282</v>
      </c>
      <c r="CU85" s="4" t="s">
        <v>282</v>
      </c>
      <c r="CV85" s="4" t="s">
        <v>282</v>
      </c>
      <c r="CW85" s="4" t="s">
        <v>282</v>
      </c>
      <c r="CX85" s="4" t="s">
        <v>282</v>
      </c>
      <c r="CY85" s="4" t="s">
        <v>282</v>
      </c>
      <c r="CZ85" s="4" t="s">
        <v>282</v>
      </c>
      <c r="DA85" s="4" t="s">
        <v>282</v>
      </c>
      <c r="DB85" s="4" t="s">
        <v>282</v>
      </c>
      <c r="DC85" s="4" t="s">
        <v>282</v>
      </c>
      <c r="DD85" s="4" t="s">
        <v>282</v>
      </c>
      <c r="DE85" s="4" t="s">
        <v>282</v>
      </c>
      <c r="DF85" s="4" t="s">
        <v>282</v>
      </c>
      <c r="DG85" s="4" t="s">
        <v>282</v>
      </c>
      <c r="DH85" s="4" t="s">
        <v>282</v>
      </c>
      <c r="DI85" s="4" t="s">
        <v>282</v>
      </c>
      <c r="DJ85" s="4" t="s">
        <v>282</v>
      </c>
      <c r="DK85" s="4" t="s">
        <v>282</v>
      </c>
      <c r="DL85" s="4" t="s">
        <v>282</v>
      </c>
      <c r="DM85" s="4" t="s">
        <v>282</v>
      </c>
      <c r="DN85" s="4" t="s">
        <v>282</v>
      </c>
      <c r="DO85" s="4" t="s">
        <v>282</v>
      </c>
      <c r="DP85" s="4" t="s">
        <v>282</v>
      </c>
      <c r="DQ85" s="4" t="s">
        <v>282</v>
      </c>
      <c r="DR85" s="4" t="s">
        <v>282</v>
      </c>
      <c r="DS85" s="4" t="s">
        <v>282</v>
      </c>
      <c r="DT85" s="4" t="s">
        <v>282</v>
      </c>
      <c r="DU85" s="4" t="s">
        <v>282</v>
      </c>
      <c r="DV85" s="4" t="s">
        <v>282</v>
      </c>
      <c r="DW85" s="4" t="s">
        <v>282</v>
      </c>
      <c r="DX85" s="4" t="s">
        <v>282</v>
      </c>
      <c r="DY85" s="4" t="s">
        <v>282</v>
      </c>
      <c r="DZ85" s="4" t="s">
        <v>282</v>
      </c>
      <c r="EA85" s="4" t="s">
        <v>282</v>
      </c>
      <c r="EB85" s="4" t="s">
        <v>282</v>
      </c>
      <c r="EC85" s="4" t="s">
        <v>282</v>
      </c>
      <c r="ED85" s="4" t="s">
        <v>282</v>
      </c>
      <c r="EE85" s="4" t="s">
        <v>282</v>
      </c>
      <c r="EF85" s="4" t="s">
        <v>282</v>
      </c>
      <c r="EG85" s="4" t="s">
        <v>282</v>
      </c>
      <c r="EH85" s="4" t="s">
        <v>282</v>
      </c>
      <c r="EI85" s="4" t="s">
        <v>282</v>
      </c>
      <c r="EJ85" s="4" t="s">
        <v>282</v>
      </c>
      <c r="EK85" s="4" t="s">
        <v>282</v>
      </c>
      <c r="EL85" s="4" t="s">
        <v>282</v>
      </c>
      <c r="EM85" s="4" t="s">
        <v>282</v>
      </c>
      <c r="EN85" s="4" t="s">
        <v>282</v>
      </c>
      <c r="EO85" s="4" t="s">
        <v>282</v>
      </c>
      <c r="EP85" s="4" t="s">
        <v>282</v>
      </c>
      <c r="EQ85" s="4" t="s">
        <v>282</v>
      </c>
      <c r="ER85" s="4" t="s">
        <v>282</v>
      </c>
      <c r="ES85" s="4" t="s">
        <v>282</v>
      </c>
      <c r="ET85" s="4" t="s">
        <v>282</v>
      </c>
      <c r="EU85" s="4" t="s">
        <v>282</v>
      </c>
      <c r="EV85" s="4" t="s">
        <v>282</v>
      </c>
      <c r="EW85" s="4" t="s">
        <v>282</v>
      </c>
      <c r="EX85" s="4" t="s">
        <v>282</v>
      </c>
      <c r="EY85" s="4" t="s">
        <v>282</v>
      </c>
      <c r="EZ85" s="4" t="s">
        <v>282</v>
      </c>
      <c r="FA85" s="4" t="s">
        <v>282</v>
      </c>
      <c r="FB85" s="4" t="s">
        <v>282</v>
      </c>
      <c r="FC85" s="4" t="s">
        <v>282</v>
      </c>
      <c r="FD85" s="4" t="s">
        <v>282</v>
      </c>
      <c r="FE85" s="4" t="s">
        <v>282</v>
      </c>
      <c r="FF85" s="4" t="s">
        <v>282</v>
      </c>
      <c r="FG85" s="4" t="s">
        <v>282</v>
      </c>
      <c r="FH85" s="4" t="s">
        <v>282</v>
      </c>
      <c r="FI85" s="4" t="s">
        <v>282</v>
      </c>
      <c r="FJ85" s="4" t="s">
        <v>282</v>
      </c>
      <c r="FK85" s="4" t="s">
        <v>282</v>
      </c>
      <c r="FL85" s="4" t="s">
        <v>282</v>
      </c>
      <c r="FM85" s="4" t="s">
        <v>282</v>
      </c>
      <c r="FN85" s="4" t="s">
        <v>282</v>
      </c>
      <c r="FO85" s="4" t="s">
        <v>282</v>
      </c>
      <c r="FP85" s="4" t="s">
        <v>282</v>
      </c>
      <c r="FQ85" s="4" t="s">
        <v>282</v>
      </c>
      <c r="FR85" s="4" t="s">
        <v>282</v>
      </c>
      <c r="FS85" s="4" t="s">
        <v>282</v>
      </c>
      <c r="FT85" s="4" t="s">
        <v>282</v>
      </c>
      <c r="FU85" s="4" t="s">
        <v>282</v>
      </c>
      <c r="FV85" s="4" t="s">
        <v>282</v>
      </c>
      <c r="FW85" s="4" t="s">
        <v>282</v>
      </c>
      <c r="FX85" s="4" t="s">
        <v>282</v>
      </c>
      <c r="FY85" s="4" t="s">
        <v>282</v>
      </c>
      <c r="FZ85" s="4" t="s">
        <v>282</v>
      </c>
      <c r="GA85" s="4" t="s">
        <v>282</v>
      </c>
      <c r="GB85" s="4" t="s">
        <v>282</v>
      </c>
      <c r="GC85" s="4" t="s">
        <v>282</v>
      </c>
      <c r="GD85" s="4" t="s">
        <v>282</v>
      </c>
      <c r="GE85" s="4" t="s">
        <v>282</v>
      </c>
      <c r="GF85" s="4" t="s">
        <v>282</v>
      </c>
      <c r="GG85" s="4" t="s">
        <v>282</v>
      </c>
      <c r="GH85" s="4" t="s">
        <v>282</v>
      </c>
      <c r="GI85" s="4" t="s">
        <v>282</v>
      </c>
      <c r="GJ85" s="4" t="s">
        <v>282</v>
      </c>
      <c r="GK85" s="4" t="s">
        <v>282</v>
      </c>
      <c r="GL85" s="4" t="s">
        <v>282</v>
      </c>
      <c r="GM85" s="4" t="s">
        <v>282</v>
      </c>
      <c r="GN85" s="4" t="s">
        <v>282</v>
      </c>
      <c r="GO85" s="4" t="s">
        <v>282</v>
      </c>
      <c r="GP85" s="4" t="s">
        <v>282</v>
      </c>
      <c r="GQ85" s="4" t="s">
        <v>282</v>
      </c>
      <c r="GR85" s="4" t="s">
        <v>282</v>
      </c>
      <c r="GS85" s="4" t="s">
        <v>282</v>
      </c>
      <c r="GT85" s="4" t="s">
        <v>282</v>
      </c>
      <c r="GU85" s="4" t="s">
        <v>282</v>
      </c>
      <c r="GV85" s="4" t="s">
        <v>282</v>
      </c>
      <c r="GW85" s="4" t="s">
        <v>282</v>
      </c>
      <c r="GX85" s="4" t="s">
        <v>282</v>
      </c>
      <c r="GY85" s="4" t="s">
        <v>282</v>
      </c>
      <c r="GZ85" s="4" t="s">
        <v>282</v>
      </c>
      <c r="HA85" s="4" t="s">
        <v>282</v>
      </c>
      <c r="HB85" s="4" t="s">
        <v>282</v>
      </c>
      <c r="HC85" s="4" t="s">
        <v>282</v>
      </c>
      <c r="HD85" s="4" t="s">
        <v>282</v>
      </c>
      <c r="HE85" s="4" t="s">
        <v>282</v>
      </c>
      <c r="HF85" s="4" t="s">
        <v>282</v>
      </c>
      <c r="HG85" s="4" t="s">
        <v>282</v>
      </c>
      <c r="HH85" s="4" t="s">
        <v>282</v>
      </c>
      <c r="HI85" s="4" t="s">
        <v>282</v>
      </c>
      <c r="HJ85" s="4" t="s">
        <v>282</v>
      </c>
      <c r="HK85" s="4" t="s">
        <v>282</v>
      </c>
      <c r="HL85" s="4" t="s">
        <v>282</v>
      </c>
      <c r="HM85" s="4" t="s">
        <v>282</v>
      </c>
      <c r="HN85" s="4" t="s">
        <v>282</v>
      </c>
      <c r="HO85" s="4" t="s">
        <v>282</v>
      </c>
      <c r="HP85" s="4" t="s">
        <v>282</v>
      </c>
      <c r="HQ85" s="4" t="s">
        <v>282</v>
      </c>
      <c r="HR85" s="4" t="s">
        <v>282</v>
      </c>
      <c r="HS85" s="4" t="s">
        <v>282</v>
      </c>
      <c r="HT85" s="4" t="s">
        <v>282</v>
      </c>
      <c r="HU85" s="4" t="s">
        <v>282</v>
      </c>
      <c r="HV85" s="4" t="s">
        <v>282</v>
      </c>
      <c r="HW85" s="4" t="s">
        <v>282</v>
      </c>
      <c r="HX85" s="4" t="s">
        <v>282</v>
      </c>
      <c r="HY85" s="4" t="s">
        <v>282</v>
      </c>
      <c r="HZ85" s="4" t="s">
        <v>282</v>
      </c>
      <c r="IA85" s="4" t="s">
        <v>282</v>
      </c>
      <c r="IB85" s="4" t="s">
        <v>282</v>
      </c>
      <c r="IC85" s="4" t="s">
        <v>282</v>
      </c>
    </row>
    <row r="86" spans="1:237" x14ac:dyDescent="0.2">
      <c r="A86" s="3">
        <v>45744.547094907408</v>
      </c>
      <c r="B86" s="3">
        <v>45744.547430555554</v>
      </c>
      <c r="C86" s="1">
        <v>0</v>
      </c>
      <c r="D86" s="4" t="s">
        <v>1226</v>
      </c>
      <c r="E86" s="1">
        <v>0</v>
      </c>
      <c r="F86" s="1">
        <v>28</v>
      </c>
      <c r="G86" s="1">
        <v>0</v>
      </c>
      <c r="H86" s="3">
        <v>45751.547533831021</v>
      </c>
      <c r="I86" s="4" t="s">
        <v>1227</v>
      </c>
      <c r="J86" s="4" t="s">
        <v>282</v>
      </c>
      <c r="K86" s="4" t="s">
        <v>282</v>
      </c>
      <c r="L86" s="4" t="s">
        <v>282</v>
      </c>
      <c r="M86" s="4" t="s">
        <v>282</v>
      </c>
      <c r="N86" s="1">
        <v>51.040599999999998</v>
      </c>
      <c r="O86" s="1">
        <v>-114.07640000000001</v>
      </c>
      <c r="P86" s="4" t="s">
        <v>283</v>
      </c>
      <c r="Q86" s="4" t="s">
        <v>284</v>
      </c>
      <c r="R86" s="1">
        <v>0.89999997615814209</v>
      </c>
      <c r="S86" s="4" t="s">
        <v>282</v>
      </c>
      <c r="T86" s="4" t="s">
        <v>282</v>
      </c>
      <c r="U86" s="4" t="s">
        <v>282</v>
      </c>
      <c r="V86" s="4" t="s">
        <v>282</v>
      </c>
      <c r="W86" s="4" t="s">
        <v>282</v>
      </c>
      <c r="X86" s="4" t="s">
        <v>282</v>
      </c>
      <c r="Y86" s="4" t="s">
        <v>282</v>
      </c>
      <c r="Z86" s="4" t="s">
        <v>282</v>
      </c>
      <c r="AA86" s="4" t="s">
        <v>282</v>
      </c>
      <c r="AB86" s="4" t="s">
        <v>282</v>
      </c>
      <c r="AC86" s="4" t="s">
        <v>282</v>
      </c>
      <c r="AD86" s="4" t="s">
        <v>282</v>
      </c>
      <c r="AE86" s="4" t="s">
        <v>282</v>
      </c>
      <c r="AF86" s="4" t="s">
        <v>282</v>
      </c>
      <c r="AG86" s="4" t="s">
        <v>282</v>
      </c>
      <c r="AH86" s="4" t="s">
        <v>282</v>
      </c>
      <c r="AI86" s="4" t="s">
        <v>282</v>
      </c>
      <c r="AJ86" s="4" t="s">
        <v>282</v>
      </c>
      <c r="AK86" s="4" t="s">
        <v>282</v>
      </c>
      <c r="AL86" s="4" t="s">
        <v>282</v>
      </c>
      <c r="AM86" s="4" t="s">
        <v>282</v>
      </c>
      <c r="AN86" s="4" t="s">
        <v>282</v>
      </c>
      <c r="AO86" s="4" t="s">
        <v>282</v>
      </c>
      <c r="AP86" s="4" t="s">
        <v>282</v>
      </c>
      <c r="AQ86" s="4" t="s">
        <v>282</v>
      </c>
      <c r="AR86" s="4" t="s">
        <v>282</v>
      </c>
      <c r="AS86" s="4" t="s">
        <v>282</v>
      </c>
      <c r="AT86" s="4" t="s">
        <v>282</v>
      </c>
      <c r="AU86" s="4" t="s">
        <v>282</v>
      </c>
      <c r="AV86" s="4" t="s">
        <v>282</v>
      </c>
      <c r="AW86" s="4" t="s">
        <v>282</v>
      </c>
      <c r="AX86" s="4" t="s">
        <v>282</v>
      </c>
      <c r="AY86" s="4" t="s">
        <v>282</v>
      </c>
      <c r="AZ86" s="4" t="s">
        <v>282</v>
      </c>
      <c r="BA86" s="4" t="s">
        <v>282</v>
      </c>
      <c r="BB86" s="4" t="s">
        <v>282</v>
      </c>
      <c r="BC86" s="4" t="s">
        <v>282</v>
      </c>
      <c r="BD86" s="4" t="s">
        <v>282</v>
      </c>
      <c r="BE86" s="4" t="s">
        <v>282</v>
      </c>
      <c r="BF86" s="4" t="s">
        <v>282</v>
      </c>
      <c r="BG86" s="4" t="s">
        <v>282</v>
      </c>
      <c r="BH86" s="4" t="s">
        <v>282</v>
      </c>
      <c r="BI86" s="4" t="s">
        <v>282</v>
      </c>
      <c r="BJ86" s="4" t="s">
        <v>282</v>
      </c>
      <c r="BK86" s="4" t="s">
        <v>282</v>
      </c>
      <c r="BL86" s="4" t="s">
        <v>282</v>
      </c>
      <c r="BM86" s="4" t="s">
        <v>282</v>
      </c>
      <c r="BN86" s="4" t="s">
        <v>282</v>
      </c>
      <c r="BO86" s="4" t="s">
        <v>282</v>
      </c>
      <c r="BP86" s="4" t="s">
        <v>282</v>
      </c>
      <c r="BQ86" s="4" t="s">
        <v>282</v>
      </c>
      <c r="BR86" s="4" t="s">
        <v>282</v>
      </c>
      <c r="BS86" s="4" t="s">
        <v>282</v>
      </c>
      <c r="BT86" s="4" t="s">
        <v>282</v>
      </c>
      <c r="BU86" s="4" t="s">
        <v>282</v>
      </c>
      <c r="BV86" s="4" t="s">
        <v>282</v>
      </c>
      <c r="BW86" s="4" t="s">
        <v>282</v>
      </c>
      <c r="BX86" s="4" t="s">
        <v>282</v>
      </c>
      <c r="BY86" s="4" t="s">
        <v>282</v>
      </c>
      <c r="BZ86" s="4" t="s">
        <v>282</v>
      </c>
      <c r="CA86" s="4" t="s">
        <v>282</v>
      </c>
      <c r="CB86" s="4" t="s">
        <v>282</v>
      </c>
      <c r="CC86" s="4" t="s">
        <v>282</v>
      </c>
      <c r="CD86" s="4" t="s">
        <v>282</v>
      </c>
      <c r="CE86" s="4" t="s">
        <v>282</v>
      </c>
      <c r="CF86" s="4" t="s">
        <v>282</v>
      </c>
      <c r="CG86" s="4" t="s">
        <v>282</v>
      </c>
      <c r="CH86" s="4" t="s">
        <v>282</v>
      </c>
      <c r="CI86" s="4" t="s">
        <v>282</v>
      </c>
      <c r="CJ86" s="4" t="s">
        <v>282</v>
      </c>
      <c r="CK86" s="4" t="s">
        <v>282</v>
      </c>
      <c r="CL86" s="4" t="s">
        <v>282</v>
      </c>
      <c r="CM86" s="4" t="s">
        <v>282</v>
      </c>
      <c r="CN86" s="4" t="s">
        <v>282</v>
      </c>
      <c r="CO86" s="4" t="s">
        <v>282</v>
      </c>
      <c r="CP86" s="4" t="s">
        <v>282</v>
      </c>
      <c r="CQ86" s="4" t="s">
        <v>282</v>
      </c>
      <c r="CR86" s="4" t="s">
        <v>282</v>
      </c>
      <c r="CS86" s="4" t="s">
        <v>282</v>
      </c>
      <c r="CT86" s="4" t="s">
        <v>282</v>
      </c>
      <c r="CU86" s="4" t="s">
        <v>282</v>
      </c>
      <c r="CV86" s="4" t="s">
        <v>282</v>
      </c>
      <c r="CW86" s="4" t="s">
        <v>282</v>
      </c>
      <c r="CX86" s="4" t="s">
        <v>282</v>
      </c>
      <c r="CY86" s="4" t="s">
        <v>282</v>
      </c>
      <c r="CZ86" s="4" t="s">
        <v>282</v>
      </c>
      <c r="DA86" s="4" t="s">
        <v>282</v>
      </c>
      <c r="DB86" s="4" t="s">
        <v>282</v>
      </c>
      <c r="DC86" s="4" t="s">
        <v>282</v>
      </c>
      <c r="DD86" s="4" t="s">
        <v>282</v>
      </c>
      <c r="DE86" s="4" t="s">
        <v>282</v>
      </c>
      <c r="DF86" s="4" t="s">
        <v>282</v>
      </c>
      <c r="DG86" s="4" t="s">
        <v>282</v>
      </c>
      <c r="DH86" s="4" t="s">
        <v>282</v>
      </c>
      <c r="DI86" s="4" t="s">
        <v>282</v>
      </c>
      <c r="DJ86" s="4" t="s">
        <v>282</v>
      </c>
      <c r="DK86" s="4" t="s">
        <v>282</v>
      </c>
      <c r="DL86" s="4" t="s">
        <v>282</v>
      </c>
      <c r="DM86" s="4" t="s">
        <v>282</v>
      </c>
      <c r="DN86" s="4" t="s">
        <v>282</v>
      </c>
      <c r="DO86" s="4" t="s">
        <v>282</v>
      </c>
      <c r="DP86" s="4" t="s">
        <v>282</v>
      </c>
      <c r="DQ86" s="4" t="s">
        <v>282</v>
      </c>
      <c r="DR86" s="4" t="s">
        <v>282</v>
      </c>
      <c r="DS86" s="4" t="s">
        <v>282</v>
      </c>
      <c r="DT86" s="4" t="s">
        <v>282</v>
      </c>
      <c r="DU86" s="4" t="s">
        <v>282</v>
      </c>
      <c r="DV86" s="4" t="s">
        <v>282</v>
      </c>
      <c r="DW86" s="4" t="s">
        <v>282</v>
      </c>
      <c r="DX86" s="4" t="s">
        <v>282</v>
      </c>
      <c r="DY86" s="4" t="s">
        <v>282</v>
      </c>
      <c r="DZ86" s="4" t="s">
        <v>282</v>
      </c>
      <c r="EA86" s="4" t="s">
        <v>282</v>
      </c>
      <c r="EB86" s="4" t="s">
        <v>282</v>
      </c>
      <c r="EC86" s="4" t="s">
        <v>282</v>
      </c>
      <c r="ED86" s="4" t="s">
        <v>282</v>
      </c>
      <c r="EE86" s="4" t="s">
        <v>282</v>
      </c>
      <c r="EF86" s="4" t="s">
        <v>282</v>
      </c>
      <c r="EG86" s="4" t="s">
        <v>282</v>
      </c>
      <c r="EH86" s="4" t="s">
        <v>282</v>
      </c>
      <c r="EI86" s="4" t="s">
        <v>282</v>
      </c>
      <c r="EJ86" s="4" t="s">
        <v>282</v>
      </c>
      <c r="EK86" s="4" t="s">
        <v>282</v>
      </c>
      <c r="EL86" s="4" t="s">
        <v>282</v>
      </c>
      <c r="EM86" s="4" t="s">
        <v>282</v>
      </c>
      <c r="EN86" s="4" t="s">
        <v>282</v>
      </c>
      <c r="EO86" s="4" t="s">
        <v>282</v>
      </c>
      <c r="EP86" s="4" t="s">
        <v>282</v>
      </c>
      <c r="EQ86" s="4" t="s">
        <v>282</v>
      </c>
      <c r="ER86" s="4" t="s">
        <v>282</v>
      </c>
      <c r="ES86" s="4" t="s">
        <v>282</v>
      </c>
      <c r="ET86" s="4" t="s">
        <v>282</v>
      </c>
      <c r="EU86" s="4" t="s">
        <v>282</v>
      </c>
      <c r="EV86" s="4" t="s">
        <v>282</v>
      </c>
      <c r="EW86" s="4" t="s">
        <v>282</v>
      </c>
      <c r="EX86" s="4" t="s">
        <v>282</v>
      </c>
      <c r="EY86" s="4" t="s">
        <v>282</v>
      </c>
      <c r="EZ86" s="4" t="s">
        <v>282</v>
      </c>
      <c r="FA86" s="4" t="s">
        <v>282</v>
      </c>
      <c r="FB86" s="4" t="s">
        <v>282</v>
      </c>
      <c r="FC86" s="4" t="s">
        <v>282</v>
      </c>
      <c r="FD86" s="4" t="s">
        <v>282</v>
      </c>
      <c r="FE86" s="4" t="s">
        <v>282</v>
      </c>
      <c r="FF86" s="4" t="s">
        <v>282</v>
      </c>
      <c r="FG86" s="4" t="s">
        <v>282</v>
      </c>
      <c r="FH86" s="4" t="s">
        <v>282</v>
      </c>
      <c r="FI86" s="4" t="s">
        <v>282</v>
      </c>
      <c r="FJ86" s="4" t="s">
        <v>282</v>
      </c>
      <c r="FK86" s="4" t="s">
        <v>282</v>
      </c>
      <c r="FL86" s="4" t="s">
        <v>282</v>
      </c>
      <c r="FM86" s="4" t="s">
        <v>282</v>
      </c>
      <c r="FN86" s="4" t="s">
        <v>282</v>
      </c>
      <c r="FO86" s="4" t="s">
        <v>282</v>
      </c>
      <c r="FP86" s="4" t="s">
        <v>282</v>
      </c>
      <c r="FQ86" s="4" t="s">
        <v>282</v>
      </c>
      <c r="FR86" s="4" t="s">
        <v>282</v>
      </c>
      <c r="FS86" s="4" t="s">
        <v>282</v>
      </c>
      <c r="FT86" s="4" t="s">
        <v>282</v>
      </c>
      <c r="FU86" s="4" t="s">
        <v>282</v>
      </c>
      <c r="FV86" s="4" t="s">
        <v>282</v>
      </c>
      <c r="FW86" s="4" t="s">
        <v>282</v>
      </c>
      <c r="FX86" s="4" t="s">
        <v>282</v>
      </c>
      <c r="FY86" s="4" t="s">
        <v>282</v>
      </c>
      <c r="FZ86" s="4" t="s">
        <v>282</v>
      </c>
      <c r="GA86" s="4" t="s">
        <v>282</v>
      </c>
      <c r="GB86" s="4" t="s">
        <v>282</v>
      </c>
      <c r="GC86" s="4" t="s">
        <v>282</v>
      </c>
      <c r="GD86" s="4" t="s">
        <v>282</v>
      </c>
      <c r="GE86" s="4" t="s">
        <v>282</v>
      </c>
      <c r="GF86" s="4" t="s">
        <v>282</v>
      </c>
      <c r="GG86" s="4" t="s">
        <v>282</v>
      </c>
      <c r="GH86" s="4" t="s">
        <v>282</v>
      </c>
      <c r="GI86" s="4" t="s">
        <v>282</v>
      </c>
      <c r="GJ86" s="4" t="s">
        <v>282</v>
      </c>
      <c r="GK86" s="4" t="s">
        <v>282</v>
      </c>
      <c r="GL86" s="4" t="s">
        <v>282</v>
      </c>
      <c r="GM86" s="4" t="s">
        <v>282</v>
      </c>
      <c r="GN86" s="4" t="s">
        <v>282</v>
      </c>
      <c r="GO86" s="4" t="s">
        <v>282</v>
      </c>
      <c r="GP86" s="4" t="s">
        <v>282</v>
      </c>
      <c r="GQ86" s="4" t="s">
        <v>282</v>
      </c>
      <c r="GR86" s="4" t="s">
        <v>282</v>
      </c>
      <c r="GS86" s="4" t="s">
        <v>282</v>
      </c>
      <c r="GT86" s="4" t="s">
        <v>282</v>
      </c>
      <c r="GU86" s="4" t="s">
        <v>282</v>
      </c>
      <c r="GV86" s="4" t="s">
        <v>282</v>
      </c>
      <c r="GW86" s="4" t="s">
        <v>282</v>
      </c>
      <c r="GX86" s="4" t="s">
        <v>282</v>
      </c>
      <c r="GY86" s="4" t="s">
        <v>282</v>
      </c>
      <c r="GZ86" s="4" t="s">
        <v>282</v>
      </c>
      <c r="HA86" s="4" t="s">
        <v>282</v>
      </c>
      <c r="HB86" s="4" t="s">
        <v>282</v>
      </c>
      <c r="HC86" s="4" t="s">
        <v>282</v>
      </c>
      <c r="HD86" s="4" t="s">
        <v>282</v>
      </c>
      <c r="HE86" s="4" t="s">
        <v>282</v>
      </c>
      <c r="HF86" s="4" t="s">
        <v>282</v>
      </c>
      <c r="HG86" s="4" t="s">
        <v>282</v>
      </c>
      <c r="HH86" s="4" t="s">
        <v>282</v>
      </c>
      <c r="HI86" s="4" t="s">
        <v>282</v>
      </c>
      <c r="HJ86" s="4" t="s">
        <v>282</v>
      </c>
      <c r="HK86" s="4" t="s">
        <v>282</v>
      </c>
      <c r="HL86" s="4" t="s">
        <v>282</v>
      </c>
      <c r="HM86" s="4" t="s">
        <v>282</v>
      </c>
      <c r="HN86" s="4" t="s">
        <v>282</v>
      </c>
      <c r="HO86" s="4" t="s">
        <v>282</v>
      </c>
      <c r="HP86" s="4" t="s">
        <v>282</v>
      </c>
      <c r="HQ86" s="4" t="s">
        <v>282</v>
      </c>
      <c r="HR86" s="4" t="s">
        <v>282</v>
      </c>
      <c r="HS86" s="4" t="s">
        <v>282</v>
      </c>
      <c r="HT86" s="4" t="s">
        <v>282</v>
      </c>
      <c r="HU86" s="4" t="s">
        <v>282</v>
      </c>
      <c r="HV86" s="4" t="s">
        <v>282</v>
      </c>
      <c r="HW86" s="4" t="s">
        <v>282</v>
      </c>
      <c r="HX86" s="4" t="s">
        <v>282</v>
      </c>
      <c r="HY86" s="4" t="s">
        <v>282</v>
      </c>
      <c r="HZ86" s="4" t="s">
        <v>282</v>
      </c>
      <c r="IA86" s="4" t="s">
        <v>282</v>
      </c>
      <c r="IB86" s="4" t="s">
        <v>282</v>
      </c>
      <c r="IC86" s="4" t="s">
        <v>282</v>
      </c>
    </row>
    <row r="87" spans="1:237" x14ac:dyDescent="0.2">
      <c r="A87" s="3">
        <v>45744.561365740738</v>
      </c>
      <c r="B87" s="3">
        <v>45744.561562499999</v>
      </c>
      <c r="C87" s="1">
        <v>0</v>
      </c>
      <c r="D87" s="4" t="s">
        <v>1228</v>
      </c>
      <c r="E87" s="1">
        <v>0</v>
      </c>
      <c r="F87" s="1">
        <v>16</v>
      </c>
      <c r="G87" s="1">
        <v>0</v>
      </c>
      <c r="H87" s="3">
        <v>45751.561633518519</v>
      </c>
      <c r="I87" s="4" t="s">
        <v>1229</v>
      </c>
      <c r="J87" s="4" t="s">
        <v>282</v>
      </c>
      <c r="K87" s="4" t="s">
        <v>282</v>
      </c>
      <c r="L87" s="4" t="s">
        <v>282</v>
      </c>
      <c r="M87" s="4" t="s">
        <v>282</v>
      </c>
      <c r="N87" s="1">
        <v>-37.815899999999999</v>
      </c>
      <c r="O87" s="1">
        <v>144.96690000000001</v>
      </c>
      <c r="P87" s="4" t="s">
        <v>283</v>
      </c>
      <c r="Q87" s="4" t="s">
        <v>284</v>
      </c>
      <c r="R87" s="1">
        <v>0.89999997615814209</v>
      </c>
      <c r="S87" s="4" t="s">
        <v>282</v>
      </c>
      <c r="T87" s="4" t="s">
        <v>282</v>
      </c>
      <c r="U87" s="4" t="s">
        <v>282</v>
      </c>
      <c r="V87" s="4" t="s">
        <v>282</v>
      </c>
      <c r="W87" s="4" t="s">
        <v>282</v>
      </c>
      <c r="X87" s="4" t="s">
        <v>282</v>
      </c>
      <c r="Y87" s="4" t="s">
        <v>282</v>
      </c>
      <c r="Z87" s="4" t="s">
        <v>282</v>
      </c>
      <c r="AA87" s="4" t="s">
        <v>282</v>
      </c>
      <c r="AB87" s="4" t="s">
        <v>282</v>
      </c>
      <c r="AC87" s="4" t="s">
        <v>282</v>
      </c>
      <c r="AD87" s="4" t="s">
        <v>282</v>
      </c>
      <c r="AE87" s="4" t="s">
        <v>282</v>
      </c>
      <c r="AF87" s="4" t="s">
        <v>282</v>
      </c>
      <c r="AG87" s="4" t="s">
        <v>282</v>
      </c>
      <c r="AH87" s="4" t="s">
        <v>282</v>
      </c>
      <c r="AI87" s="4" t="s">
        <v>282</v>
      </c>
      <c r="AJ87" s="4" t="s">
        <v>282</v>
      </c>
      <c r="AK87" s="4" t="s">
        <v>282</v>
      </c>
      <c r="AL87" s="4" t="s">
        <v>282</v>
      </c>
      <c r="AM87" s="4" t="s">
        <v>282</v>
      </c>
      <c r="AN87" s="4" t="s">
        <v>282</v>
      </c>
      <c r="AO87" s="4" t="s">
        <v>282</v>
      </c>
      <c r="AP87" s="4" t="s">
        <v>282</v>
      </c>
      <c r="AQ87" s="4" t="s">
        <v>282</v>
      </c>
      <c r="AR87" s="4" t="s">
        <v>282</v>
      </c>
      <c r="AS87" s="4" t="s">
        <v>282</v>
      </c>
      <c r="AT87" s="4" t="s">
        <v>282</v>
      </c>
      <c r="AU87" s="4" t="s">
        <v>282</v>
      </c>
      <c r="AV87" s="4" t="s">
        <v>282</v>
      </c>
      <c r="AW87" s="4" t="s">
        <v>282</v>
      </c>
      <c r="AX87" s="4" t="s">
        <v>282</v>
      </c>
      <c r="AY87" s="4" t="s">
        <v>282</v>
      </c>
      <c r="AZ87" s="4" t="s">
        <v>282</v>
      </c>
      <c r="BA87" s="4" t="s">
        <v>282</v>
      </c>
      <c r="BB87" s="4" t="s">
        <v>282</v>
      </c>
      <c r="BC87" s="4" t="s">
        <v>282</v>
      </c>
      <c r="BD87" s="4" t="s">
        <v>282</v>
      </c>
      <c r="BE87" s="4" t="s">
        <v>282</v>
      </c>
      <c r="BF87" s="4" t="s">
        <v>282</v>
      </c>
      <c r="BG87" s="4" t="s">
        <v>282</v>
      </c>
      <c r="BH87" s="4" t="s">
        <v>282</v>
      </c>
      <c r="BI87" s="4" t="s">
        <v>282</v>
      </c>
      <c r="BJ87" s="4" t="s">
        <v>282</v>
      </c>
      <c r="BK87" s="4" t="s">
        <v>282</v>
      </c>
      <c r="BL87" s="4" t="s">
        <v>282</v>
      </c>
      <c r="BM87" s="4" t="s">
        <v>282</v>
      </c>
      <c r="BN87" s="4" t="s">
        <v>282</v>
      </c>
      <c r="BO87" s="4" t="s">
        <v>282</v>
      </c>
      <c r="BP87" s="4" t="s">
        <v>282</v>
      </c>
      <c r="BQ87" s="4" t="s">
        <v>282</v>
      </c>
      <c r="BR87" s="4" t="s">
        <v>282</v>
      </c>
      <c r="BS87" s="4" t="s">
        <v>282</v>
      </c>
      <c r="BT87" s="4" t="s">
        <v>282</v>
      </c>
      <c r="BU87" s="4" t="s">
        <v>282</v>
      </c>
      <c r="BV87" s="4" t="s">
        <v>282</v>
      </c>
      <c r="BW87" s="4" t="s">
        <v>282</v>
      </c>
      <c r="BX87" s="4" t="s">
        <v>282</v>
      </c>
      <c r="BY87" s="4" t="s">
        <v>282</v>
      </c>
      <c r="BZ87" s="4" t="s">
        <v>282</v>
      </c>
      <c r="CA87" s="4" t="s">
        <v>282</v>
      </c>
      <c r="CB87" s="4" t="s">
        <v>282</v>
      </c>
      <c r="CC87" s="4" t="s">
        <v>282</v>
      </c>
      <c r="CD87" s="4" t="s">
        <v>282</v>
      </c>
      <c r="CE87" s="4" t="s">
        <v>282</v>
      </c>
      <c r="CF87" s="4" t="s">
        <v>282</v>
      </c>
      <c r="CG87" s="4" t="s">
        <v>282</v>
      </c>
      <c r="CH87" s="4" t="s">
        <v>282</v>
      </c>
      <c r="CI87" s="4" t="s">
        <v>282</v>
      </c>
      <c r="CJ87" s="4" t="s">
        <v>282</v>
      </c>
      <c r="CK87" s="4" t="s">
        <v>282</v>
      </c>
      <c r="CL87" s="4" t="s">
        <v>282</v>
      </c>
      <c r="CM87" s="4" t="s">
        <v>282</v>
      </c>
      <c r="CN87" s="4" t="s">
        <v>282</v>
      </c>
      <c r="CO87" s="4" t="s">
        <v>282</v>
      </c>
      <c r="CP87" s="4" t="s">
        <v>282</v>
      </c>
      <c r="CQ87" s="4" t="s">
        <v>282</v>
      </c>
      <c r="CR87" s="4" t="s">
        <v>282</v>
      </c>
      <c r="CS87" s="4" t="s">
        <v>282</v>
      </c>
      <c r="CT87" s="4" t="s">
        <v>282</v>
      </c>
      <c r="CU87" s="4" t="s">
        <v>282</v>
      </c>
      <c r="CV87" s="4" t="s">
        <v>282</v>
      </c>
      <c r="CW87" s="4" t="s">
        <v>282</v>
      </c>
      <c r="CX87" s="4" t="s">
        <v>282</v>
      </c>
      <c r="CY87" s="4" t="s">
        <v>282</v>
      </c>
      <c r="CZ87" s="4" t="s">
        <v>282</v>
      </c>
      <c r="DA87" s="4" t="s">
        <v>282</v>
      </c>
      <c r="DB87" s="4" t="s">
        <v>282</v>
      </c>
      <c r="DC87" s="4" t="s">
        <v>282</v>
      </c>
      <c r="DD87" s="4" t="s">
        <v>282</v>
      </c>
      <c r="DE87" s="4" t="s">
        <v>282</v>
      </c>
      <c r="DF87" s="4" t="s">
        <v>282</v>
      </c>
      <c r="DG87" s="4" t="s">
        <v>282</v>
      </c>
      <c r="DH87" s="4" t="s">
        <v>282</v>
      </c>
      <c r="DI87" s="4" t="s">
        <v>282</v>
      </c>
      <c r="DJ87" s="4" t="s">
        <v>282</v>
      </c>
      <c r="DK87" s="4" t="s">
        <v>282</v>
      </c>
      <c r="DL87" s="4" t="s">
        <v>282</v>
      </c>
      <c r="DM87" s="4" t="s">
        <v>282</v>
      </c>
      <c r="DN87" s="4" t="s">
        <v>282</v>
      </c>
      <c r="DO87" s="4" t="s">
        <v>282</v>
      </c>
      <c r="DP87" s="4" t="s">
        <v>282</v>
      </c>
      <c r="DQ87" s="4" t="s">
        <v>282</v>
      </c>
      <c r="DR87" s="4" t="s">
        <v>282</v>
      </c>
      <c r="DS87" s="4" t="s">
        <v>282</v>
      </c>
      <c r="DT87" s="4" t="s">
        <v>282</v>
      </c>
      <c r="DU87" s="4" t="s">
        <v>282</v>
      </c>
      <c r="DV87" s="4" t="s">
        <v>282</v>
      </c>
      <c r="DW87" s="4" t="s">
        <v>282</v>
      </c>
      <c r="DX87" s="4" t="s">
        <v>282</v>
      </c>
      <c r="DY87" s="4" t="s">
        <v>282</v>
      </c>
      <c r="DZ87" s="4" t="s">
        <v>282</v>
      </c>
      <c r="EA87" s="4" t="s">
        <v>282</v>
      </c>
      <c r="EB87" s="4" t="s">
        <v>282</v>
      </c>
      <c r="EC87" s="4" t="s">
        <v>282</v>
      </c>
      <c r="ED87" s="4" t="s">
        <v>282</v>
      </c>
      <c r="EE87" s="4" t="s">
        <v>282</v>
      </c>
      <c r="EF87" s="4" t="s">
        <v>282</v>
      </c>
      <c r="EG87" s="4" t="s">
        <v>282</v>
      </c>
      <c r="EH87" s="4" t="s">
        <v>282</v>
      </c>
      <c r="EI87" s="4" t="s">
        <v>282</v>
      </c>
      <c r="EJ87" s="4" t="s">
        <v>282</v>
      </c>
      <c r="EK87" s="4" t="s">
        <v>282</v>
      </c>
      <c r="EL87" s="4" t="s">
        <v>282</v>
      </c>
      <c r="EM87" s="4" t="s">
        <v>282</v>
      </c>
      <c r="EN87" s="4" t="s">
        <v>282</v>
      </c>
      <c r="EO87" s="4" t="s">
        <v>282</v>
      </c>
      <c r="EP87" s="4" t="s">
        <v>282</v>
      </c>
      <c r="EQ87" s="4" t="s">
        <v>282</v>
      </c>
      <c r="ER87" s="4" t="s">
        <v>282</v>
      </c>
      <c r="ES87" s="4" t="s">
        <v>282</v>
      </c>
      <c r="ET87" s="4" t="s">
        <v>282</v>
      </c>
      <c r="EU87" s="4" t="s">
        <v>282</v>
      </c>
      <c r="EV87" s="4" t="s">
        <v>282</v>
      </c>
      <c r="EW87" s="4" t="s">
        <v>282</v>
      </c>
      <c r="EX87" s="4" t="s">
        <v>282</v>
      </c>
      <c r="EY87" s="4" t="s">
        <v>282</v>
      </c>
      <c r="EZ87" s="4" t="s">
        <v>282</v>
      </c>
      <c r="FA87" s="4" t="s">
        <v>282</v>
      </c>
      <c r="FB87" s="4" t="s">
        <v>282</v>
      </c>
      <c r="FC87" s="4" t="s">
        <v>282</v>
      </c>
      <c r="FD87" s="4" t="s">
        <v>282</v>
      </c>
      <c r="FE87" s="4" t="s">
        <v>282</v>
      </c>
      <c r="FF87" s="4" t="s">
        <v>282</v>
      </c>
      <c r="FG87" s="4" t="s">
        <v>282</v>
      </c>
      <c r="FH87" s="4" t="s">
        <v>282</v>
      </c>
      <c r="FI87" s="4" t="s">
        <v>282</v>
      </c>
      <c r="FJ87" s="4" t="s">
        <v>282</v>
      </c>
      <c r="FK87" s="4" t="s">
        <v>282</v>
      </c>
      <c r="FL87" s="4" t="s">
        <v>282</v>
      </c>
      <c r="FM87" s="4" t="s">
        <v>282</v>
      </c>
      <c r="FN87" s="4" t="s">
        <v>282</v>
      </c>
      <c r="FO87" s="4" t="s">
        <v>282</v>
      </c>
      <c r="FP87" s="4" t="s">
        <v>282</v>
      </c>
      <c r="FQ87" s="4" t="s">
        <v>282</v>
      </c>
      <c r="FR87" s="4" t="s">
        <v>282</v>
      </c>
      <c r="FS87" s="4" t="s">
        <v>282</v>
      </c>
      <c r="FT87" s="4" t="s">
        <v>282</v>
      </c>
      <c r="FU87" s="4" t="s">
        <v>282</v>
      </c>
      <c r="FV87" s="4" t="s">
        <v>282</v>
      </c>
      <c r="FW87" s="4" t="s">
        <v>282</v>
      </c>
      <c r="FX87" s="4" t="s">
        <v>282</v>
      </c>
      <c r="FY87" s="4" t="s">
        <v>282</v>
      </c>
      <c r="FZ87" s="4" t="s">
        <v>282</v>
      </c>
      <c r="GA87" s="4" t="s">
        <v>282</v>
      </c>
      <c r="GB87" s="4" t="s">
        <v>282</v>
      </c>
      <c r="GC87" s="4" t="s">
        <v>282</v>
      </c>
      <c r="GD87" s="4" t="s">
        <v>282</v>
      </c>
      <c r="GE87" s="4" t="s">
        <v>282</v>
      </c>
      <c r="GF87" s="4" t="s">
        <v>282</v>
      </c>
      <c r="GG87" s="4" t="s">
        <v>282</v>
      </c>
      <c r="GH87" s="4" t="s">
        <v>282</v>
      </c>
      <c r="GI87" s="4" t="s">
        <v>282</v>
      </c>
      <c r="GJ87" s="4" t="s">
        <v>282</v>
      </c>
      <c r="GK87" s="4" t="s">
        <v>282</v>
      </c>
      <c r="GL87" s="4" t="s">
        <v>282</v>
      </c>
      <c r="GM87" s="4" t="s">
        <v>282</v>
      </c>
      <c r="GN87" s="4" t="s">
        <v>282</v>
      </c>
      <c r="GO87" s="4" t="s">
        <v>282</v>
      </c>
      <c r="GP87" s="4" t="s">
        <v>282</v>
      </c>
      <c r="GQ87" s="4" t="s">
        <v>282</v>
      </c>
      <c r="GR87" s="4" t="s">
        <v>282</v>
      </c>
      <c r="GS87" s="4" t="s">
        <v>282</v>
      </c>
      <c r="GT87" s="4" t="s">
        <v>282</v>
      </c>
      <c r="GU87" s="4" t="s">
        <v>282</v>
      </c>
      <c r="GV87" s="4" t="s">
        <v>282</v>
      </c>
      <c r="GW87" s="4" t="s">
        <v>282</v>
      </c>
      <c r="GX87" s="4" t="s">
        <v>282</v>
      </c>
      <c r="GY87" s="4" t="s">
        <v>282</v>
      </c>
      <c r="GZ87" s="4" t="s">
        <v>282</v>
      </c>
      <c r="HA87" s="4" t="s">
        <v>282</v>
      </c>
      <c r="HB87" s="4" t="s">
        <v>282</v>
      </c>
      <c r="HC87" s="4" t="s">
        <v>282</v>
      </c>
      <c r="HD87" s="4" t="s">
        <v>282</v>
      </c>
      <c r="HE87" s="4" t="s">
        <v>282</v>
      </c>
      <c r="HF87" s="4" t="s">
        <v>282</v>
      </c>
      <c r="HG87" s="4" t="s">
        <v>282</v>
      </c>
      <c r="HH87" s="4" t="s">
        <v>282</v>
      </c>
      <c r="HI87" s="4" t="s">
        <v>282</v>
      </c>
      <c r="HJ87" s="4" t="s">
        <v>282</v>
      </c>
      <c r="HK87" s="4" t="s">
        <v>282</v>
      </c>
      <c r="HL87" s="4" t="s">
        <v>282</v>
      </c>
      <c r="HM87" s="4" t="s">
        <v>282</v>
      </c>
      <c r="HN87" s="4" t="s">
        <v>282</v>
      </c>
      <c r="HO87" s="4" t="s">
        <v>282</v>
      </c>
      <c r="HP87" s="4" t="s">
        <v>282</v>
      </c>
      <c r="HQ87" s="4" t="s">
        <v>282</v>
      </c>
      <c r="HR87" s="4" t="s">
        <v>282</v>
      </c>
      <c r="HS87" s="4" t="s">
        <v>282</v>
      </c>
      <c r="HT87" s="4" t="s">
        <v>282</v>
      </c>
      <c r="HU87" s="4" t="s">
        <v>282</v>
      </c>
      <c r="HV87" s="4" t="s">
        <v>282</v>
      </c>
      <c r="HW87" s="4" t="s">
        <v>282</v>
      </c>
      <c r="HX87" s="4" t="s">
        <v>282</v>
      </c>
      <c r="HY87" s="4" t="s">
        <v>282</v>
      </c>
      <c r="HZ87" s="4" t="s">
        <v>282</v>
      </c>
      <c r="IA87" s="4" t="s">
        <v>282</v>
      </c>
      <c r="IB87" s="4" t="s">
        <v>282</v>
      </c>
      <c r="IC87" s="4" t="s">
        <v>282</v>
      </c>
    </row>
    <row r="88" spans="1:237" x14ac:dyDescent="0.2">
      <c r="A88" s="3">
        <v>45744.603993055556</v>
      </c>
      <c r="B88" s="3">
        <v>45744.604560185187</v>
      </c>
      <c r="C88" s="1">
        <v>0</v>
      </c>
      <c r="D88" s="4" t="s">
        <v>459</v>
      </c>
      <c r="E88" s="1">
        <v>0</v>
      </c>
      <c r="F88" s="1">
        <v>48</v>
      </c>
      <c r="G88" s="1">
        <v>0</v>
      </c>
      <c r="H88" s="3">
        <v>45751.604585567133</v>
      </c>
      <c r="I88" s="4" t="s">
        <v>1230</v>
      </c>
      <c r="J88" s="4" t="s">
        <v>282</v>
      </c>
      <c r="K88" s="4" t="s">
        <v>282</v>
      </c>
      <c r="L88" s="4" t="s">
        <v>282</v>
      </c>
      <c r="M88" s="4" t="s">
        <v>282</v>
      </c>
      <c r="N88" s="1">
        <v>49.7851</v>
      </c>
      <c r="O88" s="1">
        <v>-97.211699999999993</v>
      </c>
      <c r="P88" s="4" t="s">
        <v>283</v>
      </c>
      <c r="Q88" s="4" t="s">
        <v>284</v>
      </c>
      <c r="R88" s="1">
        <v>0.89999997615814209</v>
      </c>
      <c r="S88" s="4" t="s">
        <v>282</v>
      </c>
      <c r="T88" s="4" t="s">
        <v>282</v>
      </c>
      <c r="U88" s="4" t="s">
        <v>282</v>
      </c>
      <c r="V88" s="4" t="s">
        <v>282</v>
      </c>
      <c r="W88" s="4" t="s">
        <v>282</v>
      </c>
      <c r="X88" s="4" t="s">
        <v>282</v>
      </c>
      <c r="Y88" s="4" t="s">
        <v>282</v>
      </c>
      <c r="Z88" s="4" t="s">
        <v>282</v>
      </c>
      <c r="AA88" s="4" t="s">
        <v>282</v>
      </c>
      <c r="AB88" s="4" t="s">
        <v>282</v>
      </c>
      <c r="AC88" s="4" t="s">
        <v>282</v>
      </c>
      <c r="AD88" s="4" t="s">
        <v>282</v>
      </c>
      <c r="AE88" s="4" t="s">
        <v>282</v>
      </c>
      <c r="AF88" s="4" t="s">
        <v>282</v>
      </c>
      <c r="AG88" s="4" t="s">
        <v>282</v>
      </c>
      <c r="AH88" s="4" t="s">
        <v>282</v>
      </c>
      <c r="AI88" s="4" t="s">
        <v>282</v>
      </c>
      <c r="AJ88" s="4" t="s">
        <v>282</v>
      </c>
      <c r="AK88" s="4" t="s">
        <v>282</v>
      </c>
      <c r="AL88" s="4" t="s">
        <v>282</v>
      </c>
      <c r="AM88" s="4" t="s">
        <v>282</v>
      </c>
      <c r="AN88" s="4" t="s">
        <v>282</v>
      </c>
      <c r="AO88" s="4" t="s">
        <v>282</v>
      </c>
      <c r="AP88" s="4" t="s">
        <v>282</v>
      </c>
      <c r="AQ88" s="4" t="s">
        <v>282</v>
      </c>
      <c r="AR88" s="4" t="s">
        <v>282</v>
      </c>
      <c r="AS88" s="4" t="s">
        <v>282</v>
      </c>
      <c r="AT88" s="4" t="s">
        <v>282</v>
      </c>
      <c r="AU88" s="4" t="s">
        <v>282</v>
      </c>
      <c r="AV88" s="4" t="s">
        <v>282</v>
      </c>
      <c r="AW88" s="4" t="s">
        <v>282</v>
      </c>
      <c r="AX88" s="4" t="s">
        <v>282</v>
      </c>
      <c r="AY88" s="4" t="s">
        <v>282</v>
      </c>
      <c r="AZ88" s="4" t="s">
        <v>282</v>
      </c>
      <c r="BA88" s="4" t="s">
        <v>282</v>
      </c>
      <c r="BB88" s="4" t="s">
        <v>282</v>
      </c>
      <c r="BC88" s="4" t="s">
        <v>282</v>
      </c>
      <c r="BD88" s="4" t="s">
        <v>282</v>
      </c>
      <c r="BE88" s="4" t="s">
        <v>282</v>
      </c>
      <c r="BF88" s="4" t="s">
        <v>282</v>
      </c>
      <c r="BG88" s="4" t="s">
        <v>282</v>
      </c>
      <c r="BH88" s="4" t="s">
        <v>282</v>
      </c>
      <c r="BI88" s="4" t="s">
        <v>282</v>
      </c>
      <c r="BJ88" s="4" t="s">
        <v>282</v>
      </c>
      <c r="BK88" s="4" t="s">
        <v>282</v>
      </c>
      <c r="BL88" s="4" t="s">
        <v>282</v>
      </c>
      <c r="BM88" s="4" t="s">
        <v>282</v>
      </c>
      <c r="BN88" s="4" t="s">
        <v>282</v>
      </c>
      <c r="BO88" s="4" t="s">
        <v>282</v>
      </c>
      <c r="BP88" s="4" t="s">
        <v>282</v>
      </c>
      <c r="BQ88" s="4" t="s">
        <v>282</v>
      </c>
      <c r="BR88" s="4" t="s">
        <v>282</v>
      </c>
      <c r="BS88" s="4" t="s">
        <v>282</v>
      </c>
      <c r="BT88" s="4" t="s">
        <v>282</v>
      </c>
      <c r="BU88" s="4" t="s">
        <v>282</v>
      </c>
      <c r="BV88" s="4" t="s">
        <v>282</v>
      </c>
      <c r="BW88" s="4" t="s">
        <v>282</v>
      </c>
      <c r="BX88" s="4" t="s">
        <v>282</v>
      </c>
      <c r="BY88" s="4" t="s">
        <v>282</v>
      </c>
      <c r="BZ88" s="4" t="s">
        <v>282</v>
      </c>
      <c r="CA88" s="4" t="s">
        <v>282</v>
      </c>
      <c r="CB88" s="4" t="s">
        <v>282</v>
      </c>
      <c r="CC88" s="4" t="s">
        <v>282</v>
      </c>
      <c r="CD88" s="4" t="s">
        <v>282</v>
      </c>
      <c r="CE88" s="4" t="s">
        <v>282</v>
      </c>
      <c r="CF88" s="4" t="s">
        <v>282</v>
      </c>
      <c r="CG88" s="4" t="s">
        <v>282</v>
      </c>
      <c r="CH88" s="4" t="s">
        <v>282</v>
      </c>
      <c r="CI88" s="4" t="s">
        <v>282</v>
      </c>
      <c r="CJ88" s="4" t="s">
        <v>282</v>
      </c>
      <c r="CK88" s="4" t="s">
        <v>282</v>
      </c>
      <c r="CL88" s="4" t="s">
        <v>282</v>
      </c>
      <c r="CM88" s="4" t="s">
        <v>282</v>
      </c>
      <c r="CN88" s="4" t="s">
        <v>282</v>
      </c>
      <c r="CO88" s="4" t="s">
        <v>282</v>
      </c>
      <c r="CP88" s="4" t="s">
        <v>282</v>
      </c>
      <c r="CQ88" s="4" t="s">
        <v>282</v>
      </c>
      <c r="CR88" s="4" t="s">
        <v>282</v>
      </c>
      <c r="CS88" s="4" t="s">
        <v>282</v>
      </c>
      <c r="CT88" s="4" t="s">
        <v>282</v>
      </c>
      <c r="CU88" s="4" t="s">
        <v>282</v>
      </c>
      <c r="CV88" s="4" t="s">
        <v>282</v>
      </c>
      <c r="CW88" s="4" t="s">
        <v>282</v>
      </c>
      <c r="CX88" s="4" t="s">
        <v>282</v>
      </c>
      <c r="CY88" s="4" t="s">
        <v>282</v>
      </c>
      <c r="CZ88" s="4" t="s">
        <v>282</v>
      </c>
      <c r="DA88" s="4" t="s">
        <v>282</v>
      </c>
      <c r="DB88" s="4" t="s">
        <v>282</v>
      </c>
      <c r="DC88" s="4" t="s">
        <v>282</v>
      </c>
      <c r="DD88" s="4" t="s">
        <v>282</v>
      </c>
      <c r="DE88" s="4" t="s">
        <v>282</v>
      </c>
      <c r="DF88" s="4" t="s">
        <v>282</v>
      </c>
      <c r="DG88" s="4" t="s">
        <v>282</v>
      </c>
      <c r="DH88" s="4" t="s">
        <v>282</v>
      </c>
      <c r="DI88" s="4" t="s">
        <v>282</v>
      </c>
      <c r="DJ88" s="4" t="s">
        <v>282</v>
      </c>
      <c r="DK88" s="4" t="s">
        <v>282</v>
      </c>
      <c r="DL88" s="4" t="s">
        <v>282</v>
      </c>
      <c r="DM88" s="4" t="s">
        <v>282</v>
      </c>
      <c r="DN88" s="4" t="s">
        <v>282</v>
      </c>
      <c r="DO88" s="4" t="s">
        <v>282</v>
      </c>
      <c r="DP88" s="4" t="s">
        <v>282</v>
      </c>
      <c r="DQ88" s="4" t="s">
        <v>282</v>
      </c>
      <c r="DR88" s="4" t="s">
        <v>282</v>
      </c>
      <c r="DS88" s="4" t="s">
        <v>282</v>
      </c>
      <c r="DT88" s="4" t="s">
        <v>282</v>
      </c>
      <c r="DU88" s="4" t="s">
        <v>282</v>
      </c>
      <c r="DV88" s="4" t="s">
        <v>282</v>
      </c>
      <c r="DW88" s="4" t="s">
        <v>282</v>
      </c>
      <c r="DX88" s="4" t="s">
        <v>282</v>
      </c>
      <c r="DY88" s="4" t="s">
        <v>282</v>
      </c>
      <c r="DZ88" s="4" t="s">
        <v>282</v>
      </c>
      <c r="EA88" s="4" t="s">
        <v>282</v>
      </c>
      <c r="EB88" s="4" t="s">
        <v>282</v>
      </c>
      <c r="EC88" s="4" t="s">
        <v>282</v>
      </c>
      <c r="ED88" s="4" t="s">
        <v>282</v>
      </c>
      <c r="EE88" s="4" t="s">
        <v>282</v>
      </c>
      <c r="EF88" s="4" t="s">
        <v>282</v>
      </c>
      <c r="EG88" s="4" t="s">
        <v>282</v>
      </c>
      <c r="EH88" s="4" t="s">
        <v>282</v>
      </c>
      <c r="EI88" s="4" t="s">
        <v>282</v>
      </c>
      <c r="EJ88" s="4" t="s">
        <v>282</v>
      </c>
      <c r="EK88" s="4" t="s">
        <v>282</v>
      </c>
      <c r="EL88" s="4" t="s">
        <v>282</v>
      </c>
      <c r="EM88" s="4" t="s">
        <v>282</v>
      </c>
      <c r="EN88" s="4" t="s">
        <v>282</v>
      </c>
      <c r="EO88" s="4" t="s">
        <v>282</v>
      </c>
      <c r="EP88" s="4" t="s">
        <v>282</v>
      </c>
      <c r="EQ88" s="4" t="s">
        <v>282</v>
      </c>
      <c r="ER88" s="4" t="s">
        <v>282</v>
      </c>
      <c r="ES88" s="4" t="s">
        <v>282</v>
      </c>
      <c r="ET88" s="4" t="s">
        <v>282</v>
      </c>
      <c r="EU88" s="4" t="s">
        <v>282</v>
      </c>
      <c r="EV88" s="4" t="s">
        <v>282</v>
      </c>
      <c r="EW88" s="4" t="s">
        <v>282</v>
      </c>
      <c r="EX88" s="4" t="s">
        <v>282</v>
      </c>
      <c r="EY88" s="4" t="s">
        <v>282</v>
      </c>
      <c r="EZ88" s="4" t="s">
        <v>282</v>
      </c>
      <c r="FA88" s="4" t="s">
        <v>282</v>
      </c>
      <c r="FB88" s="4" t="s">
        <v>282</v>
      </c>
      <c r="FC88" s="4" t="s">
        <v>282</v>
      </c>
      <c r="FD88" s="4" t="s">
        <v>282</v>
      </c>
      <c r="FE88" s="4" t="s">
        <v>282</v>
      </c>
      <c r="FF88" s="4" t="s">
        <v>282</v>
      </c>
      <c r="FG88" s="4" t="s">
        <v>282</v>
      </c>
      <c r="FH88" s="4" t="s">
        <v>282</v>
      </c>
      <c r="FI88" s="4" t="s">
        <v>282</v>
      </c>
      <c r="FJ88" s="4" t="s">
        <v>282</v>
      </c>
      <c r="FK88" s="4" t="s">
        <v>282</v>
      </c>
      <c r="FL88" s="4" t="s">
        <v>282</v>
      </c>
      <c r="FM88" s="4" t="s">
        <v>282</v>
      </c>
      <c r="FN88" s="4" t="s">
        <v>282</v>
      </c>
      <c r="FO88" s="4" t="s">
        <v>282</v>
      </c>
      <c r="FP88" s="4" t="s">
        <v>282</v>
      </c>
      <c r="FQ88" s="4" t="s">
        <v>282</v>
      </c>
      <c r="FR88" s="4" t="s">
        <v>282</v>
      </c>
      <c r="FS88" s="4" t="s">
        <v>282</v>
      </c>
      <c r="FT88" s="4" t="s">
        <v>282</v>
      </c>
      <c r="FU88" s="4" t="s">
        <v>282</v>
      </c>
      <c r="FV88" s="4" t="s">
        <v>282</v>
      </c>
      <c r="FW88" s="4" t="s">
        <v>282</v>
      </c>
      <c r="FX88" s="4" t="s">
        <v>282</v>
      </c>
      <c r="FY88" s="4" t="s">
        <v>282</v>
      </c>
      <c r="FZ88" s="4" t="s">
        <v>282</v>
      </c>
      <c r="GA88" s="4" t="s">
        <v>282</v>
      </c>
      <c r="GB88" s="4" t="s">
        <v>282</v>
      </c>
      <c r="GC88" s="4" t="s">
        <v>282</v>
      </c>
      <c r="GD88" s="4" t="s">
        <v>282</v>
      </c>
      <c r="GE88" s="4" t="s">
        <v>282</v>
      </c>
      <c r="GF88" s="4" t="s">
        <v>282</v>
      </c>
      <c r="GG88" s="4" t="s">
        <v>282</v>
      </c>
      <c r="GH88" s="4" t="s">
        <v>282</v>
      </c>
      <c r="GI88" s="4" t="s">
        <v>282</v>
      </c>
      <c r="GJ88" s="4" t="s">
        <v>282</v>
      </c>
      <c r="GK88" s="4" t="s">
        <v>282</v>
      </c>
      <c r="GL88" s="4" t="s">
        <v>282</v>
      </c>
      <c r="GM88" s="4" t="s">
        <v>282</v>
      </c>
      <c r="GN88" s="4" t="s">
        <v>282</v>
      </c>
      <c r="GO88" s="4" t="s">
        <v>282</v>
      </c>
      <c r="GP88" s="4" t="s">
        <v>282</v>
      </c>
      <c r="GQ88" s="4" t="s">
        <v>282</v>
      </c>
      <c r="GR88" s="4" t="s">
        <v>282</v>
      </c>
      <c r="GS88" s="4" t="s">
        <v>282</v>
      </c>
      <c r="GT88" s="4" t="s">
        <v>282</v>
      </c>
      <c r="GU88" s="4" t="s">
        <v>282</v>
      </c>
      <c r="GV88" s="4" t="s">
        <v>282</v>
      </c>
      <c r="GW88" s="4" t="s">
        <v>282</v>
      </c>
      <c r="GX88" s="4" t="s">
        <v>282</v>
      </c>
      <c r="GY88" s="4" t="s">
        <v>282</v>
      </c>
      <c r="GZ88" s="4" t="s">
        <v>282</v>
      </c>
      <c r="HA88" s="4" t="s">
        <v>282</v>
      </c>
      <c r="HB88" s="4" t="s">
        <v>282</v>
      </c>
      <c r="HC88" s="4" t="s">
        <v>282</v>
      </c>
      <c r="HD88" s="4" t="s">
        <v>282</v>
      </c>
      <c r="HE88" s="4" t="s">
        <v>282</v>
      </c>
      <c r="HF88" s="4" t="s">
        <v>282</v>
      </c>
      <c r="HG88" s="4" t="s">
        <v>282</v>
      </c>
      <c r="HH88" s="4" t="s">
        <v>282</v>
      </c>
      <c r="HI88" s="4" t="s">
        <v>282</v>
      </c>
      <c r="HJ88" s="4" t="s">
        <v>282</v>
      </c>
      <c r="HK88" s="4" t="s">
        <v>282</v>
      </c>
      <c r="HL88" s="4" t="s">
        <v>282</v>
      </c>
      <c r="HM88" s="4" t="s">
        <v>282</v>
      </c>
      <c r="HN88" s="4" t="s">
        <v>282</v>
      </c>
      <c r="HO88" s="4" t="s">
        <v>282</v>
      </c>
      <c r="HP88" s="4" t="s">
        <v>282</v>
      </c>
      <c r="HQ88" s="4" t="s">
        <v>282</v>
      </c>
      <c r="HR88" s="4" t="s">
        <v>282</v>
      </c>
      <c r="HS88" s="4" t="s">
        <v>282</v>
      </c>
      <c r="HT88" s="4" t="s">
        <v>282</v>
      </c>
      <c r="HU88" s="4" t="s">
        <v>282</v>
      </c>
      <c r="HV88" s="4" t="s">
        <v>282</v>
      </c>
      <c r="HW88" s="4" t="s">
        <v>282</v>
      </c>
      <c r="HX88" s="4" t="s">
        <v>282</v>
      </c>
      <c r="HY88" s="4" t="s">
        <v>282</v>
      </c>
      <c r="HZ88" s="4" t="s">
        <v>282</v>
      </c>
      <c r="IA88" s="4" t="s">
        <v>282</v>
      </c>
      <c r="IB88" s="4" t="s">
        <v>282</v>
      </c>
      <c r="IC88" s="4" t="s">
        <v>282</v>
      </c>
    </row>
    <row r="89" spans="1:237" x14ac:dyDescent="0.2">
      <c r="A89" s="3">
        <v>45744.611111111109</v>
      </c>
      <c r="B89" s="3">
        <v>45744.611238425925</v>
      </c>
      <c r="C89" s="1">
        <v>0</v>
      </c>
      <c r="D89" s="4" t="s">
        <v>1231</v>
      </c>
      <c r="E89" s="1">
        <v>0</v>
      </c>
      <c r="F89" s="1">
        <v>10</v>
      </c>
      <c r="G89" s="1">
        <v>0</v>
      </c>
      <c r="H89" s="3">
        <v>45751.611255277778</v>
      </c>
      <c r="I89" s="4" t="s">
        <v>1232</v>
      </c>
      <c r="J89" s="4" t="s">
        <v>282</v>
      </c>
      <c r="K89" s="4" t="s">
        <v>282</v>
      </c>
      <c r="L89" s="4" t="s">
        <v>282</v>
      </c>
      <c r="M89" s="4" t="s">
        <v>282</v>
      </c>
      <c r="N89" s="1">
        <v>-34.927399999999999</v>
      </c>
      <c r="O89" s="1">
        <v>138.60050000000001</v>
      </c>
      <c r="P89" s="4" t="s">
        <v>283</v>
      </c>
      <c r="Q89" s="4" t="s">
        <v>284</v>
      </c>
      <c r="R89" s="1">
        <v>1</v>
      </c>
      <c r="S89" s="4" t="s">
        <v>282</v>
      </c>
      <c r="T89" s="4" t="s">
        <v>282</v>
      </c>
      <c r="U89" s="4" t="s">
        <v>282</v>
      </c>
      <c r="V89" s="4" t="s">
        <v>282</v>
      </c>
      <c r="W89" s="4" t="s">
        <v>282</v>
      </c>
      <c r="X89" s="4" t="s">
        <v>282</v>
      </c>
      <c r="Y89" s="4" t="s">
        <v>282</v>
      </c>
      <c r="Z89" s="4" t="s">
        <v>282</v>
      </c>
      <c r="AA89" s="4" t="s">
        <v>282</v>
      </c>
      <c r="AB89" s="4" t="s">
        <v>282</v>
      </c>
      <c r="AC89" s="4" t="s">
        <v>282</v>
      </c>
      <c r="AD89" s="4" t="s">
        <v>282</v>
      </c>
      <c r="AE89" s="4" t="s">
        <v>282</v>
      </c>
      <c r="AF89" s="4" t="s">
        <v>282</v>
      </c>
      <c r="AG89" s="4" t="s">
        <v>282</v>
      </c>
      <c r="AH89" s="4" t="s">
        <v>282</v>
      </c>
      <c r="AI89" s="4" t="s">
        <v>282</v>
      </c>
      <c r="AJ89" s="4" t="s">
        <v>282</v>
      </c>
      <c r="AK89" s="4" t="s">
        <v>282</v>
      </c>
      <c r="AL89" s="4" t="s">
        <v>282</v>
      </c>
      <c r="AM89" s="4" t="s">
        <v>282</v>
      </c>
      <c r="AN89" s="4" t="s">
        <v>282</v>
      </c>
      <c r="AO89" s="4" t="s">
        <v>282</v>
      </c>
      <c r="AP89" s="4" t="s">
        <v>282</v>
      </c>
      <c r="AQ89" s="4" t="s">
        <v>282</v>
      </c>
      <c r="AR89" s="4" t="s">
        <v>282</v>
      </c>
      <c r="AS89" s="4" t="s">
        <v>282</v>
      </c>
      <c r="AT89" s="4" t="s">
        <v>282</v>
      </c>
      <c r="AU89" s="4" t="s">
        <v>282</v>
      </c>
      <c r="AV89" s="4" t="s">
        <v>282</v>
      </c>
      <c r="AW89" s="4" t="s">
        <v>282</v>
      </c>
      <c r="AX89" s="4" t="s">
        <v>282</v>
      </c>
      <c r="AY89" s="4" t="s">
        <v>282</v>
      </c>
      <c r="AZ89" s="4" t="s">
        <v>282</v>
      </c>
      <c r="BA89" s="4" t="s">
        <v>282</v>
      </c>
      <c r="BB89" s="4" t="s">
        <v>282</v>
      </c>
      <c r="BC89" s="4" t="s">
        <v>282</v>
      </c>
      <c r="BD89" s="4" t="s">
        <v>282</v>
      </c>
      <c r="BE89" s="4" t="s">
        <v>282</v>
      </c>
      <c r="BF89" s="4" t="s">
        <v>282</v>
      </c>
      <c r="BG89" s="4" t="s">
        <v>282</v>
      </c>
      <c r="BH89" s="4" t="s">
        <v>282</v>
      </c>
      <c r="BI89" s="4" t="s">
        <v>282</v>
      </c>
      <c r="BJ89" s="4" t="s">
        <v>282</v>
      </c>
      <c r="BK89" s="4" t="s">
        <v>282</v>
      </c>
      <c r="BL89" s="4" t="s">
        <v>282</v>
      </c>
      <c r="BM89" s="4" t="s">
        <v>282</v>
      </c>
      <c r="BN89" s="4" t="s">
        <v>282</v>
      </c>
      <c r="BO89" s="4" t="s">
        <v>282</v>
      </c>
      <c r="BP89" s="4" t="s">
        <v>282</v>
      </c>
      <c r="BQ89" s="4" t="s">
        <v>282</v>
      </c>
      <c r="BR89" s="4" t="s">
        <v>282</v>
      </c>
      <c r="BS89" s="4" t="s">
        <v>282</v>
      </c>
      <c r="BT89" s="4" t="s">
        <v>282</v>
      </c>
      <c r="BU89" s="4" t="s">
        <v>282</v>
      </c>
      <c r="BV89" s="4" t="s">
        <v>282</v>
      </c>
      <c r="BW89" s="4" t="s">
        <v>282</v>
      </c>
      <c r="BX89" s="4" t="s">
        <v>282</v>
      </c>
      <c r="BY89" s="4" t="s">
        <v>282</v>
      </c>
      <c r="BZ89" s="4" t="s">
        <v>282</v>
      </c>
      <c r="CA89" s="4" t="s">
        <v>282</v>
      </c>
      <c r="CB89" s="4" t="s">
        <v>282</v>
      </c>
      <c r="CC89" s="4" t="s">
        <v>282</v>
      </c>
      <c r="CD89" s="4" t="s">
        <v>282</v>
      </c>
      <c r="CE89" s="4" t="s">
        <v>282</v>
      </c>
      <c r="CF89" s="4" t="s">
        <v>282</v>
      </c>
      <c r="CG89" s="4" t="s">
        <v>282</v>
      </c>
      <c r="CH89" s="4" t="s">
        <v>282</v>
      </c>
      <c r="CI89" s="4" t="s">
        <v>282</v>
      </c>
      <c r="CJ89" s="4" t="s">
        <v>282</v>
      </c>
      <c r="CK89" s="4" t="s">
        <v>282</v>
      </c>
      <c r="CL89" s="4" t="s">
        <v>282</v>
      </c>
      <c r="CM89" s="4" t="s">
        <v>282</v>
      </c>
      <c r="CN89" s="4" t="s">
        <v>282</v>
      </c>
      <c r="CO89" s="4" t="s">
        <v>282</v>
      </c>
      <c r="CP89" s="4" t="s">
        <v>282</v>
      </c>
      <c r="CQ89" s="4" t="s">
        <v>282</v>
      </c>
      <c r="CR89" s="4" t="s">
        <v>282</v>
      </c>
      <c r="CS89" s="4" t="s">
        <v>282</v>
      </c>
      <c r="CT89" s="4" t="s">
        <v>282</v>
      </c>
      <c r="CU89" s="4" t="s">
        <v>282</v>
      </c>
      <c r="CV89" s="4" t="s">
        <v>282</v>
      </c>
      <c r="CW89" s="4" t="s">
        <v>282</v>
      </c>
      <c r="CX89" s="4" t="s">
        <v>282</v>
      </c>
      <c r="CY89" s="4" t="s">
        <v>282</v>
      </c>
      <c r="CZ89" s="4" t="s">
        <v>282</v>
      </c>
      <c r="DA89" s="4" t="s">
        <v>282</v>
      </c>
      <c r="DB89" s="4" t="s">
        <v>282</v>
      </c>
      <c r="DC89" s="4" t="s">
        <v>282</v>
      </c>
      <c r="DD89" s="4" t="s">
        <v>282</v>
      </c>
      <c r="DE89" s="4" t="s">
        <v>282</v>
      </c>
      <c r="DF89" s="4" t="s">
        <v>282</v>
      </c>
      <c r="DG89" s="4" t="s">
        <v>282</v>
      </c>
      <c r="DH89" s="4" t="s">
        <v>282</v>
      </c>
      <c r="DI89" s="4" t="s">
        <v>282</v>
      </c>
      <c r="DJ89" s="4" t="s">
        <v>282</v>
      </c>
      <c r="DK89" s="4" t="s">
        <v>282</v>
      </c>
      <c r="DL89" s="4" t="s">
        <v>282</v>
      </c>
      <c r="DM89" s="4" t="s">
        <v>282</v>
      </c>
      <c r="DN89" s="4" t="s">
        <v>282</v>
      </c>
      <c r="DO89" s="4" t="s">
        <v>282</v>
      </c>
      <c r="DP89" s="4" t="s">
        <v>282</v>
      </c>
      <c r="DQ89" s="4" t="s">
        <v>282</v>
      </c>
      <c r="DR89" s="4" t="s">
        <v>282</v>
      </c>
      <c r="DS89" s="4" t="s">
        <v>282</v>
      </c>
      <c r="DT89" s="4" t="s">
        <v>282</v>
      </c>
      <c r="DU89" s="4" t="s">
        <v>282</v>
      </c>
      <c r="DV89" s="4" t="s">
        <v>282</v>
      </c>
      <c r="DW89" s="4" t="s">
        <v>282</v>
      </c>
      <c r="DX89" s="4" t="s">
        <v>282</v>
      </c>
      <c r="DY89" s="4" t="s">
        <v>282</v>
      </c>
      <c r="DZ89" s="4" t="s">
        <v>282</v>
      </c>
      <c r="EA89" s="4" t="s">
        <v>282</v>
      </c>
      <c r="EB89" s="4" t="s">
        <v>282</v>
      </c>
      <c r="EC89" s="4" t="s">
        <v>282</v>
      </c>
      <c r="ED89" s="4" t="s">
        <v>282</v>
      </c>
      <c r="EE89" s="4" t="s">
        <v>282</v>
      </c>
      <c r="EF89" s="4" t="s">
        <v>282</v>
      </c>
      <c r="EG89" s="4" t="s">
        <v>282</v>
      </c>
      <c r="EH89" s="4" t="s">
        <v>282</v>
      </c>
      <c r="EI89" s="4" t="s">
        <v>282</v>
      </c>
      <c r="EJ89" s="4" t="s">
        <v>282</v>
      </c>
      <c r="EK89" s="4" t="s">
        <v>282</v>
      </c>
      <c r="EL89" s="4" t="s">
        <v>282</v>
      </c>
      <c r="EM89" s="4" t="s">
        <v>282</v>
      </c>
      <c r="EN89" s="4" t="s">
        <v>282</v>
      </c>
      <c r="EO89" s="4" t="s">
        <v>282</v>
      </c>
      <c r="EP89" s="4" t="s">
        <v>282</v>
      </c>
      <c r="EQ89" s="4" t="s">
        <v>282</v>
      </c>
      <c r="ER89" s="4" t="s">
        <v>282</v>
      </c>
      <c r="ES89" s="4" t="s">
        <v>282</v>
      </c>
      <c r="ET89" s="4" t="s">
        <v>282</v>
      </c>
      <c r="EU89" s="4" t="s">
        <v>282</v>
      </c>
      <c r="EV89" s="4" t="s">
        <v>282</v>
      </c>
      <c r="EW89" s="4" t="s">
        <v>282</v>
      </c>
      <c r="EX89" s="4" t="s">
        <v>282</v>
      </c>
      <c r="EY89" s="4" t="s">
        <v>282</v>
      </c>
      <c r="EZ89" s="4" t="s">
        <v>282</v>
      </c>
      <c r="FA89" s="4" t="s">
        <v>282</v>
      </c>
      <c r="FB89" s="4" t="s">
        <v>282</v>
      </c>
      <c r="FC89" s="4" t="s">
        <v>282</v>
      </c>
      <c r="FD89" s="4" t="s">
        <v>282</v>
      </c>
      <c r="FE89" s="4" t="s">
        <v>282</v>
      </c>
      <c r="FF89" s="4" t="s">
        <v>282</v>
      </c>
      <c r="FG89" s="4" t="s">
        <v>282</v>
      </c>
      <c r="FH89" s="4" t="s">
        <v>282</v>
      </c>
      <c r="FI89" s="4" t="s">
        <v>282</v>
      </c>
      <c r="FJ89" s="4" t="s">
        <v>282</v>
      </c>
      <c r="FK89" s="4" t="s">
        <v>282</v>
      </c>
      <c r="FL89" s="4" t="s">
        <v>282</v>
      </c>
      <c r="FM89" s="4" t="s">
        <v>282</v>
      </c>
      <c r="FN89" s="4" t="s">
        <v>282</v>
      </c>
      <c r="FO89" s="4" t="s">
        <v>282</v>
      </c>
      <c r="FP89" s="4" t="s">
        <v>282</v>
      </c>
      <c r="FQ89" s="4" t="s">
        <v>282</v>
      </c>
      <c r="FR89" s="4" t="s">
        <v>282</v>
      </c>
      <c r="FS89" s="4" t="s">
        <v>282</v>
      </c>
      <c r="FT89" s="4" t="s">
        <v>282</v>
      </c>
      <c r="FU89" s="4" t="s">
        <v>282</v>
      </c>
      <c r="FV89" s="4" t="s">
        <v>282</v>
      </c>
      <c r="FW89" s="4" t="s">
        <v>282</v>
      </c>
      <c r="FX89" s="4" t="s">
        <v>282</v>
      </c>
      <c r="FY89" s="4" t="s">
        <v>282</v>
      </c>
      <c r="FZ89" s="4" t="s">
        <v>282</v>
      </c>
      <c r="GA89" s="4" t="s">
        <v>282</v>
      </c>
      <c r="GB89" s="4" t="s">
        <v>282</v>
      </c>
      <c r="GC89" s="4" t="s">
        <v>282</v>
      </c>
      <c r="GD89" s="4" t="s">
        <v>282</v>
      </c>
      <c r="GE89" s="4" t="s">
        <v>282</v>
      </c>
      <c r="GF89" s="4" t="s">
        <v>282</v>
      </c>
      <c r="GG89" s="4" t="s">
        <v>282</v>
      </c>
      <c r="GH89" s="4" t="s">
        <v>282</v>
      </c>
      <c r="GI89" s="4" t="s">
        <v>282</v>
      </c>
      <c r="GJ89" s="4" t="s">
        <v>282</v>
      </c>
      <c r="GK89" s="4" t="s">
        <v>282</v>
      </c>
      <c r="GL89" s="4" t="s">
        <v>282</v>
      </c>
      <c r="GM89" s="4" t="s">
        <v>282</v>
      </c>
      <c r="GN89" s="4" t="s">
        <v>282</v>
      </c>
      <c r="GO89" s="4" t="s">
        <v>282</v>
      </c>
      <c r="GP89" s="4" t="s">
        <v>282</v>
      </c>
      <c r="GQ89" s="4" t="s">
        <v>282</v>
      </c>
      <c r="GR89" s="4" t="s">
        <v>282</v>
      </c>
      <c r="GS89" s="4" t="s">
        <v>282</v>
      </c>
      <c r="GT89" s="4" t="s">
        <v>282</v>
      </c>
      <c r="GU89" s="4" t="s">
        <v>282</v>
      </c>
      <c r="GV89" s="4" t="s">
        <v>282</v>
      </c>
      <c r="GW89" s="4" t="s">
        <v>282</v>
      </c>
      <c r="GX89" s="4" t="s">
        <v>282</v>
      </c>
      <c r="GY89" s="4" t="s">
        <v>282</v>
      </c>
      <c r="GZ89" s="4" t="s">
        <v>282</v>
      </c>
      <c r="HA89" s="4" t="s">
        <v>282</v>
      </c>
      <c r="HB89" s="4" t="s">
        <v>282</v>
      </c>
      <c r="HC89" s="4" t="s">
        <v>282</v>
      </c>
      <c r="HD89" s="4" t="s">
        <v>282</v>
      </c>
      <c r="HE89" s="4" t="s">
        <v>282</v>
      </c>
      <c r="HF89" s="4" t="s">
        <v>282</v>
      </c>
      <c r="HG89" s="4" t="s">
        <v>282</v>
      </c>
      <c r="HH89" s="4" t="s">
        <v>282</v>
      </c>
      <c r="HI89" s="4" t="s">
        <v>282</v>
      </c>
      <c r="HJ89" s="4" t="s">
        <v>282</v>
      </c>
      <c r="HK89" s="4" t="s">
        <v>282</v>
      </c>
      <c r="HL89" s="4" t="s">
        <v>282</v>
      </c>
      <c r="HM89" s="4" t="s">
        <v>282</v>
      </c>
      <c r="HN89" s="4" t="s">
        <v>282</v>
      </c>
      <c r="HO89" s="4" t="s">
        <v>282</v>
      </c>
      <c r="HP89" s="4" t="s">
        <v>282</v>
      </c>
      <c r="HQ89" s="4" t="s">
        <v>282</v>
      </c>
      <c r="HR89" s="4" t="s">
        <v>282</v>
      </c>
      <c r="HS89" s="4" t="s">
        <v>282</v>
      </c>
      <c r="HT89" s="4" t="s">
        <v>282</v>
      </c>
      <c r="HU89" s="4" t="s">
        <v>282</v>
      </c>
      <c r="HV89" s="4" t="s">
        <v>282</v>
      </c>
      <c r="HW89" s="4" t="s">
        <v>282</v>
      </c>
      <c r="HX89" s="4" t="s">
        <v>282</v>
      </c>
      <c r="HY89" s="4" t="s">
        <v>282</v>
      </c>
      <c r="HZ89" s="4" t="s">
        <v>282</v>
      </c>
      <c r="IA89" s="4" t="s">
        <v>282</v>
      </c>
      <c r="IB89" s="4" t="s">
        <v>282</v>
      </c>
      <c r="IC89" s="4" t="s">
        <v>282</v>
      </c>
    </row>
    <row r="90" spans="1:237" x14ac:dyDescent="0.2">
      <c r="A90" s="3">
        <v>45744.49486111111</v>
      </c>
      <c r="B90" s="3">
        <v>45744.658275462964</v>
      </c>
      <c r="C90" s="1">
        <v>0</v>
      </c>
      <c r="D90" s="4" t="s">
        <v>425</v>
      </c>
      <c r="E90" s="1">
        <v>0</v>
      </c>
      <c r="F90" s="1">
        <v>14118</v>
      </c>
      <c r="G90" s="1">
        <v>0</v>
      </c>
      <c r="H90" s="3">
        <v>45751.658362141206</v>
      </c>
      <c r="I90" s="4" t="s">
        <v>1233</v>
      </c>
      <c r="J90" s="4" t="s">
        <v>282</v>
      </c>
      <c r="K90" s="4" t="s">
        <v>282</v>
      </c>
      <c r="L90" s="4" t="s">
        <v>282</v>
      </c>
      <c r="M90" s="4" t="s">
        <v>282</v>
      </c>
      <c r="N90" s="1">
        <v>-37.8964</v>
      </c>
      <c r="O90" s="1">
        <v>145.07990000000001</v>
      </c>
      <c r="P90" s="4" t="s">
        <v>283</v>
      </c>
      <c r="Q90" s="4" t="s">
        <v>284</v>
      </c>
      <c r="R90" s="1">
        <v>1</v>
      </c>
      <c r="S90" s="4" t="s">
        <v>282</v>
      </c>
      <c r="T90" s="4" t="s">
        <v>282</v>
      </c>
      <c r="U90" s="4" t="s">
        <v>282</v>
      </c>
      <c r="V90" s="4" t="s">
        <v>282</v>
      </c>
      <c r="W90" s="4" t="s">
        <v>282</v>
      </c>
      <c r="X90" s="4" t="s">
        <v>282</v>
      </c>
      <c r="Y90" s="4" t="s">
        <v>282</v>
      </c>
      <c r="Z90" s="4" t="s">
        <v>282</v>
      </c>
      <c r="AA90" s="4" t="s">
        <v>282</v>
      </c>
      <c r="AB90" s="4" t="s">
        <v>282</v>
      </c>
      <c r="AC90" s="4" t="s">
        <v>282</v>
      </c>
      <c r="AD90" s="4" t="s">
        <v>282</v>
      </c>
      <c r="AE90" s="4" t="s">
        <v>282</v>
      </c>
      <c r="AF90" s="4" t="s">
        <v>282</v>
      </c>
      <c r="AG90" s="4" t="s">
        <v>282</v>
      </c>
      <c r="AH90" s="4" t="s">
        <v>282</v>
      </c>
      <c r="AI90" s="4" t="s">
        <v>282</v>
      </c>
      <c r="AJ90" s="4" t="s">
        <v>282</v>
      </c>
      <c r="AK90" s="4" t="s">
        <v>282</v>
      </c>
      <c r="AL90" s="4" t="s">
        <v>282</v>
      </c>
      <c r="AM90" s="4" t="s">
        <v>282</v>
      </c>
      <c r="AN90" s="4" t="s">
        <v>282</v>
      </c>
      <c r="AO90" s="4" t="s">
        <v>282</v>
      </c>
      <c r="AP90" s="4" t="s">
        <v>282</v>
      </c>
      <c r="AQ90" s="4" t="s">
        <v>282</v>
      </c>
      <c r="AR90" s="4" t="s">
        <v>282</v>
      </c>
      <c r="AS90" s="4" t="s">
        <v>282</v>
      </c>
      <c r="AT90" s="4" t="s">
        <v>282</v>
      </c>
      <c r="AU90" s="4" t="s">
        <v>282</v>
      </c>
      <c r="AV90" s="4" t="s">
        <v>282</v>
      </c>
      <c r="AW90" s="4" t="s">
        <v>282</v>
      </c>
      <c r="AX90" s="4" t="s">
        <v>282</v>
      </c>
      <c r="AY90" s="4" t="s">
        <v>282</v>
      </c>
      <c r="AZ90" s="4" t="s">
        <v>282</v>
      </c>
      <c r="BA90" s="4" t="s">
        <v>282</v>
      </c>
      <c r="BB90" s="4" t="s">
        <v>282</v>
      </c>
      <c r="BC90" s="4" t="s">
        <v>282</v>
      </c>
      <c r="BD90" s="4" t="s">
        <v>282</v>
      </c>
      <c r="BE90" s="4" t="s">
        <v>282</v>
      </c>
      <c r="BF90" s="4" t="s">
        <v>282</v>
      </c>
      <c r="BG90" s="4" t="s">
        <v>282</v>
      </c>
      <c r="BH90" s="4" t="s">
        <v>282</v>
      </c>
      <c r="BI90" s="4" t="s">
        <v>282</v>
      </c>
      <c r="BJ90" s="4" t="s">
        <v>282</v>
      </c>
      <c r="BK90" s="4" t="s">
        <v>282</v>
      </c>
      <c r="BL90" s="4" t="s">
        <v>282</v>
      </c>
      <c r="BM90" s="4" t="s">
        <v>282</v>
      </c>
      <c r="BN90" s="4" t="s">
        <v>282</v>
      </c>
      <c r="BO90" s="4" t="s">
        <v>282</v>
      </c>
      <c r="BP90" s="4" t="s">
        <v>282</v>
      </c>
      <c r="BQ90" s="4" t="s">
        <v>282</v>
      </c>
      <c r="BR90" s="4" t="s">
        <v>282</v>
      </c>
      <c r="BS90" s="4" t="s">
        <v>282</v>
      </c>
      <c r="BT90" s="4" t="s">
        <v>282</v>
      </c>
      <c r="BU90" s="4" t="s">
        <v>282</v>
      </c>
      <c r="BV90" s="4" t="s">
        <v>282</v>
      </c>
      <c r="BW90" s="4" t="s">
        <v>282</v>
      </c>
      <c r="BX90" s="4" t="s">
        <v>282</v>
      </c>
      <c r="BY90" s="4" t="s">
        <v>282</v>
      </c>
      <c r="BZ90" s="4" t="s">
        <v>282</v>
      </c>
      <c r="CA90" s="4" t="s">
        <v>282</v>
      </c>
      <c r="CB90" s="4" t="s">
        <v>282</v>
      </c>
      <c r="CC90" s="4" t="s">
        <v>282</v>
      </c>
      <c r="CD90" s="4" t="s">
        <v>282</v>
      </c>
      <c r="CE90" s="4" t="s">
        <v>282</v>
      </c>
      <c r="CF90" s="4" t="s">
        <v>282</v>
      </c>
      <c r="CG90" s="4" t="s">
        <v>282</v>
      </c>
      <c r="CH90" s="4" t="s">
        <v>282</v>
      </c>
      <c r="CI90" s="4" t="s">
        <v>282</v>
      </c>
      <c r="CJ90" s="4" t="s">
        <v>282</v>
      </c>
      <c r="CK90" s="4" t="s">
        <v>282</v>
      </c>
      <c r="CL90" s="4" t="s">
        <v>282</v>
      </c>
      <c r="CM90" s="4" t="s">
        <v>282</v>
      </c>
      <c r="CN90" s="4" t="s">
        <v>282</v>
      </c>
      <c r="CO90" s="4" t="s">
        <v>282</v>
      </c>
      <c r="CP90" s="4" t="s">
        <v>282</v>
      </c>
      <c r="CQ90" s="4" t="s">
        <v>282</v>
      </c>
      <c r="CR90" s="4" t="s">
        <v>282</v>
      </c>
      <c r="CS90" s="4" t="s">
        <v>282</v>
      </c>
      <c r="CT90" s="4" t="s">
        <v>282</v>
      </c>
      <c r="CU90" s="4" t="s">
        <v>282</v>
      </c>
      <c r="CV90" s="4" t="s">
        <v>282</v>
      </c>
      <c r="CW90" s="4" t="s">
        <v>282</v>
      </c>
      <c r="CX90" s="4" t="s">
        <v>282</v>
      </c>
      <c r="CY90" s="4" t="s">
        <v>282</v>
      </c>
      <c r="CZ90" s="4" t="s">
        <v>282</v>
      </c>
      <c r="DA90" s="4" t="s">
        <v>282</v>
      </c>
      <c r="DB90" s="4" t="s">
        <v>282</v>
      </c>
      <c r="DC90" s="4" t="s">
        <v>282</v>
      </c>
      <c r="DD90" s="4" t="s">
        <v>282</v>
      </c>
      <c r="DE90" s="4" t="s">
        <v>282</v>
      </c>
      <c r="DF90" s="4" t="s">
        <v>282</v>
      </c>
      <c r="DG90" s="4" t="s">
        <v>282</v>
      </c>
      <c r="DH90" s="4" t="s">
        <v>282</v>
      </c>
      <c r="DI90" s="4" t="s">
        <v>282</v>
      </c>
      <c r="DJ90" s="4" t="s">
        <v>282</v>
      </c>
      <c r="DK90" s="4" t="s">
        <v>282</v>
      </c>
      <c r="DL90" s="4" t="s">
        <v>282</v>
      </c>
      <c r="DM90" s="4" t="s">
        <v>282</v>
      </c>
      <c r="DN90" s="4" t="s">
        <v>282</v>
      </c>
      <c r="DO90" s="4" t="s">
        <v>282</v>
      </c>
      <c r="DP90" s="4" t="s">
        <v>282</v>
      </c>
      <c r="DQ90" s="4" t="s">
        <v>282</v>
      </c>
      <c r="DR90" s="4" t="s">
        <v>282</v>
      </c>
      <c r="DS90" s="4" t="s">
        <v>282</v>
      </c>
      <c r="DT90" s="4" t="s">
        <v>282</v>
      </c>
      <c r="DU90" s="4" t="s">
        <v>282</v>
      </c>
      <c r="DV90" s="4" t="s">
        <v>282</v>
      </c>
      <c r="DW90" s="4" t="s">
        <v>282</v>
      </c>
      <c r="DX90" s="4" t="s">
        <v>282</v>
      </c>
      <c r="DY90" s="4" t="s">
        <v>282</v>
      </c>
      <c r="DZ90" s="4" t="s">
        <v>282</v>
      </c>
      <c r="EA90" s="4" t="s">
        <v>282</v>
      </c>
      <c r="EB90" s="4" t="s">
        <v>282</v>
      </c>
      <c r="EC90" s="4" t="s">
        <v>282</v>
      </c>
      <c r="ED90" s="4" t="s">
        <v>282</v>
      </c>
      <c r="EE90" s="4" t="s">
        <v>282</v>
      </c>
      <c r="EF90" s="4" t="s">
        <v>282</v>
      </c>
      <c r="EG90" s="4" t="s">
        <v>282</v>
      </c>
      <c r="EH90" s="4" t="s">
        <v>282</v>
      </c>
      <c r="EI90" s="4" t="s">
        <v>282</v>
      </c>
      <c r="EJ90" s="4" t="s">
        <v>282</v>
      </c>
      <c r="EK90" s="4" t="s">
        <v>282</v>
      </c>
      <c r="EL90" s="4" t="s">
        <v>282</v>
      </c>
      <c r="EM90" s="4" t="s">
        <v>282</v>
      </c>
      <c r="EN90" s="4" t="s">
        <v>282</v>
      </c>
      <c r="EO90" s="4" t="s">
        <v>282</v>
      </c>
      <c r="EP90" s="4" t="s">
        <v>282</v>
      </c>
      <c r="EQ90" s="4" t="s">
        <v>282</v>
      </c>
      <c r="ER90" s="4" t="s">
        <v>282</v>
      </c>
      <c r="ES90" s="4" t="s">
        <v>282</v>
      </c>
      <c r="ET90" s="4" t="s">
        <v>282</v>
      </c>
      <c r="EU90" s="4" t="s">
        <v>282</v>
      </c>
      <c r="EV90" s="4" t="s">
        <v>282</v>
      </c>
      <c r="EW90" s="4" t="s">
        <v>282</v>
      </c>
      <c r="EX90" s="4" t="s">
        <v>282</v>
      </c>
      <c r="EY90" s="4" t="s">
        <v>282</v>
      </c>
      <c r="EZ90" s="4" t="s">
        <v>282</v>
      </c>
      <c r="FA90" s="4" t="s">
        <v>282</v>
      </c>
      <c r="FB90" s="4" t="s">
        <v>282</v>
      </c>
      <c r="FC90" s="4" t="s">
        <v>282</v>
      </c>
      <c r="FD90" s="4" t="s">
        <v>282</v>
      </c>
      <c r="FE90" s="4" t="s">
        <v>282</v>
      </c>
      <c r="FF90" s="4" t="s">
        <v>282</v>
      </c>
      <c r="FG90" s="4" t="s">
        <v>282</v>
      </c>
      <c r="FH90" s="4" t="s">
        <v>282</v>
      </c>
      <c r="FI90" s="4" t="s">
        <v>282</v>
      </c>
      <c r="FJ90" s="4" t="s">
        <v>282</v>
      </c>
      <c r="FK90" s="4" t="s">
        <v>282</v>
      </c>
      <c r="FL90" s="4" t="s">
        <v>282</v>
      </c>
      <c r="FM90" s="4" t="s">
        <v>282</v>
      </c>
      <c r="FN90" s="4" t="s">
        <v>282</v>
      </c>
      <c r="FO90" s="4" t="s">
        <v>282</v>
      </c>
      <c r="FP90" s="4" t="s">
        <v>282</v>
      </c>
      <c r="FQ90" s="4" t="s">
        <v>282</v>
      </c>
      <c r="FR90" s="4" t="s">
        <v>282</v>
      </c>
      <c r="FS90" s="4" t="s">
        <v>282</v>
      </c>
      <c r="FT90" s="4" t="s">
        <v>282</v>
      </c>
      <c r="FU90" s="4" t="s">
        <v>282</v>
      </c>
      <c r="FV90" s="4" t="s">
        <v>282</v>
      </c>
      <c r="FW90" s="4" t="s">
        <v>282</v>
      </c>
      <c r="FX90" s="4" t="s">
        <v>282</v>
      </c>
      <c r="FY90" s="4" t="s">
        <v>282</v>
      </c>
      <c r="FZ90" s="4" t="s">
        <v>282</v>
      </c>
      <c r="GA90" s="4" t="s">
        <v>282</v>
      </c>
      <c r="GB90" s="4" t="s">
        <v>282</v>
      </c>
      <c r="GC90" s="4" t="s">
        <v>282</v>
      </c>
      <c r="GD90" s="4" t="s">
        <v>282</v>
      </c>
      <c r="GE90" s="4" t="s">
        <v>282</v>
      </c>
      <c r="GF90" s="4" t="s">
        <v>282</v>
      </c>
      <c r="GG90" s="4" t="s">
        <v>282</v>
      </c>
      <c r="GH90" s="4" t="s">
        <v>282</v>
      </c>
      <c r="GI90" s="4" t="s">
        <v>282</v>
      </c>
      <c r="GJ90" s="4" t="s">
        <v>282</v>
      </c>
      <c r="GK90" s="4" t="s">
        <v>282</v>
      </c>
      <c r="GL90" s="4" t="s">
        <v>282</v>
      </c>
      <c r="GM90" s="4" t="s">
        <v>282</v>
      </c>
      <c r="GN90" s="4" t="s">
        <v>282</v>
      </c>
      <c r="GO90" s="4" t="s">
        <v>282</v>
      </c>
      <c r="GP90" s="4" t="s">
        <v>282</v>
      </c>
      <c r="GQ90" s="4" t="s">
        <v>282</v>
      </c>
      <c r="GR90" s="4" t="s">
        <v>282</v>
      </c>
      <c r="GS90" s="4" t="s">
        <v>282</v>
      </c>
      <c r="GT90" s="4" t="s">
        <v>282</v>
      </c>
      <c r="GU90" s="4" t="s">
        <v>282</v>
      </c>
      <c r="GV90" s="4" t="s">
        <v>282</v>
      </c>
      <c r="GW90" s="4" t="s">
        <v>282</v>
      </c>
      <c r="GX90" s="4" t="s">
        <v>282</v>
      </c>
      <c r="GY90" s="4" t="s">
        <v>282</v>
      </c>
      <c r="GZ90" s="4" t="s">
        <v>282</v>
      </c>
      <c r="HA90" s="4" t="s">
        <v>282</v>
      </c>
      <c r="HB90" s="4" t="s">
        <v>282</v>
      </c>
      <c r="HC90" s="4" t="s">
        <v>282</v>
      </c>
      <c r="HD90" s="4" t="s">
        <v>282</v>
      </c>
      <c r="HE90" s="4" t="s">
        <v>282</v>
      </c>
      <c r="HF90" s="4" t="s">
        <v>282</v>
      </c>
      <c r="HG90" s="4" t="s">
        <v>282</v>
      </c>
      <c r="HH90" s="4" t="s">
        <v>282</v>
      </c>
      <c r="HI90" s="4" t="s">
        <v>282</v>
      </c>
      <c r="HJ90" s="4" t="s">
        <v>282</v>
      </c>
      <c r="HK90" s="4" t="s">
        <v>282</v>
      </c>
      <c r="HL90" s="4" t="s">
        <v>282</v>
      </c>
      <c r="HM90" s="4" t="s">
        <v>282</v>
      </c>
      <c r="HN90" s="4" t="s">
        <v>282</v>
      </c>
      <c r="HO90" s="4" t="s">
        <v>282</v>
      </c>
      <c r="HP90" s="4" t="s">
        <v>282</v>
      </c>
      <c r="HQ90" s="4" t="s">
        <v>282</v>
      </c>
      <c r="HR90" s="4" t="s">
        <v>282</v>
      </c>
      <c r="HS90" s="4" t="s">
        <v>282</v>
      </c>
      <c r="HT90" s="4" t="s">
        <v>282</v>
      </c>
      <c r="HU90" s="4" t="s">
        <v>282</v>
      </c>
      <c r="HV90" s="4" t="s">
        <v>282</v>
      </c>
      <c r="HW90" s="4" t="s">
        <v>282</v>
      </c>
      <c r="HX90" s="4" t="s">
        <v>282</v>
      </c>
      <c r="HY90" s="4" t="s">
        <v>282</v>
      </c>
      <c r="HZ90" s="4" t="s">
        <v>282</v>
      </c>
      <c r="IA90" s="4" t="s">
        <v>282</v>
      </c>
      <c r="IB90" s="4" t="s">
        <v>282</v>
      </c>
      <c r="IC90" s="4" t="s">
        <v>282</v>
      </c>
    </row>
    <row r="91" spans="1:237" x14ac:dyDescent="0.2">
      <c r="A91" s="3">
        <v>45751.993703703702</v>
      </c>
      <c r="B91" s="3">
        <v>45752.019432870373</v>
      </c>
      <c r="C91" s="1">
        <v>0</v>
      </c>
      <c r="D91" s="4" t="s">
        <v>1234</v>
      </c>
      <c r="E91" s="1">
        <v>100</v>
      </c>
      <c r="F91" s="1">
        <v>2223</v>
      </c>
      <c r="G91" s="1">
        <v>1</v>
      </c>
      <c r="H91" s="3">
        <v>45752.019451180553</v>
      </c>
      <c r="I91" s="4" t="s">
        <v>1235</v>
      </c>
      <c r="J91" s="4" t="s">
        <v>282</v>
      </c>
      <c r="K91" s="4" t="s">
        <v>282</v>
      </c>
      <c r="L91" s="4" t="s">
        <v>282</v>
      </c>
      <c r="M91" s="4" t="s">
        <v>282</v>
      </c>
      <c r="N91" s="1">
        <v>51.040599999999998</v>
      </c>
      <c r="O91" s="1">
        <v>-114.07640000000001</v>
      </c>
      <c r="P91" s="4" t="s">
        <v>283</v>
      </c>
      <c r="Q91" s="4" t="s">
        <v>284</v>
      </c>
      <c r="R91" s="1">
        <v>0</v>
      </c>
      <c r="S91" s="1">
        <v>1</v>
      </c>
      <c r="T91" s="1">
        <v>1</v>
      </c>
      <c r="U91" s="1">
        <v>1</v>
      </c>
      <c r="V91" s="1">
        <v>1</v>
      </c>
      <c r="W91" s="1">
        <v>4</v>
      </c>
      <c r="X91" s="4" t="s">
        <v>312</v>
      </c>
      <c r="Y91" s="1">
        <v>5</v>
      </c>
      <c r="Z91" s="1">
        <v>5</v>
      </c>
      <c r="AA91" s="1">
        <v>3</v>
      </c>
      <c r="AB91" s="1">
        <v>3</v>
      </c>
      <c r="AC91" s="1">
        <v>1</v>
      </c>
      <c r="AD91" s="1">
        <v>6</v>
      </c>
      <c r="AE91" s="1">
        <v>7.0730000000000004</v>
      </c>
      <c r="AF91" s="1">
        <v>9.0069999999999997</v>
      </c>
      <c r="AG91" s="1">
        <v>10.307</v>
      </c>
      <c r="AH91" s="1">
        <v>2</v>
      </c>
      <c r="AI91" s="1">
        <v>2</v>
      </c>
      <c r="AJ91" s="1">
        <v>6</v>
      </c>
      <c r="AK91" s="1">
        <v>4.9409999999999998</v>
      </c>
      <c r="AL91" s="1">
        <v>6.7809999999999997</v>
      </c>
      <c r="AM91" s="1">
        <v>9.2550000000000008</v>
      </c>
      <c r="AN91" s="1">
        <v>2</v>
      </c>
      <c r="AO91" s="1">
        <v>4</v>
      </c>
      <c r="AP91" s="1">
        <v>6</v>
      </c>
      <c r="AQ91" s="1">
        <v>93.593999999999994</v>
      </c>
      <c r="AR91" s="1">
        <v>95.866</v>
      </c>
      <c r="AS91" s="1">
        <v>97.075999999999993</v>
      </c>
      <c r="AT91" s="1">
        <v>2</v>
      </c>
      <c r="AU91" s="1">
        <v>5</v>
      </c>
      <c r="AV91" s="1">
        <v>6</v>
      </c>
      <c r="AW91" s="1">
        <v>12.596</v>
      </c>
      <c r="AX91" s="1">
        <v>15.5</v>
      </c>
      <c r="AY91" s="1">
        <v>16.879000000000001</v>
      </c>
      <c r="AZ91" s="1">
        <v>3</v>
      </c>
      <c r="BA91" s="1">
        <v>5</v>
      </c>
      <c r="BB91" s="1">
        <v>6</v>
      </c>
      <c r="BC91" s="1">
        <v>5.7190000000000003</v>
      </c>
      <c r="BD91" s="1">
        <v>6.976</v>
      </c>
      <c r="BE91" s="1">
        <v>9.1129999999999995</v>
      </c>
      <c r="BF91" s="1">
        <v>2</v>
      </c>
      <c r="BG91" s="1">
        <v>4</v>
      </c>
      <c r="BH91" s="1">
        <v>6</v>
      </c>
      <c r="BI91" s="1">
        <v>10.163</v>
      </c>
      <c r="BJ91" s="1">
        <v>12.337999999999999</v>
      </c>
      <c r="BK91" s="1">
        <v>13.397</v>
      </c>
      <c r="BL91" s="1">
        <v>2</v>
      </c>
      <c r="BM91" s="1">
        <v>2</v>
      </c>
      <c r="BN91" s="1">
        <v>6</v>
      </c>
      <c r="BO91" s="1">
        <v>7.7830000000000004</v>
      </c>
      <c r="BP91" s="1">
        <v>13.766999999999999</v>
      </c>
      <c r="BQ91" s="1">
        <v>15.217000000000001</v>
      </c>
      <c r="BR91" s="1">
        <v>2</v>
      </c>
      <c r="BS91" s="1">
        <v>4</v>
      </c>
      <c r="BT91" s="1">
        <v>6</v>
      </c>
      <c r="BU91" s="1">
        <v>12.670999999999999</v>
      </c>
      <c r="BV91" s="1">
        <v>17.039000000000001</v>
      </c>
      <c r="BW91" s="1">
        <v>18.113</v>
      </c>
      <c r="BX91" s="1">
        <v>3</v>
      </c>
      <c r="BY91" s="1">
        <v>3</v>
      </c>
      <c r="BZ91" s="1">
        <v>6</v>
      </c>
      <c r="CA91" s="1">
        <v>13.086</v>
      </c>
      <c r="CB91" s="1">
        <v>18.765999999999998</v>
      </c>
      <c r="CC91" s="1">
        <v>19.632000000000001</v>
      </c>
      <c r="CD91" s="1">
        <v>2</v>
      </c>
      <c r="CE91" s="1">
        <v>5</v>
      </c>
      <c r="CF91" s="1">
        <v>6</v>
      </c>
      <c r="CG91" s="1">
        <v>6.3239999999999998</v>
      </c>
      <c r="CH91" s="1">
        <v>7.516</v>
      </c>
      <c r="CI91" s="1">
        <v>8.7919999999999998</v>
      </c>
      <c r="CJ91" s="1">
        <v>2</v>
      </c>
      <c r="CK91" s="1">
        <v>3</v>
      </c>
      <c r="CL91" s="1">
        <v>5</v>
      </c>
      <c r="CM91" s="1">
        <v>25.385999999999999</v>
      </c>
      <c r="CN91" s="1">
        <v>29.754999999999999</v>
      </c>
      <c r="CO91" s="1">
        <v>30.125</v>
      </c>
      <c r="CP91" s="1">
        <v>4</v>
      </c>
      <c r="CQ91" s="1">
        <v>2</v>
      </c>
      <c r="CR91" s="1">
        <v>5</v>
      </c>
      <c r="CS91" s="1">
        <v>12.052</v>
      </c>
      <c r="CT91" s="1">
        <v>15.084</v>
      </c>
      <c r="CU91" s="1">
        <v>15.981999999999999</v>
      </c>
      <c r="CV91" s="1">
        <v>2</v>
      </c>
      <c r="CW91" s="1">
        <v>2</v>
      </c>
      <c r="CX91" s="1">
        <v>6</v>
      </c>
      <c r="CY91" s="1">
        <v>7.9340000000000002</v>
      </c>
      <c r="CZ91" s="1">
        <v>10.797000000000001</v>
      </c>
      <c r="DA91" s="1">
        <v>12.334</v>
      </c>
      <c r="DB91" s="1">
        <v>2</v>
      </c>
      <c r="DC91" s="1">
        <v>3</v>
      </c>
      <c r="DD91" s="1">
        <v>6</v>
      </c>
      <c r="DE91" s="1">
        <v>12.27</v>
      </c>
      <c r="DF91" s="1">
        <v>13.917</v>
      </c>
      <c r="DG91" s="1">
        <v>15.935</v>
      </c>
      <c r="DH91" s="1">
        <v>2</v>
      </c>
      <c r="DI91" s="1">
        <v>1</v>
      </c>
      <c r="DJ91" s="1">
        <v>6</v>
      </c>
      <c r="DK91" s="1">
        <v>14.99</v>
      </c>
      <c r="DL91" s="1">
        <v>17.917999999999999</v>
      </c>
      <c r="DM91" s="1">
        <v>19.024000000000001</v>
      </c>
      <c r="DN91" s="1">
        <v>3</v>
      </c>
      <c r="DO91" s="1">
        <v>4</v>
      </c>
      <c r="DP91" s="1">
        <v>6</v>
      </c>
      <c r="DQ91" s="1">
        <v>36.917999999999999</v>
      </c>
      <c r="DR91" s="1">
        <v>39.061999999999998</v>
      </c>
      <c r="DS91" s="1">
        <v>39.880000000000003</v>
      </c>
      <c r="DT91" s="1">
        <v>2</v>
      </c>
      <c r="DU91" s="1">
        <v>4</v>
      </c>
      <c r="DV91" s="1">
        <v>6</v>
      </c>
      <c r="DW91" s="1">
        <v>11.317</v>
      </c>
      <c r="DX91" s="1">
        <v>14.548999999999999</v>
      </c>
      <c r="DY91" s="1">
        <v>16.111000000000001</v>
      </c>
      <c r="DZ91" s="1">
        <v>2</v>
      </c>
      <c r="EA91" s="1">
        <v>1</v>
      </c>
      <c r="EB91" s="1">
        <v>6</v>
      </c>
      <c r="EC91" s="1">
        <v>9.7539999999999996</v>
      </c>
      <c r="ED91" s="1">
        <v>12.002000000000001</v>
      </c>
      <c r="EE91" s="1">
        <v>12.948</v>
      </c>
      <c r="EF91" s="1">
        <v>2</v>
      </c>
      <c r="EG91" s="1">
        <v>3</v>
      </c>
      <c r="EH91" s="1">
        <v>5</v>
      </c>
      <c r="EI91" s="1">
        <v>14.191000000000001</v>
      </c>
      <c r="EJ91" s="1">
        <v>18.966999999999999</v>
      </c>
      <c r="EK91" s="1">
        <v>20.152999999999999</v>
      </c>
      <c r="EL91" s="1">
        <v>2</v>
      </c>
      <c r="EM91" s="1">
        <v>1</v>
      </c>
      <c r="EN91" s="1">
        <v>5</v>
      </c>
      <c r="EO91" s="1">
        <v>52.231000000000002</v>
      </c>
      <c r="EP91" s="1">
        <v>63.95</v>
      </c>
      <c r="EQ91" s="1">
        <v>64.784999999999997</v>
      </c>
      <c r="ER91" s="1">
        <v>4</v>
      </c>
      <c r="ES91" s="1">
        <v>1</v>
      </c>
      <c r="ET91" s="1">
        <v>5</v>
      </c>
      <c r="EU91" s="1">
        <v>12.961</v>
      </c>
      <c r="EV91" s="1">
        <v>20.001000000000001</v>
      </c>
      <c r="EW91" s="1">
        <v>20.347000000000001</v>
      </c>
      <c r="EX91" s="1">
        <v>4</v>
      </c>
      <c r="EY91" s="1">
        <v>2</v>
      </c>
      <c r="EZ91" s="1">
        <v>5</v>
      </c>
      <c r="FA91" s="1">
        <v>28.997</v>
      </c>
      <c r="FB91" s="1">
        <v>31.437000000000001</v>
      </c>
      <c r="FC91" s="1">
        <v>32.430999999999997</v>
      </c>
      <c r="FD91" s="1">
        <v>2</v>
      </c>
      <c r="FE91" s="1">
        <v>2</v>
      </c>
      <c r="FF91" s="1">
        <v>5</v>
      </c>
      <c r="FG91" s="1">
        <v>35.201999999999998</v>
      </c>
      <c r="FH91" s="1">
        <v>37.545000000000002</v>
      </c>
      <c r="FI91" s="1">
        <v>38.298999999999999</v>
      </c>
      <c r="FJ91" s="1">
        <v>2</v>
      </c>
      <c r="FK91" s="1">
        <v>1</v>
      </c>
      <c r="FL91" s="1">
        <v>6</v>
      </c>
      <c r="FM91" s="1">
        <v>6.4189999999999996</v>
      </c>
      <c r="FN91" s="1">
        <v>7.931</v>
      </c>
      <c r="FO91" s="1">
        <v>10.661</v>
      </c>
      <c r="FP91" s="1">
        <v>2</v>
      </c>
      <c r="FQ91" s="1">
        <v>2</v>
      </c>
      <c r="FR91" s="1">
        <v>6</v>
      </c>
      <c r="FS91" s="1">
        <v>5.0990000000000002</v>
      </c>
      <c r="FT91" s="1">
        <v>7.2430000000000003</v>
      </c>
      <c r="FU91" s="1">
        <v>8.8369999999999997</v>
      </c>
      <c r="FV91" s="1">
        <v>2</v>
      </c>
      <c r="FW91" s="4" t="s">
        <v>282</v>
      </c>
      <c r="FX91" s="1">
        <v>5</v>
      </c>
      <c r="FY91" s="1">
        <v>10.781000000000001</v>
      </c>
      <c r="FZ91" s="1">
        <v>14.573</v>
      </c>
      <c r="GA91" s="1">
        <v>16.2</v>
      </c>
      <c r="GB91" s="1">
        <v>2</v>
      </c>
      <c r="GC91" s="1">
        <v>1</v>
      </c>
      <c r="GD91" s="1">
        <v>6</v>
      </c>
      <c r="GE91" s="1">
        <v>5.83</v>
      </c>
      <c r="GF91" s="1">
        <v>7.5259999999999998</v>
      </c>
      <c r="GG91" s="1">
        <v>8.641</v>
      </c>
      <c r="GH91" s="1">
        <v>2</v>
      </c>
      <c r="GI91" s="1">
        <v>2</v>
      </c>
      <c r="GJ91" s="1">
        <v>6</v>
      </c>
      <c r="GK91" s="1">
        <v>5.3380000000000001</v>
      </c>
      <c r="GL91" s="1">
        <v>6.9139999999999997</v>
      </c>
      <c r="GM91" s="1">
        <v>8.6760000000000002</v>
      </c>
      <c r="GN91" s="1">
        <v>2</v>
      </c>
      <c r="GO91" s="1">
        <v>5</v>
      </c>
      <c r="GP91" s="1">
        <v>6</v>
      </c>
      <c r="GQ91" s="1">
        <v>10.334</v>
      </c>
      <c r="GR91" s="1">
        <v>11.901</v>
      </c>
      <c r="GS91" s="1">
        <v>12.887</v>
      </c>
      <c r="GT91" s="1">
        <v>2</v>
      </c>
      <c r="GU91" s="4" t="s">
        <v>282</v>
      </c>
      <c r="GV91" s="1">
        <v>6</v>
      </c>
      <c r="GW91" s="1">
        <v>4.0830000000000002</v>
      </c>
      <c r="GX91" s="1">
        <v>10.067</v>
      </c>
      <c r="GY91" s="1">
        <v>12.180999999999999</v>
      </c>
      <c r="GZ91" s="1">
        <v>3</v>
      </c>
      <c r="HA91" s="1">
        <v>2</v>
      </c>
      <c r="HB91" s="1">
        <v>6</v>
      </c>
      <c r="HC91" s="1">
        <v>10.050000000000001</v>
      </c>
      <c r="HD91" s="1">
        <v>11.792999999999999</v>
      </c>
      <c r="HE91" s="1">
        <v>12.787000000000001</v>
      </c>
      <c r="HF91" s="1">
        <v>2</v>
      </c>
      <c r="HG91" s="1">
        <v>5</v>
      </c>
      <c r="HH91" s="1">
        <v>5</v>
      </c>
      <c r="HI91" s="1">
        <v>10.411</v>
      </c>
      <c r="HJ91" s="1">
        <v>18.419</v>
      </c>
      <c r="HK91" s="1">
        <v>19.597000000000001</v>
      </c>
      <c r="HL91" s="1">
        <v>2</v>
      </c>
      <c r="HM91" s="4" t="s">
        <v>1236</v>
      </c>
      <c r="HN91" s="4" t="s">
        <v>1237</v>
      </c>
      <c r="HO91" s="4" t="s">
        <v>1238</v>
      </c>
      <c r="HP91" s="4" t="s">
        <v>1239</v>
      </c>
      <c r="HQ91" s="4" t="s">
        <v>1240</v>
      </c>
      <c r="HR91" s="4" t="s">
        <v>1241</v>
      </c>
      <c r="HS91" s="4" t="s">
        <v>1242</v>
      </c>
      <c r="HT91" s="4" t="s">
        <v>1243</v>
      </c>
      <c r="HU91" s="4" t="s">
        <v>1244</v>
      </c>
      <c r="HV91" s="4" t="s">
        <v>1245</v>
      </c>
      <c r="HW91" s="4" t="s">
        <v>1246</v>
      </c>
      <c r="HX91" s="4" t="s">
        <v>1247</v>
      </c>
      <c r="HY91" s="4" t="s">
        <v>312</v>
      </c>
      <c r="HZ91" s="4" t="s">
        <v>372</v>
      </c>
      <c r="IA91" s="4" t="s">
        <v>325</v>
      </c>
      <c r="IB91" s="4" t="s">
        <v>282</v>
      </c>
      <c r="IC91" s="4" t="s">
        <v>282</v>
      </c>
    </row>
    <row r="92" spans="1:237" x14ac:dyDescent="0.2">
      <c r="A92" s="3">
        <v>45752.093321759261</v>
      </c>
      <c r="B92" s="3">
        <v>45752.107291666667</v>
      </c>
      <c r="C92" s="1">
        <v>0</v>
      </c>
      <c r="D92" s="4" t="s">
        <v>1248</v>
      </c>
      <c r="E92" s="1">
        <v>100</v>
      </c>
      <c r="F92" s="1">
        <v>1206</v>
      </c>
      <c r="G92" s="1">
        <v>1</v>
      </c>
      <c r="H92" s="3">
        <v>45752.107300821757</v>
      </c>
      <c r="I92" s="4" t="s">
        <v>1249</v>
      </c>
      <c r="J92" s="4" t="s">
        <v>282</v>
      </c>
      <c r="K92" s="4" t="s">
        <v>282</v>
      </c>
      <c r="L92" s="4" t="s">
        <v>282</v>
      </c>
      <c r="M92" s="4" t="s">
        <v>282</v>
      </c>
      <c r="N92" s="1">
        <v>33.197600000000001</v>
      </c>
      <c r="O92" s="1">
        <v>-96.617800000000003</v>
      </c>
      <c r="P92" s="4" t="s">
        <v>283</v>
      </c>
      <c r="Q92" s="4" t="s">
        <v>284</v>
      </c>
      <c r="R92" s="1">
        <v>1</v>
      </c>
      <c r="S92" s="1">
        <v>1</v>
      </c>
      <c r="T92" s="1">
        <v>1</v>
      </c>
      <c r="U92" s="1">
        <v>1</v>
      </c>
      <c r="V92" s="1">
        <v>1</v>
      </c>
      <c r="W92" s="1">
        <v>12</v>
      </c>
      <c r="X92" s="4" t="s">
        <v>1222</v>
      </c>
      <c r="Y92" s="1">
        <v>5</v>
      </c>
      <c r="Z92" s="1">
        <v>1</v>
      </c>
      <c r="AA92" s="1">
        <v>3</v>
      </c>
      <c r="AB92" s="1">
        <v>2</v>
      </c>
      <c r="AC92" s="1">
        <v>1</v>
      </c>
      <c r="AD92" s="1">
        <v>5</v>
      </c>
      <c r="AE92" s="1">
        <v>9.2140000000000004</v>
      </c>
      <c r="AF92" s="1">
        <v>11.614000000000001</v>
      </c>
      <c r="AG92" s="1">
        <v>13.101000000000001</v>
      </c>
      <c r="AH92" s="1">
        <v>2</v>
      </c>
      <c r="AI92" s="1">
        <v>2</v>
      </c>
      <c r="AJ92" s="1">
        <v>6</v>
      </c>
      <c r="AK92" s="1">
        <v>7.5919999999999996</v>
      </c>
      <c r="AL92" s="1">
        <v>11.016</v>
      </c>
      <c r="AM92" s="1">
        <v>12.342000000000001</v>
      </c>
      <c r="AN92" s="1">
        <v>2</v>
      </c>
      <c r="AO92" s="1">
        <v>2</v>
      </c>
      <c r="AP92" s="1">
        <v>6</v>
      </c>
      <c r="AQ92" s="1">
        <v>12.768000000000001</v>
      </c>
      <c r="AR92" s="1">
        <v>13.999000000000001</v>
      </c>
      <c r="AS92" s="1">
        <v>15.11</v>
      </c>
      <c r="AT92" s="1">
        <v>2</v>
      </c>
      <c r="AU92" s="1">
        <v>5</v>
      </c>
      <c r="AV92" s="1">
        <v>7</v>
      </c>
      <c r="AW92" s="1">
        <v>7.2089999999999996</v>
      </c>
      <c r="AX92" s="1">
        <v>9.7769999999999992</v>
      </c>
      <c r="AY92" s="1">
        <v>11.651</v>
      </c>
      <c r="AZ92" s="1">
        <v>2</v>
      </c>
      <c r="BA92" s="1">
        <v>5</v>
      </c>
      <c r="BB92" s="1">
        <v>7</v>
      </c>
      <c r="BC92" s="1">
        <v>6.4569999999999999</v>
      </c>
      <c r="BD92" s="1">
        <v>10.073</v>
      </c>
      <c r="BE92" s="1">
        <v>10.868</v>
      </c>
      <c r="BF92" s="1">
        <v>2</v>
      </c>
      <c r="BG92" s="1">
        <v>1</v>
      </c>
      <c r="BH92" s="1">
        <v>6</v>
      </c>
      <c r="BI92" s="1">
        <v>12.33</v>
      </c>
      <c r="BJ92" s="1">
        <v>15.929</v>
      </c>
      <c r="BK92" s="1">
        <v>16.902000000000001</v>
      </c>
      <c r="BL92" s="1">
        <v>2</v>
      </c>
      <c r="BM92" s="1">
        <v>2</v>
      </c>
      <c r="BN92" s="1">
        <v>6</v>
      </c>
      <c r="BO92" s="1">
        <v>11.683</v>
      </c>
      <c r="BP92" s="1">
        <v>13.339</v>
      </c>
      <c r="BQ92" s="1">
        <v>13.930999999999999</v>
      </c>
      <c r="BR92" s="1">
        <v>2</v>
      </c>
      <c r="BS92" s="1">
        <v>4</v>
      </c>
      <c r="BT92" s="1">
        <v>3</v>
      </c>
      <c r="BU92" s="1">
        <v>22.367000000000001</v>
      </c>
      <c r="BV92" s="1">
        <v>24.198</v>
      </c>
      <c r="BW92" s="1">
        <v>25.574000000000002</v>
      </c>
      <c r="BX92" s="1">
        <v>2</v>
      </c>
      <c r="BY92" s="1">
        <v>5</v>
      </c>
      <c r="BZ92" s="1">
        <v>6</v>
      </c>
      <c r="CA92" s="1">
        <v>7.3949999999999996</v>
      </c>
      <c r="CB92" s="1">
        <v>10.201000000000001</v>
      </c>
      <c r="CC92" s="1">
        <v>11.513999999999999</v>
      </c>
      <c r="CD92" s="1">
        <v>2</v>
      </c>
      <c r="CE92" s="1">
        <v>3</v>
      </c>
      <c r="CF92" s="1">
        <v>6</v>
      </c>
      <c r="CG92" s="1">
        <v>9.07</v>
      </c>
      <c r="CH92" s="1">
        <v>11.406000000000001</v>
      </c>
      <c r="CI92" s="1">
        <v>12.000999999999999</v>
      </c>
      <c r="CJ92" s="1">
        <v>2</v>
      </c>
      <c r="CK92" s="1">
        <v>1</v>
      </c>
      <c r="CL92" s="1">
        <v>6</v>
      </c>
      <c r="CM92" s="1">
        <v>11.760999999999999</v>
      </c>
      <c r="CN92" s="1">
        <v>13.505000000000001</v>
      </c>
      <c r="CO92" s="1">
        <v>14.56</v>
      </c>
      <c r="CP92" s="1">
        <v>2</v>
      </c>
      <c r="CQ92" s="1">
        <v>2</v>
      </c>
      <c r="CR92" s="1">
        <v>6</v>
      </c>
      <c r="CS92" s="1">
        <v>12.46</v>
      </c>
      <c r="CT92" s="1">
        <v>15.032</v>
      </c>
      <c r="CU92" s="1">
        <v>16.231000000000002</v>
      </c>
      <c r="CV92" s="1">
        <v>2</v>
      </c>
      <c r="CW92" s="1">
        <v>4</v>
      </c>
      <c r="CX92" s="1">
        <v>5</v>
      </c>
      <c r="CY92" s="1">
        <v>10.714</v>
      </c>
      <c r="CZ92" s="1">
        <v>15.034000000000001</v>
      </c>
      <c r="DA92" s="1">
        <v>16.305</v>
      </c>
      <c r="DB92" s="1">
        <v>2</v>
      </c>
      <c r="DC92" s="1">
        <v>5</v>
      </c>
      <c r="DD92" s="1">
        <v>6</v>
      </c>
      <c r="DE92" s="1">
        <v>6.2960000000000003</v>
      </c>
      <c r="DF92" s="1">
        <v>7.72</v>
      </c>
      <c r="DG92" s="1">
        <v>9.5920000000000005</v>
      </c>
      <c r="DH92" s="1">
        <v>2</v>
      </c>
      <c r="DI92" s="1">
        <v>3</v>
      </c>
      <c r="DJ92" s="1">
        <v>6</v>
      </c>
      <c r="DK92" s="1">
        <v>8.2270000000000003</v>
      </c>
      <c r="DL92" s="1">
        <v>11.119</v>
      </c>
      <c r="DM92" s="1">
        <v>12.358000000000001</v>
      </c>
      <c r="DN92" s="1">
        <v>2</v>
      </c>
      <c r="DO92" s="1">
        <v>1</v>
      </c>
      <c r="DP92" s="1">
        <v>5</v>
      </c>
      <c r="DQ92" s="1">
        <v>18.141999999999999</v>
      </c>
      <c r="DR92" s="1">
        <v>20.085999999999999</v>
      </c>
      <c r="DS92" s="1">
        <v>21.428999999999998</v>
      </c>
      <c r="DT92" s="1">
        <v>2</v>
      </c>
      <c r="DU92" s="1">
        <v>2</v>
      </c>
      <c r="DV92" s="1">
        <v>6</v>
      </c>
      <c r="DW92" s="1">
        <v>13.702999999999999</v>
      </c>
      <c r="DX92" s="1">
        <v>16.091999999999999</v>
      </c>
      <c r="DY92" s="1">
        <v>17.379000000000001</v>
      </c>
      <c r="DZ92" s="1">
        <v>2</v>
      </c>
      <c r="EA92" s="1">
        <v>4</v>
      </c>
      <c r="EB92" s="1">
        <v>6</v>
      </c>
      <c r="EC92" s="1">
        <v>8.8330000000000002</v>
      </c>
      <c r="ED92" s="1">
        <v>10.529</v>
      </c>
      <c r="EE92" s="1">
        <v>11.987</v>
      </c>
      <c r="EF92" s="1">
        <v>2</v>
      </c>
      <c r="EG92" s="1">
        <v>5</v>
      </c>
      <c r="EH92" s="1">
        <v>7</v>
      </c>
      <c r="EI92" s="1">
        <v>7.8719999999999999</v>
      </c>
      <c r="EJ92" s="1">
        <v>10.24</v>
      </c>
      <c r="EK92" s="1">
        <v>12.183</v>
      </c>
      <c r="EL92" s="1">
        <v>2</v>
      </c>
      <c r="EM92" s="1">
        <v>3</v>
      </c>
      <c r="EN92" s="1">
        <v>6</v>
      </c>
      <c r="EO92" s="1">
        <v>8.4280000000000008</v>
      </c>
      <c r="EP92" s="1">
        <v>10.364000000000001</v>
      </c>
      <c r="EQ92" s="1">
        <v>11.87</v>
      </c>
      <c r="ER92" s="1">
        <v>2</v>
      </c>
      <c r="ES92" s="1">
        <v>1</v>
      </c>
      <c r="ET92" s="1">
        <v>5</v>
      </c>
      <c r="EU92" s="1">
        <v>18.777000000000001</v>
      </c>
      <c r="EV92" s="1">
        <v>22.873000000000001</v>
      </c>
      <c r="EW92" s="1">
        <v>24.501000000000001</v>
      </c>
      <c r="EX92" s="1">
        <v>2</v>
      </c>
      <c r="EY92" s="1">
        <v>2</v>
      </c>
      <c r="EZ92" s="1">
        <v>5</v>
      </c>
      <c r="FA92" s="1">
        <v>34.261000000000003</v>
      </c>
      <c r="FB92" s="1">
        <v>39.756999999999998</v>
      </c>
      <c r="FC92" s="1">
        <v>40.500999999999998</v>
      </c>
      <c r="FD92" s="1">
        <v>3</v>
      </c>
      <c r="FE92" s="1">
        <v>5</v>
      </c>
      <c r="FF92" s="1">
        <v>6</v>
      </c>
      <c r="FG92" s="1">
        <v>5.8360000000000003</v>
      </c>
      <c r="FH92" s="1">
        <v>7.4039999999999999</v>
      </c>
      <c r="FI92" s="1">
        <v>11.928000000000001</v>
      </c>
      <c r="FJ92" s="1">
        <v>2</v>
      </c>
      <c r="FK92" s="1">
        <v>1</v>
      </c>
      <c r="FL92" s="1">
        <v>6</v>
      </c>
      <c r="FM92" s="1">
        <v>12.478</v>
      </c>
      <c r="FN92" s="1">
        <v>14.654</v>
      </c>
      <c r="FO92" s="1">
        <v>15.661</v>
      </c>
      <c r="FP92" s="1">
        <v>2</v>
      </c>
      <c r="FQ92" s="1">
        <v>2</v>
      </c>
      <c r="FR92" s="1">
        <v>7</v>
      </c>
      <c r="FS92" s="1">
        <v>9.1880000000000006</v>
      </c>
      <c r="FT92" s="1">
        <v>13.22</v>
      </c>
      <c r="FU92" s="1">
        <v>13.843</v>
      </c>
      <c r="FV92" s="1">
        <v>3</v>
      </c>
      <c r="FW92" s="1">
        <v>5</v>
      </c>
      <c r="FX92" s="1">
        <v>7</v>
      </c>
      <c r="FY92" s="1">
        <v>6.7169999999999996</v>
      </c>
      <c r="FZ92" s="1">
        <v>8.093</v>
      </c>
      <c r="GA92" s="1">
        <v>9.3759999999999994</v>
      </c>
      <c r="GB92" s="1">
        <v>2</v>
      </c>
      <c r="GC92" s="1">
        <v>1</v>
      </c>
      <c r="GD92" s="1">
        <v>5</v>
      </c>
      <c r="GE92" s="1">
        <v>10.244999999999999</v>
      </c>
      <c r="GF92" s="1">
        <v>13.08</v>
      </c>
      <c r="GG92" s="1">
        <v>13.906000000000001</v>
      </c>
      <c r="GH92" s="1">
        <v>3</v>
      </c>
      <c r="GI92" s="1">
        <v>2</v>
      </c>
      <c r="GJ92" s="1">
        <v>7</v>
      </c>
      <c r="GK92" s="1">
        <v>9.3529999999999998</v>
      </c>
      <c r="GL92" s="1">
        <v>13.249000000000001</v>
      </c>
      <c r="GM92" s="1">
        <v>14.298</v>
      </c>
      <c r="GN92" s="1">
        <v>2</v>
      </c>
      <c r="GO92" s="1">
        <v>5</v>
      </c>
      <c r="GP92" s="1">
        <v>7</v>
      </c>
      <c r="GQ92" s="1">
        <v>7.3620000000000001</v>
      </c>
      <c r="GR92" s="1">
        <v>12.279</v>
      </c>
      <c r="GS92" s="1">
        <v>13.47</v>
      </c>
      <c r="GT92" s="1">
        <v>2</v>
      </c>
      <c r="GU92" s="1">
        <v>1</v>
      </c>
      <c r="GV92" s="1">
        <v>6</v>
      </c>
      <c r="GW92" s="1">
        <v>6.875</v>
      </c>
      <c r="GX92" s="1">
        <v>8.2829999999999995</v>
      </c>
      <c r="GY92" s="1">
        <v>9.6460000000000008</v>
      </c>
      <c r="GZ92" s="1">
        <v>2</v>
      </c>
      <c r="HA92" s="1">
        <v>2</v>
      </c>
      <c r="HB92" s="1">
        <v>7</v>
      </c>
      <c r="HC92" s="1">
        <v>6.7930000000000001</v>
      </c>
      <c r="HD92" s="1">
        <v>8.0340000000000007</v>
      </c>
      <c r="HE92" s="1">
        <v>9.3490000000000002</v>
      </c>
      <c r="HF92" s="1">
        <v>2</v>
      </c>
      <c r="HG92" s="1">
        <v>1</v>
      </c>
      <c r="HH92" s="1">
        <v>5</v>
      </c>
      <c r="HI92" s="1">
        <v>11.973000000000001</v>
      </c>
      <c r="HJ92" s="1">
        <v>13.965</v>
      </c>
      <c r="HK92" s="1">
        <v>15.109</v>
      </c>
      <c r="HL92" s="1">
        <v>2</v>
      </c>
      <c r="HM92" s="4" t="s">
        <v>1250</v>
      </c>
      <c r="HN92" s="4" t="s">
        <v>1251</v>
      </c>
      <c r="HO92" s="4" t="s">
        <v>1252</v>
      </c>
      <c r="HP92" s="4" t="s">
        <v>1253</v>
      </c>
      <c r="HQ92" s="4" t="s">
        <v>1254</v>
      </c>
      <c r="HR92" s="4" t="s">
        <v>1255</v>
      </c>
      <c r="HS92" s="4" t="s">
        <v>1256</v>
      </c>
      <c r="HT92" s="4" t="s">
        <v>1257</v>
      </c>
      <c r="HU92" s="4" t="s">
        <v>1258</v>
      </c>
      <c r="HV92" s="4" t="s">
        <v>1259</v>
      </c>
      <c r="HW92" s="4" t="s">
        <v>1260</v>
      </c>
      <c r="HX92" s="4" t="s">
        <v>282</v>
      </c>
      <c r="HY92" s="4" t="s">
        <v>312</v>
      </c>
      <c r="HZ92" s="4" t="s">
        <v>356</v>
      </c>
      <c r="IA92" s="4" t="s">
        <v>313</v>
      </c>
      <c r="IB92" s="4" t="s">
        <v>282</v>
      </c>
      <c r="IC92" s="4" t="s">
        <v>282</v>
      </c>
    </row>
    <row r="93" spans="1:237" x14ac:dyDescent="0.2">
      <c r="A93" s="3">
        <v>45745.127743055556</v>
      </c>
      <c r="B93" s="3">
        <v>45745.127951388888</v>
      </c>
      <c r="C93" s="1">
        <v>0</v>
      </c>
      <c r="D93" s="4" t="s">
        <v>1261</v>
      </c>
      <c r="E93" s="1">
        <v>0</v>
      </c>
      <c r="F93" s="1">
        <v>18</v>
      </c>
      <c r="G93" s="1">
        <v>0</v>
      </c>
      <c r="H93" s="3">
        <v>45752.128005474537</v>
      </c>
      <c r="I93" s="4" t="s">
        <v>1262</v>
      </c>
      <c r="J93" s="4" t="s">
        <v>282</v>
      </c>
      <c r="K93" s="4" t="s">
        <v>282</v>
      </c>
      <c r="L93" s="4" t="s">
        <v>282</v>
      </c>
      <c r="M93" s="4" t="s">
        <v>282</v>
      </c>
      <c r="N93" s="1">
        <v>49.247599999999998</v>
      </c>
      <c r="O93" s="1">
        <v>-123.1234</v>
      </c>
      <c r="P93" s="4" t="s">
        <v>283</v>
      </c>
      <c r="Q93" s="4" t="s">
        <v>284</v>
      </c>
      <c r="R93" s="1">
        <v>1</v>
      </c>
      <c r="S93" s="4" t="s">
        <v>282</v>
      </c>
      <c r="T93" s="4" t="s">
        <v>282</v>
      </c>
      <c r="U93" s="4" t="s">
        <v>282</v>
      </c>
      <c r="V93" s="4" t="s">
        <v>282</v>
      </c>
      <c r="W93" s="4" t="s">
        <v>282</v>
      </c>
      <c r="X93" s="4" t="s">
        <v>282</v>
      </c>
      <c r="Y93" s="4" t="s">
        <v>282</v>
      </c>
      <c r="Z93" s="4" t="s">
        <v>282</v>
      </c>
      <c r="AA93" s="4" t="s">
        <v>282</v>
      </c>
      <c r="AB93" s="4" t="s">
        <v>282</v>
      </c>
      <c r="AC93" s="4" t="s">
        <v>282</v>
      </c>
      <c r="AD93" s="4" t="s">
        <v>282</v>
      </c>
      <c r="AE93" s="4" t="s">
        <v>282</v>
      </c>
      <c r="AF93" s="4" t="s">
        <v>282</v>
      </c>
      <c r="AG93" s="4" t="s">
        <v>282</v>
      </c>
      <c r="AH93" s="4" t="s">
        <v>282</v>
      </c>
      <c r="AI93" s="4" t="s">
        <v>282</v>
      </c>
      <c r="AJ93" s="4" t="s">
        <v>282</v>
      </c>
      <c r="AK93" s="4" t="s">
        <v>282</v>
      </c>
      <c r="AL93" s="4" t="s">
        <v>282</v>
      </c>
      <c r="AM93" s="4" t="s">
        <v>282</v>
      </c>
      <c r="AN93" s="4" t="s">
        <v>282</v>
      </c>
      <c r="AO93" s="4" t="s">
        <v>282</v>
      </c>
      <c r="AP93" s="4" t="s">
        <v>282</v>
      </c>
      <c r="AQ93" s="4" t="s">
        <v>282</v>
      </c>
      <c r="AR93" s="4" t="s">
        <v>282</v>
      </c>
      <c r="AS93" s="4" t="s">
        <v>282</v>
      </c>
      <c r="AT93" s="4" t="s">
        <v>282</v>
      </c>
      <c r="AU93" s="4" t="s">
        <v>282</v>
      </c>
      <c r="AV93" s="4" t="s">
        <v>282</v>
      </c>
      <c r="AW93" s="4" t="s">
        <v>282</v>
      </c>
      <c r="AX93" s="4" t="s">
        <v>282</v>
      </c>
      <c r="AY93" s="4" t="s">
        <v>282</v>
      </c>
      <c r="AZ93" s="4" t="s">
        <v>282</v>
      </c>
      <c r="BA93" s="4" t="s">
        <v>282</v>
      </c>
      <c r="BB93" s="4" t="s">
        <v>282</v>
      </c>
      <c r="BC93" s="4" t="s">
        <v>282</v>
      </c>
      <c r="BD93" s="4" t="s">
        <v>282</v>
      </c>
      <c r="BE93" s="4" t="s">
        <v>282</v>
      </c>
      <c r="BF93" s="4" t="s">
        <v>282</v>
      </c>
      <c r="BG93" s="4" t="s">
        <v>282</v>
      </c>
      <c r="BH93" s="4" t="s">
        <v>282</v>
      </c>
      <c r="BI93" s="4" t="s">
        <v>282</v>
      </c>
      <c r="BJ93" s="4" t="s">
        <v>282</v>
      </c>
      <c r="BK93" s="4" t="s">
        <v>282</v>
      </c>
      <c r="BL93" s="4" t="s">
        <v>282</v>
      </c>
      <c r="BM93" s="4" t="s">
        <v>282</v>
      </c>
      <c r="BN93" s="4" t="s">
        <v>282</v>
      </c>
      <c r="BO93" s="4" t="s">
        <v>282</v>
      </c>
      <c r="BP93" s="4" t="s">
        <v>282</v>
      </c>
      <c r="BQ93" s="4" t="s">
        <v>282</v>
      </c>
      <c r="BR93" s="4" t="s">
        <v>282</v>
      </c>
      <c r="BS93" s="4" t="s">
        <v>282</v>
      </c>
      <c r="BT93" s="4" t="s">
        <v>282</v>
      </c>
      <c r="BU93" s="4" t="s">
        <v>282</v>
      </c>
      <c r="BV93" s="4" t="s">
        <v>282</v>
      </c>
      <c r="BW93" s="4" t="s">
        <v>282</v>
      </c>
      <c r="BX93" s="4" t="s">
        <v>282</v>
      </c>
      <c r="BY93" s="4" t="s">
        <v>282</v>
      </c>
      <c r="BZ93" s="4" t="s">
        <v>282</v>
      </c>
      <c r="CA93" s="4" t="s">
        <v>282</v>
      </c>
      <c r="CB93" s="4" t="s">
        <v>282</v>
      </c>
      <c r="CC93" s="4" t="s">
        <v>282</v>
      </c>
      <c r="CD93" s="4" t="s">
        <v>282</v>
      </c>
      <c r="CE93" s="4" t="s">
        <v>282</v>
      </c>
      <c r="CF93" s="4" t="s">
        <v>282</v>
      </c>
      <c r="CG93" s="4" t="s">
        <v>282</v>
      </c>
      <c r="CH93" s="4" t="s">
        <v>282</v>
      </c>
      <c r="CI93" s="4" t="s">
        <v>282</v>
      </c>
      <c r="CJ93" s="4" t="s">
        <v>282</v>
      </c>
      <c r="CK93" s="4" t="s">
        <v>282</v>
      </c>
      <c r="CL93" s="4" t="s">
        <v>282</v>
      </c>
      <c r="CM93" s="4" t="s">
        <v>282</v>
      </c>
      <c r="CN93" s="4" t="s">
        <v>282</v>
      </c>
      <c r="CO93" s="4" t="s">
        <v>282</v>
      </c>
      <c r="CP93" s="4" t="s">
        <v>282</v>
      </c>
      <c r="CQ93" s="4" t="s">
        <v>282</v>
      </c>
      <c r="CR93" s="4" t="s">
        <v>282</v>
      </c>
      <c r="CS93" s="4" t="s">
        <v>282</v>
      </c>
      <c r="CT93" s="4" t="s">
        <v>282</v>
      </c>
      <c r="CU93" s="4" t="s">
        <v>282</v>
      </c>
      <c r="CV93" s="4" t="s">
        <v>282</v>
      </c>
      <c r="CW93" s="4" t="s">
        <v>282</v>
      </c>
      <c r="CX93" s="4" t="s">
        <v>282</v>
      </c>
      <c r="CY93" s="4" t="s">
        <v>282</v>
      </c>
      <c r="CZ93" s="4" t="s">
        <v>282</v>
      </c>
      <c r="DA93" s="4" t="s">
        <v>282</v>
      </c>
      <c r="DB93" s="4" t="s">
        <v>282</v>
      </c>
      <c r="DC93" s="4" t="s">
        <v>282</v>
      </c>
      <c r="DD93" s="4" t="s">
        <v>282</v>
      </c>
      <c r="DE93" s="4" t="s">
        <v>282</v>
      </c>
      <c r="DF93" s="4" t="s">
        <v>282</v>
      </c>
      <c r="DG93" s="4" t="s">
        <v>282</v>
      </c>
      <c r="DH93" s="4" t="s">
        <v>282</v>
      </c>
      <c r="DI93" s="4" t="s">
        <v>282</v>
      </c>
      <c r="DJ93" s="4" t="s">
        <v>282</v>
      </c>
      <c r="DK93" s="4" t="s">
        <v>282</v>
      </c>
      <c r="DL93" s="4" t="s">
        <v>282</v>
      </c>
      <c r="DM93" s="4" t="s">
        <v>282</v>
      </c>
      <c r="DN93" s="4" t="s">
        <v>282</v>
      </c>
      <c r="DO93" s="4" t="s">
        <v>282</v>
      </c>
      <c r="DP93" s="4" t="s">
        <v>282</v>
      </c>
      <c r="DQ93" s="4" t="s">
        <v>282</v>
      </c>
      <c r="DR93" s="4" t="s">
        <v>282</v>
      </c>
      <c r="DS93" s="4" t="s">
        <v>282</v>
      </c>
      <c r="DT93" s="4" t="s">
        <v>282</v>
      </c>
      <c r="DU93" s="4" t="s">
        <v>282</v>
      </c>
      <c r="DV93" s="4" t="s">
        <v>282</v>
      </c>
      <c r="DW93" s="4" t="s">
        <v>282</v>
      </c>
      <c r="DX93" s="4" t="s">
        <v>282</v>
      </c>
      <c r="DY93" s="4" t="s">
        <v>282</v>
      </c>
      <c r="DZ93" s="4" t="s">
        <v>282</v>
      </c>
      <c r="EA93" s="4" t="s">
        <v>282</v>
      </c>
      <c r="EB93" s="4" t="s">
        <v>282</v>
      </c>
      <c r="EC93" s="4" t="s">
        <v>282</v>
      </c>
      <c r="ED93" s="4" t="s">
        <v>282</v>
      </c>
      <c r="EE93" s="4" t="s">
        <v>282</v>
      </c>
      <c r="EF93" s="4" t="s">
        <v>282</v>
      </c>
      <c r="EG93" s="4" t="s">
        <v>282</v>
      </c>
      <c r="EH93" s="4" t="s">
        <v>282</v>
      </c>
      <c r="EI93" s="4" t="s">
        <v>282</v>
      </c>
      <c r="EJ93" s="4" t="s">
        <v>282</v>
      </c>
      <c r="EK93" s="4" t="s">
        <v>282</v>
      </c>
      <c r="EL93" s="4" t="s">
        <v>282</v>
      </c>
      <c r="EM93" s="4" t="s">
        <v>282</v>
      </c>
      <c r="EN93" s="4" t="s">
        <v>282</v>
      </c>
      <c r="EO93" s="4" t="s">
        <v>282</v>
      </c>
      <c r="EP93" s="4" t="s">
        <v>282</v>
      </c>
      <c r="EQ93" s="4" t="s">
        <v>282</v>
      </c>
      <c r="ER93" s="4" t="s">
        <v>282</v>
      </c>
      <c r="ES93" s="4" t="s">
        <v>282</v>
      </c>
      <c r="ET93" s="4" t="s">
        <v>282</v>
      </c>
      <c r="EU93" s="4" t="s">
        <v>282</v>
      </c>
      <c r="EV93" s="4" t="s">
        <v>282</v>
      </c>
      <c r="EW93" s="4" t="s">
        <v>282</v>
      </c>
      <c r="EX93" s="4" t="s">
        <v>282</v>
      </c>
      <c r="EY93" s="4" t="s">
        <v>282</v>
      </c>
      <c r="EZ93" s="4" t="s">
        <v>282</v>
      </c>
      <c r="FA93" s="4" t="s">
        <v>282</v>
      </c>
      <c r="FB93" s="4" t="s">
        <v>282</v>
      </c>
      <c r="FC93" s="4" t="s">
        <v>282</v>
      </c>
      <c r="FD93" s="4" t="s">
        <v>282</v>
      </c>
      <c r="FE93" s="4" t="s">
        <v>282</v>
      </c>
      <c r="FF93" s="4" t="s">
        <v>282</v>
      </c>
      <c r="FG93" s="4" t="s">
        <v>282</v>
      </c>
      <c r="FH93" s="4" t="s">
        <v>282</v>
      </c>
      <c r="FI93" s="4" t="s">
        <v>282</v>
      </c>
      <c r="FJ93" s="4" t="s">
        <v>282</v>
      </c>
      <c r="FK93" s="4" t="s">
        <v>282</v>
      </c>
      <c r="FL93" s="4" t="s">
        <v>282</v>
      </c>
      <c r="FM93" s="4" t="s">
        <v>282</v>
      </c>
      <c r="FN93" s="4" t="s">
        <v>282</v>
      </c>
      <c r="FO93" s="4" t="s">
        <v>282</v>
      </c>
      <c r="FP93" s="4" t="s">
        <v>282</v>
      </c>
      <c r="FQ93" s="4" t="s">
        <v>282</v>
      </c>
      <c r="FR93" s="4" t="s">
        <v>282</v>
      </c>
      <c r="FS93" s="4" t="s">
        <v>282</v>
      </c>
      <c r="FT93" s="4" t="s">
        <v>282</v>
      </c>
      <c r="FU93" s="4" t="s">
        <v>282</v>
      </c>
      <c r="FV93" s="4" t="s">
        <v>282</v>
      </c>
      <c r="FW93" s="4" t="s">
        <v>282</v>
      </c>
      <c r="FX93" s="4" t="s">
        <v>282</v>
      </c>
      <c r="FY93" s="4" t="s">
        <v>282</v>
      </c>
      <c r="FZ93" s="4" t="s">
        <v>282</v>
      </c>
      <c r="GA93" s="4" t="s">
        <v>282</v>
      </c>
      <c r="GB93" s="4" t="s">
        <v>282</v>
      </c>
      <c r="GC93" s="4" t="s">
        <v>282</v>
      </c>
      <c r="GD93" s="4" t="s">
        <v>282</v>
      </c>
      <c r="GE93" s="4" t="s">
        <v>282</v>
      </c>
      <c r="GF93" s="4" t="s">
        <v>282</v>
      </c>
      <c r="GG93" s="4" t="s">
        <v>282</v>
      </c>
      <c r="GH93" s="4" t="s">
        <v>282</v>
      </c>
      <c r="GI93" s="4" t="s">
        <v>282</v>
      </c>
      <c r="GJ93" s="4" t="s">
        <v>282</v>
      </c>
      <c r="GK93" s="4" t="s">
        <v>282</v>
      </c>
      <c r="GL93" s="4" t="s">
        <v>282</v>
      </c>
      <c r="GM93" s="4" t="s">
        <v>282</v>
      </c>
      <c r="GN93" s="4" t="s">
        <v>282</v>
      </c>
      <c r="GO93" s="4" t="s">
        <v>282</v>
      </c>
      <c r="GP93" s="4" t="s">
        <v>282</v>
      </c>
      <c r="GQ93" s="4" t="s">
        <v>282</v>
      </c>
      <c r="GR93" s="4" t="s">
        <v>282</v>
      </c>
      <c r="GS93" s="4" t="s">
        <v>282</v>
      </c>
      <c r="GT93" s="4" t="s">
        <v>282</v>
      </c>
      <c r="GU93" s="4" t="s">
        <v>282</v>
      </c>
      <c r="GV93" s="4" t="s">
        <v>282</v>
      </c>
      <c r="GW93" s="4" t="s">
        <v>282</v>
      </c>
      <c r="GX93" s="4" t="s">
        <v>282</v>
      </c>
      <c r="GY93" s="4" t="s">
        <v>282</v>
      </c>
      <c r="GZ93" s="4" t="s">
        <v>282</v>
      </c>
      <c r="HA93" s="4" t="s">
        <v>282</v>
      </c>
      <c r="HB93" s="4" t="s">
        <v>282</v>
      </c>
      <c r="HC93" s="4" t="s">
        <v>282</v>
      </c>
      <c r="HD93" s="4" t="s">
        <v>282</v>
      </c>
      <c r="HE93" s="4" t="s">
        <v>282</v>
      </c>
      <c r="HF93" s="4" t="s">
        <v>282</v>
      </c>
      <c r="HG93" s="4" t="s">
        <v>282</v>
      </c>
      <c r="HH93" s="4" t="s">
        <v>282</v>
      </c>
      <c r="HI93" s="4" t="s">
        <v>282</v>
      </c>
      <c r="HJ93" s="4" t="s">
        <v>282</v>
      </c>
      <c r="HK93" s="4" t="s">
        <v>282</v>
      </c>
      <c r="HL93" s="4" t="s">
        <v>282</v>
      </c>
      <c r="HM93" s="4" t="s">
        <v>282</v>
      </c>
      <c r="HN93" s="4" t="s">
        <v>282</v>
      </c>
      <c r="HO93" s="4" t="s">
        <v>282</v>
      </c>
      <c r="HP93" s="4" t="s">
        <v>282</v>
      </c>
      <c r="HQ93" s="4" t="s">
        <v>282</v>
      </c>
      <c r="HR93" s="4" t="s">
        <v>282</v>
      </c>
      <c r="HS93" s="4" t="s">
        <v>282</v>
      </c>
      <c r="HT93" s="4" t="s">
        <v>282</v>
      </c>
      <c r="HU93" s="4" t="s">
        <v>282</v>
      </c>
      <c r="HV93" s="4" t="s">
        <v>282</v>
      </c>
      <c r="HW93" s="4" t="s">
        <v>282</v>
      </c>
      <c r="HX93" s="4" t="s">
        <v>282</v>
      </c>
      <c r="HY93" s="4" t="s">
        <v>282</v>
      </c>
      <c r="HZ93" s="4" t="s">
        <v>282</v>
      </c>
      <c r="IA93" s="4" t="s">
        <v>282</v>
      </c>
      <c r="IB93" s="4" t="s">
        <v>282</v>
      </c>
      <c r="IC93" s="4" t="s">
        <v>282</v>
      </c>
    </row>
    <row r="94" spans="1:237" x14ac:dyDescent="0.2">
      <c r="A94" s="3">
        <v>45745.382407407407</v>
      </c>
      <c r="B94" s="3">
        <v>45745.383032407408</v>
      </c>
      <c r="C94" s="1">
        <v>0</v>
      </c>
      <c r="D94" s="4" t="s">
        <v>1263</v>
      </c>
      <c r="E94" s="1">
        <v>2</v>
      </c>
      <c r="F94" s="1">
        <v>53</v>
      </c>
      <c r="G94" s="1">
        <v>0</v>
      </c>
      <c r="H94" s="3">
        <v>45752.383053287034</v>
      </c>
      <c r="I94" s="4" t="s">
        <v>1264</v>
      </c>
      <c r="J94" s="4" t="s">
        <v>282</v>
      </c>
      <c r="K94" s="4" t="s">
        <v>282</v>
      </c>
      <c r="L94" s="4" t="s">
        <v>282</v>
      </c>
      <c r="M94" s="4" t="s">
        <v>282</v>
      </c>
      <c r="N94" s="1">
        <v>49.034999999999997</v>
      </c>
      <c r="O94" s="1">
        <v>-122.82689999999999</v>
      </c>
      <c r="P94" s="4" t="s">
        <v>283</v>
      </c>
      <c r="Q94" s="4" t="s">
        <v>284</v>
      </c>
      <c r="R94" s="1">
        <v>1</v>
      </c>
      <c r="S94" s="1">
        <v>1</v>
      </c>
      <c r="T94" s="1">
        <v>1</v>
      </c>
      <c r="U94" s="1">
        <v>1</v>
      </c>
      <c r="V94" s="1">
        <v>1</v>
      </c>
      <c r="W94" s="4" t="s">
        <v>282</v>
      </c>
      <c r="X94" s="4" t="s">
        <v>282</v>
      </c>
      <c r="Y94" s="4" t="s">
        <v>282</v>
      </c>
      <c r="Z94" s="4" t="s">
        <v>282</v>
      </c>
      <c r="AA94" s="4" t="s">
        <v>282</v>
      </c>
      <c r="AB94" s="4" t="s">
        <v>282</v>
      </c>
      <c r="AC94" s="4" t="s">
        <v>282</v>
      </c>
      <c r="AD94" s="4" t="s">
        <v>282</v>
      </c>
      <c r="AE94" s="4" t="s">
        <v>282</v>
      </c>
      <c r="AF94" s="4" t="s">
        <v>282</v>
      </c>
      <c r="AG94" s="4" t="s">
        <v>282</v>
      </c>
      <c r="AH94" s="4" t="s">
        <v>282</v>
      </c>
      <c r="AI94" s="4" t="s">
        <v>282</v>
      </c>
      <c r="AJ94" s="4" t="s">
        <v>282</v>
      </c>
      <c r="AK94" s="4" t="s">
        <v>282</v>
      </c>
      <c r="AL94" s="4" t="s">
        <v>282</v>
      </c>
      <c r="AM94" s="4" t="s">
        <v>282</v>
      </c>
      <c r="AN94" s="4" t="s">
        <v>282</v>
      </c>
      <c r="AO94" s="4" t="s">
        <v>282</v>
      </c>
      <c r="AP94" s="4" t="s">
        <v>282</v>
      </c>
      <c r="AQ94" s="4" t="s">
        <v>282</v>
      </c>
      <c r="AR94" s="4" t="s">
        <v>282</v>
      </c>
      <c r="AS94" s="4" t="s">
        <v>282</v>
      </c>
      <c r="AT94" s="4" t="s">
        <v>282</v>
      </c>
      <c r="AU94" s="4" t="s">
        <v>282</v>
      </c>
      <c r="AV94" s="4" t="s">
        <v>282</v>
      </c>
      <c r="AW94" s="4" t="s">
        <v>282</v>
      </c>
      <c r="AX94" s="4" t="s">
        <v>282</v>
      </c>
      <c r="AY94" s="4" t="s">
        <v>282</v>
      </c>
      <c r="AZ94" s="4" t="s">
        <v>282</v>
      </c>
      <c r="BA94" s="4" t="s">
        <v>282</v>
      </c>
      <c r="BB94" s="4" t="s">
        <v>282</v>
      </c>
      <c r="BC94" s="4" t="s">
        <v>282</v>
      </c>
      <c r="BD94" s="4" t="s">
        <v>282</v>
      </c>
      <c r="BE94" s="4" t="s">
        <v>282</v>
      </c>
      <c r="BF94" s="4" t="s">
        <v>282</v>
      </c>
      <c r="BG94" s="4" t="s">
        <v>282</v>
      </c>
      <c r="BH94" s="4" t="s">
        <v>282</v>
      </c>
      <c r="BI94" s="4" t="s">
        <v>282</v>
      </c>
      <c r="BJ94" s="4" t="s">
        <v>282</v>
      </c>
      <c r="BK94" s="4" t="s">
        <v>282</v>
      </c>
      <c r="BL94" s="4" t="s">
        <v>282</v>
      </c>
      <c r="BM94" s="4" t="s">
        <v>282</v>
      </c>
      <c r="BN94" s="4" t="s">
        <v>282</v>
      </c>
      <c r="BO94" s="4" t="s">
        <v>282</v>
      </c>
      <c r="BP94" s="4" t="s">
        <v>282</v>
      </c>
      <c r="BQ94" s="4" t="s">
        <v>282</v>
      </c>
      <c r="BR94" s="4" t="s">
        <v>282</v>
      </c>
      <c r="BS94" s="4" t="s">
        <v>282</v>
      </c>
      <c r="BT94" s="4" t="s">
        <v>282</v>
      </c>
      <c r="BU94" s="4" t="s">
        <v>282</v>
      </c>
      <c r="BV94" s="4" t="s">
        <v>282</v>
      </c>
      <c r="BW94" s="4" t="s">
        <v>282</v>
      </c>
      <c r="BX94" s="4" t="s">
        <v>282</v>
      </c>
      <c r="BY94" s="4" t="s">
        <v>282</v>
      </c>
      <c r="BZ94" s="4" t="s">
        <v>282</v>
      </c>
      <c r="CA94" s="4" t="s">
        <v>282</v>
      </c>
      <c r="CB94" s="4" t="s">
        <v>282</v>
      </c>
      <c r="CC94" s="4" t="s">
        <v>282</v>
      </c>
      <c r="CD94" s="4" t="s">
        <v>282</v>
      </c>
      <c r="CE94" s="4" t="s">
        <v>282</v>
      </c>
      <c r="CF94" s="4" t="s">
        <v>282</v>
      </c>
      <c r="CG94" s="4" t="s">
        <v>282</v>
      </c>
      <c r="CH94" s="4" t="s">
        <v>282</v>
      </c>
      <c r="CI94" s="4" t="s">
        <v>282</v>
      </c>
      <c r="CJ94" s="4" t="s">
        <v>282</v>
      </c>
      <c r="CK94" s="4" t="s">
        <v>282</v>
      </c>
      <c r="CL94" s="4" t="s">
        <v>282</v>
      </c>
      <c r="CM94" s="4" t="s">
        <v>282</v>
      </c>
      <c r="CN94" s="4" t="s">
        <v>282</v>
      </c>
      <c r="CO94" s="4" t="s">
        <v>282</v>
      </c>
      <c r="CP94" s="4" t="s">
        <v>282</v>
      </c>
      <c r="CQ94" s="4" t="s">
        <v>282</v>
      </c>
      <c r="CR94" s="4" t="s">
        <v>282</v>
      </c>
      <c r="CS94" s="4" t="s">
        <v>282</v>
      </c>
      <c r="CT94" s="4" t="s">
        <v>282</v>
      </c>
      <c r="CU94" s="4" t="s">
        <v>282</v>
      </c>
      <c r="CV94" s="4" t="s">
        <v>282</v>
      </c>
      <c r="CW94" s="4" t="s">
        <v>282</v>
      </c>
      <c r="CX94" s="4" t="s">
        <v>282</v>
      </c>
      <c r="CY94" s="4" t="s">
        <v>282</v>
      </c>
      <c r="CZ94" s="4" t="s">
        <v>282</v>
      </c>
      <c r="DA94" s="4" t="s">
        <v>282</v>
      </c>
      <c r="DB94" s="4" t="s">
        <v>282</v>
      </c>
      <c r="DC94" s="4" t="s">
        <v>282</v>
      </c>
      <c r="DD94" s="4" t="s">
        <v>282</v>
      </c>
      <c r="DE94" s="4" t="s">
        <v>282</v>
      </c>
      <c r="DF94" s="4" t="s">
        <v>282</v>
      </c>
      <c r="DG94" s="4" t="s">
        <v>282</v>
      </c>
      <c r="DH94" s="4" t="s">
        <v>282</v>
      </c>
      <c r="DI94" s="4" t="s">
        <v>282</v>
      </c>
      <c r="DJ94" s="4" t="s">
        <v>282</v>
      </c>
      <c r="DK94" s="4" t="s">
        <v>282</v>
      </c>
      <c r="DL94" s="4" t="s">
        <v>282</v>
      </c>
      <c r="DM94" s="4" t="s">
        <v>282</v>
      </c>
      <c r="DN94" s="4" t="s">
        <v>282</v>
      </c>
      <c r="DO94" s="4" t="s">
        <v>282</v>
      </c>
      <c r="DP94" s="4" t="s">
        <v>282</v>
      </c>
      <c r="DQ94" s="4" t="s">
        <v>282</v>
      </c>
      <c r="DR94" s="4" t="s">
        <v>282</v>
      </c>
      <c r="DS94" s="4" t="s">
        <v>282</v>
      </c>
      <c r="DT94" s="4" t="s">
        <v>282</v>
      </c>
      <c r="DU94" s="4" t="s">
        <v>282</v>
      </c>
      <c r="DV94" s="4" t="s">
        <v>282</v>
      </c>
      <c r="DW94" s="4" t="s">
        <v>282</v>
      </c>
      <c r="DX94" s="4" t="s">
        <v>282</v>
      </c>
      <c r="DY94" s="4" t="s">
        <v>282</v>
      </c>
      <c r="DZ94" s="4" t="s">
        <v>282</v>
      </c>
      <c r="EA94" s="4" t="s">
        <v>282</v>
      </c>
      <c r="EB94" s="4" t="s">
        <v>282</v>
      </c>
      <c r="EC94" s="4" t="s">
        <v>282</v>
      </c>
      <c r="ED94" s="4" t="s">
        <v>282</v>
      </c>
      <c r="EE94" s="4" t="s">
        <v>282</v>
      </c>
      <c r="EF94" s="4" t="s">
        <v>282</v>
      </c>
      <c r="EG94" s="4" t="s">
        <v>282</v>
      </c>
      <c r="EH94" s="4" t="s">
        <v>282</v>
      </c>
      <c r="EI94" s="4" t="s">
        <v>282</v>
      </c>
      <c r="EJ94" s="4" t="s">
        <v>282</v>
      </c>
      <c r="EK94" s="4" t="s">
        <v>282</v>
      </c>
      <c r="EL94" s="4" t="s">
        <v>282</v>
      </c>
      <c r="EM94" s="4" t="s">
        <v>282</v>
      </c>
      <c r="EN94" s="4" t="s">
        <v>282</v>
      </c>
      <c r="EO94" s="4" t="s">
        <v>282</v>
      </c>
      <c r="EP94" s="4" t="s">
        <v>282</v>
      </c>
      <c r="EQ94" s="4" t="s">
        <v>282</v>
      </c>
      <c r="ER94" s="4" t="s">
        <v>282</v>
      </c>
      <c r="ES94" s="4" t="s">
        <v>282</v>
      </c>
      <c r="ET94" s="4" t="s">
        <v>282</v>
      </c>
      <c r="EU94" s="4" t="s">
        <v>282</v>
      </c>
      <c r="EV94" s="4" t="s">
        <v>282</v>
      </c>
      <c r="EW94" s="4" t="s">
        <v>282</v>
      </c>
      <c r="EX94" s="4" t="s">
        <v>282</v>
      </c>
      <c r="EY94" s="4" t="s">
        <v>282</v>
      </c>
      <c r="EZ94" s="4" t="s">
        <v>282</v>
      </c>
      <c r="FA94" s="4" t="s">
        <v>282</v>
      </c>
      <c r="FB94" s="4" t="s">
        <v>282</v>
      </c>
      <c r="FC94" s="4" t="s">
        <v>282</v>
      </c>
      <c r="FD94" s="4" t="s">
        <v>282</v>
      </c>
      <c r="FE94" s="4" t="s">
        <v>282</v>
      </c>
      <c r="FF94" s="4" t="s">
        <v>282</v>
      </c>
      <c r="FG94" s="4" t="s">
        <v>282</v>
      </c>
      <c r="FH94" s="4" t="s">
        <v>282</v>
      </c>
      <c r="FI94" s="4" t="s">
        <v>282</v>
      </c>
      <c r="FJ94" s="4" t="s">
        <v>282</v>
      </c>
      <c r="FK94" s="4" t="s">
        <v>282</v>
      </c>
      <c r="FL94" s="4" t="s">
        <v>282</v>
      </c>
      <c r="FM94" s="4" t="s">
        <v>282</v>
      </c>
      <c r="FN94" s="4" t="s">
        <v>282</v>
      </c>
      <c r="FO94" s="4" t="s">
        <v>282</v>
      </c>
      <c r="FP94" s="4" t="s">
        <v>282</v>
      </c>
      <c r="FQ94" s="4" t="s">
        <v>282</v>
      </c>
      <c r="FR94" s="4" t="s">
        <v>282</v>
      </c>
      <c r="FS94" s="4" t="s">
        <v>282</v>
      </c>
      <c r="FT94" s="4" t="s">
        <v>282</v>
      </c>
      <c r="FU94" s="4" t="s">
        <v>282</v>
      </c>
      <c r="FV94" s="4" t="s">
        <v>282</v>
      </c>
      <c r="FW94" s="4" t="s">
        <v>282</v>
      </c>
      <c r="FX94" s="4" t="s">
        <v>282</v>
      </c>
      <c r="FY94" s="4" t="s">
        <v>282</v>
      </c>
      <c r="FZ94" s="4" t="s">
        <v>282</v>
      </c>
      <c r="GA94" s="4" t="s">
        <v>282</v>
      </c>
      <c r="GB94" s="4" t="s">
        <v>282</v>
      </c>
      <c r="GC94" s="4" t="s">
        <v>282</v>
      </c>
      <c r="GD94" s="4" t="s">
        <v>282</v>
      </c>
      <c r="GE94" s="4" t="s">
        <v>282</v>
      </c>
      <c r="GF94" s="4" t="s">
        <v>282</v>
      </c>
      <c r="GG94" s="4" t="s">
        <v>282</v>
      </c>
      <c r="GH94" s="4" t="s">
        <v>282</v>
      </c>
      <c r="GI94" s="4" t="s">
        <v>282</v>
      </c>
      <c r="GJ94" s="4" t="s">
        <v>282</v>
      </c>
      <c r="GK94" s="4" t="s">
        <v>282</v>
      </c>
      <c r="GL94" s="4" t="s">
        <v>282</v>
      </c>
      <c r="GM94" s="4" t="s">
        <v>282</v>
      </c>
      <c r="GN94" s="4" t="s">
        <v>282</v>
      </c>
      <c r="GO94" s="4" t="s">
        <v>282</v>
      </c>
      <c r="GP94" s="4" t="s">
        <v>282</v>
      </c>
      <c r="GQ94" s="4" t="s">
        <v>282</v>
      </c>
      <c r="GR94" s="4" t="s">
        <v>282</v>
      </c>
      <c r="GS94" s="4" t="s">
        <v>282</v>
      </c>
      <c r="GT94" s="4" t="s">
        <v>282</v>
      </c>
      <c r="GU94" s="4" t="s">
        <v>282</v>
      </c>
      <c r="GV94" s="4" t="s">
        <v>282</v>
      </c>
      <c r="GW94" s="4" t="s">
        <v>282</v>
      </c>
      <c r="GX94" s="4" t="s">
        <v>282</v>
      </c>
      <c r="GY94" s="4" t="s">
        <v>282</v>
      </c>
      <c r="GZ94" s="4" t="s">
        <v>282</v>
      </c>
      <c r="HA94" s="4" t="s">
        <v>282</v>
      </c>
      <c r="HB94" s="4" t="s">
        <v>282</v>
      </c>
      <c r="HC94" s="4" t="s">
        <v>282</v>
      </c>
      <c r="HD94" s="4" t="s">
        <v>282</v>
      </c>
      <c r="HE94" s="4" t="s">
        <v>282</v>
      </c>
      <c r="HF94" s="4" t="s">
        <v>282</v>
      </c>
      <c r="HG94" s="4" t="s">
        <v>282</v>
      </c>
      <c r="HH94" s="4" t="s">
        <v>282</v>
      </c>
      <c r="HI94" s="4" t="s">
        <v>282</v>
      </c>
      <c r="HJ94" s="4" t="s">
        <v>282</v>
      </c>
      <c r="HK94" s="4" t="s">
        <v>282</v>
      </c>
      <c r="HL94" s="4" t="s">
        <v>282</v>
      </c>
      <c r="HM94" s="4" t="s">
        <v>282</v>
      </c>
      <c r="HN94" s="4" t="s">
        <v>282</v>
      </c>
      <c r="HO94" s="4" t="s">
        <v>282</v>
      </c>
      <c r="HP94" s="4" t="s">
        <v>282</v>
      </c>
      <c r="HQ94" s="4" t="s">
        <v>282</v>
      </c>
      <c r="HR94" s="4" t="s">
        <v>282</v>
      </c>
      <c r="HS94" s="4" t="s">
        <v>282</v>
      </c>
      <c r="HT94" s="4" t="s">
        <v>282</v>
      </c>
      <c r="HU94" s="4" t="s">
        <v>282</v>
      </c>
      <c r="HV94" s="4" t="s">
        <v>282</v>
      </c>
      <c r="HW94" s="4" t="s">
        <v>282</v>
      </c>
      <c r="HX94" s="4" t="s">
        <v>282</v>
      </c>
      <c r="HY94" s="4" t="s">
        <v>282</v>
      </c>
      <c r="HZ94" s="4" t="s">
        <v>282</v>
      </c>
      <c r="IA94" s="4" t="s">
        <v>282</v>
      </c>
      <c r="IB94" s="4" t="s">
        <v>282</v>
      </c>
      <c r="IC94" s="4" t="s">
        <v>282</v>
      </c>
    </row>
    <row r="95" spans="1:237" x14ac:dyDescent="0.2">
      <c r="A95" s="3">
        <v>45745.551053240742</v>
      </c>
      <c r="B95" s="3">
        <v>45745.551203703704</v>
      </c>
      <c r="C95" s="1">
        <v>0</v>
      </c>
      <c r="D95" s="4" t="s">
        <v>1265</v>
      </c>
      <c r="E95" s="1">
        <v>0</v>
      </c>
      <c r="F95" s="1">
        <v>12</v>
      </c>
      <c r="G95" s="1">
        <v>0</v>
      </c>
      <c r="H95" s="3">
        <v>45752.551248703705</v>
      </c>
      <c r="I95" s="4" t="s">
        <v>1266</v>
      </c>
      <c r="J95" s="4" t="s">
        <v>282</v>
      </c>
      <c r="K95" s="4" t="s">
        <v>282</v>
      </c>
      <c r="L95" s="4" t="s">
        <v>282</v>
      </c>
      <c r="M95" s="4" t="s">
        <v>282</v>
      </c>
      <c r="N95" s="1">
        <v>49.565100000000001</v>
      </c>
      <c r="O95" s="1">
        <v>-97.1815</v>
      </c>
      <c r="P95" s="4" t="s">
        <v>283</v>
      </c>
      <c r="Q95" s="4" t="s">
        <v>284</v>
      </c>
      <c r="R95" s="1">
        <v>0.89999997615814209</v>
      </c>
      <c r="S95" s="4" t="s">
        <v>282</v>
      </c>
      <c r="T95" s="4" t="s">
        <v>282</v>
      </c>
      <c r="U95" s="4" t="s">
        <v>282</v>
      </c>
      <c r="V95" s="4" t="s">
        <v>282</v>
      </c>
      <c r="W95" s="4" t="s">
        <v>282</v>
      </c>
      <c r="X95" s="4" t="s">
        <v>282</v>
      </c>
      <c r="Y95" s="4" t="s">
        <v>282</v>
      </c>
      <c r="Z95" s="4" t="s">
        <v>282</v>
      </c>
      <c r="AA95" s="4" t="s">
        <v>282</v>
      </c>
      <c r="AB95" s="4" t="s">
        <v>282</v>
      </c>
      <c r="AC95" s="4" t="s">
        <v>282</v>
      </c>
      <c r="AD95" s="4" t="s">
        <v>282</v>
      </c>
      <c r="AE95" s="4" t="s">
        <v>282</v>
      </c>
      <c r="AF95" s="4" t="s">
        <v>282</v>
      </c>
      <c r="AG95" s="4" t="s">
        <v>282</v>
      </c>
      <c r="AH95" s="4" t="s">
        <v>282</v>
      </c>
      <c r="AI95" s="4" t="s">
        <v>282</v>
      </c>
      <c r="AJ95" s="4" t="s">
        <v>282</v>
      </c>
      <c r="AK95" s="4" t="s">
        <v>282</v>
      </c>
      <c r="AL95" s="4" t="s">
        <v>282</v>
      </c>
      <c r="AM95" s="4" t="s">
        <v>282</v>
      </c>
      <c r="AN95" s="4" t="s">
        <v>282</v>
      </c>
      <c r="AO95" s="4" t="s">
        <v>282</v>
      </c>
      <c r="AP95" s="4" t="s">
        <v>282</v>
      </c>
      <c r="AQ95" s="4" t="s">
        <v>282</v>
      </c>
      <c r="AR95" s="4" t="s">
        <v>282</v>
      </c>
      <c r="AS95" s="4" t="s">
        <v>282</v>
      </c>
      <c r="AT95" s="4" t="s">
        <v>282</v>
      </c>
      <c r="AU95" s="4" t="s">
        <v>282</v>
      </c>
      <c r="AV95" s="4" t="s">
        <v>282</v>
      </c>
      <c r="AW95" s="4" t="s">
        <v>282</v>
      </c>
      <c r="AX95" s="4" t="s">
        <v>282</v>
      </c>
      <c r="AY95" s="4" t="s">
        <v>282</v>
      </c>
      <c r="AZ95" s="4" t="s">
        <v>282</v>
      </c>
      <c r="BA95" s="4" t="s">
        <v>282</v>
      </c>
      <c r="BB95" s="4" t="s">
        <v>282</v>
      </c>
      <c r="BC95" s="4" t="s">
        <v>282</v>
      </c>
      <c r="BD95" s="4" t="s">
        <v>282</v>
      </c>
      <c r="BE95" s="4" t="s">
        <v>282</v>
      </c>
      <c r="BF95" s="4" t="s">
        <v>282</v>
      </c>
      <c r="BG95" s="4" t="s">
        <v>282</v>
      </c>
      <c r="BH95" s="4" t="s">
        <v>282</v>
      </c>
      <c r="BI95" s="4" t="s">
        <v>282</v>
      </c>
      <c r="BJ95" s="4" t="s">
        <v>282</v>
      </c>
      <c r="BK95" s="4" t="s">
        <v>282</v>
      </c>
      <c r="BL95" s="4" t="s">
        <v>282</v>
      </c>
      <c r="BM95" s="4" t="s">
        <v>282</v>
      </c>
      <c r="BN95" s="4" t="s">
        <v>282</v>
      </c>
      <c r="BO95" s="4" t="s">
        <v>282</v>
      </c>
      <c r="BP95" s="4" t="s">
        <v>282</v>
      </c>
      <c r="BQ95" s="4" t="s">
        <v>282</v>
      </c>
      <c r="BR95" s="4" t="s">
        <v>282</v>
      </c>
      <c r="BS95" s="4" t="s">
        <v>282</v>
      </c>
      <c r="BT95" s="4" t="s">
        <v>282</v>
      </c>
      <c r="BU95" s="4" t="s">
        <v>282</v>
      </c>
      <c r="BV95" s="4" t="s">
        <v>282</v>
      </c>
      <c r="BW95" s="4" t="s">
        <v>282</v>
      </c>
      <c r="BX95" s="4" t="s">
        <v>282</v>
      </c>
      <c r="BY95" s="4" t="s">
        <v>282</v>
      </c>
      <c r="BZ95" s="4" t="s">
        <v>282</v>
      </c>
      <c r="CA95" s="4" t="s">
        <v>282</v>
      </c>
      <c r="CB95" s="4" t="s">
        <v>282</v>
      </c>
      <c r="CC95" s="4" t="s">
        <v>282</v>
      </c>
      <c r="CD95" s="4" t="s">
        <v>282</v>
      </c>
      <c r="CE95" s="4" t="s">
        <v>282</v>
      </c>
      <c r="CF95" s="4" t="s">
        <v>282</v>
      </c>
      <c r="CG95" s="4" t="s">
        <v>282</v>
      </c>
      <c r="CH95" s="4" t="s">
        <v>282</v>
      </c>
      <c r="CI95" s="4" t="s">
        <v>282</v>
      </c>
      <c r="CJ95" s="4" t="s">
        <v>282</v>
      </c>
      <c r="CK95" s="4" t="s">
        <v>282</v>
      </c>
      <c r="CL95" s="4" t="s">
        <v>282</v>
      </c>
      <c r="CM95" s="4" t="s">
        <v>282</v>
      </c>
      <c r="CN95" s="4" t="s">
        <v>282</v>
      </c>
      <c r="CO95" s="4" t="s">
        <v>282</v>
      </c>
      <c r="CP95" s="4" t="s">
        <v>282</v>
      </c>
      <c r="CQ95" s="4" t="s">
        <v>282</v>
      </c>
      <c r="CR95" s="4" t="s">
        <v>282</v>
      </c>
      <c r="CS95" s="4" t="s">
        <v>282</v>
      </c>
      <c r="CT95" s="4" t="s">
        <v>282</v>
      </c>
      <c r="CU95" s="4" t="s">
        <v>282</v>
      </c>
      <c r="CV95" s="4" t="s">
        <v>282</v>
      </c>
      <c r="CW95" s="4" t="s">
        <v>282</v>
      </c>
      <c r="CX95" s="4" t="s">
        <v>282</v>
      </c>
      <c r="CY95" s="4" t="s">
        <v>282</v>
      </c>
      <c r="CZ95" s="4" t="s">
        <v>282</v>
      </c>
      <c r="DA95" s="4" t="s">
        <v>282</v>
      </c>
      <c r="DB95" s="4" t="s">
        <v>282</v>
      </c>
      <c r="DC95" s="4" t="s">
        <v>282</v>
      </c>
      <c r="DD95" s="4" t="s">
        <v>282</v>
      </c>
      <c r="DE95" s="4" t="s">
        <v>282</v>
      </c>
      <c r="DF95" s="4" t="s">
        <v>282</v>
      </c>
      <c r="DG95" s="4" t="s">
        <v>282</v>
      </c>
      <c r="DH95" s="4" t="s">
        <v>282</v>
      </c>
      <c r="DI95" s="4" t="s">
        <v>282</v>
      </c>
      <c r="DJ95" s="4" t="s">
        <v>282</v>
      </c>
      <c r="DK95" s="4" t="s">
        <v>282</v>
      </c>
      <c r="DL95" s="4" t="s">
        <v>282</v>
      </c>
      <c r="DM95" s="4" t="s">
        <v>282</v>
      </c>
      <c r="DN95" s="4" t="s">
        <v>282</v>
      </c>
      <c r="DO95" s="4" t="s">
        <v>282</v>
      </c>
      <c r="DP95" s="4" t="s">
        <v>282</v>
      </c>
      <c r="DQ95" s="4" t="s">
        <v>282</v>
      </c>
      <c r="DR95" s="4" t="s">
        <v>282</v>
      </c>
      <c r="DS95" s="4" t="s">
        <v>282</v>
      </c>
      <c r="DT95" s="4" t="s">
        <v>282</v>
      </c>
      <c r="DU95" s="4" t="s">
        <v>282</v>
      </c>
      <c r="DV95" s="4" t="s">
        <v>282</v>
      </c>
      <c r="DW95" s="4" t="s">
        <v>282</v>
      </c>
      <c r="DX95" s="4" t="s">
        <v>282</v>
      </c>
      <c r="DY95" s="4" t="s">
        <v>282</v>
      </c>
      <c r="DZ95" s="4" t="s">
        <v>282</v>
      </c>
      <c r="EA95" s="4" t="s">
        <v>282</v>
      </c>
      <c r="EB95" s="4" t="s">
        <v>282</v>
      </c>
      <c r="EC95" s="4" t="s">
        <v>282</v>
      </c>
      <c r="ED95" s="4" t="s">
        <v>282</v>
      </c>
      <c r="EE95" s="4" t="s">
        <v>282</v>
      </c>
      <c r="EF95" s="4" t="s">
        <v>282</v>
      </c>
      <c r="EG95" s="4" t="s">
        <v>282</v>
      </c>
      <c r="EH95" s="4" t="s">
        <v>282</v>
      </c>
      <c r="EI95" s="4" t="s">
        <v>282</v>
      </c>
      <c r="EJ95" s="4" t="s">
        <v>282</v>
      </c>
      <c r="EK95" s="4" t="s">
        <v>282</v>
      </c>
      <c r="EL95" s="4" t="s">
        <v>282</v>
      </c>
      <c r="EM95" s="4" t="s">
        <v>282</v>
      </c>
      <c r="EN95" s="4" t="s">
        <v>282</v>
      </c>
      <c r="EO95" s="4" t="s">
        <v>282</v>
      </c>
      <c r="EP95" s="4" t="s">
        <v>282</v>
      </c>
      <c r="EQ95" s="4" t="s">
        <v>282</v>
      </c>
      <c r="ER95" s="4" t="s">
        <v>282</v>
      </c>
      <c r="ES95" s="4" t="s">
        <v>282</v>
      </c>
      <c r="ET95" s="4" t="s">
        <v>282</v>
      </c>
      <c r="EU95" s="4" t="s">
        <v>282</v>
      </c>
      <c r="EV95" s="4" t="s">
        <v>282</v>
      </c>
      <c r="EW95" s="4" t="s">
        <v>282</v>
      </c>
      <c r="EX95" s="4" t="s">
        <v>282</v>
      </c>
      <c r="EY95" s="4" t="s">
        <v>282</v>
      </c>
      <c r="EZ95" s="4" t="s">
        <v>282</v>
      </c>
      <c r="FA95" s="4" t="s">
        <v>282</v>
      </c>
      <c r="FB95" s="4" t="s">
        <v>282</v>
      </c>
      <c r="FC95" s="4" t="s">
        <v>282</v>
      </c>
      <c r="FD95" s="4" t="s">
        <v>282</v>
      </c>
      <c r="FE95" s="4" t="s">
        <v>282</v>
      </c>
      <c r="FF95" s="4" t="s">
        <v>282</v>
      </c>
      <c r="FG95" s="4" t="s">
        <v>282</v>
      </c>
      <c r="FH95" s="4" t="s">
        <v>282</v>
      </c>
      <c r="FI95" s="4" t="s">
        <v>282</v>
      </c>
      <c r="FJ95" s="4" t="s">
        <v>282</v>
      </c>
      <c r="FK95" s="4" t="s">
        <v>282</v>
      </c>
      <c r="FL95" s="4" t="s">
        <v>282</v>
      </c>
      <c r="FM95" s="4" t="s">
        <v>282</v>
      </c>
      <c r="FN95" s="4" t="s">
        <v>282</v>
      </c>
      <c r="FO95" s="4" t="s">
        <v>282</v>
      </c>
      <c r="FP95" s="4" t="s">
        <v>282</v>
      </c>
      <c r="FQ95" s="4" t="s">
        <v>282</v>
      </c>
      <c r="FR95" s="4" t="s">
        <v>282</v>
      </c>
      <c r="FS95" s="4" t="s">
        <v>282</v>
      </c>
      <c r="FT95" s="4" t="s">
        <v>282</v>
      </c>
      <c r="FU95" s="4" t="s">
        <v>282</v>
      </c>
      <c r="FV95" s="4" t="s">
        <v>282</v>
      </c>
      <c r="FW95" s="4" t="s">
        <v>282</v>
      </c>
      <c r="FX95" s="4" t="s">
        <v>282</v>
      </c>
      <c r="FY95" s="4" t="s">
        <v>282</v>
      </c>
      <c r="FZ95" s="4" t="s">
        <v>282</v>
      </c>
      <c r="GA95" s="4" t="s">
        <v>282</v>
      </c>
      <c r="GB95" s="4" t="s">
        <v>282</v>
      </c>
      <c r="GC95" s="4" t="s">
        <v>282</v>
      </c>
      <c r="GD95" s="4" t="s">
        <v>282</v>
      </c>
      <c r="GE95" s="4" t="s">
        <v>282</v>
      </c>
      <c r="GF95" s="4" t="s">
        <v>282</v>
      </c>
      <c r="GG95" s="4" t="s">
        <v>282</v>
      </c>
      <c r="GH95" s="4" t="s">
        <v>282</v>
      </c>
      <c r="GI95" s="4" t="s">
        <v>282</v>
      </c>
      <c r="GJ95" s="4" t="s">
        <v>282</v>
      </c>
      <c r="GK95" s="4" t="s">
        <v>282</v>
      </c>
      <c r="GL95" s="4" t="s">
        <v>282</v>
      </c>
      <c r="GM95" s="4" t="s">
        <v>282</v>
      </c>
      <c r="GN95" s="4" t="s">
        <v>282</v>
      </c>
      <c r="GO95" s="4" t="s">
        <v>282</v>
      </c>
      <c r="GP95" s="4" t="s">
        <v>282</v>
      </c>
      <c r="GQ95" s="4" t="s">
        <v>282</v>
      </c>
      <c r="GR95" s="4" t="s">
        <v>282</v>
      </c>
      <c r="GS95" s="4" t="s">
        <v>282</v>
      </c>
      <c r="GT95" s="4" t="s">
        <v>282</v>
      </c>
      <c r="GU95" s="4" t="s">
        <v>282</v>
      </c>
      <c r="GV95" s="4" t="s">
        <v>282</v>
      </c>
      <c r="GW95" s="4" t="s">
        <v>282</v>
      </c>
      <c r="GX95" s="4" t="s">
        <v>282</v>
      </c>
      <c r="GY95" s="4" t="s">
        <v>282</v>
      </c>
      <c r="GZ95" s="4" t="s">
        <v>282</v>
      </c>
      <c r="HA95" s="4" t="s">
        <v>282</v>
      </c>
      <c r="HB95" s="4" t="s">
        <v>282</v>
      </c>
      <c r="HC95" s="4" t="s">
        <v>282</v>
      </c>
      <c r="HD95" s="4" t="s">
        <v>282</v>
      </c>
      <c r="HE95" s="4" t="s">
        <v>282</v>
      </c>
      <c r="HF95" s="4" t="s">
        <v>282</v>
      </c>
      <c r="HG95" s="4" t="s">
        <v>282</v>
      </c>
      <c r="HH95" s="4" t="s">
        <v>282</v>
      </c>
      <c r="HI95" s="4" t="s">
        <v>282</v>
      </c>
      <c r="HJ95" s="4" t="s">
        <v>282</v>
      </c>
      <c r="HK95" s="4" t="s">
        <v>282</v>
      </c>
      <c r="HL95" s="4" t="s">
        <v>282</v>
      </c>
      <c r="HM95" s="4" t="s">
        <v>282</v>
      </c>
      <c r="HN95" s="4" t="s">
        <v>282</v>
      </c>
      <c r="HO95" s="4" t="s">
        <v>282</v>
      </c>
      <c r="HP95" s="4" t="s">
        <v>282</v>
      </c>
      <c r="HQ95" s="4" t="s">
        <v>282</v>
      </c>
      <c r="HR95" s="4" t="s">
        <v>282</v>
      </c>
      <c r="HS95" s="4" t="s">
        <v>282</v>
      </c>
      <c r="HT95" s="4" t="s">
        <v>282</v>
      </c>
      <c r="HU95" s="4" t="s">
        <v>282</v>
      </c>
      <c r="HV95" s="4" t="s">
        <v>282</v>
      </c>
      <c r="HW95" s="4" t="s">
        <v>282</v>
      </c>
      <c r="HX95" s="4" t="s">
        <v>282</v>
      </c>
      <c r="HY95" s="4" t="s">
        <v>282</v>
      </c>
      <c r="HZ95" s="4" t="s">
        <v>282</v>
      </c>
      <c r="IA95" s="4" t="s">
        <v>282</v>
      </c>
      <c r="IB95" s="4" t="s">
        <v>282</v>
      </c>
      <c r="IC95" s="4" t="s">
        <v>282</v>
      </c>
    </row>
    <row r="96" spans="1:237" x14ac:dyDescent="0.2">
      <c r="A96" s="3">
        <v>45753.086805555555</v>
      </c>
      <c r="B96" s="3">
        <v>45753.095208333332</v>
      </c>
      <c r="C96" s="1">
        <v>0</v>
      </c>
      <c r="D96" s="4" t="s">
        <v>1267</v>
      </c>
      <c r="E96" s="1">
        <v>100</v>
      </c>
      <c r="F96" s="1">
        <v>726</v>
      </c>
      <c r="G96" s="1">
        <v>1</v>
      </c>
      <c r="H96" s="3">
        <v>45753.095231562504</v>
      </c>
      <c r="I96" s="4" t="s">
        <v>1268</v>
      </c>
      <c r="J96" s="4" t="s">
        <v>282</v>
      </c>
      <c r="K96" s="4" t="s">
        <v>282</v>
      </c>
      <c r="L96" s="4" t="s">
        <v>282</v>
      </c>
      <c r="M96" s="4" t="s">
        <v>282</v>
      </c>
      <c r="N96" s="1">
        <v>43.654699999999998</v>
      </c>
      <c r="O96" s="1">
        <v>-79.362300000000005</v>
      </c>
      <c r="P96" s="4" t="s">
        <v>283</v>
      </c>
      <c r="Q96" s="4" t="s">
        <v>284</v>
      </c>
      <c r="R96" s="1">
        <v>0.80000001192092896</v>
      </c>
      <c r="S96" s="1">
        <v>1</v>
      </c>
      <c r="T96" s="1">
        <v>1</v>
      </c>
      <c r="U96" s="1">
        <v>1</v>
      </c>
      <c r="V96" s="1">
        <v>1</v>
      </c>
      <c r="W96" s="1">
        <v>8</v>
      </c>
      <c r="X96" s="4" t="s">
        <v>1222</v>
      </c>
      <c r="Y96" s="1">
        <v>5</v>
      </c>
      <c r="Z96" s="1">
        <v>1</v>
      </c>
      <c r="AA96" s="1">
        <v>2</v>
      </c>
      <c r="AB96" s="1">
        <v>2</v>
      </c>
      <c r="AC96" s="1">
        <v>1</v>
      </c>
      <c r="AD96" s="1">
        <v>5</v>
      </c>
      <c r="AE96" s="1">
        <v>4.8540000000000001</v>
      </c>
      <c r="AF96" s="1">
        <v>6.2229999999999999</v>
      </c>
      <c r="AG96" s="1">
        <v>8.86</v>
      </c>
      <c r="AH96" s="1">
        <v>2</v>
      </c>
      <c r="AI96" s="1">
        <v>4</v>
      </c>
      <c r="AJ96" s="1">
        <v>5</v>
      </c>
      <c r="AK96" s="1">
        <v>10.385999999999999</v>
      </c>
      <c r="AL96" s="1">
        <v>11.912000000000001</v>
      </c>
      <c r="AM96" s="1">
        <v>13.321</v>
      </c>
      <c r="AN96" s="1">
        <v>2</v>
      </c>
      <c r="AO96" s="1">
        <v>4</v>
      </c>
      <c r="AP96" s="1">
        <v>5</v>
      </c>
      <c r="AQ96" s="1">
        <v>6.0730000000000004</v>
      </c>
      <c r="AR96" s="1">
        <v>9.1829999999999998</v>
      </c>
      <c r="AS96" s="1">
        <v>9.9250000000000007</v>
      </c>
      <c r="AT96" s="1">
        <v>2</v>
      </c>
      <c r="AU96" s="1">
        <v>5</v>
      </c>
      <c r="AV96" s="1">
        <v>5</v>
      </c>
      <c r="AW96" s="1">
        <v>5.7380000000000004</v>
      </c>
      <c r="AX96" s="1">
        <v>6.9939999999999998</v>
      </c>
      <c r="AY96" s="1">
        <v>8.8239999999999998</v>
      </c>
      <c r="AZ96" s="1">
        <v>2</v>
      </c>
      <c r="BA96" s="1">
        <v>5</v>
      </c>
      <c r="BB96" s="1">
        <v>6</v>
      </c>
      <c r="BC96" s="1">
        <v>5.6130000000000004</v>
      </c>
      <c r="BD96" s="1">
        <v>8.8219999999999992</v>
      </c>
      <c r="BE96" s="1">
        <v>9.8940000000000001</v>
      </c>
      <c r="BF96" s="1">
        <v>4</v>
      </c>
      <c r="BG96" s="1">
        <v>1</v>
      </c>
      <c r="BH96" s="1">
        <v>5</v>
      </c>
      <c r="BI96" s="1">
        <v>5.36</v>
      </c>
      <c r="BJ96" s="1">
        <v>6.4950000000000001</v>
      </c>
      <c r="BK96" s="1">
        <v>8.7550000000000008</v>
      </c>
      <c r="BL96" s="1">
        <v>2</v>
      </c>
      <c r="BM96" s="1">
        <v>4</v>
      </c>
      <c r="BN96" s="1">
        <v>4</v>
      </c>
      <c r="BO96" s="1">
        <v>7.2130000000000001</v>
      </c>
      <c r="BP96" s="1">
        <v>8.4030000000000005</v>
      </c>
      <c r="BQ96" s="1">
        <v>9.5259999999999998</v>
      </c>
      <c r="BR96" s="1">
        <v>2</v>
      </c>
      <c r="BS96" s="1">
        <v>4</v>
      </c>
      <c r="BT96" s="1">
        <v>5</v>
      </c>
      <c r="BU96" s="1">
        <v>4.7709999999999999</v>
      </c>
      <c r="BV96" s="1">
        <v>6.6219999999999999</v>
      </c>
      <c r="BW96" s="1">
        <v>8.8919999999999995</v>
      </c>
      <c r="BX96" s="1">
        <v>2</v>
      </c>
      <c r="BY96" s="1">
        <v>5</v>
      </c>
      <c r="BZ96" s="1">
        <v>5</v>
      </c>
      <c r="CA96" s="1">
        <v>5.2910000000000004</v>
      </c>
      <c r="CB96" s="1">
        <v>6.3239999999999998</v>
      </c>
      <c r="CC96" s="1">
        <v>8.6349999999999998</v>
      </c>
      <c r="CD96" s="1">
        <v>2</v>
      </c>
      <c r="CE96" s="1">
        <v>3</v>
      </c>
      <c r="CF96" s="1">
        <v>5</v>
      </c>
      <c r="CG96" s="1">
        <v>4.8769999999999998</v>
      </c>
      <c r="CH96" s="1">
        <v>8.4130000000000003</v>
      </c>
      <c r="CI96" s="1">
        <v>9.0519999999999996</v>
      </c>
      <c r="CJ96" s="1">
        <v>2</v>
      </c>
      <c r="CK96" s="1">
        <v>1</v>
      </c>
      <c r="CL96" s="1">
        <v>5</v>
      </c>
      <c r="CM96" s="1">
        <v>9.5449999999999999</v>
      </c>
      <c r="CN96" s="1">
        <v>11.37</v>
      </c>
      <c r="CO96" s="1">
        <v>12.555999999999999</v>
      </c>
      <c r="CP96" s="1">
        <v>2</v>
      </c>
      <c r="CQ96" s="1">
        <v>4</v>
      </c>
      <c r="CR96" s="1">
        <v>5</v>
      </c>
      <c r="CS96" s="1">
        <v>8.3320000000000007</v>
      </c>
      <c r="CT96" s="1">
        <v>9.7829999999999995</v>
      </c>
      <c r="CU96" s="1">
        <v>10.478</v>
      </c>
      <c r="CV96" s="1">
        <v>2</v>
      </c>
      <c r="CW96" s="1">
        <v>4</v>
      </c>
      <c r="CX96" s="1">
        <v>4</v>
      </c>
      <c r="CY96" s="1">
        <v>9.0679999999999996</v>
      </c>
      <c r="CZ96" s="1">
        <v>10.423</v>
      </c>
      <c r="DA96" s="1">
        <v>12.113</v>
      </c>
      <c r="DB96" s="1">
        <v>2</v>
      </c>
      <c r="DC96" s="1">
        <v>5</v>
      </c>
      <c r="DD96" s="1">
        <v>5</v>
      </c>
      <c r="DE96" s="1">
        <v>6.867</v>
      </c>
      <c r="DF96" s="1">
        <v>7.8689999999999998</v>
      </c>
      <c r="DG96" s="1">
        <v>8.7569999999999997</v>
      </c>
      <c r="DH96" s="1">
        <v>2</v>
      </c>
      <c r="DI96" s="1">
        <v>3</v>
      </c>
      <c r="DJ96" s="1">
        <v>4</v>
      </c>
      <c r="DK96" s="1">
        <v>6.9530000000000003</v>
      </c>
      <c r="DL96" s="1">
        <v>8.5470000000000006</v>
      </c>
      <c r="DM96" s="1">
        <v>9.3559999999999999</v>
      </c>
      <c r="DN96" s="1">
        <v>2</v>
      </c>
      <c r="DO96" s="1">
        <v>1</v>
      </c>
      <c r="DP96" s="1">
        <v>5</v>
      </c>
      <c r="DQ96" s="1">
        <v>9.5960000000000001</v>
      </c>
      <c r="DR96" s="1">
        <v>10.486000000000001</v>
      </c>
      <c r="DS96" s="1">
        <v>11.169</v>
      </c>
      <c r="DT96" s="1">
        <v>2</v>
      </c>
      <c r="DU96" s="1">
        <v>4</v>
      </c>
      <c r="DV96" s="1">
        <v>5</v>
      </c>
      <c r="DW96" s="1">
        <v>5.5449999999999999</v>
      </c>
      <c r="DX96" s="1">
        <v>6.4630000000000001</v>
      </c>
      <c r="DY96" s="1">
        <v>8.593</v>
      </c>
      <c r="DZ96" s="1">
        <v>2</v>
      </c>
      <c r="EA96" s="1">
        <v>4</v>
      </c>
      <c r="EB96" s="1">
        <v>7</v>
      </c>
      <c r="EC96" s="1">
        <v>3.9790000000000001</v>
      </c>
      <c r="ED96" s="1">
        <v>4.984</v>
      </c>
      <c r="EE96" s="1">
        <v>8.6549999999999994</v>
      </c>
      <c r="EF96" s="1">
        <v>2</v>
      </c>
      <c r="EG96" s="1">
        <v>5</v>
      </c>
      <c r="EH96" s="1">
        <v>4</v>
      </c>
      <c r="EI96" s="1">
        <v>8.7840000000000007</v>
      </c>
      <c r="EJ96" s="1">
        <v>12.013999999999999</v>
      </c>
      <c r="EK96" s="1">
        <v>12.750999999999999</v>
      </c>
      <c r="EL96" s="1">
        <v>2</v>
      </c>
      <c r="EM96" s="1">
        <v>3</v>
      </c>
      <c r="EN96" s="1">
        <v>5</v>
      </c>
      <c r="EO96" s="1">
        <v>6.2270000000000003</v>
      </c>
      <c r="EP96" s="1">
        <v>7.258</v>
      </c>
      <c r="EQ96" s="1">
        <v>8.4960000000000004</v>
      </c>
      <c r="ER96" s="1">
        <v>2</v>
      </c>
      <c r="ES96" s="1">
        <v>1</v>
      </c>
      <c r="ET96" s="1">
        <v>5</v>
      </c>
      <c r="EU96" s="1">
        <v>5.601</v>
      </c>
      <c r="EV96" s="1">
        <v>10.680999999999999</v>
      </c>
      <c r="EW96" s="1">
        <v>11.99</v>
      </c>
      <c r="EX96" s="1">
        <v>2</v>
      </c>
      <c r="EY96" s="1">
        <v>2</v>
      </c>
      <c r="EZ96" s="1">
        <v>5</v>
      </c>
      <c r="FA96" s="1">
        <v>4.4109999999999996</v>
      </c>
      <c r="FB96" s="1">
        <v>10.38</v>
      </c>
      <c r="FC96" s="1">
        <v>10.760999999999999</v>
      </c>
      <c r="FD96" s="1">
        <v>3</v>
      </c>
      <c r="FE96" s="1">
        <v>5</v>
      </c>
      <c r="FF96" s="1">
        <v>5</v>
      </c>
      <c r="FG96" s="1">
        <v>5.593</v>
      </c>
      <c r="FH96" s="1">
        <v>8.5879999999999992</v>
      </c>
      <c r="FI96" s="1">
        <v>11.951000000000001</v>
      </c>
      <c r="FJ96" s="1">
        <v>4</v>
      </c>
      <c r="FK96" s="1">
        <v>1</v>
      </c>
      <c r="FL96" s="1">
        <v>6</v>
      </c>
      <c r="FM96" s="1">
        <v>5.077</v>
      </c>
      <c r="FN96" s="1">
        <v>7.03</v>
      </c>
      <c r="FO96" s="1">
        <v>9.1910000000000007</v>
      </c>
      <c r="FP96" s="1">
        <v>3</v>
      </c>
      <c r="FQ96" s="1">
        <v>2</v>
      </c>
      <c r="FR96" s="1">
        <v>6</v>
      </c>
      <c r="FS96" s="1">
        <v>2.2290000000000001</v>
      </c>
      <c r="FT96" s="1">
        <v>3.694</v>
      </c>
      <c r="FU96" s="1">
        <v>8.5419999999999998</v>
      </c>
      <c r="FV96" s="1">
        <v>2</v>
      </c>
      <c r="FW96" s="1">
        <v>5</v>
      </c>
      <c r="FX96" s="1">
        <v>7</v>
      </c>
      <c r="FY96" s="1">
        <v>6.282</v>
      </c>
      <c r="FZ96" s="1">
        <v>8.4949999999999992</v>
      </c>
      <c r="GA96" s="1">
        <v>9.0530000000000008</v>
      </c>
      <c r="GB96" s="1">
        <v>2</v>
      </c>
      <c r="GC96" s="1">
        <v>1</v>
      </c>
      <c r="GD96" s="1">
        <v>6</v>
      </c>
      <c r="GE96" s="1">
        <v>5.931</v>
      </c>
      <c r="GF96" s="1">
        <v>6.8979999999999997</v>
      </c>
      <c r="GG96" s="1">
        <v>9.0310000000000006</v>
      </c>
      <c r="GH96" s="1">
        <v>2</v>
      </c>
      <c r="GI96" s="1">
        <v>2</v>
      </c>
      <c r="GJ96" s="1">
        <v>5</v>
      </c>
      <c r="GK96" s="1">
        <v>6.5629999999999997</v>
      </c>
      <c r="GL96" s="1">
        <v>7.532</v>
      </c>
      <c r="GM96" s="1">
        <v>8.8729999999999993</v>
      </c>
      <c r="GN96" s="1">
        <v>2</v>
      </c>
      <c r="GO96" s="1">
        <v>5</v>
      </c>
      <c r="GP96" s="1">
        <v>6</v>
      </c>
      <c r="GQ96" s="1">
        <v>4.0529999999999999</v>
      </c>
      <c r="GR96" s="1">
        <v>5.6479999999999997</v>
      </c>
      <c r="GS96" s="1">
        <v>8.8949999999999996</v>
      </c>
      <c r="GT96" s="1">
        <v>2</v>
      </c>
      <c r="GU96" s="1">
        <v>1</v>
      </c>
      <c r="GV96" s="1">
        <v>6</v>
      </c>
      <c r="GW96" s="1">
        <v>5.7530000000000001</v>
      </c>
      <c r="GX96" s="1">
        <v>6.8689999999999998</v>
      </c>
      <c r="GY96" s="1">
        <v>8.4689999999999994</v>
      </c>
      <c r="GZ96" s="1">
        <v>2</v>
      </c>
      <c r="HA96" s="1">
        <v>2</v>
      </c>
      <c r="HB96" s="1">
        <v>5</v>
      </c>
      <c r="HC96" s="1">
        <v>4.8710000000000004</v>
      </c>
      <c r="HD96" s="1">
        <v>6.2069999999999999</v>
      </c>
      <c r="HE96" s="1">
        <v>9.6850000000000005</v>
      </c>
      <c r="HF96" s="1">
        <v>3</v>
      </c>
      <c r="HG96" s="1">
        <v>2</v>
      </c>
      <c r="HH96" s="1">
        <v>7</v>
      </c>
      <c r="HI96" s="1">
        <v>7.1820000000000004</v>
      </c>
      <c r="HJ96" s="1">
        <v>19.215</v>
      </c>
      <c r="HK96" s="1">
        <v>19.78</v>
      </c>
      <c r="HL96" s="1">
        <v>4</v>
      </c>
      <c r="HM96" s="4" t="s">
        <v>1269</v>
      </c>
      <c r="HN96" s="4" t="s">
        <v>1270</v>
      </c>
      <c r="HO96" s="4" t="s">
        <v>1271</v>
      </c>
      <c r="HP96" s="4" t="s">
        <v>1272</v>
      </c>
      <c r="HQ96" s="4" t="s">
        <v>1273</v>
      </c>
      <c r="HR96" s="4" t="s">
        <v>1274</v>
      </c>
      <c r="HS96" s="4" t="s">
        <v>1275</v>
      </c>
      <c r="HT96" s="4" t="s">
        <v>1276</v>
      </c>
      <c r="HU96" s="4" t="s">
        <v>1277</v>
      </c>
      <c r="HV96" s="4" t="s">
        <v>1278</v>
      </c>
      <c r="HW96" s="4" t="s">
        <v>1279</v>
      </c>
      <c r="HX96" s="4" t="s">
        <v>282</v>
      </c>
      <c r="HY96" s="4" t="s">
        <v>312</v>
      </c>
      <c r="HZ96" s="4" t="s">
        <v>372</v>
      </c>
      <c r="IA96" s="4" t="s">
        <v>325</v>
      </c>
      <c r="IB96" s="4" t="s">
        <v>282</v>
      </c>
      <c r="IC96" s="4" t="s">
        <v>282</v>
      </c>
    </row>
  </sheetData>
  <autoFilter ref="A2:IC97" xr:uid="{00000000-0009-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59330-3FF0-0A4C-81DD-EAAFBE62FDD1}">
  <dimension ref="A1:GI86"/>
  <sheetViews>
    <sheetView zoomScale="96" zoomScaleNormal="96" workbookViewId="0">
      <pane xSplit="1" ySplit="2" topLeftCell="FL59" activePane="bottomRight" state="frozen"/>
      <selection pane="topRight" activeCell="B1" sqref="B1"/>
      <selection pane="bottomLeft" activeCell="A3" sqref="A3"/>
      <selection pane="bottomRight" activeCell="FN108" sqref="FN108"/>
    </sheetView>
  </sheetViews>
  <sheetFormatPr baseColWidth="10" defaultColWidth="21.33203125" defaultRowHeight="15" x14ac:dyDescent="0.2"/>
  <cols>
    <col min="1" max="1" width="17.6640625" customWidth="1"/>
    <col min="16" max="16" width="6.6640625" style="8" customWidth="1"/>
    <col min="21" max="21" width="6.6640625" style="8" customWidth="1"/>
    <col min="26" max="26" width="6.6640625" style="8" customWidth="1"/>
    <col min="31" max="31" width="6.6640625" style="8" customWidth="1"/>
    <col min="36" max="36" width="6.6640625" style="8" customWidth="1"/>
    <col min="41" max="41" width="6.6640625" style="8" customWidth="1"/>
    <col min="46" max="46" width="6.6640625" style="8" customWidth="1"/>
    <col min="51" max="51" width="6.6640625" style="8" customWidth="1"/>
    <col min="56" max="56" width="6.6640625" style="8" customWidth="1"/>
    <col min="61" max="61" width="6.6640625" style="8" customWidth="1"/>
    <col min="66" max="66" width="6.6640625" style="8" customWidth="1"/>
    <col min="71" max="71" width="6.6640625" style="8" customWidth="1"/>
    <col min="76" max="76" width="6.6640625" style="8" customWidth="1"/>
    <col min="81" max="81" width="6.6640625" style="8" customWidth="1"/>
    <col min="86" max="86" width="6.6640625" style="8" customWidth="1"/>
    <col min="91" max="91" width="6.6640625" style="8" customWidth="1"/>
    <col min="96" max="96" width="6.6640625" style="8" customWidth="1"/>
    <col min="101" max="101" width="6.6640625" style="8" customWidth="1"/>
    <col min="106" max="106" width="6.6640625" style="8" customWidth="1"/>
    <col min="111" max="111" width="6.6640625" style="8" customWidth="1"/>
    <col min="116" max="116" width="6.6640625" style="8" customWidth="1"/>
    <col min="121" max="121" width="6.6640625" style="8" customWidth="1"/>
    <col min="126" max="126" width="6.6640625" style="8" customWidth="1"/>
    <col min="131" max="131" width="6.6640625" style="8" customWidth="1"/>
    <col min="136" max="136" width="6.6640625" style="8" customWidth="1"/>
    <col min="141" max="141" width="6.6640625" style="8" customWidth="1"/>
    <col min="146" max="146" width="6.6640625" style="8" customWidth="1"/>
    <col min="151" max="151" width="6.6640625" style="8" customWidth="1"/>
    <col min="156" max="156" width="6.6640625" style="8" customWidth="1"/>
    <col min="161" max="161" width="6.6640625" style="8" customWidth="1"/>
    <col min="166" max="166" width="6.6640625" style="8" customWidth="1"/>
    <col min="171" max="171" width="6.6640625" style="8" customWidth="1"/>
    <col min="176" max="176" width="4" style="8" customWidth="1"/>
    <col min="177" max="188" width="63" customWidth="1"/>
    <col min="189" max="189" width="21.5" customWidth="1"/>
    <col min="191" max="191" width="8.1640625" style="8" customWidth="1"/>
  </cols>
  <sheetData>
    <row r="1" spans="1:190" x14ac:dyDescent="0.2">
      <c r="A1" s="9" t="s">
        <v>1302</v>
      </c>
      <c r="B1" s="5" t="s">
        <v>4</v>
      </c>
      <c r="C1" s="5" t="s">
        <v>5</v>
      </c>
      <c r="D1" s="5" t="s">
        <v>6</v>
      </c>
      <c r="E1" s="5" t="s">
        <v>22</v>
      </c>
      <c r="F1" s="13" t="s">
        <v>23</v>
      </c>
      <c r="G1" s="2" t="s">
        <v>23</v>
      </c>
      <c r="H1" s="13" t="s">
        <v>24</v>
      </c>
      <c r="I1" s="2" t="s">
        <v>24</v>
      </c>
      <c r="J1" s="13" t="s">
        <v>25</v>
      </c>
      <c r="K1" s="2" t="s">
        <v>25</v>
      </c>
      <c r="L1" s="13" t="s">
        <v>26</v>
      </c>
      <c r="M1" s="2" t="s">
        <v>26</v>
      </c>
      <c r="N1" s="13" t="s">
        <v>27</v>
      </c>
      <c r="O1" s="2" t="s">
        <v>27</v>
      </c>
      <c r="P1" s="11"/>
      <c r="Q1" s="13" t="s">
        <v>28</v>
      </c>
      <c r="R1" s="13" t="s">
        <v>29</v>
      </c>
      <c r="S1" s="14" t="s">
        <v>28</v>
      </c>
      <c r="T1" s="14" t="s">
        <v>29</v>
      </c>
      <c r="U1" s="11"/>
      <c r="V1" s="13" t="s">
        <v>34</v>
      </c>
      <c r="W1" s="13" t="s">
        <v>35</v>
      </c>
      <c r="X1" s="14" t="s">
        <v>34</v>
      </c>
      <c r="Y1" s="14" t="s">
        <v>35</v>
      </c>
      <c r="Z1" s="11"/>
      <c r="AA1" s="13" t="s">
        <v>40</v>
      </c>
      <c r="AB1" s="13" t="s">
        <v>41</v>
      </c>
      <c r="AC1" s="14" t="s">
        <v>40</v>
      </c>
      <c r="AD1" s="14" t="s">
        <v>41</v>
      </c>
      <c r="AE1" s="11"/>
      <c r="AF1" s="13" t="s">
        <v>46</v>
      </c>
      <c r="AG1" s="13" t="s">
        <v>47</v>
      </c>
      <c r="AH1" s="14" t="s">
        <v>46</v>
      </c>
      <c r="AI1" s="14" t="s">
        <v>47</v>
      </c>
      <c r="AJ1" s="11"/>
      <c r="AK1" s="13" t="s">
        <v>52</v>
      </c>
      <c r="AL1" s="13" t="s">
        <v>53</v>
      </c>
      <c r="AM1" s="14" t="s">
        <v>52</v>
      </c>
      <c r="AN1" s="14" t="s">
        <v>53</v>
      </c>
      <c r="AO1" s="11"/>
      <c r="AP1" s="13" t="s">
        <v>58</v>
      </c>
      <c r="AQ1" s="13" t="s">
        <v>59</v>
      </c>
      <c r="AR1" s="14" t="s">
        <v>58</v>
      </c>
      <c r="AS1" s="14" t="s">
        <v>59</v>
      </c>
      <c r="AT1" s="11"/>
      <c r="AU1" s="13" t="s">
        <v>64</v>
      </c>
      <c r="AV1" s="13" t="s">
        <v>65</v>
      </c>
      <c r="AW1" s="14" t="s">
        <v>64</v>
      </c>
      <c r="AX1" s="14" t="s">
        <v>65</v>
      </c>
      <c r="AY1" s="11"/>
      <c r="AZ1" s="13" t="s">
        <v>70</v>
      </c>
      <c r="BA1" s="13" t="s">
        <v>71</v>
      </c>
      <c r="BB1" s="14" t="s">
        <v>70</v>
      </c>
      <c r="BC1" s="14" t="s">
        <v>71</v>
      </c>
      <c r="BD1" s="11"/>
      <c r="BE1" s="13" t="s">
        <v>76</v>
      </c>
      <c r="BF1" s="13" t="s">
        <v>77</v>
      </c>
      <c r="BG1" s="14" t="s">
        <v>76</v>
      </c>
      <c r="BH1" s="14" t="s">
        <v>77</v>
      </c>
      <c r="BI1" s="11"/>
      <c r="BJ1" s="13" t="s">
        <v>82</v>
      </c>
      <c r="BK1" s="13" t="s">
        <v>83</v>
      </c>
      <c r="BL1" s="14" t="s">
        <v>82</v>
      </c>
      <c r="BM1" s="14" t="s">
        <v>83</v>
      </c>
      <c r="BN1" s="11"/>
      <c r="BO1" s="13" t="s">
        <v>88</v>
      </c>
      <c r="BP1" s="13" t="s">
        <v>89</v>
      </c>
      <c r="BQ1" s="14" t="s">
        <v>88</v>
      </c>
      <c r="BR1" s="14" t="s">
        <v>89</v>
      </c>
      <c r="BS1" s="11"/>
      <c r="BT1" s="13" t="s">
        <v>94</v>
      </c>
      <c r="BU1" s="13" t="s">
        <v>95</v>
      </c>
      <c r="BV1" s="14" t="s">
        <v>94</v>
      </c>
      <c r="BW1" s="14" t="s">
        <v>95</v>
      </c>
      <c r="BX1" s="11"/>
      <c r="BY1" s="13" t="s">
        <v>100</v>
      </c>
      <c r="BZ1" s="13" t="s">
        <v>101</v>
      </c>
      <c r="CA1" s="14" t="s">
        <v>100</v>
      </c>
      <c r="CB1" s="14" t="s">
        <v>101</v>
      </c>
      <c r="CC1" s="11"/>
      <c r="CD1" s="13" t="s">
        <v>106</v>
      </c>
      <c r="CE1" s="13" t="s">
        <v>107</v>
      </c>
      <c r="CF1" s="14" t="s">
        <v>106</v>
      </c>
      <c r="CG1" s="14" t="s">
        <v>107</v>
      </c>
      <c r="CH1" s="11"/>
      <c r="CI1" s="13" t="s">
        <v>112</v>
      </c>
      <c r="CJ1" s="13" t="s">
        <v>113</v>
      </c>
      <c r="CK1" s="14" t="s">
        <v>112</v>
      </c>
      <c r="CL1" s="14" t="s">
        <v>113</v>
      </c>
      <c r="CM1" s="11"/>
      <c r="CN1" s="13" t="s">
        <v>118</v>
      </c>
      <c r="CO1" s="13" t="s">
        <v>119</v>
      </c>
      <c r="CP1" s="14" t="s">
        <v>118</v>
      </c>
      <c r="CQ1" s="14" t="s">
        <v>119</v>
      </c>
      <c r="CR1" s="11"/>
      <c r="CS1" s="13" t="s">
        <v>124</v>
      </c>
      <c r="CT1" s="13" t="s">
        <v>125</v>
      </c>
      <c r="CU1" s="14" t="s">
        <v>124</v>
      </c>
      <c r="CV1" s="14" t="s">
        <v>125</v>
      </c>
      <c r="CW1" s="11"/>
      <c r="CX1" s="13" t="s">
        <v>130</v>
      </c>
      <c r="CY1" s="13" t="s">
        <v>131</v>
      </c>
      <c r="CZ1" s="14" t="s">
        <v>130</v>
      </c>
      <c r="DA1" s="14" t="s">
        <v>131</v>
      </c>
      <c r="DB1" s="11"/>
      <c r="DC1" s="13" t="s">
        <v>136</v>
      </c>
      <c r="DD1" s="13" t="s">
        <v>137</v>
      </c>
      <c r="DE1" s="14" t="s">
        <v>136</v>
      </c>
      <c r="DF1" s="14" t="s">
        <v>137</v>
      </c>
      <c r="DG1" s="11"/>
      <c r="DH1" s="13" t="s">
        <v>142</v>
      </c>
      <c r="DI1" s="13" t="s">
        <v>143</v>
      </c>
      <c r="DJ1" s="14" t="s">
        <v>142</v>
      </c>
      <c r="DK1" s="14" t="s">
        <v>143</v>
      </c>
      <c r="DL1" s="11"/>
      <c r="DM1" s="13" t="s">
        <v>148</v>
      </c>
      <c r="DN1" s="13" t="s">
        <v>149</v>
      </c>
      <c r="DO1" s="14" t="s">
        <v>148</v>
      </c>
      <c r="DP1" s="14" t="s">
        <v>149</v>
      </c>
      <c r="DQ1" s="11"/>
      <c r="DR1" s="13" t="s">
        <v>154</v>
      </c>
      <c r="DS1" s="13" t="s">
        <v>155</v>
      </c>
      <c r="DT1" s="14" t="s">
        <v>154</v>
      </c>
      <c r="DU1" s="14" t="s">
        <v>155</v>
      </c>
      <c r="DV1" s="11"/>
      <c r="DW1" s="13" t="s">
        <v>160</v>
      </c>
      <c r="DX1" s="13" t="s">
        <v>161</v>
      </c>
      <c r="DY1" s="14" t="s">
        <v>160</v>
      </c>
      <c r="DZ1" s="14" t="s">
        <v>161</v>
      </c>
      <c r="EA1" s="11"/>
      <c r="EB1" s="13" t="s">
        <v>166</v>
      </c>
      <c r="EC1" s="13" t="s">
        <v>167</v>
      </c>
      <c r="ED1" s="14" t="s">
        <v>166</v>
      </c>
      <c r="EE1" s="14" t="s">
        <v>167</v>
      </c>
      <c r="EF1" s="11"/>
      <c r="EG1" s="13" t="s">
        <v>172</v>
      </c>
      <c r="EH1" s="13" t="s">
        <v>173</v>
      </c>
      <c r="EI1" s="14" t="s">
        <v>172</v>
      </c>
      <c r="EJ1" s="14" t="s">
        <v>173</v>
      </c>
      <c r="EK1" s="11"/>
      <c r="EL1" s="13" t="s">
        <v>178</v>
      </c>
      <c r="EM1" s="13" t="s">
        <v>179</v>
      </c>
      <c r="EN1" s="14" t="s">
        <v>178</v>
      </c>
      <c r="EO1" s="14" t="s">
        <v>179</v>
      </c>
      <c r="EP1" s="11"/>
      <c r="EQ1" s="13" t="s">
        <v>184</v>
      </c>
      <c r="ER1" s="13" t="s">
        <v>185</v>
      </c>
      <c r="ES1" s="14" t="s">
        <v>184</v>
      </c>
      <c r="ET1" s="14" t="s">
        <v>185</v>
      </c>
      <c r="EU1" s="11"/>
      <c r="EV1" s="13" t="s">
        <v>190</v>
      </c>
      <c r="EW1" s="13" t="s">
        <v>191</v>
      </c>
      <c r="EX1" s="14" t="s">
        <v>190</v>
      </c>
      <c r="EY1" s="14" t="s">
        <v>191</v>
      </c>
      <c r="EZ1" s="11"/>
      <c r="FA1" s="13" t="s">
        <v>196</v>
      </c>
      <c r="FB1" s="13" t="s">
        <v>197</v>
      </c>
      <c r="FC1" s="14" t="s">
        <v>196</v>
      </c>
      <c r="FD1" s="14" t="s">
        <v>197</v>
      </c>
      <c r="FE1" s="11"/>
      <c r="FF1" s="13" t="s">
        <v>202</v>
      </c>
      <c r="FG1" s="13" t="s">
        <v>203</v>
      </c>
      <c r="FH1" s="14" t="s">
        <v>202</v>
      </c>
      <c r="FI1" s="14" t="s">
        <v>203</v>
      </c>
      <c r="FJ1" s="11"/>
      <c r="FK1" s="13" t="s">
        <v>208</v>
      </c>
      <c r="FL1" s="13" t="s">
        <v>209</v>
      </c>
      <c r="FM1" s="14" t="s">
        <v>208</v>
      </c>
      <c r="FN1" s="14" t="s">
        <v>209</v>
      </c>
      <c r="FO1" s="11"/>
      <c r="FP1" s="13" t="s">
        <v>214</v>
      </c>
      <c r="FQ1" s="13" t="s">
        <v>215</v>
      </c>
      <c r="FR1" s="14" t="s">
        <v>214</v>
      </c>
      <c r="FS1" s="14" t="s">
        <v>215</v>
      </c>
      <c r="FU1" s="5" t="s">
        <v>220</v>
      </c>
      <c r="FV1" s="5" t="s">
        <v>221</v>
      </c>
      <c r="FW1" s="5" t="s">
        <v>222</v>
      </c>
      <c r="FX1" s="5" t="s">
        <v>223</v>
      </c>
      <c r="FY1" s="5" t="s">
        <v>224</v>
      </c>
      <c r="FZ1" s="5" t="s">
        <v>225</v>
      </c>
      <c r="GA1" s="5" t="s">
        <v>226</v>
      </c>
      <c r="GB1" s="5" t="s">
        <v>227</v>
      </c>
      <c r="GC1" s="5" t="s">
        <v>228</v>
      </c>
      <c r="GD1" s="5" t="s">
        <v>229</v>
      </c>
      <c r="GE1" s="5" t="s">
        <v>230</v>
      </c>
      <c r="GF1" s="5" t="s">
        <v>231</v>
      </c>
      <c r="GG1" s="5" t="s">
        <v>233</v>
      </c>
      <c r="GH1" s="5" t="s">
        <v>234</v>
      </c>
    </row>
    <row r="2" spans="1:190" x14ac:dyDescent="0.2">
      <c r="A2" s="9" t="s">
        <v>1302</v>
      </c>
      <c r="B2" s="5" t="s">
        <v>4</v>
      </c>
      <c r="C2" s="5" t="s">
        <v>5</v>
      </c>
      <c r="D2" s="5" t="s">
        <v>6</v>
      </c>
      <c r="E2" s="5" t="s">
        <v>255</v>
      </c>
      <c r="F2" s="13" t="s">
        <v>256</v>
      </c>
      <c r="G2" s="2" t="s">
        <v>256</v>
      </c>
      <c r="H2" s="13" t="s">
        <v>257</v>
      </c>
      <c r="I2" s="2" t="s">
        <v>257</v>
      </c>
      <c r="J2" s="13" t="s">
        <v>258</v>
      </c>
      <c r="K2" s="2" t="s">
        <v>258</v>
      </c>
      <c r="L2" s="13" t="s">
        <v>259</v>
      </c>
      <c r="M2" s="2" t="s">
        <v>259</v>
      </c>
      <c r="N2" s="13" t="s">
        <v>260</v>
      </c>
      <c r="O2" s="2" t="s">
        <v>260</v>
      </c>
      <c r="P2" s="11"/>
      <c r="Q2" s="15" t="s">
        <v>261</v>
      </c>
      <c r="R2" s="13" t="s">
        <v>262</v>
      </c>
      <c r="S2" s="14" t="s">
        <v>261</v>
      </c>
      <c r="T2" s="14" t="s">
        <v>262</v>
      </c>
      <c r="U2" s="11"/>
      <c r="V2" s="13" t="s">
        <v>261</v>
      </c>
      <c r="W2" s="13" t="s">
        <v>262</v>
      </c>
      <c r="X2" s="14" t="s">
        <v>261</v>
      </c>
      <c r="Y2" s="14" t="s">
        <v>262</v>
      </c>
      <c r="Z2" s="11"/>
      <c r="AA2" s="13" t="s">
        <v>261</v>
      </c>
      <c r="AB2" s="13" t="s">
        <v>262</v>
      </c>
      <c r="AC2" s="14" t="s">
        <v>261</v>
      </c>
      <c r="AD2" s="14" t="s">
        <v>262</v>
      </c>
      <c r="AE2" s="11"/>
      <c r="AF2" s="13" t="s">
        <v>261</v>
      </c>
      <c r="AG2" s="13" t="s">
        <v>262</v>
      </c>
      <c r="AH2" s="14" t="s">
        <v>261</v>
      </c>
      <c r="AI2" s="14" t="s">
        <v>262</v>
      </c>
      <c r="AJ2" s="11"/>
      <c r="AK2" s="13" t="s">
        <v>261</v>
      </c>
      <c r="AL2" s="13" t="s">
        <v>262</v>
      </c>
      <c r="AM2" s="14" t="s">
        <v>261</v>
      </c>
      <c r="AN2" s="14" t="s">
        <v>262</v>
      </c>
      <c r="AO2" s="11"/>
      <c r="AP2" s="13" t="s">
        <v>261</v>
      </c>
      <c r="AQ2" s="13" t="s">
        <v>262</v>
      </c>
      <c r="AR2" s="14" t="s">
        <v>261</v>
      </c>
      <c r="AS2" s="14" t="s">
        <v>262</v>
      </c>
      <c r="AT2" s="11"/>
      <c r="AU2" s="13" t="s">
        <v>261</v>
      </c>
      <c r="AV2" s="13" t="s">
        <v>262</v>
      </c>
      <c r="AW2" s="14" t="s">
        <v>261</v>
      </c>
      <c r="AX2" s="14" t="s">
        <v>262</v>
      </c>
      <c r="AY2" s="11"/>
      <c r="AZ2" s="13" t="s">
        <v>261</v>
      </c>
      <c r="BA2" s="13" t="s">
        <v>262</v>
      </c>
      <c r="BB2" s="14" t="s">
        <v>261</v>
      </c>
      <c r="BC2" s="14" t="s">
        <v>262</v>
      </c>
      <c r="BD2" s="11"/>
      <c r="BE2" s="13" t="s">
        <v>261</v>
      </c>
      <c r="BF2" s="13" t="s">
        <v>262</v>
      </c>
      <c r="BG2" s="14" t="s">
        <v>261</v>
      </c>
      <c r="BH2" s="14" t="s">
        <v>262</v>
      </c>
      <c r="BI2" s="11"/>
      <c r="BJ2" s="13" t="s">
        <v>261</v>
      </c>
      <c r="BK2" s="13" t="s">
        <v>262</v>
      </c>
      <c r="BL2" s="14" t="s">
        <v>261</v>
      </c>
      <c r="BM2" s="14" t="s">
        <v>262</v>
      </c>
      <c r="BN2" s="11"/>
      <c r="BO2" s="13" t="s">
        <v>261</v>
      </c>
      <c r="BP2" s="13" t="s">
        <v>262</v>
      </c>
      <c r="BQ2" s="14" t="s">
        <v>261</v>
      </c>
      <c r="BR2" s="14" t="s">
        <v>262</v>
      </c>
      <c r="BS2" s="11"/>
      <c r="BT2" s="13" t="s">
        <v>261</v>
      </c>
      <c r="BU2" s="13" t="s">
        <v>262</v>
      </c>
      <c r="BV2" s="14" t="s">
        <v>261</v>
      </c>
      <c r="BW2" s="14" t="s">
        <v>262</v>
      </c>
      <c r="BX2" s="11"/>
      <c r="BY2" s="13" t="s">
        <v>261</v>
      </c>
      <c r="BZ2" s="13" t="s">
        <v>262</v>
      </c>
      <c r="CA2" s="14" t="s">
        <v>261</v>
      </c>
      <c r="CB2" s="14" t="s">
        <v>262</v>
      </c>
      <c r="CC2" s="11"/>
      <c r="CD2" s="13" t="s">
        <v>261</v>
      </c>
      <c r="CE2" s="13" t="s">
        <v>262</v>
      </c>
      <c r="CF2" s="14" t="s">
        <v>261</v>
      </c>
      <c r="CG2" s="14" t="s">
        <v>262</v>
      </c>
      <c r="CH2" s="11"/>
      <c r="CI2" s="13" t="s">
        <v>261</v>
      </c>
      <c r="CJ2" s="13" t="s">
        <v>262</v>
      </c>
      <c r="CK2" s="14" t="s">
        <v>261</v>
      </c>
      <c r="CL2" s="14" t="s">
        <v>262</v>
      </c>
      <c r="CM2" s="11"/>
      <c r="CN2" s="13" t="s">
        <v>261</v>
      </c>
      <c r="CO2" s="13" t="s">
        <v>262</v>
      </c>
      <c r="CP2" s="14" t="s">
        <v>261</v>
      </c>
      <c r="CQ2" s="14" t="s">
        <v>262</v>
      </c>
      <c r="CR2" s="11"/>
      <c r="CS2" s="13" t="s">
        <v>261</v>
      </c>
      <c r="CT2" s="13" t="s">
        <v>262</v>
      </c>
      <c r="CU2" s="14" t="s">
        <v>261</v>
      </c>
      <c r="CV2" s="14" t="s">
        <v>262</v>
      </c>
      <c r="CW2" s="11"/>
      <c r="CX2" s="13" t="s">
        <v>261</v>
      </c>
      <c r="CY2" s="13" t="s">
        <v>262</v>
      </c>
      <c r="CZ2" s="14" t="s">
        <v>261</v>
      </c>
      <c r="DA2" s="14" t="s">
        <v>262</v>
      </c>
      <c r="DB2" s="11"/>
      <c r="DC2" s="13" t="s">
        <v>261</v>
      </c>
      <c r="DD2" s="13" t="s">
        <v>262</v>
      </c>
      <c r="DE2" s="14" t="s">
        <v>261</v>
      </c>
      <c r="DF2" s="14" t="s">
        <v>262</v>
      </c>
      <c r="DG2" s="11"/>
      <c r="DH2" s="13" t="s">
        <v>261</v>
      </c>
      <c r="DI2" s="13" t="s">
        <v>262</v>
      </c>
      <c r="DJ2" s="14" t="s">
        <v>261</v>
      </c>
      <c r="DK2" s="14" t="s">
        <v>262</v>
      </c>
      <c r="DL2" s="11"/>
      <c r="DM2" s="13" t="s">
        <v>261</v>
      </c>
      <c r="DN2" s="13" t="s">
        <v>262</v>
      </c>
      <c r="DO2" s="14" t="s">
        <v>261</v>
      </c>
      <c r="DP2" s="14" t="s">
        <v>262</v>
      </c>
      <c r="DQ2" s="11"/>
      <c r="DR2" s="13" t="s">
        <v>261</v>
      </c>
      <c r="DS2" s="13" t="s">
        <v>262</v>
      </c>
      <c r="DT2" s="14" t="s">
        <v>261</v>
      </c>
      <c r="DU2" s="14" t="s">
        <v>262</v>
      </c>
      <c r="DV2" s="11"/>
      <c r="DW2" s="13" t="s">
        <v>261</v>
      </c>
      <c r="DX2" s="13" t="s">
        <v>262</v>
      </c>
      <c r="DY2" s="14" t="s">
        <v>261</v>
      </c>
      <c r="DZ2" s="14" t="s">
        <v>262</v>
      </c>
      <c r="EA2" s="11"/>
      <c r="EB2" s="13" t="s">
        <v>261</v>
      </c>
      <c r="EC2" s="13" t="s">
        <v>262</v>
      </c>
      <c r="ED2" s="14" t="s">
        <v>261</v>
      </c>
      <c r="EE2" s="14" t="s">
        <v>262</v>
      </c>
      <c r="EF2" s="11"/>
      <c r="EG2" s="13" t="s">
        <v>261</v>
      </c>
      <c r="EH2" s="13" t="s">
        <v>262</v>
      </c>
      <c r="EI2" s="14" t="s">
        <v>261</v>
      </c>
      <c r="EJ2" s="14" t="s">
        <v>262</v>
      </c>
      <c r="EK2" s="11"/>
      <c r="EL2" s="13" t="s">
        <v>261</v>
      </c>
      <c r="EM2" s="13" t="s">
        <v>262</v>
      </c>
      <c r="EN2" s="14" t="s">
        <v>261</v>
      </c>
      <c r="EO2" s="14" t="s">
        <v>262</v>
      </c>
      <c r="EP2" s="11"/>
      <c r="EQ2" s="13" t="s">
        <v>261</v>
      </c>
      <c r="ER2" s="13" t="s">
        <v>262</v>
      </c>
      <c r="ES2" s="14" t="s">
        <v>261</v>
      </c>
      <c r="ET2" s="14" t="s">
        <v>262</v>
      </c>
      <c r="EU2" s="11"/>
      <c r="EV2" s="13" t="s">
        <v>261</v>
      </c>
      <c r="EW2" s="13" t="s">
        <v>262</v>
      </c>
      <c r="EX2" s="14" t="s">
        <v>261</v>
      </c>
      <c r="EY2" s="14" t="s">
        <v>262</v>
      </c>
      <c r="EZ2" s="11"/>
      <c r="FA2" s="13" t="s">
        <v>261</v>
      </c>
      <c r="FB2" s="13" t="s">
        <v>262</v>
      </c>
      <c r="FC2" s="14" t="s">
        <v>261</v>
      </c>
      <c r="FD2" s="14" t="s">
        <v>262</v>
      </c>
      <c r="FE2" s="11"/>
      <c r="FF2" s="13" t="s">
        <v>261</v>
      </c>
      <c r="FG2" s="13" t="s">
        <v>262</v>
      </c>
      <c r="FH2" s="14" t="s">
        <v>261</v>
      </c>
      <c r="FI2" s="14" t="s">
        <v>262</v>
      </c>
      <c r="FJ2" s="11"/>
      <c r="FK2" s="13" t="s">
        <v>261</v>
      </c>
      <c r="FL2" s="13" t="s">
        <v>262</v>
      </c>
      <c r="FM2" s="14" t="s">
        <v>261</v>
      </c>
      <c r="FN2" s="14" t="s">
        <v>262</v>
      </c>
      <c r="FO2" s="11"/>
      <c r="FP2" s="13" t="s">
        <v>261</v>
      </c>
      <c r="FQ2" s="13" t="s">
        <v>262</v>
      </c>
      <c r="FR2" s="14" t="s">
        <v>261</v>
      </c>
      <c r="FS2" s="14" t="s">
        <v>262</v>
      </c>
      <c r="FU2" s="5" t="s">
        <v>267</v>
      </c>
      <c r="FV2" s="5" t="s">
        <v>268</v>
      </c>
      <c r="FW2" s="5" t="s">
        <v>269</v>
      </c>
      <c r="FX2" s="5" t="s">
        <v>270</v>
      </c>
      <c r="FY2" s="5" t="s">
        <v>271</v>
      </c>
      <c r="FZ2" s="5" t="s">
        <v>272</v>
      </c>
      <c r="GA2" s="5" t="s">
        <v>273</v>
      </c>
      <c r="GB2" s="5" t="s">
        <v>274</v>
      </c>
      <c r="GC2" s="5" t="s">
        <v>275</v>
      </c>
      <c r="GD2" s="5" t="s">
        <v>276</v>
      </c>
      <c r="GE2" s="5" t="s">
        <v>277</v>
      </c>
      <c r="GF2" s="5" t="s">
        <v>278</v>
      </c>
      <c r="GG2" s="5" t="s">
        <v>233</v>
      </c>
      <c r="GH2" s="5" t="s">
        <v>234</v>
      </c>
    </row>
    <row r="3" spans="1:190" x14ac:dyDescent="0.2">
      <c r="A3">
        <v>1</v>
      </c>
      <c r="B3">
        <v>100</v>
      </c>
      <c r="C3">
        <v>1198</v>
      </c>
      <c r="D3" s="7" t="s">
        <v>280</v>
      </c>
      <c r="E3" s="7" t="s">
        <v>286</v>
      </c>
      <c r="F3" s="7" t="s">
        <v>287</v>
      </c>
      <c r="G3" s="4" t="s">
        <v>312</v>
      </c>
      <c r="H3" s="7" t="s">
        <v>288</v>
      </c>
      <c r="I3" s="1">
        <v>5</v>
      </c>
      <c r="J3" s="7" t="s">
        <v>289</v>
      </c>
      <c r="K3" s="1">
        <v>1</v>
      </c>
      <c r="L3" s="7" t="s">
        <v>290</v>
      </c>
      <c r="M3" s="1">
        <v>4</v>
      </c>
      <c r="N3" s="7" t="s">
        <v>289</v>
      </c>
      <c r="O3" s="1">
        <v>1</v>
      </c>
      <c r="P3" s="12"/>
      <c r="Q3" s="7" t="s">
        <v>291</v>
      </c>
      <c r="R3" s="7" t="s">
        <v>292</v>
      </c>
      <c r="S3" s="1">
        <v>1</v>
      </c>
      <c r="T3" s="1">
        <v>5</v>
      </c>
      <c r="U3" s="12"/>
      <c r="V3" s="7" t="s">
        <v>293</v>
      </c>
      <c r="W3" s="7" t="s">
        <v>294</v>
      </c>
      <c r="X3" s="1">
        <v>2</v>
      </c>
      <c r="Y3" s="1">
        <v>7</v>
      </c>
      <c r="Z3" s="12"/>
      <c r="AA3" s="7" t="s">
        <v>293</v>
      </c>
      <c r="AB3" s="7" t="s">
        <v>294</v>
      </c>
      <c r="AC3" s="1">
        <v>2</v>
      </c>
      <c r="AD3" s="1">
        <v>7</v>
      </c>
      <c r="AE3" s="12"/>
      <c r="AF3" s="7" t="s">
        <v>295</v>
      </c>
      <c r="AG3" s="7" t="s">
        <v>296</v>
      </c>
      <c r="AH3" s="1">
        <v>5</v>
      </c>
      <c r="AI3" s="1">
        <v>6</v>
      </c>
      <c r="AJ3" s="12"/>
      <c r="AK3" s="7" t="s">
        <v>295</v>
      </c>
      <c r="AL3" s="7" t="s">
        <v>296</v>
      </c>
      <c r="AM3" s="1">
        <v>5</v>
      </c>
      <c r="AN3" s="1">
        <v>6</v>
      </c>
      <c r="AO3" s="12"/>
      <c r="AP3" s="7" t="s">
        <v>291</v>
      </c>
      <c r="AQ3" s="7" t="s">
        <v>292</v>
      </c>
      <c r="AR3" s="1">
        <v>1</v>
      </c>
      <c r="AS3" s="1">
        <v>5</v>
      </c>
      <c r="AT3" s="12"/>
      <c r="AU3" s="7" t="s">
        <v>293</v>
      </c>
      <c r="AV3" s="7" t="s">
        <v>294</v>
      </c>
      <c r="AW3" s="1">
        <v>2</v>
      </c>
      <c r="AX3" s="1">
        <v>7</v>
      </c>
      <c r="AY3" s="12"/>
      <c r="AZ3" s="7" t="s">
        <v>291</v>
      </c>
      <c r="BA3" s="7" t="s">
        <v>297</v>
      </c>
      <c r="BB3" s="1">
        <v>1</v>
      </c>
      <c r="BC3" s="1">
        <v>4</v>
      </c>
      <c r="BD3" s="12"/>
      <c r="BE3" s="7" t="s">
        <v>295</v>
      </c>
      <c r="BF3" s="7" t="s">
        <v>296</v>
      </c>
      <c r="BG3" s="1">
        <v>5</v>
      </c>
      <c r="BH3" s="1">
        <v>6</v>
      </c>
      <c r="BI3" s="12"/>
      <c r="BJ3" s="7" t="s">
        <v>298</v>
      </c>
      <c r="BK3" s="7" t="s">
        <v>292</v>
      </c>
      <c r="BL3" s="1">
        <v>3</v>
      </c>
      <c r="BM3" s="1">
        <v>5</v>
      </c>
      <c r="BN3" s="12"/>
      <c r="BO3" s="7" t="s">
        <v>291</v>
      </c>
      <c r="BP3" s="7" t="s">
        <v>296</v>
      </c>
      <c r="BQ3" s="1">
        <v>1</v>
      </c>
      <c r="BR3" s="1">
        <v>6</v>
      </c>
      <c r="BS3" s="12"/>
      <c r="BT3" s="7" t="s">
        <v>293</v>
      </c>
      <c r="BU3" s="7" t="s">
        <v>294</v>
      </c>
      <c r="BV3" s="1">
        <v>2</v>
      </c>
      <c r="BW3" s="1">
        <v>7</v>
      </c>
      <c r="BX3" s="12"/>
      <c r="BY3" s="7" t="s">
        <v>291</v>
      </c>
      <c r="BZ3" s="7" t="s">
        <v>292</v>
      </c>
      <c r="CA3" s="1">
        <v>1</v>
      </c>
      <c r="CB3" s="1">
        <v>5</v>
      </c>
      <c r="CC3" s="12"/>
      <c r="CD3" s="7" t="s">
        <v>295</v>
      </c>
      <c r="CE3" s="7" t="s">
        <v>296</v>
      </c>
      <c r="CF3" s="1">
        <v>5</v>
      </c>
      <c r="CG3" s="1">
        <v>6</v>
      </c>
      <c r="CH3" s="12"/>
      <c r="CI3" s="7" t="s">
        <v>298</v>
      </c>
      <c r="CJ3" s="7" t="s">
        <v>296</v>
      </c>
      <c r="CK3" s="1">
        <v>3</v>
      </c>
      <c r="CL3" s="1">
        <v>6</v>
      </c>
      <c r="CM3" s="12"/>
      <c r="CN3" s="7" t="s">
        <v>291</v>
      </c>
      <c r="CO3" s="7" t="s">
        <v>296</v>
      </c>
      <c r="CP3" s="1">
        <v>1</v>
      </c>
      <c r="CQ3" s="1">
        <v>6</v>
      </c>
      <c r="CR3" s="12"/>
      <c r="CS3" s="7" t="s">
        <v>293</v>
      </c>
      <c r="CT3" s="7" t="s">
        <v>296</v>
      </c>
      <c r="CU3" s="1">
        <v>2</v>
      </c>
      <c r="CV3" s="1">
        <v>6</v>
      </c>
      <c r="CW3" s="12"/>
      <c r="CX3" s="7" t="s">
        <v>299</v>
      </c>
      <c r="CY3" s="7" t="s">
        <v>296</v>
      </c>
      <c r="CZ3" s="1">
        <v>4</v>
      </c>
      <c r="DA3" s="1">
        <v>6</v>
      </c>
      <c r="DB3" s="12"/>
      <c r="DC3" s="7" t="s">
        <v>295</v>
      </c>
      <c r="DD3" s="7" t="s">
        <v>292</v>
      </c>
      <c r="DE3" s="1">
        <v>5</v>
      </c>
      <c r="DF3" s="1">
        <v>5</v>
      </c>
      <c r="DG3" s="12"/>
      <c r="DH3" s="7" t="s">
        <v>298</v>
      </c>
      <c r="DI3" s="7" t="s">
        <v>296</v>
      </c>
      <c r="DJ3" s="1">
        <v>3</v>
      </c>
      <c r="DK3" s="1">
        <v>6</v>
      </c>
      <c r="DL3" s="12"/>
      <c r="DM3" s="7" t="s">
        <v>291</v>
      </c>
      <c r="DN3" s="7" t="s">
        <v>292</v>
      </c>
      <c r="DO3" s="1">
        <v>1</v>
      </c>
      <c r="DP3" s="1">
        <v>5</v>
      </c>
      <c r="DQ3" s="12"/>
      <c r="DR3" s="7" t="s">
        <v>300</v>
      </c>
      <c r="DS3" s="7" t="s">
        <v>294</v>
      </c>
      <c r="DT3" s="1">
        <v>2</v>
      </c>
      <c r="DU3" s="1">
        <v>7</v>
      </c>
      <c r="DV3" s="12"/>
      <c r="DW3" s="7" t="s">
        <v>301</v>
      </c>
      <c r="DX3" s="7" t="s">
        <v>297</v>
      </c>
      <c r="DY3" s="1">
        <v>5</v>
      </c>
      <c r="DZ3" s="1">
        <v>4</v>
      </c>
      <c r="EA3" s="12"/>
      <c r="EB3" s="7" t="s">
        <v>291</v>
      </c>
      <c r="EC3" s="7" t="s">
        <v>296</v>
      </c>
      <c r="ED3" s="1">
        <v>1</v>
      </c>
      <c r="EE3" s="1">
        <v>6</v>
      </c>
      <c r="EF3" s="12"/>
      <c r="EG3" s="7" t="s">
        <v>300</v>
      </c>
      <c r="EH3" s="7" t="s">
        <v>294</v>
      </c>
      <c r="EI3" s="1">
        <v>2</v>
      </c>
      <c r="EJ3" s="1">
        <v>7</v>
      </c>
      <c r="EK3" s="12"/>
      <c r="EL3" s="7" t="s">
        <v>301</v>
      </c>
      <c r="EM3" s="7" t="s">
        <v>297</v>
      </c>
      <c r="EN3" s="1">
        <v>5</v>
      </c>
      <c r="EO3" s="1">
        <v>4</v>
      </c>
      <c r="EP3" s="12"/>
      <c r="EQ3" s="7" t="s">
        <v>291</v>
      </c>
      <c r="ER3" s="7" t="s">
        <v>296</v>
      </c>
      <c r="ES3" s="1">
        <v>1</v>
      </c>
      <c r="ET3" s="1">
        <v>6</v>
      </c>
      <c r="EU3" s="12"/>
      <c r="EV3" s="7" t="s">
        <v>300</v>
      </c>
      <c r="EW3" s="7" t="s">
        <v>294</v>
      </c>
      <c r="EX3" s="1">
        <v>2</v>
      </c>
      <c r="EY3" s="1">
        <v>7</v>
      </c>
      <c r="EZ3" s="12"/>
      <c r="FA3" s="7" t="s">
        <v>301</v>
      </c>
      <c r="FB3" s="7" t="s">
        <v>296</v>
      </c>
      <c r="FC3" s="1">
        <v>5</v>
      </c>
      <c r="FD3" s="1">
        <v>6</v>
      </c>
      <c r="FE3" s="12"/>
      <c r="FF3" s="7" t="s">
        <v>301</v>
      </c>
      <c r="FG3" s="7" t="s">
        <v>296</v>
      </c>
      <c r="FH3" s="1">
        <v>5</v>
      </c>
      <c r="FI3" s="1">
        <v>6</v>
      </c>
      <c r="FJ3" s="12"/>
      <c r="FK3" s="7" t="s">
        <v>300</v>
      </c>
      <c r="FL3" s="7" t="s">
        <v>294</v>
      </c>
      <c r="FM3" s="1">
        <v>2</v>
      </c>
      <c r="FN3" s="1">
        <v>7</v>
      </c>
      <c r="FO3" s="12"/>
      <c r="FP3" s="7" t="s">
        <v>291</v>
      </c>
      <c r="FQ3" s="7" t="s">
        <v>297</v>
      </c>
      <c r="FR3" s="1">
        <v>1</v>
      </c>
      <c r="FS3" s="1">
        <v>4</v>
      </c>
      <c r="FT3" s="10"/>
      <c r="FU3" s="7" t="s">
        <v>302</v>
      </c>
      <c r="FV3" s="7" t="s">
        <v>303</v>
      </c>
      <c r="FW3" s="7" t="s">
        <v>304</v>
      </c>
      <c r="FX3" s="7" t="s">
        <v>305</v>
      </c>
      <c r="FY3" s="7" t="s">
        <v>306</v>
      </c>
      <c r="FZ3" s="7" t="s">
        <v>307</v>
      </c>
      <c r="GA3" s="7" t="s">
        <v>308</v>
      </c>
      <c r="GB3" s="7" t="s">
        <v>309</v>
      </c>
      <c r="GC3" s="7" t="s">
        <v>310</v>
      </c>
      <c r="GD3" s="7" t="s">
        <v>310</v>
      </c>
      <c r="GE3" s="7" t="s">
        <v>282</v>
      </c>
      <c r="GF3" s="7" t="s">
        <v>311</v>
      </c>
      <c r="GG3" s="7" t="s">
        <v>356</v>
      </c>
      <c r="GH3" s="7" t="s">
        <v>313</v>
      </c>
    </row>
    <row r="4" spans="1:190" x14ac:dyDescent="0.2">
      <c r="A4">
        <v>2</v>
      </c>
      <c r="B4">
        <v>100</v>
      </c>
      <c r="C4">
        <v>1310</v>
      </c>
      <c r="D4" s="7" t="s">
        <v>280</v>
      </c>
      <c r="E4" s="7" t="s">
        <v>286</v>
      </c>
      <c r="F4" s="7" t="s">
        <v>316</v>
      </c>
      <c r="G4" s="4" t="s">
        <v>1280</v>
      </c>
      <c r="H4" s="7" t="s">
        <v>288</v>
      </c>
      <c r="I4" s="1">
        <v>5</v>
      </c>
      <c r="J4" s="7" t="s">
        <v>289</v>
      </c>
      <c r="K4" s="1">
        <v>1</v>
      </c>
      <c r="L4" s="7" t="s">
        <v>290</v>
      </c>
      <c r="M4" s="1">
        <v>4</v>
      </c>
      <c r="N4" s="7" t="s">
        <v>317</v>
      </c>
      <c r="O4" s="1">
        <v>2</v>
      </c>
      <c r="P4" s="12"/>
      <c r="Q4" s="7" t="s">
        <v>291</v>
      </c>
      <c r="R4" s="7" t="s">
        <v>292</v>
      </c>
      <c r="S4" s="1">
        <v>1</v>
      </c>
      <c r="T4" s="1">
        <v>5</v>
      </c>
      <c r="U4" s="12"/>
      <c r="V4" s="7" t="s">
        <v>293</v>
      </c>
      <c r="W4" s="7" t="s">
        <v>296</v>
      </c>
      <c r="X4" s="1">
        <v>2</v>
      </c>
      <c r="Y4" s="1">
        <v>6</v>
      </c>
      <c r="Z4" s="12"/>
      <c r="AA4" s="7" t="s">
        <v>299</v>
      </c>
      <c r="AB4" s="7" t="s">
        <v>292</v>
      </c>
      <c r="AC4" s="1">
        <v>4</v>
      </c>
      <c r="AD4" s="1">
        <v>5</v>
      </c>
      <c r="AE4" s="12"/>
      <c r="AF4" s="7" t="s">
        <v>295</v>
      </c>
      <c r="AG4" s="7" t="s">
        <v>292</v>
      </c>
      <c r="AH4" s="1">
        <v>5</v>
      </c>
      <c r="AI4" s="1">
        <v>5</v>
      </c>
      <c r="AJ4" s="12"/>
      <c r="AK4" s="7" t="s">
        <v>298</v>
      </c>
      <c r="AL4" s="7" t="s">
        <v>296</v>
      </c>
      <c r="AM4" s="1">
        <v>3</v>
      </c>
      <c r="AN4" s="1">
        <v>6</v>
      </c>
      <c r="AO4" s="12"/>
      <c r="AP4" s="7" t="s">
        <v>291</v>
      </c>
      <c r="AQ4" s="7" t="s">
        <v>297</v>
      </c>
      <c r="AR4" s="1">
        <v>1</v>
      </c>
      <c r="AS4" s="1">
        <v>4</v>
      </c>
      <c r="AT4" s="12"/>
      <c r="AU4" s="7" t="s">
        <v>293</v>
      </c>
      <c r="AV4" s="7" t="s">
        <v>296</v>
      </c>
      <c r="AW4" s="1">
        <v>2</v>
      </c>
      <c r="AX4" s="1">
        <v>6</v>
      </c>
      <c r="AY4" s="12"/>
      <c r="AZ4" s="7" t="s">
        <v>291</v>
      </c>
      <c r="BA4" s="7" t="s">
        <v>292</v>
      </c>
      <c r="BB4" s="1">
        <v>1</v>
      </c>
      <c r="BC4" s="1">
        <v>5</v>
      </c>
      <c r="BD4" s="12"/>
      <c r="BE4" s="7" t="s">
        <v>298</v>
      </c>
      <c r="BF4" s="7" t="s">
        <v>292</v>
      </c>
      <c r="BG4" s="1">
        <v>3</v>
      </c>
      <c r="BH4" s="1">
        <v>5</v>
      </c>
      <c r="BI4" s="12"/>
      <c r="BJ4" s="7" t="s">
        <v>295</v>
      </c>
      <c r="BK4" s="7" t="s">
        <v>292</v>
      </c>
      <c r="BL4" s="1">
        <v>5</v>
      </c>
      <c r="BM4" s="1">
        <v>5</v>
      </c>
      <c r="BN4" s="12"/>
      <c r="BO4" s="7" t="s">
        <v>291</v>
      </c>
      <c r="BP4" s="7" t="s">
        <v>297</v>
      </c>
      <c r="BQ4" s="1">
        <v>1</v>
      </c>
      <c r="BR4" s="1">
        <v>4</v>
      </c>
      <c r="BS4" s="12"/>
      <c r="BT4" s="7" t="s">
        <v>293</v>
      </c>
      <c r="BU4" s="7" t="s">
        <v>296</v>
      </c>
      <c r="BV4" s="1">
        <v>2</v>
      </c>
      <c r="BW4" s="1">
        <v>6</v>
      </c>
      <c r="BX4" s="12"/>
      <c r="BY4" s="7" t="s">
        <v>282</v>
      </c>
      <c r="BZ4" s="7" t="s">
        <v>292</v>
      </c>
      <c r="CA4" s="4" t="s">
        <v>282</v>
      </c>
      <c r="CB4" s="1">
        <v>5</v>
      </c>
      <c r="CC4" s="12"/>
      <c r="CD4" s="7" t="s">
        <v>299</v>
      </c>
      <c r="CE4" s="7" t="s">
        <v>292</v>
      </c>
      <c r="CF4" s="1">
        <v>4</v>
      </c>
      <c r="CG4" s="1">
        <v>5</v>
      </c>
      <c r="CH4" s="12"/>
      <c r="CI4" s="7" t="s">
        <v>298</v>
      </c>
      <c r="CJ4" s="7" t="s">
        <v>292</v>
      </c>
      <c r="CK4" s="1">
        <v>3</v>
      </c>
      <c r="CL4" s="1">
        <v>5</v>
      </c>
      <c r="CM4" s="12"/>
      <c r="CN4" s="7" t="s">
        <v>291</v>
      </c>
      <c r="CO4" s="7" t="s">
        <v>292</v>
      </c>
      <c r="CP4" s="1">
        <v>1</v>
      </c>
      <c r="CQ4" s="1">
        <v>5</v>
      </c>
      <c r="CR4" s="12"/>
      <c r="CS4" s="7" t="s">
        <v>293</v>
      </c>
      <c r="CT4" s="7" t="s">
        <v>296</v>
      </c>
      <c r="CU4" s="1">
        <v>2</v>
      </c>
      <c r="CV4" s="1">
        <v>6</v>
      </c>
      <c r="CW4" s="12"/>
      <c r="CX4" s="7" t="s">
        <v>298</v>
      </c>
      <c r="CY4" s="7" t="s">
        <v>292</v>
      </c>
      <c r="CZ4" s="1">
        <v>3</v>
      </c>
      <c r="DA4" s="1">
        <v>5</v>
      </c>
      <c r="DB4" s="12"/>
      <c r="DC4" s="7" t="s">
        <v>295</v>
      </c>
      <c r="DD4" s="7" t="s">
        <v>296</v>
      </c>
      <c r="DE4" s="1">
        <v>5</v>
      </c>
      <c r="DF4" s="1">
        <v>6</v>
      </c>
      <c r="DG4" s="12"/>
      <c r="DH4" s="7" t="s">
        <v>295</v>
      </c>
      <c r="DI4" s="7" t="s">
        <v>297</v>
      </c>
      <c r="DJ4" s="1">
        <v>5</v>
      </c>
      <c r="DK4" s="1">
        <v>4</v>
      </c>
      <c r="DL4" s="12"/>
      <c r="DM4" s="7" t="s">
        <v>291</v>
      </c>
      <c r="DN4" s="7" t="s">
        <v>292</v>
      </c>
      <c r="DO4" s="1">
        <v>1</v>
      </c>
      <c r="DP4" s="1">
        <v>5</v>
      </c>
      <c r="DQ4" s="12"/>
      <c r="DR4" s="7" t="s">
        <v>300</v>
      </c>
      <c r="DS4" s="7" t="s">
        <v>294</v>
      </c>
      <c r="DT4" s="1">
        <v>2</v>
      </c>
      <c r="DU4" s="1">
        <v>7</v>
      </c>
      <c r="DV4" s="12"/>
      <c r="DW4" s="7" t="s">
        <v>301</v>
      </c>
      <c r="DX4" s="7" t="s">
        <v>294</v>
      </c>
      <c r="DY4" s="1">
        <v>5</v>
      </c>
      <c r="DZ4" s="1">
        <v>7</v>
      </c>
      <c r="EA4" s="12"/>
      <c r="EB4" s="7" t="s">
        <v>291</v>
      </c>
      <c r="EC4" s="7" t="s">
        <v>294</v>
      </c>
      <c r="ED4" s="1">
        <v>1</v>
      </c>
      <c r="EE4" s="1">
        <v>7</v>
      </c>
      <c r="EF4" s="12"/>
      <c r="EG4" s="7" t="s">
        <v>300</v>
      </c>
      <c r="EH4" s="7" t="s">
        <v>296</v>
      </c>
      <c r="EI4" s="1">
        <v>2</v>
      </c>
      <c r="EJ4" s="1">
        <v>6</v>
      </c>
      <c r="EK4" s="12"/>
      <c r="EL4" s="7" t="s">
        <v>301</v>
      </c>
      <c r="EM4" s="7" t="s">
        <v>294</v>
      </c>
      <c r="EN4" s="1">
        <v>5</v>
      </c>
      <c r="EO4" s="1">
        <v>7</v>
      </c>
      <c r="EP4" s="12"/>
      <c r="EQ4" s="7" t="s">
        <v>291</v>
      </c>
      <c r="ER4" s="7" t="s">
        <v>296</v>
      </c>
      <c r="ES4" s="1">
        <v>1</v>
      </c>
      <c r="ET4" s="1">
        <v>6</v>
      </c>
      <c r="EU4" s="12"/>
      <c r="EV4" s="7" t="s">
        <v>300</v>
      </c>
      <c r="EW4" s="7" t="s">
        <v>296</v>
      </c>
      <c r="EX4" s="1">
        <v>2</v>
      </c>
      <c r="EY4" s="1">
        <v>6</v>
      </c>
      <c r="EZ4" s="12"/>
      <c r="FA4" s="7" t="s">
        <v>301</v>
      </c>
      <c r="FB4" s="7" t="s">
        <v>294</v>
      </c>
      <c r="FC4" s="1">
        <v>5</v>
      </c>
      <c r="FD4" s="1">
        <v>7</v>
      </c>
      <c r="FE4" s="12"/>
      <c r="FF4" s="7" t="s">
        <v>291</v>
      </c>
      <c r="FG4" s="7" t="s">
        <v>296</v>
      </c>
      <c r="FH4" s="1">
        <v>1</v>
      </c>
      <c r="FI4" s="1">
        <v>6</v>
      </c>
      <c r="FJ4" s="12"/>
      <c r="FK4" s="7" t="s">
        <v>300</v>
      </c>
      <c r="FL4" s="7" t="s">
        <v>294</v>
      </c>
      <c r="FM4" s="1">
        <v>2</v>
      </c>
      <c r="FN4" s="1">
        <v>7</v>
      </c>
      <c r="FO4" s="12"/>
      <c r="FP4" s="7" t="s">
        <v>291</v>
      </c>
      <c r="FQ4" s="7" t="s">
        <v>296</v>
      </c>
      <c r="FR4" s="1">
        <v>1</v>
      </c>
      <c r="FS4" s="1">
        <v>6</v>
      </c>
      <c r="FT4" s="10"/>
      <c r="FU4" s="7" t="s">
        <v>318</v>
      </c>
      <c r="FV4" s="7" t="s">
        <v>319</v>
      </c>
      <c r="FW4" s="7" t="s">
        <v>320</v>
      </c>
      <c r="FX4" s="7" t="s">
        <v>320</v>
      </c>
      <c r="FY4" s="7" t="s">
        <v>321</v>
      </c>
      <c r="FZ4" s="7" t="s">
        <v>321</v>
      </c>
      <c r="GA4" s="7" t="s">
        <v>322</v>
      </c>
      <c r="GB4" s="7" t="s">
        <v>323</v>
      </c>
      <c r="GC4" s="7" t="s">
        <v>324</v>
      </c>
      <c r="GD4" s="7" t="s">
        <v>324</v>
      </c>
      <c r="GE4" s="7" t="s">
        <v>282</v>
      </c>
      <c r="GF4" s="7" t="s">
        <v>282</v>
      </c>
      <c r="GG4" s="7" t="s">
        <v>372</v>
      </c>
      <c r="GH4" s="7" t="s">
        <v>325</v>
      </c>
    </row>
    <row r="5" spans="1:190" x14ac:dyDescent="0.2">
      <c r="A5">
        <v>3</v>
      </c>
      <c r="B5">
        <v>100</v>
      </c>
      <c r="C5">
        <v>2384</v>
      </c>
      <c r="D5" s="7" t="s">
        <v>280</v>
      </c>
      <c r="E5" s="7" t="s">
        <v>286</v>
      </c>
      <c r="F5" s="7" t="s">
        <v>328</v>
      </c>
      <c r="G5" s="4" t="s">
        <v>1222</v>
      </c>
      <c r="H5" s="7" t="s">
        <v>288</v>
      </c>
      <c r="I5" s="1">
        <v>5</v>
      </c>
      <c r="J5" s="7" t="s">
        <v>289</v>
      </c>
      <c r="K5" s="1">
        <v>1</v>
      </c>
      <c r="L5" s="7" t="s">
        <v>329</v>
      </c>
      <c r="M5" s="1">
        <v>3</v>
      </c>
      <c r="N5" s="7" t="s">
        <v>317</v>
      </c>
      <c r="O5" s="1">
        <v>2</v>
      </c>
      <c r="P5" s="12"/>
      <c r="Q5" s="7" t="s">
        <v>291</v>
      </c>
      <c r="R5" s="7" t="s">
        <v>296</v>
      </c>
      <c r="S5" s="1">
        <v>1</v>
      </c>
      <c r="T5" s="1">
        <v>6</v>
      </c>
      <c r="U5" s="12"/>
      <c r="V5" s="7" t="s">
        <v>293</v>
      </c>
      <c r="W5" s="7" t="s">
        <v>296</v>
      </c>
      <c r="X5" s="1">
        <v>2</v>
      </c>
      <c r="Y5" s="1">
        <v>6</v>
      </c>
      <c r="Z5" s="12"/>
      <c r="AA5" s="7" t="s">
        <v>293</v>
      </c>
      <c r="AB5" s="7" t="s">
        <v>296</v>
      </c>
      <c r="AC5" s="1">
        <v>2</v>
      </c>
      <c r="AD5" s="1">
        <v>6</v>
      </c>
      <c r="AE5" s="12"/>
      <c r="AF5" s="7" t="s">
        <v>295</v>
      </c>
      <c r="AG5" s="7" t="s">
        <v>292</v>
      </c>
      <c r="AH5" s="1">
        <v>5</v>
      </c>
      <c r="AI5" s="1">
        <v>5</v>
      </c>
      <c r="AJ5" s="12"/>
      <c r="AK5" s="7" t="s">
        <v>295</v>
      </c>
      <c r="AL5" s="7" t="s">
        <v>297</v>
      </c>
      <c r="AM5" s="1">
        <v>5</v>
      </c>
      <c r="AN5" s="1">
        <v>4</v>
      </c>
      <c r="AO5" s="12"/>
      <c r="AP5" s="7" t="s">
        <v>291</v>
      </c>
      <c r="AQ5" s="7" t="s">
        <v>296</v>
      </c>
      <c r="AR5" s="1">
        <v>1</v>
      </c>
      <c r="AS5" s="1">
        <v>6</v>
      </c>
      <c r="AT5" s="12"/>
      <c r="AU5" s="7" t="s">
        <v>293</v>
      </c>
      <c r="AV5" s="7" t="s">
        <v>296</v>
      </c>
      <c r="AW5" s="1">
        <v>2</v>
      </c>
      <c r="AX5" s="1">
        <v>6</v>
      </c>
      <c r="AY5" s="12"/>
      <c r="AZ5" s="7" t="s">
        <v>293</v>
      </c>
      <c r="BA5" s="7" t="s">
        <v>297</v>
      </c>
      <c r="BB5" s="1">
        <v>2</v>
      </c>
      <c r="BC5" s="1">
        <v>4</v>
      </c>
      <c r="BD5" s="12"/>
      <c r="BE5" s="7" t="s">
        <v>295</v>
      </c>
      <c r="BF5" s="7" t="s">
        <v>297</v>
      </c>
      <c r="BG5" s="1">
        <v>5</v>
      </c>
      <c r="BH5" s="1">
        <v>4</v>
      </c>
      <c r="BI5" s="12"/>
      <c r="BJ5" s="7" t="s">
        <v>298</v>
      </c>
      <c r="BK5" s="7" t="s">
        <v>292</v>
      </c>
      <c r="BL5" s="1">
        <v>3</v>
      </c>
      <c r="BM5" s="1">
        <v>5</v>
      </c>
      <c r="BN5" s="12"/>
      <c r="BO5" s="7" t="s">
        <v>291</v>
      </c>
      <c r="BP5" s="7" t="s">
        <v>296</v>
      </c>
      <c r="BQ5" s="1">
        <v>1</v>
      </c>
      <c r="BR5" s="1">
        <v>6</v>
      </c>
      <c r="BS5" s="12"/>
      <c r="BT5" s="7" t="s">
        <v>293</v>
      </c>
      <c r="BU5" s="7" t="s">
        <v>296</v>
      </c>
      <c r="BV5" s="1">
        <v>2</v>
      </c>
      <c r="BW5" s="1">
        <v>6</v>
      </c>
      <c r="BX5" s="12"/>
      <c r="BY5" s="7" t="s">
        <v>293</v>
      </c>
      <c r="BZ5" s="7" t="s">
        <v>292</v>
      </c>
      <c r="CA5" s="1">
        <v>2</v>
      </c>
      <c r="CB5" s="1">
        <v>5</v>
      </c>
      <c r="CC5" s="12"/>
      <c r="CD5" s="7" t="s">
        <v>298</v>
      </c>
      <c r="CE5" s="7" t="s">
        <v>292</v>
      </c>
      <c r="CF5" s="1">
        <v>3</v>
      </c>
      <c r="CG5" s="1">
        <v>5</v>
      </c>
      <c r="CH5" s="12"/>
      <c r="CI5" s="7" t="s">
        <v>298</v>
      </c>
      <c r="CJ5" s="7" t="s">
        <v>292</v>
      </c>
      <c r="CK5" s="1">
        <v>3</v>
      </c>
      <c r="CL5" s="1">
        <v>5</v>
      </c>
      <c r="CM5" s="12"/>
      <c r="CN5" s="7" t="s">
        <v>291</v>
      </c>
      <c r="CO5" s="7" t="s">
        <v>296</v>
      </c>
      <c r="CP5" s="1">
        <v>1</v>
      </c>
      <c r="CQ5" s="1">
        <v>6</v>
      </c>
      <c r="CR5" s="12"/>
      <c r="CS5" s="7" t="s">
        <v>293</v>
      </c>
      <c r="CT5" s="7" t="s">
        <v>296</v>
      </c>
      <c r="CU5" s="1">
        <v>2</v>
      </c>
      <c r="CV5" s="1">
        <v>6</v>
      </c>
      <c r="CW5" s="12"/>
      <c r="CX5" s="7" t="s">
        <v>299</v>
      </c>
      <c r="CY5" s="7" t="s">
        <v>297</v>
      </c>
      <c r="CZ5" s="1">
        <v>4</v>
      </c>
      <c r="DA5" s="1">
        <v>4</v>
      </c>
      <c r="DB5" s="12"/>
      <c r="DC5" s="7" t="s">
        <v>295</v>
      </c>
      <c r="DD5" s="7" t="s">
        <v>297</v>
      </c>
      <c r="DE5" s="1">
        <v>5</v>
      </c>
      <c r="DF5" s="1">
        <v>4</v>
      </c>
      <c r="DG5" s="12"/>
      <c r="DH5" s="7" t="s">
        <v>298</v>
      </c>
      <c r="DI5" s="7" t="s">
        <v>292</v>
      </c>
      <c r="DJ5" s="1">
        <v>3</v>
      </c>
      <c r="DK5" s="1">
        <v>5</v>
      </c>
      <c r="DL5" s="12"/>
      <c r="DM5" s="7" t="s">
        <v>291</v>
      </c>
      <c r="DN5" s="7" t="s">
        <v>296</v>
      </c>
      <c r="DO5" s="1">
        <v>1</v>
      </c>
      <c r="DP5" s="1">
        <v>6</v>
      </c>
      <c r="DQ5" s="12"/>
      <c r="DR5" s="7" t="s">
        <v>300</v>
      </c>
      <c r="DS5" s="7" t="s">
        <v>294</v>
      </c>
      <c r="DT5" s="1">
        <v>2</v>
      </c>
      <c r="DU5" s="1">
        <v>7</v>
      </c>
      <c r="DV5" s="12"/>
      <c r="DW5" s="7" t="s">
        <v>282</v>
      </c>
      <c r="DX5" s="7" t="s">
        <v>330</v>
      </c>
      <c r="DY5" s="4" t="s">
        <v>282</v>
      </c>
      <c r="DZ5" s="1">
        <v>3</v>
      </c>
      <c r="EA5" s="12"/>
      <c r="EB5" s="7" t="s">
        <v>291</v>
      </c>
      <c r="EC5" s="7" t="s">
        <v>292</v>
      </c>
      <c r="ED5" s="1">
        <v>1</v>
      </c>
      <c r="EE5" s="1">
        <v>5</v>
      </c>
      <c r="EF5" s="12"/>
      <c r="EG5" s="7" t="s">
        <v>300</v>
      </c>
      <c r="EH5" s="7" t="s">
        <v>294</v>
      </c>
      <c r="EI5" s="1">
        <v>2</v>
      </c>
      <c r="EJ5" s="1">
        <v>7</v>
      </c>
      <c r="EK5" s="12"/>
      <c r="EL5" s="7" t="s">
        <v>301</v>
      </c>
      <c r="EM5" s="7" t="s">
        <v>297</v>
      </c>
      <c r="EN5" s="1">
        <v>5</v>
      </c>
      <c r="EO5" s="1">
        <v>4</v>
      </c>
      <c r="EP5" s="12"/>
      <c r="EQ5" s="7" t="s">
        <v>291</v>
      </c>
      <c r="ER5" s="7" t="s">
        <v>297</v>
      </c>
      <c r="ES5" s="1">
        <v>1</v>
      </c>
      <c r="ET5" s="1">
        <v>4</v>
      </c>
      <c r="EU5" s="12"/>
      <c r="EV5" s="7" t="s">
        <v>300</v>
      </c>
      <c r="EW5" s="7" t="s">
        <v>294</v>
      </c>
      <c r="EX5" s="1">
        <v>2</v>
      </c>
      <c r="EY5" s="1">
        <v>7</v>
      </c>
      <c r="EZ5" s="12"/>
      <c r="FA5" s="7" t="s">
        <v>301</v>
      </c>
      <c r="FB5" s="7" t="s">
        <v>292</v>
      </c>
      <c r="FC5" s="1">
        <v>5</v>
      </c>
      <c r="FD5" s="1">
        <v>5</v>
      </c>
      <c r="FE5" s="12"/>
      <c r="FF5" s="7" t="s">
        <v>301</v>
      </c>
      <c r="FG5" s="7" t="s">
        <v>297</v>
      </c>
      <c r="FH5" s="1">
        <v>5</v>
      </c>
      <c r="FI5" s="1">
        <v>4</v>
      </c>
      <c r="FJ5" s="12"/>
      <c r="FK5" s="7" t="s">
        <v>300</v>
      </c>
      <c r="FL5" s="7" t="s">
        <v>296</v>
      </c>
      <c r="FM5" s="1">
        <v>2</v>
      </c>
      <c r="FN5" s="1">
        <v>6</v>
      </c>
      <c r="FO5" s="12"/>
      <c r="FP5" s="7" t="s">
        <v>291</v>
      </c>
      <c r="FQ5" s="7" t="s">
        <v>297</v>
      </c>
      <c r="FR5" s="1">
        <v>1</v>
      </c>
      <c r="FS5" s="1">
        <v>4</v>
      </c>
      <c r="FT5" s="10"/>
      <c r="FU5" s="7" t="s">
        <v>331</v>
      </c>
      <c r="FV5" s="7" t="s">
        <v>332</v>
      </c>
      <c r="FW5" s="7" t="s">
        <v>333</v>
      </c>
      <c r="FX5" s="7" t="s">
        <v>334</v>
      </c>
      <c r="FY5" s="7" t="s">
        <v>335</v>
      </c>
      <c r="FZ5" s="7" t="s">
        <v>336</v>
      </c>
      <c r="GA5" s="7" t="s">
        <v>337</v>
      </c>
      <c r="GB5" s="7" t="s">
        <v>338</v>
      </c>
      <c r="GC5" s="7" t="s">
        <v>339</v>
      </c>
      <c r="GD5" s="7" t="s">
        <v>340</v>
      </c>
      <c r="GE5" s="7" t="s">
        <v>341</v>
      </c>
      <c r="GF5" s="7" t="s">
        <v>282</v>
      </c>
      <c r="GG5" s="7" t="s">
        <v>372</v>
      </c>
      <c r="GH5" s="7" t="s">
        <v>325</v>
      </c>
    </row>
    <row r="6" spans="1:190" x14ac:dyDescent="0.2">
      <c r="A6">
        <v>4</v>
      </c>
      <c r="B6">
        <v>100</v>
      </c>
      <c r="C6">
        <v>810</v>
      </c>
      <c r="D6" s="7" t="s">
        <v>280</v>
      </c>
      <c r="E6" s="7" t="s">
        <v>286</v>
      </c>
      <c r="F6" s="7" t="s">
        <v>287</v>
      </c>
      <c r="G6" s="4" t="s">
        <v>312</v>
      </c>
      <c r="H6" s="7" t="s">
        <v>288</v>
      </c>
      <c r="I6" s="1">
        <v>5</v>
      </c>
      <c r="J6" s="7" t="s">
        <v>289</v>
      </c>
      <c r="K6" s="1">
        <v>1</v>
      </c>
      <c r="L6" s="7" t="s">
        <v>317</v>
      </c>
      <c r="M6" s="1">
        <v>2</v>
      </c>
      <c r="N6" s="7" t="s">
        <v>317</v>
      </c>
      <c r="O6" s="1">
        <v>2</v>
      </c>
      <c r="P6" s="12"/>
      <c r="Q6" s="7" t="s">
        <v>291</v>
      </c>
      <c r="R6" s="7" t="s">
        <v>292</v>
      </c>
      <c r="S6" s="1">
        <v>1</v>
      </c>
      <c r="T6" s="1">
        <v>5</v>
      </c>
      <c r="U6" s="12"/>
      <c r="V6" s="7" t="s">
        <v>299</v>
      </c>
      <c r="W6" s="7" t="s">
        <v>292</v>
      </c>
      <c r="X6" s="1">
        <v>4</v>
      </c>
      <c r="Y6" s="1">
        <v>5</v>
      </c>
      <c r="Z6" s="12"/>
      <c r="AA6" s="7" t="s">
        <v>293</v>
      </c>
      <c r="AB6" s="7" t="s">
        <v>296</v>
      </c>
      <c r="AC6" s="1">
        <v>2</v>
      </c>
      <c r="AD6" s="1">
        <v>6</v>
      </c>
      <c r="AE6" s="12"/>
      <c r="AF6" s="7" t="s">
        <v>295</v>
      </c>
      <c r="AG6" s="7" t="s">
        <v>292</v>
      </c>
      <c r="AH6" s="1">
        <v>5</v>
      </c>
      <c r="AI6" s="1">
        <v>5</v>
      </c>
      <c r="AJ6" s="12"/>
      <c r="AK6" s="7" t="s">
        <v>295</v>
      </c>
      <c r="AL6" s="7" t="s">
        <v>292</v>
      </c>
      <c r="AM6" s="1">
        <v>5</v>
      </c>
      <c r="AN6" s="1">
        <v>5</v>
      </c>
      <c r="AO6" s="12"/>
      <c r="AP6" s="7" t="s">
        <v>291</v>
      </c>
      <c r="AQ6" s="7" t="s">
        <v>296</v>
      </c>
      <c r="AR6" s="1">
        <v>1</v>
      </c>
      <c r="AS6" s="1">
        <v>6</v>
      </c>
      <c r="AT6" s="12"/>
      <c r="AU6" s="7" t="s">
        <v>293</v>
      </c>
      <c r="AV6" s="7" t="s">
        <v>292</v>
      </c>
      <c r="AW6" s="1">
        <v>2</v>
      </c>
      <c r="AX6" s="1">
        <v>5</v>
      </c>
      <c r="AY6" s="12"/>
      <c r="AZ6" s="7" t="s">
        <v>291</v>
      </c>
      <c r="BA6" s="7" t="s">
        <v>297</v>
      </c>
      <c r="BB6" s="1">
        <v>1</v>
      </c>
      <c r="BC6" s="1">
        <v>4</v>
      </c>
      <c r="BD6" s="12"/>
      <c r="BE6" s="7" t="s">
        <v>298</v>
      </c>
      <c r="BF6" s="7" t="s">
        <v>297</v>
      </c>
      <c r="BG6" s="1">
        <v>3</v>
      </c>
      <c r="BH6" s="1">
        <v>4</v>
      </c>
      <c r="BI6" s="12"/>
      <c r="BJ6" s="7" t="s">
        <v>298</v>
      </c>
      <c r="BK6" s="7" t="s">
        <v>292</v>
      </c>
      <c r="BL6" s="1">
        <v>3</v>
      </c>
      <c r="BM6" s="1">
        <v>5</v>
      </c>
      <c r="BN6" s="12"/>
      <c r="BO6" s="7" t="s">
        <v>291</v>
      </c>
      <c r="BP6" s="7" t="s">
        <v>292</v>
      </c>
      <c r="BQ6" s="1">
        <v>1</v>
      </c>
      <c r="BR6" s="1">
        <v>5</v>
      </c>
      <c r="BS6" s="12"/>
      <c r="BT6" s="7" t="s">
        <v>299</v>
      </c>
      <c r="BU6" s="7" t="s">
        <v>292</v>
      </c>
      <c r="BV6" s="1">
        <v>4</v>
      </c>
      <c r="BW6" s="1">
        <v>5</v>
      </c>
      <c r="BX6" s="12"/>
      <c r="BY6" s="7" t="s">
        <v>291</v>
      </c>
      <c r="BZ6" s="7" t="s">
        <v>292</v>
      </c>
      <c r="CA6" s="1">
        <v>1</v>
      </c>
      <c r="CB6" s="1">
        <v>5</v>
      </c>
      <c r="CC6" s="12"/>
      <c r="CD6" s="7" t="s">
        <v>295</v>
      </c>
      <c r="CE6" s="7" t="s">
        <v>292</v>
      </c>
      <c r="CF6" s="1">
        <v>5</v>
      </c>
      <c r="CG6" s="1">
        <v>5</v>
      </c>
      <c r="CH6" s="12"/>
      <c r="CI6" s="7" t="s">
        <v>291</v>
      </c>
      <c r="CJ6" s="7" t="s">
        <v>292</v>
      </c>
      <c r="CK6" s="1">
        <v>1</v>
      </c>
      <c r="CL6" s="1">
        <v>5</v>
      </c>
      <c r="CM6" s="12"/>
      <c r="CN6" s="7" t="s">
        <v>291</v>
      </c>
      <c r="CO6" s="7" t="s">
        <v>292</v>
      </c>
      <c r="CP6" s="1">
        <v>1</v>
      </c>
      <c r="CQ6" s="1">
        <v>5</v>
      </c>
      <c r="CR6" s="12"/>
      <c r="CS6" s="7" t="s">
        <v>299</v>
      </c>
      <c r="CT6" s="7" t="s">
        <v>292</v>
      </c>
      <c r="CU6" s="1">
        <v>4</v>
      </c>
      <c r="CV6" s="1">
        <v>5</v>
      </c>
      <c r="CW6" s="12"/>
      <c r="CX6" s="7" t="s">
        <v>291</v>
      </c>
      <c r="CY6" s="7" t="s">
        <v>292</v>
      </c>
      <c r="CZ6" s="1">
        <v>1</v>
      </c>
      <c r="DA6" s="1">
        <v>5</v>
      </c>
      <c r="DB6" s="12"/>
      <c r="DC6" s="7" t="s">
        <v>295</v>
      </c>
      <c r="DD6" s="7" t="s">
        <v>297</v>
      </c>
      <c r="DE6" s="1">
        <v>5</v>
      </c>
      <c r="DF6" s="1">
        <v>4</v>
      </c>
      <c r="DG6" s="12"/>
      <c r="DH6" s="7" t="s">
        <v>291</v>
      </c>
      <c r="DI6" s="7" t="s">
        <v>292</v>
      </c>
      <c r="DJ6" s="1">
        <v>1</v>
      </c>
      <c r="DK6" s="1">
        <v>5</v>
      </c>
      <c r="DL6" s="12"/>
      <c r="DM6" s="7" t="s">
        <v>291</v>
      </c>
      <c r="DN6" s="7" t="s">
        <v>292</v>
      </c>
      <c r="DO6" s="1">
        <v>1</v>
      </c>
      <c r="DP6" s="1">
        <v>5</v>
      </c>
      <c r="DQ6" s="12"/>
      <c r="DR6" s="7" t="s">
        <v>300</v>
      </c>
      <c r="DS6" s="7" t="s">
        <v>296</v>
      </c>
      <c r="DT6" s="1">
        <v>2</v>
      </c>
      <c r="DU6" s="1">
        <v>6</v>
      </c>
      <c r="DV6" s="12"/>
      <c r="DW6" s="7" t="s">
        <v>300</v>
      </c>
      <c r="DX6" s="7" t="s">
        <v>292</v>
      </c>
      <c r="DY6" s="1">
        <v>2</v>
      </c>
      <c r="DZ6" s="1">
        <v>5</v>
      </c>
      <c r="EA6" s="12"/>
      <c r="EB6" s="7" t="s">
        <v>291</v>
      </c>
      <c r="EC6" s="7" t="s">
        <v>292</v>
      </c>
      <c r="ED6" s="1">
        <v>1</v>
      </c>
      <c r="EE6" s="1">
        <v>5</v>
      </c>
      <c r="EF6" s="12"/>
      <c r="EG6" s="7" t="s">
        <v>291</v>
      </c>
      <c r="EH6" s="7" t="s">
        <v>292</v>
      </c>
      <c r="EI6" s="1">
        <v>1</v>
      </c>
      <c r="EJ6" s="1">
        <v>5</v>
      </c>
      <c r="EK6" s="12"/>
      <c r="EL6" s="7" t="s">
        <v>300</v>
      </c>
      <c r="EM6" s="7" t="s">
        <v>292</v>
      </c>
      <c r="EN6" s="1">
        <v>2</v>
      </c>
      <c r="EO6" s="1">
        <v>5</v>
      </c>
      <c r="EP6" s="12"/>
      <c r="EQ6" s="7" t="s">
        <v>291</v>
      </c>
      <c r="ER6" s="7" t="s">
        <v>292</v>
      </c>
      <c r="ES6" s="1">
        <v>1</v>
      </c>
      <c r="ET6" s="1">
        <v>5</v>
      </c>
      <c r="EU6" s="12"/>
      <c r="EV6" s="7" t="s">
        <v>300</v>
      </c>
      <c r="EW6" s="7" t="s">
        <v>292</v>
      </c>
      <c r="EX6" s="1">
        <v>2</v>
      </c>
      <c r="EY6" s="1">
        <v>5</v>
      </c>
      <c r="EZ6" s="12"/>
      <c r="FA6" s="7" t="s">
        <v>291</v>
      </c>
      <c r="FB6" s="7" t="s">
        <v>292</v>
      </c>
      <c r="FC6" s="1">
        <v>1</v>
      </c>
      <c r="FD6" s="1">
        <v>5</v>
      </c>
      <c r="FE6" s="12"/>
      <c r="FF6" s="7" t="s">
        <v>291</v>
      </c>
      <c r="FG6" s="7" t="s">
        <v>292</v>
      </c>
      <c r="FH6" s="1">
        <v>1</v>
      </c>
      <c r="FI6" s="1">
        <v>5</v>
      </c>
      <c r="FJ6" s="12"/>
      <c r="FK6" s="7" t="s">
        <v>300</v>
      </c>
      <c r="FL6" s="7" t="s">
        <v>296</v>
      </c>
      <c r="FM6" s="1">
        <v>2</v>
      </c>
      <c r="FN6" s="1">
        <v>6</v>
      </c>
      <c r="FO6" s="12"/>
      <c r="FP6" s="7" t="s">
        <v>291</v>
      </c>
      <c r="FQ6" s="7" t="s">
        <v>292</v>
      </c>
      <c r="FR6" s="1">
        <v>1</v>
      </c>
      <c r="FS6" s="1">
        <v>5</v>
      </c>
      <c r="FT6" s="10"/>
      <c r="FU6" s="7" t="s">
        <v>344</v>
      </c>
      <c r="FV6" s="7" t="s">
        <v>345</v>
      </c>
      <c r="FW6" s="7" t="s">
        <v>346</v>
      </c>
      <c r="FX6" s="7" t="s">
        <v>347</v>
      </c>
      <c r="FY6" s="7" t="s">
        <v>348</v>
      </c>
      <c r="FZ6" s="7" t="s">
        <v>349</v>
      </c>
      <c r="GA6" s="7" t="s">
        <v>350</v>
      </c>
      <c r="GB6" s="7" t="s">
        <v>351</v>
      </c>
      <c r="GC6" s="7" t="s">
        <v>352</v>
      </c>
      <c r="GD6" s="7" t="s">
        <v>353</v>
      </c>
      <c r="GE6" s="7" t="s">
        <v>354</v>
      </c>
      <c r="GF6" s="7" t="s">
        <v>355</v>
      </c>
      <c r="GG6" s="7" t="s">
        <v>356</v>
      </c>
      <c r="GH6" s="7" t="s">
        <v>313</v>
      </c>
    </row>
    <row r="7" spans="1:190" x14ac:dyDescent="0.2">
      <c r="A7">
        <v>5</v>
      </c>
      <c r="B7">
        <v>100</v>
      </c>
      <c r="C7">
        <v>1293</v>
      </c>
      <c r="D7" s="7" t="s">
        <v>280</v>
      </c>
      <c r="E7" s="7" t="s">
        <v>359</v>
      </c>
      <c r="F7" s="7" t="s">
        <v>360</v>
      </c>
      <c r="G7" s="4" t="s">
        <v>1281</v>
      </c>
      <c r="H7" s="7" t="s">
        <v>288</v>
      </c>
      <c r="I7" s="1">
        <v>5</v>
      </c>
      <c r="J7" s="7" t="s">
        <v>289</v>
      </c>
      <c r="K7" s="1">
        <v>1</v>
      </c>
      <c r="L7" s="7" t="s">
        <v>289</v>
      </c>
      <c r="M7" s="1">
        <v>1</v>
      </c>
      <c r="N7" s="7" t="s">
        <v>317</v>
      </c>
      <c r="O7" s="1">
        <v>2</v>
      </c>
      <c r="P7" s="12"/>
      <c r="Q7" s="7" t="s">
        <v>291</v>
      </c>
      <c r="R7" s="7" t="s">
        <v>292</v>
      </c>
      <c r="S7" s="1">
        <v>1</v>
      </c>
      <c r="T7" s="1">
        <v>5</v>
      </c>
      <c r="U7" s="12"/>
      <c r="V7" s="7" t="s">
        <v>293</v>
      </c>
      <c r="W7" s="7" t="s">
        <v>296</v>
      </c>
      <c r="X7" s="1">
        <v>2</v>
      </c>
      <c r="Y7" s="1">
        <v>6</v>
      </c>
      <c r="Z7" s="12"/>
      <c r="AA7" s="7" t="s">
        <v>293</v>
      </c>
      <c r="AB7" s="7" t="s">
        <v>296</v>
      </c>
      <c r="AC7" s="1">
        <v>2</v>
      </c>
      <c r="AD7" s="1">
        <v>6</v>
      </c>
      <c r="AE7" s="12"/>
      <c r="AF7" s="7" t="s">
        <v>295</v>
      </c>
      <c r="AG7" s="7" t="s">
        <v>292</v>
      </c>
      <c r="AH7" s="1">
        <v>5</v>
      </c>
      <c r="AI7" s="1">
        <v>5</v>
      </c>
      <c r="AJ7" s="12"/>
      <c r="AK7" s="7" t="s">
        <v>299</v>
      </c>
      <c r="AL7" s="7" t="s">
        <v>297</v>
      </c>
      <c r="AM7" s="1">
        <v>4</v>
      </c>
      <c r="AN7" s="1">
        <v>4</v>
      </c>
      <c r="AO7" s="12"/>
      <c r="AP7" s="7" t="s">
        <v>291</v>
      </c>
      <c r="AQ7" s="7" t="s">
        <v>292</v>
      </c>
      <c r="AR7" s="1">
        <v>1</v>
      </c>
      <c r="AS7" s="1">
        <v>5</v>
      </c>
      <c r="AT7" s="12"/>
      <c r="AU7" s="7" t="s">
        <v>293</v>
      </c>
      <c r="AV7" s="7" t="s">
        <v>292</v>
      </c>
      <c r="AW7" s="1">
        <v>2</v>
      </c>
      <c r="AX7" s="1">
        <v>5</v>
      </c>
      <c r="AY7" s="12"/>
      <c r="AZ7" s="7" t="s">
        <v>291</v>
      </c>
      <c r="BA7" s="7" t="s">
        <v>292</v>
      </c>
      <c r="BB7" s="1">
        <v>1</v>
      </c>
      <c r="BC7" s="1">
        <v>5</v>
      </c>
      <c r="BD7" s="12"/>
      <c r="BE7" s="7" t="s">
        <v>299</v>
      </c>
      <c r="BF7" s="7" t="s">
        <v>294</v>
      </c>
      <c r="BG7" s="1">
        <v>4</v>
      </c>
      <c r="BH7" s="1">
        <v>7</v>
      </c>
      <c r="BI7" s="12"/>
      <c r="BJ7" s="7" t="s">
        <v>298</v>
      </c>
      <c r="BK7" s="7" t="s">
        <v>292</v>
      </c>
      <c r="BL7" s="1">
        <v>3</v>
      </c>
      <c r="BM7" s="1">
        <v>5</v>
      </c>
      <c r="BN7" s="12"/>
      <c r="BO7" s="7" t="s">
        <v>291</v>
      </c>
      <c r="BP7" s="7" t="s">
        <v>292</v>
      </c>
      <c r="BQ7" s="1">
        <v>1</v>
      </c>
      <c r="BR7" s="1">
        <v>5</v>
      </c>
      <c r="BS7" s="12"/>
      <c r="BT7" s="7" t="s">
        <v>293</v>
      </c>
      <c r="BU7" s="7" t="s">
        <v>292</v>
      </c>
      <c r="BV7" s="1">
        <v>2</v>
      </c>
      <c r="BW7" s="1">
        <v>5</v>
      </c>
      <c r="BX7" s="12"/>
      <c r="BY7" s="7" t="s">
        <v>291</v>
      </c>
      <c r="BZ7" s="7" t="s">
        <v>292</v>
      </c>
      <c r="CA7" s="1">
        <v>1</v>
      </c>
      <c r="CB7" s="1">
        <v>5</v>
      </c>
      <c r="CC7" s="12"/>
      <c r="CD7" s="7" t="s">
        <v>295</v>
      </c>
      <c r="CE7" s="7" t="s">
        <v>296</v>
      </c>
      <c r="CF7" s="1">
        <v>5</v>
      </c>
      <c r="CG7" s="1">
        <v>6</v>
      </c>
      <c r="CH7" s="12"/>
      <c r="CI7" s="7" t="s">
        <v>298</v>
      </c>
      <c r="CJ7" s="7" t="s">
        <v>292</v>
      </c>
      <c r="CK7" s="1">
        <v>3</v>
      </c>
      <c r="CL7" s="1">
        <v>5</v>
      </c>
      <c r="CM7" s="12"/>
      <c r="CN7" s="7" t="s">
        <v>291</v>
      </c>
      <c r="CO7" s="7" t="s">
        <v>292</v>
      </c>
      <c r="CP7" s="1">
        <v>1</v>
      </c>
      <c r="CQ7" s="1">
        <v>5</v>
      </c>
      <c r="CR7" s="12"/>
      <c r="CS7" s="7" t="s">
        <v>293</v>
      </c>
      <c r="CT7" s="7" t="s">
        <v>296</v>
      </c>
      <c r="CU7" s="1">
        <v>2</v>
      </c>
      <c r="CV7" s="1">
        <v>6</v>
      </c>
      <c r="CW7" s="12"/>
      <c r="CX7" s="7" t="s">
        <v>299</v>
      </c>
      <c r="CY7" s="7" t="s">
        <v>292</v>
      </c>
      <c r="CZ7" s="1">
        <v>4</v>
      </c>
      <c r="DA7" s="1">
        <v>5</v>
      </c>
      <c r="DB7" s="12"/>
      <c r="DC7" s="7" t="s">
        <v>295</v>
      </c>
      <c r="DD7" s="7" t="s">
        <v>292</v>
      </c>
      <c r="DE7" s="1">
        <v>5</v>
      </c>
      <c r="DF7" s="1">
        <v>5</v>
      </c>
      <c r="DG7" s="12"/>
      <c r="DH7" s="7" t="s">
        <v>298</v>
      </c>
      <c r="DI7" s="7" t="s">
        <v>292</v>
      </c>
      <c r="DJ7" s="1">
        <v>3</v>
      </c>
      <c r="DK7" s="1">
        <v>5</v>
      </c>
      <c r="DL7" s="12"/>
      <c r="DM7" s="7" t="s">
        <v>291</v>
      </c>
      <c r="DN7" s="7" t="s">
        <v>292</v>
      </c>
      <c r="DO7" s="1">
        <v>1</v>
      </c>
      <c r="DP7" s="1">
        <v>5</v>
      </c>
      <c r="DQ7" s="12"/>
      <c r="DR7" s="7" t="s">
        <v>300</v>
      </c>
      <c r="DS7" s="7" t="s">
        <v>296</v>
      </c>
      <c r="DT7" s="1">
        <v>2</v>
      </c>
      <c r="DU7" s="1">
        <v>6</v>
      </c>
      <c r="DV7" s="12"/>
      <c r="DW7" s="7" t="s">
        <v>301</v>
      </c>
      <c r="DX7" s="7" t="s">
        <v>292</v>
      </c>
      <c r="DY7" s="1">
        <v>5</v>
      </c>
      <c r="DZ7" s="1">
        <v>5</v>
      </c>
      <c r="EA7" s="12"/>
      <c r="EB7" s="7" t="s">
        <v>291</v>
      </c>
      <c r="EC7" s="7" t="s">
        <v>296</v>
      </c>
      <c r="ED7" s="1">
        <v>1</v>
      </c>
      <c r="EE7" s="1">
        <v>6</v>
      </c>
      <c r="EF7" s="12"/>
      <c r="EG7" s="7" t="s">
        <v>300</v>
      </c>
      <c r="EH7" s="7" t="s">
        <v>292</v>
      </c>
      <c r="EI7" s="1">
        <v>2</v>
      </c>
      <c r="EJ7" s="1">
        <v>5</v>
      </c>
      <c r="EK7" s="12"/>
      <c r="EL7" s="7" t="s">
        <v>301</v>
      </c>
      <c r="EM7" s="7" t="s">
        <v>292</v>
      </c>
      <c r="EN7" s="1">
        <v>5</v>
      </c>
      <c r="EO7" s="1">
        <v>5</v>
      </c>
      <c r="EP7" s="12"/>
      <c r="EQ7" s="7" t="s">
        <v>291</v>
      </c>
      <c r="ER7" s="7" t="s">
        <v>292</v>
      </c>
      <c r="ES7" s="1">
        <v>1</v>
      </c>
      <c r="ET7" s="1">
        <v>5</v>
      </c>
      <c r="EU7" s="12"/>
      <c r="EV7" s="7" t="s">
        <v>300</v>
      </c>
      <c r="EW7" s="7" t="s">
        <v>296</v>
      </c>
      <c r="EX7" s="1">
        <v>2</v>
      </c>
      <c r="EY7" s="1">
        <v>6</v>
      </c>
      <c r="EZ7" s="12"/>
      <c r="FA7" s="7" t="s">
        <v>301</v>
      </c>
      <c r="FB7" s="7" t="s">
        <v>292</v>
      </c>
      <c r="FC7" s="1">
        <v>5</v>
      </c>
      <c r="FD7" s="1">
        <v>5</v>
      </c>
      <c r="FE7" s="12"/>
      <c r="FF7" s="7" t="s">
        <v>291</v>
      </c>
      <c r="FG7" s="7" t="s">
        <v>292</v>
      </c>
      <c r="FH7" s="1">
        <v>1</v>
      </c>
      <c r="FI7" s="1">
        <v>5</v>
      </c>
      <c r="FJ7" s="12"/>
      <c r="FK7" s="7" t="s">
        <v>300</v>
      </c>
      <c r="FL7" s="7" t="s">
        <v>292</v>
      </c>
      <c r="FM7" s="1">
        <v>2</v>
      </c>
      <c r="FN7" s="1">
        <v>5</v>
      </c>
      <c r="FO7" s="12"/>
      <c r="FP7" s="7" t="s">
        <v>291</v>
      </c>
      <c r="FQ7" s="7" t="s">
        <v>292</v>
      </c>
      <c r="FR7" s="1">
        <v>1</v>
      </c>
      <c r="FS7" s="1">
        <v>5</v>
      </c>
      <c r="FT7" s="10"/>
      <c r="FU7" s="7" t="s">
        <v>361</v>
      </c>
      <c r="FV7" s="7" t="s">
        <v>362</v>
      </c>
      <c r="FW7" s="7" t="s">
        <v>363</v>
      </c>
      <c r="FX7" s="7" t="s">
        <v>364</v>
      </c>
      <c r="FY7" s="7" t="s">
        <v>365</v>
      </c>
      <c r="FZ7" s="7" t="s">
        <v>366</v>
      </c>
      <c r="GA7" s="7" t="s">
        <v>367</v>
      </c>
      <c r="GB7" s="7" t="s">
        <v>368</v>
      </c>
      <c r="GC7" s="7" t="s">
        <v>369</v>
      </c>
      <c r="GD7" s="7" t="s">
        <v>370</v>
      </c>
      <c r="GE7" s="7" t="s">
        <v>371</v>
      </c>
      <c r="GF7" s="7" t="s">
        <v>282</v>
      </c>
      <c r="GG7" s="7" t="s">
        <v>372</v>
      </c>
      <c r="GH7" s="7" t="s">
        <v>325</v>
      </c>
    </row>
    <row r="8" spans="1:190" x14ac:dyDescent="0.2">
      <c r="A8">
        <v>6</v>
      </c>
      <c r="B8">
        <v>100</v>
      </c>
      <c r="C8">
        <v>1253</v>
      </c>
      <c r="D8" s="7" t="s">
        <v>280</v>
      </c>
      <c r="E8" s="7" t="s">
        <v>286</v>
      </c>
      <c r="F8" s="7" t="s">
        <v>375</v>
      </c>
      <c r="G8" s="4" t="s">
        <v>497</v>
      </c>
      <c r="H8" s="7" t="s">
        <v>288</v>
      </c>
      <c r="I8" s="1">
        <v>5</v>
      </c>
      <c r="J8" s="7" t="s">
        <v>289</v>
      </c>
      <c r="K8" s="1">
        <v>1</v>
      </c>
      <c r="L8" s="7" t="s">
        <v>290</v>
      </c>
      <c r="M8" s="1">
        <v>4</v>
      </c>
      <c r="N8" s="7" t="s">
        <v>329</v>
      </c>
      <c r="O8" s="1">
        <v>3</v>
      </c>
      <c r="P8" s="12"/>
      <c r="Q8" s="7" t="s">
        <v>291</v>
      </c>
      <c r="R8" s="7" t="s">
        <v>297</v>
      </c>
      <c r="S8" s="1">
        <v>1</v>
      </c>
      <c r="T8" s="1">
        <v>4</v>
      </c>
      <c r="U8" s="12"/>
      <c r="V8" s="7" t="s">
        <v>299</v>
      </c>
      <c r="W8" s="7" t="s">
        <v>297</v>
      </c>
      <c r="X8" s="1">
        <v>4</v>
      </c>
      <c r="Y8" s="1">
        <v>4</v>
      </c>
      <c r="Z8" s="12"/>
      <c r="AA8" s="7" t="s">
        <v>299</v>
      </c>
      <c r="AB8" s="7" t="s">
        <v>292</v>
      </c>
      <c r="AC8" s="1">
        <v>4</v>
      </c>
      <c r="AD8" s="1">
        <v>5</v>
      </c>
      <c r="AE8" s="12"/>
      <c r="AF8" s="7" t="s">
        <v>298</v>
      </c>
      <c r="AG8" s="7" t="s">
        <v>297</v>
      </c>
      <c r="AH8" s="1">
        <v>3</v>
      </c>
      <c r="AI8" s="1">
        <v>4</v>
      </c>
      <c r="AJ8" s="12"/>
      <c r="AK8" s="7" t="s">
        <v>295</v>
      </c>
      <c r="AL8" s="7" t="s">
        <v>297</v>
      </c>
      <c r="AM8" s="1">
        <v>5</v>
      </c>
      <c r="AN8" s="1">
        <v>4</v>
      </c>
      <c r="AO8" s="12"/>
      <c r="AP8" s="7" t="s">
        <v>291</v>
      </c>
      <c r="AQ8" s="7" t="s">
        <v>297</v>
      </c>
      <c r="AR8" s="1">
        <v>1</v>
      </c>
      <c r="AS8" s="1">
        <v>4</v>
      </c>
      <c r="AT8" s="12"/>
      <c r="AU8" s="7" t="s">
        <v>299</v>
      </c>
      <c r="AV8" s="7" t="s">
        <v>292</v>
      </c>
      <c r="AW8" s="1">
        <v>4</v>
      </c>
      <c r="AX8" s="1">
        <v>5</v>
      </c>
      <c r="AY8" s="12"/>
      <c r="AZ8" s="7" t="s">
        <v>298</v>
      </c>
      <c r="BA8" s="7" t="s">
        <v>330</v>
      </c>
      <c r="BB8" s="1">
        <v>3</v>
      </c>
      <c r="BC8" s="1">
        <v>3</v>
      </c>
      <c r="BD8" s="12"/>
      <c r="BE8" s="7" t="s">
        <v>295</v>
      </c>
      <c r="BF8" s="7" t="s">
        <v>330</v>
      </c>
      <c r="BG8" s="1">
        <v>5</v>
      </c>
      <c r="BH8" s="1">
        <v>3</v>
      </c>
      <c r="BI8" s="12"/>
      <c r="BJ8" s="7" t="s">
        <v>298</v>
      </c>
      <c r="BK8" s="7" t="s">
        <v>330</v>
      </c>
      <c r="BL8" s="1">
        <v>3</v>
      </c>
      <c r="BM8" s="1">
        <v>3</v>
      </c>
      <c r="BN8" s="12"/>
      <c r="BO8" s="7" t="s">
        <v>291</v>
      </c>
      <c r="BP8" s="7" t="s">
        <v>292</v>
      </c>
      <c r="BQ8" s="1">
        <v>1</v>
      </c>
      <c r="BR8" s="1">
        <v>5</v>
      </c>
      <c r="BS8" s="12"/>
      <c r="BT8" s="7" t="s">
        <v>299</v>
      </c>
      <c r="BU8" s="7" t="s">
        <v>292</v>
      </c>
      <c r="BV8" s="1">
        <v>4</v>
      </c>
      <c r="BW8" s="1">
        <v>5</v>
      </c>
      <c r="BX8" s="12"/>
      <c r="BY8" s="7" t="s">
        <v>291</v>
      </c>
      <c r="BZ8" s="7" t="s">
        <v>297</v>
      </c>
      <c r="CA8" s="1">
        <v>1</v>
      </c>
      <c r="CB8" s="1">
        <v>4</v>
      </c>
      <c r="CC8" s="12"/>
      <c r="CD8" s="7" t="s">
        <v>291</v>
      </c>
      <c r="CE8" s="7" t="s">
        <v>297</v>
      </c>
      <c r="CF8" s="1">
        <v>1</v>
      </c>
      <c r="CG8" s="1">
        <v>4</v>
      </c>
      <c r="CH8" s="12"/>
      <c r="CI8" s="7" t="s">
        <v>298</v>
      </c>
      <c r="CJ8" s="7" t="s">
        <v>292</v>
      </c>
      <c r="CK8" s="1">
        <v>3</v>
      </c>
      <c r="CL8" s="1">
        <v>5</v>
      </c>
      <c r="CM8" s="12"/>
      <c r="CN8" s="7" t="s">
        <v>291</v>
      </c>
      <c r="CO8" s="7" t="s">
        <v>292</v>
      </c>
      <c r="CP8" s="1">
        <v>1</v>
      </c>
      <c r="CQ8" s="1">
        <v>5</v>
      </c>
      <c r="CR8" s="12"/>
      <c r="CS8" s="7" t="s">
        <v>293</v>
      </c>
      <c r="CT8" s="7" t="s">
        <v>297</v>
      </c>
      <c r="CU8" s="1">
        <v>2</v>
      </c>
      <c r="CV8" s="1">
        <v>4</v>
      </c>
      <c r="CW8" s="12"/>
      <c r="CX8" s="7" t="s">
        <v>291</v>
      </c>
      <c r="CY8" s="7" t="s">
        <v>297</v>
      </c>
      <c r="CZ8" s="1">
        <v>1</v>
      </c>
      <c r="DA8" s="1">
        <v>4</v>
      </c>
      <c r="DB8" s="12"/>
      <c r="DC8" s="7" t="s">
        <v>291</v>
      </c>
      <c r="DD8" s="7" t="s">
        <v>297</v>
      </c>
      <c r="DE8" s="1">
        <v>1</v>
      </c>
      <c r="DF8" s="1">
        <v>4</v>
      </c>
      <c r="DG8" s="12"/>
      <c r="DH8" s="7" t="s">
        <v>298</v>
      </c>
      <c r="DI8" s="7" t="s">
        <v>292</v>
      </c>
      <c r="DJ8" s="1">
        <v>3</v>
      </c>
      <c r="DK8" s="1">
        <v>5</v>
      </c>
      <c r="DL8" s="12"/>
      <c r="DM8" s="7" t="s">
        <v>291</v>
      </c>
      <c r="DN8" s="7" t="s">
        <v>296</v>
      </c>
      <c r="DO8" s="1">
        <v>1</v>
      </c>
      <c r="DP8" s="1">
        <v>6</v>
      </c>
      <c r="DQ8" s="12"/>
      <c r="DR8" s="7" t="s">
        <v>300</v>
      </c>
      <c r="DS8" s="7" t="s">
        <v>294</v>
      </c>
      <c r="DT8" s="1">
        <v>2</v>
      </c>
      <c r="DU8" s="1">
        <v>7</v>
      </c>
      <c r="DV8" s="12"/>
      <c r="DW8" s="7" t="s">
        <v>301</v>
      </c>
      <c r="DX8" s="7" t="s">
        <v>297</v>
      </c>
      <c r="DY8" s="1">
        <v>5</v>
      </c>
      <c r="DZ8" s="1">
        <v>4</v>
      </c>
      <c r="EA8" s="12"/>
      <c r="EB8" s="7" t="s">
        <v>291</v>
      </c>
      <c r="EC8" s="7" t="s">
        <v>292</v>
      </c>
      <c r="ED8" s="1">
        <v>1</v>
      </c>
      <c r="EE8" s="1">
        <v>5</v>
      </c>
      <c r="EF8" s="12"/>
      <c r="EG8" s="7" t="s">
        <v>300</v>
      </c>
      <c r="EH8" s="7" t="s">
        <v>294</v>
      </c>
      <c r="EI8" s="1">
        <v>2</v>
      </c>
      <c r="EJ8" s="1">
        <v>7</v>
      </c>
      <c r="EK8" s="12"/>
      <c r="EL8" s="7" t="s">
        <v>291</v>
      </c>
      <c r="EM8" s="7" t="s">
        <v>297</v>
      </c>
      <c r="EN8" s="1">
        <v>1</v>
      </c>
      <c r="EO8" s="1">
        <v>4</v>
      </c>
      <c r="EP8" s="12"/>
      <c r="EQ8" s="7" t="s">
        <v>291</v>
      </c>
      <c r="ER8" s="7" t="s">
        <v>296</v>
      </c>
      <c r="ES8" s="1">
        <v>1</v>
      </c>
      <c r="ET8" s="1">
        <v>6</v>
      </c>
      <c r="EU8" s="12"/>
      <c r="EV8" s="7" t="s">
        <v>300</v>
      </c>
      <c r="EW8" s="7" t="s">
        <v>296</v>
      </c>
      <c r="EX8" s="1">
        <v>2</v>
      </c>
      <c r="EY8" s="1">
        <v>6</v>
      </c>
      <c r="EZ8" s="12"/>
      <c r="FA8" s="7" t="s">
        <v>291</v>
      </c>
      <c r="FB8" s="7" t="s">
        <v>292</v>
      </c>
      <c r="FC8" s="1">
        <v>1</v>
      </c>
      <c r="FD8" s="1">
        <v>5</v>
      </c>
      <c r="FE8" s="12"/>
      <c r="FF8" s="7" t="s">
        <v>291</v>
      </c>
      <c r="FG8" s="7" t="s">
        <v>292</v>
      </c>
      <c r="FH8" s="1">
        <v>1</v>
      </c>
      <c r="FI8" s="1">
        <v>5</v>
      </c>
      <c r="FJ8" s="12"/>
      <c r="FK8" s="7" t="s">
        <v>300</v>
      </c>
      <c r="FL8" s="7" t="s">
        <v>296</v>
      </c>
      <c r="FM8" s="1">
        <v>2</v>
      </c>
      <c r="FN8" s="1">
        <v>6</v>
      </c>
      <c r="FO8" s="12"/>
      <c r="FP8" s="7" t="s">
        <v>291</v>
      </c>
      <c r="FQ8" s="7" t="s">
        <v>292</v>
      </c>
      <c r="FR8" s="1">
        <v>1</v>
      </c>
      <c r="FS8" s="1">
        <v>5</v>
      </c>
      <c r="FT8" s="10"/>
      <c r="FU8" s="7" t="s">
        <v>376</v>
      </c>
      <c r="FV8" s="7" t="s">
        <v>377</v>
      </c>
      <c r="FW8" s="7" t="s">
        <v>378</v>
      </c>
      <c r="FX8" s="7" t="s">
        <v>379</v>
      </c>
      <c r="FY8" s="7" t="s">
        <v>378</v>
      </c>
      <c r="FZ8" s="7" t="s">
        <v>380</v>
      </c>
      <c r="GA8" s="7" t="s">
        <v>381</v>
      </c>
      <c r="GB8" s="7" t="s">
        <v>382</v>
      </c>
      <c r="GC8" s="7" t="s">
        <v>383</v>
      </c>
      <c r="GD8" s="7" t="s">
        <v>383</v>
      </c>
      <c r="GE8" s="7" t="s">
        <v>282</v>
      </c>
      <c r="GF8" s="7" t="s">
        <v>384</v>
      </c>
      <c r="GG8" s="7" t="s">
        <v>356</v>
      </c>
      <c r="GH8" s="7" t="s">
        <v>313</v>
      </c>
    </row>
    <row r="9" spans="1:190" x14ac:dyDescent="0.2">
      <c r="A9">
        <v>7</v>
      </c>
      <c r="B9">
        <v>100</v>
      </c>
      <c r="C9">
        <v>1532</v>
      </c>
      <c r="D9" s="7" t="s">
        <v>280</v>
      </c>
      <c r="E9" s="7" t="s">
        <v>387</v>
      </c>
      <c r="F9" s="7" t="s">
        <v>375</v>
      </c>
      <c r="G9" s="4" t="s">
        <v>497</v>
      </c>
      <c r="H9" s="7" t="s">
        <v>288</v>
      </c>
      <c r="I9" s="1">
        <v>5</v>
      </c>
      <c r="J9" s="7" t="s">
        <v>289</v>
      </c>
      <c r="K9" s="1">
        <v>1</v>
      </c>
      <c r="L9" s="7" t="s">
        <v>289</v>
      </c>
      <c r="M9" s="1">
        <v>1</v>
      </c>
      <c r="N9" s="7" t="s">
        <v>289</v>
      </c>
      <c r="O9" s="1">
        <v>1</v>
      </c>
      <c r="P9" s="12"/>
      <c r="Q9" s="7" t="s">
        <v>291</v>
      </c>
      <c r="R9" s="7" t="s">
        <v>292</v>
      </c>
      <c r="S9" s="1">
        <v>1</v>
      </c>
      <c r="T9" s="1">
        <v>5</v>
      </c>
      <c r="U9" s="12"/>
      <c r="V9" s="7" t="s">
        <v>293</v>
      </c>
      <c r="W9" s="7" t="s">
        <v>296</v>
      </c>
      <c r="X9" s="1">
        <v>2</v>
      </c>
      <c r="Y9" s="1">
        <v>6</v>
      </c>
      <c r="Z9" s="12"/>
      <c r="AA9" s="7" t="s">
        <v>293</v>
      </c>
      <c r="AB9" s="7" t="s">
        <v>296</v>
      </c>
      <c r="AC9" s="1">
        <v>2</v>
      </c>
      <c r="AD9" s="1">
        <v>6</v>
      </c>
      <c r="AE9" s="12"/>
      <c r="AF9" s="7" t="s">
        <v>298</v>
      </c>
      <c r="AG9" s="7" t="s">
        <v>296</v>
      </c>
      <c r="AH9" s="1">
        <v>3</v>
      </c>
      <c r="AI9" s="1">
        <v>6</v>
      </c>
      <c r="AJ9" s="12"/>
      <c r="AK9" s="7" t="s">
        <v>299</v>
      </c>
      <c r="AL9" s="7" t="s">
        <v>296</v>
      </c>
      <c r="AM9" s="1">
        <v>4</v>
      </c>
      <c r="AN9" s="1">
        <v>6</v>
      </c>
      <c r="AO9" s="12"/>
      <c r="AP9" s="7" t="s">
        <v>298</v>
      </c>
      <c r="AQ9" s="7" t="s">
        <v>292</v>
      </c>
      <c r="AR9" s="1">
        <v>3</v>
      </c>
      <c r="AS9" s="1">
        <v>5</v>
      </c>
      <c r="AT9" s="12"/>
      <c r="AU9" s="7" t="s">
        <v>293</v>
      </c>
      <c r="AV9" s="7" t="s">
        <v>296</v>
      </c>
      <c r="AW9" s="1">
        <v>2</v>
      </c>
      <c r="AX9" s="1">
        <v>6</v>
      </c>
      <c r="AY9" s="12"/>
      <c r="AZ9" s="7" t="s">
        <v>291</v>
      </c>
      <c r="BA9" s="7" t="s">
        <v>292</v>
      </c>
      <c r="BB9" s="1">
        <v>1</v>
      </c>
      <c r="BC9" s="1">
        <v>5</v>
      </c>
      <c r="BD9" s="12"/>
      <c r="BE9" s="7" t="s">
        <v>295</v>
      </c>
      <c r="BF9" s="7" t="s">
        <v>297</v>
      </c>
      <c r="BG9" s="1">
        <v>5</v>
      </c>
      <c r="BH9" s="1">
        <v>4</v>
      </c>
      <c r="BI9" s="12"/>
      <c r="BJ9" s="7" t="s">
        <v>298</v>
      </c>
      <c r="BK9" s="7" t="s">
        <v>292</v>
      </c>
      <c r="BL9" s="1">
        <v>3</v>
      </c>
      <c r="BM9" s="1">
        <v>5</v>
      </c>
      <c r="BN9" s="12"/>
      <c r="BO9" s="7" t="s">
        <v>291</v>
      </c>
      <c r="BP9" s="7" t="s">
        <v>296</v>
      </c>
      <c r="BQ9" s="1">
        <v>1</v>
      </c>
      <c r="BR9" s="1">
        <v>6</v>
      </c>
      <c r="BS9" s="12"/>
      <c r="BT9" s="7" t="s">
        <v>293</v>
      </c>
      <c r="BU9" s="7" t="s">
        <v>296</v>
      </c>
      <c r="BV9" s="1">
        <v>2</v>
      </c>
      <c r="BW9" s="1">
        <v>6</v>
      </c>
      <c r="BX9" s="12"/>
      <c r="BY9" s="7" t="s">
        <v>291</v>
      </c>
      <c r="BZ9" s="7" t="s">
        <v>292</v>
      </c>
      <c r="CA9" s="1">
        <v>1</v>
      </c>
      <c r="CB9" s="1">
        <v>5</v>
      </c>
      <c r="CC9" s="12"/>
      <c r="CD9" s="7" t="s">
        <v>298</v>
      </c>
      <c r="CE9" s="7" t="s">
        <v>296</v>
      </c>
      <c r="CF9" s="1">
        <v>3</v>
      </c>
      <c r="CG9" s="1">
        <v>6</v>
      </c>
      <c r="CH9" s="12"/>
      <c r="CI9" s="7" t="s">
        <v>291</v>
      </c>
      <c r="CJ9" s="7" t="s">
        <v>296</v>
      </c>
      <c r="CK9" s="1">
        <v>1</v>
      </c>
      <c r="CL9" s="1">
        <v>6</v>
      </c>
      <c r="CM9" s="12"/>
      <c r="CN9" s="7" t="s">
        <v>291</v>
      </c>
      <c r="CO9" s="7" t="s">
        <v>294</v>
      </c>
      <c r="CP9" s="1">
        <v>1</v>
      </c>
      <c r="CQ9" s="1">
        <v>7</v>
      </c>
      <c r="CR9" s="12"/>
      <c r="CS9" s="7" t="s">
        <v>293</v>
      </c>
      <c r="CT9" s="7" t="s">
        <v>296</v>
      </c>
      <c r="CU9" s="1">
        <v>2</v>
      </c>
      <c r="CV9" s="1">
        <v>6</v>
      </c>
      <c r="CW9" s="12"/>
      <c r="CX9" s="7" t="s">
        <v>299</v>
      </c>
      <c r="CY9" s="7" t="s">
        <v>296</v>
      </c>
      <c r="CZ9" s="1">
        <v>4</v>
      </c>
      <c r="DA9" s="1">
        <v>6</v>
      </c>
      <c r="DB9" s="12"/>
      <c r="DC9" s="7" t="s">
        <v>298</v>
      </c>
      <c r="DD9" s="7" t="s">
        <v>296</v>
      </c>
      <c r="DE9" s="1">
        <v>3</v>
      </c>
      <c r="DF9" s="1">
        <v>6</v>
      </c>
      <c r="DG9" s="12"/>
      <c r="DH9" s="7" t="s">
        <v>291</v>
      </c>
      <c r="DI9" s="7" t="s">
        <v>292</v>
      </c>
      <c r="DJ9" s="1">
        <v>1</v>
      </c>
      <c r="DK9" s="1">
        <v>5</v>
      </c>
      <c r="DL9" s="12"/>
      <c r="DM9" s="7" t="s">
        <v>301</v>
      </c>
      <c r="DN9" s="7" t="s">
        <v>292</v>
      </c>
      <c r="DO9" s="1">
        <v>5</v>
      </c>
      <c r="DP9" s="1">
        <v>5</v>
      </c>
      <c r="DQ9" s="12"/>
      <c r="DR9" s="7" t="s">
        <v>300</v>
      </c>
      <c r="DS9" s="7" t="s">
        <v>292</v>
      </c>
      <c r="DT9" s="1">
        <v>2</v>
      </c>
      <c r="DU9" s="1">
        <v>5</v>
      </c>
      <c r="DV9" s="12"/>
      <c r="DW9" s="7" t="s">
        <v>301</v>
      </c>
      <c r="DX9" s="7" t="s">
        <v>296</v>
      </c>
      <c r="DY9" s="1">
        <v>5</v>
      </c>
      <c r="DZ9" s="1">
        <v>6</v>
      </c>
      <c r="EA9" s="12"/>
      <c r="EB9" s="7" t="s">
        <v>291</v>
      </c>
      <c r="EC9" s="7" t="s">
        <v>296</v>
      </c>
      <c r="ED9" s="1">
        <v>1</v>
      </c>
      <c r="EE9" s="1">
        <v>6</v>
      </c>
      <c r="EF9" s="12"/>
      <c r="EG9" s="7" t="s">
        <v>300</v>
      </c>
      <c r="EH9" s="7" t="s">
        <v>296</v>
      </c>
      <c r="EI9" s="1">
        <v>2</v>
      </c>
      <c r="EJ9" s="1">
        <v>6</v>
      </c>
      <c r="EK9" s="12"/>
      <c r="EL9" s="7" t="s">
        <v>301</v>
      </c>
      <c r="EM9" s="7" t="s">
        <v>292</v>
      </c>
      <c r="EN9" s="1">
        <v>5</v>
      </c>
      <c r="EO9" s="1">
        <v>5</v>
      </c>
      <c r="EP9" s="12"/>
      <c r="EQ9" s="7" t="s">
        <v>301</v>
      </c>
      <c r="ER9" s="7" t="s">
        <v>292</v>
      </c>
      <c r="ES9" s="1">
        <v>5</v>
      </c>
      <c r="ET9" s="1">
        <v>5</v>
      </c>
      <c r="EU9" s="12"/>
      <c r="EV9" s="7" t="s">
        <v>300</v>
      </c>
      <c r="EW9" s="7" t="s">
        <v>296</v>
      </c>
      <c r="EX9" s="1">
        <v>2</v>
      </c>
      <c r="EY9" s="1">
        <v>6</v>
      </c>
      <c r="EZ9" s="12"/>
      <c r="FA9" s="7" t="s">
        <v>291</v>
      </c>
      <c r="FB9" s="7" t="s">
        <v>296</v>
      </c>
      <c r="FC9" s="1">
        <v>1</v>
      </c>
      <c r="FD9" s="1">
        <v>6</v>
      </c>
      <c r="FE9" s="12"/>
      <c r="FF9" s="7" t="s">
        <v>301</v>
      </c>
      <c r="FG9" s="7" t="s">
        <v>292</v>
      </c>
      <c r="FH9" s="1">
        <v>5</v>
      </c>
      <c r="FI9" s="1">
        <v>5</v>
      </c>
      <c r="FJ9" s="12"/>
      <c r="FK9" s="7" t="s">
        <v>300</v>
      </c>
      <c r="FL9" s="7" t="s">
        <v>296</v>
      </c>
      <c r="FM9" s="1">
        <v>2</v>
      </c>
      <c r="FN9" s="1">
        <v>6</v>
      </c>
      <c r="FO9" s="12"/>
      <c r="FP9" s="7" t="s">
        <v>291</v>
      </c>
      <c r="FQ9" s="7" t="s">
        <v>296</v>
      </c>
      <c r="FR9" s="1">
        <v>1</v>
      </c>
      <c r="FS9" s="1">
        <v>6</v>
      </c>
      <c r="FT9" s="10"/>
      <c r="FU9" s="7" t="s">
        <v>388</v>
      </c>
      <c r="FV9" s="7" t="s">
        <v>389</v>
      </c>
      <c r="FW9" s="7" t="s">
        <v>390</v>
      </c>
      <c r="FX9" s="7" t="s">
        <v>391</v>
      </c>
      <c r="FY9" s="7" t="s">
        <v>392</v>
      </c>
      <c r="FZ9" s="7" t="s">
        <v>393</v>
      </c>
      <c r="GA9" s="7" t="s">
        <v>394</v>
      </c>
      <c r="GB9" s="7" t="s">
        <v>395</v>
      </c>
      <c r="GC9" s="7" t="s">
        <v>396</v>
      </c>
      <c r="GD9" s="7" t="s">
        <v>397</v>
      </c>
      <c r="GE9" s="7" t="s">
        <v>398</v>
      </c>
      <c r="GF9" s="7" t="s">
        <v>399</v>
      </c>
      <c r="GG9" s="7" t="s">
        <v>372</v>
      </c>
      <c r="GH9" s="7" t="s">
        <v>325</v>
      </c>
    </row>
    <row r="10" spans="1:190" x14ac:dyDescent="0.2">
      <c r="A10">
        <v>8</v>
      </c>
      <c r="B10">
        <v>100</v>
      </c>
      <c r="C10">
        <v>1087</v>
      </c>
      <c r="D10" s="7" t="s">
        <v>280</v>
      </c>
      <c r="E10" s="7" t="s">
        <v>286</v>
      </c>
      <c r="F10" s="7" t="s">
        <v>402</v>
      </c>
      <c r="G10" s="4" t="s">
        <v>1282</v>
      </c>
      <c r="H10" s="7" t="s">
        <v>288</v>
      </c>
      <c r="I10" s="1">
        <v>5</v>
      </c>
      <c r="J10" s="7" t="s">
        <v>317</v>
      </c>
      <c r="K10" s="1">
        <v>2</v>
      </c>
      <c r="L10" s="7" t="s">
        <v>317</v>
      </c>
      <c r="M10" s="1">
        <v>2</v>
      </c>
      <c r="N10" s="7" t="s">
        <v>289</v>
      </c>
      <c r="O10" s="1">
        <v>1</v>
      </c>
      <c r="P10" s="12"/>
      <c r="Q10" s="7" t="s">
        <v>291</v>
      </c>
      <c r="R10" s="7" t="s">
        <v>296</v>
      </c>
      <c r="S10" s="1">
        <v>1</v>
      </c>
      <c r="T10" s="1">
        <v>6</v>
      </c>
      <c r="U10" s="12"/>
      <c r="V10" s="7" t="s">
        <v>293</v>
      </c>
      <c r="W10" s="7" t="s">
        <v>296</v>
      </c>
      <c r="X10" s="1">
        <v>2</v>
      </c>
      <c r="Y10" s="1">
        <v>6</v>
      </c>
      <c r="Z10" s="12"/>
      <c r="AA10" s="7" t="s">
        <v>293</v>
      </c>
      <c r="AB10" s="7" t="s">
        <v>296</v>
      </c>
      <c r="AC10" s="1">
        <v>2</v>
      </c>
      <c r="AD10" s="1">
        <v>6</v>
      </c>
      <c r="AE10" s="12"/>
      <c r="AF10" s="7" t="s">
        <v>295</v>
      </c>
      <c r="AG10" s="7" t="s">
        <v>296</v>
      </c>
      <c r="AH10" s="1">
        <v>5</v>
      </c>
      <c r="AI10" s="1">
        <v>6</v>
      </c>
      <c r="AJ10" s="12"/>
      <c r="AK10" s="7" t="s">
        <v>299</v>
      </c>
      <c r="AL10" s="7" t="s">
        <v>296</v>
      </c>
      <c r="AM10" s="1">
        <v>4</v>
      </c>
      <c r="AN10" s="1">
        <v>6</v>
      </c>
      <c r="AO10" s="12"/>
      <c r="AP10" s="7" t="s">
        <v>291</v>
      </c>
      <c r="AQ10" s="7" t="s">
        <v>296</v>
      </c>
      <c r="AR10" s="1">
        <v>1</v>
      </c>
      <c r="AS10" s="1">
        <v>6</v>
      </c>
      <c r="AT10" s="12"/>
      <c r="AU10" s="7" t="s">
        <v>293</v>
      </c>
      <c r="AV10" s="7" t="s">
        <v>296</v>
      </c>
      <c r="AW10" s="1">
        <v>2</v>
      </c>
      <c r="AX10" s="1">
        <v>6</v>
      </c>
      <c r="AY10" s="12"/>
      <c r="AZ10" s="7" t="s">
        <v>298</v>
      </c>
      <c r="BA10" s="7" t="s">
        <v>292</v>
      </c>
      <c r="BB10" s="1">
        <v>3</v>
      </c>
      <c r="BC10" s="1">
        <v>5</v>
      </c>
      <c r="BD10" s="12"/>
      <c r="BE10" s="7" t="s">
        <v>299</v>
      </c>
      <c r="BF10" s="7" t="s">
        <v>296</v>
      </c>
      <c r="BG10" s="1">
        <v>4</v>
      </c>
      <c r="BH10" s="1">
        <v>6</v>
      </c>
      <c r="BI10" s="12"/>
      <c r="BJ10" s="7" t="s">
        <v>298</v>
      </c>
      <c r="BK10" s="7" t="s">
        <v>292</v>
      </c>
      <c r="BL10" s="1">
        <v>3</v>
      </c>
      <c r="BM10" s="1">
        <v>5</v>
      </c>
      <c r="BN10" s="12"/>
      <c r="BO10" s="7" t="s">
        <v>291</v>
      </c>
      <c r="BP10" s="7" t="s">
        <v>296</v>
      </c>
      <c r="BQ10" s="1">
        <v>1</v>
      </c>
      <c r="BR10" s="1">
        <v>6</v>
      </c>
      <c r="BS10" s="12"/>
      <c r="BT10" s="7" t="s">
        <v>299</v>
      </c>
      <c r="BU10" s="7" t="s">
        <v>296</v>
      </c>
      <c r="BV10" s="1">
        <v>4</v>
      </c>
      <c r="BW10" s="1">
        <v>6</v>
      </c>
      <c r="BX10" s="12"/>
      <c r="BY10" s="7" t="s">
        <v>282</v>
      </c>
      <c r="BZ10" s="7" t="s">
        <v>292</v>
      </c>
      <c r="CA10" s="4" t="s">
        <v>282</v>
      </c>
      <c r="CB10" s="1">
        <v>5</v>
      </c>
      <c r="CC10" s="12"/>
      <c r="CD10" s="7" t="s">
        <v>291</v>
      </c>
      <c r="CE10" s="7" t="s">
        <v>292</v>
      </c>
      <c r="CF10" s="1">
        <v>1</v>
      </c>
      <c r="CG10" s="1">
        <v>5</v>
      </c>
      <c r="CH10" s="12"/>
      <c r="CI10" s="7" t="s">
        <v>299</v>
      </c>
      <c r="CJ10" s="7" t="s">
        <v>292</v>
      </c>
      <c r="CK10" s="1">
        <v>4</v>
      </c>
      <c r="CL10" s="1">
        <v>5</v>
      </c>
      <c r="CM10" s="12"/>
      <c r="CN10" s="7" t="s">
        <v>291</v>
      </c>
      <c r="CO10" s="7" t="s">
        <v>296</v>
      </c>
      <c r="CP10" s="1">
        <v>1</v>
      </c>
      <c r="CQ10" s="1">
        <v>6</v>
      </c>
      <c r="CR10" s="12"/>
      <c r="CS10" s="7" t="s">
        <v>293</v>
      </c>
      <c r="CT10" s="7" t="s">
        <v>296</v>
      </c>
      <c r="CU10" s="1">
        <v>2</v>
      </c>
      <c r="CV10" s="1">
        <v>6</v>
      </c>
      <c r="CW10" s="12"/>
      <c r="CX10" s="7" t="s">
        <v>299</v>
      </c>
      <c r="CY10" s="7" t="s">
        <v>296</v>
      </c>
      <c r="CZ10" s="1">
        <v>4</v>
      </c>
      <c r="DA10" s="1">
        <v>6</v>
      </c>
      <c r="DB10" s="12"/>
      <c r="DC10" s="7" t="s">
        <v>291</v>
      </c>
      <c r="DD10" s="7" t="s">
        <v>296</v>
      </c>
      <c r="DE10" s="1">
        <v>1</v>
      </c>
      <c r="DF10" s="1">
        <v>6</v>
      </c>
      <c r="DG10" s="12"/>
      <c r="DH10" s="7" t="s">
        <v>299</v>
      </c>
      <c r="DI10" s="7" t="s">
        <v>292</v>
      </c>
      <c r="DJ10" s="1">
        <v>4</v>
      </c>
      <c r="DK10" s="1">
        <v>5</v>
      </c>
      <c r="DL10" s="12"/>
      <c r="DM10" s="7" t="s">
        <v>291</v>
      </c>
      <c r="DN10" s="7" t="s">
        <v>296</v>
      </c>
      <c r="DO10" s="1">
        <v>1</v>
      </c>
      <c r="DP10" s="1">
        <v>6</v>
      </c>
      <c r="DQ10" s="12"/>
      <c r="DR10" s="7" t="s">
        <v>300</v>
      </c>
      <c r="DS10" s="7" t="s">
        <v>296</v>
      </c>
      <c r="DT10" s="1">
        <v>2</v>
      </c>
      <c r="DU10" s="1">
        <v>6</v>
      </c>
      <c r="DV10" s="12"/>
      <c r="DW10" s="7" t="s">
        <v>301</v>
      </c>
      <c r="DX10" s="7" t="s">
        <v>296</v>
      </c>
      <c r="DY10" s="1">
        <v>5</v>
      </c>
      <c r="DZ10" s="1">
        <v>6</v>
      </c>
      <c r="EA10" s="12"/>
      <c r="EB10" s="7" t="s">
        <v>301</v>
      </c>
      <c r="EC10" s="7" t="s">
        <v>292</v>
      </c>
      <c r="ED10" s="1">
        <v>5</v>
      </c>
      <c r="EE10" s="1">
        <v>5</v>
      </c>
      <c r="EF10" s="12"/>
      <c r="EG10" s="7" t="s">
        <v>300</v>
      </c>
      <c r="EH10" s="7" t="s">
        <v>292</v>
      </c>
      <c r="EI10" s="1">
        <v>2</v>
      </c>
      <c r="EJ10" s="1">
        <v>5</v>
      </c>
      <c r="EK10" s="12"/>
      <c r="EL10" s="7" t="s">
        <v>301</v>
      </c>
      <c r="EM10" s="7" t="s">
        <v>296</v>
      </c>
      <c r="EN10" s="1">
        <v>5</v>
      </c>
      <c r="EO10" s="1">
        <v>6</v>
      </c>
      <c r="EP10" s="12"/>
      <c r="EQ10" s="7" t="s">
        <v>301</v>
      </c>
      <c r="ER10" s="7" t="s">
        <v>296</v>
      </c>
      <c r="ES10" s="1">
        <v>5</v>
      </c>
      <c r="ET10" s="1">
        <v>6</v>
      </c>
      <c r="EU10" s="12"/>
      <c r="EV10" s="7" t="s">
        <v>300</v>
      </c>
      <c r="EW10" s="7" t="s">
        <v>296</v>
      </c>
      <c r="EX10" s="1">
        <v>2</v>
      </c>
      <c r="EY10" s="1">
        <v>6</v>
      </c>
      <c r="EZ10" s="12"/>
      <c r="FA10" s="7" t="s">
        <v>301</v>
      </c>
      <c r="FB10" s="7" t="s">
        <v>296</v>
      </c>
      <c r="FC10" s="1">
        <v>5</v>
      </c>
      <c r="FD10" s="1">
        <v>6</v>
      </c>
      <c r="FE10" s="12"/>
      <c r="FF10" s="7" t="s">
        <v>291</v>
      </c>
      <c r="FG10" s="7" t="s">
        <v>296</v>
      </c>
      <c r="FH10" s="1">
        <v>1</v>
      </c>
      <c r="FI10" s="1">
        <v>6</v>
      </c>
      <c r="FJ10" s="12"/>
      <c r="FK10" s="7" t="s">
        <v>300</v>
      </c>
      <c r="FL10" s="7" t="s">
        <v>296</v>
      </c>
      <c r="FM10" s="1">
        <v>2</v>
      </c>
      <c r="FN10" s="1">
        <v>6</v>
      </c>
      <c r="FO10" s="12"/>
      <c r="FP10" s="7" t="s">
        <v>301</v>
      </c>
      <c r="FQ10" s="7" t="s">
        <v>292</v>
      </c>
      <c r="FR10" s="1">
        <v>5</v>
      </c>
      <c r="FS10" s="1">
        <v>5</v>
      </c>
      <c r="FT10" s="10"/>
      <c r="FU10" s="7" t="s">
        <v>403</v>
      </c>
      <c r="FV10" s="7" t="s">
        <v>404</v>
      </c>
      <c r="FW10" s="7" t="s">
        <v>405</v>
      </c>
      <c r="FX10" s="7" t="s">
        <v>405</v>
      </c>
      <c r="FY10" s="7" t="s">
        <v>406</v>
      </c>
      <c r="FZ10" s="7" t="s">
        <v>406</v>
      </c>
      <c r="GA10" s="7" t="s">
        <v>407</v>
      </c>
      <c r="GB10" s="7" t="s">
        <v>408</v>
      </c>
      <c r="GC10" s="7" t="s">
        <v>409</v>
      </c>
      <c r="GD10" s="7" t="s">
        <v>409</v>
      </c>
      <c r="GE10" s="7" t="s">
        <v>282</v>
      </c>
      <c r="GF10" s="7" t="s">
        <v>282</v>
      </c>
      <c r="GG10" s="7" t="s">
        <v>356</v>
      </c>
      <c r="GH10" s="7" t="s">
        <v>313</v>
      </c>
    </row>
    <row r="11" spans="1:190" x14ac:dyDescent="0.2">
      <c r="A11">
        <v>9</v>
      </c>
      <c r="B11">
        <v>100</v>
      </c>
      <c r="C11">
        <v>2192</v>
      </c>
      <c r="D11" s="7" t="s">
        <v>280</v>
      </c>
      <c r="E11" s="7" t="s">
        <v>412</v>
      </c>
      <c r="F11" s="7" t="s">
        <v>375</v>
      </c>
      <c r="G11" s="4" t="s">
        <v>497</v>
      </c>
      <c r="H11" s="7" t="s">
        <v>288</v>
      </c>
      <c r="I11" s="1">
        <v>5</v>
      </c>
      <c r="J11" s="7" t="s">
        <v>289</v>
      </c>
      <c r="K11" s="1">
        <v>1</v>
      </c>
      <c r="L11" s="7" t="s">
        <v>329</v>
      </c>
      <c r="M11" s="1">
        <v>3</v>
      </c>
      <c r="N11" s="7" t="s">
        <v>317</v>
      </c>
      <c r="O11" s="1">
        <v>2</v>
      </c>
      <c r="P11" s="12"/>
      <c r="Q11" s="7" t="s">
        <v>291</v>
      </c>
      <c r="R11" s="7" t="s">
        <v>296</v>
      </c>
      <c r="S11" s="1">
        <v>1</v>
      </c>
      <c r="T11" s="1">
        <v>6</v>
      </c>
      <c r="U11" s="12"/>
      <c r="V11" s="7" t="s">
        <v>293</v>
      </c>
      <c r="W11" s="7" t="s">
        <v>296</v>
      </c>
      <c r="X11" s="1">
        <v>2</v>
      </c>
      <c r="Y11" s="1">
        <v>6</v>
      </c>
      <c r="Z11" s="12"/>
      <c r="AA11" s="7" t="s">
        <v>293</v>
      </c>
      <c r="AB11" s="7" t="s">
        <v>296</v>
      </c>
      <c r="AC11" s="1">
        <v>2</v>
      </c>
      <c r="AD11" s="1">
        <v>6</v>
      </c>
      <c r="AE11" s="12"/>
      <c r="AF11" s="7" t="s">
        <v>295</v>
      </c>
      <c r="AG11" s="7" t="s">
        <v>296</v>
      </c>
      <c r="AH11" s="1">
        <v>5</v>
      </c>
      <c r="AI11" s="1">
        <v>6</v>
      </c>
      <c r="AJ11" s="12"/>
      <c r="AK11" s="7" t="s">
        <v>295</v>
      </c>
      <c r="AL11" s="7" t="s">
        <v>296</v>
      </c>
      <c r="AM11" s="1">
        <v>5</v>
      </c>
      <c r="AN11" s="1">
        <v>6</v>
      </c>
      <c r="AO11" s="12"/>
      <c r="AP11" s="7" t="s">
        <v>291</v>
      </c>
      <c r="AQ11" s="7" t="s">
        <v>296</v>
      </c>
      <c r="AR11" s="1">
        <v>1</v>
      </c>
      <c r="AS11" s="1">
        <v>6</v>
      </c>
      <c r="AT11" s="12"/>
      <c r="AU11" s="7" t="s">
        <v>293</v>
      </c>
      <c r="AV11" s="7" t="s">
        <v>296</v>
      </c>
      <c r="AW11" s="1">
        <v>2</v>
      </c>
      <c r="AX11" s="1">
        <v>6</v>
      </c>
      <c r="AY11" s="12"/>
      <c r="AZ11" s="7" t="s">
        <v>291</v>
      </c>
      <c r="BA11" s="7" t="s">
        <v>296</v>
      </c>
      <c r="BB11" s="1">
        <v>1</v>
      </c>
      <c r="BC11" s="1">
        <v>6</v>
      </c>
      <c r="BD11" s="12"/>
      <c r="BE11" s="7" t="s">
        <v>295</v>
      </c>
      <c r="BF11" s="7" t="s">
        <v>296</v>
      </c>
      <c r="BG11" s="1">
        <v>5</v>
      </c>
      <c r="BH11" s="1">
        <v>6</v>
      </c>
      <c r="BI11" s="12"/>
      <c r="BJ11" s="7" t="s">
        <v>298</v>
      </c>
      <c r="BK11" s="7" t="s">
        <v>296</v>
      </c>
      <c r="BL11" s="1">
        <v>3</v>
      </c>
      <c r="BM11" s="1">
        <v>6</v>
      </c>
      <c r="BN11" s="12"/>
      <c r="BO11" s="7" t="s">
        <v>291</v>
      </c>
      <c r="BP11" s="7" t="s">
        <v>296</v>
      </c>
      <c r="BQ11" s="1">
        <v>1</v>
      </c>
      <c r="BR11" s="1">
        <v>6</v>
      </c>
      <c r="BS11" s="12"/>
      <c r="BT11" s="7" t="s">
        <v>293</v>
      </c>
      <c r="BU11" s="7" t="s">
        <v>296</v>
      </c>
      <c r="BV11" s="1">
        <v>2</v>
      </c>
      <c r="BW11" s="1">
        <v>6</v>
      </c>
      <c r="BX11" s="12"/>
      <c r="BY11" s="7" t="s">
        <v>291</v>
      </c>
      <c r="BZ11" s="7" t="s">
        <v>296</v>
      </c>
      <c r="CA11" s="1">
        <v>1</v>
      </c>
      <c r="CB11" s="1">
        <v>6</v>
      </c>
      <c r="CC11" s="12"/>
      <c r="CD11" s="7" t="s">
        <v>295</v>
      </c>
      <c r="CE11" s="7" t="s">
        <v>297</v>
      </c>
      <c r="CF11" s="1">
        <v>5</v>
      </c>
      <c r="CG11" s="1">
        <v>4</v>
      </c>
      <c r="CH11" s="12"/>
      <c r="CI11" s="7" t="s">
        <v>298</v>
      </c>
      <c r="CJ11" s="7" t="s">
        <v>296</v>
      </c>
      <c r="CK11" s="1">
        <v>3</v>
      </c>
      <c r="CL11" s="1">
        <v>6</v>
      </c>
      <c r="CM11" s="12"/>
      <c r="CN11" s="7" t="s">
        <v>291</v>
      </c>
      <c r="CO11" s="7" t="s">
        <v>296</v>
      </c>
      <c r="CP11" s="1">
        <v>1</v>
      </c>
      <c r="CQ11" s="1">
        <v>6</v>
      </c>
      <c r="CR11" s="12"/>
      <c r="CS11" s="7" t="s">
        <v>293</v>
      </c>
      <c r="CT11" s="7" t="s">
        <v>296</v>
      </c>
      <c r="CU11" s="1">
        <v>2</v>
      </c>
      <c r="CV11" s="1">
        <v>6</v>
      </c>
      <c r="CW11" s="12"/>
      <c r="CX11" s="7" t="s">
        <v>299</v>
      </c>
      <c r="CY11" s="7" t="s">
        <v>296</v>
      </c>
      <c r="CZ11" s="1">
        <v>4</v>
      </c>
      <c r="DA11" s="1">
        <v>6</v>
      </c>
      <c r="DB11" s="12"/>
      <c r="DC11" s="7" t="s">
        <v>295</v>
      </c>
      <c r="DD11" s="7" t="s">
        <v>296</v>
      </c>
      <c r="DE11" s="1">
        <v>5</v>
      </c>
      <c r="DF11" s="1">
        <v>6</v>
      </c>
      <c r="DG11" s="12"/>
      <c r="DH11" s="7" t="s">
        <v>298</v>
      </c>
      <c r="DI11" s="7" t="s">
        <v>296</v>
      </c>
      <c r="DJ11" s="1">
        <v>3</v>
      </c>
      <c r="DK11" s="1">
        <v>6</v>
      </c>
      <c r="DL11" s="12"/>
      <c r="DM11" s="7" t="s">
        <v>291</v>
      </c>
      <c r="DN11" s="7" t="s">
        <v>296</v>
      </c>
      <c r="DO11" s="1">
        <v>1</v>
      </c>
      <c r="DP11" s="1">
        <v>6</v>
      </c>
      <c r="DQ11" s="12"/>
      <c r="DR11" s="7" t="s">
        <v>300</v>
      </c>
      <c r="DS11" s="7" t="s">
        <v>296</v>
      </c>
      <c r="DT11" s="1">
        <v>2</v>
      </c>
      <c r="DU11" s="1">
        <v>6</v>
      </c>
      <c r="DV11" s="12"/>
      <c r="DW11" s="7" t="s">
        <v>301</v>
      </c>
      <c r="DX11" s="7" t="s">
        <v>296</v>
      </c>
      <c r="DY11" s="1">
        <v>5</v>
      </c>
      <c r="DZ11" s="1">
        <v>6</v>
      </c>
      <c r="EA11" s="12"/>
      <c r="EB11" s="7" t="s">
        <v>291</v>
      </c>
      <c r="EC11" s="7" t="s">
        <v>296</v>
      </c>
      <c r="ED11" s="1">
        <v>1</v>
      </c>
      <c r="EE11" s="1">
        <v>6</v>
      </c>
      <c r="EF11" s="12"/>
      <c r="EG11" s="7" t="s">
        <v>301</v>
      </c>
      <c r="EH11" s="7" t="s">
        <v>292</v>
      </c>
      <c r="EI11" s="1">
        <v>5</v>
      </c>
      <c r="EJ11" s="1">
        <v>5</v>
      </c>
      <c r="EK11" s="12"/>
      <c r="EL11" s="7" t="s">
        <v>301</v>
      </c>
      <c r="EM11" s="7" t="s">
        <v>296</v>
      </c>
      <c r="EN11" s="1">
        <v>5</v>
      </c>
      <c r="EO11" s="1">
        <v>6</v>
      </c>
      <c r="EP11" s="12"/>
      <c r="EQ11" s="7" t="s">
        <v>291</v>
      </c>
      <c r="ER11" s="7" t="s">
        <v>296</v>
      </c>
      <c r="ES11" s="1">
        <v>1</v>
      </c>
      <c r="ET11" s="1">
        <v>6</v>
      </c>
      <c r="EU11" s="12"/>
      <c r="EV11" s="7" t="s">
        <v>301</v>
      </c>
      <c r="EW11" s="7" t="s">
        <v>296</v>
      </c>
      <c r="EX11" s="1">
        <v>5</v>
      </c>
      <c r="EY11" s="1">
        <v>6</v>
      </c>
      <c r="EZ11" s="12"/>
      <c r="FA11" s="7" t="s">
        <v>301</v>
      </c>
      <c r="FB11" s="7" t="s">
        <v>296</v>
      </c>
      <c r="FC11" s="1">
        <v>5</v>
      </c>
      <c r="FD11" s="1">
        <v>6</v>
      </c>
      <c r="FE11" s="12"/>
      <c r="FF11" s="7" t="s">
        <v>291</v>
      </c>
      <c r="FG11" s="7" t="s">
        <v>296</v>
      </c>
      <c r="FH11" s="1">
        <v>1</v>
      </c>
      <c r="FI11" s="1">
        <v>6</v>
      </c>
      <c r="FJ11" s="12"/>
      <c r="FK11" s="7" t="s">
        <v>300</v>
      </c>
      <c r="FL11" s="7" t="s">
        <v>296</v>
      </c>
      <c r="FM11" s="1">
        <v>2</v>
      </c>
      <c r="FN11" s="1">
        <v>6</v>
      </c>
      <c r="FO11" s="12"/>
      <c r="FP11" s="7" t="s">
        <v>282</v>
      </c>
      <c r="FQ11" s="7" t="s">
        <v>296</v>
      </c>
      <c r="FR11" s="4" t="s">
        <v>282</v>
      </c>
      <c r="FS11" s="1">
        <v>6</v>
      </c>
      <c r="FT11" s="10"/>
      <c r="FU11" s="7" t="s">
        <v>413</v>
      </c>
      <c r="FV11" s="7" t="s">
        <v>414</v>
      </c>
      <c r="FW11" s="7" t="s">
        <v>415</v>
      </c>
      <c r="FX11" s="7" t="s">
        <v>416</v>
      </c>
      <c r="FY11" s="7" t="s">
        <v>417</v>
      </c>
      <c r="FZ11" s="7" t="s">
        <v>418</v>
      </c>
      <c r="GA11" s="7" t="s">
        <v>419</v>
      </c>
      <c r="GB11" s="7" t="s">
        <v>420</v>
      </c>
      <c r="GC11" s="7" t="s">
        <v>421</v>
      </c>
      <c r="GD11" s="7" t="s">
        <v>422</v>
      </c>
      <c r="GE11" s="7" t="s">
        <v>423</v>
      </c>
      <c r="GF11" s="7" t="s">
        <v>424</v>
      </c>
      <c r="GG11" s="7" t="s">
        <v>372</v>
      </c>
      <c r="GH11" s="7" t="s">
        <v>325</v>
      </c>
    </row>
    <row r="12" spans="1:190" x14ac:dyDescent="0.2">
      <c r="A12">
        <v>10</v>
      </c>
      <c r="B12">
        <v>100</v>
      </c>
      <c r="C12">
        <v>576</v>
      </c>
      <c r="D12" s="7" t="s">
        <v>280</v>
      </c>
      <c r="E12" s="7" t="s">
        <v>286</v>
      </c>
      <c r="F12" s="7" t="s">
        <v>328</v>
      </c>
      <c r="G12" s="4" t="s">
        <v>1222</v>
      </c>
      <c r="H12" s="7" t="s">
        <v>288</v>
      </c>
      <c r="I12" s="1">
        <v>5</v>
      </c>
      <c r="J12" s="7" t="s">
        <v>317</v>
      </c>
      <c r="K12" s="1">
        <v>2</v>
      </c>
      <c r="L12" s="7" t="s">
        <v>329</v>
      </c>
      <c r="M12" s="1">
        <v>3</v>
      </c>
      <c r="N12" s="7" t="s">
        <v>329</v>
      </c>
      <c r="O12" s="1">
        <v>3</v>
      </c>
      <c r="P12" s="12"/>
      <c r="Q12" s="7" t="s">
        <v>291</v>
      </c>
      <c r="R12" s="7" t="s">
        <v>292</v>
      </c>
      <c r="S12" s="1">
        <v>1</v>
      </c>
      <c r="T12" s="1">
        <v>5</v>
      </c>
      <c r="U12" s="12"/>
      <c r="V12" s="7" t="s">
        <v>293</v>
      </c>
      <c r="W12" s="7" t="s">
        <v>292</v>
      </c>
      <c r="X12" s="1">
        <v>2</v>
      </c>
      <c r="Y12" s="1">
        <v>5</v>
      </c>
      <c r="Z12" s="12"/>
      <c r="AA12" s="7" t="s">
        <v>293</v>
      </c>
      <c r="AB12" s="7" t="s">
        <v>292</v>
      </c>
      <c r="AC12" s="1">
        <v>2</v>
      </c>
      <c r="AD12" s="1">
        <v>5</v>
      </c>
      <c r="AE12" s="12"/>
      <c r="AF12" s="7" t="s">
        <v>295</v>
      </c>
      <c r="AG12" s="7" t="s">
        <v>297</v>
      </c>
      <c r="AH12" s="1">
        <v>5</v>
      </c>
      <c r="AI12" s="1">
        <v>4</v>
      </c>
      <c r="AJ12" s="12"/>
      <c r="AK12" s="7" t="s">
        <v>295</v>
      </c>
      <c r="AL12" s="7" t="s">
        <v>297</v>
      </c>
      <c r="AM12" s="1">
        <v>5</v>
      </c>
      <c r="AN12" s="1">
        <v>4</v>
      </c>
      <c r="AO12" s="12"/>
      <c r="AP12" s="7" t="s">
        <v>291</v>
      </c>
      <c r="AQ12" s="7" t="s">
        <v>292</v>
      </c>
      <c r="AR12" s="1">
        <v>1</v>
      </c>
      <c r="AS12" s="1">
        <v>5</v>
      </c>
      <c r="AT12" s="12"/>
      <c r="AU12" s="7" t="s">
        <v>293</v>
      </c>
      <c r="AV12" s="7" t="s">
        <v>292</v>
      </c>
      <c r="AW12" s="1">
        <v>2</v>
      </c>
      <c r="AX12" s="1">
        <v>5</v>
      </c>
      <c r="AY12" s="12"/>
      <c r="AZ12" s="7" t="s">
        <v>291</v>
      </c>
      <c r="BA12" s="7" t="s">
        <v>297</v>
      </c>
      <c r="BB12" s="1">
        <v>1</v>
      </c>
      <c r="BC12" s="1">
        <v>4</v>
      </c>
      <c r="BD12" s="12"/>
      <c r="BE12" s="7" t="s">
        <v>298</v>
      </c>
      <c r="BF12" s="7" t="s">
        <v>297</v>
      </c>
      <c r="BG12" s="1">
        <v>3</v>
      </c>
      <c r="BH12" s="1">
        <v>4</v>
      </c>
      <c r="BI12" s="12"/>
      <c r="BJ12" s="7" t="s">
        <v>291</v>
      </c>
      <c r="BK12" s="7" t="s">
        <v>297</v>
      </c>
      <c r="BL12" s="1">
        <v>1</v>
      </c>
      <c r="BM12" s="1">
        <v>4</v>
      </c>
      <c r="BN12" s="12"/>
      <c r="BO12" s="7" t="s">
        <v>291</v>
      </c>
      <c r="BP12" s="7" t="s">
        <v>297</v>
      </c>
      <c r="BQ12" s="1">
        <v>1</v>
      </c>
      <c r="BR12" s="1">
        <v>4</v>
      </c>
      <c r="BS12" s="12"/>
      <c r="BT12" s="7" t="s">
        <v>293</v>
      </c>
      <c r="BU12" s="7" t="s">
        <v>292</v>
      </c>
      <c r="BV12" s="1">
        <v>2</v>
      </c>
      <c r="BW12" s="1">
        <v>5</v>
      </c>
      <c r="BX12" s="12"/>
      <c r="BY12" s="7" t="s">
        <v>291</v>
      </c>
      <c r="BZ12" s="7" t="s">
        <v>297</v>
      </c>
      <c r="CA12" s="1">
        <v>1</v>
      </c>
      <c r="CB12" s="1">
        <v>4</v>
      </c>
      <c r="CC12" s="12"/>
      <c r="CD12" s="7" t="s">
        <v>291</v>
      </c>
      <c r="CE12" s="7" t="s">
        <v>297</v>
      </c>
      <c r="CF12" s="1">
        <v>1</v>
      </c>
      <c r="CG12" s="1">
        <v>4</v>
      </c>
      <c r="CH12" s="12"/>
      <c r="CI12" s="7" t="s">
        <v>291</v>
      </c>
      <c r="CJ12" s="7" t="s">
        <v>297</v>
      </c>
      <c r="CK12" s="1">
        <v>1</v>
      </c>
      <c r="CL12" s="1">
        <v>4</v>
      </c>
      <c r="CM12" s="12"/>
      <c r="CN12" s="7" t="s">
        <v>291</v>
      </c>
      <c r="CO12" s="7" t="s">
        <v>297</v>
      </c>
      <c r="CP12" s="1">
        <v>1</v>
      </c>
      <c r="CQ12" s="1">
        <v>4</v>
      </c>
      <c r="CR12" s="12"/>
      <c r="CS12" s="7" t="s">
        <v>293</v>
      </c>
      <c r="CT12" s="7" t="s">
        <v>297</v>
      </c>
      <c r="CU12" s="1">
        <v>2</v>
      </c>
      <c r="CV12" s="1">
        <v>4</v>
      </c>
      <c r="CW12" s="12"/>
      <c r="CX12" s="7" t="s">
        <v>291</v>
      </c>
      <c r="CY12" s="7" t="s">
        <v>297</v>
      </c>
      <c r="CZ12" s="1">
        <v>1</v>
      </c>
      <c r="DA12" s="1">
        <v>4</v>
      </c>
      <c r="DB12" s="12"/>
      <c r="DC12" s="7" t="s">
        <v>291</v>
      </c>
      <c r="DD12" s="7" t="s">
        <v>297</v>
      </c>
      <c r="DE12" s="1">
        <v>1</v>
      </c>
      <c r="DF12" s="1">
        <v>4</v>
      </c>
      <c r="DG12" s="12"/>
      <c r="DH12" s="7" t="s">
        <v>291</v>
      </c>
      <c r="DI12" s="7" t="s">
        <v>297</v>
      </c>
      <c r="DJ12" s="1">
        <v>1</v>
      </c>
      <c r="DK12" s="1">
        <v>4</v>
      </c>
      <c r="DL12" s="12"/>
      <c r="DM12" s="7" t="s">
        <v>291</v>
      </c>
      <c r="DN12" s="7" t="s">
        <v>292</v>
      </c>
      <c r="DO12" s="1">
        <v>1</v>
      </c>
      <c r="DP12" s="1">
        <v>5</v>
      </c>
      <c r="DQ12" s="12"/>
      <c r="DR12" s="7" t="s">
        <v>300</v>
      </c>
      <c r="DS12" s="7" t="s">
        <v>297</v>
      </c>
      <c r="DT12" s="1">
        <v>2</v>
      </c>
      <c r="DU12" s="1">
        <v>4</v>
      </c>
      <c r="DV12" s="12"/>
      <c r="DW12" s="7" t="s">
        <v>291</v>
      </c>
      <c r="DX12" s="7" t="s">
        <v>297</v>
      </c>
      <c r="DY12" s="1">
        <v>1</v>
      </c>
      <c r="DZ12" s="1">
        <v>4</v>
      </c>
      <c r="EA12" s="12"/>
      <c r="EB12" s="7" t="s">
        <v>291</v>
      </c>
      <c r="EC12" s="7" t="s">
        <v>297</v>
      </c>
      <c r="ED12" s="1">
        <v>1</v>
      </c>
      <c r="EE12" s="1">
        <v>4</v>
      </c>
      <c r="EF12" s="12"/>
      <c r="EG12" s="7" t="s">
        <v>300</v>
      </c>
      <c r="EH12" s="7" t="s">
        <v>296</v>
      </c>
      <c r="EI12" s="1">
        <v>2</v>
      </c>
      <c r="EJ12" s="1">
        <v>6</v>
      </c>
      <c r="EK12" s="12"/>
      <c r="EL12" s="7" t="s">
        <v>301</v>
      </c>
      <c r="EM12" s="7" t="s">
        <v>292</v>
      </c>
      <c r="EN12" s="1">
        <v>5</v>
      </c>
      <c r="EO12" s="1">
        <v>5</v>
      </c>
      <c r="EP12" s="12"/>
      <c r="EQ12" s="7" t="s">
        <v>291</v>
      </c>
      <c r="ER12" s="7" t="s">
        <v>292</v>
      </c>
      <c r="ES12" s="1">
        <v>1</v>
      </c>
      <c r="ET12" s="1">
        <v>5</v>
      </c>
      <c r="EU12" s="12"/>
      <c r="EV12" s="7" t="s">
        <v>300</v>
      </c>
      <c r="EW12" s="7" t="s">
        <v>297</v>
      </c>
      <c r="EX12" s="1">
        <v>2</v>
      </c>
      <c r="EY12" s="1">
        <v>4</v>
      </c>
      <c r="EZ12" s="12"/>
      <c r="FA12" s="7" t="s">
        <v>301</v>
      </c>
      <c r="FB12" s="7" t="s">
        <v>292</v>
      </c>
      <c r="FC12" s="1">
        <v>5</v>
      </c>
      <c r="FD12" s="1">
        <v>5</v>
      </c>
      <c r="FE12" s="12"/>
      <c r="FF12" s="7" t="s">
        <v>291</v>
      </c>
      <c r="FG12" s="7" t="s">
        <v>292</v>
      </c>
      <c r="FH12" s="1">
        <v>1</v>
      </c>
      <c r="FI12" s="1">
        <v>5</v>
      </c>
      <c r="FJ12" s="12"/>
      <c r="FK12" s="7" t="s">
        <v>300</v>
      </c>
      <c r="FL12" s="7" t="s">
        <v>292</v>
      </c>
      <c r="FM12" s="1">
        <v>2</v>
      </c>
      <c r="FN12" s="1">
        <v>5</v>
      </c>
      <c r="FO12" s="12"/>
      <c r="FP12" s="7" t="s">
        <v>301</v>
      </c>
      <c r="FQ12" s="7" t="s">
        <v>292</v>
      </c>
      <c r="FR12" s="1">
        <v>5</v>
      </c>
      <c r="FS12" s="1">
        <v>5</v>
      </c>
      <c r="FT12" s="10"/>
      <c r="FU12" s="7" t="s">
        <v>427</v>
      </c>
      <c r="FV12" s="7" t="s">
        <v>428</v>
      </c>
      <c r="FW12" s="7" t="s">
        <v>429</v>
      </c>
      <c r="FX12" s="7" t="s">
        <v>429</v>
      </c>
      <c r="FY12" s="7" t="s">
        <v>430</v>
      </c>
      <c r="FZ12" s="7" t="s">
        <v>431</v>
      </c>
      <c r="GA12" s="7" t="s">
        <v>432</v>
      </c>
      <c r="GB12" s="7" t="s">
        <v>432</v>
      </c>
      <c r="GC12" s="7" t="s">
        <v>433</v>
      </c>
      <c r="GD12" s="7" t="s">
        <v>434</v>
      </c>
      <c r="GE12" s="7" t="s">
        <v>282</v>
      </c>
      <c r="GF12" s="7" t="s">
        <v>282</v>
      </c>
      <c r="GG12" s="7" t="s">
        <v>356</v>
      </c>
      <c r="GH12" s="7" t="s">
        <v>313</v>
      </c>
    </row>
    <row r="13" spans="1:190" x14ac:dyDescent="0.2">
      <c r="A13">
        <v>11</v>
      </c>
      <c r="B13">
        <v>100</v>
      </c>
      <c r="C13">
        <v>945</v>
      </c>
      <c r="D13" s="7" t="s">
        <v>280</v>
      </c>
      <c r="E13" s="7" t="s">
        <v>412</v>
      </c>
      <c r="F13" s="7" t="s">
        <v>287</v>
      </c>
      <c r="G13" s="4" t="s">
        <v>312</v>
      </c>
      <c r="H13" s="7" t="s">
        <v>288</v>
      </c>
      <c r="I13" s="1">
        <v>5</v>
      </c>
      <c r="J13" s="7" t="s">
        <v>329</v>
      </c>
      <c r="K13" s="1">
        <v>3</v>
      </c>
      <c r="L13" s="7" t="s">
        <v>329</v>
      </c>
      <c r="M13" s="1">
        <v>3</v>
      </c>
      <c r="N13" s="7" t="s">
        <v>317</v>
      </c>
      <c r="O13" s="1">
        <v>2</v>
      </c>
      <c r="P13" s="12"/>
      <c r="Q13" s="7" t="s">
        <v>293</v>
      </c>
      <c r="R13" s="7" t="s">
        <v>296</v>
      </c>
      <c r="S13" s="1">
        <v>2</v>
      </c>
      <c r="T13" s="1">
        <v>6</v>
      </c>
      <c r="U13" s="12"/>
      <c r="V13" s="7" t="s">
        <v>299</v>
      </c>
      <c r="W13" s="7" t="s">
        <v>296</v>
      </c>
      <c r="X13" s="1">
        <v>4</v>
      </c>
      <c r="Y13" s="1">
        <v>6</v>
      </c>
      <c r="Z13" s="12"/>
      <c r="AA13" s="7" t="s">
        <v>293</v>
      </c>
      <c r="AB13" s="7" t="s">
        <v>296</v>
      </c>
      <c r="AC13" s="1">
        <v>2</v>
      </c>
      <c r="AD13" s="1">
        <v>6</v>
      </c>
      <c r="AE13" s="12"/>
      <c r="AF13" s="7" t="s">
        <v>295</v>
      </c>
      <c r="AG13" s="7" t="s">
        <v>292</v>
      </c>
      <c r="AH13" s="1">
        <v>5</v>
      </c>
      <c r="AI13" s="1">
        <v>5</v>
      </c>
      <c r="AJ13" s="12"/>
      <c r="AK13" s="7" t="s">
        <v>295</v>
      </c>
      <c r="AL13" s="7" t="s">
        <v>296</v>
      </c>
      <c r="AM13" s="1">
        <v>5</v>
      </c>
      <c r="AN13" s="1">
        <v>6</v>
      </c>
      <c r="AO13" s="12"/>
      <c r="AP13" s="7" t="s">
        <v>291</v>
      </c>
      <c r="AQ13" s="7" t="s">
        <v>296</v>
      </c>
      <c r="AR13" s="1">
        <v>1</v>
      </c>
      <c r="AS13" s="1">
        <v>6</v>
      </c>
      <c r="AT13" s="12"/>
      <c r="AU13" s="7" t="s">
        <v>299</v>
      </c>
      <c r="AV13" s="7" t="s">
        <v>296</v>
      </c>
      <c r="AW13" s="1">
        <v>4</v>
      </c>
      <c r="AX13" s="1">
        <v>6</v>
      </c>
      <c r="AY13" s="12"/>
      <c r="AZ13" s="7" t="s">
        <v>291</v>
      </c>
      <c r="BA13" s="7" t="s">
        <v>296</v>
      </c>
      <c r="BB13" s="1">
        <v>1</v>
      </c>
      <c r="BC13" s="1">
        <v>6</v>
      </c>
      <c r="BD13" s="12"/>
      <c r="BE13" s="7" t="s">
        <v>295</v>
      </c>
      <c r="BF13" s="7" t="s">
        <v>292</v>
      </c>
      <c r="BG13" s="1">
        <v>5</v>
      </c>
      <c r="BH13" s="1">
        <v>5</v>
      </c>
      <c r="BI13" s="12"/>
      <c r="BJ13" s="7" t="s">
        <v>293</v>
      </c>
      <c r="BK13" s="7" t="s">
        <v>294</v>
      </c>
      <c r="BL13" s="1">
        <v>2</v>
      </c>
      <c r="BM13" s="1">
        <v>7</v>
      </c>
      <c r="BN13" s="12"/>
      <c r="BO13" s="7" t="s">
        <v>291</v>
      </c>
      <c r="BP13" s="7" t="s">
        <v>296</v>
      </c>
      <c r="BQ13" s="1">
        <v>1</v>
      </c>
      <c r="BR13" s="1">
        <v>6</v>
      </c>
      <c r="BS13" s="12"/>
      <c r="BT13" s="7" t="s">
        <v>293</v>
      </c>
      <c r="BU13" s="7" t="s">
        <v>296</v>
      </c>
      <c r="BV13" s="1">
        <v>2</v>
      </c>
      <c r="BW13" s="1">
        <v>6</v>
      </c>
      <c r="BX13" s="12"/>
      <c r="BY13" s="7" t="s">
        <v>291</v>
      </c>
      <c r="BZ13" s="7" t="s">
        <v>296</v>
      </c>
      <c r="CA13" s="1">
        <v>1</v>
      </c>
      <c r="CB13" s="1">
        <v>6</v>
      </c>
      <c r="CC13" s="12"/>
      <c r="CD13" s="7" t="s">
        <v>299</v>
      </c>
      <c r="CE13" s="7" t="s">
        <v>296</v>
      </c>
      <c r="CF13" s="1">
        <v>4</v>
      </c>
      <c r="CG13" s="1">
        <v>6</v>
      </c>
      <c r="CH13" s="12"/>
      <c r="CI13" s="7" t="s">
        <v>298</v>
      </c>
      <c r="CJ13" s="7" t="s">
        <v>296</v>
      </c>
      <c r="CK13" s="1">
        <v>3</v>
      </c>
      <c r="CL13" s="1">
        <v>6</v>
      </c>
      <c r="CM13" s="12"/>
      <c r="CN13" s="7" t="s">
        <v>291</v>
      </c>
      <c r="CO13" s="7" t="s">
        <v>296</v>
      </c>
      <c r="CP13" s="1">
        <v>1</v>
      </c>
      <c r="CQ13" s="1">
        <v>6</v>
      </c>
      <c r="CR13" s="12"/>
      <c r="CS13" s="7" t="s">
        <v>293</v>
      </c>
      <c r="CT13" s="7" t="s">
        <v>296</v>
      </c>
      <c r="CU13" s="1">
        <v>2</v>
      </c>
      <c r="CV13" s="1">
        <v>6</v>
      </c>
      <c r="CW13" s="12"/>
      <c r="CX13" s="7" t="s">
        <v>299</v>
      </c>
      <c r="CY13" s="7" t="s">
        <v>296</v>
      </c>
      <c r="CZ13" s="1">
        <v>4</v>
      </c>
      <c r="DA13" s="1">
        <v>6</v>
      </c>
      <c r="DB13" s="12"/>
      <c r="DC13" s="7" t="s">
        <v>298</v>
      </c>
      <c r="DD13" s="7" t="s">
        <v>294</v>
      </c>
      <c r="DE13" s="1">
        <v>3</v>
      </c>
      <c r="DF13" s="1">
        <v>7</v>
      </c>
      <c r="DG13" s="12"/>
      <c r="DH13" s="7" t="s">
        <v>298</v>
      </c>
      <c r="DI13" s="7" t="s">
        <v>292</v>
      </c>
      <c r="DJ13" s="1">
        <v>3</v>
      </c>
      <c r="DK13" s="1">
        <v>5</v>
      </c>
      <c r="DL13" s="12"/>
      <c r="DM13" s="7" t="s">
        <v>282</v>
      </c>
      <c r="DN13" s="7" t="s">
        <v>296</v>
      </c>
      <c r="DO13" s="4" t="s">
        <v>282</v>
      </c>
      <c r="DP13" s="1">
        <v>6</v>
      </c>
      <c r="DQ13" s="12"/>
      <c r="DR13" s="7" t="s">
        <v>300</v>
      </c>
      <c r="DS13" s="7" t="s">
        <v>294</v>
      </c>
      <c r="DT13" s="1">
        <v>2</v>
      </c>
      <c r="DU13" s="1">
        <v>7</v>
      </c>
      <c r="DV13" s="12"/>
      <c r="DW13" s="7" t="s">
        <v>301</v>
      </c>
      <c r="DX13" s="7" t="s">
        <v>292</v>
      </c>
      <c r="DY13" s="1">
        <v>5</v>
      </c>
      <c r="DZ13" s="1">
        <v>5</v>
      </c>
      <c r="EA13" s="12"/>
      <c r="EB13" s="7" t="s">
        <v>291</v>
      </c>
      <c r="EC13" s="7" t="s">
        <v>294</v>
      </c>
      <c r="ED13" s="1">
        <v>1</v>
      </c>
      <c r="EE13" s="1">
        <v>7</v>
      </c>
      <c r="EF13" s="12"/>
      <c r="EG13" s="7" t="s">
        <v>300</v>
      </c>
      <c r="EH13" s="7" t="s">
        <v>294</v>
      </c>
      <c r="EI13" s="1">
        <v>2</v>
      </c>
      <c r="EJ13" s="1">
        <v>7</v>
      </c>
      <c r="EK13" s="12"/>
      <c r="EL13" s="7" t="s">
        <v>301</v>
      </c>
      <c r="EM13" s="7" t="s">
        <v>294</v>
      </c>
      <c r="EN13" s="1">
        <v>5</v>
      </c>
      <c r="EO13" s="1">
        <v>7</v>
      </c>
      <c r="EP13" s="12"/>
      <c r="EQ13" s="7" t="s">
        <v>291</v>
      </c>
      <c r="ER13" s="7" t="s">
        <v>294</v>
      </c>
      <c r="ES13" s="1">
        <v>1</v>
      </c>
      <c r="ET13" s="1">
        <v>7</v>
      </c>
      <c r="EU13" s="12"/>
      <c r="EV13" s="7" t="s">
        <v>300</v>
      </c>
      <c r="EW13" s="7" t="s">
        <v>294</v>
      </c>
      <c r="EX13" s="1">
        <v>2</v>
      </c>
      <c r="EY13" s="1">
        <v>7</v>
      </c>
      <c r="EZ13" s="12"/>
      <c r="FA13" s="7" t="s">
        <v>282</v>
      </c>
      <c r="FB13" s="7" t="s">
        <v>296</v>
      </c>
      <c r="FC13" s="4" t="s">
        <v>282</v>
      </c>
      <c r="FD13" s="1">
        <v>6</v>
      </c>
      <c r="FE13" s="12"/>
      <c r="FF13" s="7" t="s">
        <v>291</v>
      </c>
      <c r="FG13" s="7" t="s">
        <v>294</v>
      </c>
      <c r="FH13" s="1">
        <v>1</v>
      </c>
      <c r="FI13" s="1">
        <v>7</v>
      </c>
      <c r="FJ13" s="12"/>
      <c r="FK13" s="7" t="s">
        <v>300</v>
      </c>
      <c r="FL13" s="7" t="s">
        <v>296</v>
      </c>
      <c r="FM13" s="1">
        <v>2</v>
      </c>
      <c r="FN13" s="1">
        <v>6</v>
      </c>
      <c r="FO13" s="12"/>
      <c r="FP13" s="7" t="s">
        <v>301</v>
      </c>
      <c r="FQ13" s="7" t="s">
        <v>296</v>
      </c>
      <c r="FR13" s="1">
        <v>5</v>
      </c>
      <c r="FS13" s="1">
        <v>6</v>
      </c>
      <c r="FT13" s="10"/>
      <c r="FU13" s="7" t="s">
        <v>437</v>
      </c>
      <c r="FV13" s="7" t="s">
        <v>437</v>
      </c>
      <c r="FW13" s="7" t="s">
        <v>438</v>
      </c>
      <c r="FX13" s="7" t="s">
        <v>439</v>
      </c>
      <c r="FY13" s="7" t="s">
        <v>440</v>
      </c>
      <c r="FZ13" s="7" t="s">
        <v>441</v>
      </c>
      <c r="GA13" s="7" t="s">
        <v>442</v>
      </c>
      <c r="GB13" s="7" t="s">
        <v>443</v>
      </c>
      <c r="GC13" s="7" t="s">
        <v>444</v>
      </c>
      <c r="GD13" s="7" t="s">
        <v>445</v>
      </c>
      <c r="GE13" s="7" t="s">
        <v>282</v>
      </c>
      <c r="GF13" s="7" t="s">
        <v>282</v>
      </c>
      <c r="GG13" s="7" t="s">
        <v>356</v>
      </c>
      <c r="GH13" s="7" t="s">
        <v>313</v>
      </c>
    </row>
    <row r="14" spans="1:190" x14ac:dyDescent="0.2">
      <c r="A14">
        <v>12</v>
      </c>
      <c r="B14">
        <v>100</v>
      </c>
      <c r="C14">
        <v>1813</v>
      </c>
      <c r="D14" s="7" t="s">
        <v>280</v>
      </c>
      <c r="E14" s="7" t="s">
        <v>412</v>
      </c>
      <c r="F14" s="7" t="s">
        <v>316</v>
      </c>
      <c r="G14" s="4" t="s">
        <v>1280</v>
      </c>
      <c r="H14" s="7" t="s">
        <v>288</v>
      </c>
      <c r="I14" s="1">
        <v>5</v>
      </c>
      <c r="J14" s="7" t="s">
        <v>289</v>
      </c>
      <c r="K14" s="1">
        <v>1</v>
      </c>
      <c r="L14" s="7" t="s">
        <v>329</v>
      </c>
      <c r="M14" s="1">
        <v>3</v>
      </c>
      <c r="N14" s="7" t="s">
        <v>317</v>
      </c>
      <c r="O14" s="1">
        <v>2</v>
      </c>
      <c r="P14" s="12"/>
      <c r="Q14" s="7" t="s">
        <v>291</v>
      </c>
      <c r="R14" s="7" t="s">
        <v>292</v>
      </c>
      <c r="S14" s="1">
        <v>1</v>
      </c>
      <c r="T14" s="1">
        <v>5</v>
      </c>
      <c r="U14" s="12"/>
      <c r="V14" s="7" t="s">
        <v>293</v>
      </c>
      <c r="W14" s="7" t="s">
        <v>296</v>
      </c>
      <c r="X14" s="1">
        <v>2</v>
      </c>
      <c r="Y14" s="1">
        <v>6</v>
      </c>
      <c r="Z14" s="12"/>
      <c r="AA14" s="7" t="s">
        <v>293</v>
      </c>
      <c r="AB14" s="7" t="s">
        <v>296</v>
      </c>
      <c r="AC14" s="1">
        <v>2</v>
      </c>
      <c r="AD14" s="1">
        <v>6</v>
      </c>
      <c r="AE14" s="12"/>
      <c r="AF14" s="7" t="s">
        <v>295</v>
      </c>
      <c r="AG14" s="7" t="s">
        <v>296</v>
      </c>
      <c r="AH14" s="1">
        <v>5</v>
      </c>
      <c r="AI14" s="1">
        <v>6</v>
      </c>
      <c r="AJ14" s="12"/>
      <c r="AK14" s="7" t="s">
        <v>295</v>
      </c>
      <c r="AL14" s="7" t="s">
        <v>296</v>
      </c>
      <c r="AM14" s="1">
        <v>5</v>
      </c>
      <c r="AN14" s="1">
        <v>6</v>
      </c>
      <c r="AO14" s="12"/>
      <c r="AP14" s="7" t="s">
        <v>291</v>
      </c>
      <c r="AQ14" s="7" t="s">
        <v>292</v>
      </c>
      <c r="AR14" s="1">
        <v>1</v>
      </c>
      <c r="AS14" s="1">
        <v>5</v>
      </c>
      <c r="AT14" s="12"/>
      <c r="AU14" s="7" t="s">
        <v>293</v>
      </c>
      <c r="AV14" s="7" t="s">
        <v>296</v>
      </c>
      <c r="AW14" s="1">
        <v>2</v>
      </c>
      <c r="AX14" s="1">
        <v>6</v>
      </c>
      <c r="AY14" s="12"/>
      <c r="AZ14" s="7" t="s">
        <v>291</v>
      </c>
      <c r="BA14" s="7" t="s">
        <v>292</v>
      </c>
      <c r="BB14" s="1">
        <v>1</v>
      </c>
      <c r="BC14" s="1">
        <v>5</v>
      </c>
      <c r="BD14" s="12"/>
      <c r="BE14" s="7" t="s">
        <v>295</v>
      </c>
      <c r="BF14" s="7" t="s">
        <v>296</v>
      </c>
      <c r="BG14" s="1">
        <v>5</v>
      </c>
      <c r="BH14" s="1">
        <v>6</v>
      </c>
      <c r="BI14" s="12"/>
      <c r="BJ14" s="7" t="s">
        <v>298</v>
      </c>
      <c r="BK14" s="7" t="s">
        <v>296</v>
      </c>
      <c r="BL14" s="1">
        <v>3</v>
      </c>
      <c r="BM14" s="1">
        <v>6</v>
      </c>
      <c r="BN14" s="12"/>
      <c r="BO14" s="7" t="s">
        <v>291</v>
      </c>
      <c r="BP14" s="7" t="s">
        <v>294</v>
      </c>
      <c r="BQ14" s="1">
        <v>1</v>
      </c>
      <c r="BR14" s="1">
        <v>7</v>
      </c>
      <c r="BS14" s="12"/>
      <c r="BT14" s="7" t="s">
        <v>293</v>
      </c>
      <c r="BU14" s="7" t="s">
        <v>296</v>
      </c>
      <c r="BV14" s="1">
        <v>2</v>
      </c>
      <c r="BW14" s="1">
        <v>6</v>
      </c>
      <c r="BX14" s="12"/>
      <c r="BY14" s="7" t="s">
        <v>291</v>
      </c>
      <c r="BZ14" s="7" t="s">
        <v>292</v>
      </c>
      <c r="CA14" s="1">
        <v>1</v>
      </c>
      <c r="CB14" s="1">
        <v>5</v>
      </c>
      <c r="CC14" s="12"/>
      <c r="CD14" s="7" t="s">
        <v>295</v>
      </c>
      <c r="CE14" s="7" t="s">
        <v>292</v>
      </c>
      <c r="CF14" s="1">
        <v>5</v>
      </c>
      <c r="CG14" s="1">
        <v>5</v>
      </c>
      <c r="CH14" s="12"/>
      <c r="CI14" s="7" t="s">
        <v>298</v>
      </c>
      <c r="CJ14" s="7" t="s">
        <v>296</v>
      </c>
      <c r="CK14" s="1">
        <v>3</v>
      </c>
      <c r="CL14" s="1">
        <v>6</v>
      </c>
      <c r="CM14" s="12"/>
      <c r="CN14" s="7" t="s">
        <v>291</v>
      </c>
      <c r="CO14" s="7" t="s">
        <v>292</v>
      </c>
      <c r="CP14" s="1">
        <v>1</v>
      </c>
      <c r="CQ14" s="1">
        <v>5</v>
      </c>
      <c r="CR14" s="12"/>
      <c r="CS14" s="7" t="s">
        <v>293</v>
      </c>
      <c r="CT14" s="7" t="s">
        <v>292</v>
      </c>
      <c r="CU14" s="1">
        <v>2</v>
      </c>
      <c r="CV14" s="1">
        <v>5</v>
      </c>
      <c r="CW14" s="12"/>
      <c r="CX14" s="7" t="s">
        <v>299</v>
      </c>
      <c r="CY14" s="7" t="s">
        <v>296</v>
      </c>
      <c r="CZ14" s="1">
        <v>4</v>
      </c>
      <c r="DA14" s="1">
        <v>6</v>
      </c>
      <c r="DB14" s="12"/>
      <c r="DC14" s="7" t="s">
        <v>295</v>
      </c>
      <c r="DD14" s="7" t="s">
        <v>292</v>
      </c>
      <c r="DE14" s="1">
        <v>5</v>
      </c>
      <c r="DF14" s="1">
        <v>5</v>
      </c>
      <c r="DG14" s="12"/>
      <c r="DH14" s="7" t="s">
        <v>298</v>
      </c>
      <c r="DI14" s="7" t="s">
        <v>296</v>
      </c>
      <c r="DJ14" s="1">
        <v>3</v>
      </c>
      <c r="DK14" s="1">
        <v>6</v>
      </c>
      <c r="DL14" s="12"/>
      <c r="DM14" s="7" t="s">
        <v>291</v>
      </c>
      <c r="DN14" s="7" t="s">
        <v>296</v>
      </c>
      <c r="DO14" s="1">
        <v>1</v>
      </c>
      <c r="DP14" s="1">
        <v>6</v>
      </c>
      <c r="DQ14" s="12"/>
      <c r="DR14" s="7" t="s">
        <v>300</v>
      </c>
      <c r="DS14" s="7" t="s">
        <v>296</v>
      </c>
      <c r="DT14" s="1">
        <v>2</v>
      </c>
      <c r="DU14" s="1">
        <v>6</v>
      </c>
      <c r="DV14" s="12"/>
      <c r="DW14" s="7" t="s">
        <v>301</v>
      </c>
      <c r="DX14" s="7" t="s">
        <v>296</v>
      </c>
      <c r="DY14" s="1">
        <v>5</v>
      </c>
      <c r="DZ14" s="1">
        <v>6</v>
      </c>
      <c r="EA14" s="12"/>
      <c r="EB14" s="7" t="s">
        <v>291</v>
      </c>
      <c r="EC14" s="7" t="s">
        <v>296</v>
      </c>
      <c r="ED14" s="1">
        <v>1</v>
      </c>
      <c r="EE14" s="1">
        <v>6</v>
      </c>
      <c r="EF14" s="12"/>
      <c r="EG14" s="7" t="s">
        <v>300</v>
      </c>
      <c r="EH14" s="7" t="s">
        <v>296</v>
      </c>
      <c r="EI14" s="1">
        <v>2</v>
      </c>
      <c r="EJ14" s="1">
        <v>6</v>
      </c>
      <c r="EK14" s="12"/>
      <c r="EL14" s="7" t="s">
        <v>301</v>
      </c>
      <c r="EM14" s="7" t="s">
        <v>296</v>
      </c>
      <c r="EN14" s="1">
        <v>5</v>
      </c>
      <c r="EO14" s="1">
        <v>6</v>
      </c>
      <c r="EP14" s="12"/>
      <c r="EQ14" s="7" t="s">
        <v>291</v>
      </c>
      <c r="ER14" s="7" t="s">
        <v>296</v>
      </c>
      <c r="ES14" s="1">
        <v>1</v>
      </c>
      <c r="ET14" s="1">
        <v>6</v>
      </c>
      <c r="EU14" s="12"/>
      <c r="EV14" s="7" t="s">
        <v>300</v>
      </c>
      <c r="EW14" s="7" t="s">
        <v>296</v>
      </c>
      <c r="EX14" s="1">
        <v>2</v>
      </c>
      <c r="EY14" s="1">
        <v>6</v>
      </c>
      <c r="EZ14" s="12"/>
      <c r="FA14" s="7" t="s">
        <v>301</v>
      </c>
      <c r="FB14" s="7" t="s">
        <v>296</v>
      </c>
      <c r="FC14" s="1">
        <v>5</v>
      </c>
      <c r="FD14" s="1">
        <v>6</v>
      </c>
      <c r="FE14" s="12"/>
      <c r="FF14" s="7" t="s">
        <v>291</v>
      </c>
      <c r="FG14" s="7" t="s">
        <v>296</v>
      </c>
      <c r="FH14" s="1">
        <v>1</v>
      </c>
      <c r="FI14" s="1">
        <v>6</v>
      </c>
      <c r="FJ14" s="12"/>
      <c r="FK14" s="7" t="s">
        <v>300</v>
      </c>
      <c r="FL14" s="7" t="s">
        <v>296</v>
      </c>
      <c r="FM14" s="1">
        <v>2</v>
      </c>
      <c r="FN14" s="1">
        <v>6</v>
      </c>
      <c r="FO14" s="12"/>
      <c r="FP14" s="7" t="s">
        <v>291</v>
      </c>
      <c r="FQ14" s="7" t="s">
        <v>292</v>
      </c>
      <c r="FR14" s="1">
        <v>1</v>
      </c>
      <c r="FS14" s="1">
        <v>5</v>
      </c>
      <c r="FT14" s="10"/>
      <c r="FU14" s="7" t="s">
        <v>448</v>
      </c>
      <c r="FV14" s="7" t="s">
        <v>449</v>
      </c>
      <c r="FW14" s="7" t="s">
        <v>450</v>
      </c>
      <c r="FX14" s="7" t="s">
        <v>451</v>
      </c>
      <c r="FY14" s="7" t="s">
        <v>452</v>
      </c>
      <c r="FZ14" s="7" t="s">
        <v>453</v>
      </c>
      <c r="GA14" s="7" t="s">
        <v>454</v>
      </c>
      <c r="GB14" s="7" t="s">
        <v>455</v>
      </c>
      <c r="GC14" s="7" t="s">
        <v>456</v>
      </c>
      <c r="GD14" s="7" t="s">
        <v>456</v>
      </c>
      <c r="GE14" s="7" t="s">
        <v>457</v>
      </c>
      <c r="GF14" s="7" t="s">
        <v>458</v>
      </c>
      <c r="GG14" s="7" t="s">
        <v>372</v>
      </c>
      <c r="GH14" s="7" t="s">
        <v>325</v>
      </c>
    </row>
    <row r="15" spans="1:190" x14ac:dyDescent="0.2">
      <c r="A15">
        <v>13</v>
      </c>
      <c r="B15">
        <v>100</v>
      </c>
      <c r="C15">
        <v>3297</v>
      </c>
      <c r="D15" s="7" t="s">
        <v>280</v>
      </c>
      <c r="E15" s="7" t="s">
        <v>461</v>
      </c>
      <c r="F15" s="7" t="s">
        <v>287</v>
      </c>
      <c r="G15" s="4" t="s">
        <v>312</v>
      </c>
      <c r="H15" s="7" t="s">
        <v>288</v>
      </c>
      <c r="I15" s="1">
        <v>5</v>
      </c>
      <c r="J15" s="7" t="s">
        <v>317</v>
      </c>
      <c r="K15" s="1">
        <v>2</v>
      </c>
      <c r="L15" s="7" t="s">
        <v>289</v>
      </c>
      <c r="M15" s="1">
        <v>1</v>
      </c>
      <c r="N15" s="7" t="s">
        <v>289</v>
      </c>
      <c r="O15" s="1">
        <v>1</v>
      </c>
      <c r="P15" s="12"/>
      <c r="Q15" s="7" t="s">
        <v>291</v>
      </c>
      <c r="R15" s="7" t="s">
        <v>296</v>
      </c>
      <c r="S15" s="1">
        <v>1</v>
      </c>
      <c r="T15" s="1">
        <v>6</v>
      </c>
      <c r="U15" s="12"/>
      <c r="V15" s="7" t="s">
        <v>293</v>
      </c>
      <c r="W15" s="7" t="s">
        <v>296</v>
      </c>
      <c r="X15" s="1">
        <v>2</v>
      </c>
      <c r="Y15" s="1">
        <v>6</v>
      </c>
      <c r="Z15" s="12"/>
      <c r="AA15" s="7" t="s">
        <v>299</v>
      </c>
      <c r="AB15" s="7" t="s">
        <v>296</v>
      </c>
      <c r="AC15" s="1">
        <v>4</v>
      </c>
      <c r="AD15" s="1">
        <v>6</v>
      </c>
      <c r="AE15" s="12"/>
      <c r="AF15" s="7" t="s">
        <v>299</v>
      </c>
      <c r="AG15" s="7" t="s">
        <v>296</v>
      </c>
      <c r="AH15" s="1">
        <v>4</v>
      </c>
      <c r="AI15" s="1">
        <v>6</v>
      </c>
      <c r="AJ15" s="12"/>
      <c r="AK15" s="7" t="s">
        <v>295</v>
      </c>
      <c r="AL15" s="7" t="s">
        <v>292</v>
      </c>
      <c r="AM15" s="1">
        <v>5</v>
      </c>
      <c r="AN15" s="1">
        <v>5</v>
      </c>
      <c r="AO15" s="12"/>
      <c r="AP15" s="7" t="s">
        <v>291</v>
      </c>
      <c r="AQ15" s="7" t="s">
        <v>292</v>
      </c>
      <c r="AR15" s="1">
        <v>1</v>
      </c>
      <c r="AS15" s="1">
        <v>5</v>
      </c>
      <c r="AT15" s="12"/>
      <c r="AU15" s="7" t="s">
        <v>299</v>
      </c>
      <c r="AV15" s="7" t="s">
        <v>294</v>
      </c>
      <c r="AW15" s="1">
        <v>4</v>
      </c>
      <c r="AX15" s="1">
        <v>7</v>
      </c>
      <c r="AY15" s="12"/>
      <c r="AZ15" s="7" t="s">
        <v>298</v>
      </c>
      <c r="BA15" s="7" t="s">
        <v>292</v>
      </c>
      <c r="BB15" s="1">
        <v>3</v>
      </c>
      <c r="BC15" s="1">
        <v>5</v>
      </c>
      <c r="BD15" s="12"/>
      <c r="BE15" s="7" t="s">
        <v>299</v>
      </c>
      <c r="BF15" s="7" t="s">
        <v>296</v>
      </c>
      <c r="BG15" s="1">
        <v>4</v>
      </c>
      <c r="BH15" s="1">
        <v>6</v>
      </c>
      <c r="BI15" s="12"/>
      <c r="BJ15" s="7" t="s">
        <v>298</v>
      </c>
      <c r="BK15" s="7" t="s">
        <v>296</v>
      </c>
      <c r="BL15" s="1">
        <v>3</v>
      </c>
      <c r="BM15" s="1">
        <v>6</v>
      </c>
      <c r="BN15" s="12"/>
      <c r="BO15" s="7" t="s">
        <v>291</v>
      </c>
      <c r="BP15" s="7" t="s">
        <v>297</v>
      </c>
      <c r="BQ15" s="1">
        <v>1</v>
      </c>
      <c r="BR15" s="1">
        <v>4</v>
      </c>
      <c r="BS15" s="12"/>
      <c r="BT15" s="7" t="s">
        <v>293</v>
      </c>
      <c r="BU15" s="7" t="s">
        <v>296</v>
      </c>
      <c r="BV15" s="1">
        <v>2</v>
      </c>
      <c r="BW15" s="1">
        <v>6</v>
      </c>
      <c r="BX15" s="12"/>
      <c r="BY15" s="7" t="s">
        <v>298</v>
      </c>
      <c r="BZ15" s="7" t="s">
        <v>292</v>
      </c>
      <c r="CA15" s="1">
        <v>3</v>
      </c>
      <c r="CB15" s="1">
        <v>5</v>
      </c>
      <c r="CC15" s="12"/>
      <c r="CD15" s="7" t="s">
        <v>298</v>
      </c>
      <c r="CE15" s="7" t="s">
        <v>292</v>
      </c>
      <c r="CF15" s="1">
        <v>3</v>
      </c>
      <c r="CG15" s="1">
        <v>5</v>
      </c>
      <c r="CH15" s="12"/>
      <c r="CI15" s="7" t="s">
        <v>291</v>
      </c>
      <c r="CJ15" s="7" t="s">
        <v>296</v>
      </c>
      <c r="CK15" s="1">
        <v>1</v>
      </c>
      <c r="CL15" s="1">
        <v>6</v>
      </c>
      <c r="CM15" s="12"/>
      <c r="CN15" s="7" t="s">
        <v>298</v>
      </c>
      <c r="CO15" s="7" t="s">
        <v>292</v>
      </c>
      <c r="CP15" s="1">
        <v>3</v>
      </c>
      <c r="CQ15" s="1">
        <v>5</v>
      </c>
      <c r="CR15" s="12"/>
      <c r="CS15" s="7" t="s">
        <v>299</v>
      </c>
      <c r="CT15" s="7" t="s">
        <v>294</v>
      </c>
      <c r="CU15" s="1">
        <v>4</v>
      </c>
      <c r="CV15" s="1">
        <v>7</v>
      </c>
      <c r="CW15" s="12"/>
      <c r="CX15" s="7" t="s">
        <v>291</v>
      </c>
      <c r="CY15" s="7" t="s">
        <v>296</v>
      </c>
      <c r="CZ15" s="1">
        <v>1</v>
      </c>
      <c r="DA15" s="1">
        <v>6</v>
      </c>
      <c r="DB15" s="12"/>
      <c r="DC15" s="7" t="s">
        <v>298</v>
      </c>
      <c r="DD15" s="7" t="s">
        <v>292</v>
      </c>
      <c r="DE15" s="1">
        <v>3</v>
      </c>
      <c r="DF15" s="1">
        <v>5</v>
      </c>
      <c r="DG15" s="12"/>
      <c r="DH15" s="7" t="s">
        <v>298</v>
      </c>
      <c r="DI15" s="7" t="s">
        <v>296</v>
      </c>
      <c r="DJ15" s="1">
        <v>3</v>
      </c>
      <c r="DK15" s="1">
        <v>6</v>
      </c>
      <c r="DL15" s="12"/>
      <c r="DM15" s="7" t="s">
        <v>291</v>
      </c>
      <c r="DN15" s="7" t="s">
        <v>294</v>
      </c>
      <c r="DO15" s="1">
        <v>1</v>
      </c>
      <c r="DP15" s="1">
        <v>7</v>
      </c>
      <c r="DQ15" s="12"/>
      <c r="DR15" s="7" t="s">
        <v>301</v>
      </c>
      <c r="DS15" s="7" t="s">
        <v>294</v>
      </c>
      <c r="DT15" s="1">
        <v>5</v>
      </c>
      <c r="DU15" s="1">
        <v>7</v>
      </c>
      <c r="DV15" s="12"/>
      <c r="DW15" s="7" t="s">
        <v>300</v>
      </c>
      <c r="DX15" s="7" t="s">
        <v>296</v>
      </c>
      <c r="DY15" s="1">
        <v>2</v>
      </c>
      <c r="DZ15" s="1">
        <v>6</v>
      </c>
      <c r="EA15" s="12"/>
      <c r="EB15" s="7" t="s">
        <v>291</v>
      </c>
      <c r="EC15" s="7" t="s">
        <v>294</v>
      </c>
      <c r="ED15" s="1">
        <v>1</v>
      </c>
      <c r="EE15" s="1">
        <v>7</v>
      </c>
      <c r="EF15" s="12"/>
      <c r="EG15" s="7" t="s">
        <v>301</v>
      </c>
      <c r="EH15" s="7" t="s">
        <v>294</v>
      </c>
      <c r="EI15" s="1">
        <v>5</v>
      </c>
      <c r="EJ15" s="1">
        <v>7</v>
      </c>
      <c r="EK15" s="12"/>
      <c r="EL15" s="7" t="s">
        <v>300</v>
      </c>
      <c r="EM15" s="7" t="s">
        <v>296</v>
      </c>
      <c r="EN15" s="1">
        <v>2</v>
      </c>
      <c r="EO15" s="1">
        <v>6</v>
      </c>
      <c r="EP15" s="12"/>
      <c r="EQ15" s="7" t="s">
        <v>291</v>
      </c>
      <c r="ER15" s="7" t="s">
        <v>294</v>
      </c>
      <c r="ES15" s="1">
        <v>1</v>
      </c>
      <c r="ET15" s="1">
        <v>7</v>
      </c>
      <c r="EU15" s="12"/>
      <c r="EV15" s="7" t="s">
        <v>300</v>
      </c>
      <c r="EW15" s="7" t="s">
        <v>296</v>
      </c>
      <c r="EX15" s="1">
        <v>2</v>
      </c>
      <c r="EY15" s="1">
        <v>6</v>
      </c>
      <c r="EZ15" s="12"/>
      <c r="FA15" s="7" t="s">
        <v>291</v>
      </c>
      <c r="FB15" s="7" t="s">
        <v>296</v>
      </c>
      <c r="FC15" s="1">
        <v>1</v>
      </c>
      <c r="FD15" s="1">
        <v>6</v>
      </c>
      <c r="FE15" s="12"/>
      <c r="FF15" s="7" t="s">
        <v>291</v>
      </c>
      <c r="FG15" s="7" t="s">
        <v>294</v>
      </c>
      <c r="FH15" s="1">
        <v>1</v>
      </c>
      <c r="FI15" s="1">
        <v>7</v>
      </c>
      <c r="FJ15" s="12"/>
      <c r="FK15" s="7" t="s">
        <v>301</v>
      </c>
      <c r="FL15" s="7" t="s">
        <v>294</v>
      </c>
      <c r="FM15" s="1">
        <v>5</v>
      </c>
      <c r="FN15" s="1">
        <v>7</v>
      </c>
      <c r="FO15" s="12"/>
      <c r="FP15" s="7" t="s">
        <v>301</v>
      </c>
      <c r="FQ15" s="7" t="s">
        <v>294</v>
      </c>
      <c r="FR15" s="1">
        <v>5</v>
      </c>
      <c r="FS15" s="1">
        <v>7</v>
      </c>
      <c r="FT15" s="10"/>
      <c r="FU15" s="7" t="s">
        <v>462</v>
      </c>
      <c r="FV15" s="7" t="s">
        <v>463</v>
      </c>
      <c r="FW15" s="7" t="s">
        <v>464</v>
      </c>
      <c r="FX15" s="7" t="s">
        <v>465</v>
      </c>
      <c r="FY15" s="7" t="s">
        <v>466</v>
      </c>
      <c r="FZ15" s="7" t="s">
        <v>467</v>
      </c>
      <c r="GA15" s="7" t="s">
        <v>468</v>
      </c>
      <c r="GB15" s="7" t="s">
        <v>469</v>
      </c>
      <c r="GC15" s="7" t="s">
        <v>470</v>
      </c>
      <c r="GD15" s="7" t="s">
        <v>471</v>
      </c>
      <c r="GE15" s="7" t="s">
        <v>282</v>
      </c>
      <c r="GF15" s="7" t="s">
        <v>282</v>
      </c>
      <c r="GG15" s="7" t="s">
        <v>356</v>
      </c>
      <c r="GH15" s="7" t="s">
        <v>313</v>
      </c>
    </row>
    <row r="16" spans="1:190" x14ac:dyDescent="0.2">
      <c r="A16">
        <v>14</v>
      </c>
      <c r="B16">
        <v>100</v>
      </c>
      <c r="C16">
        <v>1143</v>
      </c>
      <c r="D16" s="7" t="s">
        <v>280</v>
      </c>
      <c r="E16" s="7" t="s">
        <v>412</v>
      </c>
      <c r="F16" s="7" t="s">
        <v>287</v>
      </c>
      <c r="G16" s="4" t="s">
        <v>312</v>
      </c>
      <c r="H16" s="7" t="s">
        <v>288</v>
      </c>
      <c r="I16" s="1">
        <v>5</v>
      </c>
      <c r="J16" s="7" t="s">
        <v>289</v>
      </c>
      <c r="K16" s="1">
        <v>1</v>
      </c>
      <c r="L16" s="7" t="s">
        <v>289</v>
      </c>
      <c r="M16" s="1">
        <v>1</v>
      </c>
      <c r="N16" s="7" t="s">
        <v>289</v>
      </c>
      <c r="O16" s="1">
        <v>1</v>
      </c>
      <c r="P16" s="12"/>
      <c r="Q16" s="7" t="s">
        <v>291</v>
      </c>
      <c r="R16" s="7" t="s">
        <v>294</v>
      </c>
      <c r="S16" s="1">
        <v>1</v>
      </c>
      <c r="T16" s="1">
        <v>7</v>
      </c>
      <c r="U16" s="12"/>
      <c r="V16" s="7" t="s">
        <v>293</v>
      </c>
      <c r="W16" s="7" t="s">
        <v>294</v>
      </c>
      <c r="X16" s="1">
        <v>2</v>
      </c>
      <c r="Y16" s="1">
        <v>7</v>
      </c>
      <c r="Z16" s="12"/>
      <c r="AA16" s="7" t="s">
        <v>293</v>
      </c>
      <c r="AB16" s="7" t="s">
        <v>294</v>
      </c>
      <c r="AC16" s="1">
        <v>2</v>
      </c>
      <c r="AD16" s="1">
        <v>7</v>
      </c>
      <c r="AE16" s="12"/>
      <c r="AF16" s="7" t="s">
        <v>295</v>
      </c>
      <c r="AG16" s="7" t="s">
        <v>296</v>
      </c>
      <c r="AH16" s="1">
        <v>5</v>
      </c>
      <c r="AI16" s="1">
        <v>6</v>
      </c>
      <c r="AJ16" s="12"/>
      <c r="AK16" s="7" t="s">
        <v>295</v>
      </c>
      <c r="AL16" s="7" t="s">
        <v>292</v>
      </c>
      <c r="AM16" s="1">
        <v>5</v>
      </c>
      <c r="AN16" s="1">
        <v>5</v>
      </c>
      <c r="AO16" s="12"/>
      <c r="AP16" s="7" t="s">
        <v>291</v>
      </c>
      <c r="AQ16" s="7" t="s">
        <v>294</v>
      </c>
      <c r="AR16" s="1">
        <v>1</v>
      </c>
      <c r="AS16" s="1">
        <v>7</v>
      </c>
      <c r="AT16" s="12"/>
      <c r="AU16" s="7" t="s">
        <v>293</v>
      </c>
      <c r="AV16" s="7" t="s">
        <v>294</v>
      </c>
      <c r="AW16" s="1">
        <v>2</v>
      </c>
      <c r="AX16" s="1">
        <v>7</v>
      </c>
      <c r="AY16" s="12"/>
      <c r="AZ16" s="7" t="s">
        <v>282</v>
      </c>
      <c r="BA16" s="7" t="s">
        <v>297</v>
      </c>
      <c r="BB16" s="4" t="s">
        <v>282</v>
      </c>
      <c r="BC16" s="1">
        <v>4</v>
      </c>
      <c r="BD16" s="12"/>
      <c r="BE16" s="7" t="s">
        <v>282</v>
      </c>
      <c r="BF16" s="7" t="s">
        <v>297</v>
      </c>
      <c r="BG16" s="4" t="s">
        <v>282</v>
      </c>
      <c r="BH16" s="1">
        <v>4</v>
      </c>
      <c r="BI16" s="12"/>
      <c r="BJ16" s="7" t="s">
        <v>298</v>
      </c>
      <c r="BK16" s="7" t="s">
        <v>292</v>
      </c>
      <c r="BL16" s="1">
        <v>3</v>
      </c>
      <c r="BM16" s="1">
        <v>5</v>
      </c>
      <c r="BN16" s="12"/>
      <c r="BO16" s="7" t="s">
        <v>291</v>
      </c>
      <c r="BP16" s="7" t="s">
        <v>296</v>
      </c>
      <c r="BQ16" s="1">
        <v>1</v>
      </c>
      <c r="BR16" s="1">
        <v>6</v>
      </c>
      <c r="BS16" s="12"/>
      <c r="BT16" s="7" t="s">
        <v>293</v>
      </c>
      <c r="BU16" s="7" t="s">
        <v>294</v>
      </c>
      <c r="BV16" s="1">
        <v>2</v>
      </c>
      <c r="BW16" s="1">
        <v>7</v>
      </c>
      <c r="BX16" s="12"/>
      <c r="BY16" s="7" t="s">
        <v>282</v>
      </c>
      <c r="BZ16" s="7" t="s">
        <v>297</v>
      </c>
      <c r="CA16" s="4" t="s">
        <v>282</v>
      </c>
      <c r="CB16" s="1">
        <v>4</v>
      </c>
      <c r="CC16" s="12"/>
      <c r="CD16" s="7" t="s">
        <v>298</v>
      </c>
      <c r="CE16" s="7" t="s">
        <v>292</v>
      </c>
      <c r="CF16" s="1">
        <v>3</v>
      </c>
      <c r="CG16" s="1">
        <v>5</v>
      </c>
      <c r="CH16" s="12"/>
      <c r="CI16" s="7" t="s">
        <v>298</v>
      </c>
      <c r="CJ16" s="7" t="s">
        <v>296</v>
      </c>
      <c r="CK16" s="1">
        <v>3</v>
      </c>
      <c r="CL16" s="1">
        <v>6</v>
      </c>
      <c r="CM16" s="12"/>
      <c r="CN16" s="7" t="s">
        <v>291</v>
      </c>
      <c r="CO16" s="7" t="s">
        <v>292</v>
      </c>
      <c r="CP16" s="1">
        <v>1</v>
      </c>
      <c r="CQ16" s="1">
        <v>5</v>
      </c>
      <c r="CR16" s="12"/>
      <c r="CS16" s="7" t="s">
        <v>293</v>
      </c>
      <c r="CT16" s="7" t="s">
        <v>294</v>
      </c>
      <c r="CU16" s="1">
        <v>2</v>
      </c>
      <c r="CV16" s="1">
        <v>7</v>
      </c>
      <c r="CW16" s="12"/>
      <c r="CX16" s="7" t="s">
        <v>299</v>
      </c>
      <c r="CY16" s="7" t="s">
        <v>297</v>
      </c>
      <c r="CZ16" s="1">
        <v>4</v>
      </c>
      <c r="DA16" s="1">
        <v>4</v>
      </c>
      <c r="DB16" s="12"/>
      <c r="DC16" s="7" t="s">
        <v>295</v>
      </c>
      <c r="DD16" s="7" t="s">
        <v>292</v>
      </c>
      <c r="DE16" s="1">
        <v>5</v>
      </c>
      <c r="DF16" s="1">
        <v>5</v>
      </c>
      <c r="DG16" s="12"/>
      <c r="DH16" s="7" t="s">
        <v>298</v>
      </c>
      <c r="DI16" s="7" t="s">
        <v>294</v>
      </c>
      <c r="DJ16" s="1">
        <v>3</v>
      </c>
      <c r="DK16" s="1">
        <v>7</v>
      </c>
      <c r="DL16" s="12"/>
      <c r="DM16" s="7" t="s">
        <v>291</v>
      </c>
      <c r="DN16" s="7" t="s">
        <v>294</v>
      </c>
      <c r="DO16" s="1">
        <v>1</v>
      </c>
      <c r="DP16" s="1">
        <v>7</v>
      </c>
      <c r="DQ16" s="12"/>
      <c r="DR16" s="7" t="s">
        <v>300</v>
      </c>
      <c r="DS16" s="7" t="s">
        <v>294</v>
      </c>
      <c r="DT16" s="1">
        <v>2</v>
      </c>
      <c r="DU16" s="1">
        <v>7</v>
      </c>
      <c r="DV16" s="12"/>
      <c r="DW16" s="7" t="s">
        <v>301</v>
      </c>
      <c r="DX16" s="7" t="s">
        <v>294</v>
      </c>
      <c r="DY16" s="1">
        <v>5</v>
      </c>
      <c r="DZ16" s="1">
        <v>7</v>
      </c>
      <c r="EA16" s="12"/>
      <c r="EB16" s="7" t="s">
        <v>291</v>
      </c>
      <c r="EC16" s="7" t="s">
        <v>294</v>
      </c>
      <c r="ED16" s="1">
        <v>1</v>
      </c>
      <c r="EE16" s="1">
        <v>7</v>
      </c>
      <c r="EF16" s="12"/>
      <c r="EG16" s="7" t="s">
        <v>300</v>
      </c>
      <c r="EH16" s="7" t="s">
        <v>294</v>
      </c>
      <c r="EI16" s="1">
        <v>2</v>
      </c>
      <c r="EJ16" s="1">
        <v>7</v>
      </c>
      <c r="EK16" s="12"/>
      <c r="EL16" s="7" t="s">
        <v>301</v>
      </c>
      <c r="EM16" s="7" t="s">
        <v>294</v>
      </c>
      <c r="EN16" s="1">
        <v>5</v>
      </c>
      <c r="EO16" s="1">
        <v>7</v>
      </c>
      <c r="EP16" s="12"/>
      <c r="EQ16" s="7" t="s">
        <v>291</v>
      </c>
      <c r="ER16" s="7" t="s">
        <v>294</v>
      </c>
      <c r="ES16" s="1">
        <v>1</v>
      </c>
      <c r="ET16" s="1">
        <v>7</v>
      </c>
      <c r="EU16" s="12"/>
      <c r="EV16" s="7" t="s">
        <v>300</v>
      </c>
      <c r="EW16" s="7" t="s">
        <v>294</v>
      </c>
      <c r="EX16" s="1">
        <v>2</v>
      </c>
      <c r="EY16" s="1">
        <v>7</v>
      </c>
      <c r="EZ16" s="12"/>
      <c r="FA16" s="7" t="s">
        <v>301</v>
      </c>
      <c r="FB16" s="7" t="s">
        <v>294</v>
      </c>
      <c r="FC16" s="1">
        <v>5</v>
      </c>
      <c r="FD16" s="1">
        <v>7</v>
      </c>
      <c r="FE16" s="12"/>
      <c r="FF16" s="7" t="s">
        <v>291</v>
      </c>
      <c r="FG16" s="7" t="s">
        <v>294</v>
      </c>
      <c r="FH16" s="1">
        <v>1</v>
      </c>
      <c r="FI16" s="1">
        <v>7</v>
      </c>
      <c r="FJ16" s="12"/>
      <c r="FK16" s="7" t="s">
        <v>300</v>
      </c>
      <c r="FL16" s="7" t="s">
        <v>294</v>
      </c>
      <c r="FM16" s="1">
        <v>2</v>
      </c>
      <c r="FN16" s="1">
        <v>7</v>
      </c>
      <c r="FO16" s="12"/>
      <c r="FP16" s="7" t="s">
        <v>300</v>
      </c>
      <c r="FQ16" s="7" t="s">
        <v>296</v>
      </c>
      <c r="FR16" s="1">
        <v>2</v>
      </c>
      <c r="FS16" s="1">
        <v>6</v>
      </c>
      <c r="FT16" s="10"/>
      <c r="FU16" s="7" t="s">
        <v>474</v>
      </c>
      <c r="FV16" s="7" t="s">
        <v>475</v>
      </c>
      <c r="FW16" s="7" t="s">
        <v>476</v>
      </c>
      <c r="FX16" s="7" t="s">
        <v>477</v>
      </c>
      <c r="FY16" s="7" t="s">
        <v>478</v>
      </c>
      <c r="FZ16" s="7" t="s">
        <v>479</v>
      </c>
      <c r="GA16" s="7" t="s">
        <v>480</v>
      </c>
      <c r="GB16" s="7" t="s">
        <v>481</v>
      </c>
      <c r="GC16" s="7" t="s">
        <v>482</v>
      </c>
      <c r="GD16" s="7" t="s">
        <v>483</v>
      </c>
      <c r="GE16" s="7" t="s">
        <v>282</v>
      </c>
      <c r="GF16" s="7" t="s">
        <v>282</v>
      </c>
      <c r="GG16" s="7" t="s">
        <v>372</v>
      </c>
      <c r="GH16" s="7" t="s">
        <v>325</v>
      </c>
    </row>
    <row r="17" spans="1:190" x14ac:dyDescent="0.2">
      <c r="A17">
        <v>15</v>
      </c>
      <c r="B17">
        <v>100</v>
      </c>
      <c r="C17">
        <v>1325</v>
      </c>
      <c r="D17" s="7" t="s">
        <v>280</v>
      </c>
      <c r="E17" s="7" t="s">
        <v>412</v>
      </c>
      <c r="F17" s="7" t="s">
        <v>486</v>
      </c>
      <c r="G17" s="4" t="s">
        <v>1283</v>
      </c>
      <c r="H17" s="7" t="s">
        <v>288</v>
      </c>
      <c r="I17" s="1">
        <v>5</v>
      </c>
      <c r="J17" s="7" t="s">
        <v>289</v>
      </c>
      <c r="K17" s="1">
        <v>1</v>
      </c>
      <c r="L17" s="7" t="s">
        <v>329</v>
      </c>
      <c r="M17" s="1">
        <v>3</v>
      </c>
      <c r="N17" s="7" t="s">
        <v>317</v>
      </c>
      <c r="O17" s="1">
        <v>2</v>
      </c>
      <c r="P17" s="12"/>
      <c r="Q17" s="7" t="s">
        <v>291</v>
      </c>
      <c r="R17" s="7" t="s">
        <v>296</v>
      </c>
      <c r="S17" s="1">
        <v>1</v>
      </c>
      <c r="T17" s="1">
        <v>6</v>
      </c>
      <c r="U17" s="12"/>
      <c r="V17" s="7" t="s">
        <v>293</v>
      </c>
      <c r="W17" s="7" t="s">
        <v>294</v>
      </c>
      <c r="X17" s="1">
        <v>2</v>
      </c>
      <c r="Y17" s="1">
        <v>7</v>
      </c>
      <c r="Z17" s="12"/>
      <c r="AA17" s="7" t="s">
        <v>293</v>
      </c>
      <c r="AB17" s="7" t="s">
        <v>296</v>
      </c>
      <c r="AC17" s="1">
        <v>2</v>
      </c>
      <c r="AD17" s="1">
        <v>6</v>
      </c>
      <c r="AE17" s="12"/>
      <c r="AF17" s="7" t="s">
        <v>295</v>
      </c>
      <c r="AG17" s="7" t="s">
        <v>296</v>
      </c>
      <c r="AH17" s="1">
        <v>5</v>
      </c>
      <c r="AI17" s="1">
        <v>6</v>
      </c>
      <c r="AJ17" s="12"/>
      <c r="AK17" s="7" t="s">
        <v>295</v>
      </c>
      <c r="AL17" s="7" t="s">
        <v>294</v>
      </c>
      <c r="AM17" s="1">
        <v>5</v>
      </c>
      <c r="AN17" s="1">
        <v>7</v>
      </c>
      <c r="AO17" s="12"/>
      <c r="AP17" s="7" t="s">
        <v>291</v>
      </c>
      <c r="AQ17" s="7" t="s">
        <v>294</v>
      </c>
      <c r="AR17" s="1">
        <v>1</v>
      </c>
      <c r="AS17" s="1">
        <v>7</v>
      </c>
      <c r="AT17" s="12"/>
      <c r="AU17" s="7" t="s">
        <v>293</v>
      </c>
      <c r="AV17" s="7" t="s">
        <v>296</v>
      </c>
      <c r="AW17" s="1">
        <v>2</v>
      </c>
      <c r="AX17" s="1">
        <v>6</v>
      </c>
      <c r="AY17" s="12"/>
      <c r="AZ17" s="7" t="s">
        <v>293</v>
      </c>
      <c r="BA17" s="7" t="s">
        <v>292</v>
      </c>
      <c r="BB17" s="1">
        <v>2</v>
      </c>
      <c r="BC17" s="1">
        <v>5</v>
      </c>
      <c r="BD17" s="12"/>
      <c r="BE17" s="7" t="s">
        <v>295</v>
      </c>
      <c r="BF17" s="7" t="s">
        <v>296</v>
      </c>
      <c r="BG17" s="1">
        <v>5</v>
      </c>
      <c r="BH17" s="1">
        <v>6</v>
      </c>
      <c r="BI17" s="12"/>
      <c r="BJ17" s="7" t="s">
        <v>298</v>
      </c>
      <c r="BK17" s="7" t="s">
        <v>296</v>
      </c>
      <c r="BL17" s="1">
        <v>3</v>
      </c>
      <c r="BM17" s="1">
        <v>6</v>
      </c>
      <c r="BN17" s="12"/>
      <c r="BO17" s="7" t="s">
        <v>291</v>
      </c>
      <c r="BP17" s="7" t="s">
        <v>294</v>
      </c>
      <c r="BQ17" s="1">
        <v>1</v>
      </c>
      <c r="BR17" s="1">
        <v>7</v>
      </c>
      <c r="BS17" s="12"/>
      <c r="BT17" s="7" t="s">
        <v>293</v>
      </c>
      <c r="BU17" s="7" t="s">
        <v>292</v>
      </c>
      <c r="BV17" s="1">
        <v>2</v>
      </c>
      <c r="BW17" s="1">
        <v>5</v>
      </c>
      <c r="BX17" s="12"/>
      <c r="BY17" s="7" t="s">
        <v>293</v>
      </c>
      <c r="BZ17" s="7" t="s">
        <v>294</v>
      </c>
      <c r="CA17" s="1">
        <v>2</v>
      </c>
      <c r="CB17" s="1">
        <v>7</v>
      </c>
      <c r="CC17" s="12"/>
      <c r="CD17" s="7" t="s">
        <v>295</v>
      </c>
      <c r="CE17" s="7" t="s">
        <v>296</v>
      </c>
      <c r="CF17" s="1">
        <v>5</v>
      </c>
      <c r="CG17" s="1">
        <v>6</v>
      </c>
      <c r="CH17" s="12"/>
      <c r="CI17" s="7" t="s">
        <v>298</v>
      </c>
      <c r="CJ17" s="7" t="s">
        <v>294</v>
      </c>
      <c r="CK17" s="1">
        <v>3</v>
      </c>
      <c r="CL17" s="1">
        <v>7</v>
      </c>
      <c r="CM17" s="12"/>
      <c r="CN17" s="7" t="s">
        <v>291</v>
      </c>
      <c r="CO17" s="7" t="s">
        <v>294</v>
      </c>
      <c r="CP17" s="1">
        <v>1</v>
      </c>
      <c r="CQ17" s="1">
        <v>7</v>
      </c>
      <c r="CR17" s="12"/>
      <c r="CS17" s="7" t="s">
        <v>293</v>
      </c>
      <c r="CT17" s="7" t="s">
        <v>294</v>
      </c>
      <c r="CU17" s="1">
        <v>2</v>
      </c>
      <c r="CV17" s="1">
        <v>7</v>
      </c>
      <c r="CW17" s="12"/>
      <c r="CX17" s="7" t="s">
        <v>299</v>
      </c>
      <c r="CY17" s="7" t="s">
        <v>292</v>
      </c>
      <c r="CZ17" s="1">
        <v>4</v>
      </c>
      <c r="DA17" s="1">
        <v>5</v>
      </c>
      <c r="DB17" s="12"/>
      <c r="DC17" s="7" t="s">
        <v>295</v>
      </c>
      <c r="DD17" s="7" t="s">
        <v>294</v>
      </c>
      <c r="DE17" s="1">
        <v>5</v>
      </c>
      <c r="DF17" s="1">
        <v>7</v>
      </c>
      <c r="DG17" s="12"/>
      <c r="DH17" s="7" t="s">
        <v>298</v>
      </c>
      <c r="DI17" s="7" t="s">
        <v>294</v>
      </c>
      <c r="DJ17" s="1">
        <v>3</v>
      </c>
      <c r="DK17" s="1">
        <v>7</v>
      </c>
      <c r="DL17" s="12"/>
      <c r="DM17" s="7" t="s">
        <v>291</v>
      </c>
      <c r="DN17" s="7" t="s">
        <v>292</v>
      </c>
      <c r="DO17" s="1">
        <v>1</v>
      </c>
      <c r="DP17" s="1">
        <v>5</v>
      </c>
      <c r="DQ17" s="12"/>
      <c r="DR17" s="7" t="s">
        <v>300</v>
      </c>
      <c r="DS17" s="7" t="s">
        <v>294</v>
      </c>
      <c r="DT17" s="1">
        <v>2</v>
      </c>
      <c r="DU17" s="1">
        <v>7</v>
      </c>
      <c r="DV17" s="12"/>
      <c r="DW17" s="7" t="s">
        <v>301</v>
      </c>
      <c r="DX17" s="7" t="s">
        <v>294</v>
      </c>
      <c r="DY17" s="1">
        <v>5</v>
      </c>
      <c r="DZ17" s="1">
        <v>7</v>
      </c>
      <c r="EA17" s="12"/>
      <c r="EB17" s="7" t="s">
        <v>291</v>
      </c>
      <c r="EC17" s="7" t="s">
        <v>294</v>
      </c>
      <c r="ED17" s="1">
        <v>1</v>
      </c>
      <c r="EE17" s="1">
        <v>7</v>
      </c>
      <c r="EF17" s="12"/>
      <c r="EG17" s="7" t="s">
        <v>300</v>
      </c>
      <c r="EH17" s="7" t="s">
        <v>294</v>
      </c>
      <c r="EI17" s="1">
        <v>2</v>
      </c>
      <c r="EJ17" s="1">
        <v>7</v>
      </c>
      <c r="EK17" s="12"/>
      <c r="EL17" s="7" t="s">
        <v>301</v>
      </c>
      <c r="EM17" s="7" t="s">
        <v>296</v>
      </c>
      <c r="EN17" s="1">
        <v>5</v>
      </c>
      <c r="EO17" s="1">
        <v>6</v>
      </c>
      <c r="EP17" s="12"/>
      <c r="EQ17" s="7" t="s">
        <v>291</v>
      </c>
      <c r="ER17" s="7" t="s">
        <v>294</v>
      </c>
      <c r="ES17" s="1">
        <v>1</v>
      </c>
      <c r="ET17" s="1">
        <v>7</v>
      </c>
      <c r="EU17" s="12"/>
      <c r="EV17" s="7" t="s">
        <v>300</v>
      </c>
      <c r="EW17" s="7" t="s">
        <v>294</v>
      </c>
      <c r="EX17" s="1">
        <v>2</v>
      </c>
      <c r="EY17" s="1">
        <v>7</v>
      </c>
      <c r="EZ17" s="12"/>
      <c r="FA17" s="7" t="s">
        <v>301</v>
      </c>
      <c r="FB17" s="7" t="s">
        <v>292</v>
      </c>
      <c r="FC17" s="1">
        <v>5</v>
      </c>
      <c r="FD17" s="1">
        <v>5</v>
      </c>
      <c r="FE17" s="12"/>
      <c r="FF17" s="7" t="s">
        <v>291</v>
      </c>
      <c r="FG17" s="7" t="s">
        <v>296</v>
      </c>
      <c r="FH17" s="1">
        <v>1</v>
      </c>
      <c r="FI17" s="1">
        <v>6</v>
      </c>
      <c r="FJ17" s="12"/>
      <c r="FK17" s="7" t="s">
        <v>300</v>
      </c>
      <c r="FL17" s="7" t="s">
        <v>294</v>
      </c>
      <c r="FM17" s="1">
        <v>2</v>
      </c>
      <c r="FN17" s="1">
        <v>7</v>
      </c>
      <c r="FO17" s="12"/>
      <c r="FP17" s="7" t="s">
        <v>301</v>
      </c>
      <c r="FQ17" s="7" t="s">
        <v>297</v>
      </c>
      <c r="FR17" s="1">
        <v>5</v>
      </c>
      <c r="FS17" s="1">
        <v>4</v>
      </c>
      <c r="FT17" s="10"/>
      <c r="FU17" s="7" t="s">
        <v>487</v>
      </c>
      <c r="FV17" s="7" t="s">
        <v>488</v>
      </c>
      <c r="FW17" s="7" t="s">
        <v>489</v>
      </c>
      <c r="FX17" s="7" t="s">
        <v>489</v>
      </c>
      <c r="FY17" s="7" t="s">
        <v>490</v>
      </c>
      <c r="FZ17" s="7" t="s">
        <v>490</v>
      </c>
      <c r="GA17" s="7" t="s">
        <v>491</v>
      </c>
      <c r="GB17" s="7" t="s">
        <v>491</v>
      </c>
      <c r="GC17" s="7" t="s">
        <v>492</v>
      </c>
      <c r="GD17" s="7" t="s">
        <v>492</v>
      </c>
      <c r="GE17" s="7" t="s">
        <v>282</v>
      </c>
      <c r="GF17" s="7" t="s">
        <v>493</v>
      </c>
      <c r="GG17" s="7" t="s">
        <v>356</v>
      </c>
      <c r="GH17" s="7" t="s">
        <v>313</v>
      </c>
    </row>
    <row r="18" spans="1:190" x14ac:dyDescent="0.2">
      <c r="A18">
        <v>16</v>
      </c>
      <c r="B18">
        <v>100</v>
      </c>
      <c r="C18">
        <v>1768</v>
      </c>
      <c r="D18" s="7" t="s">
        <v>280</v>
      </c>
      <c r="E18" s="7" t="s">
        <v>501</v>
      </c>
      <c r="F18" s="7" t="s">
        <v>502</v>
      </c>
      <c r="G18" s="4" t="s">
        <v>1284</v>
      </c>
      <c r="H18" s="7" t="s">
        <v>288</v>
      </c>
      <c r="I18" s="1">
        <v>5</v>
      </c>
      <c r="J18" s="7" t="s">
        <v>289</v>
      </c>
      <c r="K18" s="1">
        <v>1</v>
      </c>
      <c r="L18" s="7" t="s">
        <v>289</v>
      </c>
      <c r="M18" s="1">
        <v>1</v>
      </c>
      <c r="N18" s="7" t="s">
        <v>289</v>
      </c>
      <c r="O18" s="1">
        <v>1</v>
      </c>
      <c r="P18" s="12"/>
      <c r="Q18" s="7" t="s">
        <v>295</v>
      </c>
      <c r="R18" s="7" t="s">
        <v>292</v>
      </c>
      <c r="S18" s="1">
        <v>5</v>
      </c>
      <c r="T18" s="1">
        <v>5</v>
      </c>
      <c r="U18" s="12"/>
      <c r="V18" s="7" t="s">
        <v>293</v>
      </c>
      <c r="W18" s="7" t="s">
        <v>296</v>
      </c>
      <c r="X18" s="1">
        <v>2</v>
      </c>
      <c r="Y18" s="1">
        <v>6</v>
      </c>
      <c r="Z18" s="12"/>
      <c r="AA18" s="7" t="s">
        <v>293</v>
      </c>
      <c r="AB18" s="7" t="s">
        <v>292</v>
      </c>
      <c r="AC18" s="1">
        <v>2</v>
      </c>
      <c r="AD18" s="1">
        <v>5</v>
      </c>
      <c r="AE18" s="12"/>
      <c r="AF18" s="7" t="s">
        <v>295</v>
      </c>
      <c r="AG18" s="7" t="s">
        <v>296</v>
      </c>
      <c r="AH18" s="1">
        <v>5</v>
      </c>
      <c r="AI18" s="1">
        <v>6</v>
      </c>
      <c r="AJ18" s="12"/>
      <c r="AK18" s="7" t="s">
        <v>299</v>
      </c>
      <c r="AL18" s="7" t="s">
        <v>296</v>
      </c>
      <c r="AM18" s="1">
        <v>4</v>
      </c>
      <c r="AN18" s="1">
        <v>6</v>
      </c>
      <c r="AO18" s="12"/>
      <c r="AP18" s="7" t="s">
        <v>298</v>
      </c>
      <c r="AQ18" s="7" t="s">
        <v>292</v>
      </c>
      <c r="AR18" s="1">
        <v>3</v>
      </c>
      <c r="AS18" s="1">
        <v>5</v>
      </c>
      <c r="AT18" s="12"/>
      <c r="AU18" s="7" t="s">
        <v>299</v>
      </c>
      <c r="AV18" s="7" t="s">
        <v>292</v>
      </c>
      <c r="AW18" s="1">
        <v>4</v>
      </c>
      <c r="AX18" s="1">
        <v>5</v>
      </c>
      <c r="AY18" s="12"/>
      <c r="AZ18" s="7" t="s">
        <v>282</v>
      </c>
      <c r="BA18" s="7" t="s">
        <v>292</v>
      </c>
      <c r="BB18" s="4" t="s">
        <v>282</v>
      </c>
      <c r="BC18" s="1">
        <v>5</v>
      </c>
      <c r="BD18" s="12"/>
      <c r="BE18" s="7" t="s">
        <v>299</v>
      </c>
      <c r="BF18" s="7" t="s">
        <v>296</v>
      </c>
      <c r="BG18" s="1">
        <v>4</v>
      </c>
      <c r="BH18" s="1">
        <v>6</v>
      </c>
      <c r="BI18" s="12"/>
      <c r="BJ18" s="7" t="s">
        <v>295</v>
      </c>
      <c r="BK18" s="7" t="s">
        <v>292</v>
      </c>
      <c r="BL18" s="1">
        <v>5</v>
      </c>
      <c r="BM18" s="1">
        <v>5</v>
      </c>
      <c r="BN18" s="12"/>
      <c r="BO18" s="7" t="s">
        <v>298</v>
      </c>
      <c r="BP18" s="7" t="s">
        <v>292</v>
      </c>
      <c r="BQ18" s="1">
        <v>3</v>
      </c>
      <c r="BR18" s="1">
        <v>5</v>
      </c>
      <c r="BS18" s="12"/>
      <c r="BT18" s="7" t="s">
        <v>293</v>
      </c>
      <c r="BU18" s="7" t="s">
        <v>296</v>
      </c>
      <c r="BV18" s="1">
        <v>2</v>
      </c>
      <c r="BW18" s="1">
        <v>6</v>
      </c>
      <c r="BX18" s="12"/>
      <c r="BY18" s="7" t="s">
        <v>282</v>
      </c>
      <c r="BZ18" s="7" t="s">
        <v>292</v>
      </c>
      <c r="CA18" s="4" t="s">
        <v>282</v>
      </c>
      <c r="CB18" s="1">
        <v>5</v>
      </c>
      <c r="CC18" s="12"/>
      <c r="CD18" s="7" t="s">
        <v>291</v>
      </c>
      <c r="CE18" s="7" t="s">
        <v>296</v>
      </c>
      <c r="CF18" s="1">
        <v>1</v>
      </c>
      <c r="CG18" s="1">
        <v>6</v>
      </c>
      <c r="CH18" s="12"/>
      <c r="CI18" s="7" t="s">
        <v>298</v>
      </c>
      <c r="CJ18" s="7" t="s">
        <v>296</v>
      </c>
      <c r="CK18" s="1">
        <v>3</v>
      </c>
      <c r="CL18" s="1">
        <v>6</v>
      </c>
      <c r="CM18" s="12"/>
      <c r="CN18" s="7" t="s">
        <v>298</v>
      </c>
      <c r="CO18" s="7" t="s">
        <v>292</v>
      </c>
      <c r="CP18" s="1">
        <v>3</v>
      </c>
      <c r="CQ18" s="1">
        <v>5</v>
      </c>
      <c r="CR18" s="12"/>
      <c r="CS18" s="7" t="s">
        <v>299</v>
      </c>
      <c r="CT18" s="7" t="s">
        <v>292</v>
      </c>
      <c r="CU18" s="1">
        <v>4</v>
      </c>
      <c r="CV18" s="1">
        <v>5</v>
      </c>
      <c r="CW18" s="12"/>
      <c r="CX18" s="7" t="s">
        <v>299</v>
      </c>
      <c r="CY18" s="7" t="s">
        <v>292</v>
      </c>
      <c r="CZ18" s="1">
        <v>4</v>
      </c>
      <c r="DA18" s="1">
        <v>5</v>
      </c>
      <c r="DB18" s="12"/>
      <c r="DC18" s="7" t="s">
        <v>291</v>
      </c>
      <c r="DD18" s="7" t="s">
        <v>296</v>
      </c>
      <c r="DE18" s="1">
        <v>1</v>
      </c>
      <c r="DF18" s="1">
        <v>6</v>
      </c>
      <c r="DG18" s="12"/>
      <c r="DH18" s="7" t="s">
        <v>298</v>
      </c>
      <c r="DI18" s="7" t="s">
        <v>296</v>
      </c>
      <c r="DJ18" s="1">
        <v>3</v>
      </c>
      <c r="DK18" s="1">
        <v>6</v>
      </c>
      <c r="DL18" s="12"/>
      <c r="DM18" s="7" t="s">
        <v>301</v>
      </c>
      <c r="DN18" s="7" t="s">
        <v>292</v>
      </c>
      <c r="DO18" s="1">
        <v>5</v>
      </c>
      <c r="DP18" s="1">
        <v>5</v>
      </c>
      <c r="DQ18" s="12"/>
      <c r="DR18" s="7" t="s">
        <v>300</v>
      </c>
      <c r="DS18" s="7" t="s">
        <v>296</v>
      </c>
      <c r="DT18" s="1">
        <v>2</v>
      </c>
      <c r="DU18" s="1">
        <v>6</v>
      </c>
      <c r="DV18" s="12"/>
      <c r="DW18" s="7" t="s">
        <v>282</v>
      </c>
      <c r="DX18" s="7" t="s">
        <v>297</v>
      </c>
      <c r="DY18" s="4" t="s">
        <v>282</v>
      </c>
      <c r="DZ18" s="1">
        <v>4</v>
      </c>
      <c r="EA18" s="12"/>
      <c r="EB18" s="7" t="s">
        <v>291</v>
      </c>
      <c r="EC18" s="7" t="s">
        <v>296</v>
      </c>
      <c r="ED18" s="1">
        <v>1</v>
      </c>
      <c r="EE18" s="1">
        <v>6</v>
      </c>
      <c r="EF18" s="12"/>
      <c r="EG18" s="7" t="s">
        <v>300</v>
      </c>
      <c r="EH18" s="7" t="s">
        <v>296</v>
      </c>
      <c r="EI18" s="1">
        <v>2</v>
      </c>
      <c r="EJ18" s="1">
        <v>6</v>
      </c>
      <c r="EK18" s="12"/>
      <c r="EL18" s="7" t="s">
        <v>301</v>
      </c>
      <c r="EM18" s="7" t="s">
        <v>296</v>
      </c>
      <c r="EN18" s="1">
        <v>5</v>
      </c>
      <c r="EO18" s="1">
        <v>6</v>
      </c>
      <c r="EP18" s="12"/>
      <c r="EQ18" s="7" t="s">
        <v>291</v>
      </c>
      <c r="ER18" s="7" t="s">
        <v>296</v>
      </c>
      <c r="ES18" s="1">
        <v>1</v>
      </c>
      <c r="ET18" s="1">
        <v>6</v>
      </c>
      <c r="EU18" s="12"/>
      <c r="EV18" s="7" t="s">
        <v>300</v>
      </c>
      <c r="EW18" s="7" t="s">
        <v>296</v>
      </c>
      <c r="EX18" s="1">
        <v>2</v>
      </c>
      <c r="EY18" s="1">
        <v>6</v>
      </c>
      <c r="EZ18" s="12"/>
      <c r="FA18" s="7" t="s">
        <v>291</v>
      </c>
      <c r="FB18" s="7" t="s">
        <v>296</v>
      </c>
      <c r="FC18" s="1">
        <v>1</v>
      </c>
      <c r="FD18" s="1">
        <v>6</v>
      </c>
      <c r="FE18" s="12"/>
      <c r="FF18" s="7" t="s">
        <v>291</v>
      </c>
      <c r="FG18" s="7" t="s">
        <v>296</v>
      </c>
      <c r="FH18" s="1">
        <v>1</v>
      </c>
      <c r="FI18" s="1">
        <v>6</v>
      </c>
      <c r="FJ18" s="12"/>
      <c r="FK18" s="7" t="s">
        <v>300</v>
      </c>
      <c r="FL18" s="7" t="s">
        <v>296</v>
      </c>
      <c r="FM18" s="1">
        <v>2</v>
      </c>
      <c r="FN18" s="1">
        <v>6</v>
      </c>
      <c r="FO18" s="12"/>
      <c r="FP18" s="7" t="s">
        <v>291</v>
      </c>
      <c r="FQ18" s="7" t="s">
        <v>292</v>
      </c>
      <c r="FR18" s="1">
        <v>1</v>
      </c>
      <c r="FS18" s="1">
        <v>5</v>
      </c>
      <c r="FT18" s="10"/>
      <c r="FU18" s="7" t="s">
        <v>503</v>
      </c>
      <c r="FV18" s="7" t="s">
        <v>504</v>
      </c>
      <c r="FW18" s="7" t="s">
        <v>505</v>
      </c>
      <c r="FX18" s="7" t="s">
        <v>506</v>
      </c>
      <c r="FY18" s="7" t="s">
        <v>507</v>
      </c>
      <c r="FZ18" s="7" t="s">
        <v>508</v>
      </c>
      <c r="GA18" s="7" t="s">
        <v>509</v>
      </c>
      <c r="GB18" s="7" t="s">
        <v>510</v>
      </c>
      <c r="GC18" s="7" t="s">
        <v>511</v>
      </c>
      <c r="GD18" s="7" t="s">
        <v>512</v>
      </c>
      <c r="GE18" s="7" t="s">
        <v>513</v>
      </c>
      <c r="GF18" s="7" t="s">
        <v>514</v>
      </c>
      <c r="GG18" s="7" t="s">
        <v>372</v>
      </c>
      <c r="GH18" s="7" t="s">
        <v>325</v>
      </c>
    </row>
    <row r="19" spans="1:190" x14ac:dyDescent="0.2">
      <c r="A19">
        <v>17</v>
      </c>
      <c r="B19">
        <v>100</v>
      </c>
      <c r="C19">
        <v>1084</v>
      </c>
      <c r="D19" s="7" t="s">
        <v>280</v>
      </c>
      <c r="E19" s="7" t="s">
        <v>412</v>
      </c>
      <c r="F19" s="7" t="s">
        <v>328</v>
      </c>
      <c r="G19" s="4" t="s">
        <v>1222</v>
      </c>
      <c r="H19" s="7" t="s">
        <v>288</v>
      </c>
      <c r="I19" s="1">
        <v>5</v>
      </c>
      <c r="J19" s="7" t="s">
        <v>289</v>
      </c>
      <c r="K19" s="1">
        <v>1</v>
      </c>
      <c r="L19" s="7" t="s">
        <v>289</v>
      </c>
      <c r="M19" s="1">
        <v>1</v>
      </c>
      <c r="N19" s="7" t="s">
        <v>317</v>
      </c>
      <c r="O19" s="1">
        <v>2</v>
      </c>
      <c r="P19" s="12"/>
      <c r="Q19" s="7" t="s">
        <v>291</v>
      </c>
      <c r="R19" s="7" t="s">
        <v>292</v>
      </c>
      <c r="S19" s="1">
        <v>1</v>
      </c>
      <c r="T19" s="1">
        <v>5</v>
      </c>
      <c r="U19" s="12"/>
      <c r="V19" s="7" t="s">
        <v>293</v>
      </c>
      <c r="W19" s="7" t="s">
        <v>294</v>
      </c>
      <c r="X19" s="1">
        <v>2</v>
      </c>
      <c r="Y19" s="1">
        <v>7</v>
      </c>
      <c r="Z19" s="12"/>
      <c r="AA19" s="7" t="s">
        <v>293</v>
      </c>
      <c r="AB19" s="7" t="s">
        <v>294</v>
      </c>
      <c r="AC19" s="1">
        <v>2</v>
      </c>
      <c r="AD19" s="1">
        <v>7</v>
      </c>
      <c r="AE19" s="12"/>
      <c r="AF19" s="7" t="s">
        <v>295</v>
      </c>
      <c r="AG19" s="7" t="s">
        <v>292</v>
      </c>
      <c r="AH19" s="1">
        <v>5</v>
      </c>
      <c r="AI19" s="1">
        <v>5</v>
      </c>
      <c r="AJ19" s="12"/>
      <c r="AK19" s="7" t="s">
        <v>295</v>
      </c>
      <c r="AL19" s="7" t="s">
        <v>297</v>
      </c>
      <c r="AM19" s="1">
        <v>5</v>
      </c>
      <c r="AN19" s="1">
        <v>4</v>
      </c>
      <c r="AO19" s="12"/>
      <c r="AP19" s="7" t="s">
        <v>291</v>
      </c>
      <c r="AQ19" s="7" t="s">
        <v>297</v>
      </c>
      <c r="AR19" s="1">
        <v>1</v>
      </c>
      <c r="AS19" s="1">
        <v>4</v>
      </c>
      <c r="AT19" s="12"/>
      <c r="AU19" s="7" t="s">
        <v>293</v>
      </c>
      <c r="AV19" s="7" t="s">
        <v>294</v>
      </c>
      <c r="AW19" s="1">
        <v>2</v>
      </c>
      <c r="AX19" s="1">
        <v>7</v>
      </c>
      <c r="AY19" s="12"/>
      <c r="AZ19" s="7" t="s">
        <v>298</v>
      </c>
      <c r="BA19" s="7" t="s">
        <v>297</v>
      </c>
      <c r="BB19" s="1">
        <v>3</v>
      </c>
      <c r="BC19" s="1">
        <v>4</v>
      </c>
      <c r="BD19" s="12"/>
      <c r="BE19" s="7" t="s">
        <v>295</v>
      </c>
      <c r="BF19" s="7" t="s">
        <v>292</v>
      </c>
      <c r="BG19" s="1">
        <v>5</v>
      </c>
      <c r="BH19" s="1">
        <v>5</v>
      </c>
      <c r="BI19" s="12"/>
      <c r="BJ19" s="7" t="s">
        <v>298</v>
      </c>
      <c r="BK19" s="7" t="s">
        <v>297</v>
      </c>
      <c r="BL19" s="1">
        <v>3</v>
      </c>
      <c r="BM19" s="1">
        <v>4</v>
      </c>
      <c r="BN19" s="12"/>
      <c r="BO19" s="7" t="s">
        <v>291</v>
      </c>
      <c r="BP19" s="7" t="s">
        <v>292</v>
      </c>
      <c r="BQ19" s="1">
        <v>1</v>
      </c>
      <c r="BR19" s="1">
        <v>5</v>
      </c>
      <c r="BS19" s="12"/>
      <c r="BT19" s="7" t="s">
        <v>293</v>
      </c>
      <c r="BU19" s="7" t="s">
        <v>294</v>
      </c>
      <c r="BV19" s="1">
        <v>2</v>
      </c>
      <c r="BW19" s="1">
        <v>7</v>
      </c>
      <c r="BX19" s="12"/>
      <c r="BY19" s="7" t="s">
        <v>298</v>
      </c>
      <c r="BZ19" s="7" t="s">
        <v>297</v>
      </c>
      <c r="CA19" s="1">
        <v>3</v>
      </c>
      <c r="CB19" s="1">
        <v>4</v>
      </c>
      <c r="CC19" s="12"/>
      <c r="CD19" s="7" t="s">
        <v>298</v>
      </c>
      <c r="CE19" s="7" t="s">
        <v>297</v>
      </c>
      <c r="CF19" s="1">
        <v>3</v>
      </c>
      <c r="CG19" s="1">
        <v>4</v>
      </c>
      <c r="CH19" s="12"/>
      <c r="CI19" s="7" t="s">
        <v>291</v>
      </c>
      <c r="CJ19" s="7" t="s">
        <v>294</v>
      </c>
      <c r="CK19" s="1">
        <v>1</v>
      </c>
      <c r="CL19" s="1">
        <v>7</v>
      </c>
      <c r="CM19" s="12"/>
      <c r="CN19" s="7" t="s">
        <v>295</v>
      </c>
      <c r="CO19" s="7" t="s">
        <v>297</v>
      </c>
      <c r="CP19" s="1">
        <v>5</v>
      </c>
      <c r="CQ19" s="1">
        <v>4</v>
      </c>
      <c r="CR19" s="12"/>
      <c r="CS19" s="7" t="s">
        <v>293</v>
      </c>
      <c r="CT19" s="7" t="s">
        <v>294</v>
      </c>
      <c r="CU19" s="1">
        <v>2</v>
      </c>
      <c r="CV19" s="1">
        <v>7</v>
      </c>
      <c r="CW19" s="12"/>
      <c r="CX19" s="7" t="s">
        <v>299</v>
      </c>
      <c r="CY19" s="7" t="s">
        <v>296</v>
      </c>
      <c r="CZ19" s="1">
        <v>4</v>
      </c>
      <c r="DA19" s="1">
        <v>6</v>
      </c>
      <c r="DB19" s="12"/>
      <c r="DC19" s="7" t="s">
        <v>298</v>
      </c>
      <c r="DD19" s="7" t="s">
        <v>297</v>
      </c>
      <c r="DE19" s="1">
        <v>3</v>
      </c>
      <c r="DF19" s="1">
        <v>4</v>
      </c>
      <c r="DG19" s="12"/>
      <c r="DH19" s="7" t="s">
        <v>291</v>
      </c>
      <c r="DI19" s="7" t="s">
        <v>296</v>
      </c>
      <c r="DJ19" s="1">
        <v>1</v>
      </c>
      <c r="DK19" s="1">
        <v>6</v>
      </c>
      <c r="DL19" s="12"/>
      <c r="DM19" s="7" t="s">
        <v>282</v>
      </c>
      <c r="DN19" s="7" t="s">
        <v>292</v>
      </c>
      <c r="DO19" s="4" t="s">
        <v>282</v>
      </c>
      <c r="DP19" s="1">
        <v>5</v>
      </c>
      <c r="DQ19" s="12"/>
      <c r="DR19" s="7" t="s">
        <v>300</v>
      </c>
      <c r="DS19" s="7" t="s">
        <v>296</v>
      </c>
      <c r="DT19" s="1">
        <v>2</v>
      </c>
      <c r="DU19" s="1">
        <v>6</v>
      </c>
      <c r="DV19" s="12"/>
      <c r="DW19" s="7" t="s">
        <v>282</v>
      </c>
      <c r="DX19" s="7" t="s">
        <v>292</v>
      </c>
      <c r="DY19" s="4" t="s">
        <v>282</v>
      </c>
      <c r="DZ19" s="1">
        <v>5</v>
      </c>
      <c r="EA19" s="12"/>
      <c r="EB19" s="7" t="s">
        <v>291</v>
      </c>
      <c r="EC19" s="7" t="s">
        <v>296</v>
      </c>
      <c r="ED19" s="1">
        <v>1</v>
      </c>
      <c r="EE19" s="1">
        <v>6</v>
      </c>
      <c r="EF19" s="12"/>
      <c r="EG19" s="7" t="s">
        <v>300</v>
      </c>
      <c r="EH19" s="7" t="s">
        <v>296</v>
      </c>
      <c r="EI19" s="1">
        <v>2</v>
      </c>
      <c r="EJ19" s="1">
        <v>6</v>
      </c>
      <c r="EK19" s="12"/>
      <c r="EL19" s="7" t="s">
        <v>282</v>
      </c>
      <c r="EM19" s="7" t="s">
        <v>292</v>
      </c>
      <c r="EN19" s="4" t="s">
        <v>282</v>
      </c>
      <c r="EO19" s="1">
        <v>5</v>
      </c>
      <c r="EP19" s="12"/>
      <c r="EQ19" s="7" t="s">
        <v>291</v>
      </c>
      <c r="ER19" s="7" t="s">
        <v>292</v>
      </c>
      <c r="ES19" s="1">
        <v>1</v>
      </c>
      <c r="ET19" s="1">
        <v>5</v>
      </c>
      <c r="EU19" s="12"/>
      <c r="EV19" s="7" t="s">
        <v>300</v>
      </c>
      <c r="EW19" s="7" t="s">
        <v>296</v>
      </c>
      <c r="EX19" s="1">
        <v>2</v>
      </c>
      <c r="EY19" s="1">
        <v>6</v>
      </c>
      <c r="EZ19" s="12"/>
      <c r="FA19" s="7" t="s">
        <v>301</v>
      </c>
      <c r="FB19" s="7" t="s">
        <v>297</v>
      </c>
      <c r="FC19" s="1">
        <v>5</v>
      </c>
      <c r="FD19" s="1">
        <v>4</v>
      </c>
      <c r="FE19" s="12"/>
      <c r="FF19" s="7" t="s">
        <v>291</v>
      </c>
      <c r="FG19" s="7" t="s">
        <v>296</v>
      </c>
      <c r="FH19" s="1">
        <v>1</v>
      </c>
      <c r="FI19" s="1">
        <v>6</v>
      </c>
      <c r="FJ19" s="12"/>
      <c r="FK19" s="7" t="s">
        <v>300</v>
      </c>
      <c r="FL19" s="7" t="s">
        <v>296</v>
      </c>
      <c r="FM19" s="1">
        <v>2</v>
      </c>
      <c r="FN19" s="1">
        <v>6</v>
      </c>
      <c r="FO19" s="12"/>
      <c r="FP19" s="7" t="s">
        <v>301</v>
      </c>
      <c r="FQ19" s="7" t="s">
        <v>292</v>
      </c>
      <c r="FR19" s="1">
        <v>5</v>
      </c>
      <c r="FS19" s="1">
        <v>5</v>
      </c>
      <c r="FT19" s="10"/>
      <c r="FU19" s="7" t="s">
        <v>519</v>
      </c>
      <c r="FV19" s="7" t="s">
        <v>519</v>
      </c>
      <c r="FW19" s="7" t="s">
        <v>520</v>
      </c>
      <c r="FX19" s="7" t="s">
        <v>520</v>
      </c>
      <c r="FY19" s="7" t="s">
        <v>521</v>
      </c>
      <c r="FZ19" s="7" t="s">
        <v>522</v>
      </c>
      <c r="GA19" s="7" t="s">
        <v>523</v>
      </c>
      <c r="GB19" s="7" t="s">
        <v>524</v>
      </c>
      <c r="GC19" s="7" t="s">
        <v>525</v>
      </c>
      <c r="GD19" s="7" t="s">
        <v>526</v>
      </c>
      <c r="GE19" s="7" t="s">
        <v>527</v>
      </c>
      <c r="GF19" s="7" t="s">
        <v>282</v>
      </c>
      <c r="GG19" s="7" t="s">
        <v>372</v>
      </c>
      <c r="GH19" s="7" t="s">
        <v>325</v>
      </c>
    </row>
    <row r="20" spans="1:190" x14ac:dyDescent="0.2">
      <c r="A20">
        <v>18</v>
      </c>
      <c r="B20">
        <v>100</v>
      </c>
      <c r="C20">
        <v>1527</v>
      </c>
      <c r="D20" s="7" t="s">
        <v>280</v>
      </c>
      <c r="E20" s="7" t="s">
        <v>286</v>
      </c>
      <c r="F20" s="7" t="s">
        <v>530</v>
      </c>
      <c r="G20" s="4" t="s">
        <v>1285</v>
      </c>
      <c r="H20" s="7" t="s">
        <v>288</v>
      </c>
      <c r="I20" s="1">
        <v>5</v>
      </c>
      <c r="J20" s="7" t="s">
        <v>317</v>
      </c>
      <c r="K20" s="1">
        <v>2</v>
      </c>
      <c r="L20" s="7" t="s">
        <v>290</v>
      </c>
      <c r="M20" s="1">
        <v>4</v>
      </c>
      <c r="N20" s="7" t="s">
        <v>317</v>
      </c>
      <c r="O20" s="1">
        <v>2</v>
      </c>
      <c r="P20" s="12"/>
      <c r="Q20" s="7" t="s">
        <v>291</v>
      </c>
      <c r="R20" s="7" t="s">
        <v>292</v>
      </c>
      <c r="S20" s="1">
        <v>1</v>
      </c>
      <c r="T20" s="1">
        <v>5</v>
      </c>
      <c r="U20" s="12"/>
      <c r="V20" s="7" t="s">
        <v>299</v>
      </c>
      <c r="W20" s="7" t="s">
        <v>296</v>
      </c>
      <c r="X20" s="1">
        <v>4</v>
      </c>
      <c r="Y20" s="1">
        <v>6</v>
      </c>
      <c r="Z20" s="12"/>
      <c r="AA20" s="7" t="s">
        <v>293</v>
      </c>
      <c r="AB20" s="7" t="s">
        <v>292</v>
      </c>
      <c r="AC20" s="1">
        <v>2</v>
      </c>
      <c r="AD20" s="1">
        <v>5</v>
      </c>
      <c r="AE20" s="12"/>
      <c r="AF20" s="7" t="s">
        <v>295</v>
      </c>
      <c r="AG20" s="7" t="s">
        <v>292</v>
      </c>
      <c r="AH20" s="1">
        <v>5</v>
      </c>
      <c r="AI20" s="1">
        <v>5</v>
      </c>
      <c r="AJ20" s="12"/>
      <c r="AK20" s="7" t="s">
        <v>298</v>
      </c>
      <c r="AL20" s="7" t="s">
        <v>292</v>
      </c>
      <c r="AM20" s="1">
        <v>3</v>
      </c>
      <c r="AN20" s="1">
        <v>5</v>
      </c>
      <c r="AO20" s="12"/>
      <c r="AP20" s="7" t="s">
        <v>291</v>
      </c>
      <c r="AQ20" s="7" t="s">
        <v>292</v>
      </c>
      <c r="AR20" s="1">
        <v>1</v>
      </c>
      <c r="AS20" s="1">
        <v>5</v>
      </c>
      <c r="AT20" s="12"/>
      <c r="AU20" s="7" t="s">
        <v>293</v>
      </c>
      <c r="AV20" s="7" t="s">
        <v>296</v>
      </c>
      <c r="AW20" s="1">
        <v>2</v>
      </c>
      <c r="AX20" s="1">
        <v>6</v>
      </c>
      <c r="AY20" s="12"/>
      <c r="AZ20" s="7" t="s">
        <v>291</v>
      </c>
      <c r="BA20" s="7" t="s">
        <v>292</v>
      </c>
      <c r="BB20" s="1">
        <v>1</v>
      </c>
      <c r="BC20" s="1">
        <v>5</v>
      </c>
      <c r="BD20" s="12"/>
      <c r="BE20" s="7" t="s">
        <v>298</v>
      </c>
      <c r="BF20" s="7" t="s">
        <v>292</v>
      </c>
      <c r="BG20" s="1">
        <v>3</v>
      </c>
      <c r="BH20" s="1">
        <v>5</v>
      </c>
      <c r="BI20" s="12"/>
      <c r="BJ20" s="7" t="s">
        <v>299</v>
      </c>
      <c r="BK20" s="7" t="s">
        <v>292</v>
      </c>
      <c r="BL20" s="1">
        <v>4</v>
      </c>
      <c r="BM20" s="1">
        <v>5</v>
      </c>
      <c r="BN20" s="12"/>
      <c r="BO20" s="7" t="s">
        <v>291</v>
      </c>
      <c r="BP20" s="7" t="s">
        <v>292</v>
      </c>
      <c r="BQ20" s="1">
        <v>1</v>
      </c>
      <c r="BR20" s="1">
        <v>5</v>
      </c>
      <c r="BS20" s="12"/>
      <c r="BT20" s="7" t="s">
        <v>293</v>
      </c>
      <c r="BU20" s="7" t="s">
        <v>296</v>
      </c>
      <c r="BV20" s="1">
        <v>2</v>
      </c>
      <c r="BW20" s="1">
        <v>6</v>
      </c>
      <c r="BX20" s="12"/>
      <c r="BY20" s="7" t="s">
        <v>291</v>
      </c>
      <c r="BZ20" s="7" t="s">
        <v>292</v>
      </c>
      <c r="CA20" s="1">
        <v>1</v>
      </c>
      <c r="CB20" s="1">
        <v>5</v>
      </c>
      <c r="CC20" s="12"/>
      <c r="CD20" s="7" t="s">
        <v>299</v>
      </c>
      <c r="CE20" s="7" t="s">
        <v>296</v>
      </c>
      <c r="CF20" s="1">
        <v>4</v>
      </c>
      <c r="CG20" s="1">
        <v>6</v>
      </c>
      <c r="CH20" s="12"/>
      <c r="CI20" s="7" t="s">
        <v>291</v>
      </c>
      <c r="CJ20" s="7" t="s">
        <v>296</v>
      </c>
      <c r="CK20" s="1">
        <v>1</v>
      </c>
      <c r="CL20" s="1">
        <v>6</v>
      </c>
      <c r="CM20" s="12"/>
      <c r="CN20" s="7" t="s">
        <v>291</v>
      </c>
      <c r="CO20" s="7" t="s">
        <v>292</v>
      </c>
      <c r="CP20" s="1">
        <v>1</v>
      </c>
      <c r="CQ20" s="1">
        <v>5</v>
      </c>
      <c r="CR20" s="12"/>
      <c r="CS20" s="7" t="s">
        <v>293</v>
      </c>
      <c r="CT20" s="7" t="s">
        <v>296</v>
      </c>
      <c r="CU20" s="1">
        <v>2</v>
      </c>
      <c r="CV20" s="1">
        <v>6</v>
      </c>
      <c r="CW20" s="12"/>
      <c r="CX20" s="7" t="s">
        <v>299</v>
      </c>
      <c r="CY20" s="7" t="s">
        <v>296</v>
      </c>
      <c r="CZ20" s="1">
        <v>4</v>
      </c>
      <c r="DA20" s="1">
        <v>6</v>
      </c>
      <c r="DB20" s="12"/>
      <c r="DC20" s="7" t="s">
        <v>298</v>
      </c>
      <c r="DD20" s="7" t="s">
        <v>292</v>
      </c>
      <c r="DE20" s="1">
        <v>3</v>
      </c>
      <c r="DF20" s="1">
        <v>5</v>
      </c>
      <c r="DG20" s="12"/>
      <c r="DH20" s="7" t="s">
        <v>299</v>
      </c>
      <c r="DI20" s="7" t="s">
        <v>296</v>
      </c>
      <c r="DJ20" s="1">
        <v>4</v>
      </c>
      <c r="DK20" s="1">
        <v>6</v>
      </c>
      <c r="DL20" s="12"/>
      <c r="DM20" s="7" t="s">
        <v>291</v>
      </c>
      <c r="DN20" s="7" t="s">
        <v>292</v>
      </c>
      <c r="DO20" s="1">
        <v>1</v>
      </c>
      <c r="DP20" s="1">
        <v>5</v>
      </c>
      <c r="DQ20" s="12"/>
      <c r="DR20" s="7" t="s">
        <v>300</v>
      </c>
      <c r="DS20" s="7" t="s">
        <v>292</v>
      </c>
      <c r="DT20" s="1">
        <v>2</v>
      </c>
      <c r="DU20" s="1">
        <v>5</v>
      </c>
      <c r="DV20" s="12"/>
      <c r="DW20" s="7" t="s">
        <v>301</v>
      </c>
      <c r="DX20" s="7" t="s">
        <v>292</v>
      </c>
      <c r="DY20" s="1">
        <v>5</v>
      </c>
      <c r="DZ20" s="1">
        <v>5</v>
      </c>
      <c r="EA20" s="12"/>
      <c r="EB20" s="7" t="s">
        <v>291</v>
      </c>
      <c r="EC20" s="7" t="s">
        <v>292</v>
      </c>
      <c r="ED20" s="1">
        <v>1</v>
      </c>
      <c r="EE20" s="1">
        <v>5</v>
      </c>
      <c r="EF20" s="12"/>
      <c r="EG20" s="7" t="s">
        <v>300</v>
      </c>
      <c r="EH20" s="7" t="s">
        <v>296</v>
      </c>
      <c r="EI20" s="1">
        <v>2</v>
      </c>
      <c r="EJ20" s="1">
        <v>6</v>
      </c>
      <c r="EK20" s="12"/>
      <c r="EL20" s="7" t="s">
        <v>301</v>
      </c>
      <c r="EM20" s="7" t="s">
        <v>296</v>
      </c>
      <c r="EN20" s="1">
        <v>5</v>
      </c>
      <c r="EO20" s="1">
        <v>6</v>
      </c>
      <c r="EP20" s="12"/>
      <c r="EQ20" s="7" t="s">
        <v>301</v>
      </c>
      <c r="ER20" s="7" t="s">
        <v>292</v>
      </c>
      <c r="ES20" s="1">
        <v>5</v>
      </c>
      <c r="ET20" s="1">
        <v>5</v>
      </c>
      <c r="EU20" s="12"/>
      <c r="EV20" s="7" t="s">
        <v>300</v>
      </c>
      <c r="EW20" s="7" t="s">
        <v>296</v>
      </c>
      <c r="EX20" s="1">
        <v>2</v>
      </c>
      <c r="EY20" s="1">
        <v>6</v>
      </c>
      <c r="EZ20" s="12"/>
      <c r="FA20" s="7" t="s">
        <v>301</v>
      </c>
      <c r="FB20" s="7" t="s">
        <v>292</v>
      </c>
      <c r="FC20" s="1">
        <v>5</v>
      </c>
      <c r="FD20" s="1">
        <v>5</v>
      </c>
      <c r="FE20" s="12"/>
      <c r="FF20" s="7" t="s">
        <v>291</v>
      </c>
      <c r="FG20" s="7" t="s">
        <v>292</v>
      </c>
      <c r="FH20" s="1">
        <v>1</v>
      </c>
      <c r="FI20" s="1">
        <v>5</v>
      </c>
      <c r="FJ20" s="12"/>
      <c r="FK20" s="7" t="s">
        <v>300</v>
      </c>
      <c r="FL20" s="7" t="s">
        <v>292</v>
      </c>
      <c r="FM20" s="1">
        <v>2</v>
      </c>
      <c r="FN20" s="1">
        <v>5</v>
      </c>
      <c r="FO20" s="12"/>
      <c r="FP20" s="7" t="s">
        <v>291</v>
      </c>
      <c r="FQ20" s="7" t="s">
        <v>292</v>
      </c>
      <c r="FR20" s="1">
        <v>1</v>
      </c>
      <c r="FS20" s="1">
        <v>5</v>
      </c>
      <c r="FT20" s="10"/>
      <c r="FU20" s="7" t="s">
        <v>531</v>
      </c>
      <c r="FV20" s="7" t="s">
        <v>532</v>
      </c>
      <c r="FW20" s="7" t="s">
        <v>533</v>
      </c>
      <c r="FX20" s="7" t="s">
        <v>534</v>
      </c>
      <c r="FY20" s="7" t="s">
        <v>535</v>
      </c>
      <c r="FZ20" s="7" t="s">
        <v>536</v>
      </c>
      <c r="GA20" s="7" t="s">
        <v>537</v>
      </c>
      <c r="GB20" s="7" t="s">
        <v>538</v>
      </c>
      <c r="GC20" s="7" t="s">
        <v>537</v>
      </c>
      <c r="GD20" s="7" t="s">
        <v>539</v>
      </c>
      <c r="GE20" s="7" t="s">
        <v>540</v>
      </c>
      <c r="GF20" s="7" t="s">
        <v>541</v>
      </c>
      <c r="GG20" s="7" t="s">
        <v>356</v>
      </c>
      <c r="GH20" s="7" t="s">
        <v>313</v>
      </c>
    </row>
    <row r="21" spans="1:190" x14ac:dyDescent="0.2">
      <c r="A21">
        <v>19</v>
      </c>
      <c r="B21">
        <v>100</v>
      </c>
      <c r="C21">
        <v>1015</v>
      </c>
      <c r="D21" s="7" t="s">
        <v>280</v>
      </c>
      <c r="E21" s="7" t="s">
        <v>544</v>
      </c>
      <c r="F21" s="7" t="s">
        <v>545</v>
      </c>
      <c r="G21" s="4" t="s">
        <v>1286</v>
      </c>
      <c r="H21" s="7" t="s">
        <v>288</v>
      </c>
      <c r="I21" s="1">
        <v>5</v>
      </c>
      <c r="J21" s="7" t="s">
        <v>289</v>
      </c>
      <c r="K21" s="1">
        <v>1</v>
      </c>
      <c r="L21" s="7" t="s">
        <v>289</v>
      </c>
      <c r="M21" s="1">
        <v>1</v>
      </c>
      <c r="N21" s="7" t="s">
        <v>289</v>
      </c>
      <c r="O21" s="1">
        <v>1</v>
      </c>
      <c r="P21" s="12"/>
      <c r="Q21" s="7" t="s">
        <v>291</v>
      </c>
      <c r="R21" s="7" t="s">
        <v>292</v>
      </c>
      <c r="S21" s="1">
        <v>1</v>
      </c>
      <c r="T21" s="1">
        <v>5</v>
      </c>
      <c r="U21" s="12"/>
      <c r="V21" s="7" t="s">
        <v>293</v>
      </c>
      <c r="W21" s="7" t="s">
        <v>292</v>
      </c>
      <c r="X21" s="1">
        <v>2</v>
      </c>
      <c r="Y21" s="1">
        <v>5</v>
      </c>
      <c r="Z21" s="12"/>
      <c r="AA21" s="7" t="s">
        <v>299</v>
      </c>
      <c r="AB21" s="7" t="s">
        <v>296</v>
      </c>
      <c r="AC21" s="1">
        <v>4</v>
      </c>
      <c r="AD21" s="1">
        <v>6</v>
      </c>
      <c r="AE21" s="12"/>
      <c r="AF21" s="7" t="s">
        <v>295</v>
      </c>
      <c r="AG21" s="7" t="s">
        <v>292</v>
      </c>
      <c r="AH21" s="1">
        <v>5</v>
      </c>
      <c r="AI21" s="1">
        <v>5</v>
      </c>
      <c r="AJ21" s="12"/>
      <c r="AK21" s="7" t="s">
        <v>295</v>
      </c>
      <c r="AL21" s="7" t="s">
        <v>294</v>
      </c>
      <c r="AM21" s="1">
        <v>5</v>
      </c>
      <c r="AN21" s="1">
        <v>7</v>
      </c>
      <c r="AO21" s="12"/>
      <c r="AP21" s="7" t="s">
        <v>291</v>
      </c>
      <c r="AQ21" s="7" t="s">
        <v>297</v>
      </c>
      <c r="AR21" s="1">
        <v>1</v>
      </c>
      <c r="AS21" s="1">
        <v>4</v>
      </c>
      <c r="AT21" s="12"/>
      <c r="AU21" s="7" t="s">
        <v>293</v>
      </c>
      <c r="AV21" s="7" t="s">
        <v>292</v>
      </c>
      <c r="AW21" s="1">
        <v>2</v>
      </c>
      <c r="AX21" s="1">
        <v>5</v>
      </c>
      <c r="AY21" s="12"/>
      <c r="AZ21" s="7" t="s">
        <v>291</v>
      </c>
      <c r="BA21" s="7" t="s">
        <v>297</v>
      </c>
      <c r="BB21" s="1">
        <v>1</v>
      </c>
      <c r="BC21" s="1">
        <v>4</v>
      </c>
      <c r="BD21" s="12"/>
      <c r="BE21" s="7" t="s">
        <v>298</v>
      </c>
      <c r="BF21" s="7" t="s">
        <v>292</v>
      </c>
      <c r="BG21" s="1">
        <v>3</v>
      </c>
      <c r="BH21" s="1">
        <v>5</v>
      </c>
      <c r="BI21" s="12"/>
      <c r="BJ21" s="7" t="s">
        <v>282</v>
      </c>
      <c r="BK21" s="7" t="s">
        <v>297</v>
      </c>
      <c r="BL21" s="4" t="s">
        <v>282</v>
      </c>
      <c r="BM21" s="1">
        <v>4</v>
      </c>
      <c r="BN21" s="12"/>
      <c r="BO21" s="7" t="s">
        <v>291</v>
      </c>
      <c r="BP21" s="7" t="s">
        <v>294</v>
      </c>
      <c r="BQ21" s="1">
        <v>1</v>
      </c>
      <c r="BR21" s="1">
        <v>7</v>
      </c>
      <c r="BS21" s="12"/>
      <c r="BT21" s="7" t="s">
        <v>293</v>
      </c>
      <c r="BU21" s="7" t="s">
        <v>292</v>
      </c>
      <c r="BV21" s="1">
        <v>2</v>
      </c>
      <c r="BW21" s="1">
        <v>5</v>
      </c>
      <c r="BX21" s="12"/>
      <c r="BY21" s="7" t="s">
        <v>291</v>
      </c>
      <c r="BZ21" s="7" t="s">
        <v>296</v>
      </c>
      <c r="CA21" s="1">
        <v>1</v>
      </c>
      <c r="CB21" s="1">
        <v>6</v>
      </c>
      <c r="CC21" s="12"/>
      <c r="CD21" s="7" t="s">
        <v>295</v>
      </c>
      <c r="CE21" s="7" t="s">
        <v>292</v>
      </c>
      <c r="CF21" s="1">
        <v>5</v>
      </c>
      <c r="CG21" s="1">
        <v>5</v>
      </c>
      <c r="CH21" s="12"/>
      <c r="CI21" s="7" t="s">
        <v>298</v>
      </c>
      <c r="CJ21" s="7" t="s">
        <v>296</v>
      </c>
      <c r="CK21" s="1">
        <v>3</v>
      </c>
      <c r="CL21" s="1">
        <v>6</v>
      </c>
      <c r="CM21" s="12"/>
      <c r="CN21" s="7" t="s">
        <v>291</v>
      </c>
      <c r="CO21" s="7" t="s">
        <v>294</v>
      </c>
      <c r="CP21" s="1">
        <v>1</v>
      </c>
      <c r="CQ21" s="1">
        <v>7</v>
      </c>
      <c r="CR21" s="12"/>
      <c r="CS21" s="7" t="s">
        <v>299</v>
      </c>
      <c r="CT21" s="7" t="s">
        <v>292</v>
      </c>
      <c r="CU21" s="1">
        <v>4</v>
      </c>
      <c r="CV21" s="1">
        <v>5</v>
      </c>
      <c r="CW21" s="12"/>
      <c r="CX21" s="7" t="s">
        <v>293</v>
      </c>
      <c r="CY21" s="7" t="s">
        <v>297</v>
      </c>
      <c r="CZ21" s="1">
        <v>2</v>
      </c>
      <c r="DA21" s="1">
        <v>4</v>
      </c>
      <c r="DB21" s="12"/>
      <c r="DC21" s="7" t="s">
        <v>298</v>
      </c>
      <c r="DD21" s="7" t="s">
        <v>294</v>
      </c>
      <c r="DE21" s="1">
        <v>3</v>
      </c>
      <c r="DF21" s="1">
        <v>7</v>
      </c>
      <c r="DG21" s="12"/>
      <c r="DH21" s="7" t="s">
        <v>298</v>
      </c>
      <c r="DI21" s="7" t="s">
        <v>296</v>
      </c>
      <c r="DJ21" s="1">
        <v>3</v>
      </c>
      <c r="DK21" s="1">
        <v>6</v>
      </c>
      <c r="DL21" s="12"/>
      <c r="DM21" s="7" t="s">
        <v>291</v>
      </c>
      <c r="DN21" s="7" t="s">
        <v>296</v>
      </c>
      <c r="DO21" s="1">
        <v>1</v>
      </c>
      <c r="DP21" s="1">
        <v>6</v>
      </c>
      <c r="DQ21" s="12"/>
      <c r="DR21" s="7" t="s">
        <v>300</v>
      </c>
      <c r="DS21" s="7" t="s">
        <v>292</v>
      </c>
      <c r="DT21" s="1">
        <v>2</v>
      </c>
      <c r="DU21" s="1">
        <v>5</v>
      </c>
      <c r="DV21" s="12"/>
      <c r="DW21" s="7" t="s">
        <v>301</v>
      </c>
      <c r="DX21" s="7" t="s">
        <v>292</v>
      </c>
      <c r="DY21" s="1">
        <v>5</v>
      </c>
      <c r="DZ21" s="1">
        <v>5</v>
      </c>
      <c r="EA21" s="12"/>
      <c r="EB21" s="7" t="s">
        <v>291</v>
      </c>
      <c r="EC21" s="7" t="s">
        <v>292</v>
      </c>
      <c r="ED21" s="1">
        <v>1</v>
      </c>
      <c r="EE21" s="1">
        <v>5</v>
      </c>
      <c r="EF21" s="12"/>
      <c r="EG21" s="7" t="s">
        <v>300</v>
      </c>
      <c r="EH21" s="7" t="s">
        <v>296</v>
      </c>
      <c r="EI21" s="1">
        <v>2</v>
      </c>
      <c r="EJ21" s="1">
        <v>6</v>
      </c>
      <c r="EK21" s="12"/>
      <c r="EL21" s="7" t="s">
        <v>301</v>
      </c>
      <c r="EM21" s="7" t="s">
        <v>292</v>
      </c>
      <c r="EN21" s="1">
        <v>5</v>
      </c>
      <c r="EO21" s="1">
        <v>5</v>
      </c>
      <c r="EP21" s="12"/>
      <c r="EQ21" s="7" t="s">
        <v>291</v>
      </c>
      <c r="ER21" s="7" t="s">
        <v>296</v>
      </c>
      <c r="ES21" s="1">
        <v>1</v>
      </c>
      <c r="ET21" s="1">
        <v>6</v>
      </c>
      <c r="EU21" s="12"/>
      <c r="EV21" s="7" t="s">
        <v>300</v>
      </c>
      <c r="EW21" s="7" t="s">
        <v>292</v>
      </c>
      <c r="EX21" s="1">
        <v>2</v>
      </c>
      <c r="EY21" s="1">
        <v>5</v>
      </c>
      <c r="EZ21" s="12"/>
      <c r="FA21" s="7" t="s">
        <v>301</v>
      </c>
      <c r="FB21" s="7" t="s">
        <v>296</v>
      </c>
      <c r="FC21" s="1">
        <v>5</v>
      </c>
      <c r="FD21" s="1">
        <v>6</v>
      </c>
      <c r="FE21" s="12"/>
      <c r="FF21" s="7" t="s">
        <v>291</v>
      </c>
      <c r="FG21" s="7" t="s">
        <v>292</v>
      </c>
      <c r="FH21" s="1">
        <v>1</v>
      </c>
      <c r="FI21" s="1">
        <v>5</v>
      </c>
      <c r="FJ21" s="12"/>
      <c r="FK21" s="7" t="s">
        <v>300</v>
      </c>
      <c r="FL21" s="7" t="s">
        <v>292</v>
      </c>
      <c r="FM21" s="1">
        <v>2</v>
      </c>
      <c r="FN21" s="1">
        <v>5</v>
      </c>
      <c r="FO21" s="12"/>
      <c r="FP21" s="7" t="s">
        <v>291</v>
      </c>
      <c r="FQ21" s="7" t="s">
        <v>292</v>
      </c>
      <c r="FR21" s="1">
        <v>1</v>
      </c>
      <c r="FS21" s="1">
        <v>5</v>
      </c>
      <c r="FT21" s="10"/>
      <c r="FU21" s="7" t="s">
        <v>546</v>
      </c>
      <c r="FV21" s="7" t="s">
        <v>547</v>
      </c>
      <c r="FW21" s="7" t="s">
        <v>548</v>
      </c>
      <c r="FX21" s="7" t="s">
        <v>549</v>
      </c>
      <c r="FY21" s="7" t="s">
        <v>550</v>
      </c>
      <c r="FZ21" s="7" t="s">
        <v>551</v>
      </c>
      <c r="GA21" s="7" t="s">
        <v>552</v>
      </c>
      <c r="GB21" s="7" t="s">
        <v>553</v>
      </c>
      <c r="GC21" s="7" t="s">
        <v>554</v>
      </c>
      <c r="GD21" s="7" t="s">
        <v>555</v>
      </c>
      <c r="GE21" s="7" t="s">
        <v>282</v>
      </c>
      <c r="GF21" s="7" t="s">
        <v>282</v>
      </c>
      <c r="GG21" s="7" t="s">
        <v>356</v>
      </c>
      <c r="GH21" s="7" t="s">
        <v>313</v>
      </c>
    </row>
    <row r="22" spans="1:190" x14ac:dyDescent="0.2">
      <c r="A22">
        <v>20</v>
      </c>
      <c r="B22">
        <v>100</v>
      </c>
      <c r="C22">
        <v>2013</v>
      </c>
      <c r="D22" s="7" t="s">
        <v>280</v>
      </c>
      <c r="E22" s="7" t="s">
        <v>412</v>
      </c>
      <c r="F22" s="7" t="s">
        <v>558</v>
      </c>
      <c r="G22" s="4" t="s">
        <v>1287</v>
      </c>
      <c r="H22" s="7" t="s">
        <v>288</v>
      </c>
      <c r="I22" s="1">
        <v>5</v>
      </c>
      <c r="J22" s="7" t="s">
        <v>289</v>
      </c>
      <c r="K22" s="1">
        <v>1</v>
      </c>
      <c r="L22" s="7" t="s">
        <v>317</v>
      </c>
      <c r="M22" s="1">
        <v>2</v>
      </c>
      <c r="N22" s="7" t="s">
        <v>317</v>
      </c>
      <c r="O22" s="1">
        <v>2</v>
      </c>
      <c r="P22" s="12"/>
      <c r="Q22" s="7" t="s">
        <v>295</v>
      </c>
      <c r="R22" s="7" t="s">
        <v>297</v>
      </c>
      <c r="S22" s="1">
        <v>5</v>
      </c>
      <c r="T22" s="1">
        <v>4</v>
      </c>
      <c r="U22" s="12"/>
      <c r="V22" s="7" t="s">
        <v>293</v>
      </c>
      <c r="W22" s="7" t="s">
        <v>292</v>
      </c>
      <c r="X22" s="1">
        <v>2</v>
      </c>
      <c r="Y22" s="1">
        <v>5</v>
      </c>
      <c r="Z22" s="12"/>
      <c r="AA22" s="7" t="s">
        <v>293</v>
      </c>
      <c r="AB22" s="7" t="s">
        <v>292</v>
      </c>
      <c r="AC22" s="1">
        <v>2</v>
      </c>
      <c r="AD22" s="1">
        <v>5</v>
      </c>
      <c r="AE22" s="12"/>
      <c r="AF22" s="7" t="s">
        <v>298</v>
      </c>
      <c r="AG22" s="7" t="s">
        <v>297</v>
      </c>
      <c r="AH22" s="1">
        <v>3</v>
      </c>
      <c r="AI22" s="1">
        <v>4</v>
      </c>
      <c r="AJ22" s="12"/>
      <c r="AK22" s="7" t="s">
        <v>298</v>
      </c>
      <c r="AL22" s="7" t="s">
        <v>297</v>
      </c>
      <c r="AM22" s="1">
        <v>3</v>
      </c>
      <c r="AN22" s="1">
        <v>4</v>
      </c>
      <c r="AO22" s="12"/>
      <c r="AP22" s="7" t="s">
        <v>291</v>
      </c>
      <c r="AQ22" s="7" t="s">
        <v>297</v>
      </c>
      <c r="AR22" s="1">
        <v>1</v>
      </c>
      <c r="AS22" s="1">
        <v>4</v>
      </c>
      <c r="AT22" s="12"/>
      <c r="AU22" s="7" t="s">
        <v>293</v>
      </c>
      <c r="AV22" s="7" t="s">
        <v>292</v>
      </c>
      <c r="AW22" s="1">
        <v>2</v>
      </c>
      <c r="AX22" s="1">
        <v>5</v>
      </c>
      <c r="AY22" s="12"/>
      <c r="AZ22" s="7" t="s">
        <v>299</v>
      </c>
      <c r="BA22" s="7" t="s">
        <v>292</v>
      </c>
      <c r="BB22" s="1">
        <v>4</v>
      </c>
      <c r="BC22" s="1">
        <v>5</v>
      </c>
      <c r="BD22" s="12"/>
      <c r="BE22" s="7" t="s">
        <v>299</v>
      </c>
      <c r="BF22" s="7" t="s">
        <v>292</v>
      </c>
      <c r="BG22" s="1">
        <v>4</v>
      </c>
      <c r="BH22" s="1">
        <v>5</v>
      </c>
      <c r="BI22" s="12"/>
      <c r="BJ22" s="7" t="s">
        <v>291</v>
      </c>
      <c r="BK22" s="7" t="s">
        <v>297</v>
      </c>
      <c r="BL22" s="1">
        <v>1</v>
      </c>
      <c r="BM22" s="1">
        <v>4</v>
      </c>
      <c r="BN22" s="12"/>
      <c r="BO22" s="7" t="s">
        <v>291</v>
      </c>
      <c r="BP22" s="7" t="s">
        <v>297</v>
      </c>
      <c r="BQ22" s="1">
        <v>1</v>
      </c>
      <c r="BR22" s="1">
        <v>4</v>
      </c>
      <c r="BS22" s="12"/>
      <c r="BT22" s="7" t="s">
        <v>293</v>
      </c>
      <c r="BU22" s="7" t="s">
        <v>296</v>
      </c>
      <c r="BV22" s="1">
        <v>2</v>
      </c>
      <c r="BW22" s="1">
        <v>6</v>
      </c>
      <c r="BX22" s="12"/>
      <c r="BY22" s="7" t="s">
        <v>299</v>
      </c>
      <c r="BZ22" s="7" t="s">
        <v>297</v>
      </c>
      <c r="CA22" s="1">
        <v>4</v>
      </c>
      <c r="CB22" s="1">
        <v>4</v>
      </c>
      <c r="CC22" s="12"/>
      <c r="CD22" s="7" t="s">
        <v>298</v>
      </c>
      <c r="CE22" s="7" t="s">
        <v>297</v>
      </c>
      <c r="CF22" s="1">
        <v>3</v>
      </c>
      <c r="CG22" s="1">
        <v>4</v>
      </c>
      <c r="CH22" s="12"/>
      <c r="CI22" s="7" t="s">
        <v>291</v>
      </c>
      <c r="CJ22" s="7" t="s">
        <v>297</v>
      </c>
      <c r="CK22" s="1">
        <v>1</v>
      </c>
      <c r="CL22" s="1">
        <v>4</v>
      </c>
      <c r="CM22" s="12"/>
      <c r="CN22" s="7" t="s">
        <v>291</v>
      </c>
      <c r="CO22" s="7" t="s">
        <v>297</v>
      </c>
      <c r="CP22" s="1">
        <v>1</v>
      </c>
      <c r="CQ22" s="1">
        <v>4</v>
      </c>
      <c r="CR22" s="12"/>
      <c r="CS22" s="7" t="s">
        <v>293</v>
      </c>
      <c r="CT22" s="7" t="s">
        <v>292</v>
      </c>
      <c r="CU22" s="1">
        <v>2</v>
      </c>
      <c r="CV22" s="1">
        <v>5</v>
      </c>
      <c r="CW22" s="12"/>
      <c r="CX22" s="7" t="s">
        <v>298</v>
      </c>
      <c r="CY22" s="7" t="s">
        <v>297</v>
      </c>
      <c r="CZ22" s="1">
        <v>3</v>
      </c>
      <c r="DA22" s="1">
        <v>4</v>
      </c>
      <c r="DB22" s="12"/>
      <c r="DC22" s="7" t="s">
        <v>295</v>
      </c>
      <c r="DD22" s="7" t="s">
        <v>297</v>
      </c>
      <c r="DE22" s="1">
        <v>5</v>
      </c>
      <c r="DF22" s="1">
        <v>4</v>
      </c>
      <c r="DG22" s="12"/>
      <c r="DH22" s="7" t="s">
        <v>291</v>
      </c>
      <c r="DI22" s="7" t="s">
        <v>292</v>
      </c>
      <c r="DJ22" s="1">
        <v>1</v>
      </c>
      <c r="DK22" s="1">
        <v>5</v>
      </c>
      <c r="DL22" s="12"/>
      <c r="DM22" s="7" t="s">
        <v>301</v>
      </c>
      <c r="DN22" s="7" t="s">
        <v>330</v>
      </c>
      <c r="DO22" s="1">
        <v>5</v>
      </c>
      <c r="DP22" s="1">
        <v>3</v>
      </c>
      <c r="DQ22" s="12"/>
      <c r="DR22" s="7" t="s">
        <v>300</v>
      </c>
      <c r="DS22" s="7" t="s">
        <v>296</v>
      </c>
      <c r="DT22" s="1">
        <v>2</v>
      </c>
      <c r="DU22" s="1">
        <v>6</v>
      </c>
      <c r="DV22" s="12"/>
      <c r="DW22" s="7" t="s">
        <v>301</v>
      </c>
      <c r="DX22" s="7" t="s">
        <v>292</v>
      </c>
      <c r="DY22" s="1">
        <v>5</v>
      </c>
      <c r="DZ22" s="1">
        <v>5</v>
      </c>
      <c r="EA22" s="12"/>
      <c r="EB22" s="7" t="s">
        <v>291</v>
      </c>
      <c r="EC22" s="7" t="s">
        <v>292</v>
      </c>
      <c r="ED22" s="1">
        <v>1</v>
      </c>
      <c r="EE22" s="1">
        <v>5</v>
      </c>
      <c r="EF22" s="12"/>
      <c r="EG22" s="7" t="s">
        <v>300</v>
      </c>
      <c r="EH22" s="7" t="s">
        <v>296</v>
      </c>
      <c r="EI22" s="1">
        <v>2</v>
      </c>
      <c r="EJ22" s="1">
        <v>6</v>
      </c>
      <c r="EK22" s="12"/>
      <c r="EL22" s="7" t="s">
        <v>301</v>
      </c>
      <c r="EM22" s="7" t="s">
        <v>292</v>
      </c>
      <c r="EN22" s="1">
        <v>5</v>
      </c>
      <c r="EO22" s="1">
        <v>5</v>
      </c>
      <c r="EP22" s="12"/>
      <c r="EQ22" s="7" t="s">
        <v>291</v>
      </c>
      <c r="ER22" s="7" t="s">
        <v>296</v>
      </c>
      <c r="ES22" s="1">
        <v>1</v>
      </c>
      <c r="ET22" s="1">
        <v>6</v>
      </c>
      <c r="EU22" s="12"/>
      <c r="EV22" s="7" t="s">
        <v>300</v>
      </c>
      <c r="EW22" s="7" t="s">
        <v>296</v>
      </c>
      <c r="EX22" s="1">
        <v>2</v>
      </c>
      <c r="EY22" s="1">
        <v>6</v>
      </c>
      <c r="EZ22" s="12"/>
      <c r="FA22" s="7" t="s">
        <v>301</v>
      </c>
      <c r="FB22" s="7" t="s">
        <v>292</v>
      </c>
      <c r="FC22" s="1">
        <v>5</v>
      </c>
      <c r="FD22" s="1">
        <v>5</v>
      </c>
      <c r="FE22" s="12"/>
      <c r="FF22" s="7" t="s">
        <v>291</v>
      </c>
      <c r="FG22" s="7" t="s">
        <v>292</v>
      </c>
      <c r="FH22" s="1">
        <v>1</v>
      </c>
      <c r="FI22" s="1">
        <v>5</v>
      </c>
      <c r="FJ22" s="12"/>
      <c r="FK22" s="7" t="s">
        <v>300</v>
      </c>
      <c r="FL22" s="7" t="s">
        <v>292</v>
      </c>
      <c r="FM22" s="1">
        <v>2</v>
      </c>
      <c r="FN22" s="1">
        <v>5</v>
      </c>
      <c r="FO22" s="12"/>
      <c r="FP22" s="7" t="s">
        <v>301</v>
      </c>
      <c r="FQ22" s="7" t="s">
        <v>330</v>
      </c>
      <c r="FR22" s="1">
        <v>5</v>
      </c>
      <c r="FS22" s="1">
        <v>3</v>
      </c>
      <c r="FT22" s="10"/>
      <c r="FU22" s="7" t="s">
        <v>559</v>
      </c>
      <c r="FV22" s="7" t="s">
        <v>560</v>
      </c>
      <c r="FW22" s="7" t="s">
        <v>561</v>
      </c>
      <c r="FX22" s="7" t="s">
        <v>560</v>
      </c>
      <c r="FY22" s="7" t="s">
        <v>562</v>
      </c>
      <c r="FZ22" s="7" t="s">
        <v>563</v>
      </c>
      <c r="GA22" s="7" t="s">
        <v>564</v>
      </c>
      <c r="GB22" s="7" t="s">
        <v>565</v>
      </c>
      <c r="GC22" s="7" t="s">
        <v>566</v>
      </c>
      <c r="GD22" s="7" t="s">
        <v>567</v>
      </c>
      <c r="GE22" s="7" t="s">
        <v>282</v>
      </c>
      <c r="GF22" s="7" t="s">
        <v>282</v>
      </c>
      <c r="GG22" s="7" t="s">
        <v>372</v>
      </c>
      <c r="GH22" s="7" t="s">
        <v>325</v>
      </c>
    </row>
    <row r="23" spans="1:190" x14ac:dyDescent="0.2">
      <c r="A23">
        <v>21</v>
      </c>
      <c r="B23">
        <v>100</v>
      </c>
      <c r="C23">
        <v>1096</v>
      </c>
      <c r="D23" s="7" t="s">
        <v>280</v>
      </c>
      <c r="E23" s="7" t="s">
        <v>501</v>
      </c>
      <c r="F23" s="7" t="s">
        <v>570</v>
      </c>
      <c r="G23" s="4" t="s">
        <v>1288</v>
      </c>
      <c r="H23" s="7" t="s">
        <v>288</v>
      </c>
      <c r="I23" s="1">
        <v>5</v>
      </c>
      <c r="J23" s="7" t="s">
        <v>317</v>
      </c>
      <c r="K23" s="1">
        <v>2</v>
      </c>
      <c r="L23" s="7" t="s">
        <v>289</v>
      </c>
      <c r="M23" s="1">
        <v>1</v>
      </c>
      <c r="N23" s="7" t="s">
        <v>317</v>
      </c>
      <c r="O23" s="1">
        <v>2</v>
      </c>
      <c r="P23" s="12"/>
      <c r="Q23" s="7" t="s">
        <v>291</v>
      </c>
      <c r="R23" s="7" t="s">
        <v>296</v>
      </c>
      <c r="S23" s="1">
        <v>1</v>
      </c>
      <c r="T23" s="1">
        <v>6</v>
      </c>
      <c r="U23" s="12"/>
      <c r="V23" s="7" t="s">
        <v>293</v>
      </c>
      <c r="W23" s="7" t="s">
        <v>296</v>
      </c>
      <c r="X23" s="1">
        <v>2</v>
      </c>
      <c r="Y23" s="1">
        <v>6</v>
      </c>
      <c r="Z23" s="12"/>
      <c r="AA23" s="7" t="s">
        <v>293</v>
      </c>
      <c r="AB23" s="7" t="s">
        <v>296</v>
      </c>
      <c r="AC23" s="1">
        <v>2</v>
      </c>
      <c r="AD23" s="1">
        <v>6</v>
      </c>
      <c r="AE23" s="12"/>
      <c r="AF23" s="7" t="s">
        <v>295</v>
      </c>
      <c r="AG23" s="7" t="s">
        <v>296</v>
      </c>
      <c r="AH23" s="1">
        <v>5</v>
      </c>
      <c r="AI23" s="1">
        <v>6</v>
      </c>
      <c r="AJ23" s="12"/>
      <c r="AK23" s="7" t="s">
        <v>298</v>
      </c>
      <c r="AL23" s="7" t="s">
        <v>296</v>
      </c>
      <c r="AM23" s="1">
        <v>3</v>
      </c>
      <c r="AN23" s="1">
        <v>6</v>
      </c>
      <c r="AO23" s="12"/>
      <c r="AP23" s="7" t="s">
        <v>291</v>
      </c>
      <c r="AQ23" s="7" t="s">
        <v>296</v>
      </c>
      <c r="AR23" s="1">
        <v>1</v>
      </c>
      <c r="AS23" s="1">
        <v>6</v>
      </c>
      <c r="AT23" s="12"/>
      <c r="AU23" s="7" t="s">
        <v>293</v>
      </c>
      <c r="AV23" s="7" t="s">
        <v>292</v>
      </c>
      <c r="AW23" s="1">
        <v>2</v>
      </c>
      <c r="AX23" s="1">
        <v>5</v>
      </c>
      <c r="AY23" s="12"/>
      <c r="AZ23" s="7" t="s">
        <v>291</v>
      </c>
      <c r="BA23" s="7" t="s">
        <v>296</v>
      </c>
      <c r="BB23" s="1">
        <v>1</v>
      </c>
      <c r="BC23" s="1">
        <v>6</v>
      </c>
      <c r="BD23" s="12"/>
      <c r="BE23" s="7" t="s">
        <v>295</v>
      </c>
      <c r="BF23" s="7" t="s">
        <v>296</v>
      </c>
      <c r="BG23" s="1">
        <v>5</v>
      </c>
      <c r="BH23" s="1">
        <v>6</v>
      </c>
      <c r="BI23" s="12"/>
      <c r="BJ23" s="7" t="s">
        <v>299</v>
      </c>
      <c r="BK23" s="7" t="s">
        <v>292</v>
      </c>
      <c r="BL23" s="1">
        <v>4</v>
      </c>
      <c r="BM23" s="1">
        <v>5</v>
      </c>
      <c r="BN23" s="12"/>
      <c r="BO23" s="7" t="s">
        <v>291</v>
      </c>
      <c r="BP23" s="7" t="s">
        <v>292</v>
      </c>
      <c r="BQ23" s="1">
        <v>1</v>
      </c>
      <c r="BR23" s="1">
        <v>5</v>
      </c>
      <c r="BS23" s="12"/>
      <c r="BT23" s="7" t="s">
        <v>293</v>
      </c>
      <c r="BU23" s="7" t="s">
        <v>296</v>
      </c>
      <c r="BV23" s="1">
        <v>2</v>
      </c>
      <c r="BW23" s="1">
        <v>6</v>
      </c>
      <c r="BX23" s="12"/>
      <c r="BY23" s="7" t="s">
        <v>291</v>
      </c>
      <c r="BZ23" s="7" t="s">
        <v>292</v>
      </c>
      <c r="CA23" s="1">
        <v>1</v>
      </c>
      <c r="CB23" s="1">
        <v>5</v>
      </c>
      <c r="CC23" s="12"/>
      <c r="CD23" s="7" t="s">
        <v>295</v>
      </c>
      <c r="CE23" s="7" t="s">
        <v>292</v>
      </c>
      <c r="CF23" s="1">
        <v>5</v>
      </c>
      <c r="CG23" s="1">
        <v>5</v>
      </c>
      <c r="CH23" s="12"/>
      <c r="CI23" s="7" t="s">
        <v>299</v>
      </c>
      <c r="CJ23" s="7" t="s">
        <v>292</v>
      </c>
      <c r="CK23" s="1">
        <v>4</v>
      </c>
      <c r="CL23" s="1">
        <v>5</v>
      </c>
      <c r="CM23" s="12"/>
      <c r="CN23" s="7" t="s">
        <v>291</v>
      </c>
      <c r="CO23" s="7" t="s">
        <v>292</v>
      </c>
      <c r="CP23" s="1">
        <v>1</v>
      </c>
      <c r="CQ23" s="1">
        <v>5</v>
      </c>
      <c r="CR23" s="12"/>
      <c r="CS23" s="7" t="s">
        <v>293</v>
      </c>
      <c r="CT23" s="7" t="s">
        <v>296</v>
      </c>
      <c r="CU23" s="1">
        <v>2</v>
      </c>
      <c r="CV23" s="1">
        <v>6</v>
      </c>
      <c r="CW23" s="12"/>
      <c r="CX23" s="7" t="s">
        <v>293</v>
      </c>
      <c r="CY23" s="7" t="s">
        <v>292</v>
      </c>
      <c r="CZ23" s="1">
        <v>2</v>
      </c>
      <c r="DA23" s="1">
        <v>5</v>
      </c>
      <c r="DB23" s="12"/>
      <c r="DC23" s="7" t="s">
        <v>298</v>
      </c>
      <c r="DD23" s="7" t="s">
        <v>296</v>
      </c>
      <c r="DE23" s="1">
        <v>3</v>
      </c>
      <c r="DF23" s="1">
        <v>6</v>
      </c>
      <c r="DG23" s="12"/>
      <c r="DH23" s="7" t="s">
        <v>299</v>
      </c>
      <c r="DI23" s="7" t="s">
        <v>292</v>
      </c>
      <c r="DJ23" s="1">
        <v>4</v>
      </c>
      <c r="DK23" s="1">
        <v>5</v>
      </c>
      <c r="DL23" s="12"/>
      <c r="DM23" s="7" t="s">
        <v>291</v>
      </c>
      <c r="DN23" s="7" t="s">
        <v>292</v>
      </c>
      <c r="DO23" s="1">
        <v>1</v>
      </c>
      <c r="DP23" s="1">
        <v>5</v>
      </c>
      <c r="DQ23" s="12"/>
      <c r="DR23" s="7" t="s">
        <v>300</v>
      </c>
      <c r="DS23" s="7" t="s">
        <v>292</v>
      </c>
      <c r="DT23" s="1">
        <v>2</v>
      </c>
      <c r="DU23" s="1">
        <v>5</v>
      </c>
      <c r="DV23" s="12"/>
      <c r="DW23" s="7" t="s">
        <v>301</v>
      </c>
      <c r="DX23" s="7" t="s">
        <v>296</v>
      </c>
      <c r="DY23" s="1">
        <v>5</v>
      </c>
      <c r="DZ23" s="1">
        <v>6</v>
      </c>
      <c r="EA23" s="12"/>
      <c r="EB23" s="7" t="s">
        <v>291</v>
      </c>
      <c r="EC23" s="7" t="s">
        <v>296</v>
      </c>
      <c r="ED23" s="1">
        <v>1</v>
      </c>
      <c r="EE23" s="1">
        <v>6</v>
      </c>
      <c r="EF23" s="12"/>
      <c r="EG23" s="7" t="s">
        <v>300</v>
      </c>
      <c r="EH23" s="7" t="s">
        <v>292</v>
      </c>
      <c r="EI23" s="1">
        <v>2</v>
      </c>
      <c r="EJ23" s="1">
        <v>5</v>
      </c>
      <c r="EK23" s="12"/>
      <c r="EL23" s="7" t="s">
        <v>301</v>
      </c>
      <c r="EM23" s="7" t="s">
        <v>296</v>
      </c>
      <c r="EN23" s="1">
        <v>5</v>
      </c>
      <c r="EO23" s="1">
        <v>6</v>
      </c>
      <c r="EP23" s="12"/>
      <c r="EQ23" s="7" t="s">
        <v>291</v>
      </c>
      <c r="ER23" s="7" t="s">
        <v>292</v>
      </c>
      <c r="ES23" s="1">
        <v>1</v>
      </c>
      <c r="ET23" s="1">
        <v>5</v>
      </c>
      <c r="EU23" s="12"/>
      <c r="EV23" s="7" t="s">
        <v>300</v>
      </c>
      <c r="EW23" s="7" t="s">
        <v>292</v>
      </c>
      <c r="EX23" s="1">
        <v>2</v>
      </c>
      <c r="EY23" s="1">
        <v>5</v>
      </c>
      <c r="EZ23" s="12"/>
      <c r="FA23" s="7" t="s">
        <v>301</v>
      </c>
      <c r="FB23" s="7" t="s">
        <v>292</v>
      </c>
      <c r="FC23" s="1">
        <v>5</v>
      </c>
      <c r="FD23" s="1">
        <v>5</v>
      </c>
      <c r="FE23" s="12"/>
      <c r="FF23" s="7" t="s">
        <v>291</v>
      </c>
      <c r="FG23" s="7" t="s">
        <v>296</v>
      </c>
      <c r="FH23" s="1">
        <v>1</v>
      </c>
      <c r="FI23" s="1">
        <v>6</v>
      </c>
      <c r="FJ23" s="12"/>
      <c r="FK23" s="7" t="s">
        <v>300</v>
      </c>
      <c r="FL23" s="7" t="s">
        <v>292</v>
      </c>
      <c r="FM23" s="1">
        <v>2</v>
      </c>
      <c r="FN23" s="1">
        <v>5</v>
      </c>
      <c r="FO23" s="12"/>
      <c r="FP23" s="7" t="s">
        <v>291</v>
      </c>
      <c r="FQ23" s="7" t="s">
        <v>292</v>
      </c>
      <c r="FR23" s="1">
        <v>1</v>
      </c>
      <c r="FS23" s="1">
        <v>5</v>
      </c>
      <c r="FT23" s="10"/>
      <c r="FU23" s="7" t="s">
        <v>571</v>
      </c>
      <c r="FV23" s="7" t="s">
        <v>572</v>
      </c>
      <c r="FW23" s="7" t="s">
        <v>573</v>
      </c>
      <c r="FX23" s="7" t="s">
        <v>574</v>
      </c>
      <c r="FY23" s="7" t="s">
        <v>575</v>
      </c>
      <c r="FZ23" s="7" t="s">
        <v>576</v>
      </c>
      <c r="GA23" s="7" t="s">
        <v>577</v>
      </c>
      <c r="GB23" s="7" t="s">
        <v>578</v>
      </c>
      <c r="GC23" s="7" t="s">
        <v>579</v>
      </c>
      <c r="GD23" s="7" t="s">
        <v>434</v>
      </c>
      <c r="GE23" s="7" t="s">
        <v>580</v>
      </c>
      <c r="GF23" s="7" t="s">
        <v>282</v>
      </c>
      <c r="GG23" s="7" t="s">
        <v>356</v>
      </c>
      <c r="GH23" s="7" t="s">
        <v>313</v>
      </c>
    </row>
    <row r="24" spans="1:190" x14ac:dyDescent="0.2">
      <c r="A24">
        <v>22</v>
      </c>
      <c r="B24">
        <v>100</v>
      </c>
      <c r="C24">
        <v>1667</v>
      </c>
      <c r="D24" s="7" t="s">
        <v>280</v>
      </c>
      <c r="E24" s="7" t="s">
        <v>359</v>
      </c>
      <c r="F24" s="7" t="s">
        <v>287</v>
      </c>
      <c r="G24" s="4" t="s">
        <v>312</v>
      </c>
      <c r="H24" s="7" t="s">
        <v>288</v>
      </c>
      <c r="I24" s="1">
        <v>5</v>
      </c>
      <c r="J24" s="7" t="s">
        <v>289</v>
      </c>
      <c r="K24" s="1">
        <v>1</v>
      </c>
      <c r="L24" s="7" t="s">
        <v>289</v>
      </c>
      <c r="M24" s="1">
        <v>1</v>
      </c>
      <c r="N24" s="7" t="s">
        <v>289</v>
      </c>
      <c r="O24" s="1">
        <v>1</v>
      </c>
      <c r="P24" s="12"/>
      <c r="Q24" s="7" t="s">
        <v>291</v>
      </c>
      <c r="R24" s="7" t="s">
        <v>292</v>
      </c>
      <c r="S24" s="1">
        <v>1</v>
      </c>
      <c r="T24" s="1">
        <v>5</v>
      </c>
      <c r="U24" s="12"/>
      <c r="V24" s="7" t="s">
        <v>293</v>
      </c>
      <c r="W24" s="7" t="s">
        <v>296</v>
      </c>
      <c r="X24" s="1">
        <v>2</v>
      </c>
      <c r="Y24" s="1">
        <v>6</v>
      </c>
      <c r="Z24" s="12"/>
      <c r="AA24" s="7" t="s">
        <v>293</v>
      </c>
      <c r="AB24" s="7" t="s">
        <v>292</v>
      </c>
      <c r="AC24" s="1">
        <v>2</v>
      </c>
      <c r="AD24" s="1">
        <v>5</v>
      </c>
      <c r="AE24" s="12"/>
      <c r="AF24" s="7" t="s">
        <v>295</v>
      </c>
      <c r="AG24" s="7" t="s">
        <v>296</v>
      </c>
      <c r="AH24" s="1">
        <v>5</v>
      </c>
      <c r="AI24" s="1">
        <v>6</v>
      </c>
      <c r="AJ24" s="12"/>
      <c r="AK24" s="7" t="s">
        <v>295</v>
      </c>
      <c r="AL24" s="7" t="s">
        <v>296</v>
      </c>
      <c r="AM24" s="1">
        <v>5</v>
      </c>
      <c r="AN24" s="1">
        <v>6</v>
      </c>
      <c r="AO24" s="12"/>
      <c r="AP24" s="7" t="s">
        <v>291</v>
      </c>
      <c r="AQ24" s="7" t="s">
        <v>292</v>
      </c>
      <c r="AR24" s="1">
        <v>1</v>
      </c>
      <c r="AS24" s="1">
        <v>5</v>
      </c>
      <c r="AT24" s="12"/>
      <c r="AU24" s="7" t="s">
        <v>299</v>
      </c>
      <c r="AV24" s="7" t="s">
        <v>292</v>
      </c>
      <c r="AW24" s="1">
        <v>4</v>
      </c>
      <c r="AX24" s="1">
        <v>5</v>
      </c>
      <c r="AY24" s="12"/>
      <c r="AZ24" s="7" t="s">
        <v>291</v>
      </c>
      <c r="BA24" s="7" t="s">
        <v>292</v>
      </c>
      <c r="BB24" s="1">
        <v>1</v>
      </c>
      <c r="BC24" s="1">
        <v>5</v>
      </c>
      <c r="BD24" s="12"/>
      <c r="BE24" s="7" t="s">
        <v>295</v>
      </c>
      <c r="BF24" s="7" t="s">
        <v>297</v>
      </c>
      <c r="BG24" s="1">
        <v>5</v>
      </c>
      <c r="BH24" s="1">
        <v>4</v>
      </c>
      <c r="BI24" s="12"/>
      <c r="BJ24" s="7" t="s">
        <v>298</v>
      </c>
      <c r="BK24" s="7" t="s">
        <v>296</v>
      </c>
      <c r="BL24" s="1">
        <v>3</v>
      </c>
      <c r="BM24" s="1">
        <v>6</v>
      </c>
      <c r="BN24" s="12"/>
      <c r="BO24" s="7" t="s">
        <v>291</v>
      </c>
      <c r="BP24" s="7" t="s">
        <v>292</v>
      </c>
      <c r="BQ24" s="1">
        <v>1</v>
      </c>
      <c r="BR24" s="1">
        <v>5</v>
      </c>
      <c r="BS24" s="12"/>
      <c r="BT24" s="7" t="s">
        <v>299</v>
      </c>
      <c r="BU24" s="7" t="s">
        <v>292</v>
      </c>
      <c r="BV24" s="1">
        <v>4</v>
      </c>
      <c r="BW24" s="1">
        <v>5</v>
      </c>
      <c r="BX24" s="12"/>
      <c r="BY24" s="7" t="s">
        <v>299</v>
      </c>
      <c r="BZ24" s="7" t="s">
        <v>292</v>
      </c>
      <c r="CA24" s="1">
        <v>4</v>
      </c>
      <c r="CB24" s="1">
        <v>5</v>
      </c>
      <c r="CC24" s="12"/>
      <c r="CD24" s="7" t="s">
        <v>298</v>
      </c>
      <c r="CE24" s="7" t="s">
        <v>292</v>
      </c>
      <c r="CF24" s="1">
        <v>3</v>
      </c>
      <c r="CG24" s="1">
        <v>5</v>
      </c>
      <c r="CH24" s="12"/>
      <c r="CI24" s="7" t="s">
        <v>298</v>
      </c>
      <c r="CJ24" s="7" t="s">
        <v>296</v>
      </c>
      <c r="CK24" s="1">
        <v>3</v>
      </c>
      <c r="CL24" s="1">
        <v>6</v>
      </c>
      <c r="CM24" s="12"/>
      <c r="CN24" s="7" t="s">
        <v>291</v>
      </c>
      <c r="CO24" s="7" t="s">
        <v>330</v>
      </c>
      <c r="CP24" s="1">
        <v>1</v>
      </c>
      <c r="CQ24" s="1">
        <v>3</v>
      </c>
      <c r="CR24" s="12"/>
      <c r="CS24" s="7" t="s">
        <v>299</v>
      </c>
      <c r="CT24" s="7" t="s">
        <v>292</v>
      </c>
      <c r="CU24" s="1">
        <v>4</v>
      </c>
      <c r="CV24" s="1">
        <v>5</v>
      </c>
      <c r="CW24" s="12"/>
      <c r="CX24" s="7" t="s">
        <v>299</v>
      </c>
      <c r="CY24" s="7" t="s">
        <v>292</v>
      </c>
      <c r="CZ24" s="1">
        <v>4</v>
      </c>
      <c r="DA24" s="1">
        <v>5</v>
      </c>
      <c r="DB24" s="12"/>
      <c r="DC24" s="7" t="s">
        <v>298</v>
      </c>
      <c r="DD24" s="7" t="s">
        <v>292</v>
      </c>
      <c r="DE24" s="1">
        <v>3</v>
      </c>
      <c r="DF24" s="1">
        <v>5</v>
      </c>
      <c r="DG24" s="12"/>
      <c r="DH24" s="7" t="s">
        <v>298</v>
      </c>
      <c r="DI24" s="7" t="s">
        <v>296</v>
      </c>
      <c r="DJ24" s="1">
        <v>3</v>
      </c>
      <c r="DK24" s="1">
        <v>6</v>
      </c>
      <c r="DL24" s="12"/>
      <c r="DM24" s="7" t="s">
        <v>291</v>
      </c>
      <c r="DN24" s="7" t="s">
        <v>292</v>
      </c>
      <c r="DO24" s="1">
        <v>1</v>
      </c>
      <c r="DP24" s="1">
        <v>5</v>
      </c>
      <c r="DQ24" s="12"/>
      <c r="DR24" s="7" t="s">
        <v>300</v>
      </c>
      <c r="DS24" s="7" t="s">
        <v>296</v>
      </c>
      <c r="DT24" s="1">
        <v>2</v>
      </c>
      <c r="DU24" s="1">
        <v>6</v>
      </c>
      <c r="DV24" s="12"/>
      <c r="DW24" s="7" t="s">
        <v>301</v>
      </c>
      <c r="DX24" s="7" t="s">
        <v>296</v>
      </c>
      <c r="DY24" s="1">
        <v>5</v>
      </c>
      <c r="DZ24" s="1">
        <v>6</v>
      </c>
      <c r="EA24" s="12"/>
      <c r="EB24" s="7" t="s">
        <v>291</v>
      </c>
      <c r="EC24" s="7" t="s">
        <v>292</v>
      </c>
      <c r="ED24" s="1">
        <v>1</v>
      </c>
      <c r="EE24" s="1">
        <v>5</v>
      </c>
      <c r="EF24" s="12"/>
      <c r="EG24" s="7" t="s">
        <v>300</v>
      </c>
      <c r="EH24" s="7" t="s">
        <v>294</v>
      </c>
      <c r="EI24" s="1">
        <v>2</v>
      </c>
      <c r="EJ24" s="1">
        <v>7</v>
      </c>
      <c r="EK24" s="12"/>
      <c r="EL24" s="7" t="s">
        <v>301</v>
      </c>
      <c r="EM24" s="7" t="s">
        <v>296</v>
      </c>
      <c r="EN24" s="1">
        <v>5</v>
      </c>
      <c r="EO24" s="1">
        <v>6</v>
      </c>
      <c r="EP24" s="12"/>
      <c r="EQ24" s="7" t="s">
        <v>291</v>
      </c>
      <c r="ER24" s="7" t="s">
        <v>294</v>
      </c>
      <c r="ES24" s="1">
        <v>1</v>
      </c>
      <c r="ET24" s="1">
        <v>7</v>
      </c>
      <c r="EU24" s="12"/>
      <c r="EV24" s="7" t="s">
        <v>300</v>
      </c>
      <c r="EW24" s="7" t="s">
        <v>294</v>
      </c>
      <c r="EX24" s="1">
        <v>2</v>
      </c>
      <c r="EY24" s="1">
        <v>7</v>
      </c>
      <c r="EZ24" s="12"/>
      <c r="FA24" s="7" t="s">
        <v>301</v>
      </c>
      <c r="FB24" s="7" t="s">
        <v>296</v>
      </c>
      <c r="FC24" s="1">
        <v>5</v>
      </c>
      <c r="FD24" s="1">
        <v>6</v>
      </c>
      <c r="FE24" s="12"/>
      <c r="FF24" s="7" t="s">
        <v>291</v>
      </c>
      <c r="FG24" s="7" t="s">
        <v>296</v>
      </c>
      <c r="FH24" s="1">
        <v>1</v>
      </c>
      <c r="FI24" s="1">
        <v>6</v>
      </c>
      <c r="FJ24" s="12"/>
      <c r="FK24" s="7" t="s">
        <v>300</v>
      </c>
      <c r="FL24" s="7" t="s">
        <v>296</v>
      </c>
      <c r="FM24" s="1">
        <v>2</v>
      </c>
      <c r="FN24" s="1">
        <v>6</v>
      </c>
      <c r="FO24" s="12"/>
      <c r="FP24" s="7" t="s">
        <v>301</v>
      </c>
      <c r="FQ24" s="7" t="s">
        <v>292</v>
      </c>
      <c r="FR24" s="1">
        <v>5</v>
      </c>
      <c r="FS24" s="1">
        <v>5</v>
      </c>
      <c r="FT24" s="10"/>
      <c r="FU24" s="7" t="s">
        <v>583</v>
      </c>
      <c r="FV24" s="7" t="s">
        <v>584</v>
      </c>
      <c r="FW24" s="7" t="s">
        <v>585</v>
      </c>
      <c r="FX24" s="7" t="s">
        <v>586</v>
      </c>
      <c r="FY24" s="7" t="s">
        <v>587</v>
      </c>
      <c r="FZ24" s="7" t="s">
        <v>588</v>
      </c>
      <c r="GA24" s="7" t="s">
        <v>589</v>
      </c>
      <c r="GB24" s="7" t="s">
        <v>590</v>
      </c>
      <c r="GC24" s="7" t="s">
        <v>591</v>
      </c>
      <c r="GD24" s="7" t="s">
        <v>592</v>
      </c>
      <c r="GE24" s="7" t="s">
        <v>593</v>
      </c>
      <c r="GF24" s="7" t="s">
        <v>282</v>
      </c>
      <c r="GG24" s="7" t="s">
        <v>356</v>
      </c>
      <c r="GH24" s="7" t="s">
        <v>313</v>
      </c>
    </row>
    <row r="25" spans="1:190" x14ac:dyDescent="0.2">
      <c r="A25">
        <v>23</v>
      </c>
      <c r="B25">
        <v>100</v>
      </c>
      <c r="C25">
        <v>1359</v>
      </c>
      <c r="D25" s="7" t="s">
        <v>280</v>
      </c>
      <c r="E25" s="7" t="s">
        <v>359</v>
      </c>
      <c r="F25" s="7" t="s">
        <v>596</v>
      </c>
      <c r="G25" s="4" t="s">
        <v>1289</v>
      </c>
      <c r="H25" s="7" t="s">
        <v>288</v>
      </c>
      <c r="I25" s="1">
        <v>5</v>
      </c>
      <c r="J25" s="7" t="s">
        <v>289</v>
      </c>
      <c r="K25" s="1">
        <v>1</v>
      </c>
      <c r="L25" s="7" t="s">
        <v>289</v>
      </c>
      <c r="M25" s="1">
        <v>1</v>
      </c>
      <c r="N25" s="7" t="s">
        <v>289</v>
      </c>
      <c r="O25" s="1">
        <v>1</v>
      </c>
      <c r="P25" s="12"/>
      <c r="Q25" s="7" t="s">
        <v>282</v>
      </c>
      <c r="R25" s="7" t="s">
        <v>294</v>
      </c>
      <c r="S25" s="4" t="s">
        <v>282</v>
      </c>
      <c r="T25" s="1">
        <v>7</v>
      </c>
      <c r="U25" s="12"/>
      <c r="V25" s="7" t="s">
        <v>299</v>
      </c>
      <c r="W25" s="7" t="s">
        <v>294</v>
      </c>
      <c r="X25" s="1">
        <v>4</v>
      </c>
      <c r="Y25" s="1">
        <v>7</v>
      </c>
      <c r="Z25" s="12"/>
      <c r="AA25" s="7" t="s">
        <v>299</v>
      </c>
      <c r="AB25" s="7" t="s">
        <v>294</v>
      </c>
      <c r="AC25" s="1">
        <v>4</v>
      </c>
      <c r="AD25" s="1">
        <v>7</v>
      </c>
      <c r="AE25" s="12"/>
      <c r="AF25" s="7" t="s">
        <v>298</v>
      </c>
      <c r="AG25" s="7" t="s">
        <v>296</v>
      </c>
      <c r="AH25" s="1">
        <v>3</v>
      </c>
      <c r="AI25" s="1">
        <v>6</v>
      </c>
      <c r="AJ25" s="12"/>
      <c r="AK25" s="7" t="s">
        <v>298</v>
      </c>
      <c r="AL25" s="7" t="s">
        <v>292</v>
      </c>
      <c r="AM25" s="1">
        <v>3</v>
      </c>
      <c r="AN25" s="1">
        <v>5</v>
      </c>
      <c r="AO25" s="12"/>
      <c r="AP25" s="7" t="s">
        <v>291</v>
      </c>
      <c r="AQ25" s="7" t="s">
        <v>296</v>
      </c>
      <c r="AR25" s="1">
        <v>1</v>
      </c>
      <c r="AS25" s="1">
        <v>6</v>
      </c>
      <c r="AT25" s="12"/>
      <c r="AU25" s="7" t="s">
        <v>293</v>
      </c>
      <c r="AV25" s="7" t="s">
        <v>294</v>
      </c>
      <c r="AW25" s="1">
        <v>2</v>
      </c>
      <c r="AX25" s="1">
        <v>7</v>
      </c>
      <c r="AY25" s="12"/>
      <c r="AZ25" s="7" t="s">
        <v>282</v>
      </c>
      <c r="BA25" s="7" t="s">
        <v>296</v>
      </c>
      <c r="BB25" s="4" t="s">
        <v>282</v>
      </c>
      <c r="BC25" s="1">
        <v>6</v>
      </c>
      <c r="BD25" s="12"/>
      <c r="BE25" s="7" t="s">
        <v>299</v>
      </c>
      <c r="BF25" s="7" t="s">
        <v>294</v>
      </c>
      <c r="BG25" s="1">
        <v>4</v>
      </c>
      <c r="BH25" s="1">
        <v>7</v>
      </c>
      <c r="BI25" s="12"/>
      <c r="BJ25" s="7" t="s">
        <v>293</v>
      </c>
      <c r="BK25" s="7" t="s">
        <v>294</v>
      </c>
      <c r="BL25" s="1">
        <v>2</v>
      </c>
      <c r="BM25" s="1">
        <v>7</v>
      </c>
      <c r="BN25" s="12"/>
      <c r="BO25" s="7" t="s">
        <v>282</v>
      </c>
      <c r="BP25" s="7" t="s">
        <v>296</v>
      </c>
      <c r="BQ25" s="4" t="s">
        <v>282</v>
      </c>
      <c r="BR25" s="1">
        <v>6</v>
      </c>
      <c r="BS25" s="12"/>
      <c r="BT25" s="7" t="s">
        <v>293</v>
      </c>
      <c r="BU25" s="7" t="s">
        <v>296</v>
      </c>
      <c r="BV25" s="1">
        <v>2</v>
      </c>
      <c r="BW25" s="1">
        <v>6</v>
      </c>
      <c r="BX25" s="12"/>
      <c r="BY25" s="7" t="s">
        <v>293</v>
      </c>
      <c r="BZ25" s="7" t="s">
        <v>292</v>
      </c>
      <c r="CA25" s="1">
        <v>2</v>
      </c>
      <c r="CB25" s="1">
        <v>5</v>
      </c>
      <c r="CC25" s="12"/>
      <c r="CD25" s="7" t="s">
        <v>299</v>
      </c>
      <c r="CE25" s="7" t="s">
        <v>296</v>
      </c>
      <c r="CF25" s="1">
        <v>4</v>
      </c>
      <c r="CG25" s="1">
        <v>6</v>
      </c>
      <c r="CH25" s="12"/>
      <c r="CI25" s="7" t="s">
        <v>291</v>
      </c>
      <c r="CJ25" s="7" t="s">
        <v>294</v>
      </c>
      <c r="CK25" s="1">
        <v>1</v>
      </c>
      <c r="CL25" s="1">
        <v>7</v>
      </c>
      <c r="CM25" s="12"/>
      <c r="CN25" s="7" t="s">
        <v>282</v>
      </c>
      <c r="CO25" s="7" t="s">
        <v>294</v>
      </c>
      <c r="CP25" s="4" t="s">
        <v>282</v>
      </c>
      <c r="CQ25" s="1">
        <v>7</v>
      </c>
      <c r="CR25" s="12"/>
      <c r="CS25" s="7" t="s">
        <v>293</v>
      </c>
      <c r="CT25" s="7" t="s">
        <v>294</v>
      </c>
      <c r="CU25" s="1">
        <v>2</v>
      </c>
      <c r="CV25" s="1">
        <v>7</v>
      </c>
      <c r="CW25" s="12"/>
      <c r="CX25" s="7" t="s">
        <v>299</v>
      </c>
      <c r="CY25" s="7" t="s">
        <v>294</v>
      </c>
      <c r="CZ25" s="1">
        <v>4</v>
      </c>
      <c r="DA25" s="1">
        <v>7</v>
      </c>
      <c r="DB25" s="12"/>
      <c r="DC25" s="7" t="s">
        <v>299</v>
      </c>
      <c r="DD25" s="7" t="s">
        <v>296</v>
      </c>
      <c r="DE25" s="1">
        <v>4</v>
      </c>
      <c r="DF25" s="1">
        <v>6</v>
      </c>
      <c r="DG25" s="12"/>
      <c r="DH25" s="7" t="s">
        <v>298</v>
      </c>
      <c r="DI25" s="7" t="s">
        <v>294</v>
      </c>
      <c r="DJ25" s="1">
        <v>3</v>
      </c>
      <c r="DK25" s="1">
        <v>7</v>
      </c>
      <c r="DL25" s="12"/>
      <c r="DM25" s="7" t="s">
        <v>291</v>
      </c>
      <c r="DN25" s="7" t="s">
        <v>294</v>
      </c>
      <c r="DO25" s="1">
        <v>1</v>
      </c>
      <c r="DP25" s="1">
        <v>7</v>
      </c>
      <c r="DQ25" s="12"/>
      <c r="DR25" s="7" t="s">
        <v>300</v>
      </c>
      <c r="DS25" s="7" t="s">
        <v>294</v>
      </c>
      <c r="DT25" s="1">
        <v>2</v>
      </c>
      <c r="DU25" s="1">
        <v>7</v>
      </c>
      <c r="DV25" s="12"/>
      <c r="DW25" s="7" t="s">
        <v>301</v>
      </c>
      <c r="DX25" s="7" t="s">
        <v>294</v>
      </c>
      <c r="DY25" s="1">
        <v>5</v>
      </c>
      <c r="DZ25" s="1">
        <v>7</v>
      </c>
      <c r="EA25" s="12"/>
      <c r="EB25" s="7" t="s">
        <v>291</v>
      </c>
      <c r="EC25" s="7" t="s">
        <v>294</v>
      </c>
      <c r="ED25" s="1">
        <v>1</v>
      </c>
      <c r="EE25" s="1">
        <v>7</v>
      </c>
      <c r="EF25" s="12"/>
      <c r="EG25" s="7" t="s">
        <v>300</v>
      </c>
      <c r="EH25" s="7" t="s">
        <v>294</v>
      </c>
      <c r="EI25" s="1">
        <v>2</v>
      </c>
      <c r="EJ25" s="1">
        <v>7</v>
      </c>
      <c r="EK25" s="12"/>
      <c r="EL25" s="7" t="s">
        <v>301</v>
      </c>
      <c r="EM25" s="7" t="s">
        <v>294</v>
      </c>
      <c r="EN25" s="1">
        <v>5</v>
      </c>
      <c r="EO25" s="1">
        <v>7</v>
      </c>
      <c r="EP25" s="12"/>
      <c r="EQ25" s="7" t="s">
        <v>291</v>
      </c>
      <c r="ER25" s="7" t="s">
        <v>294</v>
      </c>
      <c r="ES25" s="1">
        <v>1</v>
      </c>
      <c r="ET25" s="1">
        <v>7</v>
      </c>
      <c r="EU25" s="12"/>
      <c r="EV25" s="7" t="s">
        <v>300</v>
      </c>
      <c r="EW25" s="7" t="s">
        <v>294</v>
      </c>
      <c r="EX25" s="1">
        <v>2</v>
      </c>
      <c r="EY25" s="1">
        <v>7</v>
      </c>
      <c r="EZ25" s="12"/>
      <c r="FA25" s="7" t="s">
        <v>301</v>
      </c>
      <c r="FB25" s="7" t="s">
        <v>294</v>
      </c>
      <c r="FC25" s="1">
        <v>5</v>
      </c>
      <c r="FD25" s="1">
        <v>7</v>
      </c>
      <c r="FE25" s="12"/>
      <c r="FF25" s="7" t="s">
        <v>291</v>
      </c>
      <c r="FG25" s="7" t="s">
        <v>294</v>
      </c>
      <c r="FH25" s="1">
        <v>1</v>
      </c>
      <c r="FI25" s="1">
        <v>7</v>
      </c>
      <c r="FJ25" s="12"/>
      <c r="FK25" s="7" t="s">
        <v>300</v>
      </c>
      <c r="FL25" s="7" t="s">
        <v>294</v>
      </c>
      <c r="FM25" s="1">
        <v>2</v>
      </c>
      <c r="FN25" s="1">
        <v>7</v>
      </c>
      <c r="FO25" s="12"/>
      <c r="FP25" s="7" t="s">
        <v>291</v>
      </c>
      <c r="FQ25" s="7" t="s">
        <v>296</v>
      </c>
      <c r="FR25" s="1">
        <v>1</v>
      </c>
      <c r="FS25" s="1">
        <v>6</v>
      </c>
      <c r="FT25" s="10"/>
      <c r="FU25" s="7" t="s">
        <v>597</v>
      </c>
      <c r="FV25" s="7" t="s">
        <v>598</v>
      </c>
      <c r="FW25" s="7" t="s">
        <v>599</v>
      </c>
      <c r="FX25" s="7" t="s">
        <v>600</v>
      </c>
      <c r="FY25" s="7" t="s">
        <v>601</v>
      </c>
      <c r="FZ25" s="7" t="s">
        <v>600</v>
      </c>
      <c r="GA25" s="7" t="s">
        <v>602</v>
      </c>
      <c r="GB25" s="7" t="s">
        <v>603</v>
      </c>
      <c r="GC25" s="7" t="s">
        <v>604</v>
      </c>
      <c r="GD25" s="7" t="s">
        <v>605</v>
      </c>
      <c r="GE25" s="7" t="s">
        <v>282</v>
      </c>
      <c r="GF25" s="7" t="s">
        <v>282</v>
      </c>
      <c r="GG25" s="7" t="s">
        <v>372</v>
      </c>
      <c r="GH25" s="7" t="s">
        <v>325</v>
      </c>
    </row>
    <row r="26" spans="1:190" x14ac:dyDescent="0.2">
      <c r="A26">
        <v>24</v>
      </c>
      <c r="B26">
        <v>100</v>
      </c>
      <c r="C26">
        <v>1479</v>
      </c>
      <c r="D26" s="7" t="s">
        <v>280</v>
      </c>
      <c r="E26" s="7" t="s">
        <v>544</v>
      </c>
      <c r="F26" s="7" t="s">
        <v>402</v>
      </c>
      <c r="G26" s="4" t="s">
        <v>1282</v>
      </c>
      <c r="H26" s="7" t="s">
        <v>288</v>
      </c>
      <c r="I26" s="1">
        <v>5</v>
      </c>
      <c r="J26" s="7" t="s">
        <v>289</v>
      </c>
      <c r="K26" s="1">
        <v>1</v>
      </c>
      <c r="L26" s="7" t="s">
        <v>289</v>
      </c>
      <c r="M26" s="1">
        <v>1</v>
      </c>
      <c r="N26" s="7" t="s">
        <v>317</v>
      </c>
      <c r="O26" s="1">
        <v>2</v>
      </c>
      <c r="P26" s="12"/>
      <c r="Q26" s="7" t="s">
        <v>295</v>
      </c>
      <c r="R26" s="7" t="s">
        <v>292</v>
      </c>
      <c r="S26" s="1">
        <v>5</v>
      </c>
      <c r="T26" s="1">
        <v>5</v>
      </c>
      <c r="U26" s="12"/>
      <c r="V26" s="7" t="s">
        <v>299</v>
      </c>
      <c r="W26" s="7" t="s">
        <v>292</v>
      </c>
      <c r="X26" s="1">
        <v>4</v>
      </c>
      <c r="Y26" s="1">
        <v>5</v>
      </c>
      <c r="Z26" s="12"/>
      <c r="AA26" s="7" t="s">
        <v>293</v>
      </c>
      <c r="AB26" s="7" t="s">
        <v>296</v>
      </c>
      <c r="AC26" s="1">
        <v>2</v>
      </c>
      <c r="AD26" s="1">
        <v>6</v>
      </c>
      <c r="AE26" s="12"/>
      <c r="AF26" s="7" t="s">
        <v>299</v>
      </c>
      <c r="AG26" s="7" t="s">
        <v>294</v>
      </c>
      <c r="AH26" s="1">
        <v>4</v>
      </c>
      <c r="AI26" s="1">
        <v>7</v>
      </c>
      <c r="AJ26" s="12"/>
      <c r="AK26" s="7" t="s">
        <v>299</v>
      </c>
      <c r="AL26" s="7" t="s">
        <v>294</v>
      </c>
      <c r="AM26" s="1">
        <v>4</v>
      </c>
      <c r="AN26" s="1">
        <v>7</v>
      </c>
      <c r="AO26" s="12"/>
      <c r="AP26" s="7" t="s">
        <v>295</v>
      </c>
      <c r="AQ26" s="7" t="s">
        <v>292</v>
      </c>
      <c r="AR26" s="1">
        <v>5</v>
      </c>
      <c r="AS26" s="1">
        <v>5</v>
      </c>
      <c r="AT26" s="12"/>
      <c r="AU26" s="7" t="s">
        <v>293</v>
      </c>
      <c r="AV26" s="7" t="s">
        <v>296</v>
      </c>
      <c r="AW26" s="1">
        <v>2</v>
      </c>
      <c r="AX26" s="1">
        <v>6</v>
      </c>
      <c r="AY26" s="12"/>
      <c r="AZ26" s="7" t="s">
        <v>299</v>
      </c>
      <c r="BA26" s="7" t="s">
        <v>292</v>
      </c>
      <c r="BB26" s="1">
        <v>4</v>
      </c>
      <c r="BC26" s="1">
        <v>5</v>
      </c>
      <c r="BD26" s="12"/>
      <c r="BE26" s="7" t="s">
        <v>293</v>
      </c>
      <c r="BF26" s="7" t="s">
        <v>296</v>
      </c>
      <c r="BG26" s="1">
        <v>2</v>
      </c>
      <c r="BH26" s="1">
        <v>6</v>
      </c>
      <c r="BI26" s="12"/>
      <c r="BJ26" s="7" t="s">
        <v>298</v>
      </c>
      <c r="BK26" s="7" t="s">
        <v>296</v>
      </c>
      <c r="BL26" s="1">
        <v>3</v>
      </c>
      <c r="BM26" s="1">
        <v>6</v>
      </c>
      <c r="BN26" s="12"/>
      <c r="BO26" s="7" t="s">
        <v>295</v>
      </c>
      <c r="BP26" s="7" t="s">
        <v>296</v>
      </c>
      <c r="BQ26" s="1">
        <v>5</v>
      </c>
      <c r="BR26" s="1">
        <v>6</v>
      </c>
      <c r="BS26" s="12"/>
      <c r="BT26" s="7" t="s">
        <v>293</v>
      </c>
      <c r="BU26" s="7" t="s">
        <v>292</v>
      </c>
      <c r="BV26" s="1">
        <v>2</v>
      </c>
      <c r="BW26" s="1">
        <v>5</v>
      </c>
      <c r="BX26" s="12"/>
      <c r="BY26" s="7" t="s">
        <v>299</v>
      </c>
      <c r="BZ26" s="7" t="s">
        <v>296</v>
      </c>
      <c r="CA26" s="1">
        <v>4</v>
      </c>
      <c r="CB26" s="1">
        <v>6</v>
      </c>
      <c r="CC26" s="12"/>
      <c r="CD26" s="7" t="s">
        <v>298</v>
      </c>
      <c r="CE26" s="7" t="s">
        <v>296</v>
      </c>
      <c r="CF26" s="1">
        <v>3</v>
      </c>
      <c r="CG26" s="1">
        <v>6</v>
      </c>
      <c r="CH26" s="12"/>
      <c r="CI26" s="7" t="s">
        <v>291</v>
      </c>
      <c r="CJ26" s="7" t="s">
        <v>296</v>
      </c>
      <c r="CK26" s="1">
        <v>1</v>
      </c>
      <c r="CL26" s="1">
        <v>6</v>
      </c>
      <c r="CM26" s="12"/>
      <c r="CN26" s="7" t="s">
        <v>295</v>
      </c>
      <c r="CO26" s="7" t="s">
        <v>292</v>
      </c>
      <c r="CP26" s="1">
        <v>5</v>
      </c>
      <c r="CQ26" s="1">
        <v>5</v>
      </c>
      <c r="CR26" s="12"/>
      <c r="CS26" s="7" t="s">
        <v>293</v>
      </c>
      <c r="CT26" s="7" t="s">
        <v>296</v>
      </c>
      <c r="CU26" s="1">
        <v>2</v>
      </c>
      <c r="CV26" s="1">
        <v>6</v>
      </c>
      <c r="CW26" s="12"/>
      <c r="CX26" s="7" t="s">
        <v>291</v>
      </c>
      <c r="CY26" s="7" t="s">
        <v>296</v>
      </c>
      <c r="CZ26" s="1">
        <v>1</v>
      </c>
      <c r="DA26" s="1">
        <v>6</v>
      </c>
      <c r="DB26" s="12"/>
      <c r="DC26" s="7" t="s">
        <v>298</v>
      </c>
      <c r="DD26" s="7" t="s">
        <v>296</v>
      </c>
      <c r="DE26" s="1">
        <v>3</v>
      </c>
      <c r="DF26" s="1">
        <v>6</v>
      </c>
      <c r="DG26" s="12"/>
      <c r="DH26" s="7" t="s">
        <v>291</v>
      </c>
      <c r="DI26" s="7" t="s">
        <v>296</v>
      </c>
      <c r="DJ26" s="1">
        <v>1</v>
      </c>
      <c r="DK26" s="1">
        <v>6</v>
      </c>
      <c r="DL26" s="12"/>
      <c r="DM26" s="7" t="s">
        <v>301</v>
      </c>
      <c r="DN26" s="7" t="s">
        <v>294</v>
      </c>
      <c r="DO26" s="1">
        <v>5</v>
      </c>
      <c r="DP26" s="1">
        <v>7</v>
      </c>
      <c r="DQ26" s="12"/>
      <c r="DR26" s="7" t="s">
        <v>300</v>
      </c>
      <c r="DS26" s="7" t="s">
        <v>294</v>
      </c>
      <c r="DT26" s="1">
        <v>2</v>
      </c>
      <c r="DU26" s="1">
        <v>7</v>
      </c>
      <c r="DV26" s="12"/>
      <c r="DW26" s="7" t="s">
        <v>300</v>
      </c>
      <c r="DX26" s="7" t="s">
        <v>294</v>
      </c>
      <c r="DY26" s="1">
        <v>2</v>
      </c>
      <c r="DZ26" s="1">
        <v>7</v>
      </c>
      <c r="EA26" s="12"/>
      <c r="EB26" s="7" t="s">
        <v>291</v>
      </c>
      <c r="EC26" s="7" t="s">
        <v>294</v>
      </c>
      <c r="ED26" s="1">
        <v>1</v>
      </c>
      <c r="EE26" s="1">
        <v>7</v>
      </c>
      <c r="EF26" s="12"/>
      <c r="EG26" s="7" t="s">
        <v>300</v>
      </c>
      <c r="EH26" s="7" t="s">
        <v>294</v>
      </c>
      <c r="EI26" s="1">
        <v>2</v>
      </c>
      <c r="EJ26" s="1">
        <v>7</v>
      </c>
      <c r="EK26" s="12"/>
      <c r="EL26" s="7" t="s">
        <v>300</v>
      </c>
      <c r="EM26" s="7" t="s">
        <v>294</v>
      </c>
      <c r="EN26" s="1">
        <v>2</v>
      </c>
      <c r="EO26" s="1">
        <v>7</v>
      </c>
      <c r="EP26" s="12"/>
      <c r="EQ26" s="7" t="s">
        <v>291</v>
      </c>
      <c r="ER26" s="7" t="s">
        <v>294</v>
      </c>
      <c r="ES26" s="1">
        <v>1</v>
      </c>
      <c r="ET26" s="1">
        <v>7</v>
      </c>
      <c r="EU26" s="12"/>
      <c r="EV26" s="7" t="s">
        <v>300</v>
      </c>
      <c r="EW26" s="7" t="s">
        <v>294</v>
      </c>
      <c r="EX26" s="1">
        <v>2</v>
      </c>
      <c r="EY26" s="1">
        <v>7</v>
      </c>
      <c r="EZ26" s="12"/>
      <c r="FA26" s="7" t="s">
        <v>291</v>
      </c>
      <c r="FB26" s="7" t="s">
        <v>294</v>
      </c>
      <c r="FC26" s="1">
        <v>1</v>
      </c>
      <c r="FD26" s="1">
        <v>7</v>
      </c>
      <c r="FE26" s="12"/>
      <c r="FF26" s="7" t="s">
        <v>291</v>
      </c>
      <c r="FG26" s="7" t="s">
        <v>294</v>
      </c>
      <c r="FH26" s="1">
        <v>1</v>
      </c>
      <c r="FI26" s="1">
        <v>7</v>
      </c>
      <c r="FJ26" s="12"/>
      <c r="FK26" s="7" t="s">
        <v>300</v>
      </c>
      <c r="FL26" s="7" t="s">
        <v>294</v>
      </c>
      <c r="FM26" s="1">
        <v>2</v>
      </c>
      <c r="FN26" s="1">
        <v>7</v>
      </c>
      <c r="FO26" s="12"/>
      <c r="FP26" s="7" t="s">
        <v>291</v>
      </c>
      <c r="FQ26" s="7" t="s">
        <v>294</v>
      </c>
      <c r="FR26" s="1">
        <v>1</v>
      </c>
      <c r="FS26" s="1">
        <v>7</v>
      </c>
      <c r="FT26" s="10"/>
      <c r="FU26" s="7" t="s">
        <v>608</v>
      </c>
      <c r="FV26" s="7" t="s">
        <v>609</v>
      </c>
      <c r="FW26" s="7" t="s">
        <v>610</v>
      </c>
      <c r="FX26" s="7" t="s">
        <v>609</v>
      </c>
      <c r="FY26" s="7" t="s">
        <v>611</v>
      </c>
      <c r="FZ26" s="7" t="s">
        <v>612</v>
      </c>
      <c r="GA26" s="7" t="s">
        <v>613</v>
      </c>
      <c r="GB26" s="7" t="s">
        <v>614</v>
      </c>
      <c r="GC26" s="7" t="s">
        <v>615</v>
      </c>
      <c r="GD26" s="7" t="s">
        <v>609</v>
      </c>
      <c r="GE26" s="7" t="s">
        <v>282</v>
      </c>
      <c r="GF26" s="7" t="s">
        <v>282</v>
      </c>
      <c r="GG26" s="7" t="s">
        <v>372</v>
      </c>
      <c r="GH26" s="7" t="s">
        <v>325</v>
      </c>
    </row>
    <row r="27" spans="1:190" x14ac:dyDescent="0.2">
      <c r="A27">
        <v>25</v>
      </c>
      <c r="B27">
        <v>100</v>
      </c>
      <c r="C27">
        <v>765</v>
      </c>
      <c r="D27" s="7" t="s">
        <v>280</v>
      </c>
      <c r="E27" s="7" t="s">
        <v>501</v>
      </c>
      <c r="F27" s="7" t="s">
        <v>618</v>
      </c>
      <c r="G27" s="4" t="s">
        <v>1290</v>
      </c>
      <c r="H27" s="7" t="s">
        <v>288</v>
      </c>
      <c r="I27" s="1">
        <v>5</v>
      </c>
      <c r="J27" s="7" t="s">
        <v>289</v>
      </c>
      <c r="K27" s="1">
        <v>1</v>
      </c>
      <c r="L27" s="7" t="s">
        <v>289</v>
      </c>
      <c r="M27" s="1">
        <v>1</v>
      </c>
      <c r="N27" s="7" t="s">
        <v>289</v>
      </c>
      <c r="O27" s="1">
        <v>1</v>
      </c>
      <c r="P27" s="12"/>
      <c r="Q27" s="7" t="s">
        <v>291</v>
      </c>
      <c r="R27" s="7" t="s">
        <v>292</v>
      </c>
      <c r="S27" s="1">
        <v>1</v>
      </c>
      <c r="T27" s="1">
        <v>5</v>
      </c>
      <c r="U27" s="12"/>
      <c r="V27" s="7" t="s">
        <v>299</v>
      </c>
      <c r="W27" s="7" t="s">
        <v>296</v>
      </c>
      <c r="X27" s="1">
        <v>4</v>
      </c>
      <c r="Y27" s="1">
        <v>6</v>
      </c>
      <c r="Z27" s="12"/>
      <c r="AA27" s="7" t="s">
        <v>293</v>
      </c>
      <c r="AB27" s="7" t="s">
        <v>297</v>
      </c>
      <c r="AC27" s="1">
        <v>2</v>
      </c>
      <c r="AD27" s="1">
        <v>4</v>
      </c>
      <c r="AE27" s="12"/>
      <c r="AF27" s="7" t="s">
        <v>295</v>
      </c>
      <c r="AG27" s="7" t="s">
        <v>296</v>
      </c>
      <c r="AH27" s="1">
        <v>5</v>
      </c>
      <c r="AI27" s="1">
        <v>6</v>
      </c>
      <c r="AJ27" s="12"/>
      <c r="AK27" s="7" t="s">
        <v>295</v>
      </c>
      <c r="AL27" s="7" t="s">
        <v>296</v>
      </c>
      <c r="AM27" s="1">
        <v>5</v>
      </c>
      <c r="AN27" s="1">
        <v>6</v>
      </c>
      <c r="AO27" s="12"/>
      <c r="AP27" s="7" t="s">
        <v>291</v>
      </c>
      <c r="AQ27" s="7" t="s">
        <v>296</v>
      </c>
      <c r="AR27" s="1">
        <v>1</v>
      </c>
      <c r="AS27" s="1">
        <v>6</v>
      </c>
      <c r="AT27" s="12"/>
      <c r="AU27" s="7" t="s">
        <v>299</v>
      </c>
      <c r="AV27" s="7" t="s">
        <v>292</v>
      </c>
      <c r="AW27" s="1">
        <v>4</v>
      </c>
      <c r="AX27" s="1">
        <v>5</v>
      </c>
      <c r="AY27" s="12"/>
      <c r="AZ27" s="7" t="s">
        <v>298</v>
      </c>
      <c r="BA27" s="7" t="s">
        <v>297</v>
      </c>
      <c r="BB27" s="1">
        <v>3</v>
      </c>
      <c r="BC27" s="1">
        <v>4</v>
      </c>
      <c r="BD27" s="12"/>
      <c r="BE27" s="7" t="s">
        <v>295</v>
      </c>
      <c r="BF27" s="7" t="s">
        <v>296</v>
      </c>
      <c r="BG27" s="1">
        <v>5</v>
      </c>
      <c r="BH27" s="1">
        <v>6</v>
      </c>
      <c r="BI27" s="12"/>
      <c r="BJ27" s="7" t="s">
        <v>298</v>
      </c>
      <c r="BK27" s="7" t="s">
        <v>292</v>
      </c>
      <c r="BL27" s="1">
        <v>3</v>
      </c>
      <c r="BM27" s="1">
        <v>5</v>
      </c>
      <c r="BN27" s="12"/>
      <c r="BO27" s="7" t="s">
        <v>291</v>
      </c>
      <c r="BP27" s="7" t="s">
        <v>296</v>
      </c>
      <c r="BQ27" s="1">
        <v>1</v>
      </c>
      <c r="BR27" s="1">
        <v>6</v>
      </c>
      <c r="BS27" s="12"/>
      <c r="BT27" s="7" t="s">
        <v>291</v>
      </c>
      <c r="BU27" s="7" t="s">
        <v>297</v>
      </c>
      <c r="BV27" s="1">
        <v>1</v>
      </c>
      <c r="BW27" s="1">
        <v>4</v>
      </c>
      <c r="BX27" s="12"/>
      <c r="BY27" s="7" t="s">
        <v>295</v>
      </c>
      <c r="BZ27" s="7" t="s">
        <v>296</v>
      </c>
      <c r="CA27" s="1">
        <v>5</v>
      </c>
      <c r="CB27" s="1">
        <v>6</v>
      </c>
      <c r="CC27" s="12"/>
      <c r="CD27" s="7" t="s">
        <v>298</v>
      </c>
      <c r="CE27" s="7" t="s">
        <v>296</v>
      </c>
      <c r="CF27" s="1">
        <v>3</v>
      </c>
      <c r="CG27" s="1">
        <v>6</v>
      </c>
      <c r="CH27" s="12"/>
      <c r="CI27" s="7" t="s">
        <v>298</v>
      </c>
      <c r="CJ27" s="7" t="s">
        <v>296</v>
      </c>
      <c r="CK27" s="1">
        <v>3</v>
      </c>
      <c r="CL27" s="1">
        <v>6</v>
      </c>
      <c r="CM27" s="12"/>
      <c r="CN27" s="7" t="s">
        <v>291</v>
      </c>
      <c r="CO27" s="7" t="s">
        <v>292</v>
      </c>
      <c r="CP27" s="1">
        <v>1</v>
      </c>
      <c r="CQ27" s="1">
        <v>5</v>
      </c>
      <c r="CR27" s="12"/>
      <c r="CS27" s="7" t="s">
        <v>299</v>
      </c>
      <c r="CT27" s="7" t="s">
        <v>292</v>
      </c>
      <c r="CU27" s="1">
        <v>4</v>
      </c>
      <c r="CV27" s="1">
        <v>5</v>
      </c>
      <c r="CW27" s="12"/>
      <c r="CX27" s="7" t="s">
        <v>291</v>
      </c>
      <c r="CY27" s="7" t="s">
        <v>296</v>
      </c>
      <c r="CZ27" s="1">
        <v>1</v>
      </c>
      <c r="DA27" s="1">
        <v>6</v>
      </c>
      <c r="DB27" s="12"/>
      <c r="DC27" s="7" t="s">
        <v>295</v>
      </c>
      <c r="DD27" s="7" t="s">
        <v>296</v>
      </c>
      <c r="DE27" s="1">
        <v>5</v>
      </c>
      <c r="DF27" s="1">
        <v>6</v>
      </c>
      <c r="DG27" s="12"/>
      <c r="DH27" s="7" t="s">
        <v>298</v>
      </c>
      <c r="DI27" s="7" t="s">
        <v>292</v>
      </c>
      <c r="DJ27" s="1">
        <v>3</v>
      </c>
      <c r="DK27" s="1">
        <v>5</v>
      </c>
      <c r="DL27" s="12"/>
      <c r="DM27" s="7" t="s">
        <v>301</v>
      </c>
      <c r="DN27" s="7" t="s">
        <v>296</v>
      </c>
      <c r="DO27" s="1">
        <v>5</v>
      </c>
      <c r="DP27" s="1">
        <v>6</v>
      </c>
      <c r="DQ27" s="12"/>
      <c r="DR27" s="7" t="s">
        <v>619</v>
      </c>
      <c r="DS27" s="7" t="s">
        <v>292</v>
      </c>
      <c r="DT27" s="1">
        <v>1</v>
      </c>
      <c r="DU27" s="1">
        <v>5</v>
      </c>
      <c r="DV27" s="12"/>
      <c r="DW27" s="7" t="s">
        <v>301</v>
      </c>
      <c r="DX27" s="7" t="s">
        <v>296</v>
      </c>
      <c r="DY27" s="1">
        <v>5</v>
      </c>
      <c r="DZ27" s="1">
        <v>6</v>
      </c>
      <c r="EA27" s="12"/>
      <c r="EB27" s="7" t="s">
        <v>291</v>
      </c>
      <c r="EC27" s="7" t="s">
        <v>296</v>
      </c>
      <c r="ED27" s="1">
        <v>1</v>
      </c>
      <c r="EE27" s="1">
        <v>6</v>
      </c>
      <c r="EF27" s="12"/>
      <c r="EG27" s="7" t="s">
        <v>300</v>
      </c>
      <c r="EH27" s="7" t="s">
        <v>296</v>
      </c>
      <c r="EI27" s="1">
        <v>2</v>
      </c>
      <c r="EJ27" s="1">
        <v>6</v>
      </c>
      <c r="EK27" s="12"/>
      <c r="EL27" s="7" t="s">
        <v>301</v>
      </c>
      <c r="EM27" s="7" t="s">
        <v>292</v>
      </c>
      <c r="EN27" s="1">
        <v>5</v>
      </c>
      <c r="EO27" s="1">
        <v>5</v>
      </c>
      <c r="EP27" s="12"/>
      <c r="EQ27" s="7" t="s">
        <v>291</v>
      </c>
      <c r="ER27" s="7" t="s">
        <v>296</v>
      </c>
      <c r="ES27" s="1">
        <v>1</v>
      </c>
      <c r="ET27" s="1">
        <v>6</v>
      </c>
      <c r="EU27" s="12"/>
      <c r="EV27" s="7" t="s">
        <v>300</v>
      </c>
      <c r="EW27" s="7" t="s">
        <v>296</v>
      </c>
      <c r="EX27" s="1">
        <v>2</v>
      </c>
      <c r="EY27" s="1">
        <v>6</v>
      </c>
      <c r="EZ27" s="12"/>
      <c r="FA27" s="7" t="s">
        <v>291</v>
      </c>
      <c r="FB27" s="7" t="s">
        <v>296</v>
      </c>
      <c r="FC27" s="1">
        <v>1</v>
      </c>
      <c r="FD27" s="1">
        <v>6</v>
      </c>
      <c r="FE27" s="12"/>
      <c r="FF27" s="7" t="s">
        <v>291</v>
      </c>
      <c r="FG27" s="7" t="s">
        <v>296</v>
      </c>
      <c r="FH27" s="1">
        <v>1</v>
      </c>
      <c r="FI27" s="1">
        <v>6</v>
      </c>
      <c r="FJ27" s="12"/>
      <c r="FK27" s="7" t="s">
        <v>300</v>
      </c>
      <c r="FL27" s="7" t="s">
        <v>296</v>
      </c>
      <c r="FM27" s="1">
        <v>2</v>
      </c>
      <c r="FN27" s="1">
        <v>6</v>
      </c>
      <c r="FO27" s="12"/>
      <c r="FP27" s="7" t="s">
        <v>301</v>
      </c>
      <c r="FQ27" s="7" t="s">
        <v>296</v>
      </c>
      <c r="FR27" s="1">
        <v>5</v>
      </c>
      <c r="FS27" s="1">
        <v>6</v>
      </c>
      <c r="FT27" s="10"/>
      <c r="FU27" s="7" t="s">
        <v>620</v>
      </c>
      <c r="FV27" s="7" t="s">
        <v>621</v>
      </c>
      <c r="FW27" s="7" t="s">
        <v>622</v>
      </c>
      <c r="FX27" s="7" t="s">
        <v>623</v>
      </c>
      <c r="FY27" s="7" t="s">
        <v>624</v>
      </c>
      <c r="FZ27" s="7" t="s">
        <v>625</v>
      </c>
      <c r="GA27" s="7" t="s">
        <v>566</v>
      </c>
      <c r="GB27" s="7" t="s">
        <v>566</v>
      </c>
      <c r="GC27" s="7" t="s">
        <v>626</v>
      </c>
      <c r="GD27" s="7" t="s">
        <v>627</v>
      </c>
      <c r="GE27" s="7" t="s">
        <v>282</v>
      </c>
      <c r="GF27" s="7" t="s">
        <v>282</v>
      </c>
      <c r="GG27" s="7" t="s">
        <v>356</v>
      </c>
      <c r="GH27" s="7" t="s">
        <v>313</v>
      </c>
    </row>
    <row r="28" spans="1:190" x14ac:dyDescent="0.2">
      <c r="A28">
        <v>26</v>
      </c>
      <c r="B28">
        <v>100</v>
      </c>
      <c r="C28">
        <v>1130</v>
      </c>
      <c r="D28" s="7" t="s">
        <v>280</v>
      </c>
      <c r="E28" s="7" t="s">
        <v>412</v>
      </c>
      <c r="F28" s="7" t="s">
        <v>287</v>
      </c>
      <c r="G28" s="4" t="s">
        <v>312</v>
      </c>
      <c r="H28" s="7" t="s">
        <v>288</v>
      </c>
      <c r="I28" s="1">
        <v>5</v>
      </c>
      <c r="J28" s="7" t="s">
        <v>317</v>
      </c>
      <c r="K28" s="1">
        <v>2</v>
      </c>
      <c r="L28" s="7" t="s">
        <v>289</v>
      </c>
      <c r="M28" s="1">
        <v>1</v>
      </c>
      <c r="N28" s="7" t="s">
        <v>317</v>
      </c>
      <c r="O28" s="1">
        <v>2</v>
      </c>
      <c r="P28" s="12"/>
      <c r="Q28" s="7" t="s">
        <v>291</v>
      </c>
      <c r="R28" s="7" t="s">
        <v>296</v>
      </c>
      <c r="S28" s="1">
        <v>1</v>
      </c>
      <c r="T28" s="1">
        <v>6</v>
      </c>
      <c r="U28" s="12"/>
      <c r="V28" s="7" t="s">
        <v>293</v>
      </c>
      <c r="W28" s="7" t="s">
        <v>296</v>
      </c>
      <c r="X28" s="1">
        <v>2</v>
      </c>
      <c r="Y28" s="1">
        <v>6</v>
      </c>
      <c r="Z28" s="12"/>
      <c r="AA28" s="7" t="s">
        <v>293</v>
      </c>
      <c r="AB28" s="7" t="s">
        <v>296</v>
      </c>
      <c r="AC28" s="1">
        <v>2</v>
      </c>
      <c r="AD28" s="1">
        <v>6</v>
      </c>
      <c r="AE28" s="12"/>
      <c r="AF28" s="7" t="s">
        <v>295</v>
      </c>
      <c r="AG28" s="7" t="s">
        <v>296</v>
      </c>
      <c r="AH28" s="1">
        <v>5</v>
      </c>
      <c r="AI28" s="1">
        <v>6</v>
      </c>
      <c r="AJ28" s="12"/>
      <c r="AK28" s="7" t="s">
        <v>295</v>
      </c>
      <c r="AL28" s="7" t="s">
        <v>296</v>
      </c>
      <c r="AM28" s="1">
        <v>5</v>
      </c>
      <c r="AN28" s="1">
        <v>6</v>
      </c>
      <c r="AO28" s="12"/>
      <c r="AP28" s="7" t="s">
        <v>291</v>
      </c>
      <c r="AQ28" s="7" t="s">
        <v>296</v>
      </c>
      <c r="AR28" s="1">
        <v>1</v>
      </c>
      <c r="AS28" s="1">
        <v>6</v>
      </c>
      <c r="AT28" s="12"/>
      <c r="AU28" s="7" t="s">
        <v>293</v>
      </c>
      <c r="AV28" s="7" t="s">
        <v>292</v>
      </c>
      <c r="AW28" s="1">
        <v>2</v>
      </c>
      <c r="AX28" s="1">
        <v>5</v>
      </c>
      <c r="AY28" s="12"/>
      <c r="AZ28" s="7" t="s">
        <v>299</v>
      </c>
      <c r="BA28" s="7" t="s">
        <v>292</v>
      </c>
      <c r="BB28" s="1">
        <v>4</v>
      </c>
      <c r="BC28" s="1">
        <v>5</v>
      </c>
      <c r="BD28" s="12"/>
      <c r="BE28" s="7" t="s">
        <v>295</v>
      </c>
      <c r="BF28" s="7" t="s">
        <v>296</v>
      </c>
      <c r="BG28" s="1">
        <v>5</v>
      </c>
      <c r="BH28" s="1">
        <v>6</v>
      </c>
      <c r="BI28" s="12"/>
      <c r="BJ28" s="7" t="s">
        <v>298</v>
      </c>
      <c r="BK28" s="7" t="s">
        <v>292</v>
      </c>
      <c r="BL28" s="1">
        <v>3</v>
      </c>
      <c r="BM28" s="1">
        <v>5</v>
      </c>
      <c r="BN28" s="12"/>
      <c r="BO28" s="7" t="s">
        <v>291</v>
      </c>
      <c r="BP28" s="7" t="s">
        <v>296</v>
      </c>
      <c r="BQ28" s="1">
        <v>1</v>
      </c>
      <c r="BR28" s="1">
        <v>6</v>
      </c>
      <c r="BS28" s="12"/>
      <c r="BT28" s="7" t="s">
        <v>293</v>
      </c>
      <c r="BU28" s="7" t="s">
        <v>292</v>
      </c>
      <c r="BV28" s="1">
        <v>2</v>
      </c>
      <c r="BW28" s="1">
        <v>5</v>
      </c>
      <c r="BX28" s="12"/>
      <c r="BY28" s="7" t="s">
        <v>299</v>
      </c>
      <c r="BZ28" s="7" t="s">
        <v>297</v>
      </c>
      <c r="CA28" s="1">
        <v>4</v>
      </c>
      <c r="CB28" s="1">
        <v>4</v>
      </c>
      <c r="CC28" s="12"/>
      <c r="CD28" s="7" t="s">
        <v>295</v>
      </c>
      <c r="CE28" s="7" t="s">
        <v>296</v>
      </c>
      <c r="CF28" s="1">
        <v>5</v>
      </c>
      <c r="CG28" s="1">
        <v>6</v>
      </c>
      <c r="CH28" s="12"/>
      <c r="CI28" s="7" t="s">
        <v>298</v>
      </c>
      <c r="CJ28" s="7" t="s">
        <v>296</v>
      </c>
      <c r="CK28" s="1">
        <v>3</v>
      </c>
      <c r="CL28" s="1">
        <v>6</v>
      </c>
      <c r="CM28" s="12"/>
      <c r="CN28" s="7" t="s">
        <v>291</v>
      </c>
      <c r="CO28" s="7" t="s">
        <v>296</v>
      </c>
      <c r="CP28" s="1">
        <v>1</v>
      </c>
      <c r="CQ28" s="1">
        <v>6</v>
      </c>
      <c r="CR28" s="12"/>
      <c r="CS28" s="7" t="s">
        <v>293</v>
      </c>
      <c r="CT28" s="7" t="s">
        <v>292</v>
      </c>
      <c r="CU28" s="1">
        <v>2</v>
      </c>
      <c r="CV28" s="1">
        <v>5</v>
      </c>
      <c r="CW28" s="12"/>
      <c r="CX28" s="7" t="s">
        <v>299</v>
      </c>
      <c r="CY28" s="7" t="s">
        <v>296</v>
      </c>
      <c r="CZ28" s="1">
        <v>4</v>
      </c>
      <c r="DA28" s="1">
        <v>6</v>
      </c>
      <c r="DB28" s="12"/>
      <c r="DC28" s="7" t="s">
        <v>295</v>
      </c>
      <c r="DD28" s="7" t="s">
        <v>296</v>
      </c>
      <c r="DE28" s="1">
        <v>5</v>
      </c>
      <c r="DF28" s="1">
        <v>6</v>
      </c>
      <c r="DG28" s="12"/>
      <c r="DH28" s="7" t="s">
        <v>298</v>
      </c>
      <c r="DI28" s="7" t="s">
        <v>296</v>
      </c>
      <c r="DJ28" s="1">
        <v>3</v>
      </c>
      <c r="DK28" s="1">
        <v>6</v>
      </c>
      <c r="DL28" s="12"/>
      <c r="DM28" s="7" t="s">
        <v>291</v>
      </c>
      <c r="DN28" s="7" t="s">
        <v>296</v>
      </c>
      <c r="DO28" s="1">
        <v>1</v>
      </c>
      <c r="DP28" s="1">
        <v>6</v>
      </c>
      <c r="DQ28" s="12"/>
      <c r="DR28" s="7" t="s">
        <v>300</v>
      </c>
      <c r="DS28" s="7" t="s">
        <v>292</v>
      </c>
      <c r="DT28" s="1">
        <v>2</v>
      </c>
      <c r="DU28" s="1">
        <v>5</v>
      </c>
      <c r="DV28" s="12"/>
      <c r="DW28" s="7" t="s">
        <v>301</v>
      </c>
      <c r="DX28" s="7" t="s">
        <v>292</v>
      </c>
      <c r="DY28" s="1">
        <v>5</v>
      </c>
      <c r="DZ28" s="1">
        <v>5</v>
      </c>
      <c r="EA28" s="12"/>
      <c r="EB28" s="7" t="s">
        <v>291</v>
      </c>
      <c r="EC28" s="7" t="s">
        <v>296</v>
      </c>
      <c r="ED28" s="1">
        <v>1</v>
      </c>
      <c r="EE28" s="1">
        <v>6</v>
      </c>
      <c r="EF28" s="12"/>
      <c r="EG28" s="7" t="s">
        <v>300</v>
      </c>
      <c r="EH28" s="7" t="s">
        <v>296</v>
      </c>
      <c r="EI28" s="1">
        <v>2</v>
      </c>
      <c r="EJ28" s="1">
        <v>6</v>
      </c>
      <c r="EK28" s="12"/>
      <c r="EL28" s="7" t="s">
        <v>301</v>
      </c>
      <c r="EM28" s="7" t="s">
        <v>296</v>
      </c>
      <c r="EN28" s="1">
        <v>5</v>
      </c>
      <c r="EO28" s="1">
        <v>6</v>
      </c>
      <c r="EP28" s="12"/>
      <c r="EQ28" s="7" t="s">
        <v>291</v>
      </c>
      <c r="ER28" s="7" t="s">
        <v>296</v>
      </c>
      <c r="ES28" s="1">
        <v>1</v>
      </c>
      <c r="ET28" s="1">
        <v>6</v>
      </c>
      <c r="EU28" s="12"/>
      <c r="EV28" s="7" t="s">
        <v>300</v>
      </c>
      <c r="EW28" s="7" t="s">
        <v>294</v>
      </c>
      <c r="EX28" s="1">
        <v>2</v>
      </c>
      <c r="EY28" s="1">
        <v>7</v>
      </c>
      <c r="EZ28" s="12"/>
      <c r="FA28" s="7" t="s">
        <v>301</v>
      </c>
      <c r="FB28" s="7" t="s">
        <v>296</v>
      </c>
      <c r="FC28" s="1">
        <v>5</v>
      </c>
      <c r="FD28" s="1">
        <v>6</v>
      </c>
      <c r="FE28" s="12"/>
      <c r="FF28" s="7" t="s">
        <v>291</v>
      </c>
      <c r="FG28" s="7" t="s">
        <v>296</v>
      </c>
      <c r="FH28" s="1">
        <v>1</v>
      </c>
      <c r="FI28" s="1">
        <v>6</v>
      </c>
      <c r="FJ28" s="12"/>
      <c r="FK28" s="7" t="s">
        <v>300</v>
      </c>
      <c r="FL28" s="7" t="s">
        <v>296</v>
      </c>
      <c r="FM28" s="1">
        <v>2</v>
      </c>
      <c r="FN28" s="1">
        <v>6</v>
      </c>
      <c r="FO28" s="12"/>
      <c r="FP28" s="7" t="s">
        <v>300</v>
      </c>
      <c r="FQ28" s="7" t="s">
        <v>297</v>
      </c>
      <c r="FR28" s="1">
        <v>2</v>
      </c>
      <c r="FS28" s="1">
        <v>4</v>
      </c>
      <c r="FT28" s="10"/>
      <c r="FU28" s="7" t="s">
        <v>629</v>
      </c>
      <c r="FV28" s="7" t="s">
        <v>630</v>
      </c>
      <c r="FW28" s="7" t="s">
        <v>631</v>
      </c>
      <c r="FX28" s="7" t="s">
        <v>632</v>
      </c>
      <c r="FY28" s="7" t="s">
        <v>633</v>
      </c>
      <c r="FZ28" s="7" t="s">
        <v>634</v>
      </c>
      <c r="GA28" s="7" t="s">
        <v>635</v>
      </c>
      <c r="GB28" s="7" t="s">
        <v>636</v>
      </c>
      <c r="GC28" s="7" t="s">
        <v>637</v>
      </c>
      <c r="GD28" s="7" t="s">
        <v>638</v>
      </c>
      <c r="GE28" s="7" t="s">
        <v>639</v>
      </c>
      <c r="GF28" s="7" t="s">
        <v>282</v>
      </c>
      <c r="GG28" s="7" t="s">
        <v>356</v>
      </c>
      <c r="GH28" s="7" t="s">
        <v>313</v>
      </c>
    </row>
    <row r="29" spans="1:190" x14ac:dyDescent="0.2">
      <c r="A29">
        <v>27</v>
      </c>
      <c r="B29">
        <v>100</v>
      </c>
      <c r="C29">
        <v>1037</v>
      </c>
      <c r="D29" s="7" t="s">
        <v>280</v>
      </c>
      <c r="E29" s="7" t="s">
        <v>286</v>
      </c>
      <c r="F29" s="7" t="s">
        <v>642</v>
      </c>
      <c r="G29" s="4" t="s">
        <v>1291</v>
      </c>
      <c r="H29" s="7" t="s">
        <v>288</v>
      </c>
      <c r="I29" s="1">
        <v>5</v>
      </c>
      <c r="J29" s="7" t="s">
        <v>329</v>
      </c>
      <c r="K29" s="1">
        <v>3</v>
      </c>
      <c r="L29" s="7" t="s">
        <v>289</v>
      </c>
      <c r="M29" s="1">
        <v>1</v>
      </c>
      <c r="N29" s="7" t="s">
        <v>317</v>
      </c>
      <c r="O29" s="1">
        <v>2</v>
      </c>
      <c r="P29" s="12"/>
      <c r="Q29" s="7" t="s">
        <v>291</v>
      </c>
      <c r="R29" s="7" t="s">
        <v>294</v>
      </c>
      <c r="S29" s="1">
        <v>1</v>
      </c>
      <c r="T29" s="1">
        <v>7</v>
      </c>
      <c r="U29" s="12"/>
      <c r="V29" s="7" t="s">
        <v>299</v>
      </c>
      <c r="W29" s="7" t="s">
        <v>294</v>
      </c>
      <c r="X29" s="1">
        <v>4</v>
      </c>
      <c r="Y29" s="1">
        <v>7</v>
      </c>
      <c r="Z29" s="12"/>
      <c r="AA29" s="7" t="s">
        <v>299</v>
      </c>
      <c r="AB29" s="7" t="s">
        <v>294</v>
      </c>
      <c r="AC29" s="1">
        <v>4</v>
      </c>
      <c r="AD29" s="1">
        <v>7</v>
      </c>
      <c r="AE29" s="12"/>
      <c r="AF29" s="7" t="s">
        <v>299</v>
      </c>
      <c r="AG29" s="7" t="s">
        <v>330</v>
      </c>
      <c r="AH29" s="1">
        <v>4</v>
      </c>
      <c r="AI29" s="1">
        <v>3</v>
      </c>
      <c r="AJ29" s="12"/>
      <c r="AK29" s="7" t="s">
        <v>299</v>
      </c>
      <c r="AL29" s="7" t="s">
        <v>330</v>
      </c>
      <c r="AM29" s="1">
        <v>4</v>
      </c>
      <c r="AN29" s="1">
        <v>3</v>
      </c>
      <c r="AO29" s="12"/>
      <c r="AP29" s="7" t="s">
        <v>291</v>
      </c>
      <c r="AQ29" s="7" t="s">
        <v>296</v>
      </c>
      <c r="AR29" s="1">
        <v>1</v>
      </c>
      <c r="AS29" s="1">
        <v>6</v>
      </c>
      <c r="AT29" s="12"/>
      <c r="AU29" s="7" t="s">
        <v>299</v>
      </c>
      <c r="AV29" s="7" t="s">
        <v>296</v>
      </c>
      <c r="AW29" s="1">
        <v>4</v>
      </c>
      <c r="AX29" s="1">
        <v>6</v>
      </c>
      <c r="AY29" s="12"/>
      <c r="AZ29" s="7" t="s">
        <v>293</v>
      </c>
      <c r="BA29" s="7" t="s">
        <v>296</v>
      </c>
      <c r="BB29" s="1">
        <v>2</v>
      </c>
      <c r="BC29" s="1">
        <v>6</v>
      </c>
      <c r="BD29" s="12"/>
      <c r="BE29" s="7" t="s">
        <v>299</v>
      </c>
      <c r="BF29" s="7" t="s">
        <v>297</v>
      </c>
      <c r="BG29" s="1">
        <v>4</v>
      </c>
      <c r="BH29" s="1">
        <v>4</v>
      </c>
      <c r="BI29" s="12"/>
      <c r="BJ29" s="7" t="s">
        <v>298</v>
      </c>
      <c r="BK29" s="7" t="s">
        <v>292</v>
      </c>
      <c r="BL29" s="1">
        <v>3</v>
      </c>
      <c r="BM29" s="1">
        <v>5</v>
      </c>
      <c r="BN29" s="12"/>
      <c r="BO29" s="7" t="s">
        <v>291</v>
      </c>
      <c r="BP29" s="7" t="s">
        <v>292</v>
      </c>
      <c r="BQ29" s="1">
        <v>1</v>
      </c>
      <c r="BR29" s="1">
        <v>5</v>
      </c>
      <c r="BS29" s="12"/>
      <c r="BT29" s="7" t="s">
        <v>299</v>
      </c>
      <c r="BU29" s="7" t="s">
        <v>294</v>
      </c>
      <c r="BV29" s="1">
        <v>4</v>
      </c>
      <c r="BW29" s="1">
        <v>7</v>
      </c>
      <c r="BX29" s="12"/>
      <c r="BY29" s="7" t="s">
        <v>291</v>
      </c>
      <c r="BZ29" s="7" t="s">
        <v>330</v>
      </c>
      <c r="CA29" s="1">
        <v>1</v>
      </c>
      <c r="CB29" s="1">
        <v>3</v>
      </c>
      <c r="CC29" s="12"/>
      <c r="CD29" s="7" t="s">
        <v>291</v>
      </c>
      <c r="CE29" s="7" t="s">
        <v>292</v>
      </c>
      <c r="CF29" s="1">
        <v>1</v>
      </c>
      <c r="CG29" s="1">
        <v>5</v>
      </c>
      <c r="CH29" s="12"/>
      <c r="CI29" s="7" t="s">
        <v>298</v>
      </c>
      <c r="CJ29" s="7" t="s">
        <v>296</v>
      </c>
      <c r="CK29" s="1">
        <v>3</v>
      </c>
      <c r="CL29" s="1">
        <v>6</v>
      </c>
      <c r="CM29" s="12"/>
      <c r="CN29" s="7" t="s">
        <v>291</v>
      </c>
      <c r="CO29" s="7" t="s">
        <v>296</v>
      </c>
      <c r="CP29" s="1">
        <v>1</v>
      </c>
      <c r="CQ29" s="1">
        <v>6</v>
      </c>
      <c r="CR29" s="12"/>
      <c r="CS29" s="7" t="s">
        <v>299</v>
      </c>
      <c r="CT29" s="7" t="s">
        <v>294</v>
      </c>
      <c r="CU29" s="1">
        <v>4</v>
      </c>
      <c r="CV29" s="1">
        <v>7</v>
      </c>
      <c r="CW29" s="12"/>
      <c r="CX29" s="7" t="s">
        <v>299</v>
      </c>
      <c r="CY29" s="7" t="s">
        <v>296</v>
      </c>
      <c r="CZ29" s="1">
        <v>4</v>
      </c>
      <c r="DA29" s="1">
        <v>6</v>
      </c>
      <c r="DB29" s="12"/>
      <c r="DC29" s="7" t="s">
        <v>291</v>
      </c>
      <c r="DD29" s="7" t="s">
        <v>292</v>
      </c>
      <c r="DE29" s="1">
        <v>1</v>
      </c>
      <c r="DF29" s="1">
        <v>5</v>
      </c>
      <c r="DG29" s="12"/>
      <c r="DH29" s="7" t="s">
        <v>298</v>
      </c>
      <c r="DI29" s="7" t="s">
        <v>292</v>
      </c>
      <c r="DJ29" s="1">
        <v>3</v>
      </c>
      <c r="DK29" s="1">
        <v>5</v>
      </c>
      <c r="DL29" s="12"/>
      <c r="DM29" s="7" t="s">
        <v>291</v>
      </c>
      <c r="DN29" s="7" t="s">
        <v>294</v>
      </c>
      <c r="DO29" s="1">
        <v>1</v>
      </c>
      <c r="DP29" s="1">
        <v>7</v>
      </c>
      <c r="DQ29" s="12"/>
      <c r="DR29" s="7" t="s">
        <v>300</v>
      </c>
      <c r="DS29" s="7" t="s">
        <v>294</v>
      </c>
      <c r="DT29" s="1">
        <v>2</v>
      </c>
      <c r="DU29" s="1">
        <v>7</v>
      </c>
      <c r="DV29" s="12"/>
      <c r="DW29" s="7" t="s">
        <v>300</v>
      </c>
      <c r="DX29" s="7" t="s">
        <v>294</v>
      </c>
      <c r="DY29" s="1">
        <v>2</v>
      </c>
      <c r="DZ29" s="1">
        <v>7</v>
      </c>
      <c r="EA29" s="12"/>
      <c r="EB29" s="7" t="s">
        <v>291</v>
      </c>
      <c r="EC29" s="7" t="s">
        <v>296</v>
      </c>
      <c r="ED29" s="1">
        <v>1</v>
      </c>
      <c r="EE29" s="1">
        <v>6</v>
      </c>
      <c r="EF29" s="12"/>
      <c r="EG29" s="7" t="s">
        <v>300</v>
      </c>
      <c r="EH29" s="7" t="s">
        <v>294</v>
      </c>
      <c r="EI29" s="1">
        <v>2</v>
      </c>
      <c r="EJ29" s="1">
        <v>7</v>
      </c>
      <c r="EK29" s="12"/>
      <c r="EL29" s="7" t="s">
        <v>300</v>
      </c>
      <c r="EM29" s="7" t="s">
        <v>297</v>
      </c>
      <c r="EN29" s="1">
        <v>2</v>
      </c>
      <c r="EO29" s="1">
        <v>4</v>
      </c>
      <c r="EP29" s="12"/>
      <c r="EQ29" s="7" t="s">
        <v>291</v>
      </c>
      <c r="ER29" s="7" t="s">
        <v>294</v>
      </c>
      <c r="ES29" s="1">
        <v>1</v>
      </c>
      <c r="ET29" s="1">
        <v>7</v>
      </c>
      <c r="EU29" s="12"/>
      <c r="EV29" s="7" t="s">
        <v>300</v>
      </c>
      <c r="EW29" s="7" t="s">
        <v>294</v>
      </c>
      <c r="EX29" s="1">
        <v>2</v>
      </c>
      <c r="EY29" s="1">
        <v>7</v>
      </c>
      <c r="EZ29" s="12"/>
      <c r="FA29" s="7" t="s">
        <v>291</v>
      </c>
      <c r="FB29" s="7" t="s">
        <v>297</v>
      </c>
      <c r="FC29" s="1">
        <v>1</v>
      </c>
      <c r="FD29" s="1">
        <v>4</v>
      </c>
      <c r="FE29" s="12"/>
      <c r="FF29" s="7" t="s">
        <v>291</v>
      </c>
      <c r="FG29" s="7" t="s">
        <v>294</v>
      </c>
      <c r="FH29" s="1">
        <v>1</v>
      </c>
      <c r="FI29" s="1">
        <v>7</v>
      </c>
      <c r="FJ29" s="12"/>
      <c r="FK29" s="7" t="s">
        <v>300</v>
      </c>
      <c r="FL29" s="7" t="s">
        <v>294</v>
      </c>
      <c r="FM29" s="1">
        <v>2</v>
      </c>
      <c r="FN29" s="1">
        <v>7</v>
      </c>
      <c r="FO29" s="12"/>
      <c r="FP29" s="7" t="s">
        <v>291</v>
      </c>
      <c r="FQ29" s="7" t="s">
        <v>294</v>
      </c>
      <c r="FR29" s="1">
        <v>1</v>
      </c>
      <c r="FS29" s="1">
        <v>7</v>
      </c>
      <c r="FT29" s="10"/>
      <c r="FU29" s="7" t="s">
        <v>643</v>
      </c>
      <c r="FV29" s="7" t="s">
        <v>644</v>
      </c>
      <c r="FW29" s="7" t="s">
        <v>645</v>
      </c>
      <c r="FX29" s="7" t="s">
        <v>646</v>
      </c>
      <c r="FY29" s="7" t="s">
        <v>647</v>
      </c>
      <c r="FZ29" s="7" t="s">
        <v>646</v>
      </c>
      <c r="GA29" s="7" t="s">
        <v>648</v>
      </c>
      <c r="GB29" s="7" t="s">
        <v>649</v>
      </c>
      <c r="GC29" s="7" t="s">
        <v>650</v>
      </c>
      <c r="GD29" s="7" t="s">
        <v>646</v>
      </c>
      <c r="GE29" s="7" t="s">
        <v>651</v>
      </c>
      <c r="GF29" s="7" t="s">
        <v>282</v>
      </c>
      <c r="GG29" s="7" t="s">
        <v>372</v>
      </c>
      <c r="GH29" s="7" t="s">
        <v>325</v>
      </c>
    </row>
    <row r="30" spans="1:190" x14ac:dyDescent="0.2">
      <c r="A30">
        <v>28</v>
      </c>
      <c r="B30">
        <v>100</v>
      </c>
      <c r="C30">
        <v>1490</v>
      </c>
      <c r="D30" s="7" t="s">
        <v>280</v>
      </c>
      <c r="E30" s="7" t="s">
        <v>412</v>
      </c>
      <c r="F30" s="7" t="s">
        <v>375</v>
      </c>
      <c r="G30" s="4" t="s">
        <v>497</v>
      </c>
      <c r="H30" s="7" t="s">
        <v>288</v>
      </c>
      <c r="I30" s="1">
        <v>5</v>
      </c>
      <c r="J30" s="7" t="s">
        <v>289</v>
      </c>
      <c r="K30" s="1">
        <v>1</v>
      </c>
      <c r="L30" s="7" t="s">
        <v>317</v>
      </c>
      <c r="M30" s="1">
        <v>2</v>
      </c>
      <c r="N30" s="7" t="s">
        <v>289</v>
      </c>
      <c r="O30" s="1">
        <v>1</v>
      </c>
      <c r="P30" s="12"/>
      <c r="Q30" s="7" t="s">
        <v>291</v>
      </c>
      <c r="R30" s="7" t="s">
        <v>296</v>
      </c>
      <c r="S30" s="1">
        <v>1</v>
      </c>
      <c r="T30" s="1">
        <v>6</v>
      </c>
      <c r="U30" s="12"/>
      <c r="V30" s="7" t="s">
        <v>293</v>
      </c>
      <c r="W30" s="7" t="s">
        <v>296</v>
      </c>
      <c r="X30" s="1">
        <v>2</v>
      </c>
      <c r="Y30" s="1">
        <v>6</v>
      </c>
      <c r="Z30" s="12"/>
      <c r="AA30" s="7" t="s">
        <v>293</v>
      </c>
      <c r="AB30" s="7" t="s">
        <v>292</v>
      </c>
      <c r="AC30" s="1">
        <v>2</v>
      </c>
      <c r="AD30" s="1">
        <v>5</v>
      </c>
      <c r="AE30" s="12"/>
      <c r="AF30" s="7" t="s">
        <v>295</v>
      </c>
      <c r="AG30" s="7" t="s">
        <v>296</v>
      </c>
      <c r="AH30" s="1">
        <v>5</v>
      </c>
      <c r="AI30" s="1">
        <v>6</v>
      </c>
      <c r="AJ30" s="12"/>
      <c r="AK30" s="7" t="s">
        <v>295</v>
      </c>
      <c r="AL30" s="7" t="s">
        <v>292</v>
      </c>
      <c r="AM30" s="1">
        <v>5</v>
      </c>
      <c r="AN30" s="1">
        <v>5</v>
      </c>
      <c r="AO30" s="12"/>
      <c r="AP30" s="7" t="s">
        <v>291</v>
      </c>
      <c r="AQ30" s="7" t="s">
        <v>296</v>
      </c>
      <c r="AR30" s="1">
        <v>1</v>
      </c>
      <c r="AS30" s="1">
        <v>6</v>
      </c>
      <c r="AT30" s="12"/>
      <c r="AU30" s="7" t="s">
        <v>293</v>
      </c>
      <c r="AV30" s="7" t="s">
        <v>296</v>
      </c>
      <c r="AW30" s="1">
        <v>2</v>
      </c>
      <c r="AX30" s="1">
        <v>6</v>
      </c>
      <c r="AY30" s="12"/>
      <c r="AZ30" s="7" t="s">
        <v>291</v>
      </c>
      <c r="BA30" s="7" t="s">
        <v>296</v>
      </c>
      <c r="BB30" s="1">
        <v>1</v>
      </c>
      <c r="BC30" s="1">
        <v>6</v>
      </c>
      <c r="BD30" s="12"/>
      <c r="BE30" s="7" t="s">
        <v>295</v>
      </c>
      <c r="BF30" s="7" t="s">
        <v>296</v>
      </c>
      <c r="BG30" s="1">
        <v>5</v>
      </c>
      <c r="BH30" s="1">
        <v>6</v>
      </c>
      <c r="BI30" s="12"/>
      <c r="BJ30" s="7" t="s">
        <v>298</v>
      </c>
      <c r="BK30" s="7" t="s">
        <v>296</v>
      </c>
      <c r="BL30" s="1">
        <v>3</v>
      </c>
      <c r="BM30" s="1">
        <v>6</v>
      </c>
      <c r="BN30" s="12"/>
      <c r="BO30" s="7" t="s">
        <v>291</v>
      </c>
      <c r="BP30" s="7" t="s">
        <v>292</v>
      </c>
      <c r="BQ30" s="1">
        <v>1</v>
      </c>
      <c r="BR30" s="1">
        <v>5</v>
      </c>
      <c r="BS30" s="12"/>
      <c r="BT30" s="7" t="s">
        <v>293</v>
      </c>
      <c r="BU30" s="7" t="s">
        <v>296</v>
      </c>
      <c r="BV30" s="1">
        <v>2</v>
      </c>
      <c r="BW30" s="1">
        <v>6</v>
      </c>
      <c r="BX30" s="12"/>
      <c r="BY30" s="7" t="s">
        <v>291</v>
      </c>
      <c r="BZ30" s="7" t="s">
        <v>296</v>
      </c>
      <c r="CA30" s="1">
        <v>1</v>
      </c>
      <c r="CB30" s="1">
        <v>6</v>
      </c>
      <c r="CC30" s="12"/>
      <c r="CD30" s="7" t="s">
        <v>295</v>
      </c>
      <c r="CE30" s="7" t="s">
        <v>296</v>
      </c>
      <c r="CF30" s="1">
        <v>5</v>
      </c>
      <c r="CG30" s="1">
        <v>6</v>
      </c>
      <c r="CH30" s="12"/>
      <c r="CI30" s="7" t="s">
        <v>298</v>
      </c>
      <c r="CJ30" s="7" t="s">
        <v>292</v>
      </c>
      <c r="CK30" s="1">
        <v>3</v>
      </c>
      <c r="CL30" s="1">
        <v>5</v>
      </c>
      <c r="CM30" s="12"/>
      <c r="CN30" s="7" t="s">
        <v>291</v>
      </c>
      <c r="CO30" s="7" t="s">
        <v>296</v>
      </c>
      <c r="CP30" s="1">
        <v>1</v>
      </c>
      <c r="CQ30" s="1">
        <v>6</v>
      </c>
      <c r="CR30" s="12"/>
      <c r="CS30" s="7" t="s">
        <v>293</v>
      </c>
      <c r="CT30" s="7" t="s">
        <v>292</v>
      </c>
      <c r="CU30" s="1">
        <v>2</v>
      </c>
      <c r="CV30" s="1">
        <v>5</v>
      </c>
      <c r="CW30" s="12"/>
      <c r="CX30" s="7" t="s">
        <v>299</v>
      </c>
      <c r="CY30" s="7" t="s">
        <v>292</v>
      </c>
      <c r="CZ30" s="1">
        <v>4</v>
      </c>
      <c r="DA30" s="1">
        <v>5</v>
      </c>
      <c r="DB30" s="12"/>
      <c r="DC30" s="7" t="s">
        <v>295</v>
      </c>
      <c r="DD30" s="7" t="s">
        <v>296</v>
      </c>
      <c r="DE30" s="1">
        <v>5</v>
      </c>
      <c r="DF30" s="1">
        <v>6</v>
      </c>
      <c r="DG30" s="12"/>
      <c r="DH30" s="7" t="s">
        <v>298</v>
      </c>
      <c r="DI30" s="7" t="s">
        <v>296</v>
      </c>
      <c r="DJ30" s="1">
        <v>3</v>
      </c>
      <c r="DK30" s="1">
        <v>6</v>
      </c>
      <c r="DL30" s="12"/>
      <c r="DM30" s="7" t="s">
        <v>301</v>
      </c>
      <c r="DN30" s="7" t="s">
        <v>292</v>
      </c>
      <c r="DO30" s="1">
        <v>5</v>
      </c>
      <c r="DP30" s="1">
        <v>5</v>
      </c>
      <c r="DQ30" s="12"/>
      <c r="DR30" s="7" t="s">
        <v>300</v>
      </c>
      <c r="DS30" s="7" t="s">
        <v>296</v>
      </c>
      <c r="DT30" s="1">
        <v>2</v>
      </c>
      <c r="DU30" s="1">
        <v>6</v>
      </c>
      <c r="DV30" s="12"/>
      <c r="DW30" s="7" t="s">
        <v>291</v>
      </c>
      <c r="DX30" s="7" t="s">
        <v>296</v>
      </c>
      <c r="DY30" s="1">
        <v>1</v>
      </c>
      <c r="DZ30" s="1">
        <v>6</v>
      </c>
      <c r="EA30" s="12"/>
      <c r="EB30" s="7" t="s">
        <v>300</v>
      </c>
      <c r="EC30" s="7" t="s">
        <v>292</v>
      </c>
      <c r="ED30" s="1">
        <v>2</v>
      </c>
      <c r="EE30" s="1">
        <v>5</v>
      </c>
      <c r="EF30" s="12"/>
      <c r="EG30" s="7" t="s">
        <v>300</v>
      </c>
      <c r="EH30" s="7" t="s">
        <v>292</v>
      </c>
      <c r="EI30" s="1">
        <v>2</v>
      </c>
      <c r="EJ30" s="1">
        <v>5</v>
      </c>
      <c r="EK30" s="12"/>
      <c r="EL30" s="7" t="s">
        <v>291</v>
      </c>
      <c r="EM30" s="7" t="s">
        <v>297</v>
      </c>
      <c r="EN30" s="1">
        <v>1</v>
      </c>
      <c r="EO30" s="1">
        <v>4</v>
      </c>
      <c r="EP30" s="12"/>
      <c r="EQ30" s="7" t="s">
        <v>291</v>
      </c>
      <c r="ER30" s="7" t="s">
        <v>292</v>
      </c>
      <c r="ES30" s="1">
        <v>1</v>
      </c>
      <c r="ET30" s="1">
        <v>5</v>
      </c>
      <c r="EU30" s="12"/>
      <c r="EV30" s="7" t="s">
        <v>300</v>
      </c>
      <c r="EW30" s="7" t="s">
        <v>292</v>
      </c>
      <c r="EX30" s="1">
        <v>2</v>
      </c>
      <c r="EY30" s="1">
        <v>5</v>
      </c>
      <c r="EZ30" s="12"/>
      <c r="FA30" s="7" t="s">
        <v>291</v>
      </c>
      <c r="FB30" s="7" t="s">
        <v>292</v>
      </c>
      <c r="FC30" s="1">
        <v>1</v>
      </c>
      <c r="FD30" s="1">
        <v>5</v>
      </c>
      <c r="FE30" s="12"/>
      <c r="FF30" s="7" t="s">
        <v>291</v>
      </c>
      <c r="FG30" s="7" t="s">
        <v>292</v>
      </c>
      <c r="FH30" s="1">
        <v>1</v>
      </c>
      <c r="FI30" s="1">
        <v>5</v>
      </c>
      <c r="FJ30" s="12"/>
      <c r="FK30" s="7" t="s">
        <v>300</v>
      </c>
      <c r="FL30" s="7" t="s">
        <v>297</v>
      </c>
      <c r="FM30" s="1">
        <v>2</v>
      </c>
      <c r="FN30" s="1">
        <v>4</v>
      </c>
      <c r="FO30" s="12"/>
      <c r="FP30" s="7" t="s">
        <v>300</v>
      </c>
      <c r="FQ30" s="7" t="s">
        <v>297</v>
      </c>
      <c r="FR30" s="1">
        <v>2</v>
      </c>
      <c r="FS30" s="1">
        <v>4</v>
      </c>
      <c r="FT30" s="10"/>
      <c r="FU30" s="7" t="s">
        <v>654</v>
      </c>
      <c r="FV30" s="7" t="s">
        <v>361</v>
      </c>
      <c r="FW30" s="7" t="s">
        <v>655</v>
      </c>
      <c r="FX30" s="7" t="s">
        <v>656</v>
      </c>
      <c r="FY30" s="7" t="s">
        <v>657</v>
      </c>
      <c r="FZ30" s="7" t="s">
        <v>658</v>
      </c>
      <c r="GA30" s="7" t="s">
        <v>659</v>
      </c>
      <c r="GB30" s="7" t="s">
        <v>659</v>
      </c>
      <c r="GC30" s="7" t="s">
        <v>660</v>
      </c>
      <c r="GD30" s="7" t="s">
        <v>660</v>
      </c>
      <c r="GE30" s="7" t="s">
        <v>282</v>
      </c>
      <c r="GF30" s="7" t="s">
        <v>282</v>
      </c>
      <c r="GG30" s="7" t="s">
        <v>356</v>
      </c>
      <c r="GH30" s="7" t="s">
        <v>313</v>
      </c>
    </row>
    <row r="31" spans="1:190" x14ac:dyDescent="0.2">
      <c r="A31">
        <v>29</v>
      </c>
      <c r="B31">
        <v>100</v>
      </c>
      <c r="C31">
        <v>1442</v>
      </c>
      <c r="D31" s="7" t="s">
        <v>280</v>
      </c>
      <c r="E31" s="7" t="s">
        <v>286</v>
      </c>
      <c r="F31" s="7" t="s">
        <v>402</v>
      </c>
      <c r="G31" s="4" t="s">
        <v>1282</v>
      </c>
      <c r="H31" s="7" t="s">
        <v>288</v>
      </c>
      <c r="I31" s="1">
        <v>5</v>
      </c>
      <c r="J31" s="7" t="s">
        <v>317</v>
      </c>
      <c r="K31" s="1">
        <v>2</v>
      </c>
      <c r="L31" s="7" t="s">
        <v>317</v>
      </c>
      <c r="M31" s="1">
        <v>2</v>
      </c>
      <c r="N31" s="7" t="s">
        <v>317</v>
      </c>
      <c r="O31" s="1">
        <v>2</v>
      </c>
      <c r="P31" s="12"/>
      <c r="Q31" s="7" t="s">
        <v>291</v>
      </c>
      <c r="R31" s="7" t="s">
        <v>297</v>
      </c>
      <c r="S31" s="1">
        <v>1</v>
      </c>
      <c r="T31" s="1">
        <v>4</v>
      </c>
      <c r="U31" s="12"/>
      <c r="V31" s="7" t="s">
        <v>293</v>
      </c>
      <c r="W31" s="7" t="s">
        <v>296</v>
      </c>
      <c r="X31" s="1">
        <v>2</v>
      </c>
      <c r="Y31" s="1">
        <v>6</v>
      </c>
      <c r="Z31" s="12"/>
      <c r="AA31" s="7" t="s">
        <v>293</v>
      </c>
      <c r="AB31" s="7" t="s">
        <v>296</v>
      </c>
      <c r="AC31" s="1">
        <v>2</v>
      </c>
      <c r="AD31" s="1">
        <v>6</v>
      </c>
      <c r="AE31" s="12"/>
      <c r="AF31" s="7" t="s">
        <v>291</v>
      </c>
      <c r="AG31" s="7" t="s">
        <v>297</v>
      </c>
      <c r="AH31" s="1">
        <v>1</v>
      </c>
      <c r="AI31" s="1">
        <v>4</v>
      </c>
      <c r="AJ31" s="12"/>
      <c r="AK31" s="7" t="s">
        <v>295</v>
      </c>
      <c r="AL31" s="7" t="s">
        <v>297</v>
      </c>
      <c r="AM31" s="1">
        <v>5</v>
      </c>
      <c r="AN31" s="1">
        <v>4</v>
      </c>
      <c r="AO31" s="12"/>
      <c r="AP31" s="7" t="s">
        <v>291</v>
      </c>
      <c r="AQ31" s="7" t="s">
        <v>297</v>
      </c>
      <c r="AR31" s="1">
        <v>1</v>
      </c>
      <c r="AS31" s="1">
        <v>4</v>
      </c>
      <c r="AT31" s="12"/>
      <c r="AU31" s="7" t="s">
        <v>293</v>
      </c>
      <c r="AV31" s="7" t="s">
        <v>296</v>
      </c>
      <c r="AW31" s="1">
        <v>2</v>
      </c>
      <c r="AX31" s="1">
        <v>6</v>
      </c>
      <c r="AY31" s="12"/>
      <c r="AZ31" s="7" t="s">
        <v>298</v>
      </c>
      <c r="BA31" s="7" t="s">
        <v>297</v>
      </c>
      <c r="BB31" s="1">
        <v>3</v>
      </c>
      <c r="BC31" s="1">
        <v>4</v>
      </c>
      <c r="BD31" s="12"/>
      <c r="BE31" s="7" t="s">
        <v>295</v>
      </c>
      <c r="BF31" s="7" t="s">
        <v>297</v>
      </c>
      <c r="BG31" s="1">
        <v>5</v>
      </c>
      <c r="BH31" s="1">
        <v>4</v>
      </c>
      <c r="BI31" s="12"/>
      <c r="BJ31" s="7" t="s">
        <v>291</v>
      </c>
      <c r="BK31" s="7" t="s">
        <v>297</v>
      </c>
      <c r="BL31" s="1">
        <v>1</v>
      </c>
      <c r="BM31" s="1">
        <v>4</v>
      </c>
      <c r="BN31" s="12"/>
      <c r="BO31" s="7" t="s">
        <v>291</v>
      </c>
      <c r="BP31" s="7" t="s">
        <v>297</v>
      </c>
      <c r="BQ31" s="1">
        <v>1</v>
      </c>
      <c r="BR31" s="1">
        <v>4</v>
      </c>
      <c r="BS31" s="12"/>
      <c r="BT31" s="7" t="s">
        <v>293</v>
      </c>
      <c r="BU31" s="7" t="s">
        <v>296</v>
      </c>
      <c r="BV31" s="1">
        <v>2</v>
      </c>
      <c r="BW31" s="1">
        <v>6</v>
      </c>
      <c r="BX31" s="12"/>
      <c r="BY31" s="7" t="s">
        <v>282</v>
      </c>
      <c r="BZ31" s="7" t="s">
        <v>330</v>
      </c>
      <c r="CA31" s="4" t="s">
        <v>282</v>
      </c>
      <c r="CB31" s="1">
        <v>3</v>
      </c>
      <c r="CC31" s="12"/>
      <c r="CD31" s="7" t="s">
        <v>299</v>
      </c>
      <c r="CE31" s="7" t="s">
        <v>292</v>
      </c>
      <c r="CF31" s="1">
        <v>4</v>
      </c>
      <c r="CG31" s="1">
        <v>5</v>
      </c>
      <c r="CH31" s="12"/>
      <c r="CI31" s="7" t="s">
        <v>298</v>
      </c>
      <c r="CJ31" s="7" t="s">
        <v>292</v>
      </c>
      <c r="CK31" s="1">
        <v>3</v>
      </c>
      <c r="CL31" s="1">
        <v>5</v>
      </c>
      <c r="CM31" s="12"/>
      <c r="CN31" s="7" t="s">
        <v>291</v>
      </c>
      <c r="CO31" s="7" t="s">
        <v>330</v>
      </c>
      <c r="CP31" s="1">
        <v>1</v>
      </c>
      <c r="CQ31" s="1">
        <v>3</v>
      </c>
      <c r="CR31" s="12"/>
      <c r="CS31" s="7" t="s">
        <v>293</v>
      </c>
      <c r="CT31" s="7" t="s">
        <v>296</v>
      </c>
      <c r="CU31" s="1">
        <v>2</v>
      </c>
      <c r="CV31" s="1">
        <v>6</v>
      </c>
      <c r="CW31" s="12"/>
      <c r="CX31" s="7" t="s">
        <v>291</v>
      </c>
      <c r="CY31" s="7" t="s">
        <v>297</v>
      </c>
      <c r="CZ31" s="1">
        <v>1</v>
      </c>
      <c r="DA31" s="1">
        <v>4</v>
      </c>
      <c r="DB31" s="12"/>
      <c r="DC31" s="7" t="s">
        <v>299</v>
      </c>
      <c r="DD31" s="7" t="s">
        <v>292</v>
      </c>
      <c r="DE31" s="1">
        <v>4</v>
      </c>
      <c r="DF31" s="1">
        <v>5</v>
      </c>
      <c r="DG31" s="12"/>
      <c r="DH31" s="7" t="s">
        <v>291</v>
      </c>
      <c r="DI31" s="7" t="s">
        <v>297</v>
      </c>
      <c r="DJ31" s="1">
        <v>1</v>
      </c>
      <c r="DK31" s="1">
        <v>4</v>
      </c>
      <c r="DL31" s="12"/>
      <c r="DM31" s="7" t="s">
        <v>301</v>
      </c>
      <c r="DN31" s="7" t="s">
        <v>330</v>
      </c>
      <c r="DO31" s="1">
        <v>5</v>
      </c>
      <c r="DP31" s="1">
        <v>3</v>
      </c>
      <c r="DQ31" s="12"/>
      <c r="DR31" s="7" t="s">
        <v>300</v>
      </c>
      <c r="DS31" s="7" t="s">
        <v>296</v>
      </c>
      <c r="DT31" s="1">
        <v>2</v>
      </c>
      <c r="DU31" s="1">
        <v>6</v>
      </c>
      <c r="DV31" s="12"/>
      <c r="DW31" s="7" t="s">
        <v>301</v>
      </c>
      <c r="DX31" s="7" t="s">
        <v>297</v>
      </c>
      <c r="DY31" s="1">
        <v>5</v>
      </c>
      <c r="DZ31" s="1">
        <v>4</v>
      </c>
      <c r="EA31" s="12"/>
      <c r="EB31" s="7" t="s">
        <v>291</v>
      </c>
      <c r="EC31" s="7" t="s">
        <v>297</v>
      </c>
      <c r="ED31" s="1">
        <v>1</v>
      </c>
      <c r="EE31" s="1">
        <v>4</v>
      </c>
      <c r="EF31" s="12"/>
      <c r="EG31" s="7" t="s">
        <v>300</v>
      </c>
      <c r="EH31" s="7" t="s">
        <v>296</v>
      </c>
      <c r="EI31" s="1">
        <v>2</v>
      </c>
      <c r="EJ31" s="1">
        <v>6</v>
      </c>
      <c r="EK31" s="12"/>
      <c r="EL31" s="7" t="s">
        <v>301</v>
      </c>
      <c r="EM31" s="7" t="s">
        <v>292</v>
      </c>
      <c r="EN31" s="1">
        <v>5</v>
      </c>
      <c r="EO31" s="1">
        <v>5</v>
      </c>
      <c r="EP31" s="12"/>
      <c r="EQ31" s="7" t="s">
        <v>301</v>
      </c>
      <c r="ER31" s="7" t="s">
        <v>297</v>
      </c>
      <c r="ES31" s="1">
        <v>5</v>
      </c>
      <c r="ET31" s="1">
        <v>4</v>
      </c>
      <c r="EU31" s="12"/>
      <c r="EV31" s="7" t="s">
        <v>300</v>
      </c>
      <c r="EW31" s="7" t="s">
        <v>296</v>
      </c>
      <c r="EX31" s="1">
        <v>2</v>
      </c>
      <c r="EY31" s="1">
        <v>6</v>
      </c>
      <c r="EZ31" s="12"/>
      <c r="FA31" s="7" t="s">
        <v>301</v>
      </c>
      <c r="FB31" s="7" t="s">
        <v>292</v>
      </c>
      <c r="FC31" s="1">
        <v>5</v>
      </c>
      <c r="FD31" s="1">
        <v>5</v>
      </c>
      <c r="FE31" s="12"/>
      <c r="FF31" s="7" t="s">
        <v>291</v>
      </c>
      <c r="FG31" s="7" t="s">
        <v>297</v>
      </c>
      <c r="FH31" s="1">
        <v>1</v>
      </c>
      <c r="FI31" s="1">
        <v>4</v>
      </c>
      <c r="FJ31" s="12"/>
      <c r="FK31" s="7" t="s">
        <v>300</v>
      </c>
      <c r="FL31" s="7" t="s">
        <v>296</v>
      </c>
      <c r="FM31" s="1">
        <v>2</v>
      </c>
      <c r="FN31" s="1">
        <v>6</v>
      </c>
      <c r="FO31" s="12"/>
      <c r="FP31" s="7" t="s">
        <v>300</v>
      </c>
      <c r="FQ31" s="7" t="s">
        <v>296</v>
      </c>
      <c r="FR31" s="1">
        <v>2</v>
      </c>
      <c r="FS31" s="1">
        <v>6</v>
      </c>
      <c r="FT31" s="10"/>
      <c r="FU31" s="7" t="s">
        <v>663</v>
      </c>
      <c r="FV31" s="7" t="s">
        <v>664</v>
      </c>
      <c r="FW31" s="7" t="s">
        <v>665</v>
      </c>
      <c r="FX31" s="7" t="s">
        <v>666</v>
      </c>
      <c r="FY31" s="7" t="s">
        <v>667</v>
      </c>
      <c r="FZ31" s="7" t="s">
        <v>668</v>
      </c>
      <c r="GA31" s="7" t="s">
        <v>669</v>
      </c>
      <c r="GB31" s="7" t="s">
        <v>670</v>
      </c>
      <c r="GC31" s="7" t="s">
        <v>671</v>
      </c>
      <c r="GD31" s="7" t="s">
        <v>672</v>
      </c>
      <c r="GE31" s="7" t="s">
        <v>282</v>
      </c>
      <c r="GF31" s="7" t="s">
        <v>282</v>
      </c>
      <c r="GG31" s="7" t="s">
        <v>372</v>
      </c>
      <c r="GH31" s="7" t="s">
        <v>325</v>
      </c>
    </row>
    <row r="32" spans="1:190" x14ac:dyDescent="0.2">
      <c r="A32">
        <v>30</v>
      </c>
      <c r="B32">
        <v>100</v>
      </c>
      <c r="C32">
        <v>1153</v>
      </c>
      <c r="D32" s="7" t="s">
        <v>280</v>
      </c>
      <c r="E32" s="7" t="s">
        <v>412</v>
      </c>
      <c r="F32" s="7" t="s">
        <v>375</v>
      </c>
      <c r="G32" s="4" t="s">
        <v>497</v>
      </c>
      <c r="H32" s="7" t="s">
        <v>288</v>
      </c>
      <c r="I32" s="1">
        <v>5</v>
      </c>
      <c r="J32" s="7" t="s">
        <v>289</v>
      </c>
      <c r="K32" s="1">
        <v>1</v>
      </c>
      <c r="L32" s="7" t="s">
        <v>329</v>
      </c>
      <c r="M32" s="1">
        <v>3</v>
      </c>
      <c r="N32" s="7" t="s">
        <v>289</v>
      </c>
      <c r="O32" s="1">
        <v>1</v>
      </c>
      <c r="P32" s="12"/>
      <c r="Q32" s="7" t="s">
        <v>291</v>
      </c>
      <c r="R32" s="7" t="s">
        <v>292</v>
      </c>
      <c r="S32" s="1">
        <v>1</v>
      </c>
      <c r="T32" s="1">
        <v>5</v>
      </c>
      <c r="U32" s="12"/>
      <c r="V32" s="7" t="s">
        <v>293</v>
      </c>
      <c r="W32" s="7" t="s">
        <v>296</v>
      </c>
      <c r="X32" s="1">
        <v>2</v>
      </c>
      <c r="Y32" s="1">
        <v>6</v>
      </c>
      <c r="Z32" s="12"/>
      <c r="AA32" s="7" t="s">
        <v>293</v>
      </c>
      <c r="AB32" s="7" t="s">
        <v>292</v>
      </c>
      <c r="AC32" s="1">
        <v>2</v>
      </c>
      <c r="AD32" s="1">
        <v>5</v>
      </c>
      <c r="AE32" s="12"/>
      <c r="AF32" s="7" t="s">
        <v>299</v>
      </c>
      <c r="AG32" s="7" t="s">
        <v>296</v>
      </c>
      <c r="AH32" s="1">
        <v>4</v>
      </c>
      <c r="AI32" s="1">
        <v>6</v>
      </c>
      <c r="AJ32" s="12"/>
      <c r="AK32" s="7" t="s">
        <v>299</v>
      </c>
      <c r="AL32" s="7" t="s">
        <v>292</v>
      </c>
      <c r="AM32" s="1">
        <v>4</v>
      </c>
      <c r="AN32" s="1">
        <v>5</v>
      </c>
      <c r="AO32" s="12"/>
      <c r="AP32" s="7" t="s">
        <v>291</v>
      </c>
      <c r="AQ32" s="7" t="s">
        <v>296</v>
      </c>
      <c r="AR32" s="1">
        <v>1</v>
      </c>
      <c r="AS32" s="1">
        <v>6</v>
      </c>
      <c r="AT32" s="12"/>
      <c r="AU32" s="7" t="s">
        <v>293</v>
      </c>
      <c r="AV32" s="7" t="s">
        <v>296</v>
      </c>
      <c r="AW32" s="1">
        <v>2</v>
      </c>
      <c r="AX32" s="1">
        <v>6</v>
      </c>
      <c r="AY32" s="12"/>
      <c r="AZ32" s="7" t="s">
        <v>293</v>
      </c>
      <c r="BA32" s="7" t="s">
        <v>330</v>
      </c>
      <c r="BB32" s="1">
        <v>2</v>
      </c>
      <c r="BC32" s="1">
        <v>3</v>
      </c>
      <c r="BD32" s="12"/>
      <c r="BE32" s="7" t="s">
        <v>299</v>
      </c>
      <c r="BF32" s="7" t="s">
        <v>292</v>
      </c>
      <c r="BG32" s="1">
        <v>4</v>
      </c>
      <c r="BH32" s="1">
        <v>5</v>
      </c>
      <c r="BI32" s="12"/>
      <c r="BJ32" s="7" t="s">
        <v>291</v>
      </c>
      <c r="BK32" s="7" t="s">
        <v>296</v>
      </c>
      <c r="BL32" s="1">
        <v>1</v>
      </c>
      <c r="BM32" s="1">
        <v>6</v>
      </c>
      <c r="BN32" s="12"/>
      <c r="BO32" s="7" t="s">
        <v>291</v>
      </c>
      <c r="BP32" s="7" t="s">
        <v>292</v>
      </c>
      <c r="BQ32" s="1">
        <v>1</v>
      </c>
      <c r="BR32" s="1">
        <v>5</v>
      </c>
      <c r="BS32" s="12"/>
      <c r="BT32" s="7" t="s">
        <v>293</v>
      </c>
      <c r="BU32" s="7" t="s">
        <v>296</v>
      </c>
      <c r="BV32" s="1">
        <v>2</v>
      </c>
      <c r="BW32" s="1">
        <v>6</v>
      </c>
      <c r="BX32" s="12"/>
      <c r="BY32" s="7" t="s">
        <v>282</v>
      </c>
      <c r="BZ32" s="7" t="s">
        <v>330</v>
      </c>
      <c r="CA32" s="4" t="s">
        <v>282</v>
      </c>
      <c r="CB32" s="1">
        <v>3</v>
      </c>
      <c r="CC32" s="12"/>
      <c r="CD32" s="7" t="s">
        <v>298</v>
      </c>
      <c r="CE32" s="7" t="s">
        <v>297</v>
      </c>
      <c r="CF32" s="1">
        <v>3</v>
      </c>
      <c r="CG32" s="1">
        <v>4</v>
      </c>
      <c r="CH32" s="12"/>
      <c r="CI32" s="7" t="s">
        <v>291</v>
      </c>
      <c r="CJ32" s="7" t="s">
        <v>292</v>
      </c>
      <c r="CK32" s="1">
        <v>1</v>
      </c>
      <c r="CL32" s="1">
        <v>5</v>
      </c>
      <c r="CM32" s="12"/>
      <c r="CN32" s="7" t="s">
        <v>291</v>
      </c>
      <c r="CO32" s="7" t="s">
        <v>292</v>
      </c>
      <c r="CP32" s="1">
        <v>1</v>
      </c>
      <c r="CQ32" s="1">
        <v>5</v>
      </c>
      <c r="CR32" s="12"/>
      <c r="CS32" s="7" t="s">
        <v>293</v>
      </c>
      <c r="CT32" s="7" t="s">
        <v>296</v>
      </c>
      <c r="CU32" s="1">
        <v>2</v>
      </c>
      <c r="CV32" s="1">
        <v>6</v>
      </c>
      <c r="CW32" s="12"/>
      <c r="CX32" s="7" t="s">
        <v>291</v>
      </c>
      <c r="CY32" s="7" t="s">
        <v>292</v>
      </c>
      <c r="CZ32" s="1">
        <v>1</v>
      </c>
      <c r="DA32" s="1">
        <v>5</v>
      </c>
      <c r="DB32" s="12"/>
      <c r="DC32" s="7" t="s">
        <v>298</v>
      </c>
      <c r="DD32" s="7" t="s">
        <v>292</v>
      </c>
      <c r="DE32" s="1">
        <v>3</v>
      </c>
      <c r="DF32" s="1">
        <v>5</v>
      </c>
      <c r="DG32" s="12"/>
      <c r="DH32" s="7" t="s">
        <v>291</v>
      </c>
      <c r="DI32" s="7" t="s">
        <v>296</v>
      </c>
      <c r="DJ32" s="1">
        <v>1</v>
      </c>
      <c r="DK32" s="1">
        <v>6</v>
      </c>
      <c r="DL32" s="12"/>
      <c r="DM32" s="7" t="s">
        <v>291</v>
      </c>
      <c r="DN32" s="7" t="s">
        <v>294</v>
      </c>
      <c r="DO32" s="1">
        <v>1</v>
      </c>
      <c r="DP32" s="1">
        <v>7</v>
      </c>
      <c r="DQ32" s="12"/>
      <c r="DR32" s="7" t="s">
        <v>300</v>
      </c>
      <c r="DS32" s="7" t="s">
        <v>296</v>
      </c>
      <c r="DT32" s="1">
        <v>2</v>
      </c>
      <c r="DU32" s="1">
        <v>6</v>
      </c>
      <c r="DV32" s="12"/>
      <c r="DW32" s="7" t="s">
        <v>301</v>
      </c>
      <c r="DX32" s="7" t="s">
        <v>296</v>
      </c>
      <c r="DY32" s="1">
        <v>5</v>
      </c>
      <c r="DZ32" s="1">
        <v>6</v>
      </c>
      <c r="EA32" s="12"/>
      <c r="EB32" s="7" t="s">
        <v>291</v>
      </c>
      <c r="EC32" s="7" t="s">
        <v>294</v>
      </c>
      <c r="ED32" s="1">
        <v>1</v>
      </c>
      <c r="EE32" s="1">
        <v>7</v>
      </c>
      <c r="EF32" s="12"/>
      <c r="EG32" s="7" t="s">
        <v>300</v>
      </c>
      <c r="EH32" s="7" t="s">
        <v>294</v>
      </c>
      <c r="EI32" s="1">
        <v>2</v>
      </c>
      <c r="EJ32" s="1">
        <v>7</v>
      </c>
      <c r="EK32" s="12"/>
      <c r="EL32" s="7" t="s">
        <v>301</v>
      </c>
      <c r="EM32" s="7" t="s">
        <v>296</v>
      </c>
      <c r="EN32" s="1">
        <v>5</v>
      </c>
      <c r="EO32" s="1">
        <v>6</v>
      </c>
      <c r="EP32" s="12"/>
      <c r="EQ32" s="7" t="s">
        <v>291</v>
      </c>
      <c r="ER32" s="7" t="s">
        <v>294</v>
      </c>
      <c r="ES32" s="1">
        <v>1</v>
      </c>
      <c r="ET32" s="1">
        <v>7</v>
      </c>
      <c r="EU32" s="12"/>
      <c r="EV32" s="7" t="s">
        <v>300</v>
      </c>
      <c r="EW32" s="7" t="s">
        <v>296</v>
      </c>
      <c r="EX32" s="1">
        <v>2</v>
      </c>
      <c r="EY32" s="1">
        <v>6</v>
      </c>
      <c r="EZ32" s="12"/>
      <c r="FA32" s="7" t="s">
        <v>301</v>
      </c>
      <c r="FB32" s="7" t="s">
        <v>296</v>
      </c>
      <c r="FC32" s="1">
        <v>5</v>
      </c>
      <c r="FD32" s="1">
        <v>6</v>
      </c>
      <c r="FE32" s="12"/>
      <c r="FF32" s="7" t="s">
        <v>291</v>
      </c>
      <c r="FG32" s="7" t="s">
        <v>294</v>
      </c>
      <c r="FH32" s="1">
        <v>1</v>
      </c>
      <c r="FI32" s="1">
        <v>7</v>
      </c>
      <c r="FJ32" s="12"/>
      <c r="FK32" s="7" t="s">
        <v>300</v>
      </c>
      <c r="FL32" s="7" t="s">
        <v>296</v>
      </c>
      <c r="FM32" s="1">
        <v>2</v>
      </c>
      <c r="FN32" s="1">
        <v>6</v>
      </c>
      <c r="FO32" s="12"/>
      <c r="FP32" s="7" t="s">
        <v>291</v>
      </c>
      <c r="FQ32" s="7" t="s">
        <v>296</v>
      </c>
      <c r="FR32" s="1">
        <v>1</v>
      </c>
      <c r="FS32" s="1">
        <v>6</v>
      </c>
      <c r="FT32" s="10"/>
      <c r="FU32" s="7" t="s">
        <v>675</v>
      </c>
      <c r="FV32" s="7" t="s">
        <v>676</v>
      </c>
      <c r="FW32" s="7" t="s">
        <v>677</v>
      </c>
      <c r="FX32" s="7" t="s">
        <v>678</v>
      </c>
      <c r="FY32" s="7" t="s">
        <v>679</v>
      </c>
      <c r="FZ32" s="7" t="s">
        <v>680</v>
      </c>
      <c r="GA32" s="7" t="s">
        <v>681</v>
      </c>
      <c r="GB32" s="7" t="s">
        <v>682</v>
      </c>
      <c r="GC32" s="7" t="s">
        <v>683</v>
      </c>
      <c r="GD32" s="7" t="s">
        <v>684</v>
      </c>
      <c r="GE32" s="7" t="s">
        <v>685</v>
      </c>
      <c r="GF32" s="7" t="s">
        <v>282</v>
      </c>
      <c r="GG32" s="7" t="s">
        <v>356</v>
      </c>
      <c r="GH32" s="7" t="s">
        <v>313</v>
      </c>
    </row>
    <row r="33" spans="1:190" x14ac:dyDescent="0.2">
      <c r="A33">
        <v>31</v>
      </c>
      <c r="B33">
        <v>100</v>
      </c>
      <c r="C33">
        <v>1225</v>
      </c>
      <c r="D33" s="7" t="s">
        <v>280</v>
      </c>
      <c r="E33" s="7" t="s">
        <v>688</v>
      </c>
      <c r="F33" s="7" t="s">
        <v>328</v>
      </c>
      <c r="G33" s="4" t="s">
        <v>1222</v>
      </c>
      <c r="H33" s="7" t="s">
        <v>288</v>
      </c>
      <c r="I33" s="1">
        <v>5</v>
      </c>
      <c r="J33" s="7" t="s">
        <v>289</v>
      </c>
      <c r="K33" s="1">
        <v>1</v>
      </c>
      <c r="L33" s="7" t="s">
        <v>289</v>
      </c>
      <c r="M33" s="1">
        <v>1</v>
      </c>
      <c r="N33" s="7" t="s">
        <v>317</v>
      </c>
      <c r="O33" s="1">
        <v>2</v>
      </c>
      <c r="P33" s="12"/>
      <c r="Q33" s="7" t="s">
        <v>291</v>
      </c>
      <c r="R33" s="7" t="s">
        <v>296</v>
      </c>
      <c r="S33" s="1">
        <v>1</v>
      </c>
      <c r="T33" s="1">
        <v>6</v>
      </c>
      <c r="U33" s="12"/>
      <c r="V33" s="7" t="s">
        <v>293</v>
      </c>
      <c r="W33" s="7" t="s">
        <v>296</v>
      </c>
      <c r="X33" s="1">
        <v>2</v>
      </c>
      <c r="Y33" s="1">
        <v>6</v>
      </c>
      <c r="Z33" s="12"/>
      <c r="AA33" s="7" t="s">
        <v>293</v>
      </c>
      <c r="AB33" s="7" t="s">
        <v>296</v>
      </c>
      <c r="AC33" s="1">
        <v>2</v>
      </c>
      <c r="AD33" s="1">
        <v>6</v>
      </c>
      <c r="AE33" s="12"/>
      <c r="AF33" s="7" t="s">
        <v>295</v>
      </c>
      <c r="AG33" s="7" t="s">
        <v>292</v>
      </c>
      <c r="AH33" s="1">
        <v>5</v>
      </c>
      <c r="AI33" s="1">
        <v>5</v>
      </c>
      <c r="AJ33" s="12"/>
      <c r="AK33" s="7" t="s">
        <v>295</v>
      </c>
      <c r="AL33" s="7" t="s">
        <v>297</v>
      </c>
      <c r="AM33" s="1">
        <v>5</v>
      </c>
      <c r="AN33" s="1">
        <v>4</v>
      </c>
      <c r="AO33" s="12"/>
      <c r="AP33" s="7" t="s">
        <v>291</v>
      </c>
      <c r="AQ33" s="7" t="s">
        <v>297</v>
      </c>
      <c r="AR33" s="1">
        <v>1</v>
      </c>
      <c r="AS33" s="1">
        <v>4</v>
      </c>
      <c r="AT33" s="12"/>
      <c r="AU33" s="7" t="s">
        <v>293</v>
      </c>
      <c r="AV33" s="7" t="s">
        <v>296</v>
      </c>
      <c r="AW33" s="1">
        <v>2</v>
      </c>
      <c r="AX33" s="1">
        <v>6</v>
      </c>
      <c r="AY33" s="12"/>
      <c r="AZ33" s="7" t="s">
        <v>293</v>
      </c>
      <c r="BA33" s="7" t="s">
        <v>292</v>
      </c>
      <c r="BB33" s="1">
        <v>2</v>
      </c>
      <c r="BC33" s="1">
        <v>5</v>
      </c>
      <c r="BD33" s="12"/>
      <c r="BE33" s="7" t="s">
        <v>299</v>
      </c>
      <c r="BF33" s="7" t="s">
        <v>297</v>
      </c>
      <c r="BG33" s="1">
        <v>4</v>
      </c>
      <c r="BH33" s="1">
        <v>4</v>
      </c>
      <c r="BI33" s="12"/>
      <c r="BJ33" s="7" t="s">
        <v>298</v>
      </c>
      <c r="BK33" s="7" t="s">
        <v>292</v>
      </c>
      <c r="BL33" s="1">
        <v>3</v>
      </c>
      <c r="BM33" s="1">
        <v>5</v>
      </c>
      <c r="BN33" s="12"/>
      <c r="BO33" s="7" t="s">
        <v>291</v>
      </c>
      <c r="BP33" s="7" t="s">
        <v>296</v>
      </c>
      <c r="BQ33" s="1">
        <v>1</v>
      </c>
      <c r="BR33" s="1">
        <v>6</v>
      </c>
      <c r="BS33" s="12"/>
      <c r="BT33" s="7" t="s">
        <v>293</v>
      </c>
      <c r="BU33" s="7" t="s">
        <v>292</v>
      </c>
      <c r="BV33" s="1">
        <v>2</v>
      </c>
      <c r="BW33" s="1">
        <v>5</v>
      </c>
      <c r="BX33" s="12"/>
      <c r="BY33" s="7" t="s">
        <v>299</v>
      </c>
      <c r="BZ33" s="7" t="s">
        <v>292</v>
      </c>
      <c r="CA33" s="1">
        <v>4</v>
      </c>
      <c r="CB33" s="1">
        <v>5</v>
      </c>
      <c r="CC33" s="12"/>
      <c r="CD33" s="7" t="s">
        <v>299</v>
      </c>
      <c r="CE33" s="7" t="s">
        <v>296</v>
      </c>
      <c r="CF33" s="1">
        <v>4</v>
      </c>
      <c r="CG33" s="1">
        <v>6</v>
      </c>
      <c r="CH33" s="12"/>
      <c r="CI33" s="7" t="s">
        <v>298</v>
      </c>
      <c r="CJ33" s="7" t="s">
        <v>297</v>
      </c>
      <c r="CK33" s="1">
        <v>3</v>
      </c>
      <c r="CL33" s="1">
        <v>4</v>
      </c>
      <c r="CM33" s="12"/>
      <c r="CN33" s="7" t="s">
        <v>291</v>
      </c>
      <c r="CO33" s="7" t="s">
        <v>296</v>
      </c>
      <c r="CP33" s="1">
        <v>1</v>
      </c>
      <c r="CQ33" s="1">
        <v>6</v>
      </c>
      <c r="CR33" s="12"/>
      <c r="CS33" s="7" t="s">
        <v>293</v>
      </c>
      <c r="CT33" s="7" t="s">
        <v>296</v>
      </c>
      <c r="CU33" s="1">
        <v>2</v>
      </c>
      <c r="CV33" s="1">
        <v>6</v>
      </c>
      <c r="CW33" s="12"/>
      <c r="CX33" s="7" t="s">
        <v>299</v>
      </c>
      <c r="CY33" s="7" t="s">
        <v>296</v>
      </c>
      <c r="CZ33" s="1">
        <v>4</v>
      </c>
      <c r="DA33" s="1">
        <v>6</v>
      </c>
      <c r="DB33" s="12"/>
      <c r="DC33" s="7" t="s">
        <v>299</v>
      </c>
      <c r="DD33" s="7" t="s">
        <v>296</v>
      </c>
      <c r="DE33" s="1">
        <v>4</v>
      </c>
      <c r="DF33" s="1">
        <v>6</v>
      </c>
      <c r="DG33" s="12"/>
      <c r="DH33" s="7" t="s">
        <v>299</v>
      </c>
      <c r="DI33" s="7" t="s">
        <v>297</v>
      </c>
      <c r="DJ33" s="1">
        <v>4</v>
      </c>
      <c r="DK33" s="1">
        <v>4</v>
      </c>
      <c r="DL33" s="12"/>
      <c r="DM33" s="7" t="s">
        <v>291</v>
      </c>
      <c r="DN33" s="7" t="s">
        <v>294</v>
      </c>
      <c r="DO33" s="1">
        <v>1</v>
      </c>
      <c r="DP33" s="1">
        <v>7</v>
      </c>
      <c r="DQ33" s="12"/>
      <c r="DR33" s="7" t="s">
        <v>300</v>
      </c>
      <c r="DS33" s="7" t="s">
        <v>294</v>
      </c>
      <c r="DT33" s="1">
        <v>2</v>
      </c>
      <c r="DU33" s="1">
        <v>7</v>
      </c>
      <c r="DV33" s="12"/>
      <c r="DW33" s="7" t="s">
        <v>301</v>
      </c>
      <c r="DX33" s="7" t="s">
        <v>296</v>
      </c>
      <c r="DY33" s="1">
        <v>5</v>
      </c>
      <c r="DZ33" s="1">
        <v>6</v>
      </c>
      <c r="EA33" s="12"/>
      <c r="EB33" s="7" t="s">
        <v>291</v>
      </c>
      <c r="EC33" s="7" t="s">
        <v>294</v>
      </c>
      <c r="ED33" s="1">
        <v>1</v>
      </c>
      <c r="EE33" s="1">
        <v>7</v>
      </c>
      <c r="EF33" s="12"/>
      <c r="EG33" s="7" t="s">
        <v>300</v>
      </c>
      <c r="EH33" s="7" t="s">
        <v>294</v>
      </c>
      <c r="EI33" s="1">
        <v>2</v>
      </c>
      <c r="EJ33" s="1">
        <v>7</v>
      </c>
      <c r="EK33" s="12"/>
      <c r="EL33" s="7" t="s">
        <v>301</v>
      </c>
      <c r="EM33" s="7" t="s">
        <v>296</v>
      </c>
      <c r="EN33" s="1">
        <v>5</v>
      </c>
      <c r="EO33" s="1">
        <v>6</v>
      </c>
      <c r="EP33" s="12"/>
      <c r="EQ33" s="7" t="s">
        <v>291</v>
      </c>
      <c r="ER33" s="7" t="s">
        <v>292</v>
      </c>
      <c r="ES33" s="1">
        <v>1</v>
      </c>
      <c r="ET33" s="1">
        <v>5</v>
      </c>
      <c r="EU33" s="12"/>
      <c r="EV33" s="7" t="s">
        <v>300</v>
      </c>
      <c r="EW33" s="7" t="s">
        <v>294</v>
      </c>
      <c r="EX33" s="1">
        <v>2</v>
      </c>
      <c r="EY33" s="1">
        <v>7</v>
      </c>
      <c r="EZ33" s="12"/>
      <c r="FA33" s="7" t="s">
        <v>301</v>
      </c>
      <c r="FB33" s="7" t="s">
        <v>292</v>
      </c>
      <c r="FC33" s="1">
        <v>5</v>
      </c>
      <c r="FD33" s="1">
        <v>5</v>
      </c>
      <c r="FE33" s="12"/>
      <c r="FF33" s="7" t="s">
        <v>291</v>
      </c>
      <c r="FG33" s="7" t="s">
        <v>296</v>
      </c>
      <c r="FH33" s="1">
        <v>1</v>
      </c>
      <c r="FI33" s="1">
        <v>6</v>
      </c>
      <c r="FJ33" s="12"/>
      <c r="FK33" s="7" t="s">
        <v>300</v>
      </c>
      <c r="FL33" s="7" t="s">
        <v>294</v>
      </c>
      <c r="FM33" s="1">
        <v>2</v>
      </c>
      <c r="FN33" s="1">
        <v>7</v>
      </c>
      <c r="FO33" s="12"/>
      <c r="FP33" s="7" t="s">
        <v>282</v>
      </c>
      <c r="FQ33" s="7" t="s">
        <v>292</v>
      </c>
      <c r="FR33" s="4" t="s">
        <v>282</v>
      </c>
      <c r="FS33" s="1">
        <v>5</v>
      </c>
      <c r="FT33" s="10"/>
      <c r="FU33" s="7" t="s">
        <v>689</v>
      </c>
      <c r="FV33" s="7" t="s">
        <v>690</v>
      </c>
      <c r="FW33" s="7" t="s">
        <v>691</v>
      </c>
      <c r="FX33" s="7" t="s">
        <v>690</v>
      </c>
      <c r="FY33" s="7" t="s">
        <v>361</v>
      </c>
      <c r="FZ33" s="7" t="s">
        <v>692</v>
      </c>
      <c r="GA33" s="7" t="s">
        <v>693</v>
      </c>
      <c r="GB33" s="7" t="s">
        <v>690</v>
      </c>
      <c r="GC33" s="7" t="s">
        <v>694</v>
      </c>
      <c r="GD33" s="7" t="s">
        <v>690</v>
      </c>
      <c r="GE33" s="7" t="s">
        <v>282</v>
      </c>
      <c r="GF33" s="7" t="s">
        <v>282</v>
      </c>
      <c r="GG33" s="7" t="s">
        <v>372</v>
      </c>
      <c r="GH33" s="7" t="s">
        <v>325</v>
      </c>
    </row>
    <row r="34" spans="1:190" x14ac:dyDescent="0.2">
      <c r="A34">
        <v>32</v>
      </c>
      <c r="B34">
        <v>100</v>
      </c>
      <c r="C34">
        <v>1067</v>
      </c>
      <c r="D34" s="7" t="s">
        <v>280</v>
      </c>
      <c r="E34" s="7" t="s">
        <v>412</v>
      </c>
      <c r="F34" s="7" t="s">
        <v>375</v>
      </c>
      <c r="G34" s="4" t="s">
        <v>497</v>
      </c>
      <c r="H34" s="7" t="s">
        <v>288</v>
      </c>
      <c r="I34" s="1">
        <v>5</v>
      </c>
      <c r="J34" s="7" t="s">
        <v>317</v>
      </c>
      <c r="K34" s="1">
        <v>2</v>
      </c>
      <c r="L34" s="7" t="s">
        <v>288</v>
      </c>
      <c r="M34" s="1">
        <v>5</v>
      </c>
      <c r="N34" s="7" t="s">
        <v>290</v>
      </c>
      <c r="O34" s="1">
        <v>4</v>
      </c>
      <c r="P34" s="12"/>
      <c r="Q34" s="7" t="s">
        <v>291</v>
      </c>
      <c r="R34" s="7" t="s">
        <v>297</v>
      </c>
      <c r="S34" s="1">
        <v>1</v>
      </c>
      <c r="T34" s="1">
        <v>4</v>
      </c>
      <c r="U34" s="12"/>
      <c r="V34" s="7" t="s">
        <v>299</v>
      </c>
      <c r="W34" s="7" t="s">
        <v>292</v>
      </c>
      <c r="X34" s="1">
        <v>4</v>
      </c>
      <c r="Y34" s="1">
        <v>5</v>
      </c>
      <c r="Z34" s="12"/>
      <c r="AA34" s="7" t="s">
        <v>293</v>
      </c>
      <c r="AB34" s="7" t="s">
        <v>296</v>
      </c>
      <c r="AC34" s="1">
        <v>2</v>
      </c>
      <c r="AD34" s="1">
        <v>6</v>
      </c>
      <c r="AE34" s="12"/>
      <c r="AF34" s="7" t="s">
        <v>295</v>
      </c>
      <c r="AG34" s="7" t="s">
        <v>292</v>
      </c>
      <c r="AH34" s="1">
        <v>5</v>
      </c>
      <c r="AI34" s="1">
        <v>5</v>
      </c>
      <c r="AJ34" s="12"/>
      <c r="AK34" s="7" t="s">
        <v>295</v>
      </c>
      <c r="AL34" s="7" t="s">
        <v>297</v>
      </c>
      <c r="AM34" s="1">
        <v>5</v>
      </c>
      <c r="AN34" s="1">
        <v>4</v>
      </c>
      <c r="AO34" s="12"/>
      <c r="AP34" s="7" t="s">
        <v>299</v>
      </c>
      <c r="AQ34" s="7" t="s">
        <v>292</v>
      </c>
      <c r="AR34" s="1">
        <v>4</v>
      </c>
      <c r="AS34" s="1">
        <v>5</v>
      </c>
      <c r="AT34" s="12"/>
      <c r="AU34" s="7" t="s">
        <v>293</v>
      </c>
      <c r="AV34" s="7" t="s">
        <v>292</v>
      </c>
      <c r="AW34" s="1">
        <v>2</v>
      </c>
      <c r="AX34" s="1">
        <v>5</v>
      </c>
      <c r="AY34" s="12"/>
      <c r="AZ34" s="7" t="s">
        <v>291</v>
      </c>
      <c r="BA34" s="7" t="s">
        <v>292</v>
      </c>
      <c r="BB34" s="1">
        <v>1</v>
      </c>
      <c r="BC34" s="1">
        <v>5</v>
      </c>
      <c r="BD34" s="12"/>
      <c r="BE34" s="7" t="s">
        <v>295</v>
      </c>
      <c r="BF34" s="7" t="s">
        <v>330</v>
      </c>
      <c r="BG34" s="1">
        <v>5</v>
      </c>
      <c r="BH34" s="1">
        <v>3</v>
      </c>
      <c r="BI34" s="12"/>
      <c r="BJ34" s="7" t="s">
        <v>298</v>
      </c>
      <c r="BK34" s="7" t="s">
        <v>292</v>
      </c>
      <c r="BL34" s="1">
        <v>3</v>
      </c>
      <c r="BM34" s="1">
        <v>5</v>
      </c>
      <c r="BN34" s="12"/>
      <c r="BO34" s="7" t="s">
        <v>291</v>
      </c>
      <c r="BP34" s="7" t="s">
        <v>297</v>
      </c>
      <c r="BQ34" s="1">
        <v>1</v>
      </c>
      <c r="BR34" s="1">
        <v>4</v>
      </c>
      <c r="BS34" s="12"/>
      <c r="BT34" s="7" t="s">
        <v>293</v>
      </c>
      <c r="BU34" s="7" t="s">
        <v>292</v>
      </c>
      <c r="BV34" s="1">
        <v>2</v>
      </c>
      <c r="BW34" s="1">
        <v>5</v>
      </c>
      <c r="BX34" s="12"/>
      <c r="BY34" s="7" t="s">
        <v>291</v>
      </c>
      <c r="BZ34" s="7" t="s">
        <v>296</v>
      </c>
      <c r="CA34" s="1">
        <v>1</v>
      </c>
      <c r="CB34" s="1">
        <v>6</v>
      </c>
      <c r="CC34" s="12"/>
      <c r="CD34" s="7" t="s">
        <v>295</v>
      </c>
      <c r="CE34" s="7" t="s">
        <v>297</v>
      </c>
      <c r="CF34" s="1">
        <v>5</v>
      </c>
      <c r="CG34" s="1">
        <v>4</v>
      </c>
      <c r="CH34" s="12"/>
      <c r="CI34" s="7" t="s">
        <v>298</v>
      </c>
      <c r="CJ34" s="7" t="s">
        <v>297</v>
      </c>
      <c r="CK34" s="1">
        <v>3</v>
      </c>
      <c r="CL34" s="1">
        <v>4</v>
      </c>
      <c r="CM34" s="12"/>
      <c r="CN34" s="7" t="s">
        <v>291</v>
      </c>
      <c r="CO34" s="7" t="s">
        <v>292</v>
      </c>
      <c r="CP34" s="1">
        <v>1</v>
      </c>
      <c r="CQ34" s="1">
        <v>5</v>
      </c>
      <c r="CR34" s="12"/>
      <c r="CS34" s="7" t="s">
        <v>293</v>
      </c>
      <c r="CT34" s="7" t="s">
        <v>296</v>
      </c>
      <c r="CU34" s="1">
        <v>2</v>
      </c>
      <c r="CV34" s="1">
        <v>6</v>
      </c>
      <c r="CW34" s="12"/>
      <c r="CX34" s="7" t="s">
        <v>291</v>
      </c>
      <c r="CY34" s="7" t="s">
        <v>297</v>
      </c>
      <c r="CZ34" s="1">
        <v>1</v>
      </c>
      <c r="DA34" s="1">
        <v>4</v>
      </c>
      <c r="DB34" s="12"/>
      <c r="DC34" s="7" t="s">
        <v>295</v>
      </c>
      <c r="DD34" s="7" t="s">
        <v>297</v>
      </c>
      <c r="DE34" s="1">
        <v>5</v>
      </c>
      <c r="DF34" s="1">
        <v>4</v>
      </c>
      <c r="DG34" s="12"/>
      <c r="DH34" s="7" t="s">
        <v>298</v>
      </c>
      <c r="DI34" s="7" t="s">
        <v>292</v>
      </c>
      <c r="DJ34" s="1">
        <v>3</v>
      </c>
      <c r="DK34" s="1">
        <v>5</v>
      </c>
      <c r="DL34" s="12"/>
      <c r="DM34" s="7" t="s">
        <v>291</v>
      </c>
      <c r="DN34" s="7" t="s">
        <v>296</v>
      </c>
      <c r="DO34" s="1">
        <v>1</v>
      </c>
      <c r="DP34" s="1">
        <v>6</v>
      </c>
      <c r="DQ34" s="12"/>
      <c r="DR34" s="7" t="s">
        <v>300</v>
      </c>
      <c r="DS34" s="7" t="s">
        <v>294</v>
      </c>
      <c r="DT34" s="1">
        <v>2</v>
      </c>
      <c r="DU34" s="1">
        <v>7</v>
      </c>
      <c r="DV34" s="12"/>
      <c r="DW34" s="7" t="s">
        <v>301</v>
      </c>
      <c r="DX34" s="7" t="s">
        <v>296</v>
      </c>
      <c r="DY34" s="1">
        <v>5</v>
      </c>
      <c r="DZ34" s="1">
        <v>6</v>
      </c>
      <c r="EA34" s="12"/>
      <c r="EB34" s="7" t="s">
        <v>291</v>
      </c>
      <c r="EC34" s="7" t="s">
        <v>296</v>
      </c>
      <c r="ED34" s="1">
        <v>1</v>
      </c>
      <c r="EE34" s="1">
        <v>6</v>
      </c>
      <c r="EF34" s="12"/>
      <c r="EG34" s="7" t="s">
        <v>300</v>
      </c>
      <c r="EH34" s="7" t="s">
        <v>294</v>
      </c>
      <c r="EI34" s="1">
        <v>2</v>
      </c>
      <c r="EJ34" s="1">
        <v>7</v>
      </c>
      <c r="EK34" s="12"/>
      <c r="EL34" s="7" t="s">
        <v>301</v>
      </c>
      <c r="EM34" s="7" t="s">
        <v>296</v>
      </c>
      <c r="EN34" s="1">
        <v>5</v>
      </c>
      <c r="EO34" s="1">
        <v>6</v>
      </c>
      <c r="EP34" s="12"/>
      <c r="EQ34" s="7" t="s">
        <v>291</v>
      </c>
      <c r="ER34" s="7" t="s">
        <v>296</v>
      </c>
      <c r="ES34" s="1">
        <v>1</v>
      </c>
      <c r="ET34" s="1">
        <v>6</v>
      </c>
      <c r="EU34" s="12"/>
      <c r="EV34" s="7" t="s">
        <v>300</v>
      </c>
      <c r="EW34" s="7" t="s">
        <v>294</v>
      </c>
      <c r="EX34" s="1">
        <v>2</v>
      </c>
      <c r="EY34" s="1">
        <v>7</v>
      </c>
      <c r="EZ34" s="12"/>
      <c r="FA34" s="7" t="s">
        <v>301</v>
      </c>
      <c r="FB34" s="7" t="s">
        <v>297</v>
      </c>
      <c r="FC34" s="1">
        <v>5</v>
      </c>
      <c r="FD34" s="1">
        <v>4</v>
      </c>
      <c r="FE34" s="12"/>
      <c r="FF34" s="7" t="s">
        <v>291</v>
      </c>
      <c r="FG34" s="7" t="s">
        <v>296</v>
      </c>
      <c r="FH34" s="1">
        <v>1</v>
      </c>
      <c r="FI34" s="1">
        <v>6</v>
      </c>
      <c r="FJ34" s="12"/>
      <c r="FK34" s="7" t="s">
        <v>300</v>
      </c>
      <c r="FL34" s="7" t="s">
        <v>294</v>
      </c>
      <c r="FM34" s="1">
        <v>2</v>
      </c>
      <c r="FN34" s="1">
        <v>7</v>
      </c>
      <c r="FO34" s="12"/>
      <c r="FP34" s="7" t="s">
        <v>291</v>
      </c>
      <c r="FQ34" s="7" t="s">
        <v>292</v>
      </c>
      <c r="FR34" s="1">
        <v>1</v>
      </c>
      <c r="FS34" s="1">
        <v>5</v>
      </c>
      <c r="FT34" s="10"/>
      <c r="FU34" s="7" t="s">
        <v>697</v>
      </c>
      <c r="FV34" s="7" t="s">
        <v>698</v>
      </c>
      <c r="FW34" s="7" t="s">
        <v>699</v>
      </c>
      <c r="FX34" s="7" t="s">
        <v>699</v>
      </c>
      <c r="FY34" s="7" t="s">
        <v>700</v>
      </c>
      <c r="FZ34" s="7" t="s">
        <v>701</v>
      </c>
      <c r="GA34" s="7" t="s">
        <v>702</v>
      </c>
      <c r="GB34" s="7" t="s">
        <v>703</v>
      </c>
      <c r="GC34" s="7" t="s">
        <v>704</v>
      </c>
      <c r="GD34" s="7" t="s">
        <v>704</v>
      </c>
      <c r="GE34" s="7" t="s">
        <v>282</v>
      </c>
      <c r="GF34" s="7" t="s">
        <v>282</v>
      </c>
      <c r="GG34" s="7" t="s">
        <v>356</v>
      </c>
      <c r="GH34" s="7" t="s">
        <v>313</v>
      </c>
    </row>
    <row r="35" spans="1:190" x14ac:dyDescent="0.2">
      <c r="A35">
        <v>33</v>
      </c>
      <c r="B35">
        <v>100</v>
      </c>
      <c r="C35">
        <v>5769</v>
      </c>
      <c r="D35" s="7" t="s">
        <v>280</v>
      </c>
      <c r="E35" s="7" t="s">
        <v>286</v>
      </c>
      <c r="F35" s="7" t="s">
        <v>502</v>
      </c>
      <c r="G35" s="4" t="s">
        <v>1284</v>
      </c>
      <c r="H35" s="7" t="s">
        <v>288</v>
      </c>
      <c r="I35" s="1">
        <v>5</v>
      </c>
      <c r="J35" s="7" t="s">
        <v>329</v>
      </c>
      <c r="K35" s="1">
        <v>3</v>
      </c>
      <c r="L35" s="7" t="s">
        <v>329</v>
      </c>
      <c r="M35" s="1">
        <v>3</v>
      </c>
      <c r="N35" s="7" t="s">
        <v>289</v>
      </c>
      <c r="O35" s="1">
        <v>1</v>
      </c>
      <c r="P35" s="12"/>
      <c r="Q35" s="7" t="s">
        <v>291</v>
      </c>
      <c r="R35" s="7" t="s">
        <v>294</v>
      </c>
      <c r="S35" s="1">
        <v>1</v>
      </c>
      <c r="T35" s="1">
        <v>7</v>
      </c>
      <c r="U35" s="12"/>
      <c r="V35" s="7" t="s">
        <v>293</v>
      </c>
      <c r="W35" s="7" t="s">
        <v>296</v>
      </c>
      <c r="X35" s="1">
        <v>2</v>
      </c>
      <c r="Y35" s="1">
        <v>6</v>
      </c>
      <c r="Z35" s="12"/>
      <c r="AA35" s="7" t="s">
        <v>293</v>
      </c>
      <c r="AB35" s="7" t="s">
        <v>292</v>
      </c>
      <c r="AC35" s="1">
        <v>2</v>
      </c>
      <c r="AD35" s="1">
        <v>5</v>
      </c>
      <c r="AE35" s="12"/>
      <c r="AF35" s="7" t="s">
        <v>295</v>
      </c>
      <c r="AG35" s="7" t="s">
        <v>294</v>
      </c>
      <c r="AH35" s="1">
        <v>5</v>
      </c>
      <c r="AI35" s="1">
        <v>7</v>
      </c>
      <c r="AJ35" s="12"/>
      <c r="AK35" s="7" t="s">
        <v>295</v>
      </c>
      <c r="AL35" s="7" t="s">
        <v>296</v>
      </c>
      <c r="AM35" s="1">
        <v>5</v>
      </c>
      <c r="AN35" s="1">
        <v>6</v>
      </c>
      <c r="AO35" s="12"/>
      <c r="AP35" s="7" t="s">
        <v>291</v>
      </c>
      <c r="AQ35" s="7" t="s">
        <v>294</v>
      </c>
      <c r="AR35" s="1">
        <v>1</v>
      </c>
      <c r="AS35" s="1">
        <v>7</v>
      </c>
      <c r="AT35" s="12"/>
      <c r="AU35" s="7" t="s">
        <v>293</v>
      </c>
      <c r="AV35" s="7" t="s">
        <v>296</v>
      </c>
      <c r="AW35" s="1">
        <v>2</v>
      </c>
      <c r="AX35" s="1">
        <v>6</v>
      </c>
      <c r="AY35" s="12"/>
      <c r="AZ35" s="7" t="s">
        <v>299</v>
      </c>
      <c r="BA35" s="7" t="s">
        <v>292</v>
      </c>
      <c r="BB35" s="1">
        <v>4</v>
      </c>
      <c r="BC35" s="1">
        <v>5</v>
      </c>
      <c r="BD35" s="12"/>
      <c r="BE35" s="7" t="s">
        <v>295</v>
      </c>
      <c r="BF35" s="7" t="s">
        <v>294</v>
      </c>
      <c r="BG35" s="1">
        <v>5</v>
      </c>
      <c r="BH35" s="1">
        <v>7</v>
      </c>
      <c r="BI35" s="12"/>
      <c r="BJ35" s="7" t="s">
        <v>298</v>
      </c>
      <c r="BK35" s="7" t="s">
        <v>296</v>
      </c>
      <c r="BL35" s="1">
        <v>3</v>
      </c>
      <c r="BM35" s="1">
        <v>6</v>
      </c>
      <c r="BN35" s="12"/>
      <c r="BO35" s="7" t="s">
        <v>291</v>
      </c>
      <c r="BP35" s="7" t="s">
        <v>294</v>
      </c>
      <c r="BQ35" s="1">
        <v>1</v>
      </c>
      <c r="BR35" s="1">
        <v>7</v>
      </c>
      <c r="BS35" s="12"/>
      <c r="BT35" s="7" t="s">
        <v>293</v>
      </c>
      <c r="BU35" s="7" t="s">
        <v>294</v>
      </c>
      <c r="BV35" s="1">
        <v>2</v>
      </c>
      <c r="BW35" s="1">
        <v>7</v>
      </c>
      <c r="BX35" s="12"/>
      <c r="BY35" s="7" t="s">
        <v>299</v>
      </c>
      <c r="BZ35" s="7" t="s">
        <v>292</v>
      </c>
      <c r="CA35" s="1">
        <v>4</v>
      </c>
      <c r="CB35" s="1">
        <v>5</v>
      </c>
      <c r="CC35" s="12"/>
      <c r="CD35" s="7" t="s">
        <v>295</v>
      </c>
      <c r="CE35" s="7" t="s">
        <v>296</v>
      </c>
      <c r="CF35" s="1">
        <v>5</v>
      </c>
      <c r="CG35" s="1">
        <v>6</v>
      </c>
      <c r="CH35" s="12"/>
      <c r="CI35" s="7" t="s">
        <v>298</v>
      </c>
      <c r="CJ35" s="7" t="s">
        <v>296</v>
      </c>
      <c r="CK35" s="1">
        <v>3</v>
      </c>
      <c r="CL35" s="1">
        <v>6</v>
      </c>
      <c r="CM35" s="12"/>
      <c r="CN35" s="7" t="s">
        <v>291</v>
      </c>
      <c r="CO35" s="7" t="s">
        <v>294</v>
      </c>
      <c r="CP35" s="1">
        <v>1</v>
      </c>
      <c r="CQ35" s="1">
        <v>7</v>
      </c>
      <c r="CR35" s="12"/>
      <c r="CS35" s="7" t="s">
        <v>293</v>
      </c>
      <c r="CT35" s="7" t="s">
        <v>294</v>
      </c>
      <c r="CU35" s="1">
        <v>2</v>
      </c>
      <c r="CV35" s="1">
        <v>7</v>
      </c>
      <c r="CW35" s="12"/>
      <c r="CX35" s="7" t="s">
        <v>291</v>
      </c>
      <c r="CY35" s="7" t="s">
        <v>292</v>
      </c>
      <c r="CZ35" s="1">
        <v>1</v>
      </c>
      <c r="DA35" s="1">
        <v>5</v>
      </c>
      <c r="DB35" s="12"/>
      <c r="DC35" s="7" t="s">
        <v>295</v>
      </c>
      <c r="DD35" s="7" t="s">
        <v>294</v>
      </c>
      <c r="DE35" s="1">
        <v>5</v>
      </c>
      <c r="DF35" s="1">
        <v>7</v>
      </c>
      <c r="DG35" s="12"/>
      <c r="DH35" s="7" t="s">
        <v>298</v>
      </c>
      <c r="DI35" s="7" t="s">
        <v>294</v>
      </c>
      <c r="DJ35" s="1">
        <v>3</v>
      </c>
      <c r="DK35" s="1">
        <v>7</v>
      </c>
      <c r="DL35" s="12"/>
      <c r="DM35" s="7" t="s">
        <v>282</v>
      </c>
      <c r="DN35" s="7" t="s">
        <v>294</v>
      </c>
      <c r="DO35" s="4" t="s">
        <v>282</v>
      </c>
      <c r="DP35" s="1">
        <v>7</v>
      </c>
      <c r="DQ35" s="12"/>
      <c r="DR35" s="7" t="s">
        <v>300</v>
      </c>
      <c r="DS35" s="7" t="s">
        <v>292</v>
      </c>
      <c r="DT35" s="1">
        <v>2</v>
      </c>
      <c r="DU35" s="1">
        <v>5</v>
      </c>
      <c r="DV35" s="12"/>
      <c r="DW35" s="7" t="s">
        <v>282</v>
      </c>
      <c r="DX35" s="7" t="s">
        <v>296</v>
      </c>
      <c r="DY35" s="4" t="s">
        <v>282</v>
      </c>
      <c r="DZ35" s="1">
        <v>6</v>
      </c>
      <c r="EA35" s="12"/>
      <c r="EB35" s="7" t="s">
        <v>291</v>
      </c>
      <c r="EC35" s="7" t="s">
        <v>294</v>
      </c>
      <c r="ED35" s="1">
        <v>1</v>
      </c>
      <c r="EE35" s="1">
        <v>7</v>
      </c>
      <c r="EF35" s="12"/>
      <c r="EG35" s="7" t="s">
        <v>300</v>
      </c>
      <c r="EH35" s="7" t="s">
        <v>296</v>
      </c>
      <c r="EI35" s="1">
        <v>2</v>
      </c>
      <c r="EJ35" s="1">
        <v>6</v>
      </c>
      <c r="EK35" s="12"/>
      <c r="EL35" s="7" t="s">
        <v>282</v>
      </c>
      <c r="EM35" s="7" t="s">
        <v>294</v>
      </c>
      <c r="EN35" s="4" t="s">
        <v>282</v>
      </c>
      <c r="EO35" s="1">
        <v>7</v>
      </c>
      <c r="EP35" s="12"/>
      <c r="EQ35" s="7" t="s">
        <v>291</v>
      </c>
      <c r="ER35" s="7" t="s">
        <v>296</v>
      </c>
      <c r="ES35" s="1">
        <v>1</v>
      </c>
      <c r="ET35" s="1">
        <v>6</v>
      </c>
      <c r="EU35" s="12"/>
      <c r="EV35" s="7" t="s">
        <v>300</v>
      </c>
      <c r="EW35" s="7" t="s">
        <v>296</v>
      </c>
      <c r="EX35" s="1">
        <v>2</v>
      </c>
      <c r="EY35" s="1">
        <v>6</v>
      </c>
      <c r="EZ35" s="12"/>
      <c r="FA35" s="7" t="s">
        <v>282</v>
      </c>
      <c r="FB35" s="7" t="s">
        <v>297</v>
      </c>
      <c r="FC35" s="4" t="s">
        <v>282</v>
      </c>
      <c r="FD35" s="1">
        <v>4</v>
      </c>
      <c r="FE35" s="12"/>
      <c r="FF35" s="7" t="s">
        <v>291</v>
      </c>
      <c r="FG35" s="7" t="s">
        <v>296</v>
      </c>
      <c r="FH35" s="1">
        <v>1</v>
      </c>
      <c r="FI35" s="1">
        <v>6</v>
      </c>
      <c r="FJ35" s="12"/>
      <c r="FK35" s="7" t="s">
        <v>282</v>
      </c>
      <c r="FL35" s="7" t="s">
        <v>292</v>
      </c>
      <c r="FM35" s="4" t="s">
        <v>282</v>
      </c>
      <c r="FN35" s="1">
        <v>5</v>
      </c>
      <c r="FO35" s="12"/>
      <c r="FP35" s="7" t="s">
        <v>291</v>
      </c>
      <c r="FQ35" s="7" t="s">
        <v>294</v>
      </c>
      <c r="FR35" s="1">
        <v>1</v>
      </c>
      <c r="FS35" s="1">
        <v>7</v>
      </c>
      <c r="FT35" s="10"/>
      <c r="FU35" s="7" t="s">
        <v>707</v>
      </c>
      <c r="FV35" s="7" t="s">
        <v>708</v>
      </c>
      <c r="FW35" s="7" t="s">
        <v>709</v>
      </c>
      <c r="FX35" s="7" t="s">
        <v>710</v>
      </c>
      <c r="FY35" s="7" t="s">
        <v>711</v>
      </c>
      <c r="FZ35" s="7" t="s">
        <v>712</v>
      </c>
      <c r="GA35" s="7" t="s">
        <v>713</v>
      </c>
      <c r="GB35" s="7" t="s">
        <v>714</v>
      </c>
      <c r="GC35" s="7" t="s">
        <v>715</v>
      </c>
      <c r="GD35" s="7" t="s">
        <v>716</v>
      </c>
      <c r="GE35" s="7" t="s">
        <v>717</v>
      </c>
      <c r="GF35" s="7" t="s">
        <v>282</v>
      </c>
      <c r="GG35" s="7" t="s">
        <v>356</v>
      </c>
      <c r="GH35" s="7" t="s">
        <v>313</v>
      </c>
    </row>
    <row r="36" spans="1:190" x14ac:dyDescent="0.2">
      <c r="A36">
        <v>34</v>
      </c>
      <c r="B36">
        <v>100</v>
      </c>
      <c r="C36">
        <v>1653</v>
      </c>
      <c r="D36" s="7" t="s">
        <v>280</v>
      </c>
      <c r="E36" s="7" t="s">
        <v>359</v>
      </c>
      <c r="F36" s="7" t="s">
        <v>642</v>
      </c>
      <c r="G36" s="4" t="s">
        <v>1291</v>
      </c>
      <c r="H36" s="7" t="s">
        <v>288</v>
      </c>
      <c r="I36" s="1">
        <v>5</v>
      </c>
      <c r="J36" s="7" t="s">
        <v>289</v>
      </c>
      <c r="K36" s="1">
        <v>1</v>
      </c>
      <c r="L36" s="7" t="s">
        <v>289</v>
      </c>
      <c r="M36" s="1">
        <v>1</v>
      </c>
      <c r="N36" s="7" t="s">
        <v>317</v>
      </c>
      <c r="O36" s="1">
        <v>2</v>
      </c>
      <c r="P36" s="12"/>
      <c r="Q36" s="7" t="s">
        <v>291</v>
      </c>
      <c r="R36" s="7" t="s">
        <v>294</v>
      </c>
      <c r="S36" s="1">
        <v>1</v>
      </c>
      <c r="T36" s="1">
        <v>7</v>
      </c>
      <c r="U36" s="12"/>
      <c r="V36" s="7" t="s">
        <v>293</v>
      </c>
      <c r="W36" s="7" t="s">
        <v>296</v>
      </c>
      <c r="X36" s="1">
        <v>2</v>
      </c>
      <c r="Y36" s="1">
        <v>6</v>
      </c>
      <c r="Z36" s="12"/>
      <c r="AA36" s="7" t="s">
        <v>293</v>
      </c>
      <c r="AB36" s="7" t="s">
        <v>296</v>
      </c>
      <c r="AC36" s="1">
        <v>2</v>
      </c>
      <c r="AD36" s="1">
        <v>6</v>
      </c>
      <c r="AE36" s="12"/>
      <c r="AF36" s="7" t="s">
        <v>298</v>
      </c>
      <c r="AG36" s="7" t="s">
        <v>292</v>
      </c>
      <c r="AH36" s="1">
        <v>3</v>
      </c>
      <c r="AI36" s="1">
        <v>5</v>
      </c>
      <c r="AJ36" s="12"/>
      <c r="AK36" s="7" t="s">
        <v>295</v>
      </c>
      <c r="AL36" s="7" t="s">
        <v>292</v>
      </c>
      <c r="AM36" s="1">
        <v>5</v>
      </c>
      <c r="AN36" s="1">
        <v>5</v>
      </c>
      <c r="AO36" s="12"/>
      <c r="AP36" s="7" t="s">
        <v>291</v>
      </c>
      <c r="AQ36" s="7" t="s">
        <v>292</v>
      </c>
      <c r="AR36" s="1">
        <v>1</v>
      </c>
      <c r="AS36" s="1">
        <v>5</v>
      </c>
      <c r="AT36" s="12"/>
      <c r="AU36" s="7" t="s">
        <v>293</v>
      </c>
      <c r="AV36" s="7" t="s">
        <v>294</v>
      </c>
      <c r="AW36" s="1">
        <v>2</v>
      </c>
      <c r="AX36" s="1">
        <v>7</v>
      </c>
      <c r="AY36" s="12"/>
      <c r="AZ36" s="7" t="s">
        <v>291</v>
      </c>
      <c r="BA36" s="7" t="s">
        <v>296</v>
      </c>
      <c r="BB36" s="1">
        <v>1</v>
      </c>
      <c r="BC36" s="1">
        <v>6</v>
      </c>
      <c r="BD36" s="12"/>
      <c r="BE36" s="7" t="s">
        <v>298</v>
      </c>
      <c r="BF36" s="7" t="s">
        <v>297</v>
      </c>
      <c r="BG36" s="1">
        <v>3</v>
      </c>
      <c r="BH36" s="1">
        <v>4</v>
      </c>
      <c r="BI36" s="12"/>
      <c r="BJ36" s="7" t="s">
        <v>298</v>
      </c>
      <c r="BK36" s="7" t="s">
        <v>296</v>
      </c>
      <c r="BL36" s="1">
        <v>3</v>
      </c>
      <c r="BM36" s="1">
        <v>6</v>
      </c>
      <c r="BN36" s="12"/>
      <c r="BO36" s="7" t="s">
        <v>291</v>
      </c>
      <c r="BP36" s="7" t="s">
        <v>296</v>
      </c>
      <c r="BQ36" s="1">
        <v>1</v>
      </c>
      <c r="BR36" s="1">
        <v>6</v>
      </c>
      <c r="BS36" s="12"/>
      <c r="BT36" s="7" t="s">
        <v>293</v>
      </c>
      <c r="BU36" s="7" t="s">
        <v>294</v>
      </c>
      <c r="BV36" s="1">
        <v>2</v>
      </c>
      <c r="BW36" s="1">
        <v>7</v>
      </c>
      <c r="BX36" s="12"/>
      <c r="BY36" s="7" t="s">
        <v>291</v>
      </c>
      <c r="BZ36" s="7" t="s">
        <v>292</v>
      </c>
      <c r="CA36" s="1">
        <v>1</v>
      </c>
      <c r="CB36" s="1">
        <v>5</v>
      </c>
      <c r="CC36" s="12"/>
      <c r="CD36" s="7" t="s">
        <v>299</v>
      </c>
      <c r="CE36" s="7" t="s">
        <v>294</v>
      </c>
      <c r="CF36" s="1">
        <v>4</v>
      </c>
      <c r="CG36" s="1">
        <v>7</v>
      </c>
      <c r="CH36" s="12"/>
      <c r="CI36" s="7" t="s">
        <v>298</v>
      </c>
      <c r="CJ36" s="7" t="s">
        <v>292</v>
      </c>
      <c r="CK36" s="1">
        <v>3</v>
      </c>
      <c r="CL36" s="1">
        <v>5</v>
      </c>
      <c r="CM36" s="12"/>
      <c r="CN36" s="7" t="s">
        <v>291</v>
      </c>
      <c r="CO36" s="7" t="s">
        <v>296</v>
      </c>
      <c r="CP36" s="1">
        <v>1</v>
      </c>
      <c r="CQ36" s="1">
        <v>6</v>
      </c>
      <c r="CR36" s="12"/>
      <c r="CS36" s="7" t="s">
        <v>293</v>
      </c>
      <c r="CT36" s="7" t="s">
        <v>296</v>
      </c>
      <c r="CU36" s="1">
        <v>2</v>
      </c>
      <c r="CV36" s="1">
        <v>6</v>
      </c>
      <c r="CW36" s="12"/>
      <c r="CX36" s="7" t="s">
        <v>291</v>
      </c>
      <c r="CY36" s="7" t="s">
        <v>294</v>
      </c>
      <c r="CZ36" s="1">
        <v>1</v>
      </c>
      <c r="DA36" s="1">
        <v>7</v>
      </c>
      <c r="DB36" s="12"/>
      <c r="DC36" s="7" t="s">
        <v>299</v>
      </c>
      <c r="DD36" s="7" t="s">
        <v>294</v>
      </c>
      <c r="DE36" s="1">
        <v>4</v>
      </c>
      <c r="DF36" s="1">
        <v>7</v>
      </c>
      <c r="DG36" s="12"/>
      <c r="DH36" s="7" t="s">
        <v>298</v>
      </c>
      <c r="DI36" s="7" t="s">
        <v>292</v>
      </c>
      <c r="DJ36" s="1">
        <v>3</v>
      </c>
      <c r="DK36" s="1">
        <v>5</v>
      </c>
      <c r="DL36" s="12"/>
      <c r="DM36" s="7" t="s">
        <v>291</v>
      </c>
      <c r="DN36" s="7" t="s">
        <v>296</v>
      </c>
      <c r="DO36" s="1">
        <v>1</v>
      </c>
      <c r="DP36" s="1">
        <v>6</v>
      </c>
      <c r="DQ36" s="12"/>
      <c r="DR36" s="7" t="s">
        <v>300</v>
      </c>
      <c r="DS36" s="7" t="s">
        <v>294</v>
      </c>
      <c r="DT36" s="1">
        <v>2</v>
      </c>
      <c r="DU36" s="1">
        <v>7</v>
      </c>
      <c r="DV36" s="12"/>
      <c r="DW36" s="7" t="s">
        <v>301</v>
      </c>
      <c r="DX36" s="7" t="s">
        <v>294</v>
      </c>
      <c r="DY36" s="1">
        <v>5</v>
      </c>
      <c r="DZ36" s="1">
        <v>7</v>
      </c>
      <c r="EA36" s="12"/>
      <c r="EB36" s="7" t="s">
        <v>291</v>
      </c>
      <c r="EC36" s="7" t="s">
        <v>296</v>
      </c>
      <c r="ED36" s="1">
        <v>1</v>
      </c>
      <c r="EE36" s="1">
        <v>6</v>
      </c>
      <c r="EF36" s="12"/>
      <c r="EG36" s="7" t="s">
        <v>300</v>
      </c>
      <c r="EH36" s="7" t="s">
        <v>296</v>
      </c>
      <c r="EI36" s="1">
        <v>2</v>
      </c>
      <c r="EJ36" s="1">
        <v>6</v>
      </c>
      <c r="EK36" s="12"/>
      <c r="EL36" s="7" t="s">
        <v>301</v>
      </c>
      <c r="EM36" s="7" t="s">
        <v>296</v>
      </c>
      <c r="EN36" s="1">
        <v>5</v>
      </c>
      <c r="EO36" s="1">
        <v>6</v>
      </c>
      <c r="EP36" s="12"/>
      <c r="EQ36" s="7" t="s">
        <v>291</v>
      </c>
      <c r="ER36" s="7" t="s">
        <v>296</v>
      </c>
      <c r="ES36" s="1">
        <v>1</v>
      </c>
      <c r="ET36" s="1">
        <v>6</v>
      </c>
      <c r="EU36" s="12"/>
      <c r="EV36" s="7" t="s">
        <v>300</v>
      </c>
      <c r="EW36" s="7" t="s">
        <v>296</v>
      </c>
      <c r="EX36" s="1">
        <v>2</v>
      </c>
      <c r="EY36" s="1">
        <v>6</v>
      </c>
      <c r="EZ36" s="12"/>
      <c r="FA36" s="7" t="s">
        <v>291</v>
      </c>
      <c r="FB36" s="7" t="s">
        <v>297</v>
      </c>
      <c r="FC36" s="1">
        <v>1</v>
      </c>
      <c r="FD36" s="1">
        <v>4</v>
      </c>
      <c r="FE36" s="12"/>
      <c r="FF36" s="7" t="s">
        <v>291</v>
      </c>
      <c r="FG36" s="7" t="s">
        <v>294</v>
      </c>
      <c r="FH36" s="1">
        <v>1</v>
      </c>
      <c r="FI36" s="1">
        <v>7</v>
      </c>
      <c r="FJ36" s="12"/>
      <c r="FK36" s="7" t="s">
        <v>300</v>
      </c>
      <c r="FL36" s="7" t="s">
        <v>296</v>
      </c>
      <c r="FM36" s="1">
        <v>2</v>
      </c>
      <c r="FN36" s="1">
        <v>6</v>
      </c>
      <c r="FO36" s="12"/>
      <c r="FP36" s="7" t="s">
        <v>291</v>
      </c>
      <c r="FQ36" s="7" t="s">
        <v>296</v>
      </c>
      <c r="FR36" s="1">
        <v>1</v>
      </c>
      <c r="FS36" s="1">
        <v>6</v>
      </c>
      <c r="FT36" s="10"/>
      <c r="FU36" s="7" t="s">
        <v>720</v>
      </c>
      <c r="FV36" s="7" t="s">
        <v>721</v>
      </c>
      <c r="FW36" s="7" t="s">
        <v>722</v>
      </c>
      <c r="FX36" s="7" t="s">
        <v>723</v>
      </c>
      <c r="FY36" s="7" t="s">
        <v>724</v>
      </c>
      <c r="FZ36" s="7" t="s">
        <v>725</v>
      </c>
      <c r="GA36" s="7" t="s">
        <v>726</v>
      </c>
      <c r="GB36" s="7" t="s">
        <v>727</v>
      </c>
      <c r="GC36" s="7" t="s">
        <v>728</v>
      </c>
      <c r="GD36" s="7" t="s">
        <v>729</v>
      </c>
      <c r="GE36" s="7" t="s">
        <v>730</v>
      </c>
      <c r="GF36" s="7" t="s">
        <v>282</v>
      </c>
      <c r="GG36" s="7" t="s">
        <v>372</v>
      </c>
      <c r="GH36" s="7" t="s">
        <v>325</v>
      </c>
    </row>
    <row r="37" spans="1:190" x14ac:dyDescent="0.2">
      <c r="A37">
        <v>35</v>
      </c>
      <c r="B37">
        <v>100</v>
      </c>
      <c r="C37">
        <v>1490</v>
      </c>
      <c r="D37" s="7" t="s">
        <v>280</v>
      </c>
      <c r="E37" s="7" t="s">
        <v>412</v>
      </c>
      <c r="F37" s="7" t="s">
        <v>375</v>
      </c>
      <c r="G37" s="4" t="s">
        <v>497</v>
      </c>
      <c r="H37" s="7" t="s">
        <v>288</v>
      </c>
      <c r="I37" s="1">
        <v>5</v>
      </c>
      <c r="J37" s="7" t="s">
        <v>289</v>
      </c>
      <c r="K37" s="1">
        <v>1</v>
      </c>
      <c r="L37" s="7" t="s">
        <v>289</v>
      </c>
      <c r="M37" s="1">
        <v>1</v>
      </c>
      <c r="N37" s="7" t="s">
        <v>317</v>
      </c>
      <c r="O37" s="1">
        <v>2</v>
      </c>
      <c r="P37" s="12"/>
      <c r="Q37" s="7" t="s">
        <v>291</v>
      </c>
      <c r="R37" s="7" t="s">
        <v>292</v>
      </c>
      <c r="S37" s="1">
        <v>1</v>
      </c>
      <c r="T37" s="1">
        <v>5</v>
      </c>
      <c r="U37" s="12"/>
      <c r="V37" s="7" t="s">
        <v>293</v>
      </c>
      <c r="W37" s="7" t="s">
        <v>296</v>
      </c>
      <c r="X37" s="1">
        <v>2</v>
      </c>
      <c r="Y37" s="1">
        <v>6</v>
      </c>
      <c r="Z37" s="12"/>
      <c r="AA37" s="7" t="s">
        <v>293</v>
      </c>
      <c r="AB37" s="7" t="s">
        <v>292</v>
      </c>
      <c r="AC37" s="1">
        <v>2</v>
      </c>
      <c r="AD37" s="1">
        <v>5</v>
      </c>
      <c r="AE37" s="12"/>
      <c r="AF37" s="7" t="s">
        <v>295</v>
      </c>
      <c r="AG37" s="7" t="s">
        <v>296</v>
      </c>
      <c r="AH37" s="1">
        <v>5</v>
      </c>
      <c r="AI37" s="1">
        <v>6</v>
      </c>
      <c r="AJ37" s="12"/>
      <c r="AK37" s="7" t="s">
        <v>299</v>
      </c>
      <c r="AL37" s="7" t="s">
        <v>297</v>
      </c>
      <c r="AM37" s="1">
        <v>4</v>
      </c>
      <c r="AN37" s="1">
        <v>4</v>
      </c>
      <c r="AO37" s="12"/>
      <c r="AP37" s="7" t="s">
        <v>291</v>
      </c>
      <c r="AQ37" s="7" t="s">
        <v>296</v>
      </c>
      <c r="AR37" s="1">
        <v>1</v>
      </c>
      <c r="AS37" s="1">
        <v>6</v>
      </c>
      <c r="AT37" s="12"/>
      <c r="AU37" s="7" t="s">
        <v>293</v>
      </c>
      <c r="AV37" s="7" t="s">
        <v>292</v>
      </c>
      <c r="AW37" s="1">
        <v>2</v>
      </c>
      <c r="AX37" s="1">
        <v>5</v>
      </c>
      <c r="AY37" s="12"/>
      <c r="AZ37" s="7" t="s">
        <v>291</v>
      </c>
      <c r="BA37" s="7" t="s">
        <v>292</v>
      </c>
      <c r="BB37" s="1">
        <v>1</v>
      </c>
      <c r="BC37" s="1">
        <v>5</v>
      </c>
      <c r="BD37" s="12"/>
      <c r="BE37" s="7" t="s">
        <v>299</v>
      </c>
      <c r="BF37" s="7" t="s">
        <v>296</v>
      </c>
      <c r="BG37" s="1">
        <v>4</v>
      </c>
      <c r="BH37" s="1">
        <v>6</v>
      </c>
      <c r="BI37" s="12"/>
      <c r="BJ37" s="7" t="s">
        <v>298</v>
      </c>
      <c r="BK37" s="7" t="s">
        <v>296</v>
      </c>
      <c r="BL37" s="1">
        <v>3</v>
      </c>
      <c r="BM37" s="1">
        <v>6</v>
      </c>
      <c r="BN37" s="12"/>
      <c r="BO37" s="7" t="s">
        <v>291</v>
      </c>
      <c r="BP37" s="7" t="s">
        <v>292</v>
      </c>
      <c r="BQ37" s="1">
        <v>1</v>
      </c>
      <c r="BR37" s="1">
        <v>5</v>
      </c>
      <c r="BS37" s="12"/>
      <c r="BT37" s="7" t="s">
        <v>293</v>
      </c>
      <c r="BU37" s="7" t="s">
        <v>296</v>
      </c>
      <c r="BV37" s="1">
        <v>2</v>
      </c>
      <c r="BW37" s="1">
        <v>6</v>
      </c>
      <c r="BX37" s="12"/>
      <c r="BY37" s="7" t="s">
        <v>291</v>
      </c>
      <c r="BZ37" s="7" t="s">
        <v>292</v>
      </c>
      <c r="CA37" s="1">
        <v>1</v>
      </c>
      <c r="CB37" s="1">
        <v>5</v>
      </c>
      <c r="CC37" s="12"/>
      <c r="CD37" s="7" t="s">
        <v>298</v>
      </c>
      <c r="CE37" s="7" t="s">
        <v>292</v>
      </c>
      <c r="CF37" s="1">
        <v>3</v>
      </c>
      <c r="CG37" s="1">
        <v>5</v>
      </c>
      <c r="CH37" s="12"/>
      <c r="CI37" s="7" t="s">
        <v>298</v>
      </c>
      <c r="CJ37" s="7" t="s">
        <v>292</v>
      </c>
      <c r="CK37" s="1">
        <v>3</v>
      </c>
      <c r="CL37" s="1">
        <v>5</v>
      </c>
      <c r="CM37" s="12"/>
      <c r="CN37" s="7" t="s">
        <v>291</v>
      </c>
      <c r="CO37" s="7" t="s">
        <v>296</v>
      </c>
      <c r="CP37" s="1">
        <v>1</v>
      </c>
      <c r="CQ37" s="1">
        <v>6</v>
      </c>
      <c r="CR37" s="12"/>
      <c r="CS37" s="7" t="s">
        <v>293</v>
      </c>
      <c r="CT37" s="7" t="s">
        <v>292</v>
      </c>
      <c r="CU37" s="1">
        <v>2</v>
      </c>
      <c r="CV37" s="1">
        <v>5</v>
      </c>
      <c r="CW37" s="12"/>
      <c r="CX37" s="7" t="s">
        <v>299</v>
      </c>
      <c r="CY37" s="7" t="s">
        <v>292</v>
      </c>
      <c r="CZ37" s="1">
        <v>4</v>
      </c>
      <c r="DA37" s="1">
        <v>5</v>
      </c>
      <c r="DB37" s="12"/>
      <c r="DC37" s="7" t="s">
        <v>295</v>
      </c>
      <c r="DD37" s="7" t="s">
        <v>296</v>
      </c>
      <c r="DE37" s="1">
        <v>5</v>
      </c>
      <c r="DF37" s="1">
        <v>6</v>
      </c>
      <c r="DG37" s="12"/>
      <c r="DH37" s="7" t="s">
        <v>298</v>
      </c>
      <c r="DI37" s="7" t="s">
        <v>292</v>
      </c>
      <c r="DJ37" s="1">
        <v>3</v>
      </c>
      <c r="DK37" s="1">
        <v>5</v>
      </c>
      <c r="DL37" s="12"/>
      <c r="DM37" s="7" t="s">
        <v>291</v>
      </c>
      <c r="DN37" s="7" t="s">
        <v>296</v>
      </c>
      <c r="DO37" s="1">
        <v>1</v>
      </c>
      <c r="DP37" s="1">
        <v>6</v>
      </c>
      <c r="DQ37" s="12"/>
      <c r="DR37" s="7" t="s">
        <v>300</v>
      </c>
      <c r="DS37" s="7" t="s">
        <v>294</v>
      </c>
      <c r="DT37" s="1">
        <v>2</v>
      </c>
      <c r="DU37" s="1">
        <v>7</v>
      </c>
      <c r="DV37" s="12"/>
      <c r="DW37" s="7" t="s">
        <v>301</v>
      </c>
      <c r="DX37" s="7" t="s">
        <v>294</v>
      </c>
      <c r="DY37" s="1">
        <v>5</v>
      </c>
      <c r="DZ37" s="1">
        <v>7</v>
      </c>
      <c r="EA37" s="12"/>
      <c r="EB37" s="7" t="s">
        <v>291</v>
      </c>
      <c r="EC37" s="7" t="s">
        <v>294</v>
      </c>
      <c r="ED37" s="1">
        <v>1</v>
      </c>
      <c r="EE37" s="1">
        <v>7</v>
      </c>
      <c r="EF37" s="12"/>
      <c r="EG37" s="7" t="s">
        <v>300</v>
      </c>
      <c r="EH37" s="7" t="s">
        <v>294</v>
      </c>
      <c r="EI37" s="1">
        <v>2</v>
      </c>
      <c r="EJ37" s="1">
        <v>7</v>
      </c>
      <c r="EK37" s="12"/>
      <c r="EL37" s="7" t="s">
        <v>301</v>
      </c>
      <c r="EM37" s="7" t="s">
        <v>294</v>
      </c>
      <c r="EN37" s="1">
        <v>5</v>
      </c>
      <c r="EO37" s="1">
        <v>7</v>
      </c>
      <c r="EP37" s="12"/>
      <c r="EQ37" s="7" t="s">
        <v>291</v>
      </c>
      <c r="ER37" s="7" t="s">
        <v>294</v>
      </c>
      <c r="ES37" s="1">
        <v>1</v>
      </c>
      <c r="ET37" s="1">
        <v>7</v>
      </c>
      <c r="EU37" s="12"/>
      <c r="EV37" s="7" t="s">
        <v>300</v>
      </c>
      <c r="EW37" s="7" t="s">
        <v>294</v>
      </c>
      <c r="EX37" s="1">
        <v>2</v>
      </c>
      <c r="EY37" s="1">
        <v>7</v>
      </c>
      <c r="EZ37" s="12"/>
      <c r="FA37" s="7" t="s">
        <v>301</v>
      </c>
      <c r="FB37" s="7" t="s">
        <v>294</v>
      </c>
      <c r="FC37" s="1">
        <v>5</v>
      </c>
      <c r="FD37" s="1">
        <v>7</v>
      </c>
      <c r="FE37" s="12"/>
      <c r="FF37" s="7" t="s">
        <v>291</v>
      </c>
      <c r="FG37" s="7" t="s">
        <v>294</v>
      </c>
      <c r="FH37" s="1">
        <v>1</v>
      </c>
      <c r="FI37" s="1">
        <v>7</v>
      </c>
      <c r="FJ37" s="12"/>
      <c r="FK37" s="7" t="s">
        <v>300</v>
      </c>
      <c r="FL37" s="7" t="s">
        <v>294</v>
      </c>
      <c r="FM37" s="1">
        <v>2</v>
      </c>
      <c r="FN37" s="1">
        <v>7</v>
      </c>
      <c r="FO37" s="12"/>
      <c r="FP37" s="7" t="s">
        <v>300</v>
      </c>
      <c r="FQ37" s="7" t="s">
        <v>297</v>
      </c>
      <c r="FR37" s="1">
        <v>2</v>
      </c>
      <c r="FS37" s="1">
        <v>4</v>
      </c>
      <c r="FT37" s="10"/>
      <c r="FU37" s="7" t="s">
        <v>733</v>
      </c>
      <c r="FV37" s="7" t="s">
        <v>734</v>
      </c>
      <c r="FW37" s="7" t="s">
        <v>735</v>
      </c>
      <c r="FX37" s="7" t="s">
        <v>735</v>
      </c>
      <c r="FY37" s="7" t="s">
        <v>736</v>
      </c>
      <c r="FZ37" s="7" t="s">
        <v>737</v>
      </c>
      <c r="GA37" s="7" t="s">
        <v>693</v>
      </c>
      <c r="GB37" s="7" t="s">
        <v>693</v>
      </c>
      <c r="GC37" s="7" t="s">
        <v>738</v>
      </c>
      <c r="GD37" s="7" t="s">
        <v>738</v>
      </c>
      <c r="GE37" s="7" t="s">
        <v>739</v>
      </c>
      <c r="GF37" s="7" t="s">
        <v>282</v>
      </c>
      <c r="GG37" s="7" t="s">
        <v>372</v>
      </c>
      <c r="GH37" s="7" t="s">
        <v>325</v>
      </c>
    </row>
    <row r="38" spans="1:190" x14ac:dyDescent="0.2">
      <c r="A38">
        <v>36</v>
      </c>
      <c r="B38">
        <v>100</v>
      </c>
      <c r="C38">
        <v>873</v>
      </c>
      <c r="D38" s="7" t="s">
        <v>280</v>
      </c>
      <c r="E38" s="7" t="s">
        <v>412</v>
      </c>
      <c r="F38" s="7" t="s">
        <v>375</v>
      </c>
      <c r="G38" s="4" t="s">
        <v>497</v>
      </c>
      <c r="H38" s="7" t="s">
        <v>288</v>
      </c>
      <c r="I38" s="1">
        <v>5</v>
      </c>
      <c r="J38" s="7" t="s">
        <v>317</v>
      </c>
      <c r="K38" s="1">
        <v>2</v>
      </c>
      <c r="L38" s="7" t="s">
        <v>290</v>
      </c>
      <c r="M38" s="1">
        <v>4</v>
      </c>
      <c r="N38" s="7" t="s">
        <v>329</v>
      </c>
      <c r="O38" s="1">
        <v>3</v>
      </c>
      <c r="P38" s="12"/>
      <c r="Q38" s="7" t="s">
        <v>291</v>
      </c>
      <c r="R38" s="7" t="s">
        <v>292</v>
      </c>
      <c r="S38" s="1">
        <v>1</v>
      </c>
      <c r="T38" s="1">
        <v>5</v>
      </c>
      <c r="U38" s="12"/>
      <c r="V38" s="7" t="s">
        <v>293</v>
      </c>
      <c r="W38" s="7" t="s">
        <v>296</v>
      </c>
      <c r="X38" s="1">
        <v>2</v>
      </c>
      <c r="Y38" s="1">
        <v>6</v>
      </c>
      <c r="Z38" s="12"/>
      <c r="AA38" s="7" t="s">
        <v>293</v>
      </c>
      <c r="AB38" s="7" t="s">
        <v>292</v>
      </c>
      <c r="AC38" s="1">
        <v>2</v>
      </c>
      <c r="AD38" s="1">
        <v>5</v>
      </c>
      <c r="AE38" s="12"/>
      <c r="AF38" s="7" t="s">
        <v>295</v>
      </c>
      <c r="AG38" s="7" t="s">
        <v>292</v>
      </c>
      <c r="AH38" s="1">
        <v>5</v>
      </c>
      <c r="AI38" s="1">
        <v>5</v>
      </c>
      <c r="AJ38" s="12"/>
      <c r="AK38" s="7" t="s">
        <v>295</v>
      </c>
      <c r="AL38" s="7" t="s">
        <v>297</v>
      </c>
      <c r="AM38" s="1">
        <v>5</v>
      </c>
      <c r="AN38" s="1">
        <v>4</v>
      </c>
      <c r="AO38" s="12"/>
      <c r="AP38" s="7" t="s">
        <v>291</v>
      </c>
      <c r="AQ38" s="7" t="s">
        <v>292</v>
      </c>
      <c r="AR38" s="1">
        <v>1</v>
      </c>
      <c r="AS38" s="1">
        <v>5</v>
      </c>
      <c r="AT38" s="12"/>
      <c r="AU38" s="7" t="s">
        <v>293</v>
      </c>
      <c r="AV38" s="7" t="s">
        <v>296</v>
      </c>
      <c r="AW38" s="1">
        <v>2</v>
      </c>
      <c r="AX38" s="1">
        <v>6</v>
      </c>
      <c r="AY38" s="12"/>
      <c r="AZ38" s="7" t="s">
        <v>298</v>
      </c>
      <c r="BA38" s="7" t="s">
        <v>297</v>
      </c>
      <c r="BB38" s="1">
        <v>3</v>
      </c>
      <c r="BC38" s="1">
        <v>4</v>
      </c>
      <c r="BD38" s="12"/>
      <c r="BE38" s="7" t="s">
        <v>295</v>
      </c>
      <c r="BF38" s="7" t="s">
        <v>292</v>
      </c>
      <c r="BG38" s="1">
        <v>5</v>
      </c>
      <c r="BH38" s="1">
        <v>5</v>
      </c>
      <c r="BI38" s="12"/>
      <c r="BJ38" s="7" t="s">
        <v>298</v>
      </c>
      <c r="BK38" s="7" t="s">
        <v>296</v>
      </c>
      <c r="BL38" s="1">
        <v>3</v>
      </c>
      <c r="BM38" s="1">
        <v>6</v>
      </c>
      <c r="BN38" s="12"/>
      <c r="BO38" s="7" t="s">
        <v>291</v>
      </c>
      <c r="BP38" s="7" t="s">
        <v>292</v>
      </c>
      <c r="BQ38" s="1">
        <v>1</v>
      </c>
      <c r="BR38" s="1">
        <v>5</v>
      </c>
      <c r="BS38" s="12"/>
      <c r="BT38" s="7" t="s">
        <v>293</v>
      </c>
      <c r="BU38" s="7" t="s">
        <v>296</v>
      </c>
      <c r="BV38" s="1">
        <v>2</v>
      </c>
      <c r="BW38" s="1">
        <v>6</v>
      </c>
      <c r="BX38" s="12"/>
      <c r="BY38" s="7" t="s">
        <v>291</v>
      </c>
      <c r="BZ38" s="7" t="s">
        <v>292</v>
      </c>
      <c r="CA38" s="1">
        <v>1</v>
      </c>
      <c r="CB38" s="1">
        <v>5</v>
      </c>
      <c r="CC38" s="12"/>
      <c r="CD38" s="7" t="s">
        <v>295</v>
      </c>
      <c r="CE38" s="7" t="s">
        <v>292</v>
      </c>
      <c r="CF38" s="1">
        <v>5</v>
      </c>
      <c r="CG38" s="1">
        <v>5</v>
      </c>
      <c r="CH38" s="12"/>
      <c r="CI38" s="7" t="s">
        <v>298</v>
      </c>
      <c r="CJ38" s="7" t="s">
        <v>292</v>
      </c>
      <c r="CK38" s="1">
        <v>3</v>
      </c>
      <c r="CL38" s="1">
        <v>5</v>
      </c>
      <c r="CM38" s="12"/>
      <c r="CN38" s="7" t="s">
        <v>291</v>
      </c>
      <c r="CO38" s="7" t="s">
        <v>292</v>
      </c>
      <c r="CP38" s="1">
        <v>1</v>
      </c>
      <c r="CQ38" s="1">
        <v>5</v>
      </c>
      <c r="CR38" s="12"/>
      <c r="CS38" s="7" t="s">
        <v>293</v>
      </c>
      <c r="CT38" s="7" t="s">
        <v>296</v>
      </c>
      <c r="CU38" s="1">
        <v>2</v>
      </c>
      <c r="CV38" s="1">
        <v>6</v>
      </c>
      <c r="CW38" s="12"/>
      <c r="CX38" s="7" t="s">
        <v>299</v>
      </c>
      <c r="CY38" s="7" t="s">
        <v>296</v>
      </c>
      <c r="CZ38" s="1">
        <v>4</v>
      </c>
      <c r="DA38" s="1">
        <v>6</v>
      </c>
      <c r="DB38" s="12"/>
      <c r="DC38" s="7" t="s">
        <v>298</v>
      </c>
      <c r="DD38" s="7" t="s">
        <v>292</v>
      </c>
      <c r="DE38" s="1">
        <v>3</v>
      </c>
      <c r="DF38" s="1">
        <v>5</v>
      </c>
      <c r="DG38" s="12"/>
      <c r="DH38" s="7" t="s">
        <v>298</v>
      </c>
      <c r="DI38" s="7" t="s">
        <v>292</v>
      </c>
      <c r="DJ38" s="1">
        <v>3</v>
      </c>
      <c r="DK38" s="1">
        <v>5</v>
      </c>
      <c r="DL38" s="12"/>
      <c r="DM38" s="7" t="s">
        <v>291</v>
      </c>
      <c r="DN38" s="7" t="s">
        <v>292</v>
      </c>
      <c r="DO38" s="1">
        <v>1</v>
      </c>
      <c r="DP38" s="1">
        <v>5</v>
      </c>
      <c r="DQ38" s="12"/>
      <c r="DR38" s="7" t="s">
        <v>300</v>
      </c>
      <c r="DS38" s="7" t="s">
        <v>296</v>
      </c>
      <c r="DT38" s="1">
        <v>2</v>
      </c>
      <c r="DU38" s="1">
        <v>6</v>
      </c>
      <c r="DV38" s="12"/>
      <c r="DW38" s="7" t="s">
        <v>301</v>
      </c>
      <c r="DX38" s="7" t="s">
        <v>292</v>
      </c>
      <c r="DY38" s="1">
        <v>5</v>
      </c>
      <c r="DZ38" s="1">
        <v>5</v>
      </c>
      <c r="EA38" s="12"/>
      <c r="EB38" s="7" t="s">
        <v>291</v>
      </c>
      <c r="EC38" s="7" t="s">
        <v>296</v>
      </c>
      <c r="ED38" s="1">
        <v>1</v>
      </c>
      <c r="EE38" s="1">
        <v>6</v>
      </c>
      <c r="EF38" s="12"/>
      <c r="EG38" s="7" t="s">
        <v>300</v>
      </c>
      <c r="EH38" s="7" t="s">
        <v>294</v>
      </c>
      <c r="EI38" s="1">
        <v>2</v>
      </c>
      <c r="EJ38" s="1">
        <v>7</v>
      </c>
      <c r="EK38" s="12"/>
      <c r="EL38" s="7" t="s">
        <v>301</v>
      </c>
      <c r="EM38" s="7" t="s">
        <v>292</v>
      </c>
      <c r="EN38" s="1">
        <v>5</v>
      </c>
      <c r="EO38" s="1">
        <v>5</v>
      </c>
      <c r="EP38" s="12"/>
      <c r="EQ38" s="7" t="s">
        <v>291</v>
      </c>
      <c r="ER38" s="7" t="s">
        <v>296</v>
      </c>
      <c r="ES38" s="1">
        <v>1</v>
      </c>
      <c r="ET38" s="1">
        <v>6</v>
      </c>
      <c r="EU38" s="12"/>
      <c r="EV38" s="7" t="s">
        <v>300</v>
      </c>
      <c r="EW38" s="7" t="s">
        <v>294</v>
      </c>
      <c r="EX38" s="1">
        <v>2</v>
      </c>
      <c r="EY38" s="1">
        <v>7</v>
      </c>
      <c r="EZ38" s="12"/>
      <c r="FA38" s="7" t="s">
        <v>291</v>
      </c>
      <c r="FB38" s="7" t="s">
        <v>292</v>
      </c>
      <c r="FC38" s="1">
        <v>1</v>
      </c>
      <c r="FD38" s="1">
        <v>5</v>
      </c>
      <c r="FE38" s="12"/>
      <c r="FF38" s="7" t="s">
        <v>291</v>
      </c>
      <c r="FG38" s="7" t="s">
        <v>294</v>
      </c>
      <c r="FH38" s="1">
        <v>1</v>
      </c>
      <c r="FI38" s="1">
        <v>7</v>
      </c>
      <c r="FJ38" s="12"/>
      <c r="FK38" s="7" t="s">
        <v>300</v>
      </c>
      <c r="FL38" s="7" t="s">
        <v>296</v>
      </c>
      <c r="FM38" s="1">
        <v>2</v>
      </c>
      <c r="FN38" s="1">
        <v>6</v>
      </c>
      <c r="FO38" s="12"/>
      <c r="FP38" s="7" t="s">
        <v>291</v>
      </c>
      <c r="FQ38" s="7" t="s">
        <v>292</v>
      </c>
      <c r="FR38" s="1">
        <v>1</v>
      </c>
      <c r="FS38" s="1">
        <v>5</v>
      </c>
      <c r="FT38" s="10"/>
      <c r="FU38" s="7" t="s">
        <v>742</v>
      </c>
      <c r="FV38" s="7" t="s">
        <v>743</v>
      </c>
      <c r="FW38" s="7" t="s">
        <v>744</v>
      </c>
      <c r="FX38" s="7" t="s">
        <v>745</v>
      </c>
      <c r="FY38" s="7" t="s">
        <v>746</v>
      </c>
      <c r="FZ38" s="7" t="s">
        <v>747</v>
      </c>
      <c r="GA38" s="7" t="s">
        <v>748</v>
      </c>
      <c r="GB38" s="7" t="s">
        <v>749</v>
      </c>
      <c r="GC38" s="7" t="s">
        <v>750</v>
      </c>
      <c r="GD38" s="7" t="s">
        <v>751</v>
      </c>
      <c r="GE38" s="7" t="s">
        <v>752</v>
      </c>
      <c r="GF38" s="7" t="s">
        <v>282</v>
      </c>
      <c r="GG38" s="7" t="s">
        <v>356</v>
      </c>
      <c r="GH38" s="7" t="s">
        <v>313</v>
      </c>
    </row>
    <row r="39" spans="1:190" x14ac:dyDescent="0.2">
      <c r="A39">
        <v>37</v>
      </c>
      <c r="B39">
        <v>100</v>
      </c>
      <c r="C39">
        <v>733</v>
      </c>
      <c r="D39" s="7" t="s">
        <v>280</v>
      </c>
      <c r="E39" s="7" t="s">
        <v>286</v>
      </c>
      <c r="F39" s="7" t="s">
        <v>402</v>
      </c>
      <c r="G39" s="4" t="s">
        <v>1282</v>
      </c>
      <c r="H39" s="7" t="s">
        <v>288</v>
      </c>
      <c r="I39" s="1">
        <v>5</v>
      </c>
      <c r="J39" s="7" t="s">
        <v>288</v>
      </c>
      <c r="K39" s="1">
        <v>5</v>
      </c>
      <c r="L39" s="7" t="s">
        <v>289</v>
      </c>
      <c r="M39" s="1">
        <v>1</v>
      </c>
      <c r="N39" s="7" t="s">
        <v>289</v>
      </c>
      <c r="O39" s="1">
        <v>1</v>
      </c>
      <c r="P39" s="12"/>
      <c r="Q39" s="7" t="s">
        <v>291</v>
      </c>
      <c r="R39" s="7" t="s">
        <v>292</v>
      </c>
      <c r="S39" s="1">
        <v>1</v>
      </c>
      <c r="T39" s="1">
        <v>5</v>
      </c>
      <c r="U39" s="12"/>
      <c r="V39" s="7" t="s">
        <v>293</v>
      </c>
      <c r="W39" s="7" t="s">
        <v>296</v>
      </c>
      <c r="X39" s="1">
        <v>2</v>
      </c>
      <c r="Y39" s="1">
        <v>6</v>
      </c>
      <c r="Z39" s="12"/>
      <c r="AA39" s="7" t="s">
        <v>293</v>
      </c>
      <c r="AB39" s="7" t="s">
        <v>296</v>
      </c>
      <c r="AC39" s="1">
        <v>2</v>
      </c>
      <c r="AD39" s="1">
        <v>6</v>
      </c>
      <c r="AE39" s="12"/>
      <c r="AF39" s="7" t="s">
        <v>299</v>
      </c>
      <c r="AG39" s="7" t="s">
        <v>292</v>
      </c>
      <c r="AH39" s="1">
        <v>4</v>
      </c>
      <c r="AI39" s="1">
        <v>5</v>
      </c>
      <c r="AJ39" s="12"/>
      <c r="AK39" s="7" t="s">
        <v>299</v>
      </c>
      <c r="AL39" s="7" t="s">
        <v>296</v>
      </c>
      <c r="AM39" s="1">
        <v>4</v>
      </c>
      <c r="AN39" s="1">
        <v>6</v>
      </c>
      <c r="AO39" s="12"/>
      <c r="AP39" s="7" t="s">
        <v>291</v>
      </c>
      <c r="AQ39" s="7" t="s">
        <v>296</v>
      </c>
      <c r="AR39" s="1">
        <v>1</v>
      </c>
      <c r="AS39" s="1">
        <v>6</v>
      </c>
      <c r="AT39" s="12"/>
      <c r="AU39" s="7" t="s">
        <v>293</v>
      </c>
      <c r="AV39" s="7" t="s">
        <v>296</v>
      </c>
      <c r="AW39" s="1">
        <v>2</v>
      </c>
      <c r="AX39" s="1">
        <v>6</v>
      </c>
      <c r="AY39" s="12"/>
      <c r="AZ39" s="7" t="s">
        <v>293</v>
      </c>
      <c r="BA39" s="7" t="s">
        <v>292</v>
      </c>
      <c r="BB39" s="1">
        <v>2</v>
      </c>
      <c r="BC39" s="1">
        <v>5</v>
      </c>
      <c r="BD39" s="12"/>
      <c r="BE39" s="7" t="s">
        <v>299</v>
      </c>
      <c r="BF39" s="7" t="s">
        <v>296</v>
      </c>
      <c r="BG39" s="1">
        <v>4</v>
      </c>
      <c r="BH39" s="1">
        <v>6</v>
      </c>
      <c r="BI39" s="12"/>
      <c r="BJ39" s="7" t="s">
        <v>298</v>
      </c>
      <c r="BK39" s="7" t="s">
        <v>292</v>
      </c>
      <c r="BL39" s="1">
        <v>3</v>
      </c>
      <c r="BM39" s="1">
        <v>5</v>
      </c>
      <c r="BN39" s="12"/>
      <c r="BO39" s="7" t="s">
        <v>291</v>
      </c>
      <c r="BP39" s="7" t="s">
        <v>296</v>
      </c>
      <c r="BQ39" s="1">
        <v>1</v>
      </c>
      <c r="BR39" s="1">
        <v>6</v>
      </c>
      <c r="BS39" s="12"/>
      <c r="BT39" s="7" t="s">
        <v>293</v>
      </c>
      <c r="BU39" s="7" t="s">
        <v>292</v>
      </c>
      <c r="BV39" s="1">
        <v>2</v>
      </c>
      <c r="BW39" s="1">
        <v>5</v>
      </c>
      <c r="BX39" s="12"/>
      <c r="BY39" s="7" t="s">
        <v>299</v>
      </c>
      <c r="BZ39" s="7" t="s">
        <v>292</v>
      </c>
      <c r="CA39" s="1">
        <v>4</v>
      </c>
      <c r="CB39" s="1">
        <v>5</v>
      </c>
      <c r="CC39" s="12"/>
      <c r="CD39" s="7" t="s">
        <v>295</v>
      </c>
      <c r="CE39" s="7" t="s">
        <v>297</v>
      </c>
      <c r="CF39" s="1">
        <v>5</v>
      </c>
      <c r="CG39" s="1">
        <v>4</v>
      </c>
      <c r="CH39" s="12"/>
      <c r="CI39" s="7" t="s">
        <v>298</v>
      </c>
      <c r="CJ39" s="7" t="s">
        <v>296</v>
      </c>
      <c r="CK39" s="1">
        <v>3</v>
      </c>
      <c r="CL39" s="1">
        <v>6</v>
      </c>
      <c r="CM39" s="12"/>
      <c r="CN39" s="7" t="s">
        <v>291</v>
      </c>
      <c r="CO39" s="7" t="s">
        <v>292</v>
      </c>
      <c r="CP39" s="1">
        <v>1</v>
      </c>
      <c r="CQ39" s="1">
        <v>5</v>
      </c>
      <c r="CR39" s="12"/>
      <c r="CS39" s="7" t="s">
        <v>293</v>
      </c>
      <c r="CT39" s="7" t="s">
        <v>296</v>
      </c>
      <c r="CU39" s="1">
        <v>2</v>
      </c>
      <c r="CV39" s="1">
        <v>6</v>
      </c>
      <c r="CW39" s="12"/>
      <c r="CX39" s="7" t="s">
        <v>299</v>
      </c>
      <c r="CY39" s="7" t="s">
        <v>296</v>
      </c>
      <c r="CZ39" s="1">
        <v>4</v>
      </c>
      <c r="DA39" s="1">
        <v>6</v>
      </c>
      <c r="DB39" s="12"/>
      <c r="DC39" s="7" t="s">
        <v>295</v>
      </c>
      <c r="DD39" s="7" t="s">
        <v>297</v>
      </c>
      <c r="DE39" s="1">
        <v>5</v>
      </c>
      <c r="DF39" s="1">
        <v>4</v>
      </c>
      <c r="DG39" s="12"/>
      <c r="DH39" s="7" t="s">
        <v>298</v>
      </c>
      <c r="DI39" s="7" t="s">
        <v>296</v>
      </c>
      <c r="DJ39" s="1">
        <v>3</v>
      </c>
      <c r="DK39" s="1">
        <v>6</v>
      </c>
      <c r="DL39" s="12"/>
      <c r="DM39" s="7" t="s">
        <v>291</v>
      </c>
      <c r="DN39" s="7" t="s">
        <v>296</v>
      </c>
      <c r="DO39" s="1">
        <v>1</v>
      </c>
      <c r="DP39" s="1">
        <v>6</v>
      </c>
      <c r="DQ39" s="12"/>
      <c r="DR39" s="7" t="s">
        <v>300</v>
      </c>
      <c r="DS39" s="7" t="s">
        <v>296</v>
      </c>
      <c r="DT39" s="1">
        <v>2</v>
      </c>
      <c r="DU39" s="1">
        <v>6</v>
      </c>
      <c r="DV39" s="12"/>
      <c r="DW39" s="7" t="s">
        <v>300</v>
      </c>
      <c r="DX39" s="7" t="s">
        <v>296</v>
      </c>
      <c r="DY39" s="1">
        <v>2</v>
      </c>
      <c r="DZ39" s="1">
        <v>6</v>
      </c>
      <c r="EA39" s="12"/>
      <c r="EB39" s="7" t="s">
        <v>291</v>
      </c>
      <c r="EC39" s="7" t="s">
        <v>292</v>
      </c>
      <c r="ED39" s="1">
        <v>1</v>
      </c>
      <c r="EE39" s="1">
        <v>5</v>
      </c>
      <c r="EF39" s="12"/>
      <c r="EG39" s="7" t="s">
        <v>300</v>
      </c>
      <c r="EH39" s="7" t="s">
        <v>296</v>
      </c>
      <c r="EI39" s="1">
        <v>2</v>
      </c>
      <c r="EJ39" s="1">
        <v>6</v>
      </c>
      <c r="EK39" s="12"/>
      <c r="EL39" s="7" t="s">
        <v>300</v>
      </c>
      <c r="EM39" s="7" t="s">
        <v>292</v>
      </c>
      <c r="EN39" s="1">
        <v>2</v>
      </c>
      <c r="EO39" s="1">
        <v>5</v>
      </c>
      <c r="EP39" s="12"/>
      <c r="EQ39" s="7" t="s">
        <v>291</v>
      </c>
      <c r="ER39" s="7" t="s">
        <v>292</v>
      </c>
      <c r="ES39" s="1">
        <v>1</v>
      </c>
      <c r="ET39" s="1">
        <v>5</v>
      </c>
      <c r="EU39" s="12"/>
      <c r="EV39" s="7" t="s">
        <v>300</v>
      </c>
      <c r="EW39" s="7" t="s">
        <v>296</v>
      </c>
      <c r="EX39" s="1">
        <v>2</v>
      </c>
      <c r="EY39" s="1">
        <v>6</v>
      </c>
      <c r="EZ39" s="12"/>
      <c r="FA39" s="7" t="s">
        <v>301</v>
      </c>
      <c r="FB39" s="7" t="s">
        <v>296</v>
      </c>
      <c r="FC39" s="1">
        <v>5</v>
      </c>
      <c r="FD39" s="1">
        <v>6</v>
      </c>
      <c r="FE39" s="12"/>
      <c r="FF39" s="7" t="s">
        <v>291</v>
      </c>
      <c r="FG39" s="7" t="s">
        <v>292</v>
      </c>
      <c r="FH39" s="1">
        <v>1</v>
      </c>
      <c r="FI39" s="1">
        <v>5</v>
      </c>
      <c r="FJ39" s="12"/>
      <c r="FK39" s="7" t="s">
        <v>300</v>
      </c>
      <c r="FL39" s="7" t="s">
        <v>296</v>
      </c>
      <c r="FM39" s="1">
        <v>2</v>
      </c>
      <c r="FN39" s="1">
        <v>6</v>
      </c>
      <c r="FO39" s="12"/>
      <c r="FP39" s="7" t="s">
        <v>301</v>
      </c>
      <c r="FQ39" s="7" t="s">
        <v>292</v>
      </c>
      <c r="FR39" s="1">
        <v>5</v>
      </c>
      <c r="FS39" s="1">
        <v>5</v>
      </c>
      <c r="FT39" s="10"/>
      <c r="FU39" s="7" t="s">
        <v>755</v>
      </c>
      <c r="FV39" s="7" t="s">
        <v>756</v>
      </c>
      <c r="FW39" s="7" t="s">
        <v>757</v>
      </c>
      <c r="FX39" s="7" t="s">
        <v>758</v>
      </c>
      <c r="FY39" s="7" t="s">
        <v>759</v>
      </c>
      <c r="FZ39" s="7" t="s">
        <v>760</v>
      </c>
      <c r="GA39" s="7" t="s">
        <v>761</v>
      </c>
      <c r="GB39" s="7" t="s">
        <v>762</v>
      </c>
      <c r="GC39" s="7" t="s">
        <v>763</v>
      </c>
      <c r="GD39" s="7" t="s">
        <v>763</v>
      </c>
      <c r="GE39" s="7" t="s">
        <v>282</v>
      </c>
      <c r="GF39" s="7" t="s">
        <v>282</v>
      </c>
      <c r="GG39" s="7" t="s">
        <v>372</v>
      </c>
      <c r="GH39" s="7" t="s">
        <v>325</v>
      </c>
    </row>
    <row r="40" spans="1:190" x14ac:dyDescent="0.2">
      <c r="A40">
        <v>38</v>
      </c>
      <c r="B40">
        <v>100</v>
      </c>
      <c r="C40">
        <v>1766</v>
      </c>
      <c r="D40" s="7" t="s">
        <v>280</v>
      </c>
      <c r="E40" s="7" t="s">
        <v>544</v>
      </c>
      <c r="F40" s="7" t="s">
        <v>558</v>
      </c>
      <c r="G40" s="4" t="s">
        <v>1287</v>
      </c>
      <c r="H40" s="7" t="s">
        <v>288</v>
      </c>
      <c r="I40" s="1">
        <v>5</v>
      </c>
      <c r="J40" s="7" t="s">
        <v>289</v>
      </c>
      <c r="K40" s="1">
        <v>1</v>
      </c>
      <c r="L40" s="7" t="s">
        <v>289</v>
      </c>
      <c r="M40" s="1">
        <v>1</v>
      </c>
      <c r="N40" s="7" t="s">
        <v>317</v>
      </c>
      <c r="O40" s="1">
        <v>2</v>
      </c>
      <c r="P40" s="12"/>
      <c r="Q40" s="7" t="s">
        <v>291</v>
      </c>
      <c r="R40" s="7" t="s">
        <v>292</v>
      </c>
      <c r="S40" s="1">
        <v>1</v>
      </c>
      <c r="T40" s="1">
        <v>5</v>
      </c>
      <c r="U40" s="12"/>
      <c r="V40" s="7" t="s">
        <v>293</v>
      </c>
      <c r="W40" s="7" t="s">
        <v>297</v>
      </c>
      <c r="X40" s="1">
        <v>2</v>
      </c>
      <c r="Y40" s="1">
        <v>4</v>
      </c>
      <c r="Z40" s="12"/>
      <c r="AA40" s="7" t="s">
        <v>293</v>
      </c>
      <c r="AB40" s="7" t="s">
        <v>297</v>
      </c>
      <c r="AC40" s="1">
        <v>2</v>
      </c>
      <c r="AD40" s="1">
        <v>4</v>
      </c>
      <c r="AE40" s="12"/>
      <c r="AF40" s="7" t="s">
        <v>295</v>
      </c>
      <c r="AG40" s="7" t="s">
        <v>297</v>
      </c>
      <c r="AH40" s="1">
        <v>5</v>
      </c>
      <c r="AI40" s="1">
        <v>4</v>
      </c>
      <c r="AJ40" s="12"/>
      <c r="AK40" s="7" t="s">
        <v>299</v>
      </c>
      <c r="AL40" s="7" t="s">
        <v>296</v>
      </c>
      <c r="AM40" s="1">
        <v>4</v>
      </c>
      <c r="AN40" s="1">
        <v>6</v>
      </c>
      <c r="AO40" s="12"/>
      <c r="AP40" s="7" t="s">
        <v>291</v>
      </c>
      <c r="AQ40" s="7" t="s">
        <v>296</v>
      </c>
      <c r="AR40" s="1">
        <v>1</v>
      </c>
      <c r="AS40" s="1">
        <v>6</v>
      </c>
      <c r="AT40" s="12"/>
      <c r="AU40" s="7" t="s">
        <v>293</v>
      </c>
      <c r="AV40" s="7" t="s">
        <v>292</v>
      </c>
      <c r="AW40" s="1">
        <v>2</v>
      </c>
      <c r="AX40" s="1">
        <v>5</v>
      </c>
      <c r="AY40" s="12"/>
      <c r="AZ40" s="7" t="s">
        <v>282</v>
      </c>
      <c r="BA40" s="7" t="s">
        <v>297</v>
      </c>
      <c r="BB40" s="4" t="s">
        <v>282</v>
      </c>
      <c r="BC40" s="1">
        <v>4</v>
      </c>
      <c r="BD40" s="12"/>
      <c r="BE40" s="7" t="s">
        <v>295</v>
      </c>
      <c r="BF40" s="7" t="s">
        <v>330</v>
      </c>
      <c r="BG40" s="1">
        <v>5</v>
      </c>
      <c r="BH40" s="1">
        <v>3</v>
      </c>
      <c r="BI40" s="12"/>
      <c r="BJ40" s="7" t="s">
        <v>293</v>
      </c>
      <c r="BK40" s="7" t="s">
        <v>292</v>
      </c>
      <c r="BL40" s="1">
        <v>2</v>
      </c>
      <c r="BM40" s="1">
        <v>5</v>
      </c>
      <c r="BN40" s="12"/>
      <c r="BO40" s="7" t="s">
        <v>291</v>
      </c>
      <c r="BP40" s="7" t="s">
        <v>296</v>
      </c>
      <c r="BQ40" s="1">
        <v>1</v>
      </c>
      <c r="BR40" s="1">
        <v>6</v>
      </c>
      <c r="BS40" s="12"/>
      <c r="BT40" s="7" t="s">
        <v>293</v>
      </c>
      <c r="BU40" s="7" t="s">
        <v>296</v>
      </c>
      <c r="BV40" s="1">
        <v>2</v>
      </c>
      <c r="BW40" s="1">
        <v>6</v>
      </c>
      <c r="BX40" s="12"/>
      <c r="BY40" s="7" t="s">
        <v>293</v>
      </c>
      <c r="BZ40" s="7" t="s">
        <v>330</v>
      </c>
      <c r="CA40" s="1">
        <v>2</v>
      </c>
      <c r="CB40" s="1">
        <v>3</v>
      </c>
      <c r="CC40" s="12"/>
      <c r="CD40" s="7" t="s">
        <v>298</v>
      </c>
      <c r="CE40" s="7" t="s">
        <v>330</v>
      </c>
      <c r="CF40" s="1">
        <v>3</v>
      </c>
      <c r="CG40" s="1">
        <v>3</v>
      </c>
      <c r="CH40" s="12"/>
      <c r="CI40" s="7" t="s">
        <v>298</v>
      </c>
      <c r="CJ40" s="7" t="s">
        <v>292</v>
      </c>
      <c r="CK40" s="1">
        <v>3</v>
      </c>
      <c r="CL40" s="1">
        <v>5</v>
      </c>
      <c r="CM40" s="12"/>
      <c r="CN40" s="7" t="s">
        <v>291</v>
      </c>
      <c r="CO40" s="7" t="s">
        <v>297</v>
      </c>
      <c r="CP40" s="1">
        <v>1</v>
      </c>
      <c r="CQ40" s="1">
        <v>4</v>
      </c>
      <c r="CR40" s="12"/>
      <c r="CS40" s="7" t="s">
        <v>293</v>
      </c>
      <c r="CT40" s="7" t="s">
        <v>296</v>
      </c>
      <c r="CU40" s="1">
        <v>2</v>
      </c>
      <c r="CV40" s="1">
        <v>6</v>
      </c>
      <c r="CW40" s="12"/>
      <c r="CX40" s="7" t="s">
        <v>299</v>
      </c>
      <c r="CY40" s="7" t="s">
        <v>297</v>
      </c>
      <c r="CZ40" s="1">
        <v>4</v>
      </c>
      <c r="DA40" s="1">
        <v>4</v>
      </c>
      <c r="DB40" s="12"/>
      <c r="DC40" s="7" t="s">
        <v>298</v>
      </c>
      <c r="DD40" s="7" t="s">
        <v>297</v>
      </c>
      <c r="DE40" s="1">
        <v>3</v>
      </c>
      <c r="DF40" s="1">
        <v>4</v>
      </c>
      <c r="DG40" s="12"/>
      <c r="DH40" s="7" t="s">
        <v>298</v>
      </c>
      <c r="DI40" s="7" t="s">
        <v>292</v>
      </c>
      <c r="DJ40" s="1">
        <v>3</v>
      </c>
      <c r="DK40" s="1">
        <v>5</v>
      </c>
      <c r="DL40" s="12"/>
      <c r="DM40" s="7" t="s">
        <v>291</v>
      </c>
      <c r="DN40" s="7" t="s">
        <v>296</v>
      </c>
      <c r="DO40" s="1">
        <v>1</v>
      </c>
      <c r="DP40" s="1">
        <v>6</v>
      </c>
      <c r="DQ40" s="12"/>
      <c r="DR40" s="7" t="s">
        <v>300</v>
      </c>
      <c r="DS40" s="7" t="s">
        <v>296</v>
      </c>
      <c r="DT40" s="1">
        <v>2</v>
      </c>
      <c r="DU40" s="1">
        <v>6</v>
      </c>
      <c r="DV40" s="12"/>
      <c r="DW40" s="7" t="s">
        <v>301</v>
      </c>
      <c r="DX40" s="7" t="s">
        <v>297</v>
      </c>
      <c r="DY40" s="1">
        <v>5</v>
      </c>
      <c r="DZ40" s="1">
        <v>4</v>
      </c>
      <c r="EA40" s="12"/>
      <c r="EB40" s="7" t="s">
        <v>291</v>
      </c>
      <c r="EC40" s="7" t="s">
        <v>292</v>
      </c>
      <c r="ED40" s="1">
        <v>1</v>
      </c>
      <c r="EE40" s="1">
        <v>5</v>
      </c>
      <c r="EF40" s="12"/>
      <c r="EG40" s="7" t="s">
        <v>300</v>
      </c>
      <c r="EH40" s="7" t="s">
        <v>296</v>
      </c>
      <c r="EI40" s="1">
        <v>2</v>
      </c>
      <c r="EJ40" s="1">
        <v>6</v>
      </c>
      <c r="EK40" s="12"/>
      <c r="EL40" s="7" t="s">
        <v>301</v>
      </c>
      <c r="EM40" s="7" t="s">
        <v>296</v>
      </c>
      <c r="EN40" s="1">
        <v>5</v>
      </c>
      <c r="EO40" s="1">
        <v>6</v>
      </c>
      <c r="EP40" s="12"/>
      <c r="EQ40" s="7" t="s">
        <v>291</v>
      </c>
      <c r="ER40" s="7" t="s">
        <v>292</v>
      </c>
      <c r="ES40" s="1">
        <v>1</v>
      </c>
      <c r="ET40" s="1">
        <v>5</v>
      </c>
      <c r="EU40" s="12"/>
      <c r="EV40" s="7" t="s">
        <v>300</v>
      </c>
      <c r="EW40" s="7" t="s">
        <v>296</v>
      </c>
      <c r="EX40" s="1">
        <v>2</v>
      </c>
      <c r="EY40" s="1">
        <v>6</v>
      </c>
      <c r="EZ40" s="12"/>
      <c r="FA40" s="7" t="s">
        <v>301</v>
      </c>
      <c r="FB40" s="7" t="s">
        <v>292</v>
      </c>
      <c r="FC40" s="1">
        <v>5</v>
      </c>
      <c r="FD40" s="1">
        <v>5</v>
      </c>
      <c r="FE40" s="12"/>
      <c r="FF40" s="7" t="s">
        <v>291</v>
      </c>
      <c r="FG40" s="7" t="s">
        <v>292</v>
      </c>
      <c r="FH40" s="1">
        <v>1</v>
      </c>
      <c r="FI40" s="1">
        <v>5</v>
      </c>
      <c r="FJ40" s="12"/>
      <c r="FK40" s="7" t="s">
        <v>300</v>
      </c>
      <c r="FL40" s="7" t="s">
        <v>296</v>
      </c>
      <c r="FM40" s="1">
        <v>2</v>
      </c>
      <c r="FN40" s="1">
        <v>6</v>
      </c>
      <c r="FO40" s="12"/>
      <c r="FP40" s="7" t="s">
        <v>300</v>
      </c>
      <c r="FQ40" s="7" t="s">
        <v>292</v>
      </c>
      <c r="FR40" s="1">
        <v>2</v>
      </c>
      <c r="FS40" s="1">
        <v>5</v>
      </c>
      <c r="FT40" s="10"/>
      <c r="FU40" s="7" t="s">
        <v>766</v>
      </c>
      <c r="FV40" s="7" t="s">
        <v>766</v>
      </c>
      <c r="FW40" s="7" t="s">
        <v>767</v>
      </c>
      <c r="FX40" s="7" t="s">
        <v>767</v>
      </c>
      <c r="FY40" s="7" t="s">
        <v>768</v>
      </c>
      <c r="FZ40" s="7" t="s">
        <v>769</v>
      </c>
      <c r="GA40" s="7" t="s">
        <v>770</v>
      </c>
      <c r="GB40" s="7" t="s">
        <v>770</v>
      </c>
      <c r="GC40" s="7" t="s">
        <v>771</v>
      </c>
      <c r="GD40" s="7" t="s">
        <v>772</v>
      </c>
      <c r="GE40" s="7" t="s">
        <v>773</v>
      </c>
      <c r="GF40" s="7" t="s">
        <v>282</v>
      </c>
      <c r="GG40" s="7" t="s">
        <v>372</v>
      </c>
      <c r="GH40" s="7" t="s">
        <v>325</v>
      </c>
    </row>
    <row r="41" spans="1:190" x14ac:dyDescent="0.2">
      <c r="A41">
        <v>39</v>
      </c>
      <c r="B41">
        <v>100</v>
      </c>
      <c r="C41">
        <v>2884</v>
      </c>
      <c r="D41" s="7" t="s">
        <v>280</v>
      </c>
      <c r="E41" s="7" t="s">
        <v>412</v>
      </c>
      <c r="F41" s="7" t="s">
        <v>776</v>
      </c>
      <c r="G41" s="4" t="s">
        <v>1292</v>
      </c>
      <c r="H41" s="7" t="s">
        <v>288</v>
      </c>
      <c r="I41" s="1">
        <v>5</v>
      </c>
      <c r="J41" s="7" t="s">
        <v>317</v>
      </c>
      <c r="K41" s="1">
        <v>2</v>
      </c>
      <c r="L41" s="7" t="s">
        <v>289</v>
      </c>
      <c r="M41" s="1">
        <v>1</v>
      </c>
      <c r="N41" s="7" t="s">
        <v>317</v>
      </c>
      <c r="O41" s="1">
        <v>2</v>
      </c>
      <c r="P41" s="12"/>
      <c r="Q41" s="7" t="s">
        <v>291</v>
      </c>
      <c r="R41" s="7" t="s">
        <v>297</v>
      </c>
      <c r="S41" s="1">
        <v>1</v>
      </c>
      <c r="T41" s="1">
        <v>4</v>
      </c>
      <c r="U41" s="12"/>
      <c r="V41" s="7" t="s">
        <v>293</v>
      </c>
      <c r="W41" s="7" t="s">
        <v>292</v>
      </c>
      <c r="X41" s="1">
        <v>2</v>
      </c>
      <c r="Y41" s="1">
        <v>5</v>
      </c>
      <c r="Z41" s="12"/>
      <c r="AA41" s="7" t="s">
        <v>293</v>
      </c>
      <c r="AB41" s="7" t="s">
        <v>292</v>
      </c>
      <c r="AC41" s="1">
        <v>2</v>
      </c>
      <c r="AD41" s="1">
        <v>5</v>
      </c>
      <c r="AE41" s="12"/>
      <c r="AF41" s="7" t="s">
        <v>295</v>
      </c>
      <c r="AG41" s="7" t="s">
        <v>297</v>
      </c>
      <c r="AH41" s="1">
        <v>5</v>
      </c>
      <c r="AI41" s="1">
        <v>4</v>
      </c>
      <c r="AJ41" s="12"/>
      <c r="AK41" s="7" t="s">
        <v>295</v>
      </c>
      <c r="AL41" s="7" t="s">
        <v>297</v>
      </c>
      <c r="AM41" s="1">
        <v>5</v>
      </c>
      <c r="AN41" s="1">
        <v>4</v>
      </c>
      <c r="AO41" s="12"/>
      <c r="AP41" s="7" t="s">
        <v>291</v>
      </c>
      <c r="AQ41" s="7" t="s">
        <v>297</v>
      </c>
      <c r="AR41" s="1">
        <v>1</v>
      </c>
      <c r="AS41" s="1">
        <v>4</v>
      </c>
      <c r="AT41" s="12"/>
      <c r="AU41" s="7" t="s">
        <v>293</v>
      </c>
      <c r="AV41" s="7" t="s">
        <v>292</v>
      </c>
      <c r="AW41" s="1">
        <v>2</v>
      </c>
      <c r="AX41" s="1">
        <v>5</v>
      </c>
      <c r="AY41" s="12"/>
      <c r="AZ41" s="7" t="s">
        <v>291</v>
      </c>
      <c r="BA41" s="7" t="s">
        <v>297</v>
      </c>
      <c r="BB41" s="1">
        <v>1</v>
      </c>
      <c r="BC41" s="1">
        <v>4</v>
      </c>
      <c r="BD41" s="12"/>
      <c r="BE41" s="7" t="s">
        <v>295</v>
      </c>
      <c r="BF41" s="7" t="s">
        <v>297</v>
      </c>
      <c r="BG41" s="1">
        <v>5</v>
      </c>
      <c r="BH41" s="1">
        <v>4</v>
      </c>
      <c r="BI41" s="12"/>
      <c r="BJ41" s="7" t="s">
        <v>299</v>
      </c>
      <c r="BK41" s="7" t="s">
        <v>292</v>
      </c>
      <c r="BL41" s="1">
        <v>4</v>
      </c>
      <c r="BM41" s="1">
        <v>5</v>
      </c>
      <c r="BN41" s="12"/>
      <c r="BO41" s="7" t="s">
        <v>291</v>
      </c>
      <c r="BP41" s="7" t="s">
        <v>292</v>
      </c>
      <c r="BQ41" s="1">
        <v>1</v>
      </c>
      <c r="BR41" s="1">
        <v>5</v>
      </c>
      <c r="BS41" s="12"/>
      <c r="BT41" s="7" t="s">
        <v>293</v>
      </c>
      <c r="BU41" s="7" t="s">
        <v>297</v>
      </c>
      <c r="BV41" s="1">
        <v>2</v>
      </c>
      <c r="BW41" s="1">
        <v>4</v>
      </c>
      <c r="BX41" s="12"/>
      <c r="BY41" s="7" t="s">
        <v>291</v>
      </c>
      <c r="BZ41" s="7" t="s">
        <v>297</v>
      </c>
      <c r="CA41" s="1">
        <v>1</v>
      </c>
      <c r="CB41" s="1">
        <v>4</v>
      </c>
      <c r="CC41" s="12"/>
      <c r="CD41" s="7" t="s">
        <v>295</v>
      </c>
      <c r="CE41" s="7" t="s">
        <v>297</v>
      </c>
      <c r="CF41" s="1">
        <v>5</v>
      </c>
      <c r="CG41" s="1">
        <v>4</v>
      </c>
      <c r="CH41" s="12"/>
      <c r="CI41" s="7" t="s">
        <v>299</v>
      </c>
      <c r="CJ41" s="7" t="s">
        <v>297</v>
      </c>
      <c r="CK41" s="1">
        <v>4</v>
      </c>
      <c r="CL41" s="1">
        <v>4</v>
      </c>
      <c r="CM41" s="12"/>
      <c r="CN41" s="7" t="s">
        <v>291</v>
      </c>
      <c r="CO41" s="7" t="s">
        <v>297</v>
      </c>
      <c r="CP41" s="1">
        <v>1</v>
      </c>
      <c r="CQ41" s="1">
        <v>4</v>
      </c>
      <c r="CR41" s="12"/>
      <c r="CS41" s="7" t="s">
        <v>293</v>
      </c>
      <c r="CT41" s="7" t="s">
        <v>297</v>
      </c>
      <c r="CU41" s="1">
        <v>2</v>
      </c>
      <c r="CV41" s="1">
        <v>4</v>
      </c>
      <c r="CW41" s="12"/>
      <c r="CX41" s="7" t="s">
        <v>298</v>
      </c>
      <c r="CY41" s="7" t="s">
        <v>297</v>
      </c>
      <c r="CZ41" s="1">
        <v>3</v>
      </c>
      <c r="DA41" s="1">
        <v>4</v>
      </c>
      <c r="DB41" s="12"/>
      <c r="DC41" s="7" t="s">
        <v>298</v>
      </c>
      <c r="DD41" s="7" t="s">
        <v>297</v>
      </c>
      <c r="DE41" s="1">
        <v>3</v>
      </c>
      <c r="DF41" s="1">
        <v>4</v>
      </c>
      <c r="DG41" s="12"/>
      <c r="DH41" s="7" t="s">
        <v>299</v>
      </c>
      <c r="DI41" s="7" t="s">
        <v>297</v>
      </c>
      <c r="DJ41" s="1">
        <v>4</v>
      </c>
      <c r="DK41" s="1">
        <v>4</v>
      </c>
      <c r="DL41" s="12"/>
      <c r="DM41" s="7" t="s">
        <v>291</v>
      </c>
      <c r="DN41" s="7" t="s">
        <v>292</v>
      </c>
      <c r="DO41" s="1">
        <v>1</v>
      </c>
      <c r="DP41" s="1">
        <v>5</v>
      </c>
      <c r="DQ41" s="12"/>
      <c r="DR41" s="7" t="s">
        <v>300</v>
      </c>
      <c r="DS41" s="7" t="s">
        <v>292</v>
      </c>
      <c r="DT41" s="1">
        <v>2</v>
      </c>
      <c r="DU41" s="1">
        <v>5</v>
      </c>
      <c r="DV41" s="12"/>
      <c r="DW41" s="7" t="s">
        <v>301</v>
      </c>
      <c r="DX41" s="7" t="s">
        <v>292</v>
      </c>
      <c r="DY41" s="1">
        <v>5</v>
      </c>
      <c r="DZ41" s="1">
        <v>5</v>
      </c>
      <c r="EA41" s="12"/>
      <c r="EB41" s="7" t="s">
        <v>291</v>
      </c>
      <c r="EC41" s="7" t="s">
        <v>292</v>
      </c>
      <c r="ED41" s="1">
        <v>1</v>
      </c>
      <c r="EE41" s="1">
        <v>5</v>
      </c>
      <c r="EF41" s="12"/>
      <c r="EG41" s="7" t="s">
        <v>300</v>
      </c>
      <c r="EH41" s="7" t="s">
        <v>292</v>
      </c>
      <c r="EI41" s="1">
        <v>2</v>
      </c>
      <c r="EJ41" s="1">
        <v>5</v>
      </c>
      <c r="EK41" s="12"/>
      <c r="EL41" s="7" t="s">
        <v>301</v>
      </c>
      <c r="EM41" s="7" t="s">
        <v>292</v>
      </c>
      <c r="EN41" s="1">
        <v>5</v>
      </c>
      <c r="EO41" s="1">
        <v>5</v>
      </c>
      <c r="EP41" s="12"/>
      <c r="EQ41" s="7" t="s">
        <v>291</v>
      </c>
      <c r="ER41" s="7" t="s">
        <v>292</v>
      </c>
      <c r="ES41" s="1">
        <v>1</v>
      </c>
      <c r="ET41" s="1">
        <v>5</v>
      </c>
      <c r="EU41" s="12"/>
      <c r="EV41" s="7" t="s">
        <v>300</v>
      </c>
      <c r="EW41" s="7" t="s">
        <v>292</v>
      </c>
      <c r="EX41" s="1">
        <v>2</v>
      </c>
      <c r="EY41" s="1">
        <v>5</v>
      </c>
      <c r="EZ41" s="12"/>
      <c r="FA41" s="7" t="s">
        <v>301</v>
      </c>
      <c r="FB41" s="7" t="s">
        <v>292</v>
      </c>
      <c r="FC41" s="1">
        <v>5</v>
      </c>
      <c r="FD41" s="1">
        <v>5</v>
      </c>
      <c r="FE41" s="12"/>
      <c r="FF41" s="7" t="s">
        <v>291</v>
      </c>
      <c r="FG41" s="7" t="s">
        <v>292</v>
      </c>
      <c r="FH41" s="1">
        <v>1</v>
      </c>
      <c r="FI41" s="1">
        <v>5</v>
      </c>
      <c r="FJ41" s="12"/>
      <c r="FK41" s="7" t="s">
        <v>300</v>
      </c>
      <c r="FL41" s="7" t="s">
        <v>292</v>
      </c>
      <c r="FM41" s="1">
        <v>2</v>
      </c>
      <c r="FN41" s="1">
        <v>5</v>
      </c>
      <c r="FO41" s="12"/>
      <c r="FP41" s="7" t="s">
        <v>301</v>
      </c>
      <c r="FQ41" s="7" t="s">
        <v>292</v>
      </c>
      <c r="FR41" s="1">
        <v>5</v>
      </c>
      <c r="FS41" s="1">
        <v>5</v>
      </c>
      <c r="FT41" s="10"/>
      <c r="FU41" s="7" t="s">
        <v>777</v>
      </c>
      <c r="FV41" s="7" t="s">
        <v>777</v>
      </c>
      <c r="FW41" s="7" t="s">
        <v>778</v>
      </c>
      <c r="FX41" s="7" t="s">
        <v>778</v>
      </c>
      <c r="FY41" s="7" t="s">
        <v>779</v>
      </c>
      <c r="FZ41" s="7" t="s">
        <v>779</v>
      </c>
      <c r="GA41" s="7" t="s">
        <v>780</v>
      </c>
      <c r="GB41" s="7" t="s">
        <v>780</v>
      </c>
      <c r="GC41" s="7" t="s">
        <v>780</v>
      </c>
      <c r="GD41" s="7" t="s">
        <v>781</v>
      </c>
      <c r="GE41" s="7" t="s">
        <v>282</v>
      </c>
      <c r="GF41" s="7" t="s">
        <v>282</v>
      </c>
      <c r="GG41" s="7" t="s">
        <v>372</v>
      </c>
      <c r="GH41" s="7" t="s">
        <v>325</v>
      </c>
    </row>
    <row r="42" spans="1:190" x14ac:dyDescent="0.2">
      <c r="A42">
        <v>40</v>
      </c>
      <c r="B42">
        <v>100</v>
      </c>
      <c r="C42">
        <v>1546</v>
      </c>
      <c r="D42" s="7" t="s">
        <v>280</v>
      </c>
      <c r="E42" s="7" t="s">
        <v>359</v>
      </c>
      <c r="F42" s="7" t="s">
        <v>375</v>
      </c>
      <c r="G42" s="4" t="s">
        <v>497</v>
      </c>
      <c r="H42" s="7" t="s">
        <v>288</v>
      </c>
      <c r="I42" s="1">
        <v>5</v>
      </c>
      <c r="J42" s="7" t="s">
        <v>329</v>
      </c>
      <c r="K42" s="1">
        <v>3</v>
      </c>
      <c r="L42" s="7" t="s">
        <v>289</v>
      </c>
      <c r="M42" s="1">
        <v>1</v>
      </c>
      <c r="N42" s="7" t="s">
        <v>329</v>
      </c>
      <c r="O42" s="1">
        <v>3</v>
      </c>
      <c r="P42" s="12"/>
      <c r="Q42" s="7" t="s">
        <v>291</v>
      </c>
      <c r="R42" s="7" t="s">
        <v>296</v>
      </c>
      <c r="S42" s="1">
        <v>1</v>
      </c>
      <c r="T42" s="1">
        <v>6</v>
      </c>
      <c r="U42" s="12"/>
      <c r="V42" s="7" t="s">
        <v>293</v>
      </c>
      <c r="W42" s="7" t="s">
        <v>296</v>
      </c>
      <c r="X42" s="1">
        <v>2</v>
      </c>
      <c r="Y42" s="1">
        <v>6</v>
      </c>
      <c r="Z42" s="12"/>
      <c r="AA42" s="7" t="s">
        <v>293</v>
      </c>
      <c r="AB42" s="7" t="s">
        <v>296</v>
      </c>
      <c r="AC42" s="1">
        <v>2</v>
      </c>
      <c r="AD42" s="1">
        <v>6</v>
      </c>
      <c r="AE42" s="12"/>
      <c r="AF42" s="7" t="s">
        <v>295</v>
      </c>
      <c r="AG42" s="7" t="s">
        <v>294</v>
      </c>
      <c r="AH42" s="1">
        <v>5</v>
      </c>
      <c r="AI42" s="1">
        <v>7</v>
      </c>
      <c r="AJ42" s="12"/>
      <c r="AK42" s="7" t="s">
        <v>295</v>
      </c>
      <c r="AL42" s="7" t="s">
        <v>292</v>
      </c>
      <c r="AM42" s="1">
        <v>5</v>
      </c>
      <c r="AN42" s="1">
        <v>5</v>
      </c>
      <c r="AO42" s="12"/>
      <c r="AP42" s="7" t="s">
        <v>291</v>
      </c>
      <c r="AQ42" s="7" t="s">
        <v>296</v>
      </c>
      <c r="AR42" s="1">
        <v>1</v>
      </c>
      <c r="AS42" s="1">
        <v>6</v>
      </c>
      <c r="AT42" s="12"/>
      <c r="AU42" s="7" t="s">
        <v>293</v>
      </c>
      <c r="AV42" s="7" t="s">
        <v>296</v>
      </c>
      <c r="AW42" s="1">
        <v>2</v>
      </c>
      <c r="AX42" s="1">
        <v>6</v>
      </c>
      <c r="AY42" s="12"/>
      <c r="AZ42" s="7" t="s">
        <v>291</v>
      </c>
      <c r="BA42" s="7" t="s">
        <v>294</v>
      </c>
      <c r="BB42" s="1">
        <v>1</v>
      </c>
      <c r="BC42" s="1">
        <v>7</v>
      </c>
      <c r="BD42" s="12"/>
      <c r="BE42" s="7" t="s">
        <v>298</v>
      </c>
      <c r="BF42" s="7" t="s">
        <v>296</v>
      </c>
      <c r="BG42" s="1">
        <v>3</v>
      </c>
      <c r="BH42" s="1">
        <v>6</v>
      </c>
      <c r="BI42" s="12"/>
      <c r="BJ42" s="7" t="s">
        <v>298</v>
      </c>
      <c r="BK42" s="7" t="s">
        <v>296</v>
      </c>
      <c r="BL42" s="1">
        <v>3</v>
      </c>
      <c r="BM42" s="1">
        <v>6</v>
      </c>
      <c r="BN42" s="12"/>
      <c r="BO42" s="7" t="s">
        <v>291</v>
      </c>
      <c r="BP42" s="7" t="s">
        <v>296</v>
      </c>
      <c r="BQ42" s="1">
        <v>1</v>
      </c>
      <c r="BR42" s="1">
        <v>6</v>
      </c>
      <c r="BS42" s="12"/>
      <c r="BT42" s="7" t="s">
        <v>293</v>
      </c>
      <c r="BU42" s="7" t="s">
        <v>296</v>
      </c>
      <c r="BV42" s="1">
        <v>2</v>
      </c>
      <c r="BW42" s="1">
        <v>6</v>
      </c>
      <c r="BX42" s="12"/>
      <c r="BY42" s="7" t="s">
        <v>291</v>
      </c>
      <c r="BZ42" s="7" t="s">
        <v>292</v>
      </c>
      <c r="CA42" s="1">
        <v>1</v>
      </c>
      <c r="CB42" s="1">
        <v>5</v>
      </c>
      <c r="CC42" s="12"/>
      <c r="CD42" s="7" t="s">
        <v>299</v>
      </c>
      <c r="CE42" s="7" t="s">
        <v>292</v>
      </c>
      <c r="CF42" s="1">
        <v>4</v>
      </c>
      <c r="CG42" s="1">
        <v>5</v>
      </c>
      <c r="CH42" s="12"/>
      <c r="CI42" s="7" t="s">
        <v>298</v>
      </c>
      <c r="CJ42" s="7" t="s">
        <v>294</v>
      </c>
      <c r="CK42" s="1">
        <v>3</v>
      </c>
      <c r="CL42" s="1">
        <v>7</v>
      </c>
      <c r="CM42" s="12"/>
      <c r="CN42" s="7" t="s">
        <v>291</v>
      </c>
      <c r="CO42" s="7" t="s">
        <v>296</v>
      </c>
      <c r="CP42" s="1">
        <v>1</v>
      </c>
      <c r="CQ42" s="1">
        <v>6</v>
      </c>
      <c r="CR42" s="12"/>
      <c r="CS42" s="7" t="s">
        <v>293</v>
      </c>
      <c r="CT42" s="7" t="s">
        <v>294</v>
      </c>
      <c r="CU42" s="1">
        <v>2</v>
      </c>
      <c r="CV42" s="1">
        <v>7</v>
      </c>
      <c r="CW42" s="12"/>
      <c r="CX42" s="7" t="s">
        <v>299</v>
      </c>
      <c r="CY42" s="7" t="s">
        <v>292</v>
      </c>
      <c r="CZ42" s="1">
        <v>4</v>
      </c>
      <c r="DA42" s="1">
        <v>5</v>
      </c>
      <c r="DB42" s="12"/>
      <c r="DC42" s="7" t="s">
        <v>295</v>
      </c>
      <c r="DD42" s="7" t="s">
        <v>292</v>
      </c>
      <c r="DE42" s="1">
        <v>5</v>
      </c>
      <c r="DF42" s="1">
        <v>5</v>
      </c>
      <c r="DG42" s="12"/>
      <c r="DH42" s="7" t="s">
        <v>298</v>
      </c>
      <c r="DI42" s="7" t="s">
        <v>296</v>
      </c>
      <c r="DJ42" s="1">
        <v>3</v>
      </c>
      <c r="DK42" s="1">
        <v>6</v>
      </c>
      <c r="DL42" s="12"/>
      <c r="DM42" s="7" t="s">
        <v>291</v>
      </c>
      <c r="DN42" s="7" t="s">
        <v>292</v>
      </c>
      <c r="DO42" s="1">
        <v>1</v>
      </c>
      <c r="DP42" s="1">
        <v>5</v>
      </c>
      <c r="DQ42" s="12"/>
      <c r="DR42" s="7" t="s">
        <v>619</v>
      </c>
      <c r="DS42" s="7" t="s">
        <v>292</v>
      </c>
      <c r="DT42" s="1">
        <v>1</v>
      </c>
      <c r="DU42" s="1">
        <v>5</v>
      </c>
      <c r="DV42" s="12"/>
      <c r="DW42" s="7" t="s">
        <v>301</v>
      </c>
      <c r="DX42" s="7" t="s">
        <v>292</v>
      </c>
      <c r="DY42" s="1">
        <v>5</v>
      </c>
      <c r="DZ42" s="1">
        <v>5</v>
      </c>
      <c r="EA42" s="12"/>
      <c r="EB42" s="7" t="s">
        <v>291</v>
      </c>
      <c r="EC42" s="7" t="s">
        <v>294</v>
      </c>
      <c r="ED42" s="1">
        <v>1</v>
      </c>
      <c r="EE42" s="1">
        <v>7</v>
      </c>
      <c r="EF42" s="12"/>
      <c r="EG42" s="7" t="s">
        <v>300</v>
      </c>
      <c r="EH42" s="7" t="s">
        <v>292</v>
      </c>
      <c r="EI42" s="1">
        <v>2</v>
      </c>
      <c r="EJ42" s="1">
        <v>5</v>
      </c>
      <c r="EK42" s="12"/>
      <c r="EL42" s="7" t="s">
        <v>301</v>
      </c>
      <c r="EM42" s="7" t="s">
        <v>294</v>
      </c>
      <c r="EN42" s="1">
        <v>5</v>
      </c>
      <c r="EO42" s="1">
        <v>7</v>
      </c>
      <c r="EP42" s="12"/>
      <c r="EQ42" s="7" t="s">
        <v>291</v>
      </c>
      <c r="ER42" s="7" t="s">
        <v>296</v>
      </c>
      <c r="ES42" s="1">
        <v>1</v>
      </c>
      <c r="ET42" s="1">
        <v>6</v>
      </c>
      <c r="EU42" s="12"/>
      <c r="EV42" s="7" t="s">
        <v>300</v>
      </c>
      <c r="EW42" s="7" t="s">
        <v>294</v>
      </c>
      <c r="EX42" s="1">
        <v>2</v>
      </c>
      <c r="EY42" s="1">
        <v>7</v>
      </c>
      <c r="EZ42" s="12"/>
      <c r="FA42" s="7" t="s">
        <v>291</v>
      </c>
      <c r="FB42" s="7" t="s">
        <v>296</v>
      </c>
      <c r="FC42" s="1">
        <v>1</v>
      </c>
      <c r="FD42" s="1">
        <v>6</v>
      </c>
      <c r="FE42" s="12"/>
      <c r="FF42" s="7" t="s">
        <v>291</v>
      </c>
      <c r="FG42" s="7" t="s">
        <v>296</v>
      </c>
      <c r="FH42" s="1">
        <v>1</v>
      </c>
      <c r="FI42" s="1">
        <v>6</v>
      </c>
      <c r="FJ42" s="12"/>
      <c r="FK42" s="7" t="s">
        <v>291</v>
      </c>
      <c r="FL42" s="7" t="s">
        <v>292</v>
      </c>
      <c r="FM42" s="1">
        <v>1</v>
      </c>
      <c r="FN42" s="1">
        <v>5</v>
      </c>
      <c r="FO42" s="12"/>
      <c r="FP42" s="7" t="s">
        <v>291</v>
      </c>
      <c r="FQ42" s="7" t="s">
        <v>296</v>
      </c>
      <c r="FR42" s="1">
        <v>1</v>
      </c>
      <c r="FS42" s="1">
        <v>6</v>
      </c>
      <c r="FT42" s="10"/>
      <c r="FU42" s="7" t="s">
        <v>784</v>
      </c>
      <c r="FV42" s="7" t="s">
        <v>785</v>
      </c>
      <c r="FW42" s="7" t="s">
        <v>786</v>
      </c>
      <c r="FX42" s="7" t="s">
        <v>787</v>
      </c>
      <c r="FY42" s="7" t="s">
        <v>788</v>
      </c>
      <c r="FZ42" s="7" t="s">
        <v>789</v>
      </c>
      <c r="GA42" s="7" t="s">
        <v>790</v>
      </c>
      <c r="GB42" s="7" t="s">
        <v>791</v>
      </c>
      <c r="GC42" s="7" t="s">
        <v>792</v>
      </c>
      <c r="GD42" s="7" t="s">
        <v>793</v>
      </c>
      <c r="GE42" s="7" t="s">
        <v>794</v>
      </c>
      <c r="GF42" s="7" t="s">
        <v>282</v>
      </c>
      <c r="GG42" s="7" t="s">
        <v>356</v>
      </c>
      <c r="GH42" s="7" t="s">
        <v>313</v>
      </c>
    </row>
    <row r="43" spans="1:190" x14ac:dyDescent="0.2">
      <c r="A43">
        <v>41</v>
      </c>
      <c r="B43">
        <v>100</v>
      </c>
      <c r="C43">
        <v>3894</v>
      </c>
      <c r="D43" s="7" t="s">
        <v>280</v>
      </c>
      <c r="E43" s="7" t="s">
        <v>286</v>
      </c>
      <c r="F43" s="7" t="s">
        <v>797</v>
      </c>
      <c r="G43" s="4" t="s">
        <v>1293</v>
      </c>
      <c r="H43" s="7" t="s">
        <v>288</v>
      </c>
      <c r="I43" s="1">
        <v>5</v>
      </c>
      <c r="J43" s="7" t="s">
        <v>289</v>
      </c>
      <c r="K43" s="1">
        <v>1</v>
      </c>
      <c r="L43" s="7" t="s">
        <v>289</v>
      </c>
      <c r="M43" s="1">
        <v>1</v>
      </c>
      <c r="N43" s="7" t="s">
        <v>317</v>
      </c>
      <c r="O43" s="1">
        <v>2</v>
      </c>
      <c r="P43" s="12"/>
      <c r="Q43" s="7" t="s">
        <v>295</v>
      </c>
      <c r="R43" s="7" t="s">
        <v>297</v>
      </c>
      <c r="S43" s="1">
        <v>5</v>
      </c>
      <c r="T43" s="1">
        <v>4</v>
      </c>
      <c r="U43" s="12"/>
      <c r="V43" s="7" t="s">
        <v>299</v>
      </c>
      <c r="W43" s="7" t="s">
        <v>292</v>
      </c>
      <c r="X43" s="1">
        <v>4</v>
      </c>
      <c r="Y43" s="1">
        <v>5</v>
      </c>
      <c r="Z43" s="12"/>
      <c r="AA43" s="7" t="s">
        <v>299</v>
      </c>
      <c r="AB43" s="7" t="s">
        <v>292</v>
      </c>
      <c r="AC43" s="1">
        <v>4</v>
      </c>
      <c r="AD43" s="1">
        <v>5</v>
      </c>
      <c r="AE43" s="12"/>
      <c r="AF43" s="7" t="s">
        <v>293</v>
      </c>
      <c r="AG43" s="7" t="s">
        <v>292</v>
      </c>
      <c r="AH43" s="1">
        <v>2</v>
      </c>
      <c r="AI43" s="1">
        <v>5</v>
      </c>
      <c r="AJ43" s="12"/>
      <c r="AK43" s="7" t="s">
        <v>295</v>
      </c>
      <c r="AL43" s="7" t="s">
        <v>292</v>
      </c>
      <c r="AM43" s="1">
        <v>5</v>
      </c>
      <c r="AN43" s="1">
        <v>5</v>
      </c>
      <c r="AO43" s="12"/>
      <c r="AP43" s="7" t="s">
        <v>293</v>
      </c>
      <c r="AQ43" s="7" t="s">
        <v>292</v>
      </c>
      <c r="AR43" s="1">
        <v>2</v>
      </c>
      <c r="AS43" s="1">
        <v>5</v>
      </c>
      <c r="AT43" s="12"/>
      <c r="AU43" s="7" t="s">
        <v>293</v>
      </c>
      <c r="AV43" s="7" t="s">
        <v>292</v>
      </c>
      <c r="AW43" s="1">
        <v>2</v>
      </c>
      <c r="AX43" s="1">
        <v>5</v>
      </c>
      <c r="AY43" s="12"/>
      <c r="AZ43" s="7" t="s">
        <v>291</v>
      </c>
      <c r="BA43" s="7" t="s">
        <v>297</v>
      </c>
      <c r="BB43" s="1">
        <v>1</v>
      </c>
      <c r="BC43" s="1">
        <v>4</v>
      </c>
      <c r="BD43" s="12"/>
      <c r="BE43" s="7" t="s">
        <v>295</v>
      </c>
      <c r="BF43" s="7" t="s">
        <v>292</v>
      </c>
      <c r="BG43" s="1">
        <v>5</v>
      </c>
      <c r="BH43" s="1">
        <v>5</v>
      </c>
      <c r="BI43" s="12"/>
      <c r="BJ43" s="7" t="s">
        <v>298</v>
      </c>
      <c r="BK43" s="7" t="s">
        <v>292</v>
      </c>
      <c r="BL43" s="1">
        <v>3</v>
      </c>
      <c r="BM43" s="1">
        <v>5</v>
      </c>
      <c r="BN43" s="12"/>
      <c r="BO43" s="7" t="s">
        <v>291</v>
      </c>
      <c r="BP43" s="7" t="s">
        <v>292</v>
      </c>
      <c r="BQ43" s="1">
        <v>1</v>
      </c>
      <c r="BR43" s="1">
        <v>5</v>
      </c>
      <c r="BS43" s="12"/>
      <c r="BT43" s="7" t="s">
        <v>293</v>
      </c>
      <c r="BU43" s="7" t="s">
        <v>297</v>
      </c>
      <c r="BV43" s="1">
        <v>2</v>
      </c>
      <c r="BW43" s="1">
        <v>4</v>
      </c>
      <c r="BX43" s="12"/>
      <c r="BY43" s="7" t="s">
        <v>291</v>
      </c>
      <c r="BZ43" s="7" t="s">
        <v>297</v>
      </c>
      <c r="CA43" s="1">
        <v>1</v>
      </c>
      <c r="CB43" s="1">
        <v>4</v>
      </c>
      <c r="CC43" s="12"/>
      <c r="CD43" s="7" t="s">
        <v>291</v>
      </c>
      <c r="CE43" s="7" t="s">
        <v>292</v>
      </c>
      <c r="CF43" s="1">
        <v>1</v>
      </c>
      <c r="CG43" s="1">
        <v>5</v>
      </c>
      <c r="CH43" s="12"/>
      <c r="CI43" s="7" t="s">
        <v>298</v>
      </c>
      <c r="CJ43" s="7" t="s">
        <v>292</v>
      </c>
      <c r="CK43" s="1">
        <v>3</v>
      </c>
      <c r="CL43" s="1">
        <v>5</v>
      </c>
      <c r="CM43" s="12"/>
      <c r="CN43" s="7" t="s">
        <v>291</v>
      </c>
      <c r="CO43" s="7" t="s">
        <v>292</v>
      </c>
      <c r="CP43" s="1">
        <v>1</v>
      </c>
      <c r="CQ43" s="1">
        <v>5</v>
      </c>
      <c r="CR43" s="12"/>
      <c r="CS43" s="7" t="s">
        <v>293</v>
      </c>
      <c r="CT43" s="7" t="s">
        <v>292</v>
      </c>
      <c r="CU43" s="1">
        <v>2</v>
      </c>
      <c r="CV43" s="1">
        <v>5</v>
      </c>
      <c r="CW43" s="12"/>
      <c r="CX43" s="7" t="s">
        <v>299</v>
      </c>
      <c r="CY43" s="7" t="s">
        <v>297</v>
      </c>
      <c r="CZ43" s="1">
        <v>4</v>
      </c>
      <c r="DA43" s="1">
        <v>4</v>
      </c>
      <c r="DB43" s="12"/>
      <c r="DC43" s="7" t="s">
        <v>295</v>
      </c>
      <c r="DD43" s="7" t="s">
        <v>292</v>
      </c>
      <c r="DE43" s="1">
        <v>5</v>
      </c>
      <c r="DF43" s="1">
        <v>5</v>
      </c>
      <c r="DG43" s="12"/>
      <c r="DH43" s="7" t="s">
        <v>298</v>
      </c>
      <c r="DI43" s="7" t="s">
        <v>292</v>
      </c>
      <c r="DJ43" s="1">
        <v>3</v>
      </c>
      <c r="DK43" s="1">
        <v>5</v>
      </c>
      <c r="DL43" s="12"/>
      <c r="DM43" s="7" t="s">
        <v>291</v>
      </c>
      <c r="DN43" s="7" t="s">
        <v>292</v>
      </c>
      <c r="DO43" s="1">
        <v>1</v>
      </c>
      <c r="DP43" s="1">
        <v>5</v>
      </c>
      <c r="DQ43" s="12"/>
      <c r="DR43" s="7" t="s">
        <v>300</v>
      </c>
      <c r="DS43" s="7" t="s">
        <v>292</v>
      </c>
      <c r="DT43" s="1">
        <v>2</v>
      </c>
      <c r="DU43" s="1">
        <v>5</v>
      </c>
      <c r="DV43" s="12"/>
      <c r="DW43" s="7" t="s">
        <v>301</v>
      </c>
      <c r="DX43" s="7" t="s">
        <v>292</v>
      </c>
      <c r="DY43" s="1">
        <v>5</v>
      </c>
      <c r="DZ43" s="1">
        <v>5</v>
      </c>
      <c r="EA43" s="12"/>
      <c r="EB43" s="7" t="s">
        <v>291</v>
      </c>
      <c r="EC43" s="7" t="s">
        <v>292</v>
      </c>
      <c r="ED43" s="1">
        <v>1</v>
      </c>
      <c r="EE43" s="1">
        <v>5</v>
      </c>
      <c r="EF43" s="12"/>
      <c r="EG43" s="7" t="s">
        <v>300</v>
      </c>
      <c r="EH43" s="7" t="s">
        <v>292</v>
      </c>
      <c r="EI43" s="1">
        <v>2</v>
      </c>
      <c r="EJ43" s="1">
        <v>5</v>
      </c>
      <c r="EK43" s="12"/>
      <c r="EL43" s="7" t="s">
        <v>301</v>
      </c>
      <c r="EM43" s="7" t="s">
        <v>292</v>
      </c>
      <c r="EN43" s="1">
        <v>5</v>
      </c>
      <c r="EO43" s="1">
        <v>5</v>
      </c>
      <c r="EP43" s="12"/>
      <c r="EQ43" s="7" t="s">
        <v>291</v>
      </c>
      <c r="ER43" s="7" t="s">
        <v>292</v>
      </c>
      <c r="ES43" s="1">
        <v>1</v>
      </c>
      <c r="ET43" s="1">
        <v>5</v>
      </c>
      <c r="EU43" s="12"/>
      <c r="EV43" s="7" t="s">
        <v>300</v>
      </c>
      <c r="EW43" s="7" t="s">
        <v>292</v>
      </c>
      <c r="EX43" s="1">
        <v>2</v>
      </c>
      <c r="EY43" s="1">
        <v>5</v>
      </c>
      <c r="EZ43" s="12"/>
      <c r="FA43" s="7" t="s">
        <v>301</v>
      </c>
      <c r="FB43" s="7" t="s">
        <v>292</v>
      </c>
      <c r="FC43" s="1">
        <v>5</v>
      </c>
      <c r="FD43" s="1">
        <v>5</v>
      </c>
      <c r="FE43" s="12"/>
      <c r="FF43" s="7" t="s">
        <v>291</v>
      </c>
      <c r="FG43" s="7" t="s">
        <v>292</v>
      </c>
      <c r="FH43" s="1">
        <v>1</v>
      </c>
      <c r="FI43" s="1">
        <v>5</v>
      </c>
      <c r="FJ43" s="12"/>
      <c r="FK43" s="7" t="s">
        <v>300</v>
      </c>
      <c r="FL43" s="7" t="s">
        <v>292</v>
      </c>
      <c r="FM43" s="1">
        <v>2</v>
      </c>
      <c r="FN43" s="1">
        <v>5</v>
      </c>
      <c r="FO43" s="12"/>
      <c r="FP43" s="7" t="s">
        <v>282</v>
      </c>
      <c r="FQ43" s="7" t="s">
        <v>292</v>
      </c>
      <c r="FR43" s="4" t="s">
        <v>282</v>
      </c>
      <c r="FS43" s="1">
        <v>5</v>
      </c>
      <c r="FT43" s="10"/>
      <c r="FU43" s="7" t="s">
        <v>798</v>
      </c>
      <c r="FV43" s="7" t="s">
        <v>799</v>
      </c>
      <c r="FW43" s="7" t="s">
        <v>800</v>
      </c>
      <c r="FX43" s="7" t="s">
        <v>799</v>
      </c>
      <c r="FY43" s="7" t="s">
        <v>801</v>
      </c>
      <c r="FZ43" s="7" t="s">
        <v>802</v>
      </c>
      <c r="GA43" s="7" t="s">
        <v>803</v>
      </c>
      <c r="GB43" s="7" t="s">
        <v>799</v>
      </c>
      <c r="GC43" s="7" t="s">
        <v>804</v>
      </c>
      <c r="GD43" s="7" t="s">
        <v>799</v>
      </c>
      <c r="GE43" s="7" t="s">
        <v>282</v>
      </c>
      <c r="GF43" s="7" t="s">
        <v>282</v>
      </c>
      <c r="GG43" s="7" t="s">
        <v>372</v>
      </c>
      <c r="GH43" s="7" t="s">
        <v>325</v>
      </c>
    </row>
    <row r="44" spans="1:190" x14ac:dyDescent="0.2">
      <c r="A44">
        <v>42</v>
      </c>
      <c r="B44">
        <v>100</v>
      </c>
      <c r="C44">
        <v>1680</v>
      </c>
      <c r="D44" s="7" t="s">
        <v>280</v>
      </c>
      <c r="E44" s="7" t="s">
        <v>544</v>
      </c>
      <c r="F44" s="7" t="s">
        <v>402</v>
      </c>
      <c r="G44" s="4" t="s">
        <v>1282</v>
      </c>
      <c r="H44" s="7" t="s">
        <v>288</v>
      </c>
      <c r="I44" s="1">
        <v>5</v>
      </c>
      <c r="J44" s="7" t="s">
        <v>289</v>
      </c>
      <c r="K44" s="1">
        <v>1</v>
      </c>
      <c r="L44" s="7" t="s">
        <v>289</v>
      </c>
      <c r="M44" s="1">
        <v>1</v>
      </c>
      <c r="N44" s="7" t="s">
        <v>317</v>
      </c>
      <c r="O44" s="1">
        <v>2</v>
      </c>
      <c r="P44" s="12"/>
      <c r="Q44" s="7" t="s">
        <v>291</v>
      </c>
      <c r="R44" s="7" t="s">
        <v>292</v>
      </c>
      <c r="S44" s="1">
        <v>1</v>
      </c>
      <c r="T44" s="1">
        <v>5</v>
      </c>
      <c r="U44" s="12"/>
      <c r="V44" s="7" t="s">
        <v>293</v>
      </c>
      <c r="W44" s="7" t="s">
        <v>292</v>
      </c>
      <c r="X44" s="1">
        <v>2</v>
      </c>
      <c r="Y44" s="1">
        <v>5</v>
      </c>
      <c r="Z44" s="12"/>
      <c r="AA44" s="7" t="s">
        <v>293</v>
      </c>
      <c r="AB44" s="7" t="s">
        <v>292</v>
      </c>
      <c r="AC44" s="1">
        <v>2</v>
      </c>
      <c r="AD44" s="1">
        <v>5</v>
      </c>
      <c r="AE44" s="12"/>
      <c r="AF44" s="7" t="s">
        <v>295</v>
      </c>
      <c r="AG44" s="7" t="s">
        <v>296</v>
      </c>
      <c r="AH44" s="1">
        <v>5</v>
      </c>
      <c r="AI44" s="1">
        <v>6</v>
      </c>
      <c r="AJ44" s="12"/>
      <c r="AK44" s="7" t="s">
        <v>295</v>
      </c>
      <c r="AL44" s="7" t="s">
        <v>292</v>
      </c>
      <c r="AM44" s="1">
        <v>5</v>
      </c>
      <c r="AN44" s="1">
        <v>5</v>
      </c>
      <c r="AO44" s="12"/>
      <c r="AP44" s="7" t="s">
        <v>291</v>
      </c>
      <c r="AQ44" s="7" t="s">
        <v>292</v>
      </c>
      <c r="AR44" s="1">
        <v>1</v>
      </c>
      <c r="AS44" s="1">
        <v>5</v>
      </c>
      <c r="AT44" s="12"/>
      <c r="AU44" s="7" t="s">
        <v>293</v>
      </c>
      <c r="AV44" s="7" t="s">
        <v>292</v>
      </c>
      <c r="AW44" s="1">
        <v>2</v>
      </c>
      <c r="AX44" s="1">
        <v>5</v>
      </c>
      <c r="AY44" s="12"/>
      <c r="AZ44" s="7" t="s">
        <v>291</v>
      </c>
      <c r="BA44" s="7" t="s">
        <v>292</v>
      </c>
      <c r="BB44" s="1">
        <v>1</v>
      </c>
      <c r="BC44" s="1">
        <v>5</v>
      </c>
      <c r="BD44" s="12"/>
      <c r="BE44" s="7" t="s">
        <v>295</v>
      </c>
      <c r="BF44" s="7" t="s">
        <v>292</v>
      </c>
      <c r="BG44" s="1">
        <v>5</v>
      </c>
      <c r="BH44" s="1">
        <v>5</v>
      </c>
      <c r="BI44" s="12"/>
      <c r="BJ44" s="7" t="s">
        <v>298</v>
      </c>
      <c r="BK44" s="7" t="s">
        <v>292</v>
      </c>
      <c r="BL44" s="1">
        <v>3</v>
      </c>
      <c r="BM44" s="1">
        <v>5</v>
      </c>
      <c r="BN44" s="12"/>
      <c r="BO44" s="7" t="s">
        <v>291</v>
      </c>
      <c r="BP44" s="7" t="s">
        <v>292</v>
      </c>
      <c r="BQ44" s="1">
        <v>1</v>
      </c>
      <c r="BR44" s="1">
        <v>5</v>
      </c>
      <c r="BS44" s="12"/>
      <c r="BT44" s="7" t="s">
        <v>293</v>
      </c>
      <c r="BU44" s="7" t="s">
        <v>292</v>
      </c>
      <c r="BV44" s="1">
        <v>2</v>
      </c>
      <c r="BW44" s="1">
        <v>5</v>
      </c>
      <c r="BX44" s="12"/>
      <c r="BY44" s="7" t="s">
        <v>298</v>
      </c>
      <c r="BZ44" s="7" t="s">
        <v>297</v>
      </c>
      <c r="CA44" s="1">
        <v>3</v>
      </c>
      <c r="CB44" s="1">
        <v>4</v>
      </c>
      <c r="CC44" s="12"/>
      <c r="CD44" s="7" t="s">
        <v>295</v>
      </c>
      <c r="CE44" s="7" t="s">
        <v>292</v>
      </c>
      <c r="CF44" s="1">
        <v>5</v>
      </c>
      <c r="CG44" s="1">
        <v>5</v>
      </c>
      <c r="CH44" s="12"/>
      <c r="CI44" s="7" t="s">
        <v>291</v>
      </c>
      <c r="CJ44" s="7" t="s">
        <v>292</v>
      </c>
      <c r="CK44" s="1">
        <v>1</v>
      </c>
      <c r="CL44" s="1">
        <v>5</v>
      </c>
      <c r="CM44" s="12"/>
      <c r="CN44" s="7" t="s">
        <v>291</v>
      </c>
      <c r="CO44" s="7" t="s">
        <v>292</v>
      </c>
      <c r="CP44" s="1">
        <v>1</v>
      </c>
      <c r="CQ44" s="1">
        <v>5</v>
      </c>
      <c r="CR44" s="12"/>
      <c r="CS44" s="7" t="s">
        <v>293</v>
      </c>
      <c r="CT44" s="7" t="s">
        <v>292</v>
      </c>
      <c r="CU44" s="1">
        <v>2</v>
      </c>
      <c r="CV44" s="1">
        <v>5</v>
      </c>
      <c r="CW44" s="12"/>
      <c r="CX44" s="7" t="s">
        <v>299</v>
      </c>
      <c r="CY44" s="7" t="s">
        <v>292</v>
      </c>
      <c r="CZ44" s="1">
        <v>4</v>
      </c>
      <c r="DA44" s="1">
        <v>5</v>
      </c>
      <c r="DB44" s="12"/>
      <c r="DC44" s="7" t="s">
        <v>295</v>
      </c>
      <c r="DD44" s="7" t="s">
        <v>292</v>
      </c>
      <c r="DE44" s="1">
        <v>5</v>
      </c>
      <c r="DF44" s="1">
        <v>5</v>
      </c>
      <c r="DG44" s="12"/>
      <c r="DH44" s="7" t="s">
        <v>291</v>
      </c>
      <c r="DI44" s="7" t="s">
        <v>292</v>
      </c>
      <c r="DJ44" s="1">
        <v>1</v>
      </c>
      <c r="DK44" s="1">
        <v>5</v>
      </c>
      <c r="DL44" s="12"/>
      <c r="DM44" s="7" t="s">
        <v>291</v>
      </c>
      <c r="DN44" s="7" t="s">
        <v>292</v>
      </c>
      <c r="DO44" s="1">
        <v>1</v>
      </c>
      <c r="DP44" s="1">
        <v>5</v>
      </c>
      <c r="DQ44" s="12"/>
      <c r="DR44" s="7" t="s">
        <v>300</v>
      </c>
      <c r="DS44" s="7" t="s">
        <v>296</v>
      </c>
      <c r="DT44" s="1">
        <v>2</v>
      </c>
      <c r="DU44" s="1">
        <v>6</v>
      </c>
      <c r="DV44" s="12"/>
      <c r="DW44" s="7" t="s">
        <v>301</v>
      </c>
      <c r="DX44" s="7" t="s">
        <v>292</v>
      </c>
      <c r="DY44" s="1">
        <v>5</v>
      </c>
      <c r="DZ44" s="1">
        <v>5</v>
      </c>
      <c r="EA44" s="12"/>
      <c r="EB44" s="7" t="s">
        <v>291</v>
      </c>
      <c r="EC44" s="7" t="s">
        <v>292</v>
      </c>
      <c r="ED44" s="1">
        <v>1</v>
      </c>
      <c r="EE44" s="1">
        <v>5</v>
      </c>
      <c r="EF44" s="12"/>
      <c r="EG44" s="7" t="s">
        <v>300</v>
      </c>
      <c r="EH44" s="7" t="s">
        <v>292</v>
      </c>
      <c r="EI44" s="1">
        <v>2</v>
      </c>
      <c r="EJ44" s="1">
        <v>5</v>
      </c>
      <c r="EK44" s="12"/>
      <c r="EL44" s="7" t="s">
        <v>301</v>
      </c>
      <c r="EM44" s="7" t="s">
        <v>292</v>
      </c>
      <c r="EN44" s="1">
        <v>5</v>
      </c>
      <c r="EO44" s="1">
        <v>5</v>
      </c>
      <c r="EP44" s="12"/>
      <c r="EQ44" s="7" t="s">
        <v>291</v>
      </c>
      <c r="ER44" s="7" t="s">
        <v>292</v>
      </c>
      <c r="ES44" s="1">
        <v>1</v>
      </c>
      <c r="ET44" s="1">
        <v>5</v>
      </c>
      <c r="EU44" s="12"/>
      <c r="EV44" s="7" t="s">
        <v>300</v>
      </c>
      <c r="EW44" s="7" t="s">
        <v>296</v>
      </c>
      <c r="EX44" s="1">
        <v>2</v>
      </c>
      <c r="EY44" s="1">
        <v>6</v>
      </c>
      <c r="EZ44" s="12"/>
      <c r="FA44" s="7" t="s">
        <v>300</v>
      </c>
      <c r="FB44" s="7" t="s">
        <v>292</v>
      </c>
      <c r="FC44" s="1">
        <v>2</v>
      </c>
      <c r="FD44" s="1">
        <v>5</v>
      </c>
      <c r="FE44" s="12"/>
      <c r="FF44" s="7" t="s">
        <v>291</v>
      </c>
      <c r="FG44" s="7" t="s">
        <v>292</v>
      </c>
      <c r="FH44" s="1">
        <v>1</v>
      </c>
      <c r="FI44" s="1">
        <v>5</v>
      </c>
      <c r="FJ44" s="12"/>
      <c r="FK44" s="7" t="s">
        <v>300</v>
      </c>
      <c r="FL44" s="7" t="s">
        <v>296</v>
      </c>
      <c r="FM44" s="1">
        <v>2</v>
      </c>
      <c r="FN44" s="1">
        <v>6</v>
      </c>
      <c r="FO44" s="12"/>
      <c r="FP44" s="7" t="s">
        <v>300</v>
      </c>
      <c r="FQ44" s="7" t="s">
        <v>292</v>
      </c>
      <c r="FR44" s="1">
        <v>2</v>
      </c>
      <c r="FS44" s="1">
        <v>5</v>
      </c>
      <c r="FT44" s="10"/>
      <c r="FU44" s="7" t="s">
        <v>807</v>
      </c>
      <c r="FV44" s="7" t="s">
        <v>808</v>
      </c>
      <c r="FW44" s="7" t="s">
        <v>809</v>
      </c>
      <c r="FX44" s="7" t="s">
        <v>810</v>
      </c>
      <c r="FY44" s="7" t="s">
        <v>811</v>
      </c>
      <c r="FZ44" s="7" t="s">
        <v>812</v>
      </c>
      <c r="GA44" s="7" t="s">
        <v>308</v>
      </c>
      <c r="GB44" s="7" t="s">
        <v>813</v>
      </c>
      <c r="GC44" s="7" t="s">
        <v>814</v>
      </c>
      <c r="GD44" s="7" t="s">
        <v>815</v>
      </c>
      <c r="GE44" s="7" t="s">
        <v>282</v>
      </c>
      <c r="GF44" s="7" t="s">
        <v>282</v>
      </c>
      <c r="GG44" s="7" t="s">
        <v>356</v>
      </c>
      <c r="GH44" s="7" t="s">
        <v>313</v>
      </c>
    </row>
    <row r="45" spans="1:190" x14ac:dyDescent="0.2">
      <c r="A45">
        <v>43</v>
      </c>
      <c r="B45">
        <v>100</v>
      </c>
      <c r="C45">
        <v>1373</v>
      </c>
      <c r="D45" s="7" t="s">
        <v>280</v>
      </c>
      <c r="E45" s="7" t="s">
        <v>286</v>
      </c>
      <c r="F45" s="7" t="s">
        <v>818</v>
      </c>
      <c r="G45" s="4" t="s">
        <v>1294</v>
      </c>
      <c r="H45" s="7" t="s">
        <v>288</v>
      </c>
      <c r="I45" s="1">
        <v>5</v>
      </c>
      <c r="J45" s="7" t="s">
        <v>329</v>
      </c>
      <c r="K45" s="1">
        <v>3</v>
      </c>
      <c r="L45" s="7" t="s">
        <v>329</v>
      </c>
      <c r="M45" s="1">
        <v>3</v>
      </c>
      <c r="N45" s="7" t="s">
        <v>290</v>
      </c>
      <c r="O45" s="1">
        <v>4</v>
      </c>
      <c r="P45" s="12"/>
      <c r="Q45" s="7" t="s">
        <v>291</v>
      </c>
      <c r="R45" s="7" t="s">
        <v>296</v>
      </c>
      <c r="S45" s="1">
        <v>1</v>
      </c>
      <c r="T45" s="1">
        <v>6</v>
      </c>
      <c r="U45" s="12"/>
      <c r="V45" s="7" t="s">
        <v>293</v>
      </c>
      <c r="W45" s="7" t="s">
        <v>296</v>
      </c>
      <c r="X45" s="1">
        <v>2</v>
      </c>
      <c r="Y45" s="1">
        <v>6</v>
      </c>
      <c r="Z45" s="12"/>
      <c r="AA45" s="7" t="s">
        <v>293</v>
      </c>
      <c r="AB45" s="7" t="s">
        <v>296</v>
      </c>
      <c r="AC45" s="1">
        <v>2</v>
      </c>
      <c r="AD45" s="1">
        <v>6</v>
      </c>
      <c r="AE45" s="12"/>
      <c r="AF45" s="7" t="s">
        <v>295</v>
      </c>
      <c r="AG45" s="7" t="s">
        <v>292</v>
      </c>
      <c r="AH45" s="1">
        <v>5</v>
      </c>
      <c r="AI45" s="1">
        <v>5</v>
      </c>
      <c r="AJ45" s="12"/>
      <c r="AK45" s="7" t="s">
        <v>295</v>
      </c>
      <c r="AL45" s="7" t="s">
        <v>296</v>
      </c>
      <c r="AM45" s="1">
        <v>5</v>
      </c>
      <c r="AN45" s="1">
        <v>6</v>
      </c>
      <c r="AO45" s="12"/>
      <c r="AP45" s="7" t="s">
        <v>291</v>
      </c>
      <c r="AQ45" s="7" t="s">
        <v>292</v>
      </c>
      <c r="AR45" s="1">
        <v>1</v>
      </c>
      <c r="AS45" s="1">
        <v>5</v>
      </c>
      <c r="AT45" s="12"/>
      <c r="AU45" s="7" t="s">
        <v>293</v>
      </c>
      <c r="AV45" s="7" t="s">
        <v>296</v>
      </c>
      <c r="AW45" s="1">
        <v>2</v>
      </c>
      <c r="AX45" s="1">
        <v>6</v>
      </c>
      <c r="AY45" s="12"/>
      <c r="AZ45" s="7" t="s">
        <v>291</v>
      </c>
      <c r="BA45" s="7" t="s">
        <v>296</v>
      </c>
      <c r="BB45" s="1">
        <v>1</v>
      </c>
      <c r="BC45" s="1">
        <v>6</v>
      </c>
      <c r="BD45" s="12"/>
      <c r="BE45" s="7" t="s">
        <v>298</v>
      </c>
      <c r="BF45" s="7" t="s">
        <v>297</v>
      </c>
      <c r="BG45" s="1">
        <v>3</v>
      </c>
      <c r="BH45" s="1">
        <v>4</v>
      </c>
      <c r="BI45" s="12"/>
      <c r="BJ45" s="7" t="s">
        <v>298</v>
      </c>
      <c r="BK45" s="7" t="s">
        <v>296</v>
      </c>
      <c r="BL45" s="1">
        <v>3</v>
      </c>
      <c r="BM45" s="1">
        <v>6</v>
      </c>
      <c r="BN45" s="12"/>
      <c r="BO45" s="7" t="s">
        <v>291</v>
      </c>
      <c r="BP45" s="7" t="s">
        <v>296</v>
      </c>
      <c r="BQ45" s="1">
        <v>1</v>
      </c>
      <c r="BR45" s="1">
        <v>6</v>
      </c>
      <c r="BS45" s="12"/>
      <c r="BT45" s="7" t="s">
        <v>293</v>
      </c>
      <c r="BU45" s="7" t="s">
        <v>296</v>
      </c>
      <c r="BV45" s="1">
        <v>2</v>
      </c>
      <c r="BW45" s="1">
        <v>6</v>
      </c>
      <c r="BX45" s="12"/>
      <c r="BY45" s="7" t="s">
        <v>291</v>
      </c>
      <c r="BZ45" s="7" t="s">
        <v>292</v>
      </c>
      <c r="CA45" s="1">
        <v>1</v>
      </c>
      <c r="CB45" s="1">
        <v>5</v>
      </c>
      <c r="CC45" s="12"/>
      <c r="CD45" s="7" t="s">
        <v>295</v>
      </c>
      <c r="CE45" s="7" t="s">
        <v>292</v>
      </c>
      <c r="CF45" s="1">
        <v>5</v>
      </c>
      <c r="CG45" s="1">
        <v>5</v>
      </c>
      <c r="CH45" s="12"/>
      <c r="CI45" s="7" t="s">
        <v>291</v>
      </c>
      <c r="CJ45" s="7" t="s">
        <v>296</v>
      </c>
      <c r="CK45" s="1">
        <v>1</v>
      </c>
      <c r="CL45" s="1">
        <v>6</v>
      </c>
      <c r="CM45" s="12"/>
      <c r="CN45" s="7" t="s">
        <v>291</v>
      </c>
      <c r="CO45" s="7" t="s">
        <v>296</v>
      </c>
      <c r="CP45" s="1">
        <v>1</v>
      </c>
      <c r="CQ45" s="1">
        <v>6</v>
      </c>
      <c r="CR45" s="12"/>
      <c r="CS45" s="7" t="s">
        <v>293</v>
      </c>
      <c r="CT45" s="7" t="s">
        <v>296</v>
      </c>
      <c r="CU45" s="1">
        <v>2</v>
      </c>
      <c r="CV45" s="1">
        <v>6</v>
      </c>
      <c r="CW45" s="12"/>
      <c r="CX45" s="7" t="s">
        <v>299</v>
      </c>
      <c r="CY45" s="7" t="s">
        <v>292</v>
      </c>
      <c r="CZ45" s="1">
        <v>4</v>
      </c>
      <c r="DA45" s="1">
        <v>5</v>
      </c>
      <c r="DB45" s="12"/>
      <c r="DC45" s="7" t="s">
        <v>295</v>
      </c>
      <c r="DD45" s="7" t="s">
        <v>292</v>
      </c>
      <c r="DE45" s="1">
        <v>5</v>
      </c>
      <c r="DF45" s="1">
        <v>5</v>
      </c>
      <c r="DG45" s="12"/>
      <c r="DH45" s="7" t="s">
        <v>291</v>
      </c>
      <c r="DI45" s="7" t="s">
        <v>296</v>
      </c>
      <c r="DJ45" s="1">
        <v>1</v>
      </c>
      <c r="DK45" s="1">
        <v>6</v>
      </c>
      <c r="DL45" s="12"/>
      <c r="DM45" s="7" t="s">
        <v>291</v>
      </c>
      <c r="DN45" s="7" t="s">
        <v>292</v>
      </c>
      <c r="DO45" s="1">
        <v>1</v>
      </c>
      <c r="DP45" s="1">
        <v>5</v>
      </c>
      <c r="DQ45" s="12"/>
      <c r="DR45" s="7" t="s">
        <v>300</v>
      </c>
      <c r="DS45" s="7" t="s">
        <v>296</v>
      </c>
      <c r="DT45" s="1">
        <v>2</v>
      </c>
      <c r="DU45" s="1">
        <v>6</v>
      </c>
      <c r="DV45" s="12"/>
      <c r="DW45" s="7" t="s">
        <v>301</v>
      </c>
      <c r="DX45" s="7" t="s">
        <v>296</v>
      </c>
      <c r="DY45" s="1">
        <v>5</v>
      </c>
      <c r="DZ45" s="1">
        <v>6</v>
      </c>
      <c r="EA45" s="12"/>
      <c r="EB45" s="7" t="s">
        <v>291</v>
      </c>
      <c r="EC45" s="7" t="s">
        <v>294</v>
      </c>
      <c r="ED45" s="1">
        <v>1</v>
      </c>
      <c r="EE45" s="1">
        <v>7</v>
      </c>
      <c r="EF45" s="12"/>
      <c r="EG45" s="7" t="s">
        <v>300</v>
      </c>
      <c r="EH45" s="7" t="s">
        <v>294</v>
      </c>
      <c r="EI45" s="1">
        <v>2</v>
      </c>
      <c r="EJ45" s="1">
        <v>7</v>
      </c>
      <c r="EK45" s="12"/>
      <c r="EL45" s="7" t="s">
        <v>301</v>
      </c>
      <c r="EM45" s="7" t="s">
        <v>292</v>
      </c>
      <c r="EN45" s="1">
        <v>5</v>
      </c>
      <c r="EO45" s="1">
        <v>5</v>
      </c>
      <c r="EP45" s="12"/>
      <c r="EQ45" s="7" t="s">
        <v>291</v>
      </c>
      <c r="ER45" s="7" t="s">
        <v>292</v>
      </c>
      <c r="ES45" s="1">
        <v>1</v>
      </c>
      <c r="ET45" s="1">
        <v>5</v>
      </c>
      <c r="EU45" s="12"/>
      <c r="EV45" s="7" t="s">
        <v>300</v>
      </c>
      <c r="EW45" s="7" t="s">
        <v>294</v>
      </c>
      <c r="EX45" s="1">
        <v>2</v>
      </c>
      <c r="EY45" s="1">
        <v>7</v>
      </c>
      <c r="EZ45" s="12"/>
      <c r="FA45" s="7" t="s">
        <v>301</v>
      </c>
      <c r="FB45" s="7" t="s">
        <v>292</v>
      </c>
      <c r="FC45" s="1">
        <v>5</v>
      </c>
      <c r="FD45" s="1">
        <v>5</v>
      </c>
      <c r="FE45" s="12"/>
      <c r="FF45" s="7" t="s">
        <v>291</v>
      </c>
      <c r="FG45" s="7" t="s">
        <v>296</v>
      </c>
      <c r="FH45" s="1">
        <v>1</v>
      </c>
      <c r="FI45" s="1">
        <v>6</v>
      </c>
      <c r="FJ45" s="12"/>
      <c r="FK45" s="7" t="s">
        <v>300</v>
      </c>
      <c r="FL45" s="7" t="s">
        <v>296</v>
      </c>
      <c r="FM45" s="1">
        <v>2</v>
      </c>
      <c r="FN45" s="1">
        <v>6</v>
      </c>
      <c r="FO45" s="12"/>
      <c r="FP45" s="7" t="s">
        <v>291</v>
      </c>
      <c r="FQ45" s="7" t="s">
        <v>296</v>
      </c>
      <c r="FR45" s="1">
        <v>1</v>
      </c>
      <c r="FS45" s="1">
        <v>6</v>
      </c>
      <c r="FT45" s="10"/>
      <c r="FU45" s="7" t="s">
        <v>819</v>
      </c>
      <c r="FV45" s="7" t="s">
        <v>820</v>
      </c>
      <c r="FW45" s="7" t="s">
        <v>821</v>
      </c>
      <c r="FX45" s="7" t="s">
        <v>822</v>
      </c>
      <c r="FY45" s="7" t="s">
        <v>823</v>
      </c>
      <c r="FZ45" s="7" t="s">
        <v>824</v>
      </c>
      <c r="GA45" s="7" t="s">
        <v>825</v>
      </c>
      <c r="GB45" s="7" t="s">
        <v>826</v>
      </c>
      <c r="GC45" s="7" t="s">
        <v>827</v>
      </c>
      <c r="GD45" s="7" t="s">
        <v>828</v>
      </c>
      <c r="GE45" s="7" t="s">
        <v>282</v>
      </c>
      <c r="GF45" s="7" t="s">
        <v>282</v>
      </c>
      <c r="GG45" s="7" t="s">
        <v>356</v>
      </c>
      <c r="GH45" s="7" t="s">
        <v>313</v>
      </c>
    </row>
    <row r="46" spans="1:190" x14ac:dyDescent="0.2">
      <c r="A46">
        <v>44</v>
      </c>
      <c r="B46">
        <v>100</v>
      </c>
      <c r="C46">
        <v>2722</v>
      </c>
      <c r="D46" s="7" t="s">
        <v>280</v>
      </c>
      <c r="E46" s="7" t="s">
        <v>359</v>
      </c>
      <c r="F46" s="7" t="s">
        <v>818</v>
      </c>
      <c r="G46" s="4" t="s">
        <v>1294</v>
      </c>
      <c r="H46" s="7" t="s">
        <v>288</v>
      </c>
      <c r="I46" s="1">
        <v>5</v>
      </c>
      <c r="J46" s="7" t="s">
        <v>329</v>
      </c>
      <c r="K46" s="1">
        <v>3</v>
      </c>
      <c r="L46" s="7" t="s">
        <v>289</v>
      </c>
      <c r="M46" s="1">
        <v>1</v>
      </c>
      <c r="N46" s="7" t="s">
        <v>289</v>
      </c>
      <c r="O46" s="1">
        <v>1</v>
      </c>
      <c r="P46" s="12"/>
      <c r="Q46" s="7" t="s">
        <v>282</v>
      </c>
      <c r="R46" s="7" t="s">
        <v>292</v>
      </c>
      <c r="S46" s="4" t="s">
        <v>282</v>
      </c>
      <c r="T46" s="1">
        <v>5</v>
      </c>
      <c r="U46" s="12"/>
      <c r="V46" s="7" t="s">
        <v>282</v>
      </c>
      <c r="W46" s="7" t="s">
        <v>296</v>
      </c>
      <c r="X46" s="4" t="s">
        <v>282</v>
      </c>
      <c r="Y46" s="1">
        <v>6</v>
      </c>
      <c r="Z46" s="12"/>
      <c r="AA46" s="7" t="s">
        <v>299</v>
      </c>
      <c r="AB46" s="7" t="s">
        <v>296</v>
      </c>
      <c r="AC46" s="1">
        <v>4</v>
      </c>
      <c r="AD46" s="1">
        <v>6</v>
      </c>
      <c r="AE46" s="12"/>
      <c r="AF46" s="7" t="s">
        <v>295</v>
      </c>
      <c r="AG46" s="7" t="s">
        <v>296</v>
      </c>
      <c r="AH46" s="1">
        <v>5</v>
      </c>
      <c r="AI46" s="1">
        <v>6</v>
      </c>
      <c r="AJ46" s="12"/>
      <c r="AK46" s="7" t="s">
        <v>295</v>
      </c>
      <c r="AL46" s="7" t="s">
        <v>296</v>
      </c>
      <c r="AM46" s="1">
        <v>5</v>
      </c>
      <c r="AN46" s="1">
        <v>6</v>
      </c>
      <c r="AO46" s="12"/>
      <c r="AP46" s="7" t="s">
        <v>282</v>
      </c>
      <c r="AQ46" s="7" t="s">
        <v>292</v>
      </c>
      <c r="AR46" s="4" t="s">
        <v>282</v>
      </c>
      <c r="AS46" s="1">
        <v>5</v>
      </c>
      <c r="AT46" s="12"/>
      <c r="AU46" s="7" t="s">
        <v>293</v>
      </c>
      <c r="AV46" s="7" t="s">
        <v>296</v>
      </c>
      <c r="AW46" s="1">
        <v>2</v>
      </c>
      <c r="AX46" s="1">
        <v>6</v>
      </c>
      <c r="AY46" s="12"/>
      <c r="AZ46" s="7" t="s">
        <v>299</v>
      </c>
      <c r="BA46" s="7" t="s">
        <v>292</v>
      </c>
      <c r="BB46" s="1">
        <v>4</v>
      </c>
      <c r="BC46" s="1">
        <v>5</v>
      </c>
      <c r="BD46" s="12"/>
      <c r="BE46" s="7" t="s">
        <v>295</v>
      </c>
      <c r="BF46" s="7" t="s">
        <v>296</v>
      </c>
      <c r="BG46" s="1">
        <v>5</v>
      </c>
      <c r="BH46" s="1">
        <v>6</v>
      </c>
      <c r="BI46" s="12"/>
      <c r="BJ46" s="7" t="s">
        <v>298</v>
      </c>
      <c r="BK46" s="7" t="s">
        <v>296</v>
      </c>
      <c r="BL46" s="1">
        <v>3</v>
      </c>
      <c r="BM46" s="1">
        <v>6</v>
      </c>
      <c r="BN46" s="12"/>
      <c r="BO46" s="7" t="s">
        <v>282</v>
      </c>
      <c r="BP46" s="7" t="s">
        <v>296</v>
      </c>
      <c r="BQ46" s="4" t="s">
        <v>282</v>
      </c>
      <c r="BR46" s="1">
        <v>6</v>
      </c>
      <c r="BS46" s="12"/>
      <c r="BT46" s="7" t="s">
        <v>299</v>
      </c>
      <c r="BU46" s="7" t="s">
        <v>292</v>
      </c>
      <c r="BV46" s="1">
        <v>4</v>
      </c>
      <c r="BW46" s="1">
        <v>5</v>
      </c>
      <c r="BX46" s="12"/>
      <c r="BY46" s="7" t="s">
        <v>299</v>
      </c>
      <c r="BZ46" s="7" t="s">
        <v>296</v>
      </c>
      <c r="CA46" s="1">
        <v>4</v>
      </c>
      <c r="CB46" s="1">
        <v>6</v>
      </c>
      <c r="CC46" s="12"/>
      <c r="CD46" s="7" t="s">
        <v>295</v>
      </c>
      <c r="CE46" s="7" t="s">
        <v>296</v>
      </c>
      <c r="CF46" s="1">
        <v>5</v>
      </c>
      <c r="CG46" s="1">
        <v>6</v>
      </c>
      <c r="CH46" s="12"/>
      <c r="CI46" s="7" t="s">
        <v>298</v>
      </c>
      <c r="CJ46" s="7" t="s">
        <v>294</v>
      </c>
      <c r="CK46" s="1">
        <v>3</v>
      </c>
      <c r="CL46" s="1">
        <v>7</v>
      </c>
      <c r="CM46" s="12"/>
      <c r="CN46" s="7" t="s">
        <v>282</v>
      </c>
      <c r="CO46" s="7" t="s">
        <v>294</v>
      </c>
      <c r="CP46" s="4" t="s">
        <v>282</v>
      </c>
      <c r="CQ46" s="1">
        <v>7</v>
      </c>
      <c r="CR46" s="12"/>
      <c r="CS46" s="7" t="s">
        <v>291</v>
      </c>
      <c r="CT46" s="7" t="s">
        <v>296</v>
      </c>
      <c r="CU46" s="1">
        <v>1</v>
      </c>
      <c r="CV46" s="1">
        <v>6</v>
      </c>
      <c r="CW46" s="12"/>
      <c r="CX46" s="7" t="s">
        <v>291</v>
      </c>
      <c r="CY46" s="7" t="s">
        <v>296</v>
      </c>
      <c r="CZ46" s="1">
        <v>1</v>
      </c>
      <c r="DA46" s="1">
        <v>6</v>
      </c>
      <c r="DB46" s="12"/>
      <c r="DC46" s="7" t="s">
        <v>298</v>
      </c>
      <c r="DD46" s="7" t="s">
        <v>296</v>
      </c>
      <c r="DE46" s="1">
        <v>3</v>
      </c>
      <c r="DF46" s="1">
        <v>6</v>
      </c>
      <c r="DG46" s="12"/>
      <c r="DH46" s="7" t="s">
        <v>298</v>
      </c>
      <c r="DI46" s="7" t="s">
        <v>292</v>
      </c>
      <c r="DJ46" s="1">
        <v>3</v>
      </c>
      <c r="DK46" s="1">
        <v>5</v>
      </c>
      <c r="DL46" s="12"/>
      <c r="DM46" s="7" t="s">
        <v>282</v>
      </c>
      <c r="DN46" s="7" t="s">
        <v>294</v>
      </c>
      <c r="DO46" s="4" t="s">
        <v>282</v>
      </c>
      <c r="DP46" s="1">
        <v>7</v>
      </c>
      <c r="DQ46" s="12"/>
      <c r="DR46" s="7" t="s">
        <v>300</v>
      </c>
      <c r="DS46" s="7" t="s">
        <v>294</v>
      </c>
      <c r="DT46" s="1">
        <v>2</v>
      </c>
      <c r="DU46" s="1">
        <v>7</v>
      </c>
      <c r="DV46" s="12"/>
      <c r="DW46" s="7" t="s">
        <v>301</v>
      </c>
      <c r="DX46" s="7" t="s">
        <v>294</v>
      </c>
      <c r="DY46" s="1">
        <v>5</v>
      </c>
      <c r="DZ46" s="1">
        <v>7</v>
      </c>
      <c r="EA46" s="12"/>
      <c r="EB46" s="7" t="s">
        <v>282</v>
      </c>
      <c r="EC46" s="7" t="s">
        <v>294</v>
      </c>
      <c r="ED46" s="4" t="s">
        <v>282</v>
      </c>
      <c r="EE46" s="1">
        <v>7</v>
      </c>
      <c r="EF46" s="12"/>
      <c r="EG46" s="7" t="s">
        <v>282</v>
      </c>
      <c r="EH46" s="7" t="s">
        <v>296</v>
      </c>
      <c r="EI46" s="4" t="s">
        <v>282</v>
      </c>
      <c r="EJ46" s="1">
        <v>6</v>
      </c>
      <c r="EK46" s="12"/>
      <c r="EL46" s="7" t="s">
        <v>282</v>
      </c>
      <c r="EM46" s="7" t="s">
        <v>296</v>
      </c>
      <c r="EN46" s="4" t="s">
        <v>282</v>
      </c>
      <c r="EO46" s="1">
        <v>6</v>
      </c>
      <c r="EP46" s="12"/>
      <c r="EQ46" s="7" t="s">
        <v>291</v>
      </c>
      <c r="ER46" s="7" t="s">
        <v>296</v>
      </c>
      <c r="ES46" s="1">
        <v>1</v>
      </c>
      <c r="ET46" s="1">
        <v>6</v>
      </c>
      <c r="EU46" s="12"/>
      <c r="EV46" s="7" t="s">
        <v>282</v>
      </c>
      <c r="EW46" s="7" t="s">
        <v>294</v>
      </c>
      <c r="EX46" s="4" t="s">
        <v>282</v>
      </c>
      <c r="EY46" s="1">
        <v>7</v>
      </c>
      <c r="EZ46" s="12"/>
      <c r="FA46" s="7" t="s">
        <v>282</v>
      </c>
      <c r="FB46" s="7" t="s">
        <v>296</v>
      </c>
      <c r="FC46" s="4" t="s">
        <v>282</v>
      </c>
      <c r="FD46" s="1">
        <v>6</v>
      </c>
      <c r="FE46" s="12"/>
      <c r="FF46" s="7" t="s">
        <v>282</v>
      </c>
      <c r="FG46" s="7" t="s">
        <v>296</v>
      </c>
      <c r="FH46" s="4" t="s">
        <v>282</v>
      </c>
      <c r="FI46" s="1">
        <v>6</v>
      </c>
      <c r="FJ46" s="12"/>
      <c r="FK46" s="7" t="s">
        <v>300</v>
      </c>
      <c r="FL46" s="7" t="s">
        <v>294</v>
      </c>
      <c r="FM46" s="1">
        <v>2</v>
      </c>
      <c r="FN46" s="1">
        <v>7</v>
      </c>
      <c r="FO46" s="12"/>
      <c r="FP46" s="7" t="s">
        <v>291</v>
      </c>
      <c r="FQ46" s="7" t="s">
        <v>294</v>
      </c>
      <c r="FR46" s="1">
        <v>1</v>
      </c>
      <c r="FS46" s="1">
        <v>7</v>
      </c>
      <c r="FT46" s="10"/>
      <c r="FU46" s="7" t="s">
        <v>831</v>
      </c>
      <c r="FV46" s="7" t="s">
        <v>832</v>
      </c>
      <c r="FW46" s="7" t="s">
        <v>833</v>
      </c>
      <c r="FX46" s="7" t="s">
        <v>834</v>
      </c>
      <c r="FY46" s="7" t="s">
        <v>835</v>
      </c>
      <c r="FZ46" s="7" t="s">
        <v>836</v>
      </c>
      <c r="GA46" s="7" t="s">
        <v>837</v>
      </c>
      <c r="GB46" s="7" t="s">
        <v>838</v>
      </c>
      <c r="GC46" s="7" t="s">
        <v>839</v>
      </c>
      <c r="GD46" s="7" t="s">
        <v>840</v>
      </c>
      <c r="GE46" s="7" t="s">
        <v>841</v>
      </c>
      <c r="GF46" s="7" t="s">
        <v>842</v>
      </c>
      <c r="GG46" s="7" t="s">
        <v>372</v>
      </c>
      <c r="GH46" s="7" t="s">
        <v>325</v>
      </c>
    </row>
    <row r="47" spans="1:190" x14ac:dyDescent="0.2">
      <c r="A47">
        <v>45</v>
      </c>
      <c r="B47">
        <v>100</v>
      </c>
      <c r="C47">
        <v>2889</v>
      </c>
      <c r="D47" s="7" t="s">
        <v>280</v>
      </c>
      <c r="E47" s="7" t="s">
        <v>845</v>
      </c>
      <c r="F47" s="7" t="s">
        <v>375</v>
      </c>
      <c r="G47" s="4" t="s">
        <v>497</v>
      </c>
      <c r="H47" s="7" t="s">
        <v>288</v>
      </c>
      <c r="I47" s="1">
        <v>5</v>
      </c>
      <c r="J47" s="7" t="s">
        <v>289</v>
      </c>
      <c r="K47" s="1">
        <v>1</v>
      </c>
      <c r="L47" s="7" t="s">
        <v>317</v>
      </c>
      <c r="M47" s="1">
        <v>2</v>
      </c>
      <c r="N47" s="7" t="s">
        <v>317</v>
      </c>
      <c r="O47" s="1">
        <v>2</v>
      </c>
      <c r="P47" s="12"/>
      <c r="Q47" s="7" t="s">
        <v>291</v>
      </c>
      <c r="R47" s="7" t="s">
        <v>292</v>
      </c>
      <c r="S47" s="1">
        <v>1</v>
      </c>
      <c r="T47" s="1">
        <v>5</v>
      </c>
      <c r="U47" s="12"/>
      <c r="V47" s="7" t="s">
        <v>293</v>
      </c>
      <c r="W47" s="7" t="s">
        <v>296</v>
      </c>
      <c r="X47" s="1">
        <v>2</v>
      </c>
      <c r="Y47" s="1">
        <v>6</v>
      </c>
      <c r="Z47" s="12"/>
      <c r="AA47" s="7" t="s">
        <v>293</v>
      </c>
      <c r="AB47" s="7" t="s">
        <v>294</v>
      </c>
      <c r="AC47" s="1">
        <v>2</v>
      </c>
      <c r="AD47" s="1">
        <v>7</v>
      </c>
      <c r="AE47" s="12"/>
      <c r="AF47" s="7" t="s">
        <v>295</v>
      </c>
      <c r="AG47" s="7" t="s">
        <v>296</v>
      </c>
      <c r="AH47" s="1">
        <v>5</v>
      </c>
      <c r="AI47" s="1">
        <v>6</v>
      </c>
      <c r="AJ47" s="12"/>
      <c r="AK47" s="7" t="s">
        <v>295</v>
      </c>
      <c r="AL47" s="7" t="s">
        <v>296</v>
      </c>
      <c r="AM47" s="1">
        <v>5</v>
      </c>
      <c r="AN47" s="1">
        <v>6</v>
      </c>
      <c r="AO47" s="12"/>
      <c r="AP47" s="7" t="s">
        <v>291</v>
      </c>
      <c r="AQ47" s="7" t="s">
        <v>296</v>
      </c>
      <c r="AR47" s="1">
        <v>1</v>
      </c>
      <c r="AS47" s="1">
        <v>6</v>
      </c>
      <c r="AT47" s="12"/>
      <c r="AU47" s="7" t="s">
        <v>293</v>
      </c>
      <c r="AV47" s="7" t="s">
        <v>296</v>
      </c>
      <c r="AW47" s="1">
        <v>2</v>
      </c>
      <c r="AX47" s="1">
        <v>6</v>
      </c>
      <c r="AY47" s="12"/>
      <c r="AZ47" s="7" t="s">
        <v>291</v>
      </c>
      <c r="BA47" s="7" t="s">
        <v>292</v>
      </c>
      <c r="BB47" s="1">
        <v>1</v>
      </c>
      <c r="BC47" s="1">
        <v>5</v>
      </c>
      <c r="BD47" s="12"/>
      <c r="BE47" s="7" t="s">
        <v>295</v>
      </c>
      <c r="BF47" s="7" t="s">
        <v>292</v>
      </c>
      <c r="BG47" s="1">
        <v>5</v>
      </c>
      <c r="BH47" s="1">
        <v>5</v>
      </c>
      <c r="BI47" s="12"/>
      <c r="BJ47" s="7" t="s">
        <v>298</v>
      </c>
      <c r="BK47" s="7" t="s">
        <v>296</v>
      </c>
      <c r="BL47" s="1">
        <v>3</v>
      </c>
      <c r="BM47" s="1">
        <v>6</v>
      </c>
      <c r="BN47" s="12"/>
      <c r="BO47" s="7" t="s">
        <v>291</v>
      </c>
      <c r="BP47" s="7" t="s">
        <v>297</v>
      </c>
      <c r="BQ47" s="1">
        <v>1</v>
      </c>
      <c r="BR47" s="1">
        <v>4</v>
      </c>
      <c r="BS47" s="12"/>
      <c r="BT47" s="7" t="s">
        <v>299</v>
      </c>
      <c r="BU47" s="7" t="s">
        <v>297</v>
      </c>
      <c r="BV47" s="1">
        <v>4</v>
      </c>
      <c r="BW47" s="1">
        <v>4</v>
      </c>
      <c r="BX47" s="12"/>
      <c r="BY47" s="7" t="s">
        <v>291</v>
      </c>
      <c r="BZ47" s="7" t="s">
        <v>292</v>
      </c>
      <c r="CA47" s="1">
        <v>1</v>
      </c>
      <c r="CB47" s="1">
        <v>5</v>
      </c>
      <c r="CC47" s="12"/>
      <c r="CD47" s="7" t="s">
        <v>295</v>
      </c>
      <c r="CE47" s="7" t="s">
        <v>292</v>
      </c>
      <c r="CF47" s="1">
        <v>5</v>
      </c>
      <c r="CG47" s="1">
        <v>5</v>
      </c>
      <c r="CH47" s="12"/>
      <c r="CI47" s="7" t="s">
        <v>298</v>
      </c>
      <c r="CJ47" s="7" t="s">
        <v>296</v>
      </c>
      <c r="CK47" s="1">
        <v>3</v>
      </c>
      <c r="CL47" s="1">
        <v>6</v>
      </c>
      <c r="CM47" s="12"/>
      <c r="CN47" s="7" t="s">
        <v>291</v>
      </c>
      <c r="CO47" s="7" t="s">
        <v>296</v>
      </c>
      <c r="CP47" s="1">
        <v>1</v>
      </c>
      <c r="CQ47" s="1">
        <v>6</v>
      </c>
      <c r="CR47" s="12"/>
      <c r="CS47" s="7" t="s">
        <v>299</v>
      </c>
      <c r="CT47" s="7" t="s">
        <v>296</v>
      </c>
      <c r="CU47" s="1">
        <v>4</v>
      </c>
      <c r="CV47" s="1">
        <v>6</v>
      </c>
      <c r="CW47" s="12"/>
      <c r="CX47" s="7" t="s">
        <v>299</v>
      </c>
      <c r="CY47" s="7" t="s">
        <v>296</v>
      </c>
      <c r="CZ47" s="1">
        <v>4</v>
      </c>
      <c r="DA47" s="1">
        <v>6</v>
      </c>
      <c r="DB47" s="12"/>
      <c r="DC47" s="7" t="s">
        <v>295</v>
      </c>
      <c r="DD47" s="7" t="s">
        <v>296</v>
      </c>
      <c r="DE47" s="1">
        <v>5</v>
      </c>
      <c r="DF47" s="1">
        <v>6</v>
      </c>
      <c r="DG47" s="12"/>
      <c r="DH47" s="7" t="s">
        <v>298</v>
      </c>
      <c r="DI47" s="7" t="s">
        <v>294</v>
      </c>
      <c r="DJ47" s="1">
        <v>3</v>
      </c>
      <c r="DK47" s="1">
        <v>7</v>
      </c>
      <c r="DL47" s="12"/>
      <c r="DM47" s="7" t="s">
        <v>291</v>
      </c>
      <c r="DN47" s="7" t="s">
        <v>296</v>
      </c>
      <c r="DO47" s="1">
        <v>1</v>
      </c>
      <c r="DP47" s="1">
        <v>6</v>
      </c>
      <c r="DQ47" s="12"/>
      <c r="DR47" s="7" t="s">
        <v>300</v>
      </c>
      <c r="DS47" s="7" t="s">
        <v>294</v>
      </c>
      <c r="DT47" s="1">
        <v>2</v>
      </c>
      <c r="DU47" s="1">
        <v>7</v>
      </c>
      <c r="DV47" s="12"/>
      <c r="DW47" s="7" t="s">
        <v>301</v>
      </c>
      <c r="DX47" s="7" t="s">
        <v>292</v>
      </c>
      <c r="DY47" s="1">
        <v>5</v>
      </c>
      <c r="DZ47" s="1">
        <v>5</v>
      </c>
      <c r="EA47" s="12"/>
      <c r="EB47" s="7" t="s">
        <v>291</v>
      </c>
      <c r="EC47" s="7" t="s">
        <v>294</v>
      </c>
      <c r="ED47" s="1">
        <v>1</v>
      </c>
      <c r="EE47" s="1">
        <v>7</v>
      </c>
      <c r="EF47" s="12"/>
      <c r="EG47" s="7" t="s">
        <v>300</v>
      </c>
      <c r="EH47" s="7" t="s">
        <v>296</v>
      </c>
      <c r="EI47" s="1">
        <v>2</v>
      </c>
      <c r="EJ47" s="1">
        <v>6</v>
      </c>
      <c r="EK47" s="12"/>
      <c r="EL47" s="7" t="s">
        <v>301</v>
      </c>
      <c r="EM47" s="7" t="s">
        <v>294</v>
      </c>
      <c r="EN47" s="1">
        <v>5</v>
      </c>
      <c r="EO47" s="1">
        <v>7</v>
      </c>
      <c r="EP47" s="12"/>
      <c r="EQ47" s="7" t="s">
        <v>291</v>
      </c>
      <c r="ER47" s="7" t="s">
        <v>294</v>
      </c>
      <c r="ES47" s="1">
        <v>1</v>
      </c>
      <c r="ET47" s="1">
        <v>7</v>
      </c>
      <c r="EU47" s="12"/>
      <c r="EV47" s="7" t="s">
        <v>300</v>
      </c>
      <c r="EW47" s="7" t="s">
        <v>296</v>
      </c>
      <c r="EX47" s="1">
        <v>2</v>
      </c>
      <c r="EY47" s="1">
        <v>6</v>
      </c>
      <c r="EZ47" s="12"/>
      <c r="FA47" s="7" t="s">
        <v>301</v>
      </c>
      <c r="FB47" s="7" t="s">
        <v>292</v>
      </c>
      <c r="FC47" s="1">
        <v>5</v>
      </c>
      <c r="FD47" s="1">
        <v>5</v>
      </c>
      <c r="FE47" s="12"/>
      <c r="FF47" s="7" t="s">
        <v>291</v>
      </c>
      <c r="FG47" s="7" t="s">
        <v>296</v>
      </c>
      <c r="FH47" s="1">
        <v>1</v>
      </c>
      <c r="FI47" s="1">
        <v>6</v>
      </c>
      <c r="FJ47" s="12"/>
      <c r="FK47" s="7" t="s">
        <v>300</v>
      </c>
      <c r="FL47" s="7" t="s">
        <v>296</v>
      </c>
      <c r="FM47" s="1">
        <v>2</v>
      </c>
      <c r="FN47" s="1">
        <v>6</v>
      </c>
      <c r="FO47" s="12"/>
      <c r="FP47" s="7" t="s">
        <v>291</v>
      </c>
      <c r="FQ47" s="7" t="s">
        <v>292</v>
      </c>
      <c r="FR47" s="1">
        <v>1</v>
      </c>
      <c r="FS47" s="1">
        <v>5</v>
      </c>
      <c r="FT47" s="10"/>
      <c r="FU47" s="7" t="s">
        <v>846</v>
      </c>
      <c r="FV47" s="7" t="s">
        <v>847</v>
      </c>
      <c r="FW47" s="7" t="s">
        <v>848</v>
      </c>
      <c r="FX47" s="7" t="s">
        <v>849</v>
      </c>
      <c r="FY47" s="7" t="s">
        <v>850</v>
      </c>
      <c r="FZ47" s="7" t="s">
        <v>851</v>
      </c>
      <c r="GA47" s="7" t="s">
        <v>852</v>
      </c>
      <c r="GB47" s="7" t="s">
        <v>853</v>
      </c>
      <c r="GC47" s="7" t="s">
        <v>854</v>
      </c>
      <c r="GD47" s="7" t="s">
        <v>855</v>
      </c>
      <c r="GE47" s="7" t="s">
        <v>856</v>
      </c>
      <c r="GF47" s="7" t="s">
        <v>857</v>
      </c>
      <c r="GG47" s="7" t="s">
        <v>372</v>
      </c>
      <c r="GH47" s="7" t="s">
        <v>325</v>
      </c>
    </row>
    <row r="48" spans="1:190" x14ac:dyDescent="0.2">
      <c r="A48">
        <v>46</v>
      </c>
      <c r="B48">
        <v>100</v>
      </c>
      <c r="C48">
        <v>776</v>
      </c>
      <c r="D48" s="7" t="s">
        <v>280</v>
      </c>
      <c r="E48" s="7" t="s">
        <v>412</v>
      </c>
      <c r="F48" s="7" t="s">
        <v>860</v>
      </c>
      <c r="G48" s="4" t="s">
        <v>1295</v>
      </c>
      <c r="H48" s="7" t="s">
        <v>288</v>
      </c>
      <c r="I48" s="1">
        <v>5</v>
      </c>
      <c r="J48" s="7" t="s">
        <v>289</v>
      </c>
      <c r="K48" s="1">
        <v>1</v>
      </c>
      <c r="L48" s="7" t="s">
        <v>288</v>
      </c>
      <c r="M48" s="1">
        <v>5</v>
      </c>
      <c r="N48" s="7" t="s">
        <v>317</v>
      </c>
      <c r="O48" s="1">
        <v>2</v>
      </c>
      <c r="P48" s="12"/>
      <c r="Q48" s="7" t="s">
        <v>282</v>
      </c>
      <c r="R48" s="7" t="s">
        <v>292</v>
      </c>
      <c r="S48" s="4" t="s">
        <v>282</v>
      </c>
      <c r="T48" s="1">
        <v>5</v>
      </c>
      <c r="U48" s="12"/>
      <c r="V48" s="7" t="s">
        <v>293</v>
      </c>
      <c r="W48" s="7" t="s">
        <v>294</v>
      </c>
      <c r="X48" s="1">
        <v>2</v>
      </c>
      <c r="Y48" s="1">
        <v>7</v>
      </c>
      <c r="Z48" s="12"/>
      <c r="AA48" s="7" t="s">
        <v>293</v>
      </c>
      <c r="AB48" s="7" t="s">
        <v>294</v>
      </c>
      <c r="AC48" s="1">
        <v>2</v>
      </c>
      <c r="AD48" s="1">
        <v>7</v>
      </c>
      <c r="AE48" s="12"/>
      <c r="AF48" s="7" t="s">
        <v>295</v>
      </c>
      <c r="AG48" s="7" t="s">
        <v>292</v>
      </c>
      <c r="AH48" s="1">
        <v>5</v>
      </c>
      <c r="AI48" s="1">
        <v>5</v>
      </c>
      <c r="AJ48" s="12"/>
      <c r="AK48" s="7" t="s">
        <v>295</v>
      </c>
      <c r="AL48" s="7" t="s">
        <v>294</v>
      </c>
      <c r="AM48" s="1">
        <v>5</v>
      </c>
      <c r="AN48" s="1">
        <v>7</v>
      </c>
      <c r="AO48" s="12"/>
      <c r="AP48" s="7" t="s">
        <v>291</v>
      </c>
      <c r="AQ48" s="7" t="s">
        <v>296</v>
      </c>
      <c r="AR48" s="1">
        <v>1</v>
      </c>
      <c r="AS48" s="1">
        <v>6</v>
      </c>
      <c r="AT48" s="12"/>
      <c r="AU48" s="7" t="s">
        <v>293</v>
      </c>
      <c r="AV48" s="7" t="s">
        <v>294</v>
      </c>
      <c r="AW48" s="1">
        <v>2</v>
      </c>
      <c r="AX48" s="1">
        <v>7</v>
      </c>
      <c r="AY48" s="12"/>
      <c r="AZ48" s="7" t="s">
        <v>298</v>
      </c>
      <c r="BA48" s="7" t="s">
        <v>296</v>
      </c>
      <c r="BB48" s="1">
        <v>3</v>
      </c>
      <c r="BC48" s="1">
        <v>6</v>
      </c>
      <c r="BD48" s="12"/>
      <c r="BE48" s="7" t="s">
        <v>295</v>
      </c>
      <c r="BF48" s="7" t="s">
        <v>296</v>
      </c>
      <c r="BG48" s="1">
        <v>5</v>
      </c>
      <c r="BH48" s="1">
        <v>6</v>
      </c>
      <c r="BI48" s="12"/>
      <c r="BJ48" s="7" t="s">
        <v>298</v>
      </c>
      <c r="BK48" s="7" t="s">
        <v>294</v>
      </c>
      <c r="BL48" s="1">
        <v>3</v>
      </c>
      <c r="BM48" s="1">
        <v>7</v>
      </c>
      <c r="BN48" s="12"/>
      <c r="BO48" s="7" t="s">
        <v>291</v>
      </c>
      <c r="BP48" s="7" t="s">
        <v>296</v>
      </c>
      <c r="BQ48" s="1">
        <v>1</v>
      </c>
      <c r="BR48" s="1">
        <v>6</v>
      </c>
      <c r="BS48" s="12"/>
      <c r="BT48" s="7" t="s">
        <v>293</v>
      </c>
      <c r="BU48" s="7" t="s">
        <v>294</v>
      </c>
      <c r="BV48" s="1">
        <v>2</v>
      </c>
      <c r="BW48" s="1">
        <v>7</v>
      </c>
      <c r="BX48" s="12"/>
      <c r="BY48" s="7" t="s">
        <v>291</v>
      </c>
      <c r="BZ48" s="7" t="s">
        <v>292</v>
      </c>
      <c r="CA48" s="1">
        <v>1</v>
      </c>
      <c r="CB48" s="1">
        <v>5</v>
      </c>
      <c r="CC48" s="12"/>
      <c r="CD48" s="7" t="s">
        <v>298</v>
      </c>
      <c r="CE48" s="7" t="s">
        <v>296</v>
      </c>
      <c r="CF48" s="1">
        <v>3</v>
      </c>
      <c r="CG48" s="1">
        <v>6</v>
      </c>
      <c r="CH48" s="12"/>
      <c r="CI48" s="7" t="s">
        <v>298</v>
      </c>
      <c r="CJ48" s="7" t="s">
        <v>294</v>
      </c>
      <c r="CK48" s="1">
        <v>3</v>
      </c>
      <c r="CL48" s="1">
        <v>7</v>
      </c>
      <c r="CM48" s="12"/>
      <c r="CN48" s="7" t="s">
        <v>291</v>
      </c>
      <c r="CO48" s="7" t="s">
        <v>296</v>
      </c>
      <c r="CP48" s="1">
        <v>1</v>
      </c>
      <c r="CQ48" s="1">
        <v>6</v>
      </c>
      <c r="CR48" s="12"/>
      <c r="CS48" s="7" t="s">
        <v>293</v>
      </c>
      <c r="CT48" s="7" t="s">
        <v>294</v>
      </c>
      <c r="CU48" s="1">
        <v>2</v>
      </c>
      <c r="CV48" s="1">
        <v>7</v>
      </c>
      <c r="CW48" s="12"/>
      <c r="CX48" s="7" t="s">
        <v>299</v>
      </c>
      <c r="CY48" s="7" t="s">
        <v>294</v>
      </c>
      <c r="CZ48" s="1">
        <v>4</v>
      </c>
      <c r="DA48" s="1">
        <v>7</v>
      </c>
      <c r="DB48" s="12"/>
      <c r="DC48" s="7" t="s">
        <v>298</v>
      </c>
      <c r="DD48" s="7" t="s">
        <v>294</v>
      </c>
      <c r="DE48" s="1">
        <v>3</v>
      </c>
      <c r="DF48" s="1">
        <v>7</v>
      </c>
      <c r="DG48" s="12"/>
      <c r="DH48" s="7" t="s">
        <v>298</v>
      </c>
      <c r="DI48" s="7" t="s">
        <v>294</v>
      </c>
      <c r="DJ48" s="1">
        <v>3</v>
      </c>
      <c r="DK48" s="1">
        <v>7</v>
      </c>
      <c r="DL48" s="12"/>
      <c r="DM48" s="7" t="s">
        <v>291</v>
      </c>
      <c r="DN48" s="7" t="s">
        <v>297</v>
      </c>
      <c r="DO48" s="1">
        <v>1</v>
      </c>
      <c r="DP48" s="1">
        <v>4</v>
      </c>
      <c r="DQ48" s="12"/>
      <c r="DR48" s="7" t="s">
        <v>300</v>
      </c>
      <c r="DS48" s="7" t="s">
        <v>294</v>
      </c>
      <c r="DT48" s="1">
        <v>2</v>
      </c>
      <c r="DU48" s="1">
        <v>7</v>
      </c>
      <c r="DV48" s="12"/>
      <c r="DW48" s="7" t="s">
        <v>301</v>
      </c>
      <c r="DX48" s="7" t="s">
        <v>292</v>
      </c>
      <c r="DY48" s="1">
        <v>5</v>
      </c>
      <c r="DZ48" s="1">
        <v>5</v>
      </c>
      <c r="EA48" s="12"/>
      <c r="EB48" s="7" t="s">
        <v>291</v>
      </c>
      <c r="EC48" s="7" t="s">
        <v>296</v>
      </c>
      <c r="ED48" s="1">
        <v>1</v>
      </c>
      <c r="EE48" s="1">
        <v>6</v>
      </c>
      <c r="EF48" s="12"/>
      <c r="EG48" s="7" t="s">
        <v>300</v>
      </c>
      <c r="EH48" s="7" t="s">
        <v>296</v>
      </c>
      <c r="EI48" s="1">
        <v>2</v>
      </c>
      <c r="EJ48" s="1">
        <v>6</v>
      </c>
      <c r="EK48" s="12"/>
      <c r="EL48" s="7" t="s">
        <v>301</v>
      </c>
      <c r="EM48" s="7" t="s">
        <v>294</v>
      </c>
      <c r="EN48" s="1">
        <v>5</v>
      </c>
      <c r="EO48" s="1">
        <v>7</v>
      </c>
      <c r="EP48" s="12"/>
      <c r="EQ48" s="7" t="s">
        <v>291</v>
      </c>
      <c r="ER48" s="7" t="s">
        <v>296</v>
      </c>
      <c r="ES48" s="1">
        <v>1</v>
      </c>
      <c r="ET48" s="1">
        <v>6</v>
      </c>
      <c r="EU48" s="12"/>
      <c r="EV48" s="7" t="s">
        <v>300</v>
      </c>
      <c r="EW48" s="7" t="s">
        <v>294</v>
      </c>
      <c r="EX48" s="1">
        <v>2</v>
      </c>
      <c r="EY48" s="1">
        <v>7</v>
      </c>
      <c r="EZ48" s="12"/>
      <c r="FA48" s="7" t="s">
        <v>301</v>
      </c>
      <c r="FB48" s="7" t="s">
        <v>292</v>
      </c>
      <c r="FC48" s="1">
        <v>5</v>
      </c>
      <c r="FD48" s="1">
        <v>5</v>
      </c>
      <c r="FE48" s="12"/>
      <c r="FF48" s="7" t="s">
        <v>291</v>
      </c>
      <c r="FG48" s="7" t="s">
        <v>296</v>
      </c>
      <c r="FH48" s="1">
        <v>1</v>
      </c>
      <c r="FI48" s="1">
        <v>6</v>
      </c>
      <c r="FJ48" s="12"/>
      <c r="FK48" s="7" t="s">
        <v>300</v>
      </c>
      <c r="FL48" s="7" t="s">
        <v>294</v>
      </c>
      <c r="FM48" s="1">
        <v>2</v>
      </c>
      <c r="FN48" s="1">
        <v>7</v>
      </c>
      <c r="FO48" s="12"/>
      <c r="FP48" s="7" t="s">
        <v>291</v>
      </c>
      <c r="FQ48" s="7" t="s">
        <v>292</v>
      </c>
      <c r="FR48" s="1">
        <v>1</v>
      </c>
      <c r="FS48" s="1">
        <v>5</v>
      </c>
      <c r="FT48" s="10"/>
      <c r="FU48" s="7" t="s">
        <v>861</v>
      </c>
      <c r="FV48" s="7" t="s">
        <v>862</v>
      </c>
      <c r="FW48" s="7" t="s">
        <v>863</v>
      </c>
      <c r="FX48" s="7" t="s">
        <v>863</v>
      </c>
      <c r="FY48" s="7" t="s">
        <v>864</v>
      </c>
      <c r="FZ48" s="7" t="s">
        <v>864</v>
      </c>
      <c r="GA48" s="7" t="s">
        <v>865</v>
      </c>
      <c r="GB48" s="7" t="s">
        <v>866</v>
      </c>
      <c r="GC48" s="7" t="s">
        <v>867</v>
      </c>
      <c r="GD48" s="7" t="s">
        <v>868</v>
      </c>
      <c r="GE48" s="7" t="s">
        <v>282</v>
      </c>
      <c r="GF48" s="7" t="s">
        <v>869</v>
      </c>
      <c r="GG48" s="7" t="s">
        <v>356</v>
      </c>
      <c r="GH48" s="7" t="s">
        <v>313</v>
      </c>
    </row>
    <row r="49" spans="1:190" x14ac:dyDescent="0.2">
      <c r="A49">
        <v>47</v>
      </c>
      <c r="B49">
        <v>100</v>
      </c>
      <c r="C49">
        <v>1213</v>
      </c>
      <c r="D49" s="7" t="s">
        <v>280</v>
      </c>
      <c r="E49" s="7" t="s">
        <v>359</v>
      </c>
      <c r="F49" s="7" t="s">
        <v>328</v>
      </c>
      <c r="G49" s="4" t="s">
        <v>1222</v>
      </c>
      <c r="H49" s="7" t="s">
        <v>288</v>
      </c>
      <c r="I49" s="1">
        <v>5</v>
      </c>
      <c r="J49" s="7" t="s">
        <v>289</v>
      </c>
      <c r="K49" s="1">
        <v>1</v>
      </c>
      <c r="L49" s="7" t="s">
        <v>289</v>
      </c>
      <c r="M49" s="1">
        <v>1</v>
      </c>
      <c r="N49" s="7" t="s">
        <v>317</v>
      </c>
      <c r="O49" s="1">
        <v>2</v>
      </c>
      <c r="P49" s="12"/>
      <c r="Q49" s="7" t="s">
        <v>291</v>
      </c>
      <c r="R49" s="7" t="s">
        <v>296</v>
      </c>
      <c r="S49" s="1">
        <v>1</v>
      </c>
      <c r="T49" s="1">
        <v>6</v>
      </c>
      <c r="U49" s="12"/>
      <c r="V49" s="7" t="s">
        <v>299</v>
      </c>
      <c r="W49" s="7" t="s">
        <v>292</v>
      </c>
      <c r="X49" s="1">
        <v>4</v>
      </c>
      <c r="Y49" s="1">
        <v>5</v>
      </c>
      <c r="Z49" s="12"/>
      <c r="AA49" s="7" t="s">
        <v>293</v>
      </c>
      <c r="AB49" s="7" t="s">
        <v>292</v>
      </c>
      <c r="AC49" s="1">
        <v>2</v>
      </c>
      <c r="AD49" s="1">
        <v>5</v>
      </c>
      <c r="AE49" s="12"/>
      <c r="AF49" s="7" t="s">
        <v>295</v>
      </c>
      <c r="AG49" s="7" t="s">
        <v>296</v>
      </c>
      <c r="AH49" s="1">
        <v>5</v>
      </c>
      <c r="AI49" s="1">
        <v>6</v>
      </c>
      <c r="AJ49" s="12"/>
      <c r="AK49" s="7" t="s">
        <v>295</v>
      </c>
      <c r="AL49" s="7" t="s">
        <v>292</v>
      </c>
      <c r="AM49" s="1">
        <v>5</v>
      </c>
      <c r="AN49" s="1">
        <v>5</v>
      </c>
      <c r="AO49" s="12"/>
      <c r="AP49" s="7" t="s">
        <v>291</v>
      </c>
      <c r="AQ49" s="7" t="s">
        <v>296</v>
      </c>
      <c r="AR49" s="1">
        <v>1</v>
      </c>
      <c r="AS49" s="1">
        <v>6</v>
      </c>
      <c r="AT49" s="12"/>
      <c r="AU49" s="7" t="s">
        <v>293</v>
      </c>
      <c r="AV49" s="7" t="s">
        <v>292</v>
      </c>
      <c r="AW49" s="1">
        <v>2</v>
      </c>
      <c r="AX49" s="1">
        <v>5</v>
      </c>
      <c r="AY49" s="12"/>
      <c r="AZ49" s="7" t="s">
        <v>291</v>
      </c>
      <c r="BA49" s="7" t="s">
        <v>292</v>
      </c>
      <c r="BB49" s="1">
        <v>1</v>
      </c>
      <c r="BC49" s="1">
        <v>5</v>
      </c>
      <c r="BD49" s="12"/>
      <c r="BE49" s="7" t="s">
        <v>298</v>
      </c>
      <c r="BF49" s="7" t="s">
        <v>292</v>
      </c>
      <c r="BG49" s="1">
        <v>3</v>
      </c>
      <c r="BH49" s="1">
        <v>5</v>
      </c>
      <c r="BI49" s="12"/>
      <c r="BJ49" s="7" t="s">
        <v>293</v>
      </c>
      <c r="BK49" s="7" t="s">
        <v>292</v>
      </c>
      <c r="BL49" s="1">
        <v>2</v>
      </c>
      <c r="BM49" s="1">
        <v>5</v>
      </c>
      <c r="BN49" s="12"/>
      <c r="BO49" s="7" t="s">
        <v>291</v>
      </c>
      <c r="BP49" s="7" t="s">
        <v>296</v>
      </c>
      <c r="BQ49" s="1">
        <v>1</v>
      </c>
      <c r="BR49" s="1">
        <v>6</v>
      </c>
      <c r="BS49" s="12"/>
      <c r="BT49" s="7" t="s">
        <v>293</v>
      </c>
      <c r="BU49" s="7" t="s">
        <v>292</v>
      </c>
      <c r="BV49" s="1">
        <v>2</v>
      </c>
      <c r="BW49" s="1">
        <v>5</v>
      </c>
      <c r="BX49" s="12"/>
      <c r="BY49" s="7" t="s">
        <v>291</v>
      </c>
      <c r="BZ49" s="7" t="s">
        <v>296</v>
      </c>
      <c r="CA49" s="1">
        <v>1</v>
      </c>
      <c r="CB49" s="1">
        <v>6</v>
      </c>
      <c r="CC49" s="12"/>
      <c r="CD49" s="7" t="s">
        <v>295</v>
      </c>
      <c r="CE49" s="7" t="s">
        <v>296</v>
      </c>
      <c r="CF49" s="1">
        <v>5</v>
      </c>
      <c r="CG49" s="1">
        <v>6</v>
      </c>
      <c r="CH49" s="12"/>
      <c r="CI49" s="7" t="s">
        <v>291</v>
      </c>
      <c r="CJ49" s="7" t="s">
        <v>296</v>
      </c>
      <c r="CK49" s="1">
        <v>1</v>
      </c>
      <c r="CL49" s="1">
        <v>6</v>
      </c>
      <c r="CM49" s="12"/>
      <c r="CN49" s="7" t="s">
        <v>291</v>
      </c>
      <c r="CO49" s="7" t="s">
        <v>296</v>
      </c>
      <c r="CP49" s="1">
        <v>1</v>
      </c>
      <c r="CQ49" s="1">
        <v>6</v>
      </c>
      <c r="CR49" s="12"/>
      <c r="CS49" s="7" t="s">
        <v>299</v>
      </c>
      <c r="CT49" s="7" t="s">
        <v>292</v>
      </c>
      <c r="CU49" s="1">
        <v>4</v>
      </c>
      <c r="CV49" s="1">
        <v>5</v>
      </c>
      <c r="CW49" s="12"/>
      <c r="CX49" s="7" t="s">
        <v>282</v>
      </c>
      <c r="CY49" s="7" t="s">
        <v>296</v>
      </c>
      <c r="CZ49" s="4" t="s">
        <v>282</v>
      </c>
      <c r="DA49" s="1">
        <v>6</v>
      </c>
      <c r="DB49" s="12"/>
      <c r="DC49" s="7" t="s">
        <v>295</v>
      </c>
      <c r="DD49" s="7" t="s">
        <v>292</v>
      </c>
      <c r="DE49" s="1">
        <v>5</v>
      </c>
      <c r="DF49" s="1">
        <v>5</v>
      </c>
      <c r="DG49" s="12"/>
      <c r="DH49" s="7" t="s">
        <v>291</v>
      </c>
      <c r="DI49" s="7" t="s">
        <v>296</v>
      </c>
      <c r="DJ49" s="1">
        <v>1</v>
      </c>
      <c r="DK49" s="1">
        <v>6</v>
      </c>
      <c r="DL49" s="12"/>
      <c r="DM49" s="7" t="s">
        <v>291</v>
      </c>
      <c r="DN49" s="7" t="s">
        <v>296</v>
      </c>
      <c r="DO49" s="1">
        <v>1</v>
      </c>
      <c r="DP49" s="1">
        <v>6</v>
      </c>
      <c r="DQ49" s="12"/>
      <c r="DR49" s="7" t="s">
        <v>300</v>
      </c>
      <c r="DS49" s="7" t="s">
        <v>294</v>
      </c>
      <c r="DT49" s="1">
        <v>2</v>
      </c>
      <c r="DU49" s="1">
        <v>7</v>
      </c>
      <c r="DV49" s="12"/>
      <c r="DW49" s="7" t="s">
        <v>301</v>
      </c>
      <c r="DX49" s="7" t="s">
        <v>296</v>
      </c>
      <c r="DY49" s="1">
        <v>5</v>
      </c>
      <c r="DZ49" s="1">
        <v>6</v>
      </c>
      <c r="EA49" s="12"/>
      <c r="EB49" s="7" t="s">
        <v>300</v>
      </c>
      <c r="EC49" s="7" t="s">
        <v>296</v>
      </c>
      <c r="ED49" s="1">
        <v>2</v>
      </c>
      <c r="EE49" s="1">
        <v>6</v>
      </c>
      <c r="EF49" s="12"/>
      <c r="EG49" s="7" t="s">
        <v>300</v>
      </c>
      <c r="EH49" s="7" t="s">
        <v>296</v>
      </c>
      <c r="EI49" s="1">
        <v>2</v>
      </c>
      <c r="EJ49" s="1">
        <v>6</v>
      </c>
      <c r="EK49" s="12"/>
      <c r="EL49" s="7" t="s">
        <v>301</v>
      </c>
      <c r="EM49" s="7" t="s">
        <v>292</v>
      </c>
      <c r="EN49" s="1">
        <v>5</v>
      </c>
      <c r="EO49" s="1">
        <v>5</v>
      </c>
      <c r="EP49" s="12"/>
      <c r="EQ49" s="7" t="s">
        <v>291</v>
      </c>
      <c r="ER49" s="7" t="s">
        <v>294</v>
      </c>
      <c r="ES49" s="1">
        <v>1</v>
      </c>
      <c r="ET49" s="1">
        <v>7</v>
      </c>
      <c r="EU49" s="12"/>
      <c r="EV49" s="7" t="s">
        <v>300</v>
      </c>
      <c r="EW49" s="7" t="s">
        <v>294</v>
      </c>
      <c r="EX49" s="1">
        <v>2</v>
      </c>
      <c r="EY49" s="1">
        <v>7</v>
      </c>
      <c r="EZ49" s="12"/>
      <c r="FA49" s="7" t="s">
        <v>301</v>
      </c>
      <c r="FB49" s="7" t="s">
        <v>296</v>
      </c>
      <c r="FC49" s="1">
        <v>5</v>
      </c>
      <c r="FD49" s="1">
        <v>6</v>
      </c>
      <c r="FE49" s="12"/>
      <c r="FF49" s="7" t="s">
        <v>291</v>
      </c>
      <c r="FG49" s="7" t="s">
        <v>296</v>
      </c>
      <c r="FH49" s="1">
        <v>1</v>
      </c>
      <c r="FI49" s="1">
        <v>6</v>
      </c>
      <c r="FJ49" s="12"/>
      <c r="FK49" s="7" t="s">
        <v>300</v>
      </c>
      <c r="FL49" s="7" t="s">
        <v>296</v>
      </c>
      <c r="FM49" s="1">
        <v>2</v>
      </c>
      <c r="FN49" s="1">
        <v>6</v>
      </c>
      <c r="FO49" s="12"/>
      <c r="FP49" s="7" t="s">
        <v>291</v>
      </c>
      <c r="FQ49" s="7" t="s">
        <v>292</v>
      </c>
      <c r="FR49" s="1">
        <v>1</v>
      </c>
      <c r="FS49" s="1">
        <v>5</v>
      </c>
      <c r="FT49" s="10"/>
      <c r="FU49" s="7" t="s">
        <v>872</v>
      </c>
      <c r="FV49" s="7" t="s">
        <v>592</v>
      </c>
      <c r="FW49" s="7" t="s">
        <v>873</v>
      </c>
      <c r="FX49" s="7" t="s">
        <v>592</v>
      </c>
      <c r="FY49" s="7" t="s">
        <v>874</v>
      </c>
      <c r="FZ49" s="7" t="s">
        <v>875</v>
      </c>
      <c r="GA49" s="7" t="s">
        <v>693</v>
      </c>
      <c r="GB49" s="7" t="s">
        <v>592</v>
      </c>
      <c r="GC49" s="7" t="s">
        <v>876</v>
      </c>
      <c r="GD49" s="7" t="s">
        <v>592</v>
      </c>
      <c r="GE49" s="7" t="s">
        <v>282</v>
      </c>
      <c r="GF49" s="7" t="s">
        <v>282</v>
      </c>
      <c r="GG49" s="7" t="s">
        <v>372</v>
      </c>
      <c r="GH49" s="7" t="s">
        <v>325</v>
      </c>
    </row>
    <row r="50" spans="1:190" x14ac:dyDescent="0.2">
      <c r="A50">
        <v>48</v>
      </c>
      <c r="B50">
        <v>100</v>
      </c>
      <c r="C50">
        <v>1075</v>
      </c>
      <c r="D50" s="7" t="s">
        <v>280</v>
      </c>
      <c r="E50" s="7" t="s">
        <v>544</v>
      </c>
      <c r="F50" s="7" t="s">
        <v>328</v>
      </c>
      <c r="G50" s="4" t="s">
        <v>1222</v>
      </c>
      <c r="H50" s="7" t="s">
        <v>288</v>
      </c>
      <c r="I50" s="1">
        <v>5</v>
      </c>
      <c r="J50" s="7" t="s">
        <v>288</v>
      </c>
      <c r="K50" s="1">
        <v>5</v>
      </c>
      <c r="L50" s="7" t="s">
        <v>289</v>
      </c>
      <c r="M50" s="1">
        <v>1</v>
      </c>
      <c r="N50" s="7" t="s">
        <v>317</v>
      </c>
      <c r="O50" s="1">
        <v>2</v>
      </c>
      <c r="P50" s="12"/>
      <c r="Q50" s="7" t="s">
        <v>291</v>
      </c>
      <c r="R50" s="7" t="s">
        <v>292</v>
      </c>
      <c r="S50" s="1">
        <v>1</v>
      </c>
      <c r="T50" s="1">
        <v>5</v>
      </c>
      <c r="U50" s="12"/>
      <c r="V50" s="7" t="s">
        <v>293</v>
      </c>
      <c r="W50" s="7" t="s">
        <v>296</v>
      </c>
      <c r="X50" s="1">
        <v>2</v>
      </c>
      <c r="Y50" s="1">
        <v>6</v>
      </c>
      <c r="Z50" s="12"/>
      <c r="AA50" s="7" t="s">
        <v>293</v>
      </c>
      <c r="AB50" s="7" t="s">
        <v>296</v>
      </c>
      <c r="AC50" s="1">
        <v>2</v>
      </c>
      <c r="AD50" s="1">
        <v>6</v>
      </c>
      <c r="AE50" s="12"/>
      <c r="AF50" s="7" t="s">
        <v>298</v>
      </c>
      <c r="AG50" s="7" t="s">
        <v>296</v>
      </c>
      <c r="AH50" s="1">
        <v>3</v>
      </c>
      <c r="AI50" s="1">
        <v>6</v>
      </c>
      <c r="AJ50" s="12"/>
      <c r="AK50" s="7" t="s">
        <v>298</v>
      </c>
      <c r="AL50" s="7" t="s">
        <v>296</v>
      </c>
      <c r="AM50" s="1">
        <v>3</v>
      </c>
      <c r="AN50" s="1">
        <v>6</v>
      </c>
      <c r="AO50" s="12"/>
      <c r="AP50" s="7" t="s">
        <v>291</v>
      </c>
      <c r="AQ50" s="7" t="s">
        <v>296</v>
      </c>
      <c r="AR50" s="1">
        <v>1</v>
      </c>
      <c r="AS50" s="1">
        <v>6</v>
      </c>
      <c r="AT50" s="12"/>
      <c r="AU50" s="7" t="s">
        <v>293</v>
      </c>
      <c r="AV50" s="7" t="s">
        <v>296</v>
      </c>
      <c r="AW50" s="1">
        <v>2</v>
      </c>
      <c r="AX50" s="1">
        <v>6</v>
      </c>
      <c r="AY50" s="12"/>
      <c r="AZ50" s="7" t="s">
        <v>295</v>
      </c>
      <c r="BA50" s="7" t="s">
        <v>297</v>
      </c>
      <c r="BB50" s="1">
        <v>5</v>
      </c>
      <c r="BC50" s="1">
        <v>4</v>
      </c>
      <c r="BD50" s="12"/>
      <c r="BE50" s="7" t="s">
        <v>298</v>
      </c>
      <c r="BF50" s="7" t="s">
        <v>296</v>
      </c>
      <c r="BG50" s="1">
        <v>3</v>
      </c>
      <c r="BH50" s="1">
        <v>6</v>
      </c>
      <c r="BI50" s="12"/>
      <c r="BJ50" s="7" t="s">
        <v>298</v>
      </c>
      <c r="BK50" s="7" t="s">
        <v>296</v>
      </c>
      <c r="BL50" s="1">
        <v>3</v>
      </c>
      <c r="BM50" s="1">
        <v>6</v>
      </c>
      <c r="BN50" s="12"/>
      <c r="BO50" s="7" t="s">
        <v>291</v>
      </c>
      <c r="BP50" s="7" t="s">
        <v>296</v>
      </c>
      <c r="BQ50" s="1">
        <v>1</v>
      </c>
      <c r="BR50" s="1">
        <v>6</v>
      </c>
      <c r="BS50" s="12"/>
      <c r="BT50" s="7" t="s">
        <v>293</v>
      </c>
      <c r="BU50" s="7" t="s">
        <v>296</v>
      </c>
      <c r="BV50" s="1">
        <v>2</v>
      </c>
      <c r="BW50" s="1">
        <v>6</v>
      </c>
      <c r="BX50" s="12"/>
      <c r="BY50" s="7" t="s">
        <v>295</v>
      </c>
      <c r="BZ50" s="7" t="s">
        <v>297</v>
      </c>
      <c r="CA50" s="1">
        <v>5</v>
      </c>
      <c r="CB50" s="1">
        <v>4</v>
      </c>
      <c r="CC50" s="12"/>
      <c r="CD50" s="7" t="s">
        <v>298</v>
      </c>
      <c r="CE50" s="7" t="s">
        <v>296</v>
      </c>
      <c r="CF50" s="1">
        <v>3</v>
      </c>
      <c r="CG50" s="1">
        <v>6</v>
      </c>
      <c r="CH50" s="12"/>
      <c r="CI50" s="7" t="s">
        <v>291</v>
      </c>
      <c r="CJ50" s="7" t="s">
        <v>292</v>
      </c>
      <c r="CK50" s="1">
        <v>1</v>
      </c>
      <c r="CL50" s="1">
        <v>5</v>
      </c>
      <c r="CM50" s="12"/>
      <c r="CN50" s="7" t="s">
        <v>291</v>
      </c>
      <c r="CO50" s="7" t="s">
        <v>292</v>
      </c>
      <c r="CP50" s="1">
        <v>1</v>
      </c>
      <c r="CQ50" s="1">
        <v>5</v>
      </c>
      <c r="CR50" s="12"/>
      <c r="CS50" s="7" t="s">
        <v>293</v>
      </c>
      <c r="CT50" s="7" t="s">
        <v>296</v>
      </c>
      <c r="CU50" s="1">
        <v>2</v>
      </c>
      <c r="CV50" s="1">
        <v>6</v>
      </c>
      <c r="CW50" s="12"/>
      <c r="CX50" s="7" t="s">
        <v>299</v>
      </c>
      <c r="CY50" s="7" t="s">
        <v>296</v>
      </c>
      <c r="CZ50" s="1">
        <v>4</v>
      </c>
      <c r="DA50" s="1">
        <v>6</v>
      </c>
      <c r="DB50" s="12"/>
      <c r="DC50" s="7" t="s">
        <v>298</v>
      </c>
      <c r="DD50" s="7" t="s">
        <v>296</v>
      </c>
      <c r="DE50" s="1">
        <v>3</v>
      </c>
      <c r="DF50" s="1">
        <v>6</v>
      </c>
      <c r="DG50" s="12"/>
      <c r="DH50" s="7" t="s">
        <v>291</v>
      </c>
      <c r="DI50" s="7" t="s">
        <v>292</v>
      </c>
      <c r="DJ50" s="1">
        <v>1</v>
      </c>
      <c r="DK50" s="1">
        <v>5</v>
      </c>
      <c r="DL50" s="12"/>
      <c r="DM50" s="7" t="s">
        <v>291</v>
      </c>
      <c r="DN50" s="7" t="s">
        <v>297</v>
      </c>
      <c r="DO50" s="1">
        <v>1</v>
      </c>
      <c r="DP50" s="1">
        <v>4</v>
      </c>
      <c r="DQ50" s="12"/>
      <c r="DR50" s="7" t="s">
        <v>300</v>
      </c>
      <c r="DS50" s="7" t="s">
        <v>294</v>
      </c>
      <c r="DT50" s="1">
        <v>2</v>
      </c>
      <c r="DU50" s="1">
        <v>7</v>
      </c>
      <c r="DV50" s="12"/>
      <c r="DW50" s="7" t="s">
        <v>301</v>
      </c>
      <c r="DX50" s="7" t="s">
        <v>292</v>
      </c>
      <c r="DY50" s="1">
        <v>5</v>
      </c>
      <c r="DZ50" s="1">
        <v>5</v>
      </c>
      <c r="EA50" s="12"/>
      <c r="EB50" s="7" t="s">
        <v>291</v>
      </c>
      <c r="EC50" s="7" t="s">
        <v>292</v>
      </c>
      <c r="ED50" s="1">
        <v>1</v>
      </c>
      <c r="EE50" s="1">
        <v>5</v>
      </c>
      <c r="EF50" s="12"/>
      <c r="EG50" s="7" t="s">
        <v>300</v>
      </c>
      <c r="EH50" s="7" t="s">
        <v>296</v>
      </c>
      <c r="EI50" s="1">
        <v>2</v>
      </c>
      <c r="EJ50" s="1">
        <v>6</v>
      </c>
      <c r="EK50" s="12"/>
      <c r="EL50" s="7" t="s">
        <v>301</v>
      </c>
      <c r="EM50" s="7" t="s">
        <v>292</v>
      </c>
      <c r="EN50" s="1">
        <v>5</v>
      </c>
      <c r="EO50" s="1">
        <v>5</v>
      </c>
      <c r="EP50" s="12"/>
      <c r="EQ50" s="7" t="s">
        <v>291</v>
      </c>
      <c r="ER50" s="7" t="s">
        <v>296</v>
      </c>
      <c r="ES50" s="1">
        <v>1</v>
      </c>
      <c r="ET50" s="1">
        <v>6</v>
      </c>
      <c r="EU50" s="12"/>
      <c r="EV50" s="7" t="s">
        <v>300</v>
      </c>
      <c r="EW50" s="7" t="s">
        <v>296</v>
      </c>
      <c r="EX50" s="1">
        <v>2</v>
      </c>
      <c r="EY50" s="1">
        <v>6</v>
      </c>
      <c r="EZ50" s="12"/>
      <c r="FA50" s="7" t="s">
        <v>301</v>
      </c>
      <c r="FB50" s="7" t="s">
        <v>296</v>
      </c>
      <c r="FC50" s="1">
        <v>5</v>
      </c>
      <c r="FD50" s="1">
        <v>6</v>
      </c>
      <c r="FE50" s="12"/>
      <c r="FF50" s="7" t="s">
        <v>291</v>
      </c>
      <c r="FG50" s="7" t="s">
        <v>292</v>
      </c>
      <c r="FH50" s="1">
        <v>1</v>
      </c>
      <c r="FI50" s="1">
        <v>5</v>
      </c>
      <c r="FJ50" s="12"/>
      <c r="FK50" s="7" t="s">
        <v>300</v>
      </c>
      <c r="FL50" s="7" t="s">
        <v>294</v>
      </c>
      <c r="FM50" s="1">
        <v>2</v>
      </c>
      <c r="FN50" s="1">
        <v>7</v>
      </c>
      <c r="FO50" s="12"/>
      <c r="FP50" s="7" t="s">
        <v>301</v>
      </c>
      <c r="FQ50" s="7" t="s">
        <v>292</v>
      </c>
      <c r="FR50" s="1">
        <v>5</v>
      </c>
      <c r="FS50" s="1">
        <v>5</v>
      </c>
      <c r="FT50" s="10"/>
      <c r="FU50" s="7" t="s">
        <v>879</v>
      </c>
      <c r="FV50" s="7" t="s">
        <v>880</v>
      </c>
      <c r="FW50" s="7" t="s">
        <v>881</v>
      </c>
      <c r="FX50" s="7" t="s">
        <v>882</v>
      </c>
      <c r="FY50" s="7" t="s">
        <v>883</v>
      </c>
      <c r="FZ50" s="7" t="s">
        <v>884</v>
      </c>
      <c r="GA50" s="7" t="s">
        <v>885</v>
      </c>
      <c r="GB50" s="7" t="s">
        <v>886</v>
      </c>
      <c r="GC50" s="7" t="s">
        <v>887</v>
      </c>
      <c r="GD50" s="7" t="s">
        <v>888</v>
      </c>
      <c r="GE50" s="7" t="s">
        <v>282</v>
      </c>
      <c r="GF50" s="7" t="s">
        <v>889</v>
      </c>
      <c r="GG50" s="7" t="s">
        <v>356</v>
      </c>
      <c r="GH50" s="7" t="s">
        <v>313</v>
      </c>
    </row>
    <row r="51" spans="1:190" x14ac:dyDescent="0.2">
      <c r="A51">
        <v>49</v>
      </c>
      <c r="B51">
        <v>100</v>
      </c>
      <c r="C51">
        <v>2072</v>
      </c>
      <c r="D51" s="7" t="s">
        <v>280</v>
      </c>
      <c r="E51" s="7" t="s">
        <v>286</v>
      </c>
      <c r="F51" s="7" t="s">
        <v>287</v>
      </c>
      <c r="G51" s="4" t="s">
        <v>312</v>
      </c>
      <c r="H51" s="7" t="s">
        <v>288</v>
      </c>
      <c r="I51" s="1">
        <v>5</v>
      </c>
      <c r="J51" s="7" t="s">
        <v>289</v>
      </c>
      <c r="K51" s="1">
        <v>1</v>
      </c>
      <c r="L51" s="7" t="s">
        <v>317</v>
      </c>
      <c r="M51" s="1">
        <v>2</v>
      </c>
      <c r="N51" s="7" t="s">
        <v>289</v>
      </c>
      <c r="O51" s="1">
        <v>1</v>
      </c>
      <c r="P51" s="12"/>
      <c r="Q51" s="7" t="s">
        <v>291</v>
      </c>
      <c r="R51" s="7" t="s">
        <v>292</v>
      </c>
      <c r="S51" s="1">
        <v>1</v>
      </c>
      <c r="T51" s="1">
        <v>5</v>
      </c>
      <c r="U51" s="12"/>
      <c r="V51" s="7" t="s">
        <v>299</v>
      </c>
      <c r="W51" s="7" t="s">
        <v>294</v>
      </c>
      <c r="X51" s="1">
        <v>4</v>
      </c>
      <c r="Y51" s="1">
        <v>7</v>
      </c>
      <c r="Z51" s="12"/>
      <c r="AA51" s="7" t="s">
        <v>299</v>
      </c>
      <c r="AB51" s="7" t="s">
        <v>296</v>
      </c>
      <c r="AC51" s="1">
        <v>4</v>
      </c>
      <c r="AD51" s="1">
        <v>6</v>
      </c>
      <c r="AE51" s="12"/>
      <c r="AF51" s="7" t="s">
        <v>295</v>
      </c>
      <c r="AG51" s="7" t="s">
        <v>294</v>
      </c>
      <c r="AH51" s="1">
        <v>5</v>
      </c>
      <c r="AI51" s="1">
        <v>7</v>
      </c>
      <c r="AJ51" s="12"/>
      <c r="AK51" s="7" t="s">
        <v>295</v>
      </c>
      <c r="AL51" s="7" t="s">
        <v>296</v>
      </c>
      <c r="AM51" s="1">
        <v>5</v>
      </c>
      <c r="AN51" s="1">
        <v>6</v>
      </c>
      <c r="AO51" s="12"/>
      <c r="AP51" s="7" t="s">
        <v>291</v>
      </c>
      <c r="AQ51" s="7" t="s">
        <v>296</v>
      </c>
      <c r="AR51" s="1">
        <v>1</v>
      </c>
      <c r="AS51" s="1">
        <v>6</v>
      </c>
      <c r="AT51" s="12"/>
      <c r="AU51" s="7" t="s">
        <v>299</v>
      </c>
      <c r="AV51" s="7" t="s">
        <v>294</v>
      </c>
      <c r="AW51" s="1">
        <v>4</v>
      </c>
      <c r="AX51" s="1">
        <v>7</v>
      </c>
      <c r="AY51" s="12"/>
      <c r="AZ51" s="7" t="s">
        <v>291</v>
      </c>
      <c r="BA51" s="7" t="s">
        <v>292</v>
      </c>
      <c r="BB51" s="1">
        <v>1</v>
      </c>
      <c r="BC51" s="1">
        <v>5</v>
      </c>
      <c r="BD51" s="12"/>
      <c r="BE51" s="7" t="s">
        <v>295</v>
      </c>
      <c r="BF51" s="7" t="s">
        <v>296</v>
      </c>
      <c r="BG51" s="1">
        <v>5</v>
      </c>
      <c r="BH51" s="1">
        <v>6</v>
      </c>
      <c r="BI51" s="12"/>
      <c r="BJ51" s="7" t="s">
        <v>293</v>
      </c>
      <c r="BK51" s="7" t="s">
        <v>292</v>
      </c>
      <c r="BL51" s="1">
        <v>2</v>
      </c>
      <c r="BM51" s="1">
        <v>5</v>
      </c>
      <c r="BN51" s="12"/>
      <c r="BO51" s="7" t="s">
        <v>291</v>
      </c>
      <c r="BP51" s="7" t="s">
        <v>296</v>
      </c>
      <c r="BQ51" s="1">
        <v>1</v>
      </c>
      <c r="BR51" s="1">
        <v>6</v>
      </c>
      <c r="BS51" s="12"/>
      <c r="BT51" s="7" t="s">
        <v>299</v>
      </c>
      <c r="BU51" s="7" t="s">
        <v>294</v>
      </c>
      <c r="BV51" s="1">
        <v>4</v>
      </c>
      <c r="BW51" s="1">
        <v>7</v>
      </c>
      <c r="BX51" s="12"/>
      <c r="BY51" s="7" t="s">
        <v>291</v>
      </c>
      <c r="BZ51" s="7" t="s">
        <v>297</v>
      </c>
      <c r="CA51" s="1">
        <v>1</v>
      </c>
      <c r="CB51" s="1">
        <v>4</v>
      </c>
      <c r="CC51" s="12"/>
      <c r="CD51" s="7" t="s">
        <v>295</v>
      </c>
      <c r="CE51" s="7" t="s">
        <v>296</v>
      </c>
      <c r="CF51" s="1">
        <v>5</v>
      </c>
      <c r="CG51" s="1">
        <v>6</v>
      </c>
      <c r="CH51" s="12"/>
      <c r="CI51" s="7" t="s">
        <v>298</v>
      </c>
      <c r="CJ51" s="7" t="s">
        <v>292</v>
      </c>
      <c r="CK51" s="1">
        <v>3</v>
      </c>
      <c r="CL51" s="1">
        <v>5</v>
      </c>
      <c r="CM51" s="12"/>
      <c r="CN51" s="7" t="s">
        <v>291</v>
      </c>
      <c r="CO51" s="7" t="s">
        <v>296</v>
      </c>
      <c r="CP51" s="1">
        <v>1</v>
      </c>
      <c r="CQ51" s="1">
        <v>6</v>
      </c>
      <c r="CR51" s="12"/>
      <c r="CS51" s="7" t="s">
        <v>299</v>
      </c>
      <c r="CT51" s="7" t="s">
        <v>296</v>
      </c>
      <c r="CU51" s="1">
        <v>4</v>
      </c>
      <c r="CV51" s="1">
        <v>6</v>
      </c>
      <c r="CW51" s="12"/>
      <c r="CX51" s="7" t="s">
        <v>291</v>
      </c>
      <c r="CY51" s="7" t="s">
        <v>296</v>
      </c>
      <c r="CZ51" s="1">
        <v>1</v>
      </c>
      <c r="DA51" s="1">
        <v>6</v>
      </c>
      <c r="DB51" s="12"/>
      <c r="DC51" s="7" t="s">
        <v>295</v>
      </c>
      <c r="DD51" s="7" t="s">
        <v>296</v>
      </c>
      <c r="DE51" s="1">
        <v>5</v>
      </c>
      <c r="DF51" s="1">
        <v>6</v>
      </c>
      <c r="DG51" s="12"/>
      <c r="DH51" s="7" t="s">
        <v>291</v>
      </c>
      <c r="DI51" s="7" t="s">
        <v>296</v>
      </c>
      <c r="DJ51" s="1">
        <v>1</v>
      </c>
      <c r="DK51" s="1">
        <v>6</v>
      </c>
      <c r="DL51" s="12"/>
      <c r="DM51" s="7" t="s">
        <v>291</v>
      </c>
      <c r="DN51" s="7" t="s">
        <v>294</v>
      </c>
      <c r="DO51" s="1">
        <v>1</v>
      </c>
      <c r="DP51" s="1">
        <v>7</v>
      </c>
      <c r="DQ51" s="12"/>
      <c r="DR51" s="7" t="s">
        <v>300</v>
      </c>
      <c r="DS51" s="7" t="s">
        <v>294</v>
      </c>
      <c r="DT51" s="1">
        <v>2</v>
      </c>
      <c r="DU51" s="1">
        <v>7</v>
      </c>
      <c r="DV51" s="12"/>
      <c r="DW51" s="7" t="s">
        <v>301</v>
      </c>
      <c r="DX51" s="7" t="s">
        <v>296</v>
      </c>
      <c r="DY51" s="1">
        <v>5</v>
      </c>
      <c r="DZ51" s="1">
        <v>6</v>
      </c>
      <c r="EA51" s="12"/>
      <c r="EB51" s="7" t="s">
        <v>291</v>
      </c>
      <c r="EC51" s="7" t="s">
        <v>294</v>
      </c>
      <c r="ED51" s="1">
        <v>1</v>
      </c>
      <c r="EE51" s="1">
        <v>7</v>
      </c>
      <c r="EF51" s="12"/>
      <c r="EG51" s="7" t="s">
        <v>300</v>
      </c>
      <c r="EH51" s="7" t="s">
        <v>294</v>
      </c>
      <c r="EI51" s="1">
        <v>2</v>
      </c>
      <c r="EJ51" s="1">
        <v>7</v>
      </c>
      <c r="EK51" s="12"/>
      <c r="EL51" s="7" t="s">
        <v>301</v>
      </c>
      <c r="EM51" s="7" t="s">
        <v>296</v>
      </c>
      <c r="EN51" s="1">
        <v>5</v>
      </c>
      <c r="EO51" s="1">
        <v>6</v>
      </c>
      <c r="EP51" s="12"/>
      <c r="EQ51" s="7" t="s">
        <v>291</v>
      </c>
      <c r="ER51" s="7" t="s">
        <v>296</v>
      </c>
      <c r="ES51" s="1">
        <v>1</v>
      </c>
      <c r="ET51" s="1">
        <v>6</v>
      </c>
      <c r="EU51" s="12"/>
      <c r="EV51" s="7" t="s">
        <v>300</v>
      </c>
      <c r="EW51" s="7" t="s">
        <v>296</v>
      </c>
      <c r="EX51" s="1">
        <v>2</v>
      </c>
      <c r="EY51" s="1">
        <v>6</v>
      </c>
      <c r="EZ51" s="12"/>
      <c r="FA51" s="7" t="s">
        <v>301</v>
      </c>
      <c r="FB51" s="7" t="s">
        <v>296</v>
      </c>
      <c r="FC51" s="1">
        <v>5</v>
      </c>
      <c r="FD51" s="1">
        <v>6</v>
      </c>
      <c r="FE51" s="12"/>
      <c r="FF51" s="7" t="s">
        <v>291</v>
      </c>
      <c r="FG51" s="7" t="s">
        <v>294</v>
      </c>
      <c r="FH51" s="1">
        <v>1</v>
      </c>
      <c r="FI51" s="1">
        <v>7</v>
      </c>
      <c r="FJ51" s="12"/>
      <c r="FK51" s="7" t="s">
        <v>300</v>
      </c>
      <c r="FL51" s="7" t="s">
        <v>296</v>
      </c>
      <c r="FM51" s="1">
        <v>2</v>
      </c>
      <c r="FN51" s="1">
        <v>6</v>
      </c>
      <c r="FO51" s="12"/>
      <c r="FP51" s="7" t="s">
        <v>291</v>
      </c>
      <c r="FQ51" s="7" t="s">
        <v>296</v>
      </c>
      <c r="FR51" s="1">
        <v>1</v>
      </c>
      <c r="FS51" s="1">
        <v>6</v>
      </c>
      <c r="FT51" s="10"/>
      <c r="FU51" s="7" t="s">
        <v>892</v>
      </c>
      <c r="FV51" s="7" t="s">
        <v>893</v>
      </c>
      <c r="FW51" s="7" t="s">
        <v>894</v>
      </c>
      <c r="FX51" s="7" t="s">
        <v>895</v>
      </c>
      <c r="FY51" s="7" t="s">
        <v>896</v>
      </c>
      <c r="FZ51" s="7" t="s">
        <v>592</v>
      </c>
      <c r="GA51" s="7" t="s">
        <v>897</v>
      </c>
      <c r="GB51" s="7" t="s">
        <v>898</v>
      </c>
      <c r="GC51" s="7" t="s">
        <v>899</v>
      </c>
      <c r="GD51" s="7" t="s">
        <v>900</v>
      </c>
      <c r="GE51" s="7" t="s">
        <v>901</v>
      </c>
      <c r="GF51" s="7" t="s">
        <v>902</v>
      </c>
      <c r="GG51" s="7" t="s">
        <v>372</v>
      </c>
      <c r="GH51" s="7" t="s">
        <v>325</v>
      </c>
    </row>
    <row r="52" spans="1:190" x14ac:dyDescent="0.2">
      <c r="A52">
        <v>50</v>
      </c>
      <c r="B52">
        <v>100</v>
      </c>
      <c r="C52">
        <v>1510</v>
      </c>
      <c r="D52" s="7" t="s">
        <v>280</v>
      </c>
      <c r="E52" s="7" t="s">
        <v>905</v>
      </c>
      <c r="F52" s="7" t="s">
        <v>906</v>
      </c>
      <c r="G52" s="4" t="s">
        <v>1296</v>
      </c>
      <c r="H52" s="7" t="s">
        <v>288</v>
      </c>
      <c r="I52" s="1">
        <v>5</v>
      </c>
      <c r="J52" s="7" t="s">
        <v>289</v>
      </c>
      <c r="K52" s="1">
        <v>1</v>
      </c>
      <c r="L52" s="7" t="s">
        <v>289</v>
      </c>
      <c r="M52" s="1">
        <v>1</v>
      </c>
      <c r="N52" s="7" t="s">
        <v>329</v>
      </c>
      <c r="O52" s="1">
        <v>3</v>
      </c>
      <c r="P52" s="12"/>
      <c r="Q52" s="7" t="s">
        <v>291</v>
      </c>
      <c r="R52" s="7" t="s">
        <v>296</v>
      </c>
      <c r="S52" s="1">
        <v>1</v>
      </c>
      <c r="T52" s="1">
        <v>6</v>
      </c>
      <c r="U52" s="12"/>
      <c r="V52" s="7" t="s">
        <v>299</v>
      </c>
      <c r="W52" s="7" t="s">
        <v>296</v>
      </c>
      <c r="X52" s="1">
        <v>4</v>
      </c>
      <c r="Y52" s="1">
        <v>6</v>
      </c>
      <c r="Z52" s="12"/>
      <c r="AA52" s="7" t="s">
        <v>293</v>
      </c>
      <c r="AB52" s="7" t="s">
        <v>292</v>
      </c>
      <c r="AC52" s="1">
        <v>2</v>
      </c>
      <c r="AD52" s="1">
        <v>5</v>
      </c>
      <c r="AE52" s="12"/>
      <c r="AF52" s="7" t="s">
        <v>295</v>
      </c>
      <c r="AG52" s="7" t="s">
        <v>296</v>
      </c>
      <c r="AH52" s="1">
        <v>5</v>
      </c>
      <c r="AI52" s="1">
        <v>6</v>
      </c>
      <c r="AJ52" s="12"/>
      <c r="AK52" s="7" t="s">
        <v>299</v>
      </c>
      <c r="AL52" s="7" t="s">
        <v>296</v>
      </c>
      <c r="AM52" s="1">
        <v>4</v>
      </c>
      <c r="AN52" s="1">
        <v>6</v>
      </c>
      <c r="AO52" s="12"/>
      <c r="AP52" s="7" t="s">
        <v>291</v>
      </c>
      <c r="AQ52" s="7" t="s">
        <v>296</v>
      </c>
      <c r="AR52" s="1">
        <v>1</v>
      </c>
      <c r="AS52" s="1">
        <v>6</v>
      </c>
      <c r="AT52" s="12"/>
      <c r="AU52" s="7" t="s">
        <v>293</v>
      </c>
      <c r="AV52" s="7" t="s">
        <v>296</v>
      </c>
      <c r="AW52" s="1">
        <v>2</v>
      </c>
      <c r="AX52" s="1">
        <v>6</v>
      </c>
      <c r="AY52" s="12"/>
      <c r="AZ52" s="7" t="s">
        <v>293</v>
      </c>
      <c r="BA52" s="7" t="s">
        <v>296</v>
      </c>
      <c r="BB52" s="1">
        <v>2</v>
      </c>
      <c r="BC52" s="1">
        <v>6</v>
      </c>
      <c r="BD52" s="12"/>
      <c r="BE52" s="7" t="s">
        <v>299</v>
      </c>
      <c r="BF52" s="7" t="s">
        <v>294</v>
      </c>
      <c r="BG52" s="1">
        <v>4</v>
      </c>
      <c r="BH52" s="1">
        <v>7</v>
      </c>
      <c r="BI52" s="12"/>
      <c r="BJ52" s="7" t="s">
        <v>298</v>
      </c>
      <c r="BK52" s="7" t="s">
        <v>296</v>
      </c>
      <c r="BL52" s="1">
        <v>3</v>
      </c>
      <c r="BM52" s="1">
        <v>6</v>
      </c>
      <c r="BN52" s="12"/>
      <c r="BO52" s="7" t="s">
        <v>291</v>
      </c>
      <c r="BP52" s="7" t="s">
        <v>292</v>
      </c>
      <c r="BQ52" s="1">
        <v>1</v>
      </c>
      <c r="BR52" s="1">
        <v>5</v>
      </c>
      <c r="BS52" s="12"/>
      <c r="BT52" s="7" t="s">
        <v>293</v>
      </c>
      <c r="BU52" s="7" t="s">
        <v>294</v>
      </c>
      <c r="BV52" s="1">
        <v>2</v>
      </c>
      <c r="BW52" s="1">
        <v>7</v>
      </c>
      <c r="BX52" s="12"/>
      <c r="BY52" s="7" t="s">
        <v>293</v>
      </c>
      <c r="BZ52" s="7" t="s">
        <v>292</v>
      </c>
      <c r="CA52" s="1">
        <v>2</v>
      </c>
      <c r="CB52" s="1">
        <v>5</v>
      </c>
      <c r="CC52" s="12"/>
      <c r="CD52" s="7" t="s">
        <v>295</v>
      </c>
      <c r="CE52" s="7" t="s">
        <v>296</v>
      </c>
      <c r="CF52" s="1">
        <v>5</v>
      </c>
      <c r="CG52" s="1">
        <v>6</v>
      </c>
      <c r="CH52" s="12"/>
      <c r="CI52" s="7" t="s">
        <v>298</v>
      </c>
      <c r="CJ52" s="7" t="s">
        <v>296</v>
      </c>
      <c r="CK52" s="1">
        <v>3</v>
      </c>
      <c r="CL52" s="1">
        <v>6</v>
      </c>
      <c r="CM52" s="12"/>
      <c r="CN52" s="7" t="s">
        <v>291</v>
      </c>
      <c r="CO52" s="7" t="s">
        <v>292</v>
      </c>
      <c r="CP52" s="1">
        <v>1</v>
      </c>
      <c r="CQ52" s="1">
        <v>5</v>
      </c>
      <c r="CR52" s="12"/>
      <c r="CS52" s="7" t="s">
        <v>299</v>
      </c>
      <c r="CT52" s="7" t="s">
        <v>296</v>
      </c>
      <c r="CU52" s="1">
        <v>4</v>
      </c>
      <c r="CV52" s="1">
        <v>6</v>
      </c>
      <c r="CW52" s="12"/>
      <c r="CX52" s="7" t="s">
        <v>295</v>
      </c>
      <c r="CY52" s="7" t="s">
        <v>292</v>
      </c>
      <c r="CZ52" s="1">
        <v>5</v>
      </c>
      <c r="DA52" s="1">
        <v>5</v>
      </c>
      <c r="DB52" s="12"/>
      <c r="DC52" s="7" t="s">
        <v>295</v>
      </c>
      <c r="DD52" s="7" t="s">
        <v>296</v>
      </c>
      <c r="DE52" s="1">
        <v>5</v>
      </c>
      <c r="DF52" s="1">
        <v>6</v>
      </c>
      <c r="DG52" s="12"/>
      <c r="DH52" s="7" t="s">
        <v>298</v>
      </c>
      <c r="DI52" s="7" t="s">
        <v>296</v>
      </c>
      <c r="DJ52" s="1">
        <v>3</v>
      </c>
      <c r="DK52" s="1">
        <v>6</v>
      </c>
      <c r="DL52" s="12"/>
      <c r="DM52" s="7" t="s">
        <v>291</v>
      </c>
      <c r="DN52" s="7" t="s">
        <v>296</v>
      </c>
      <c r="DO52" s="1">
        <v>1</v>
      </c>
      <c r="DP52" s="1">
        <v>6</v>
      </c>
      <c r="DQ52" s="12"/>
      <c r="DR52" s="7" t="s">
        <v>300</v>
      </c>
      <c r="DS52" s="7" t="s">
        <v>296</v>
      </c>
      <c r="DT52" s="1">
        <v>2</v>
      </c>
      <c r="DU52" s="1">
        <v>6</v>
      </c>
      <c r="DV52" s="12"/>
      <c r="DW52" s="7" t="s">
        <v>301</v>
      </c>
      <c r="DX52" s="7" t="s">
        <v>294</v>
      </c>
      <c r="DY52" s="1">
        <v>5</v>
      </c>
      <c r="DZ52" s="1">
        <v>7</v>
      </c>
      <c r="EA52" s="12"/>
      <c r="EB52" s="7" t="s">
        <v>291</v>
      </c>
      <c r="EC52" s="7" t="s">
        <v>294</v>
      </c>
      <c r="ED52" s="1">
        <v>1</v>
      </c>
      <c r="EE52" s="1">
        <v>7</v>
      </c>
      <c r="EF52" s="12"/>
      <c r="EG52" s="7" t="s">
        <v>300</v>
      </c>
      <c r="EH52" s="7" t="s">
        <v>296</v>
      </c>
      <c r="EI52" s="1">
        <v>2</v>
      </c>
      <c r="EJ52" s="1">
        <v>6</v>
      </c>
      <c r="EK52" s="12"/>
      <c r="EL52" s="7" t="s">
        <v>301</v>
      </c>
      <c r="EM52" s="7" t="s">
        <v>296</v>
      </c>
      <c r="EN52" s="1">
        <v>5</v>
      </c>
      <c r="EO52" s="1">
        <v>6</v>
      </c>
      <c r="EP52" s="12"/>
      <c r="EQ52" s="7" t="s">
        <v>291</v>
      </c>
      <c r="ER52" s="7" t="s">
        <v>294</v>
      </c>
      <c r="ES52" s="1">
        <v>1</v>
      </c>
      <c r="ET52" s="1">
        <v>7</v>
      </c>
      <c r="EU52" s="12"/>
      <c r="EV52" s="7" t="s">
        <v>300</v>
      </c>
      <c r="EW52" s="7" t="s">
        <v>296</v>
      </c>
      <c r="EX52" s="1">
        <v>2</v>
      </c>
      <c r="EY52" s="1">
        <v>6</v>
      </c>
      <c r="EZ52" s="12"/>
      <c r="FA52" s="7" t="s">
        <v>301</v>
      </c>
      <c r="FB52" s="7" t="s">
        <v>296</v>
      </c>
      <c r="FC52" s="1">
        <v>5</v>
      </c>
      <c r="FD52" s="1">
        <v>6</v>
      </c>
      <c r="FE52" s="12"/>
      <c r="FF52" s="7" t="s">
        <v>291</v>
      </c>
      <c r="FG52" s="7" t="s">
        <v>296</v>
      </c>
      <c r="FH52" s="1">
        <v>1</v>
      </c>
      <c r="FI52" s="1">
        <v>6</v>
      </c>
      <c r="FJ52" s="12"/>
      <c r="FK52" s="7" t="s">
        <v>300</v>
      </c>
      <c r="FL52" s="7" t="s">
        <v>296</v>
      </c>
      <c r="FM52" s="1">
        <v>2</v>
      </c>
      <c r="FN52" s="1">
        <v>6</v>
      </c>
      <c r="FO52" s="12"/>
      <c r="FP52" s="7" t="s">
        <v>291</v>
      </c>
      <c r="FQ52" s="7" t="s">
        <v>292</v>
      </c>
      <c r="FR52" s="1">
        <v>1</v>
      </c>
      <c r="FS52" s="1">
        <v>5</v>
      </c>
      <c r="FT52" s="10"/>
      <c r="FU52" s="7" t="s">
        <v>907</v>
      </c>
      <c r="FV52" s="7" t="s">
        <v>908</v>
      </c>
      <c r="FW52" s="7" t="s">
        <v>909</v>
      </c>
      <c r="FX52" s="7" t="s">
        <v>910</v>
      </c>
      <c r="FY52" s="7" t="s">
        <v>911</v>
      </c>
      <c r="FZ52" s="7" t="s">
        <v>912</v>
      </c>
      <c r="GA52" s="7" t="s">
        <v>396</v>
      </c>
      <c r="GB52" s="7" t="s">
        <v>913</v>
      </c>
      <c r="GC52" s="7" t="s">
        <v>914</v>
      </c>
      <c r="GD52" s="7" t="s">
        <v>592</v>
      </c>
      <c r="GE52" s="7" t="s">
        <v>282</v>
      </c>
      <c r="GF52" s="7" t="s">
        <v>915</v>
      </c>
      <c r="GG52" s="7" t="s">
        <v>372</v>
      </c>
      <c r="GH52" s="7" t="s">
        <v>325</v>
      </c>
    </row>
    <row r="53" spans="1:190" x14ac:dyDescent="0.2">
      <c r="A53">
        <v>51</v>
      </c>
      <c r="B53">
        <v>100</v>
      </c>
      <c r="C53">
        <v>2631</v>
      </c>
      <c r="D53" s="7" t="s">
        <v>280</v>
      </c>
      <c r="E53" s="7" t="s">
        <v>501</v>
      </c>
      <c r="F53" s="7" t="s">
        <v>375</v>
      </c>
      <c r="G53" s="4" t="s">
        <v>497</v>
      </c>
      <c r="H53" s="7" t="s">
        <v>288</v>
      </c>
      <c r="I53" s="1">
        <v>5</v>
      </c>
      <c r="J53" s="7" t="s">
        <v>317</v>
      </c>
      <c r="K53" s="1">
        <v>2</v>
      </c>
      <c r="L53" s="7" t="s">
        <v>329</v>
      </c>
      <c r="M53" s="1">
        <v>3</v>
      </c>
      <c r="N53" s="7" t="s">
        <v>317</v>
      </c>
      <c r="O53" s="1">
        <v>2</v>
      </c>
      <c r="P53" s="12"/>
      <c r="Q53" s="7" t="s">
        <v>291</v>
      </c>
      <c r="R53" s="7" t="s">
        <v>296</v>
      </c>
      <c r="S53" s="1">
        <v>1</v>
      </c>
      <c r="T53" s="1">
        <v>6</v>
      </c>
      <c r="U53" s="12"/>
      <c r="V53" s="7" t="s">
        <v>299</v>
      </c>
      <c r="W53" s="7" t="s">
        <v>292</v>
      </c>
      <c r="X53" s="1">
        <v>4</v>
      </c>
      <c r="Y53" s="1">
        <v>5</v>
      </c>
      <c r="Z53" s="12"/>
      <c r="AA53" s="7" t="s">
        <v>299</v>
      </c>
      <c r="AB53" s="7" t="s">
        <v>292</v>
      </c>
      <c r="AC53" s="1">
        <v>4</v>
      </c>
      <c r="AD53" s="1">
        <v>5</v>
      </c>
      <c r="AE53" s="12"/>
      <c r="AF53" s="7" t="s">
        <v>295</v>
      </c>
      <c r="AG53" s="7" t="s">
        <v>296</v>
      </c>
      <c r="AH53" s="1">
        <v>5</v>
      </c>
      <c r="AI53" s="1">
        <v>6</v>
      </c>
      <c r="AJ53" s="12"/>
      <c r="AK53" s="7" t="s">
        <v>299</v>
      </c>
      <c r="AL53" s="7" t="s">
        <v>292</v>
      </c>
      <c r="AM53" s="1">
        <v>4</v>
      </c>
      <c r="AN53" s="1">
        <v>5</v>
      </c>
      <c r="AO53" s="12"/>
      <c r="AP53" s="7" t="s">
        <v>291</v>
      </c>
      <c r="AQ53" s="7" t="s">
        <v>296</v>
      </c>
      <c r="AR53" s="1">
        <v>1</v>
      </c>
      <c r="AS53" s="1">
        <v>6</v>
      </c>
      <c r="AT53" s="12"/>
      <c r="AU53" s="7" t="s">
        <v>299</v>
      </c>
      <c r="AV53" s="7" t="s">
        <v>296</v>
      </c>
      <c r="AW53" s="1">
        <v>4</v>
      </c>
      <c r="AX53" s="1">
        <v>6</v>
      </c>
      <c r="AY53" s="12"/>
      <c r="AZ53" s="7" t="s">
        <v>291</v>
      </c>
      <c r="BA53" s="7" t="s">
        <v>294</v>
      </c>
      <c r="BB53" s="1">
        <v>1</v>
      </c>
      <c r="BC53" s="1">
        <v>7</v>
      </c>
      <c r="BD53" s="12"/>
      <c r="BE53" s="7" t="s">
        <v>299</v>
      </c>
      <c r="BF53" s="7" t="s">
        <v>292</v>
      </c>
      <c r="BG53" s="1">
        <v>4</v>
      </c>
      <c r="BH53" s="1">
        <v>5</v>
      </c>
      <c r="BI53" s="12"/>
      <c r="BJ53" s="7" t="s">
        <v>298</v>
      </c>
      <c r="BK53" s="7" t="s">
        <v>292</v>
      </c>
      <c r="BL53" s="1">
        <v>3</v>
      </c>
      <c r="BM53" s="1">
        <v>5</v>
      </c>
      <c r="BN53" s="12"/>
      <c r="BO53" s="7" t="s">
        <v>291</v>
      </c>
      <c r="BP53" s="7" t="s">
        <v>296</v>
      </c>
      <c r="BQ53" s="1">
        <v>1</v>
      </c>
      <c r="BR53" s="1">
        <v>6</v>
      </c>
      <c r="BS53" s="12"/>
      <c r="BT53" s="7" t="s">
        <v>293</v>
      </c>
      <c r="BU53" s="7" t="s">
        <v>292</v>
      </c>
      <c r="BV53" s="1">
        <v>2</v>
      </c>
      <c r="BW53" s="1">
        <v>5</v>
      </c>
      <c r="BX53" s="12"/>
      <c r="BY53" s="7" t="s">
        <v>291</v>
      </c>
      <c r="BZ53" s="7" t="s">
        <v>296</v>
      </c>
      <c r="CA53" s="1">
        <v>1</v>
      </c>
      <c r="CB53" s="1">
        <v>6</v>
      </c>
      <c r="CC53" s="12"/>
      <c r="CD53" s="7" t="s">
        <v>298</v>
      </c>
      <c r="CE53" s="7" t="s">
        <v>292</v>
      </c>
      <c r="CF53" s="1">
        <v>3</v>
      </c>
      <c r="CG53" s="1">
        <v>5</v>
      </c>
      <c r="CH53" s="12"/>
      <c r="CI53" s="7" t="s">
        <v>291</v>
      </c>
      <c r="CJ53" s="7" t="s">
        <v>292</v>
      </c>
      <c r="CK53" s="1">
        <v>1</v>
      </c>
      <c r="CL53" s="1">
        <v>5</v>
      </c>
      <c r="CM53" s="12"/>
      <c r="CN53" s="7" t="s">
        <v>291</v>
      </c>
      <c r="CO53" s="7" t="s">
        <v>292</v>
      </c>
      <c r="CP53" s="1">
        <v>1</v>
      </c>
      <c r="CQ53" s="1">
        <v>5</v>
      </c>
      <c r="CR53" s="12"/>
      <c r="CS53" s="7" t="s">
        <v>299</v>
      </c>
      <c r="CT53" s="7" t="s">
        <v>296</v>
      </c>
      <c r="CU53" s="1">
        <v>4</v>
      </c>
      <c r="CV53" s="1">
        <v>6</v>
      </c>
      <c r="CW53" s="12"/>
      <c r="CX53" s="7" t="s">
        <v>299</v>
      </c>
      <c r="CY53" s="7" t="s">
        <v>296</v>
      </c>
      <c r="CZ53" s="1">
        <v>4</v>
      </c>
      <c r="DA53" s="1">
        <v>6</v>
      </c>
      <c r="DB53" s="12"/>
      <c r="DC53" s="7" t="s">
        <v>295</v>
      </c>
      <c r="DD53" s="7" t="s">
        <v>292</v>
      </c>
      <c r="DE53" s="1">
        <v>5</v>
      </c>
      <c r="DF53" s="1">
        <v>5</v>
      </c>
      <c r="DG53" s="12"/>
      <c r="DH53" s="7" t="s">
        <v>291</v>
      </c>
      <c r="DI53" s="7" t="s">
        <v>292</v>
      </c>
      <c r="DJ53" s="1">
        <v>1</v>
      </c>
      <c r="DK53" s="1">
        <v>5</v>
      </c>
      <c r="DL53" s="12"/>
      <c r="DM53" s="7" t="s">
        <v>291</v>
      </c>
      <c r="DN53" s="7" t="s">
        <v>294</v>
      </c>
      <c r="DO53" s="1">
        <v>1</v>
      </c>
      <c r="DP53" s="1">
        <v>7</v>
      </c>
      <c r="DQ53" s="12"/>
      <c r="DR53" s="7" t="s">
        <v>619</v>
      </c>
      <c r="DS53" s="7" t="s">
        <v>292</v>
      </c>
      <c r="DT53" s="1">
        <v>1</v>
      </c>
      <c r="DU53" s="1">
        <v>5</v>
      </c>
      <c r="DV53" s="12"/>
      <c r="DW53" s="7" t="s">
        <v>301</v>
      </c>
      <c r="DX53" s="7" t="s">
        <v>292</v>
      </c>
      <c r="DY53" s="1">
        <v>5</v>
      </c>
      <c r="DZ53" s="1">
        <v>5</v>
      </c>
      <c r="EA53" s="12"/>
      <c r="EB53" s="7" t="s">
        <v>291</v>
      </c>
      <c r="EC53" s="7" t="s">
        <v>296</v>
      </c>
      <c r="ED53" s="1">
        <v>1</v>
      </c>
      <c r="EE53" s="1">
        <v>6</v>
      </c>
      <c r="EF53" s="12"/>
      <c r="EG53" s="7" t="s">
        <v>300</v>
      </c>
      <c r="EH53" s="7" t="s">
        <v>294</v>
      </c>
      <c r="EI53" s="1">
        <v>2</v>
      </c>
      <c r="EJ53" s="1">
        <v>7</v>
      </c>
      <c r="EK53" s="12"/>
      <c r="EL53" s="7" t="s">
        <v>301</v>
      </c>
      <c r="EM53" s="7" t="s">
        <v>292</v>
      </c>
      <c r="EN53" s="1">
        <v>5</v>
      </c>
      <c r="EO53" s="1">
        <v>5</v>
      </c>
      <c r="EP53" s="12"/>
      <c r="EQ53" s="7" t="s">
        <v>291</v>
      </c>
      <c r="ER53" s="7" t="s">
        <v>296</v>
      </c>
      <c r="ES53" s="1">
        <v>1</v>
      </c>
      <c r="ET53" s="1">
        <v>6</v>
      </c>
      <c r="EU53" s="12"/>
      <c r="EV53" s="7" t="s">
        <v>300</v>
      </c>
      <c r="EW53" s="7" t="s">
        <v>294</v>
      </c>
      <c r="EX53" s="1">
        <v>2</v>
      </c>
      <c r="EY53" s="1">
        <v>7</v>
      </c>
      <c r="EZ53" s="12"/>
      <c r="FA53" s="7" t="s">
        <v>291</v>
      </c>
      <c r="FB53" s="7" t="s">
        <v>292</v>
      </c>
      <c r="FC53" s="1">
        <v>1</v>
      </c>
      <c r="FD53" s="1">
        <v>5</v>
      </c>
      <c r="FE53" s="12"/>
      <c r="FF53" s="7" t="s">
        <v>291</v>
      </c>
      <c r="FG53" s="7" t="s">
        <v>296</v>
      </c>
      <c r="FH53" s="1">
        <v>1</v>
      </c>
      <c r="FI53" s="1">
        <v>6</v>
      </c>
      <c r="FJ53" s="12"/>
      <c r="FK53" s="7" t="s">
        <v>291</v>
      </c>
      <c r="FL53" s="7" t="s">
        <v>296</v>
      </c>
      <c r="FM53" s="1">
        <v>1</v>
      </c>
      <c r="FN53" s="1">
        <v>6</v>
      </c>
      <c r="FO53" s="12"/>
      <c r="FP53" s="7" t="s">
        <v>291</v>
      </c>
      <c r="FQ53" s="7" t="s">
        <v>292</v>
      </c>
      <c r="FR53" s="1">
        <v>1</v>
      </c>
      <c r="FS53" s="1">
        <v>5</v>
      </c>
      <c r="FT53" s="10"/>
      <c r="FU53" s="7" t="s">
        <v>918</v>
      </c>
      <c r="FV53" s="7" t="s">
        <v>919</v>
      </c>
      <c r="FW53" s="7" t="s">
        <v>920</v>
      </c>
      <c r="FX53" s="7" t="s">
        <v>921</v>
      </c>
      <c r="FY53" s="7" t="s">
        <v>922</v>
      </c>
      <c r="FZ53" s="7" t="s">
        <v>923</v>
      </c>
      <c r="GA53" s="7" t="s">
        <v>924</v>
      </c>
      <c r="GB53" s="7" t="s">
        <v>925</v>
      </c>
      <c r="GC53" s="7" t="s">
        <v>926</v>
      </c>
      <c r="GD53" s="7" t="s">
        <v>927</v>
      </c>
      <c r="GE53" s="7" t="s">
        <v>282</v>
      </c>
      <c r="GF53" s="7" t="s">
        <v>282</v>
      </c>
      <c r="GG53" s="7" t="s">
        <v>356</v>
      </c>
      <c r="GH53" s="7" t="s">
        <v>313</v>
      </c>
    </row>
    <row r="54" spans="1:190" x14ac:dyDescent="0.2">
      <c r="A54">
        <v>52</v>
      </c>
      <c r="B54">
        <v>100</v>
      </c>
      <c r="C54">
        <v>1544</v>
      </c>
      <c r="D54" s="7" t="s">
        <v>280</v>
      </c>
      <c r="E54" s="7" t="s">
        <v>286</v>
      </c>
      <c r="F54" s="7" t="s">
        <v>618</v>
      </c>
      <c r="G54" s="4" t="s">
        <v>1290</v>
      </c>
      <c r="H54" s="7" t="s">
        <v>288</v>
      </c>
      <c r="I54" s="1">
        <v>5</v>
      </c>
      <c r="J54" s="7" t="s">
        <v>289</v>
      </c>
      <c r="K54" s="1">
        <v>1</v>
      </c>
      <c r="L54" s="7" t="s">
        <v>289</v>
      </c>
      <c r="M54" s="1">
        <v>1</v>
      </c>
      <c r="N54" s="7" t="s">
        <v>289</v>
      </c>
      <c r="O54" s="1">
        <v>1</v>
      </c>
      <c r="P54" s="12"/>
      <c r="Q54" s="7" t="s">
        <v>291</v>
      </c>
      <c r="R54" s="7" t="s">
        <v>296</v>
      </c>
      <c r="S54" s="1">
        <v>1</v>
      </c>
      <c r="T54" s="1">
        <v>6</v>
      </c>
      <c r="U54" s="12"/>
      <c r="V54" s="7" t="s">
        <v>293</v>
      </c>
      <c r="W54" s="7" t="s">
        <v>296</v>
      </c>
      <c r="X54" s="1">
        <v>2</v>
      </c>
      <c r="Y54" s="1">
        <v>6</v>
      </c>
      <c r="Z54" s="12"/>
      <c r="AA54" s="7" t="s">
        <v>293</v>
      </c>
      <c r="AB54" s="7" t="s">
        <v>296</v>
      </c>
      <c r="AC54" s="1">
        <v>2</v>
      </c>
      <c r="AD54" s="1">
        <v>6</v>
      </c>
      <c r="AE54" s="12"/>
      <c r="AF54" s="7" t="s">
        <v>295</v>
      </c>
      <c r="AG54" s="7" t="s">
        <v>296</v>
      </c>
      <c r="AH54" s="1">
        <v>5</v>
      </c>
      <c r="AI54" s="1">
        <v>6</v>
      </c>
      <c r="AJ54" s="12"/>
      <c r="AK54" s="7" t="s">
        <v>295</v>
      </c>
      <c r="AL54" s="7" t="s">
        <v>296</v>
      </c>
      <c r="AM54" s="1">
        <v>5</v>
      </c>
      <c r="AN54" s="1">
        <v>6</v>
      </c>
      <c r="AO54" s="12"/>
      <c r="AP54" s="7" t="s">
        <v>291</v>
      </c>
      <c r="AQ54" s="7" t="s">
        <v>296</v>
      </c>
      <c r="AR54" s="1">
        <v>1</v>
      </c>
      <c r="AS54" s="1">
        <v>6</v>
      </c>
      <c r="AT54" s="12"/>
      <c r="AU54" s="7" t="s">
        <v>293</v>
      </c>
      <c r="AV54" s="7" t="s">
        <v>296</v>
      </c>
      <c r="AW54" s="1">
        <v>2</v>
      </c>
      <c r="AX54" s="1">
        <v>6</v>
      </c>
      <c r="AY54" s="12"/>
      <c r="AZ54" s="7" t="s">
        <v>291</v>
      </c>
      <c r="BA54" s="7" t="s">
        <v>292</v>
      </c>
      <c r="BB54" s="1">
        <v>1</v>
      </c>
      <c r="BC54" s="1">
        <v>5</v>
      </c>
      <c r="BD54" s="12"/>
      <c r="BE54" s="7" t="s">
        <v>295</v>
      </c>
      <c r="BF54" s="7" t="s">
        <v>296</v>
      </c>
      <c r="BG54" s="1">
        <v>5</v>
      </c>
      <c r="BH54" s="1">
        <v>6</v>
      </c>
      <c r="BI54" s="12"/>
      <c r="BJ54" s="7" t="s">
        <v>298</v>
      </c>
      <c r="BK54" s="7" t="s">
        <v>292</v>
      </c>
      <c r="BL54" s="1">
        <v>3</v>
      </c>
      <c r="BM54" s="1">
        <v>5</v>
      </c>
      <c r="BN54" s="12"/>
      <c r="BO54" s="7" t="s">
        <v>291</v>
      </c>
      <c r="BP54" s="7" t="s">
        <v>292</v>
      </c>
      <c r="BQ54" s="1">
        <v>1</v>
      </c>
      <c r="BR54" s="1">
        <v>5</v>
      </c>
      <c r="BS54" s="12"/>
      <c r="BT54" s="7" t="s">
        <v>293</v>
      </c>
      <c r="BU54" s="7" t="s">
        <v>292</v>
      </c>
      <c r="BV54" s="1">
        <v>2</v>
      </c>
      <c r="BW54" s="1">
        <v>5</v>
      </c>
      <c r="BX54" s="12"/>
      <c r="BY54" s="7" t="s">
        <v>291</v>
      </c>
      <c r="BZ54" s="7" t="s">
        <v>292</v>
      </c>
      <c r="CA54" s="1">
        <v>1</v>
      </c>
      <c r="CB54" s="1">
        <v>5</v>
      </c>
      <c r="CC54" s="12"/>
      <c r="CD54" s="7" t="s">
        <v>295</v>
      </c>
      <c r="CE54" s="7" t="s">
        <v>292</v>
      </c>
      <c r="CF54" s="1">
        <v>5</v>
      </c>
      <c r="CG54" s="1">
        <v>5</v>
      </c>
      <c r="CH54" s="12"/>
      <c r="CI54" s="7" t="s">
        <v>291</v>
      </c>
      <c r="CJ54" s="7" t="s">
        <v>296</v>
      </c>
      <c r="CK54" s="1">
        <v>1</v>
      </c>
      <c r="CL54" s="1">
        <v>6</v>
      </c>
      <c r="CM54" s="12"/>
      <c r="CN54" s="7" t="s">
        <v>291</v>
      </c>
      <c r="CO54" s="7" t="s">
        <v>292</v>
      </c>
      <c r="CP54" s="1">
        <v>1</v>
      </c>
      <c r="CQ54" s="1">
        <v>5</v>
      </c>
      <c r="CR54" s="12"/>
      <c r="CS54" s="7" t="s">
        <v>293</v>
      </c>
      <c r="CT54" s="7" t="s">
        <v>292</v>
      </c>
      <c r="CU54" s="1">
        <v>2</v>
      </c>
      <c r="CV54" s="1">
        <v>5</v>
      </c>
      <c r="CW54" s="12"/>
      <c r="CX54" s="7" t="s">
        <v>299</v>
      </c>
      <c r="CY54" s="7" t="s">
        <v>296</v>
      </c>
      <c r="CZ54" s="1">
        <v>4</v>
      </c>
      <c r="DA54" s="1">
        <v>6</v>
      </c>
      <c r="DB54" s="12"/>
      <c r="DC54" s="7" t="s">
        <v>295</v>
      </c>
      <c r="DD54" s="7" t="s">
        <v>292</v>
      </c>
      <c r="DE54" s="1">
        <v>5</v>
      </c>
      <c r="DF54" s="1">
        <v>5</v>
      </c>
      <c r="DG54" s="12"/>
      <c r="DH54" s="7" t="s">
        <v>291</v>
      </c>
      <c r="DI54" s="7" t="s">
        <v>296</v>
      </c>
      <c r="DJ54" s="1">
        <v>1</v>
      </c>
      <c r="DK54" s="1">
        <v>6</v>
      </c>
      <c r="DL54" s="12"/>
      <c r="DM54" s="7" t="s">
        <v>291</v>
      </c>
      <c r="DN54" s="7" t="s">
        <v>292</v>
      </c>
      <c r="DO54" s="1">
        <v>1</v>
      </c>
      <c r="DP54" s="1">
        <v>5</v>
      </c>
      <c r="DQ54" s="12"/>
      <c r="DR54" s="7" t="s">
        <v>300</v>
      </c>
      <c r="DS54" s="7" t="s">
        <v>296</v>
      </c>
      <c r="DT54" s="1">
        <v>2</v>
      </c>
      <c r="DU54" s="1">
        <v>6</v>
      </c>
      <c r="DV54" s="12"/>
      <c r="DW54" s="7" t="s">
        <v>301</v>
      </c>
      <c r="DX54" s="7" t="s">
        <v>296</v>
      </c>
      <c r="DY54" s="1">
        <v>5</v>
      </c>
      <c r="DZ54" s="1">
        <v>6</v>
      </c>
      <c r="EA54" s="12"/>
      <c r="EB54" s="7" t="s">
        <v>291</v>
      </c>
      <c r="EC54" s="7" t="s">
        <v>296</v>
      </c>
      <c r="ED54" s="1">
        <v>1</v>
      </c>
      <c r="EE54" s="1">
        <v>6</v>
      </c>
      <c r="EF54" s="12"/>
      <c r="EG54" s="7" t="s">
        <v>300</v>
      </c>
      <c r="EH54" s="7" t="s">
        <v>296</v>
      </c>
      <c r="EI54" s="1">
        <v>2</v>
      </c>
      <c r="EJ54" s="1">
        <v>6</v>
      </c>
      <c r="EK54" s="12"/>
      <c r="EL54" s="7" t="s">
        <v>301</v>
      </c>
      <c r="EM54" s="7" t="s">
        <v>296</v>
      </c>
      <c r="EN54" s="1">
        <v>5</v>
      </c>
      <c r="EO54" s="1">
        <v>6</v>
      </c>
      <c r="EP54" s="12"/>
      <c r="EQ54" s="7" t="s">
        <v>291</v>
      </c>
      <c r="ER54" s="7" t="s">
        <v>294</v>
      </c>
      <c r="ES54" s="1">
        <v>1</v>
      </c>
      <c r="ET54" s="1">
        <v>7</v>
      </c>
      <c r="EU54" s="12"/>
      <c r="EV54" s="7" t="s">
        <v>300</v>
      </c>
      <c r="EW54" s="7" t="s">
        <v>294</v>
      </c>
      <c r="EX54" s="1">
        <v>2</v>
      </c>
      <c r="EY54" s="1">
        <v>7</v>
      </c>
      <c r="EZ54" s="12"/>
      <c r="FA54" s="7" t="s">
        <v>301</v>
      </c>
      <c r="FB54" s="7" t="s">
        <v>296</v>
      </c>
      <c r="FC54" s="1">
        <v>5</v>
      </c>
      <c r="FD54" s="1">
        <v>6</v>
      </c>
      <c r="FE54" s="12"/>
      <c r="FF54" s="7" t="s">
        <v>291</v>
      </c>
      <c r="FG54" s="7" t="s">
        <v>296</v>
      </c>
      <c r="FH54" s="1">
        <v>1</v>
      </c>
      <c r="FI54" s="1">
        <v>6</v>
      </c>
      <c r="FJ54" s="12"/>
      <c r="FK54" s="7" t="s">
        <v>300</v>
      </c>
      <c r="FL54" s="7" t="s">
        <v>296</v>
      </c>
      <c r="FM54" s="1">
        <v>2</v>
      </c>
      <c r="FN54" s="1">
        <v>6</v>
      </c>
      <c r="FO54" s="12"/>
      <c r="FP54" s="7" t="s">
        <v>300</v>
      </c>
      <c r="FQ54" s="7" t="s">
        <v>292</v>
      </c>
      <c r="FR54" s="1">
        <v>2</v>
      </c>
      <c r="FS54" s="1">
        <v>5</v>
      </c>
      <c r="FT54" s="10"/>
      <c r="FU54" s="7" t="s">
        <v>930</v>
      </c>
      <c r="FV54" s="7" t="s">
        <v>930</v>
      </c>
      <c r="FW54" s="7" t="s">
        <v>931</v>
      </c>
      <c r="FX54" s="7" t="s">
        <v>931</v>
      </c>
      <c r="FY54" s="7" t="s">
        <v>932</v>
      </c>
      <c r="FZ54" s="7" t="s">
        <v>933</v>
      </c>
      <c r="GA54" s="7" t="s">
        <v>934</v>
      </c>
      <c r="GB54" s="7" t="s">
        <v>935</v>
      </c>
      <c r="GC54" s="7" t="s">
        <v>936</v>
      </c>
      <c r="GD54" s="7" t="s">
        <v>937</v>
      </c>
      <c r="GE54" s="7" t="s">
        <v>282</v>
      </c>
      <c r="GF54" s="7" t="s">
        <v>282</v>
      </c>
      <c r="GG54" s="7" t="s">
        <v>372</v>
      </c>
      <c r="GH54" s="7" t="s">
        <v>325</v>
      </c>
    </row>
    <row r="55" spans="1:190" x14ac:dyDescent="0.2">
      <c r="A55">
        <v>53</v>
      </c>
      <c r="B55">
        <v>100</v>
      </c>
      <c r="C55">
        <v>1674</v>
      </c>
      <c r="D55" s="7" t="s">
        <v>280</v>
      </c>
      <c r="E55" s="7" t="s">
        <v>544</v>
      </c>
      <c r="F55" s="7" t="s">
        <v>316</v>
      </c>
      <c r="G55" s="4" t="s">
        <v>1280</v>
      </c>
      <c r="H55" s="7" t="s">
        <v>288</v>
      </c>
      <c r="I55" s="1">
        <v>5</v>
      </c>
      <c r="J55" s="7" t="s">
        <v>288</v>
      </c>
      <c r="K55" s="1">
        <v>5</v>
      </c>
      <c r="L55" s="7" t="s">
        <v>289</v>
      </c>
      <c r="M55" s="1">
        <v>1</v>
      </c>
      <c r="N55" s="7" t="s">
        <v>317</v>
      </c>
      <c r="O55" s="1">
        <v>2</v>
      </c>
      <c r="P55" s="12"/>
      <c r="Q55" s="7" t="s">
        <v>291</v>
      </c>
      <c r="R55" s="7" t="s">
        <v>296</v>
      </c>
      <c r="S55" s="1">
        <v>1</v>
      </c>
      <c r="T55" s="1">
        <v>6</v>
      </c>
      <c r="U55" s="12"/>
      <c r="V55" s="7" t="s">
        <v>293</v>
      </c>
      <c r="W55" s="7" t="s">
        <v>294</v>
      </c>
      <c r="X55" s="1">
        <v>2</v>
      </c>
      <c r="Y55" s="1">
        <v>7</v>
      </c>
      <c r="Z55" s="12"/>
      <c r="AA55" s="7" t="s">
        <v>293</v>
      </c>
      <c r="AB55" s="7" t="s">
        <v>294</v>
      </c>
      <c r="AC55" s="1">
        <v>2</v>
      </c>
      <c r="AD55" s="1">
        <v>7</v>
      </c>
      <c r="AE55" s="12"/>
      <c r="AF55" s="7" t="s">
        <v>295</v>
      </c>
      <c r="AG55" s="7" t="s">
        <v>296</v>
      </c>
      <c r="AH55" s="1">
        <v>5</v>
      </c>
      <c r="AI55" s="1">
        <v>6</v>
      </c>
      <c r="AJ55" s="12"/>
      <c r="AK55" s="7" t="s">
        <v>299</v>
      </c>
      <c r="AL55" s="7" t="s">
        <v>297</v>
      </c>
      <c r="AM55" s="1">
        <v>4</v>
      </c>
      <c r="AN55" s="1">
        <v>4</v>
      </c>
      <c r="AO55" s="12"/>
      <c r="AP55" s="7" t="s">
        <v>291</v>
      </c>
      <c r="AQ55" s="7" t="s">
        <v>296</v>
      </c>
      <c r="AR55" s="1">
        <v>1</v>
      </c>
      <c r="AS55" s="1">
        <v>6</v>
      </c>
      <c r="AT55" s="12"/>
      <c r="AU55" s="7" t="s">
        <v>293</v>
      </c>
      <c r="AV55" s="7" t="s">
        <v>294</v>
      </c>
      <c r="AW55" s="1">
        <v>2</v>
      </c>
      <c r="AX55" s="1">
        <v>7</v>
      </c>
      <c r="AY55" s="12"/>
      <c r="AZ55" s="7" t="s">
        <v>291</v>
      </c>
      <c r="BA55" s="7" t="s">
        <v>297</v>
      </c>
      <c r="BB55" s="1">
        <v>1</v>
      </c>
      <c r="BC55" s="1">
        <v>4</v>
      </c>
      <c r="BD55" s="12"/>
      <c r="BE55" s="7" t="s">
        <v>299</v>
      </c>
      <c r="BF55" s="7" t="s">
        <v>292</v>
      </c>
      <c r="BG55" s="1">
        <v>4</v>
      </c>
      <c r="BH55" s="1">
        <v>5</v>
      </c>
      <c r="BI55" s="12"/>
      <c r="BJ55" s="7" t="s">
        <v>298</v>
      </c>
      <c r="BK55" s="7" t="s">
        <v>296</v>
      </c>
      <c r="BL55" s="1">
        <v>3</v>
      </c>
      <c r="BM55" s="1">
        <v>6</v>
      </c>
      <c r="BN55" s="12"/>
      <c r="BO55" s="7" t="s">
        <v>291</v>
      </c>
      <c r="BP55" s="7" t="s">
        <v>296</v>
      </c>
      <c r="BQ55" s="1">
        <v>1</v>
      </c>
      <c r="BR55" s="1">
        <v>6</v>
      </c>
      <c r="BS55" s="12"/>
      <c r="BT55" s="7" t="s">
        <v>293</v>
      </c>
      <c r="BU55" s="7" t="s">
        <v>294</v>
      </c>
      <c r="BV55" s="1">
        <v>2</v>
      </c>
      <c r="BW55" s="1">
        <v>7</v>
      </c>
      <c r="BX55" s="12"/>
      <c r="BY55" s="7" t="s">
        <v>291</v>
      </c>
      <c r="BZ55" s="7" t="s">
        <v>292</v>
      </c>
      <c r="CA55" s="1">
        <v>1</v>
      </c>
      <c r="CB55" s="1">
        <v>5</v>
      </c>
      <c r="CC55" s="12"/>
      <c r="CD55" s="7" t="s">
        <v>295</v>
      </c>
      <c r="CE55" s="7" t="s">
        <v>296</v>
      </c>
      <c r="CF55" s="1">
        <v>5</v>
      </c>
      <c r="CG55" s="1">
        <v>6</v>
      </c>
      <c r="CH55" s="12"/>
      <c r="CI55" s="7" t="s">
        <v>298</v>
      </c>
      <c r="CJ55" s="7" t="s">
        <v>292</v>
      </c>
      <c r="CK55" s="1">
        <v>3</v>
      </c>
      <c r="CL55" s="1">
        <v>5</v>
      </c>
      <c r="CM55" s="12"/>
      <c r="CN55" s="7" t="s">
        <v>291</v>
      </c>
      <c r="CO55" s="7" t="s">
        <v>296</v>
      </c>
      <c r="CP55" s="1">
        <v>1</v>
      </c>
      <c r="CQ55" s="1">
        <v>6</v>
      </c>
      <c r="CR55" s="12"/>
      <c r="CS55" s="7" t="s">
        <v>293</v>
      </c>
      <c r="CT55" s="7" t="s">
        <v>294</v>
      </c>
      <c r="CU55" s="1">
        <v>2</v>
      </c>
      <c r="CV55" s="1">
        <v>7</v>
      </c>
      <c r="CW55" s="12"/>
      <c r="CX55" s="7" t="s">
        <v>299</v>
      </c>
      <c r="CY55" s="7" t="s">
        <v>292</v>
      </c>
      <c r="CZ55" s="1">
        <v>4</v>
      </c>
      <c r="DA55" s="1">
        <v>5</v>
      </c>
      <c r="DB55" s="12"/>
      <c r="DC55" s="7" t="s">
        <v>295</v>
      </c>
      <c r="DD55" s="7" t="s">
        <v>297</v>
      </c>
      <c r="DE55" s="1">
        <v>5</v>
      </c>
      <c r="DF55" s="1">
        <v>4</v>
      </c>
      <c r="DG55" s="12"/>
      <c r="DH55" s="7" t="s">
        <v>298</v>
      </c>
      <c r="DI55" s="7" t="s">
        <v>296</v>
      </c>
      <c r="DJ55" s="1">
        <v>3</v>
      </c>
      <c r="DK55" s="1">
        <v>6</v>
      </c>
      <c r="DL55" s="12"/>
      <c r="DM55" s="7" t="s">
        <v>291</v>
      </c>
      <c r="DN55" s="7" t="s">
        <v>296</v>
      </c>
      <c r="DO55" s="1">
        <v>1</v>
      </c>
      <c r="DP55" s="1">
        <v>6</v>
      </c>
      <c r="DQ55" s="12"/>
      <c r="DR55" s="7" t="s">
        <v>300</v>
      </c>
      <c r="DS55" s="7" t="s">
        <v>296</v>
      </c>
      <c r="DT55" s="1">
        <v>2</v>
      </c>
      <c r="DU55" s="1">
        <v>6</v>
      </c>
      <c r="DV55" s="12"/>
      <c r="DW55" s="7" t="s">
        <v>301</v>
      </c>
      <c r="DX55" s="7" t="s">
        <v>292</v>
      </c>
      <c r="DY55" s="1">
        <v>5</v>
      </c>
      <c r="DZ55" s="1">
        <v>5</v>
      </c>
      <c r="EA55" s="12"/>
      <c r="EB55" s="7" t="s">
        <v>291</v>
      </c>
      <c r="EC55" s="7" t="s">
        <v>294</v>
      </c>
      <c r="ED55" s="1">
        <v>1</v>
      </c>
      <c r="EE55" s="1">
        <v>7</v>
      </c>
      <c r="EF55" s="12"/>
      <c r="EG55" s="7" t="s">
        <v>300</v>
      </c>
      <c r="EH55" s="7" t="s">
        <v>296</v>
      </c>
      <c r="EI55" s="1">
        <v>2</v>
      </c>
      <c r="EJ55" s="1">
        <v>6</v>
      </c>
      <c r="EK55" s="12"/>
      <c r="EL55" s="7" t="s">
        <v>301</v>
      </c>
      <c r="EM55" s="7" t="s">
        <v>296</v>
      </c>
      <c r="EN55" s="1">
        <v>5</v>
      </c>
      <c r="EO55" s="1">
        <v>6</v>
      </c>
      <c r="EP55" s="12"/>
      <c r="EQ55" s="7" t="s">
        <v>291</v>
      </c>
      <c r="ER55" s="7" t="s">
        <v>296</v>
      </c>
      <c r="ES55" s="1">
        <v>1</v>
      </c>
      <c r="ET55" s="1">
        <v>6</v>
      </c>
      <c r="EU55" s="12"/>
      <c r="EV55" s="7" t="s">
        <v>300</v>
      </c>
      <c r="EW55" s="7" t="s">
        <v>294</v>
      </c>
      <c r="EX55" s="1">
        <v>2</v>
      </c>
      <c r="EY55" s="1">
        <v>7</v>
      </c>
      <c r="EZ55" s="12"/>
      <c r="FA55" s="7" t="s">
        <v>301</v>
      </c>
      <c r="FB55" s="7" t="s">
        <v>292</v>
      </c>
      <c r="FC55" s="1">
        <v>5</v>
      </c>
      <c r="FD55" s="1">
        <v>5</v>
      </c>
      <c r="FE55" s="12"/>
      <c r="FF55" s="7" t="s">
        <v>291</v>
      </c>
      <c r="FG55" s="7" t="s">
        <v>296</v>
      </c>
      <c r="FH55" s="1">
        <v>1</v>
      </c>
      <c r="FI55" s="1">
        <v>6</v>
      </c>
      <c r="FJ55" s="12"/>
      <c r="FK55" s="7" t="s">
        <v>300</v>
      </c>
      <c r="FL55" s="7" t="s">
        <v>296</v>
      </c>
      <c r="FM55" s="1">
        <v>2</v>
      </c>
      <c r="FN55" s="1">
        <v>6</v>
      </c>
      <c r="FO55" s="12"/>
      <c r="FP55" s="7" t="s">
        <v>291</v>
      </c>
      <c r="FQ55" s="7" t="s">
        <v>297</v>
      </c>
      <c r="FR55" s="1">
        <v>1</v>
      </c>
      <c r="FS55" s="1">
        <v>4</v>
      </c>
      <c r="FT55" s="10"/>
      <c r="FU55" s="7" t="s">
        <v>940</v>
      </c>
      <c r="FV55" s="7" t="s">
        <v>941</v>
      </c>
      <c r="FW55" s="7" t="s">
        <v>942</v>
      </c>
      <c r="FX55" s="7" t="s">
        <v>943</v>
      </c>
      <c r="FY55" s="7" t="s">
        <v>944</v>
      </c>
      <c r="FZ55" s="7" t="s">
        <v>945</v>
      </c>
      <c r="GA55" s="7" t="s">
        <v>946</v>
      </c>
      <c r="GB55" s="7" t="s">
        <v>947</v>
      </c>
      <c r="GC55" s="7" t="s">
        <v>948</v>
      </c>
      <c r="GD55" s="7" t="s">
        <v>949</v>
      </c>
      <c r="GE55" s="7" t="s">
        <v>282</v>
      </c>
      <c r="GF55" s="7" t="s">
        <v>282</v>
      </c>
      <c r="GG55" s="7" t="s">
        <v>356</v>
      </c>
      <c r="GH55" s="7" t="s">
        <v>313</v>
      </c>
    </row>
    <row r="56" spans="1:190" x14ac:dyDescent="0.2">
      <c r="A56">
        <v>54</v>
      </c>
      <c r="B56">
        <v>100</v>
      </c>
      <c r="C56">
        <v>1208</v>
      </c>
      <c r="D56" s="7" t="s">
        <v>280</v>
      </c>
      <c r="E56" s="7" t="s">
        <v>412</v>
      </c>
      <c r="F56" s="7" t="s">
        <v>375</v>
      </c>
      <c r="G56" s="4" t="s">
        <v>497</v>
      </c>
      <c r="H56" s="7" t="s">
        <v>288</v>
      </c>
      <c r="I56" s="1">
        <v>5</v>
      </c>
      <c r="J56" s="7" t="s">
        <v>290</v>
      </c>
      <c r="K56" s="1">
        <v>4</v>
      </c>
      <c r="L56" s="7" t="s">
        <v>317</v>
      </c>
      <c r="M56" s="1">
        <v>2</v>
      </c>
      <c r="N56" s="7" t="s">
        <v>317</v>
      </c>
      <c r="O56" s="1">
        <v>2</v>
      </c>
      <c r="P56" s="12"/>
      <c r="Q56" s="7" t="s">
        <v>291</v>
      </c>
      <c r="R56" s="7" t="s">
        <v>292</v>
      </c>
      <c r="S56" s="1">
        <v>1</v>
      </c>
      <c r="T56" s="1">
        <v>5</v>
      </c>
      <c r="U56" s="12"/>
      <c r="V56" s="7" t="s">
        <v>293</v>
      </c>
      <c r="W56" s="7" t="s">
        <v>296</v>
      </c>
      <c r="X56" s="1">
        <v>2</v>
      </c>
      <c r="Y56" s="1">
        <v>6</v>
      </c>
      <c r="Z56" s="12"/>
      <c r="AA56" s="7" t="s">
        <v>293</v>
      </c>
      <c r="AB56" s="7" t="s">
        <v>292</v>
      </c>
      <c r="AC56" s="1">
        <v>2</v>
      </c>
      <c r="AD56" s="1">
        <v>5</v>
      </c>
      <c r="AE56" s="12"/>
      <c r="AF56" s="7" t="s">
        <v>298</v>
      </c>
      <c r="AG56" s="7" t="s">
        <v>292</v>
      </c>
      <c r="AH56" s="1">
        <v>3</v>
      </c>
      <c r="AI56" s="1">
        <v>5</v>
      </c>
      <c r="AJ56" s="12"/>
      <c r="AK56" s="7" t="s">
        <v>298</v>
      </c>
      <c r="AL56" s="7" t="s">
        <v>296</v>
      </c>
      <c r="AM56" s="1">
        <v>3</v>
      </c>
      <c r="AN56" s="1">
        <v>6</v>
      </c>
      <c r="AO56" s="12"/>
      <c r="AP56" s="7" t="s">
        <v>293</v>
      </c>
      <c r="AQ56" s="7" t="s">
        <v>296</v>
      </c>
      <c r="AR56" s="1">
        <v>2</v>
      </c>
      <c r="AS56" s="1">
        <v>6</v>
      </c>
      <c r="AT56" s="12"/>
      <c r="AU56" s="7" t="s">
        <v>299</v>
      </c>
      <c r="AV56" s="7" t="s">
        <v>292</v>
      </c>
      <c r="AW56" s="1">
        <v>4</v>
      </c>
      <c r="AX56" s="1">
        <v>5</v>
      </c>
      <c r="AY56" s="12"/>
      <c r="AZ56" s="7" t="s">
        <v>293</v>
      </c>
      <c r="BA56" s="7" t="s">
        <v>296</v>
      </c>
      <c r="BB56" s="1">
        <v>2</v>
      </c>
      <c r="BC56" s="1">
        <v>6</v>
      </c>
      <c r="BD56" s="12"/>
      <c r="BE56" s="7" t="s">
        <v>295</v>
      </c>
      <c r="BF56" s="7" t="s">
        <v>294</v>
      </c>
      <c r="BG56" s="1">
        <v>5</v>
      </c>
      <c r="BH56" s="1">
        <v>7</v>
      </c>
      <c r="BI56" s="12"/>
      <c r="BJ56" s="7" t="s">
        <v>298</v>
      </c>
      <c r="BK56" s="7" t="s">
        <v>296</v>
      </c>
      <c r="BL56" s="1">
        <v>3</v>
      </c>
      <c r="BM56" s="1">
        <v>6</v>
      </c>
      <c r="BN56" s="12"/>
      <c r="BO56" s="7" t="s">
        <v>293</v>
      </c>
      <c r="BP56" s="7" t="s">
        <v>296</v>
      </c>
      <c r="BQ56" s="1">
        <v>2</v>
      </c>
      <c r="BR56" s="1">
        <v>6</v>
      </c>
      <c r="BS56" s="12"/>
      <c r="BT56" s="7" t="s">
        <v>293</v>
      </c>
      <c r="BU56" s="7" t="s">
        <v>294</v>
      </c>
      <c r="BV56" s="1">
        <v>2</v>
      </c>
      <c r="BW56" s="1">
        <v>7</v>
      </c>
      <c r="BX56" s="12"/>
      <c r="BY56" s="7" t="s">
        <v>293</v>
      </c>
      <c r="BZ56" s="7" t="s">
        <v>296</v>
      </c>
      <c r="CA56" s="1">
        <v>2</v>
      </c>
      <c r="CB56" s="1">
        <v>6</v>
      </c>
      <c r="CC56" s="12"/>
      <c r="CD56" s="7" t="s">
        <v>295</v>
      </c>
      <c r="CE56" s="7" t="s">
        <v>296</v>
      </c>
      <c r="CF56" s="1">
        <v>5</v>
      </c>
      <c r="CG56" s="1">
        <v>6</v>
      </c>
      <c r="CH56" s="12"/>
      <c r="CI56" s="7" t="s">
        <v>298</v>
      </c>
      <c r="CJ56" s="7" t="s">
        <v>296</v>
      </c>
      <c r="CK56" s="1">
        <v>3</v>
      </c>
      <c r="CL56" s="1">
        <v>6</v>
      </c>
      <c r="CM56" s="12"/>
      <c r="CN56" s="7" t="s">
        <v>291</v>
      </c>
      <c r="CO56" s="7" t="s">
        <v>297</v>
      </c>
      <c r="CP56" s="1">
        <v>1</v>
      </c>
      <c r="CQ56" s="1">
        <v>4</v>
      </c>
      <c r="CR56" s="12"/>
      <c r="CS56" s="7" t="s">
        <v>293</v>
      </c>
      <c r="CT56" s="7" t="s">
        <v>296</v>
      </c>
      <c r="CU56" s="1">
        <v>2</v>
      </c>
      <c r="CV56" s="1">
        <v>6</v>
      </c>
      <c r="CW56" s="12"/>
      <c r="CX56" s="7" t="s">
        <v>299</v>
      </c>
      <c r="CY56" s="7" t="s">
        <v>292</v>
      </c>
      <c r="CZ56" s="1">
        <v>4</v>
      </c>
      <c r="DA56" s="1">
        <v>5</v>
      </c>
      <c r="DB56" s="12"/>
      <c r="DC56" s="7" t="s">
        <v>298</v>
      </c>
      <c r="DD56" s="7" t="s">
        <v>296</v>
      </c>
      <c r="DE56" s="1">
        <v>3</v>
      </c>
      <c r="DF56" s="1">
        <v>6</v>
      </c>
      <c r="DG56" s="12"/>
      <c r="DH56" s="7" t="s">
        <v>291</v>
      </c>
      <c r="DI56" s="7" t="s">
        <v>292</v>
      </c>
      <c r="DJ56" s="1">
        <v>1</v>
      </c>
      <c r="DK56" s="1">
        <v>5</v>
      </c>
      <c r="DL56" s="12"/>
      <c r="DM56" s="7" t="s">
        <v>291</v>
      </c>
      <c r="DN56" s="7" t="s">
        <v>292</v>
      </c>
      <c r="DO56" s="1">
        <v>1</v>
      </c>
      <c r="DP56" s="1">
        <v>5</v>
      </c>
      <c r="DQ56" s="12"/>
      <c r="DR56" s="7" t="s">
        <v>300</v>
      </c>
      <c r="DS56" s="7" t="s">
        <v>296</v>
      </c>
      <c r="DT56" s="1">
        <v>2</v>
      </c>
      <c r="DU56" s="1">
        <v>6</v>
      </c>
      <c r="DV56" s="12"/>
      <c r="DW56" s="7" t="s">
        <v>301</v>
      </c>
      <c r="DX56" s="7" t="s">
        <v>292</v>
      </c>
      <c r="DY56" s="1">
        <v>5</v>
      </c>
      <c r="DZ56" s="1">
        <v>5</v>
      </c>
      <c r="EA56" s="12"/>
      <c r="EB56" s="7" t="s">
        <v>291</v>
      </c>
      <c r="EC56" s="7" t="s">
        <v>296</v>
      </c>
      <c r="ED56" s="1">
        <v>1</v>
      </c>
      <c r="EE56" s="1">
        <v>6</v>
      </c>
      <c r="EF56" s="12"/>
      <c r="EG56" s="7" t="s">
        <v>300</v>
      </c>
      <c r="EH56" s="7" t="s">
        <v>292</v>
      </c>
      <c r="EI56" s="1">
        <v>2</v>
      </c>
      <c r="EJ56" s="1">
        <v>5</v>
      </c>
      <c r="EK56" s="12"/>
      <c r="EL56" s="7" t="s">
        <v>301</v>
      </c>
      <c r="EM56" s="7" t="s">
        <v>296</v>
      </c>
      <c r="EN56" s="1">
        <v>5</v>
      </c>
      <c r="EO56" s="1">
        <v>6</v>
      </c>
      <c r="EP56" s="12"/>
      <c r="EQ56" s="7" t="s">
        <v>291</v>
      </c>
      <c r="ER56" s="7" t="s">
        <v>296</v>
      </c>
      <c r="ES56" s="1">
        <v>1</v>
      </c>
      <c r="ET56" s="1">
        <v>6</v>
      </c>
      <c r="EU56" s="12"/>
      <c r="EV56" s="7" t="s">
        <v>300</v>
      </c>
      <c r="EW56" s="7" t="s">
        <v>292</v>
      </c>
      <c r="EX56" s="1">
        <v>2</v>
      </c>
      <c r="EY56" s="1">
        <v>5</v>
      </c>
      <c r="EZ56" s="12"/>
      <c r="FA56" s="7" t="s">
        <v>301</v>
      </c>
      <c r="FB56" s="7" t="s">
        <v>296</v>
      </c>
      <c r="FC56" s="1">
        <v>5</v>
      </c>
      <c r="FD56" s="1">
        <v>6</v>
      </c>
      <c r="FE56" s="12"/>
      <c r="FF56" s="7" t="s">
        <v>291</v>
      </c>
      <c r="FG56" s="7" t="s">
        <v>296</v>
      </c>
      <c r="FH56" s="1">
        <v>1</v>
      </c>
      <c r="FI56" s="1">
        <v>6</v>
      </c>
      <c r="FJ56" s="12"/>
      <c r="FK56" s="7" t="s">
        <v>300</v>
      </c>
      <c r="FL56" s="7" t="s">
        <v>292</v>
      </c>
      <c r="FM56" s="1">
        <v>2</v>
      </c>
      <c r="FN56" s="1">
        <v>5</v>
      </c>
      <c r="FO56" s="12"/>
      <c r="FP56" s="7" t="s">
        <v>291</v>
      </c>
      <c r="FQ56" s="7" t="s">
        <v>296</v>
      </c>
      <c r="FR56" s="1">
        <v>1</v>
      </c>
      <c r="FS56" s="1">
        <v>6</v>
      </c>
      <c r="FT56" s="10"/>
      <c r="FU56" s="7" t="s">
        <v>952</v>
      </c>
      <c r="FV56" s="7" t="s">
        <v>953</v>
      </c>
      <c r="FW56" s="7" t="s">
        <v>954</v>
      </c>
      <c r="FX56" s="7" t="s">
        <v>954</v>
      </c>
      <c r="FY56" s="7" t="s">
        <v>955</v>
      </c>
      <c r="FZ56" s="7" t="s">
        <v>956</v>
      </c>
      <c r="GA56" s="7" t="s">
        <v>957</v>
      </c>
      <c r="GB56" s="7" t="s">
        <v>958</v>
      </c>
      <c r="GC56" s="7" t="s">
        <v>959</v>
      </c>
      <c r="GD56" s="7" t="s">
        <v>959</v>
      </c>
      <c r="GE56" s="7" t="s">
        <v>282</v>
      </c>
      <c r="GF56" s="7" t="s">
        <v>960</v>
      </c>
      <c r="GG56" s="7" t="s">
        <v>356</v>
      </c>
      <c r="GH56" s="7" t="s">
        <v>313</v>
      </c>
    </row>
    <row r="57" spans="1:190" x14ac:dyDescent="0.2">
      <c r="A57">
        <v>55</v>
      </c>
      <c r="B57">
        <v>100</v>
      </c>
      <c r="C57">
        <v>1009</v>
      </c>
      <c r="D57" s="7" t="s">
        <v>280</v>
      </c>
      <c r="E57" s="7" t="s">
        <v>544</v>
      </c>
      <c r="F57" s="7" t="s">
        <v>375</v>
      </c>
      <c r="G57" s="4" t="s">
        <v>497</v>
      </c>
      <c r="H57" s="7" t="s">
        <v>288</v>
      </c>
      <c r="I57" s="1">
        <v>5</v>
      </c>
      <c r="J57" s="7" t="s">
        <v>289</v>
      </c>
      <c r="K57" s="1">
        <v>1</v>
      </c>
      <c r="L57" s="7" t="s">
        <v>289</v>
      </c>
      <c r="M57" s="1">
        <v>1</v>
      </c>
      <c r="N57" s="7" t="s">
        <v>317</v>
      </c>
      <c r="O57" s="1">
        <v>2</v>
      </c>
      <c r="P57" s="12"/>
      <c r="Q57" s="7" t="s">
        <v>291</v>
      </c>
      <c r="R57" s="7" t="s">
        <v>292</v>
      </c>
      <c r="S57" s="1">
        <v>1</v>
      </c>
      <c r="T57" s="1">
        <v>5</v>
      </c>
      <c r="U57" s="12"/>
      <c r="V57" s="7" t="s">
        <v>293</v>
      </c>
      <c r="W57" s="7" t="s">
        <v>292</v>
      </c>
      <c r="X57" s="1">
        <v>2</v>
      </c>
      <c r="Y57" s="1">
        <v>5</v>
      </c>
      <c r="Z57" s="12"/>
      <c r="AA57" s="7" t="s">
        <v>293</v>
      </c>
      <c r="AB57" s="7" t="s">
        <v>292</v>
      </c>
      <c r="AC57" s="1">
        <v>2</v>
      </c>
      <c r="AD57" s="1">
        <v>5</v>
      </c>
      <c r="AE57" s="12"/>
      <c r="AF57" s="7" t="s">
        <v>295</v>
      </c>
      <c r="AG57" s="7" t="s">
        <v>297</v>
      </c>
      <c r="AH57" s="1">
        <v>5</v>
      </c>
      <c r="AI57" s="1">
        <v>4</v>
      </c>
      <c r="AJ57" s="12"/>
      <c r="AK57" s="7" t="s">
        <v>295</v>
      </c>
      <c r="AL57" s="7" t="s">
        <v>297</v>
      </c>
      <c r="AM57" s="1">
        <v>5</v>
      </c>
      <c r="AN57" s="1">
        <v>4</v>
      </c>
      <c r="AO57" s="12"/>
      <c r="AP57" s="7" t="s">
        <v>291</v>
      </c>
      <c r="AQ57" s="7" t="s">
        <v>292</v>
      </c>
      <c r="AR57" s="1">
        <v>1</v>
      </c>
      <c r="AS57" s="1">
        <v>5</v>
      </c>
      <c r="AT57" s="12"/>
      <c r="AU57" s="7" t="s">
        <v>293</v>
      </c>
      <c r="AV57" s="7" t="s">
        <v>292</v>
      </c>
      <c r="AW57" s="1">
        <v>2</v>
      </c>
      <c r="AX57" s="1">
        <v>5</v>
      </c>
      <c r="AY57" s="12"/>
      <c r="AZ57" s="7" t="s">
        <v>293</v>
      </c>
      <c r="BA57" s="7" t="s">
        <v>292</v>
      </c>
      <c r="BB57" s="1">
        <v>2</v>
      </c>
      <c r="BC57" s="1">
        <v>5</v>
      </c>
      <c r="BD57" s="12"/>
      <c r="BE57" s="7" t="s">
        <v>293</v>
      </c>
      <c r="BF57" s="7" t="s">
        <v>292</v>
      </c>
      <c r="BG57" s="1">
        <v>2</v>
      </c>
      <c r="BH57" s="1">
        <v>5</v>
      </c>
      <c r="BI57" s="12"/>
      <c r="BJ57" s="7" t="s">
        <v>295</v>
      </c>
      <c r="BK57" s="7" t="s">
        <v>297</v>
      </c>
      <c r="BL57" s="1">
        <v>5</v>
      </c>
      <c r="BM57" s="1">
        <v>4</v>
      </c>
      <c r="BN57" s="12"/>
      <c r="BO57" s="7" t="s">
        <v>291</v>
      </c>
      <c r="BP57" s="7" t="s">
        <v>292</v>
      </c>
      <c r="BQ57" s="1">
        <v>1</v>
      </c>
      <c r="BR57" s="1">
        <v>5</v>
      </c>
      <c r="BS57" s="12"/>
      <c r="BT57" s="7" t="s">
        <v>293</v>
      </c>
      <c r="BU57" s="7" t="s">
        <v>292</v>
      </c>
      <c r="BV57" s="1">
        <v>2</v>
      </c>
      <c r="BW57" s="1">
        <v>5</v>
      </c>
      <c r="BX57" s="12"/>
      <c r="BY57" s="7" t="s">
        <v>291</v>
      </c>
      <c r="BZ57" s="7" t="s">
        <v>292</v>
      </c>
      <c r="CA57" s="1">
        <v>1</v>
      </c>
      <c r="CB57" s="1">
        <v>5</v>
      </c>
      <c r="CC57" s="12"/>
      <c r="CD57" s="7" t="s">
        <v>295</v>
      </c>
      <c r="CE57" s="7" t="s">
        <v>292</v>
      </c>
      <c r="CF57" s="1">
        <v>5</v>
      </c>
      <c r="CG57" s="1">
        <v>5</v>
      </c>
      <c r="CH57" s="12"/>
      <c r="CI57" s="7" t="s">
        <v>298</v>
      </c>
      <c r="CJ57" s="7" t="s">
        <v>292</v>
      </c>
      <c r="CK57" s="1">
        <v>3</v>
      </c>
      <c r="CL57" s="1">
        <v>5</v>
      </c>
      <c r="CM57" s="12"/>
      <c r="CN57" s="7" t="s">
        <v>291</v>
      </c>
      <c r="CO57" s="7" t="s">
        <v>292</v>
      </c>
      <c r="CP57" s="1">
        <v>1</v>
      </c>
      <c r="CQ57" s="1">
        <v>5</v>
      </c>
      <c r="CR57" s="12"/>
      <c r="CS57" s="7" t="s">
        <v>293</v>
      </c>
      <c r="CT57" s="7" t="s">
        <v>292</v>
      </c>
      <c r="CU57" s="1">
        <v>2</v>
      </c>
      <c r="CV57" s="1">
        <v>5</v>
      </c>
      <c r="CW57" s="12"/>
      <c r="CX57" s="7" t="s">
        <v>299</v>
      </c>
      <c r="CY57" s="7" t="s">
        <v>292</v>
      </c>
      <c r="CZ57" s="1">
        <v>4</v>
      </c>
      <c r="DA57" s="1">
        <v>5</v>
      </c>
      <c r="DB57" s="12"/>
      <c r="DC57" s="7" t="s">
        <v>298</v>
      </c>
      <c r="DD57" s="7" t="s">
        <v>292</v>
      </c>
      <c r="DE57" s="1">
        <v>3</v>
      </c>
      <c r="DF57" s="1">
        <v>5</v>
      </c>
      <c r="DG57" s="12"/>
      <c r="DH57" s="7" t="s">
        <v>298</v>
      </c>
      <c r="DI57" s="7" t="s">
        <v>292</v>
      </c>
      <c r="DJ57" s="1">
        <v>3</v>
      </c>
      <c r="DK57" s="1">
        <v>5</v>
      </c>
      <c r="DL57" s="12"/>
      <c r="DM57" s="7" t="s">
        <v>291</v>
      </c>
      <c r="DN57" s="7" t="s">
        <v>292</v>
      </c>
      <c r="DO57" s="1">
        <v>1</v>
      </c>
      <c r="DP57" s="1">
        <v>5</v>
      </c>
      <c r="DQ57" s="12"/>
      <c r="DR57" s="7" t="s">
        <v>300</v>
      </c>
      <c r="DS57" s="7" t="s">
        <v>292</v>
      </c>
      <c r="DT57" s="1">
        <v>2</v>
      </c>
      <c r="DU57" s="1">
        <v>5</v>
      </c>
      <c r="DV57" s="12"/>
      <c r="DW57" s="7" t="s">
        <v>301</v>
      </c>
      <c r="DX57" s="7" t="s">
        <v>292</v>
      </c>
      <c r="DY57" s="1">
        <v>5</v>
      </c>
      <c r="DZ57" s="1">
        <v>5</v>
      </c>
      <c r="EA57" s="12"/>
      <c r="EB57" s="7" t="s">
        <v>291</v>
      </c>
      <c r="EC57" s="7" t="s">
        <v>292</v>
      </c>
      <c r="ED57" s="1">
        <v>1</v>
      </c>
      <c r="EE57" s="1">
        <v>5</v>
      </c>
      <c r="EF57" s="12"/>
      <c r="EG57" s="7" t="s">
        <v>300</v>
      </c>
      <c r="EH57" s="7" t="s">
        <v>292</v>
      </c>
      <c r="EI57" s="1">
        <v>2</v>
      </c>
      <c r="EJ57" s="1">
        <v>5</v>
      </c>
      <c r="EK57" s="12"/>
      <c r="EL57" s="7" t="s">
        <v>282</v>
      </c>
      <c r="EM57" s="7" t="s">
        <v>292</v>
      </c>
      <c r="EN57" s="4" t="s">
        <v>282</v>
      </c>
      <c r="EO57" s="1">
        <v>5</v>
      </c>
      <c r="EP57" s="12"/>
      <c r="EQ57" s="7" t="s">
        <v>291</v>
      </c>
      <c r="ER57" s="7" t="s">
        <v>292</v>
      </c>
      <c r="ES57" s="1">
        <v>1</v>
      </c>
      <c r="ET57" s="1">
        <v>5</v>
      </c>
      <c r="EU57" s="12"/>
      <c r="EV57" s="7" t="s">
        <v>300</v>
      </c>
      <c r="EW57" s="7" t="s">
        <v>292</v>
      </c>
      <c r="EX57" s="1">
        <v>2</v>
      </c>
      <c r="EY57" s="1">
        <v>5</v>
      </c>
      <c r="EZ57" s="12"/>
      <c r="FA57" s="7" t="s">
        <v>301</v>
      </c>
      <c r="FB57" s="7" t="s">
        <v>292</v>
      </c>
      <c r="FC57" s="1">
        <v>5</v>
      </c>
      <c r="FD57" s="1">
        <v>5</v>
      </c>
      <c r="FE57" s="12"/>
      <c r="FF57" s="7" t="s">
        <v>291</v>
      </c>
      <c r="FG57" s="7" t="s">
        <v>292</v>
      </c>
      <c r="FH57" s="1">
        <v>1</v>
      </c>
      <c r="FI57" s="1">
        <v>5</v>
      </c>
      <c r="FJ57" s="12"/>
      <c r="FK57" s="7" t="s">
        <v>300</v>
      </c>
      <c r="FL57" s="7" t="s">
        <v>292</v>
      </c>
      <c r="FM57" s="1">
        <v>2</v>
      </c>
      <c r="FN57" s="1">
        <v>5</v>
      </c>
      <c r="FO57" s="12"/>
      <c r="FP57" s="7" t="s">
        <v>301</v>
      </c>
      <c r="FQ57" s="7" t="s">
        <v>292</v>
      </c>
      <c r="FR57" s="1">
        <v>5</v>
      </c>
      <c r="FS57" s="1">
        <v>5</v>
      </c>
      <c r="FT57" s="10"/>
      <c r="FU57" s="7" t="s">
        <v>963</v>
      </c>
      <c r="FV57" s="7" t="s">
        <v>964</v>
      </c>
      <c r="FW57" s="7" t="s">
        <v>965</v>
      </c>
      <c r="FX57" s="7" t="s">
        <v>966</v>
      </c>
      <c r="FY57" s="7" t="s">
        <v>967</v>
      </c>
      <c r="FZ57" s="7" t="s">
        <v>968</v>
      </c>
      <c r="GA57" s="7" t="s">
        <v>969</v>
      </c>
      <c r="GB57" s="7" t="s">
        <v>970</v>
      </c>
      <c r="GC57" s="7" t="s">
        <v>434</v>
      </c>
      <c r="GD57" s="7" t="s">
        <v>434</v>
      </c>
      <c r="GE57" s="7" t="s">
        <v>282</v>
      </c>
      <c r="GF57" s="7" t="s">
        <v>282</v>
      </c>
      <c r="GG57" s="7" t="s">
        <v>372</v>
      </c>
      <c r="GH57" s="7" t="s">
        <v>325</v>
      </c>
    </row>
    <row r="58" spans="1:190" x14ac:dyDescent="0.2">
      <c r="A58">
        <v>56</v>
      </c>
      <c r="B58">
        <v>100</v>
      </c>
      <c r="C58">
        <v>1562</v>
      </c>
      <c r="D58" s="7" t="s">
        <v>280</v>
      </c>
      <c r="E58" s="7" t="s">
        <v>286</v>
      </c>
      <c r="F58" s="7" t="s">
        <v>375</v>
      </c>
      <c r="G58" s="4" t="s">
        <v>497</v>
      </c>
      <c r="H58" s="7" t="s">
        <v>288</v>
      </c>
      <c r="I58" s="1">
        <v>5</v>
      </c>
      <c r="J58" s="7" t="s">
        <v>289</v>
      </c>
      <c r="K58" s="1">
        <v>1</v>
      </c>
      <c r="L58" s="7" t="s">
        <v>329</v>
      </c>
      <c r="M58" s="1">
        <v>3</v>
      </c>
      <c r="N58" s="7" t="s">
        <v>317</v>
      </c>
      <c r="O58" s="1">
        <v>2</v>
      </c>
      <c r="P58" s="12"/>
      <c r="Q58" s="7" t="s">
        <v>291</v>
      </c>
      <c r="R58" s="7" t="s">
        <v>292</v>
      </c>
      <c r="S58" s="1">
        <v>1</v>
      </c>
      <c r="T58" s="1">
        <v>5</v>
      </c>
      <c r="U58" s="12"/>
      <c r="V58" s="7" t="s">
        <v>293</v>
      </c>
      <c r="W58" s="7" t="s">
        <v>296</v>
      </c>
      <c r="X58" s="1">
        <v>2</v>
      </c>
      <c r="Y58" s="1">
        <v>6</v>
      </c>
      <c r="Z58" s="12"/>
      <c r="AA58" s="7" t="s">
        <v>293</v>
      </c>
      <c r="AB58" s="7" t="s">
        <v>294</v>
      </c>
      <c r="AC58" s="1">
        <v>2</v>
      </c>
      <c r="AD58" s="1">
        <v>7</v>
      </c>
      <c r="AE58" s="12"/>
      <c r="AF58" s="7" t="s">
        <v>295</v>
      </c>
      <c r="AG58" s="7" t="s">
        <v>292</v>
      </c>
      <c r="AH58" s="1">
        <v>5</v>
      </c>
      <c r="AI58" s="1">
        <v>5</v>
      </c>
      <c r="AJ58" s="12"/>
      <c r="AK58" s="7" t="s">
        <v>295</v>
      </c>
      <c r="AL58" s="7" t="s">
        <v>296</v>
      </c>
      <c r="AM58" s="1">
        <v>5</v>
      </c>
      <c r="AN58" s="1">
        <v>6</v>
      </c>
      <c r="AO58" s="12"/>
      <c r="AP58" s="7" t="s">
        <v>291</v>
      </c>
      <c r="AQ58" s="7" t="s">
        <v>297</v>
      </c>
      <c r="AR58" s="1">
        <v>1</v>
      </c>
      <c r="AS58" s="1">
        <v>4</v>
      </c>
      <c r="AT58" s="12"/>
      <c r="AU58" s="7" t="s">
        <v>293</v>
      </c>
      <c r="AV58" s="7" t="s">
        <v>294</v>
      </c>
      <c r="AW58" s="1">
        <v>2</v>
      </c>
      <c r="AX58" s="1">
        <v>7</v>
      </c>
      <c r="AY58" s="12"/>
      <c r="AZ58" s="7" t="s">
        <v>291</v>
      </c>
      <c r="BA58" s="7" t="s">
        <v>330</v>
      </c>
      <c r="BB58" s="1">
        <v>1</v>
      </c>
      <c r="BC58" s="1">
        <v>3</v>
      </c>
      <c r="BD58" s="12"/>
      <c r="BE58" s="7" t="s">
        <v>295</v>
      </c>
      <c r="BF58" s="7" t="s">
        <v>292</v>
      </c>
      <c r="BG58" s="1">
        <v>5</v>
      </c>
      <c r="BH58" s="1">
        <v>5</v>
      </c>
      <c r="BI58" s="12"/>
      <c r="BJ58" s="7" t="s">
        <v>298</v>
      </c>
      <c r="BK58" s="7" t="s">
        <v>330</v>
      </c>
      <c r="BL58" s="1">
        <v>3</v>
      </c>
      <c r="BM58" s="1">
        <v>3</v>
      </c>
      <c r="BN58" s="12"/>
      <c r="BO58" s="7" t="s">
        <v>291</v>
      </c>
      <c r="BP58" s="7" t="s">
        <v>297</v>
      </c>
      <c r="BQ58" s="1">
        <v>1</v>
      </c>
      <c r="BR58" s="1">
        <v>4</v>
      </c>
      <c r="BS58" s="12"/>
      <c r="BT58" s="7" t="s">
        <v>293</v>
      </c>
      <c r="BU58" s="7" t="s">
        <v>296</v>
      </c>
      <c r="BV58" s="1">
        <v>2</v>
      </c>
      <c r="BW58" s="1">
        <v>6</v>
      </c>
      <c r="BX58" s="12"/>
      <c r="BY58" s="7" t="s">
        <v>291</v>
      </c>
      <c r="BZ58" s="7" t="s">
        <v>297</v>
      </c>
      <c r="CA58" s="1">
        <v>1</v>
      </c>
      <c r="CB58" s="1">
        <v>4</v>
      </c>
      <c r="CC58" s="12"/>
      <c r="CD58" s="7" t="s">
        <v>298</v>
      </c>
      <c r="CE58" s="7" t="s">
        <v>297</v>
      </c>
      <c r="CF58" s="1">
        <v>3</v>
      </c>
      <c r="CG58" s="1">
        <v>4</v>
      </c>
      <c r="CH58" s="12"/>
      <c r="CI58" s="7" t="s">
        <v>299</v>
      </c>
      <c r="CJ58" s="7" t="s">
        <v>297</v>
      </c>
      <c r="CK58" s="1">
        <v>4</v>
      </c>
      <c r="CL58" s="1">
        <v>4</v>
      </c>
      <c r="CM58" s="12"/>
      <c r="CN58" s="7" t="s">
        <v>291</v>
      </c>
      <c r="CO58" s="7" t="s">
        <v>292</v>
      </c>
      <c r="CP58" s="1">
        <v>1</v>
      </c>
      <c r="CQ58" s="1">
        <v>5</v>
      </c>
      <c r="CR58" s="12"/>
      <c r="CS58" s="7" t="s">
        <v>293</v>
      </c>
      <c r="CT58" s="7" t="s">
        <v>294</v>
      </c>
      <c r="CU58" s="1">
        <v>2</v>
      </c>
      <c r="CV58" s="1">
        <v>7</v>
      </c>
      <c r="CW58" s="12"/>
      <c r="CX58" s="7" t="s">
        <v>299</v>
      </c>
      <c r="CY58" s="7" t="s">
        <v>292</v>
      </c>
      <c r="CZ58" s="1">
        <v>4</v>
      </c>
      <c r="DA58" s="1">
        <v>5</v>
      </c>
      <c r="DB58" s="12"/>
      <c r="DC58" s="7" t="s">
        <v>298</v>
      </c>
      <c r="DD58" s="7" t="s">
        <v>297</v>
      </c>
      <c r="DE58" s="1">
        <v>3</v>
      </c>
      <c r="DF58" s="1">
        <v>4</v>
      </c>
      <c r="DG58" s="12"/>
      <c r="DH58" s="7" t="s">
        <v>299</v>
      </c>
      <c r="DI58" s="7" t="s">
        <v>297</v>
      </c>
      <c r="DJ58" s="1">
        <v>4</v>
      </c>
      <c r="DK58" s="1">
        <v>4</v>
      </c>
      <c r="DL58" s="12"/>
      <c r="DM58" s="7" t="s">
        <v>291</v>
      </c>
      <c r="DN58" s="7" t="s">
        <v>297</v>
      </c>
      <c r="DO58" s="1">
        <v>1</v>
      </c>
      <c r="DP58" s="1">
        <v>4</v>
      </c>
      <c r="DQ58" s="12"/>
      <c r="DR58" s="7" t="s">
        <v>300</v>
      </c>
      <c r="DS58" s="7" t="s">
        <v>292</v>
      </c>
      <c r="DT58" s="1">
        <v>2</v>
      </c>
      <c r="DU58" s="1">
        <v>5</v>
      </c>
      <c r="DV58" s="12"/>
      <c r="DW58" s="7" t="s">
        <v>301</v>
      </c>
      <c r="DX58" s="7" t="s">
        <v>296</v>
      </c>
      <c r="DY58" s="1">
        <v>5</v>
      </c>
      <c r="DZ58" s="1">
        <v>6</v>
      </c>
      <c r="EA58" s="12"/>
      <c r="EB58" s="7" t="s">
        <v>291</v>
      </c>
      <c r="EC58" s="7" t="s">
        <v>296</v>
      </c>
      <c r="ED58" s="1">
        <v>1</v>
      </c>
      <c r="EE58" s="1">
        <v>6</v>
      </c>
      <c r="EF58" s="12"/>
      <c r="EG58" s="7" t="s">
        <v>300</v>
      </c>
      <c r="EH58" s="7" t="s">
        <v>296</v>
      </c>
      <c r="EI58" s="1">
        <v>2</v>
      </c>
      <c r="EJ58" s="1">
        <v>6</v>
      </c>
      <c r="EK58" s="12"/>
      <c r="EL58" s="7" t="s">
        <v>301</v>
      </c>
      <c r="EM58" s="7" t="s">
        <v>294</v>
      </c>
      <c r="EN58" s="1">
        <v>5</v>
      </c>
      <c r="EO58" s="1">
        <v>7</v>
      </c>
      <c r="EP58" s="12"/>
      <c r="EQ58" s="7" t="s">
        <v>291</v>
      </c>
      <c r="ER58" s="7" t="s">
        <v>292</v>
      </c>
      <c r="ES58" s="1">
        <v>1</v>
      </c>
      <c r="ET58" s="1">
        <v>5</v>
      </c>
      <c r="EU58" s="12"/>
      <c r="EV58" s="7" t="s">
        <v>300</v>
      </c>
      <c r="EW58" s="7" t="s">
        <v>296</v>
      </c>
      <c r="EX58" s="1">
        <v>2</v>
      </c>
      <c r="EY58" s="1">
        <v>6</v>
      </c>
      <c r="EZ58" s="12"/>
      <c r="FA58" s="7" t="s">
        <v>301</v>
      </c>
      <c r="FB58" s="7" t="s">
        <v>294</v>
      </c>
      <c r="FC58" s="1">
        <v>5</v>
      </c>
      <c r="FD58" s="1">
        <v>7</v>
      </c>
      <c r="FE58" s="12"/>
      <c r="FF58" s="7" t="s">
        <v>291</v>
      </c>
      <c r="FG58" s="7" t="s">
        <v>296</v>
      </c>
      <c r="FH58" s="1">
        <v>1</v>
      </c>
      <c r="FI58" s="1">
        <v>6</v>
      </c>
      <c r="FJ58" s="12"/>
      <c r="FK58" s="7" t="s">
        <v>300</v>
      </c>
      <c r="FL58" s="7" t="s">
        <v>292</v>
      </c>
      <c r="FM58" s="1">
        <v>2</v>
      </c>
      <c r="FN58" s="1">
        <v>5</v>
      </c>
      <c r="FO58" s="12"/>
      <c r="FP58" s="7" t="s">
        <v>291</v>
      </c>
      <c r="FQ58" s="7" t="s">
        <v>292</v>
      </c>
      <c r="FR58" s="1">
        <v>1</v>
      </c>
      <c r="FS58" s="1">
        <v>5</v>
      </c>
      <c r="FT58" s="10"/>
      <c r="FU58" s="7" t="s">
        <v>973</v>
      </c>
      <c r="FV58" s="7" t="s">
        <v>974</v>
      </c>
      <c r="FW58" s="7" t="s">
        <v>975</v>
      </c>
      <c r="FX58" s="7" t="s">
        <v>976</v>
      </c>
      <c r="FY58" s="7" t="s">
        <v>977</v>
      </c>
      <c r="FZ58" s="7" t="s">
        <v>978</v>
      </c>
      <c r="GA58" s="7" t="s">
        <v>566</v>
      </c>
      <c r="GB58" s="7" t="s">
        <v>979</v>
      </c>
      <c r="GC58" s="7" t="s">
        <v>980</v>
      </c>
      <c r="GD58" s="7" t="s">
        <v>981</v>
      </c>
      <c r="GE58" s="7" t="s">
        <v>282</v>
      </c>
      <c r="GF58" s="7" t="s">
        <v>282</v>
      </c>
      <c r="GG58" s="7" t="s">
        <v>356</v>
      </c>
      <c r="GH58" s="7" t="s">
        <v>313</v>
      </c>
    </row>
    <row r="59" spans="1:190" x14ac:dyDescent="0.2">
      <c r="A59">
        <v>57</v>
      </c>
      <c r="B59">
        <v>100</v>
      </c>
      <c r="C59">
        <v>1026</v>
      </c>
      <c r="D59" s="7" t="s">
        <v>280</v>
      </c>
      <c r="E59" s="7" t="s">
        <v>286</v>
      </c>
      <c r="F59" s="7" t="s">
        <v>402</v>
      </c>
      <c r="G59" s="4" t="s">
        <v>1282</v>
      </c>
      <c r="H59" s="7" t="s">
        <v>288</v>
      </c>
      <c r="I59" s="1">
        <v>5</v>
      </c>
      <c r="J59" s="7" t="s">
        <v>289</v>
      </c>
      <c r="K59" s="1">
        <v>1</v>
      </c>
      <c r="L59" s="7" t="s">
        <v>289</v>
      </c>
      <c r="M59" s="1">
        <v>1</v>
      </c>
      <c r="N59" s="7" t="s">
        <v>289</v>
      </c>
      <c r="O59" s="1">
        <v>1</v>
      </c>
      <c r="P59" s="12"/>
      <c r="Q59" s="7" t="s">
        <v>291</v>
      </c>
      <c r="R59" s="7" t="s">
        <v>292</v>
      </c>
      <c r="S59" s="1">
        <v>1</v>
      </c>
      <c r="T59" s="1">
        <v>5</v>
      </c>
      <c r="U59" s="12"/>
      <c r="V59" s="7" t="s">
        <v>293</v>
      </c>
      <c r="W59" s="7" t="s">
        <v>296</v>
      </c>
      <c r="X59" s="1">
        <v>2</v>
      </c>
      <c r="Y59" s="1">
        <v>6</v>
      </c>
      <c r="Z59" s="12"/>
      <c r="AA59" s="7" t="s">
        <v>293</v>
      </c>
      <c r="AB59" s="7" t="s">
        <v>296</v>
      </c>
      <c r="AC59" s="1">
        <v>2</v>
      </c>
      <c r="AD59" s="1">
        <v>6</v>
      </c>
      <c r="AE59" s="12"/>
      <c r="AF59" s="7" t="s">
        <v>295</v>
      </c>
      <c r="AG59" s="7" t="s">
        <v>296</v>
      </c>
      <c r="AH59" s="1">
        <v>5</v>
      </c>
      <c r="AI59" s="1">
        <v>6</v>
      </c>
      <c r="AJ59" s="12"/>
      <c r="AK59" s="7" t="s">
        <v>295</v>
      </c>
      <c r="AL59" s="7" t="s">
        <v>296</v>
      </c>
      <c r="AM59" s="1">
        <v>5</v>
      </c>
      <c r="AN59" s="1">
        <v>6</v>
      </c>
      <c r="AO59" s="12"/>
      <c r="AP59" s="7" t="s">
        <v>291</v>
      </c>
      <c r="AQ59" s="7" t="s">
        <v>296</v>
      </c>
      <c r="AR59" s="1">
        <v>1</v>
      </c>
      <c r="AS59" s="1">
        <v>6</v>
      </c>
      <c r="AT59" s="12"/>
      <c r="AU59" s="7" t="s">
        <v>293</v>
      </c>
      <c r="AV59" s="7" t="s">
        <v>296</v>
      </c>
      <c r="AW59" s="1">
        <v>2</v>
      </c>
      <c r="AX59" s="1">
        <v>6</v>
      </c>
      <c r="AY59" s="12"/>
      <c r="AZ59" s="7" t="s">
        <v>282</v>
      </c>
      <c r="BA59" s="7" t="s">
        <v>330</v>
      </c>
      <c r="BB59" s="4" t="s">
        <v>282</v>
      </c>
      <c r="BC59" s="1">
        <v>3</v>
      </c>
      <c r="BD59" s="12"/>
      <c r="BE59" s="7" t="s">
        <v>295</v>
      </c>
      <c r="BF59" s="7" t="s">
        <v>292</v>
      </c>
      <c r="BG59" s="1">
        <v>5</v>
      </c>
      <c r="BH59" s="1">
        <v>5</v>
      </c>
      <c r="BI59" s="12"/>
      <c r="BJ59" s="7" t="s">
        <v>298</v>
      </c>
      <c r="BK59" s="7" t="s">
        <v>297</v>
      </c>
      <c r="BL59" s="1">
        <v>3</v>
      </c>
      <c r="BM59" s="1">
        <v>4</v>
      </c>
      <c r="BN59" s="12"/>
      <c r="BO59" s="7" t="s">
        <v>291</v>
      </c>
      <c r="BP59" s="7" t="s">
        <v>292</v>
      </c>
      <c r="BQ59" s="1">
        <v>1</v>
      </c>
      <c r="BR59" s="1">
        <v>5</v>
      </c>
      <c r="BS59" s="12"/>
      <c r="BT59" s="7" t="s">
        <v>293</v>
      </c>
      <c r="BU59" s="7" t="s">
        <v>296</v>
      </c>
      <c r="BV59" s="1">
        <v>2</v>
      </c>
      <c r="BW59" s="1">
        <v>6</v>
      </c>
      <c r="BX59" s="12"/>
      <c r="BY59" s="7" t="s">
        <v>282</v>
      </c>
      <c r="BZ59" s="7" t="s">
        <v>330</v>
      </c>
      <c r="CA59" s="4" t="s">
        <v>282</v>
      </c>
      <c r="CB59" s="1">
        <v>3</v>
      </c>
      <c r="CC59" s="12"/>
      <c r="CD59" s="7" t="s">
        <v>299</v>
      </c>
      <c r="CE59" s="7" t="s">
        <v>292</v>
      </c>
      <c r="CF59" s="1">
        <v>4</v>
      </c>
      <c r="CG59" s="1">
        <v>5</v>
      </c>
      <c r="CH59" s="12"/>
      <c r="CI59" s="7" t="s">
        <v>291</v>
      </c>
      <c r="CJ59" s="7" t="s">
        <v>297</v>
      </c>
      <c r="CK59" s="1">
        <v>1</v>
      </c>
      <c r="CL59" s="1">
        <v>4</v>
      </c>
      <c r="CM59" s="12"/>
      <c r="CN59" s="7" t="s">
        <v>291</v>
      </c>
      <c r="CO59" s="7" t="s">
        <v>296</v>
      </c>
      <c r="CP59" s="1">
        <v>1</v>
      </c>
      <c r="CQ59" s="1">
        <v>6</v>
      </c>
      <c r="CR59" s="12"/>
      <c r="CS59" s="7" t="s">
        <v>293</v>
      </c>
      <c r="CT59" s="7" t="s">
        <v>296</v>
      </c>
      <c r="CU59" s="1">
        <v>2</v>
      </c>
      <c r="CV59" s="1">
        <v>6</v>
      </c>
      <c r="CW59" s="12"/>
      <c r="CX59" s="7" t="s">
        <v>299</v>
      </c>
      <c r="CY59" s="7" t="s">
        <v>292</v>
      </c>
      <c r="CZ59" s="1">
        <v>4</v>
      </c>
      <c r="DA59" s="1">
        <v>5</v>
      </c>
      <c r="DB59" s="12"/>
      <c r="DC59" s="7" t="s">
        <v>299</v>
      </c>
      <c r="DD59" s="7" t="s">
        <v>292</v>
      </c>
      <c r="DE59" s="1">
        <v>4</v>
      </c>
      <c r="DF59" s="1">
        <v>5</v>
      </c>
      <c r="DG59" s="12"/>
      <c r="DH59" s="7" t="s">
        <v>298</v>
      </c>
      <c r="DI59" s="7" t="s">
        <v>297</v>
      </c>
      <c r="DJ59" s="1">
        <v>3</v>
      </c>
      <c r="DK59" s="1">
        <v>4</v>
      </c>
      <c r="DL59" s="12"/>
      <c r="DM59" s="7" t="s">
        <v>291</v>
      </c>
      <c r="DN59" s="7" t="s">
        <v>296</v>
      </c>
      <c r="DO59" s="1">
        <v>1</v>
      </c>
      <c r="DP59" s="1">
        <v>6</v>
      </c>
      <c r="DQ59" s="12"/>
      <c r="DR59" s="7" t="s">
        <v>300</v>
      </c>
      <c r="DS59" s="7" t="s">
        <v>292</v>
      </c>
      <c r="DT59" s="1">
        <v>2</v>
      </c>
      <c r="DU59" s="1">
        <v>5</v>
      </c>
      <c r="DV59" s="12"/>
      <c r="DW59" s="7" t="s">
        <v>301</v>
      </c>
      <c r="DX59" s="7" t="s">
        <v>292</v>
      </c>
      <c r="DY59" s="1">
        <v>5</v>
      </c>
      <c r="DZ59" s="1">
        <v>5</v>
      </c>
      <c r="EA59" s="12"/>
      <c r="EB59" s="7" t="s">
        <v>291</v>
      </c>
      <c r="EC59" s="7" t="s">
        <v>296</v>
      </c>
      <c r="ED59" s="1">
        <v>1</v>
      </c>
      <c r="EE59" s="1">
        <v>6</v>
      </c>
      <c r="EF59" s="12"/>
      <c r="EG59" s="7" t="s">
        <v>300</v>
      </c>
      <c r="EH59" s="7" t="s">
        <v>292</v>
      </c>
      <c r="EI59" s="1">
        <v>2</v>
      </c>
      <c r="EJ59" s="1">
        <v>5</v>
      </c>
      <c r="EK59" s="12"/>
      <c r="EL59" s="7" t="s">
        <v>301</v>
      </c>
      <c r="EM59" s="7" t="s">
        <v>292</v>
      </c>
      <c r="EN59" s="1">
        <v>5</v>
      </c>
      <c r="EO59" s="1">
        <v>5</v>
      </c>
      <c r="EP59" s="12"/>
      <c r="EQ59" s="7" t="s">
        <v>291</v>
      </c>
      <c r="ER59" s="7" t="s">
        <v>292</v>
      </c>
      <c r="ES59" s="1">
        <v>1</v>
      </c>
      <c r="ET59" s="1">
        <v>5</v>
      </c>
      <c r="EU59" s="12"/>
      <c r="EV59" s="7" t="s">
        <v>300</v>
      </c>
      <c r="EW59" s="7" t="s">
        <v>297</v>
      </c>
      <c r="EX59" s="1">
        <v>2</v>
      </c>
      <c r="EY59" s="1">
        <v>4</v>
      </c>
      <c r="EZ59" s="12"/>
      <c r="FA59" s="7" t="s">
        <v>301</v>
      </c>
      <c r="FB59" s="7" t="s">
        <v>297</v>
      </c>
      <c r="FC59" s="1">
        <v>5</v>
      </c>
      <c r="FD59" s="1">
        <v>4</v>
      </c>
      <c r="FE59" s="12"/>
      <c r="FF59" s="7" t="s">
        <v>291</v>
      </c>
      <c r="FG59" s="7" t="s">
        <v>296</v>
      </c>
      <c r="FH59" s="1">
        <v>1</v>
      </c>
      <c r="FI59" s="1">
        <v>6</v>
      </c>
      <c r="FJ59" s="12"/>
      <c r="FK59" s="7" t="s">
        <v>300</v>
      </c>
      <c r="FL59" s="7" t="s">
        <v>297</v>
      </c>
      <c r="FM59" s="1">
        <v>2</v>
      </c>
      <c r="FN59" s="1">
        <v>4</v>
      </c>
      <c r="FO59" s="12"/>
      <c r="FP59" s="7" t="s">
        <v>282</v>
      </c>
      <c r="FQ59" s="7" t="s">
        <v>292</v>
      </c>
      <c r="FR59" s="4" t="s">
        <v>282</v>
      </c>
      <c r="FS59" s="1">
        <v>5</v>
      </c>
      <c r="FT59" s="10"/>
      <c r="FU59" s="7" t="s">
        <v>984</v>
      </c>
      <c r="FV59" s="7" t="s">
        <v>985</v>
      </c>
      <c r="FW59" s="7" t="s">
        <v>986</v>
      </c>
      <c r="FX59" s="7" t="s">
        <v>987</v>
      </c>
      <c r="FY59" s="7" t="s">
        <v>988</v>
      </c>
      <c r="FZ59" s="7" t="s">
        <v>989</v>
      </c>
      <c r="GA59" s="7" t="s">
        <v>693</v>
      </c>
      <c r="GB59" s="7" t="s">
        <v>990</v>
      </c>
      <c r="GC59" s="7" t="s">
        <v>991</v>
      </c>
      <c r="GD59" s="7" t="s">
        <v>992</v>
      </c>
      <c r="GE59" s="7" t="s">
        <v>993</v>
      </c>
      <c r="GF59" s="7" t="s">
        <v>282</v>
      </c>
      <c r="GG59" s="7" t="s">
        <v>372</v>
      </c>
      <c r="GH59" s="7" t="s">
        <v>325</v>
      </c>
    </row>
    <row r="60" spans="1:190" x14ac:dyDescent="0.2">
      <c r="A60">
        <v>58</v>
      </c>
      <c r="B60">
        <v>100</v>
      </c>
      <c r="C60">
        <v>782</v>
      </c>
      <c r="D60" s="7" t="s">
        <v>280</v>
      </c>
      <c r="E60" s="7" t="s">
        <v>359</v>
      </c>
      <c r="F60" s="7" t="s">
        <v>287</v>
      </c>
      <c r="G60" s="4" t="s">
        <v>312</v>
      </c>
      <c r="H60" s="7" t="s">
        <v>288</v>
      </c>
      <c r="I60" s="1">
        <v>5</v>
      </c>
      <c r="J60" s="7" t="s">
        <v>289</v>
      </c>
      <c r="K60" s="1">
        <v>1</v>
      </c>
      <c r="L60" s="7" t="s">
        <v>289</v>
      </c>
      <c r="M60" s="1">
        <v>1</v>
      </c>
      <c r="N60" s="7" t="s">
        <v>289</v>
      </c>
      <c r="O60" s="1">
        <v>1</v>
      </c>
      <c r="P60" s="12"/>
      <c r="Q60" s="7" t="s">
        <v>291</v>
      </c>
      <c r="R60" s="7" t="s">
        <v>292</v>
      </c>
      <c r="S60" s="1">
        <v>1</v>
      </c>
      <c r="T60" s="1">
        <v>5</v>
      </c>
      <c r="U60" s="12"/>
      <c r="V60" s="7" t="s">
        <v>299</v>
      </c>
      <c r="W60" s="7" t="s">
        <v>296</v>
      </c>
      <c r="X60" s="1">
        <v>4</v>
      </c>
      <c r="Y60" s="1">
        <v>6</v>
      </c>
      <c r="Z60" s="12"/>
      <c r="AA60" s="7" t="s">
        <v>299</v>
      </c>
      <c r="AB60" s="7" t="s">
        <v>296</v>
      </c>
      <c r="AC60" s="1">
        <v>4</v>
      </c>
      <c r="AD60" s="1">
        <v>6</v>
      </c>
      <c r="AE60" s="12"/>
      <c r="AF60" s="7" t="s">
        <v>295</v>
      </c>
      <c r="AG60" s="7" t="s">
        <v>296</v>
      </c>
      <c r="AH60" s="1">
        <v>5</v>
      </c>
      <c r="AI60" s="1">
        <v>6</v>
      </c>
      <c r="AJ60" s="12"/>
      <c r="AK60" s="7" t="s">
        <v>295</v>
      </c>
      <c r="AL60" s="7" t="s">
        <v>296</v>
      </c>
      <c r="AM60" s="1">
        <v>5</v>
      </c>
      <c r="AN60" s="1">
        <v>6</v>
      </c>
      <c r="AO60" s="12"/>
      <c r="AP60" s="7" t="s">
        <v>291</v>
      </c>
      <c r="AQ60" s="7" t="s">
        <v>296</v>
      </c>
      <c r="AR60" s="1">
        <v>1</v>
      </c>
      <c r="AS60" s="1">
        <v>6</v>
      </c>
      <c r="AT60" s="12"/>
      <c r="AU60" s="7" t="s">
        <v>293</v>
      </c>
      <c r="AV60" s="7" t="s">
        <v>297</v>
      </c>
      <c r="AW60" s="1">
        <v>2</v>
      </c>
      <c r="AX60" s="1">
        <v>4</v>
      </c>
      <c r="AY60" s="12"/>
      <c r="AZ60" s="7" t="s">
        <v>291</v>
      </c>
      <c r="BA60" s="7" t="s">
        <v>297</v>
      </c>
      <c r="BB60" s="1">
        <v>1</v>
      </c>
      <c r="BC60" s="1">
        <v>4</v>
      </c>
      <c r="BD60" s="12"/>
      <c r="BE60" s="7" t="s">
        <v>295</v>
      </c>
      <c r="BF60" s="7" t="s">
        <v>292</v>
      </c>
      <c r="BG60" s="1">
        <v>5</v>
      </c>
      <c r="BH60" s="1">
        <v>5</v>
      </c>
      <c r="BI60" s="12"/>
      <c r="BJ60" s="7" t="s">
        <v>295</v>
      </c>
      <c r="BK60" s="7" t="s">
        <v>292</v>
      </c>
      <c r="BL60" s="1">
        <v>5</v>
      </c>
      <c r="BM60" s="1">
        <v>5</v>
      </c>
      <c r="BN60" s="12"/>
      <c r="BO60" s="7" t="s">
        <v>291</v>
      </c>
      <c r="BP60" s="7" t="s">
        <v>296</v>
      </c>
      <c r="BQ60" s="1">
        <v>1</v>
      </c>
      <c r="BR60" s="1">
        <v>6</v>
      </c>
      <c r="BS60" s="12"/>
      <c r="BT60" s="7" t="s">
        <v>299</v>
      </c>
      <c r="BU60" s="7" t="s">
        <v>292</v>
      </c>
      <c r="BV60" s="1">
        <v>4</v>
      </c>
      <c r="BW60" s="1">
        <v>5</v>
      </c>
      <c r="BX60" s="12"/>
      <c r="BY60" s="7" t="s">
        <v>291</v>
      </c>
      <c r="BZ60" s="7" t="s">
        <v>292</v>
      </c>
      <c r="CA60" s="1">
        <v>1</v>
      </c>
      <c r="CB60" s="1">
        <v>5</v>
      </c>
      <c r="CC60" s="12"/>
      <c r="CD60" s="7" t="s">
        <v>295</v>
      </c>
      <c r="CE60" s="7" t="s">
        <v>292</v>
      </c>
      <c r="CF60" s="1">
        <v>5</v>
      </c>
      <c r="CG60" s="1">
        <v>5</v>
      </c>
      <c r="CH60" s="12"/>
      <c r="CI60" s="7" t="s">
        <v>298</v>
      </c>
      <c r="CJ60" s="7" t="s">
        <v>292</v>
      </c>
      <c r="CK60" s="1">
        <v>3</v>
      </c>
      <c r="CL60" s="1">
        <v>5</v>
      </c>
      <c r="CM60" s="12"/>
      <c r="CN60" s="7" t="s">
        <v>291</v>
      </c>
      <c r="CO60" s="7" t="s">
        <v>296</v>
      </c>
      <c r="CP60" s="1">
        <v>1</v>
      </c>
      <c r="CQ60" s="1">
        <v>6</v>
      </c>
      <c r="CR60" s="12"/>
      <c r="CS60" s="7" t="s">
        <v>299</v>
      </c>
      <c r="CT60" s="7" t="s">
        <v>292</v>
      </c>
      <c r="CU60" s="1">
        <v>4</v>
      </c>
      <c r="CV60" s="1">
        <v>5</v>
      </c>
      <c r="CW60" s="12"/>
      <c r="CX60" s="7" t="s">
        <v>299</v>
      </c>
      <c r="CY60" s="7" t="s">
        <v>292</v>
      </c>
      <c r="CZ60" s="1">
        <v>4</v>
      </c>
      <c r="DA60" s="1">
        <v>5</v>
      </c>
      <c r="DB60" s="12"/>
      <c r="DC60" s="7" t="s">
        <v>298</v>
      </c>
      <c r="DD60" s="7" t="s">
        <v>296</v>
      </c>
      <c r="DE60" s="1">
        <v>3</v>
      </c>
      <c r="DF60" s="1">
        <v>6</v>
      </c>
      <c r="DG60" s="12"/>
      <c r="DH60" s="7" t="s">
        <v>298</v>
      </c>
      <c r="DI60" s="7" t="s">
        <v>296</v>
      </c>
      <c r="DJ60" s="1">
        <v>3</v>
      </c>
      <c r="DK60" s="1">
        <v>6</v>
      </c>
      <c r="DL60" s="12"/>
      <c r="DM60" s="7" t="s">
        <v>291</v>
      </c>
      <c r="DN60" s="7" t="s">
        <v>292</v>
      </c>
      <c r="DO60" s="1">
        <v>1</v>
      </c>
      <c r="DP60" s="1">
        <v>5</v>
      </c>
      <c r="DQ60" s="12"/>
      <c r="DR60" s="7" t="s">
        <v>300</v>
      </c>
      <c r="DS60" s="7" t="s">
        <v>294</v>
      </c>
      <c r="DT60" s="1">
        <v>2</v>
      </c>
      <c r="DU60" s="1">
        <v>7</v>
      </c>
      <c r="DV60" s="12"/>
      <c r="DW60" s="7" t="s">
        <v>300</v>
      </c>
      <c r="DX60" s="7" t="s">
        <v>296</v>
      </c>
      <c r="DY60" s="1">
        <v>2</v>
      </c>
      <c r="DZ60" s="1">
        <v>6</v>
      </c>
      <c r="EA60" s="12"/>
      <c r="EB60" s="7" t="s">
        <v>291</v>
      </c>
      <c r="EC60" s="7" t="s">
        <v>292</v>
      </c>
      <c r="ED60" s="1">
        <v>1</v>
      </c>
      <c r="EE60" s="1">
        <v>5</v>
      </c>
      <c r="EF60" s="12"/>
      <c r="EG60" s="7" t="s">
        <v>300</v>
      </c>
      <c r="EH60" s="7" t="s">
        <v>294</v>
      </c>
      <c r="EI60" s="1">
        <v>2</v>
      </c>
      <c r="EJ60" s="1">
        <v>7</v>
      </c>
      <c r="EK60" s="12"/>
      <c r="EL60" s="7" t="s">
        <v>282</v>
      </c>
      <c r="EM60" s="7" t="s">
        <v>297</v>
      </c>
      <c r="EN60" s="4" t="s">
        <v>282</v>
      </c>
      <c r="EO60" s="1">
        <v>4</v>
      </c>
      <c r="EP60" s="12"/>
      <c r="EQ60" s="7" t="s">
        <v>291</v>
      </c>
      <c r="ER60" s="7" t="s">
        <v>297</v>
      </c>
      <c r="ES60" s="1">
        <v>1</v>
      </c>
      <c r="ET60" s="1">
        <v>4</v>
      </c>
      <c r="EU60" s="12"/>
      <c r="EV60" s="7" t="s">
        <v>300</v>
      </c>
      <c r="EW60" s="7" t="s">
        <v>294</v>
      </c>
      <c r="EX60" s="1">
        <v>2</v>
      </c>
      <c r="EY60" s="1">
        <v>7</v>
      </c>
      <c r="EZ60" s="12"/>
      <c r="FA60" s="7" t="s">
        <v>301</v>
      </c>
      <c r="FB60" s="7" t="s">
        <v>297</v>
      </c>
      <c r="FC60" s="1">
        <v>5</v>
      </c>
      <c r="FD60" s="1">
        <v>4</v>
      </c>
      <c r="FE60" s="12"/>
      <c r="FF60" s="7" t="s">
        <v>291</v>
      </c>
      <c r="FG60" s="7" t="s">
        <v>292</v>
      </c>
      <c r="FH60" s="1">
        <v>1</v>
      </c>
      <c r="FI60" s="1">
        <v>5</v>
      </c>
      <c r="FJ60" s="12"/>
      <c r="FK60" s="7" t="s">
        <v>300</v>
      </c>
      <c r="FL60" s="7" t="s">
        <v>296</v>
      </c>
      <c r="FM60" s="1">
        <v>2</v>
      </c>
      <c r="FN60" s="1">
        <v>6</v>
      </c>
      <c r="FO60" s="12"/>
      <c r="FP60" s="7" t="s">
        <v>300</v>
      </c>
      <c r="FQ60" s="7" t="s">
        <v>296</v>
      </c>
      <c r="FR60" s="1">
        <v>2</v>
      </c>
      <c r="FS60" s="1">
        <v>6</v>
      </c>
      <c r="FT60" s="10"/>
      <c r="FU60" s="7" t="s">
        <v>996</v>
      </c>
      <c r="FV60" s="7" t="s">
        <v>997</v>
      </c>
      <c r="FW60" s="7" t="s">
        <v>998</v>
      </c>
      <c r="FX60" s="7" t="s">
        <v>999</v>
      </c>
      <c r="FY60" s="7" t="s">
        <v>1000</v>
      </c>
      <c r="FZ60" s="7" t="s">
        <v>1001</v>
      </c>
      <c r="GA60" s="7" t="s">
        <v>1002</v>
      </c>
      <c r="GB60" s="7" t="s">
        <v>1003</v>
      </c>
      <c r="GC60" s="7" t="s">
        <v>1004</v>
      </c>
      <c r="GD60" s="7" t="s">
        <v>1005</v>
      </c>
      <c r="GE60" s="7" t="s">
        <v>282</v>
      </c>
      <c r="GF60" s="7" t="s">
        <v>282</v>
      </c>
      <c r="GG60" s="7" t="s">
        <v>356</v>
      </c>
      <c r="GH60" s="7" t="s">
        <v>313</v>
      </c>
    </row>
    <row r="61" spans="1:190" x14ac:dyDescent="0.2">
      <c r="A61">
        <v>59</v>
      </c>
      <c r="B61">
        <v>100</v>
      </c>
      <c r="C61">
        <v>1642</v>
      </c>
      <c r="D61" s="7" t="s">
        <v>280</v>
      </c>
      <c r="E61" s="7" t="s">
        <v>387</v>
      </c>
      <c r="F61" s="7" t="s">
        <v>287</v>
      </c>
      <c r="G61" s="4" t="s">
        <v>312</v>
      </c>
      <c r="H61" s="7" t="s">
        <v>288</v>
      </c>
      <c r="I61" s="1">
        <v>5</v>
      </c>
      <c r="J61" s="7" t="s">
        <v>290</v>
      </c>
      <c r="K61" s="1">
        <v>4</v>
      </c>
      <c r="L61" s="7" t="s">
        <v>289</v>
      </c>
      <c r="M61" s="1">
        <v>1</v>
      </c>
      <c r="N61" s="7" t="s">
        <v>289</v>
      </c>
      <c r="O61" s="1">
        <v>1</v>
      </c>
      <c r="P61" s="12"/>
      <c r="Q61" s="7" t="s">
        <v>291</v>
      </c>
      <c r="R61" s="7" t="s">
        <v>294</v>
      </c>
      <c r="S61" s="1">
        <v>1</v>
      </c>
      <c r="T61" s="1">
        <v>7</v>
      </c>
      <c r="U61" s="12"/>
      <c r="V61" s="7" t="s">
        <v>299</v>
      </c>
      <c r="W61" s="7" t="s">
        <v>296</v>
      </c>
      <c r="X61" s="1">
        <v>4</v>
      </c>
      <c r="Y61" s="1">
        <v>6</v>
      </c>
      <c r="Z61" s="12"/>
      <c r="AA61" s="7" t="s">
        <v>293</v>
      </c>
      <c r="AB61" s="7" t="s">
        <v>292</v>
      </c>
      <c r="AC61" s="1">
        <v>2</v>
      </c>
      <c r="AD61" s="1">
        <v>5</v>
      </c>
      <c r="AE61" s="12"/>
      <c r="AF61" s="7" t="s">
        <v>293</v>
      </c>
      <c r="AG61" s="7" t="s">
        <v>296</v>
      </c>
      <c r="AH61" s="1">
        <v>2</v>
      </c>
      <c r="AI61" s="1">
        <v>6</v>
      </c>
      <c r="AJ61" s="12"/>
      <c r="AK61" s="7" t="s">
        <v>298</v>
      </c>
      <c r="AL61" s="7" t="s">
        <v>296</v>
      </c>
      <c r="AM61" s="1">
        <v>3</v>
      </c>
      <c r="AN61" s="1">
        <v>6</v>
      </c>
      <c r="AO61" s="12"/>
      <c r="AP61" s="7" t="s">
        <v>291</v>
      </c>
      <c r="AQ61" s="7" t="s">
        <v>296</v>
      </c>
      <c r="AR61" s="1">
        <v>1</v>
      </c>
      <c r="AS61" s="1">
        <v>6</v>
      </c>
      <c r="AT61" s="12"/>
      <c r="AU61" s="7" t="s">
        <v>299</v>
      </c>
      <c r="AV61" s="7" t="s">
        <v>294</v>
      </c>
      <c r="AW61" s="1">
        <v>4</v>
      </c>
      <c r="AX61" s="1">
        <v>7</v>
      </c>
      <c r="AY61" s="12"/>
      <c r="AZ61" s="7" t="s">
        <v>291</v>
      </c>
      <c r="BA61" s="7" t="s">
        <v>294</v>
      </c>
      <c r="BB61" s="1">
        <v>1</v>
      </c>
      <c r="BC61" s="1">
        <v>7</v>
      </c>
      <c r="BD61" s="12"/>
      <c r="BE61" s="7" t="s">
        <v>293</v>
      </c>
      <c r="BF61" s="7" t="s">
        <v>296</v>
      </c>
      <c r="BG61" s="1">
        <v>2</v>
      </c>
      <c r="BH61" s="1">
        <v>6</v>
      </c>
      <c r="BI61" s="12"/>
      <c r="BJ61" s="7" t="s">
        <v>299</v>
      </c>
      <c r="BK61" s="7" t="s">
        <v>297</v>
      </c>
      <c r="BL61" s="1">
        <v>4</v>
      </c>
      <c r="BM61" s="1">
        <v>4</v>
      </c>
      <c r="BN61" s="12"/>
      <c r="BO61" s="7" t="s">
        <v>291</v>
      </c>
      <c r="BP61" s="7" t="s">
        <v>292</v>
      </c>
      <c r="BQ61" s="1">
        <v>1</v>
      </c>
      <c r="BR61" s="1">
        <v>5</v>
      </c>
      <c r="BS61" s="12"/>
      <c r="BT61" s="7" t="s">
        <v>299</v>
      </c>
      <c r="BU61" s="7" t="s">
        <v>294</v>
      </c>
      <c r="BV61" s="1">
        <v>4</v>
      </c>
      <c r="BW61" s="1">
        <v>7</v>
      </c>
      <c r="BX61" s="12"/>
      <c r="BY61" s="7" t="s">
        <v>291</v>
      </c>
      <c r="BZ61" s="7" t="s">
        <v>294</v>
      </c>
      <c r="CA61" s="1">
        <v>1</v>
      </c>
      <c r="CB61" s="1">
        <v>7</v>
      </c>
      <c r="CC61" s="12"/>
      <c r="CD61" s="7" t="s">
        <v>295</v>
      </c>
      <c r="CE61" s="7" t="s">
        <v>294</v>
      </c>
      <c r="CF61" s="1">
        <v>5</v>
      </c>
      <c r="CG61" s="1">
        <v>7</v>
      </c>
      <c r="CH61" s="12"/>
      <c r="CI61" s="7" t="s">
        <v>291</v>
      </c>
      <c r="CJ61" s="7" t="s">
        <v>294</v>
      </c>
      <c r="CK61" s="1">
        <v>1</v>
      </c>
      <c r="CL61" s="1">
        <v>7</v>
      </c>
      <c r="CM61" s="12"/>
      <c r="CN61" s="7" t="s">
        <v>291</v>
      </c>
      <c r="CO61" s="7" t="s">
        <v>292</v>
      </c>
      <c r="CP61" s="1">
        <v>1</v>
      </c>
      <c r="CQ61" s="1">
        <v>5</v>
      </c>
      <c r="CR61" s="12"/>
      <c r="CS61" s="7" t="s">
        <v>299</v>
      </c>
      <c r="CT61" s="7" t="s">
        <v>296</v>
      </c>
      <c r="CU61" s="1">
        <v>4</v>
      </c>
      <c r="CV61" s="1">
        <v>6</v>
      </c>
      <c r="CW61" s="12"/>
      <c r="CX61" s="7" t="s">
        <v>299</v>
      </c>
      <c r="CY61" s="7" t="s">
        <v>292</v>
      </c>
      <c r="CZ61" s="1">
        <v>4</v>
      </c>
      <c r="DA61" s="1">
        <v>5</v>
      </c>
      <c r="DB61" s="12"/>
      <c r="DC61" s="7" t="s">
        <v>295</v>
      </c>
      <c r="DD61" s="7" t="s">
        <v>294</v>
      </c>
      <c r="DE61" s="1">
        <v>5</v>
      </c>
      <c r="DF61" s="1">
        <v>7</v>
      </c>
      <c r="DG61" s="12"/>
      <c r="DH61" s="7" t="s">
        <v>298</v>
      </c>
      <c r="DI61" s="7" t="s">
        <v>294</v>
      </c>
      <c r="DJ61" s="1">
        <v>3</v>
      </c>
      <c r="DK61" s="1">
        <v>7</v>
      </c>
      <c r="DL61" s="12"/>
      <c r="DM61" s="7" t="s">
        <v>291</v>
      </c>
      <c r="DN61" s="7" t="s">
        <v>294</v>
      </c>
      <c r="DO61" s="1">
        <v>1</v>
      </c>
      <c r="DP61" s="1">
        <v>7</v>
      </c>
      <c r="DQ61" s="12"/>
      <c r="DR61" s="7" t="s">
        <v>300</v>
      </c>
      <c r="DS61" s="7" t="s">
        <v>294</v>
      </c>
      <c r="DT61" s="1">
        <v>2</v>
      </c>
      <c r="DU61" s="1">
        <v>7</v>
      </c>
      <c r="DV61" s="12"/>
      <c r="DW61" s="7" t="s">
        <v>301</v>
      </c>
      <c r="DX61" s="7" t="s">
        <v>294</v>
      </c>
      <c r="DY61" s="1">
        <v>5</v>
      </c>
      <c r="DZ61" s="1">
        <v>7</v>
      </c>
      <c r="EA61" s="12"/>
      <c r="EB61" s="7" t="s">
        <v>291</v>
      </c>
      <c r="EC61" s="7" t="s">
        <v>294</v>
      </c>
      <c r="ED61" s="1">
        <v>1</v>
      </c>
      <c r="EE61" s="1">
        <v>7</v>
      </c>
      <c r="EF61" s="12"/>
      <c r="EG61" s="7" t="s">
        <v>300</v>
      </c>
      <c r="EH61" s="7" t="s">
        <v>294</v>
      </c>
      <c r="EI61" s="1">
        <v>2</v>
      </c>
      <c r="EJ61" s="1">
        <v>7</v>
      </c>
      <c r="EK61" s="12"/>
      <c r="EL61" s="7" t="s">
        <v>301</v>
      </c>
      <c r="EM61" s="7" t="s">
        <v>294</v>
      </c>
      <c r="EN61" s="1">
        <v>5</v>
      </c>
      <c r="EO61" s="1">
        <v>7</v>
      </c>
      <c r="EP61" s="12"/>
      <c r="EQ61" s="7" t="s">
        <v>291</v>
      </c>
      <c r="ER61" s="7" t="s">
        <v>294</v>
      </c>
      <c r="ES61" s="1">
        <v>1</v>
      </c>
      <c r="ET61" s="1">
        <v>7</v>
      </c>
      <c r="EU61" s="12"/>
      <c r="EV61" s="7" t="s">
        <v>282</v>
      </c>
      <c r="EW61" s="7" t="s">
        <v>294</v>
      </c>
      <c r="EX61" s="4" t="s">
        <v>282</v>
      </c>
      <c r="EY61" s="1">
        <v>7</v>
      </c>
      <c r="EZ61" s="12"/>
      <c r="FA61" s="7" t="s">
        <v>300</v>
      </c>
      <c r="FB61" s="7" t="s">
        <v>294</v>
      </c>
      <c r="FC61" s="1">
        <v>2</v>
      </c>
      <c r="FD61" s="1">
        <v>7</v>
      </c>
      <c r="FE61" s="12"/>
      <c r="FF61" s="7" t="s">
        <v>291</v>
      </c>
      <c r="FG61" s="7" t="s">
        <v>294</v>
      </c>
      <c r="FH61" s="1">
        <v>1</v>
      </c>
      <c r="FI61" s="1">
        <v>7</v>
      </c>
      <c r="FJ61" s="12"/>
      <c r="FK61" s="7" t="s">
        <v>300</v>
      </c>
      <c r="FL61" s="7" t="s">
        <v>294</v>
      </c>
      <c r="FM61" s="1">
        <v>2</v>
      </c>
      <c r="FN61" s="1">
        <v>7</v>
      </c>
      <c r="FO61" s="12"/>
      <c r="FP61" s="7" t="s">
        <v>282</v>
      </c>
      <c r="FQ61" s="7" t="s">
        <v>294</v>
      </c>
      <c r="FR61" s="4" t="s">
        <v>282</v>
      </c>
      <c r="FS61" s="1">
        <v>7</v>
      </c>
      <c r="FT61" s="10"/>
      <c r="FU61" s="7" t="s">
        <v>1008</v>
      </c>
      <c r="FV61" s="7" t="s">
        <v>592</v>
      </c>
      <c r="FW61" s="7" t="s">
        <v>1009</v>
      </c>
      <c r="FX61" s="7" t="s">
        <v>1010</v>
      </c>
      <c r="FY61" s="7" t="s">
        <v>1011</v>
      </c>
      <c r="FZ61" s="7" t="s">
        <v>592</v>
      </c>
      <c r="GA61" s="7" t="s">
        <v>1012</v>
      </c>
      <c r="GB61" s="7" t="s">
        <v>1013</v>
      </c>
      <c r="GC61" s="7" t="s">
        <v>1014</v>
      </c>
      <c r="GD61" s="7" t="s">
        <v>1015</v>
      </c>
      <c r="GE61" s="7" t="s">
        <v>1016</v>
      </c>
      <c r="GF61" s="7" t="s">
        <v>282</v>
      </c>
      <c r="GG61" s="7" t="s">
        <v>372</v>
      </c>
      <c r="GH61" s="7" t="s">
        <v>325</v>
      </c>
    </row>
    <row r="62" spans="1:190" x14ac:dyDescent="0.2">
      <c r="A62">
        <v>60</v>
      </c>
      <c r="B62">
        <v>100</v>
      </c>
      <c r="C62">
        <v>1259</v>
      </c>
      <c r="D62" s="7" t="s">
        <v>280</v>
      </c>
      <c r="E62" s="7" t="s">
        <v>1019</v>
      </c>
      <c r="F62" s="7" t="s">
        <v>1020</v>
      </c>
      <c r="G62" s="4" t="s">
        <v>1297</v>
      </c>
      <c r="H62" s="7" t="s">
        <v>288</v>
      </c>
      <c r="I62" s="1">
        <v>5</v>
      </c>
      <c r="J62" s="7" t="s">
        <v>317</v>
      </c>
      <c r="K62" s="1">
        <v>2</v>
      </c>
      <c r="L62" s="7" t="s">
        <v>288</v>
      </c>
      <c r="M62" s="1">
        <v>5</v>
      </c>
      <c r="N62" s="7" t="s">
        <v>288</v>
      </c>
      <c r="O62" s="1">
        <v>5</v>
      </c>
      <c r="P62" s="12"/>
      <c r="Q62" s="7" t="s">
        <v>298</v>
      </c>
      <c r="R62" s="7" t="s">
        <v>292</v>
      </c>
      <c r="S62" s="1">
        <v>3</v>
      </c>
      <c r="T62" s="1">
        <v>5</v>
      </c>
      <c r="U62" s="12"/>
      <c r="V62" s="7" t="s">
        <v>299</v>
      </c>
      <c r="W62" s="7" t="s">
        <v>296</v>
      </c>
      <c r="X62" s="1">
        <v>4</v>
      </c>
      <c r="Y62" s="1">
        <v>6</v>
      </c>
      <c r="Z62" s="12"/>
      <c r="AA62" s="7" t="s">
        <v>293</v>
      </c>
      <c r="AB62" s="7" t="s">
        <v>296</v>
      </c>
      <c r="AC62" s="1">
        <v>2</v>
      </c>
      <c r="AD62" s="1">
        <v>6</v>
      </c>
      <c r="AE62" s="12"/>
      <c r="AF62" s="7" t="s">
        <v>295</v>
      </c>
      <c r="AG62" s="7" t="s">
        <v>296</v>
      </c>
      <c r="AH62" s="1">
        <v>5</v>
      </c>
      <c r="AI62" s="1">
        <v>6</v>
      </c>
      <c r="AJ62" s="12"/>
      <c r="AK62" s="7" t="s">
        <v>295</v>
      </c>
      <c r="AL62" s="7" t="s">
        <v>296</v>
      </c>
      <c r="AM62" s="1">
        <v>5</v>
      </c>
      <c r="AN62" s="1">
        <v>6</v>
      </c>
      <c r="AO62" s="12"/>
      <c r="AP62" s="7" t="s">
        <v>291</v>
      </c>
      <c r="AQ62" s="7" t="s">
        <v>296</v>
      </c>
      <c r="AR62" s="1">
        <v>1</v>
      </c>
      <c r="AS62" s="1">
        <v>6</v>
      </c>
      <c r="AT62" s="12"/>
      <c r="AU62" s="7" t="s">
        <v>293</v>
      </c>
      <c r="AV62" s="7" t="s">
        <v>296</v>
      </c>
      <c r="AW62" s="1">
        <v>2</v>
      </c>
      <c r="AX62" s="1">
        <v>6</v>
      </c>
      <c r="AY62" s="12"/>
      <c r="AZ62" s="7" t="s">
        <v>291</v>
      </c>
      <c r="BA62" s="7" t="s">
        <v>296</v>
      </c>
      <c r="BB62" s="1">
        <v>1</v>
      </c>
      <c r="BC62" s="1">
        <v>6</v>
      </c>
      <c r="BD62" s="12"/>
      <c r="BE62" s="7" t="s">
        <v>298</v>
      </c>
      <c r="BF62" s="7" t="s">
        <v>292</v>
      </c>
      <c r="BG62" s="1">
        <v>3</v>
      </c>
      <c r="BH62" s="1">
        <v>5</v>
      </c>
      <c r="BI62" s="12"/>
      <c r="BJ62" s="7" t="s">
        <v>298</v>
      </c>
      <c r="BK62" s="7" t="s">
        <v>296</v>
      </c>
      <c r="BL62" s="1">
        <v>3</v>
      </c>
      <c r="BM62" s="1">
        <v>6</v>
      </c>
      <c r="BN62" s="12"/>
      <c r="BO62" s="7" t="s">
        <v>291</v>
      </c>
      <c r="BP62" s="7" t="s">
        <v>296</v>
      </c>
      <c r="BQ62" s="1">
        <v>1</v>
      </c>
      <c r="BR62" s="1">
        <v>6</v>
      </c>
      <c r="BS62" s="12"/>
      <c r="BT62" s="7" t="s">
        <v>293</v>
      </c>
      <c r="BU62" s="7" t="s">
        <v>297</v>
      </c>
      <c r="BV62" s="1">
        <v>2</v>
      </c>
      <c r="BW62" s="1">
        <v>4</v>
      </c>
      <c r="BX62" s="12"/>
      <c r="BY62" s="7" t="s">
        <v>291</v>
      </c>
      <c r="BZ62" s="7" t="s">
        <v>296</v>
      </c>
      <c r="CA62" s="1">
        <v>1</v>
      </c>
      <c r="CB62" s="1">
        <v>6</v>
      </c>
      <c r="CC62" s="12"/>
      <c r="CD62" s="7" t="s">
        <v>298</v>
      </c>
      <c r="CE62" s="7" t="s">
        <v>296</v>
      </c>
      <c r="CF62" s="1">
        <v>3</v>
      </c>
      <c r="CG62" s="1">
        <v>6</v>
      </c>
      <c r="CH62" s="12"/>
      <c r="CI62" s="7" t="s">
        <v>298</v>
      </c>
      <c r="CJ62" s="7" t="s">
        <v>296</v>
      </c>
      <c r="CK62" s="1">
        <v>3</v>
      </c>
      <c r="CL62" s="1">
        <v>6</v>
      </c>
      <c r="CM62" s="12"/>
      <c r="CN62" s="7" t="s">
        <v>291</v>
      </c>
      <c r="CO62" s="7" t="s">
        <v>292</v>
      </c>
      <c r="CP62" s="1">
        <v>1</v>
      </c>
      <c r="CQ62" s="1">
        <v>5</v>
      </c>
      <c r="CR62" s="12"/>
      <c r="CS62" s="7" t="s">
        <v>299</v>
      </c>
      <c r="CT62" s="7" t="s">
        <v>292</v>
      </c>
      <c r="CU62" s="1">
        <v>4</v>
      </c>
      <c r="CV62" s="1">
        <v>5</v>
      </c>
      <c r="CW62" s="12"/>
      <c r="CX62" s="7" t="s">
        <v>291</v>
      </c>
      <c r="CY62" s="7" t="s">
        <v>292</v>
      </c>
      <c r="CZ62" s="1">
        <v>1</v>
      </c>
      <c r="DA62" s="1">
        <v>5</v>
      </c>
      <c r="DB62" s="12"/>
      <c r="DC62" s="7" t="s">
        <v>295</v>
      </c>
      <c r="DD62" s="7" t="s">
        <v>296</v>
      </c>
      <c r="DE62" s="1">
        <v>5</v>
      </c>
      <c r="DF62" s="1">
        <v>6</v>
      </c>
      <c r="DG62" s="12"/>
      <c r="DH62" s="7" t="s">
        <v>298</v>
      </c>
      <c r="DI62" s="7" t="s">
        <v>292</v>
      </c>
      <c r="DJ62" s="1">
        <v>3</v>
      </c>
      <c r="DK62" s="1">
        <v>5</v>
      </c>
      <c r="DL62" s="12"/>
      <c r="DM62" s="7" t="s">
        <v>291</v>
      </c>
      <c r="DN62" s="7" t="s">
        <v>292</v>
      </c>
      <c r="DO62" s="1">
        <v>1</v>
      </c>
      <c r="DP62" s="1">
        <v>5</v>
      </c>
      <c r="DQ62" s="12"/>
      <c r="DR62" s="7" t="s">
        <v>300</v>
      </c>
      <c r="DS62" s="7" t="s">
        <v>296</v>
      </c>
      <c r="DT62" s="1">
        <v>2</v>
      </c>
      <c r="DU62" s="1">
        <v>6</v>
      </c>
      <c r="DV62" s="12"/>
      <c r="DW62" s="7" t="s">
        <v>301</v>
      </c>
      <c r="DX62" s="7" t="s">
        <v>294</v>
      </c>
      <c r="DY62" s="1">
        <v>5</v>
      </c>
      <c r="DZ62" s="1">
        <v>7</v>
      </c>
      <c r="EA62" s="12"/>
      <c r="EB62" s="7" t="s">
        <v>291</v>
      </c>
      <c r="EC62" s="7" t="s">
        <v>294</v>
      </c>
      <c r="ED62" s="1">
        <v>1</v>
      </c>
      <c r="EE62" s="1">
        <v>7</v>
      </c>
      <c r="EF62" s="12"/>
      <c r="EG62" s="7" t="s">
        <v>300</v>
      </c>
      <c r="EH62" s="7" t="s">
        <v>292</v>
      </c>
      <c r="EI62" s="1">
        <v>2</v>
      </c>
      <c r="EJ62" s="1">
        <v>5</v>
      </c>
      <c r="EK62" s="12"/>
      <c r="EL62" s="7" t="s">
        <v>301</v>
      </c>
      <c r="EM62" s="7" t="s">
        <v>294</v>
      </c>
      <c r="EN62" s="1">
        <v>5</v>
      </c>
      <c r="EO62" s="1">
        <v>7</v>
      </c>
      <c r="EP62" s="12"/>
      <c r="EQ62" s="7" t="s">
        <v>291</v>
      </c>
      <c r="ER62" s="7" t="s">
        <v>292</v>
      </c>
      <c r="ES62" s="1">
        <v>1</v>
      </c>
      <c r="ET62" s="1">
        <v>5</v>
      </c>
      <c r="EU62" s="12"/>
      <c r="EV62" s="7" t="s">
        <v>300</v>
      </c>
      <c r="EW62" s="7" t="s">
        <v>292</v>
      </c>
      <c r="EX62" s="1">
        <v>2</v>
      </c>
      <c r="EY62" s="1">
        <v>5</v>
      </c>
      <c r="EZ62" s="12"/>
      <c r="FA62" s="7" t="s">
        <v>301</v>
      </c>
      <c r="FB62" s="7" t="s">
        <v>294</v>
      </c>
      <c r="FC62" s="1">
        <v>5</v>
      </c>
      <c r="FD62" s="1">
        <v>7</v>
      </c>
      <c r="FE62" s="12"/>
      <c r="FF62" s="7" t="s">
        <v>291</v>
      </c>
      <c r="FG62" s="7" t="s">
        <v>296</v>
      </c>
      <c r="FH62" s="1">
        <v>1</v>
      </c>
      <c r="FI62" s="1">
        <v>6</v>
      </c>
      <c r="FJ62" s="12"/>
      <c r="FK62" s="7" t="s">
        <v>300</v>
      </c>
      <c r="FL62" s="7" t="s">
        <v>294</v>
      </c>
      <c r="FM62" s="1">
        <v>2</v>
      </c>
      <c r="FN62" s="1">
        <v>7</v>
      </c>
      <c r="FO62" s="12"/>
      <c r="FP62" s="7" t="s">
        <v>301</v>
      </c>
      <c r="FQ62" s="7" t="s">
        <v>292</v>
      </c>
      <c r="FR62" s="1">
        <v>5</v>
      </c>
      <c r="FS62" s="1">
        <v>5</v>
      </c>
      <c r="FT62" s="10"/>
      <c r="FU62" s="7" t="s">
        <v>1021</v>
      </c>
      <c r="FV62" s="7" t="s">
        <v>1022</v>
      </c>
      <c r="FW62" s="7" t="s">
        <v>1023</v>
      </c>
      <c r="FX62" s="7" t="s">
        <v>1024</v>
      </c>
      <c r="FY62" s="7" t="s">
        <v>1025</v>
      </c>
      <c r="FZ62" s="7" t="s">
        <v>1026</v>
      </c>
      <c r="GA62" s="7" t="s">
        <v>1027</v>
      </c>
      <c r="GB62" s="7" t="s">
        <v>1028</v>
      </c>
      <c r="GC62" s="7" t="s">
        <v>1029</v>
      </c>
      <c r="GD62" s="7" t="s">
        <v>1030</v>
      </c>
      <c r="GE62" s="7" t="s">
        <v>282</v>
      </c>
      <c r="GF62" s="7" t="s">
        <v>282</v>
      </c>
      <c r="GG62" s="7" t="s">
        <v>356</v>
      </c>
      <c r="GH62" s="7" t="s">
        <v>313</v>
      </c>
    </row>
    <row r="63" spans="1:190" x14ac:dyDescent="0.2">
      <c r="A63">
        <v>61</v>
      </c>
      <c r="B63">
        <v>100</v>
      </c>
      <c r="C63">
        <v>1809</v>
      </c>
      <c r="D63" s="7" t="s">
        <v>280</v>
      </c>
      <c r="E63" s="7" t="s">
        <v>544</v>
      </c>
      <c r="F63" s="7" t="s">
        <v>375</v>
      </c>
      <c r="G63" s="4" t="s">
        <v>497</v>
      </c>
      <c r="H63" s="7" t="s">
        <v>288</v>
      </c>
      <c r="I63" s="1">
        <v>5</v>
      </c>
      <c r="J63" s="7" t="s">
        <v>289</v>
      </c>
      <c r="K63" s="1">
        <v>1</v>
      </c>
      <c r="L63" s="7" t="s">
        <v>289</v>
      </c>
      <c r="M63" s="1">
        <v>1</v>
      </c>
      <c r="N63" s="7" t="s">
        <v>289</v>
      </c>
      <c r="O63" s="1">
        <v>1</v>
      </c>
      <c r="P63" s="12"/>
      <c r="Q63" s="7" t="s">
        <v>298</v>
      </c>
      <c r="R63" s="7" t="s">
        <v>294</v>
      </c>
      <c r="S63" s="1">
        <v>3</v>
      </c>
      <c r="T63" s="1">
        <v>7</v>
      </c>
      <c r="U63" s="12"/>
      <c r="V63" s="7" t="s">
        <v>293</v>
      </c>
      <c r="W63" s="7" t="s">
        <v>296</v>
      </c>
      <c r="X63" s="1">
        <v>2</v>
      </c>
      <c r="Y63" s="1">
        <v>6</v>
      </c>
      <c r="Z63" s="12"/>
      <c r="AA63" s="7" t="s">
        <v>282</v>
      </c>
      <c r="AB63" s="7" t="s">
        <v>294</v>
      </c>
      <c r="AC63" s="4" t="s">
        <v>282</v>
      </c>
      <c r="AD63" s="1">
        <v>7</v>
      </c>
      <c r="AE63" s="12"/>
      <c r="AF63" s="7" t="s">
        <v>298</v>
      </c>
      <c r="AG63" s="7" t="s">
        <v>296</v>
      </c>
      <c r="AH63" s="1">
        <v>3</v>
      </c>
      <c r="AI63" s="1">
        <v>6</v>
      </c>
      <c r="AJ63" s="12"/>
      <c r="AK63" s="7" t="s">
        <v>298</v>
      </c>
      <c r="AL63" s="7" t="s">
        <v>292</v>
      </c>
      <c r="AM63" s="1">
        <v>3</v>
      </c>
      <c r="AN63" s="1">
        <v>5</v>
      </c>
      <c r="AO63" s="12"/>
      <c r="AP63" s="7" t="s">
        <v>298</v>
      </c>
      <c r="AQ63" s="7" t="s">
        <v>292</v>
      </c>
      <c r="AR63" s="1">
        <v>3</v>
      </c>
      <c r="AS63" s="1">
        <v>5</v>
      </c>
      <c r="AT63" s="12"/>
      <c r="AU63" s="7" t="s">
        <v>299</v>
      </c>
      <c r="AV63" s="7" t="s">
        <v>296</v>
      </c>
      <c r="AW63" s="1">
        <v>4</v>
      </c>
      <c r="AX63" s="1">
        <v>6</v>
      </c>
      <c r="AY63" s="12"/>
      <c r="AZ63" s="7" t="s">
        <v>291</v>
      </c>
      <c r="BA63" s="7" t="s">
        <v>294</v>
      </c>
      <c r="BB63" s="1">
        <v>1</v>
      </c>
      <c r="BC63" s="1">
        <v>7</v>
      </c>
      <c r="BD63" s="12"/>
      <c r="BE63" s="7" t="s">
        <v>298</v>
      </c>
      <c r="BF63" s="7" t="s">
        <v>292</v>
      </c>
      <c r="BG63" s="1">
        <v>3</v>
      </c>
      <c r="BH63" s="1">
        <v>5</v>
      </c>
      <c r="BI63" s="12"/>
      <c r="BJ63" s="7" t="s">
        <v>293</v>
      </c>
      <c r="BK63" s="7" t="s">
        <v>294</v>
      </c>
      <c r="BL63" s="1">
        <v>2</v>
      </c>
      <c r="BM63" s="1">
        <v>7</v>
      </c>
      <c r="BN63" s="12"/>
      <c r="BO63" s="7" t="s">
        <v>291</v>
      </c>
      <c r="BP63" s="7" t="s">
        <v>292</v>
      </c>
      <c r="BQ63" s="1">
        <v>1</v>
      </c>
      <c r="BR63" s="1">
        <v>5</v>
      </c>
      <c r="BS63" s="12"/>
      <c r="BT63" s="7" t="s">
        <v>293</v>
      </c>
      <c r="BU63" s="7" t="s">
        <v>292</v>
      </c>
      <c r="BV63" s="1">
        <v>2</v>
      </c>
      <c r="BW63" s="1">
        <v>5</v>
      </c>
      <c r="BX63" s="12"/>
      <c r="BY63" s="7" t="s">
        <v>282</v>
      </c>
      <c r="BZ63" s="7" t="s">
        <v>294</v>
      </c>
      <c r="CA63" s="4" t="s">
        <v>282</v>
      </c>
      <c r="CB63" s="1">
        <v>7</v>
      </c>
      <c r="CC63" s="12"/>
      <c r="CD63" s="7" t="s">
        <v>298</v>
      </c>
      <c r="CE63" s="7" t="s">
        <v>292</v>
      </c>
      <c r="CF63" s="1">
        <v>3</v>
      </c>
      <c r="CG63" s="1">
        <v>5</v>
      </c>
      <c r="CH63" s="12"/>
      <c r="CI63" s="7" t="s">
        <v>291</v>
      </c>
      <c r="CJ63" s="7" t="s">
        <v>292</v>
      </c>
      <c r="CK63" s="1">
        <v>1</v>
      </c>
      <c r="CL63" s="1">
        <v>5</v>
      </c>
      <c r="CM63" s="12"/>
      <c r="CN63" s="7" t="s">
        <v>295</v>
      </c>
      <c r="CO63" s="7" t="s">
        <v>292</v>
      </c>
      <c r="CP63" s="1">
        <v>5</v>
      </c>
      <c r="CQ63" s="1">
        <v>5</v>
      </c>
      <c r="CR63" s="12"/>
      <c r="CS63" s="7" t="s">
        <v>299</v>
      </c>
      <c r="CT63" s="7" t="s">
        <v>294</v>
      </c>
      <c r="CU63" s="1">
        <v>4</v>
      </c>
      <c r="CV63" s="1">
        <v>7</v>
      </c>
      <c r="CW63" s="12"/>
      <c r="CX63" s="7" t="s">
        <v>282</v>
      </c>
      <c r="CY63" s="7" t="s">
        <v>292</v>
      </c>
      <c r="CZ63" s="4" t="s">
        <v>282</v>
      </c>
      <c r="DA63" s="1">
        <v>5</v>
      </c>
      <c r="DB63" s="12"/>
      <c r="DC63" s="7" t="s">
        <v>291</v>
      </c>
      <c r="DD63" s="7" t="s">
        <v>296</v>
      </c>
      <c r="DE63" s="1">
        <v>1</v>
      </c>
      <c r="DF63" s="1">
        <v>6</v>
      </c>
      <c r="DG63" s="12"/>
      <c r="DH63" s="7" t="s">
        <v>291</v>
      </c>
      <c r="DI63" s="7" t="s">
        <v>296</v>
      </c>
      <c r="DJ63" s="1">
        <v>1</v>
      </c>
      <c r="DK63" s="1">
        <v>6</v>
      </c>
      <c r="DL63" s="12"/>
      <c r="DM63" s="7" t="s">
        <v>301</v>
      </c>
      <c r="DN63" s="7" t="s">
        <v>292</v>
      </c>
      <c r="DO63" s="1">
        <v>5</v>
      </c>
      <c r="DP63" s="1">
        <v>5</v>
      </c>
      <c r="DQ63" s="12"/>
      <c r="DR63" s="7" t="s">
        <v>300</v>
      </c>
      <c r="DS63" s="7" t="s">
        <v>296</v>
      </c>
      <c r="DT63" s="1">
        <v>2</v>
      </c>
      <c r="DU63" s="1">
        <v>6</v>
      </c>
      <c r="DV63" s="12"/>
      <c r="DW63" s="7" t="s">
        <v>282</v>
      </c>
      <c r="DX63" s="7" t="s">
        <v>292</v>
      </c>
      <c r="DY63" s="4" t="s">
        <v>282</v>
      </c>
      <c r="DZ63" s="1">
        <v>5</v>
      </c>
      <c r="EA63" s="12"/>
      <c r="EB63" s="7" t="s">
        <v>291</v>
      </c>
      <c r="EC63" s="7" t="s">
        <v>296</v>
      </c>
      <c r="ED63" s="1">
        <v>1</v>
      </c>
      <c r="EE63" s="1">
        <v>6</v>
      </c>
      <c r="EF63" s="12"/>
      <c r="EG63" s="7" t="s">
        <v>282</v>
      </c>
      <c r="EH63" s="7" t="s">
        <v>296</v>
      </c>
      <c r="EI63" s="4" t="s">
        <v>282</v>
      </c>
      <c r="EJ63" s="1">
        <v>6</v>
      </c>
      <c r="EK63" s="12"/>
      <c r="EL63" s="7" t="s">
        <v>300</v>
      </c>
      <c r="EM63" s="7" t="s">
        <v>292</v>
      </c>
      <c r="EN63" s="1">
        <v>2</v>
      </c>
      <c r="EO63" s="1">
        <v>5</v>
      </c>
      <c r="EP63" s="12"/>
      <c r="EQ63" s="7" t="s">
        <v>291</v>
      </c>
      <c r="ER63" s="7" t="s">
        <v>296</v>
      </c>
      <c r="ES63" s="1">
        <v>1</v>
      </c>
      <c r="ET63" s="1">
        <v>6</v>
      </c>
      <c r="EU63" s="12"/>
      <c r="EV63" s="7" t="s">
        <v>300</v>
      </c>
      <c r="EW63" s="7" t="s">
        <v>292</v>
      </c>
      <c r="EX63" s="1">
        <v>2</v>
      </c>
      <c r="EY63" s="1">
        <v>5</v>
      </c>
      <c r="EZ63" s="12"/>
      <c r="FA63" s="7" t="s">
        <v>300</v>
      </c>
      <c r="FB63" s="7" t="s">
        <v>296</v>
      </c>
      <c r="FC63" s="1">
        <v>2</v>
      </c>
      <c r="FD63" s="1">
        <v>6</v>
      </c>
      <c r="FE63" s="12"/>
      <c r="FF63" s="7" t="s">
        <v>291</v>
      </c>
      <c r="FG63" s="7" t="s">
        <v>296</v>
      </c>
      <c r="FH63" s="1">
        <v>1</v>
      </c>
      <c r="FI63" s="1">
        <v>6</v>
      </c>
      <c r="FJ63" s="12"/>
      <c r="FK63" s="7" t="s">
        <v>300</v>
      </c>
      <c r="FL63" s="7" t="s">
        <v>296</v>
      </c>
      <c r="FM63" s="1">
        <v>2</v>
      </c>
      <c r="FN63" s="1">
        <v>6</v>
      </c>
      <c r="FO63" s="12"/>
      <c r="FP63" s="7" t="s">
        <v>282</v>
      </c>
      <c r="FQ63" s="7" t="s">
        <v>296</v>
      </c>
      <c r="FR63" s="4" t="s">
        <v>282</v>
      </c>
      <c r="FS63" s="1">
        <v>6</v>
      </c>
      <c r="FT63" s="10"/>
      <c r="FU63" s="7" t="s">
        <v>1033</v>
      </c>
      <c r="FV63" s="7" t="s">
        <v>1034</v>
      </c>
      <c r="FW63" s="7" t="s">
        <v>1035</v>
      </c>
      <c r="FX63" s="7" t="s">
        <v>1036</v>
      </c>
      <c r="FY63" s="7" t="s">
        <v>1037</v>
      </c>
      <c r="FZ63" s="7" t="s">
        <v>1038</v>
      </c>
      <c r="GA63" s="7" t="s">
        <v>1039</v>
      </c>
      <c r="GB63" s="7" t="s">
        <v>434</v>
      </c>
      <c r="GC63" s="7" t="s">
        <v>1040</v>
      </c>
      <c r="GD63" s="7" t="s">
        <v>1041</v>
      </c>
      <c r="GE63" s="7" t="s">
        <v>282</v>
      </c>
      <c r="GF63" s="7" t="s">
        <v>282</v>
      </c>
      <c r="GG63" s="7" t="s">
        <v>372</v>
      </c>
      <c r="GH63" s="7" t="s">
        <v>325</v>
      </c>
    </row>
    <row r="64" spans="1:190" x14ac:dyDescent="0.2">
      <c r="A64">
        <v>62</v>
      </c>
      <c r="B64">
        <v>100</v>
      </c>
      <c r="C64">
        <v>924</v>
      </c>
      <c r="D64" s="7" t="s">
        <v>280</v>
      </c>
      <c r="E64" s="7" t="s">
        <v>905</v>
      </c>
      <c r="F64" s="7" t="s">
        <v>1044</v>
      </c>
      <c r="G64" s="4" t="s">
        <v>1298</v>
      </c>
      <c r="H64" s="7" t="s">
        <v>288</v>
      </c>
      <c r="I64" s="1">
        <v>5</v>
      </c>
      <c r="J64" s="7" t="s">
        <v>288</v>
      </c>
      <c r="K64" s="1">
        <v>5</v>
      </c>
      <c r="L64" s="7" t="s">
        <v>289</v>
      </c>
      <c r="M64" s="1">
        <v>1</v>
      </c>
      <c r="N64" s="7" t="s">
        <v>289</v>
      </c>
      <c r="O64" s="1">
        <v>1</v>
      </c>
      <c r="P64" s="12"/>
      <c r="Q64" s="7" t="s">
        <v>291</v>
      </c>
      <c r="R64" s="7" t="s">
        <v>294</v>
      </c>
      <c r="S64" s="1">
        <v>1</v>
      </c>
      <c r="T64" s="1">
        <v>7</v>
      </c>
      <c r="U64" s="12"/>
      <c r="V64" s="7" t="s">
        <v>299</v>
      </c>
      <c r="W64" s="7" t="s">
        <v>296</v>
      </c>
      <c r="X64" s="1">
        <v>4</v>
      </c>
      <c r="Y64" s="1">
        <v>6</v>
      </c>
      <c r="Z64" s="12"/>
      <c r="AA64" s="7" t="s">
        <v>299</v>
      </c>
      <c r="AB64" s="7" t="s">
        <v>296</v>
      </c>
      <c r="AC64" s="1">
        <v>4</v>
      </c>
      <c r="AD64" s="1">
        <v>6</v>
      </c>
      <c r="AE64" s="12"/>
      <c r="AF64" s="7" t="s">
        <v>295</v>
      </c>
      <c r="AG64" s="7" t="s">
        <v>296</v>
      </c>
      <c r="AH64" s="1">
        <v>5</v>
      </c>
      <c r="AI64" s="1">
        <v>6</v>
      </c>
      <c r="AJ64" s="12"/>
      <c r="AK64" s="7" t="s">
        <v>295</v>
      </c>
      <c r="AL64" s="7" t="s">
        <v>297</v>
      </c>
      <c r="AM64" s="1">
        <v>5</v>
      </c>
      <c r="AN64" s="1">
        <v>4</v>
      </c>
      <c r="AO64" s="12"/>
      <c r="AP64" s="7" t="s">
        <v>291</v>
      </c>
      <c r="AQ64" s="7" t="s">
        <v>292</v>
      </c>
      <c r="AR64" s="1">
        <v>1</v>
      </c>
      <c r="AS64" s="1">
        <v>5</v>
      </c>
      <c r="AT64" s="12"/>
      <c r="AU64" s="7" t="s">
        <v>293</v>
      </c>
      <c r="AV64" s="7" t="s">
        <v>296</v>
      </c>
      <c r="AW64" s="1">
        <v>2</v>
      </c>
      <c r="AX64" s="1">
        <v>6</v>
      </c>
      <c r="AY64" s="12"/>
      <c r="AZ64" s="7" t="s">
        <v>293</v>
      </c>
      <c r="BA64" s="7" t="s">
        <v>292</v>
      </c>
      <c r="BB64" s="1">
        <v>2</v>
      </c>
      <c r="BC64" s="1">
        <v>5</v>
      </c>
      <c r="BD64" s="12"/>
      <c r="BE64" s="7" t="s">
        <v>295</v>
      </c>
      <c r="BF64" s="7" t="s">
        <v>292</v>
      </c>
      <c r="BG64" s="1">
        <v>5</v>
      </c>
      <c r="BH64" s="1">
        <v>5</v>
      </c>
      <c r="BI64" s="12"/>
      <c r="BJ64" s="7" t="s">
        <v>298</v>
      </c>
      <c r="BK64" s="7" t="s">
        <v>294</v>
      </c>
      <c r="BL64" s="1">
        <v>3</v>
      </c>
      <c r="BM64" s="1">
        <v>7</v>
      </c>
      <c r="BN64" s="12"/>
      <c r="BO64" s="7" t="s">
        <v>291</v>
      </c>
      <c r="BP64" s="7" t="s">
        <v>296</v>
      </c>
      <c r="BQ64" s="1">
        <v>1</v>
      </c>
      <c r="BR64" s="1">
        <v>6</v>
      </c>
      <c r="BS64" s="12"/>
      <c r="BT64" s="7" t="s">
        <v>299</v>
      </c>
      <c r="BU64" s="7" t="s">
        <v>294</v>
      </c>
      <c r="BV64" s="1">
        <v>4</v>
      </c>
      <c r="BW64" s="1">
        <v>7</v>
      </c>
      <c r="BX64" s="12"/>
      <c r="BY64" s="7" t="s">
        <v>293</v>
      </c>
      <c r="BZ64" s="7" t="s">
        <v>294</v>
      </c>
      <c r="CA64" s="1">
        <v>2</v>
      </c>
      <c r="CB64" s="1">
        <v>7</v>
      </c>
      <c r="CC64" s="12"/>
      <c r="CD64" s="7" t="s">
        <v>295</v>
      </c>
      <c r="CE64" s="7" t="s">
        <v>294</v>
      </c>
      <c r="CF64" s="1">
        <v>5</v>
      </c>
      <c r="CG64" s="1">
        <v>7</v>
      </c>
      <c r="CH64" s="12"/>
      <c r="CI64" s="7" t="s">
        <v>298</v>
      </c>
      <c r="CJ64" s="7" t="s">
        <v>294</v>
      </c>
      <c r="CK64" s="1">
        <v>3</v>
      </c>
      <c r="CL64" s="1">
        <v>7</v>
      </c>
      <c r="CM64" s="12"/>
      <c r="CN64" s="7" t="s">
        <v>291</v>
      </c>
      <c r="CO64" s="7" t="s">
        <v>296</v>
      </c>
      <c r="CP64" s="1">
        <v>1</v>
      </c>
      <c r="CQ64" s="1">
        <v>6</v>
      </c>
      <c r="CR64" s="12"/>
      <c r="CS64" s="7" t="s">
        <v>299</v>
      </c>
      <c r="CT64" s="7" t="s">
        <v>296</v>
      </c>
      <c r="CU64" s="1">
        <v>4</v>
      </c>
      <c r="CV64" s="1">
        <v>6</v>
      </c>
      <c r="CW64" s="12"/>
      <c r="CX64" s="7" t="s">
        <v>291</v>
      </c>
      <c r="CY64" s="7" t="s">
        <v>292</v>
      </c>
      <c r="CZ64" s="1">
        <v>1</v>
      </c>
      <c r="DA64" s="1">
        <v>5</v>
      </c>
      <c r="DB64" s="12"/>
      <c r="DC64" s="7" t="s">
        <v>298</v>
      </c>
      <c r="DD64" s="7" t="s">
        <v>292</v>
      </c>
      <c r="DE64" s="1">
        <v>3</v>
      </c>
      <c r="DF64" s="1">
        <v>5</v>
      </c>
      <c r="DG64" s="12"/>
      <c r="DH64" s="7" t="s">
        <v>298</v>
      </c>
      <c r="DI64" s="7" t="s">
        <v>294</v>
      </c>
      <c r="DJ64" s="1">
        <v>3</v>
      </c>
      <c r="DK64" s="1">
        <v>7</v>
      </c>
      <c r="DL64" s="12"/>
      <c r="DM64" s="7" t="s">
        <v>291</v>
      </c>
      <c r="DN64" s="7" t="s">
        <v>294</v>
      </c>
      <c r="DO64" s="1">
        <v>1</v>
      </c>
      <c r="DP64" s="1">
        <v>7</v>
      </c>
      <c r="DQ64" s="12"/>
      <c r="DR64" s="7" t="s">
        <v>300</v>
      </c>
      <c r="DS64" s="7" t="s">
        <v>294</v>
      </c>
      <c r="DT64" s="1">
        <v>2</v>
      </c>
      <c r="DU64" s="1">
        <v>7</v>
      </c>
      <c r="DV64" s="12"/>
      <c r="DW64" s="7" t="s">
        <v>301</v>
      </c>
      <c r="DX64" s="7" t="s">
        <v>294</v>
      </c>
      <c r="DY64" s="1">
        <v>5</v>
      </c>
      <c r="DZ64" s="1">
        <v>7</v>
      </c>
      <c r="EA64" s="12"/>
      <c r="EB64" s="7" t="s">
        <v>291</v>
      </c>
      <c r="EC64" s="7" t="s">
        <v>294</v>
      </c>
      <c r="ED64" s="1">
        <v>1</v>
      </c>
      <c r="EE64" s="1">
        <v>7</v>
      </c>
      <c r="EF64" s="12"/>
      <c r="EG64" s="7" t="s">
        <v>300</v>
      </c>
      <c r="EH64" s="7" t="s">
        <v>294</v>
      </c>
      <c r="EI64" s="1">
        <v>2</v>
      </c>
      <c r="EJ64" s="1">
        <v>7</v>
      </c>
      <c r="EK64" s="12"/>
      <c r="EL64" s="7" t="s">
        <v>301</v>
      </c>
      <c r="EM64" s="7" t="s">
        <v>294</v>
      </c>
      <c r="EN64" s="1">
        <v>5</v>
      </c>
      <c r="EO64" s="1">
        <v>7</v>
      </c>
      <c r="EP64" s="12"/>
      <c r="EQ64" s="7" t="s">
        <v>291</v>
      </c>
      <c r="ER64" s="7" t="s">
        <v>294</v>
      </c>
      <c r="ES64" s="1">
        <v>1</v>
      </c>
      <c r="ET64" s="1">
        <v>7</v>
      </c>
      <c r="EU64" s="12"/>
      <c r="EV64" s="7" t="s">
        <v>300</v>
      </c>
      <c r="EW64" s="7" t="s">
        <v>294</v>
      </c>
      <c r="EX64" s="1">
        <v>2</v>
      </c>
      <c r="EY64" s="1">
        <v>7</v>
      </c>
      <c r="EZ64" s="12"/>
      <c r="FA64" s="7" t="s">
        <v>301</v>
      </c>
      <c r="FB64" s="7" t="s">
        <v>294</v>
      </c>
      <c r="FC64" s="1">
        <v>5</v>
      </c>
      <c r="FD64" s="1">
        <v>7</v>
      </c>
      <c r="FE64" s="12"/>
      <c r="FF64" s="7" t="s">
        <v>291</v>
      </c>
      <c r="FG64" s="7" t="s">
        <v>294</v>
      </c>
      <c r="FH64" s="1">
        <v>1</v>
      </c>
      <c r="FI64" s="1">
        <v>7</v>
      </c>
      <c r="FJ64" s="12"/>
      <c r="FK64" s="7" t="s">
        <v>300</v>
      </c>
      <c r="FL64" s="7" t="s">
        <v>294</v>
      </c>
      <c r="FM64" s="1">
        <v>2</v>
      </c>
      <c r="FN64" s="1">
        <v>7</v>
      </c>
      <c r="FO64" s="12"/>
      <c r="FP64" s="7" t="s">
        <v>291</v>
      </c>
      <c r="FQ64" s="7" t="s">
        <v>294</v>
      </c>
      <c r="FR64" s="1">
        <v>1</v>
      </c>
      <c r="FS64" s="1">
        <v>7</v>
      </c>
      <c r="FT64" s="10"/>
      <c r="FU64" s="7" t="s">
        <v>1045</v>
      </c>
      <c r="FV64" s="7" t="s">
        <v>1046</v>
      </c>
      <c r="FW64" s="7" t="s">
        <v>1047</v>
      </c>
      <c r="FX64" s="7" t="s">
        <v>1048</v>
      </c>
      <c r="FY64" s="7" t="s">
        <v>1049</v>
      </c>
      <c r="FZ64" s="7" t="s">
        <v>1050</v>
      </c>
      <c r="GA64" s="7" t="s">
        <v>1051</v>
      </c>
      <c r="GB64" s="7" t="s">
        <v>1052</v>
      </c>
      <c r="GC64" s="7" t="s">
        <v>1053</v>
      </c>
      <c r="GD64" s="7" t="s">
        <v>1054</v>
      </c>
      <c r="GE64" s="7" t="s">
        <v>282</v>
      </c>
      <c r="GF64" s="7" t="s">
        <v>282</v>
      </c>
      <c r="GG64" s="7" t="s">
        <v>372</v>
      </c>
      <c r="GH64" s="7" t="s">
        <v>325</v>
      </c>
    </row>
    <row r="65" spans="1:190" x14ac:dyDescent="0.2">
      <c r="A65">
        <v>63</v>
      </c>
      <c r="B65">
        <v>100</v>
      </c>
      <c r="C65">
        <v>1072</v>
      </c>
      <c r="D65" s="7" t="s">
        <v>280</v>
      </c>
      <c r="E65" s="7" t="s">
        <v>412</v>
      </c>
      <c r="F65" s="7" t="s">
        <v>375</v>
      </c>
      <c r="G65" s="4" t="s">
        <v>497</v>
      </c>
      <c r="H65" s="7" t="s">
        <v>288</v>
      </c>
      <c r="I65" s="1">
        <v>5</v>
      </c>
      <c r="J65" s="7" t="s">
        <v>317</v>
      </c>
      <c r="K65" s="1">
        <v>2</v>
      </c>
      <c r="L65" s="7" t="s">
        <v>317</v>
      </c>
      <c r="M65" s="1">
        <v>2</v>
      </c>
      <c r="N65" s="7" t="s">
        <v>317</v>
      </c>
      <c r="O65" s="1">
        <v>2</v>
      </c>
      <c r="P65" s="12"/>
      <c r="Q65" s="7" t="s">
        <v>291</v>
      </c>
      <c r="R65" s="7" t="s">
        <v>296</v>
      </c>
      <c r="S65" s="1">
        <v>1</v>
      </c>
      <c r="T65" s="1">
        <v>6</v>
      </c>
      <c r="U65" s="12"/>
      <c r="V65" s="7" t="s">
        <v>293</v>
      </c>
      <c r="W65" s="7" t="s">
        <v>296</v>
      </c>
      <c r="X65" s="1">
        <v>2</v>
      </c>
      <c r="Y65" s="1">
        <v>6</v>
      </c>
      <c r="Z65" s="12"/>
      <c r="AA65" s="7" t="s">
        <v>293</v>
      </c>
      <c r="AB65" s="7" t="s">
        <v>296</v>
      </c>
      <c r="AC65" s="1">
        <v>2</v>
      </c>
      <c r="AD65" s="1">
        <v>6</v>
      </c>
      <c r="AE65" s="12"/>
      <c r="AF65" s="7" t="s">
        <v>295</v>
      </c>
      <c r="AG65" s="7" t="s">
        <v>296</v>
      </c>
      <c r="AH65" s="1">
        <v>5</v>
      </c>
      <c r="AI65" s="1">
        <v>6</v>
      </c>
      <c r="AJ65" s="12"/>
      <c r="AK65" s="7" t="s">
        <v>295</v>
      </c>
      <c r="AL65" s="7" t="s">
        <v>292</v>
      </c>
      <c r="AM65" s="1">
        <v>5</v>
      </c>
      <c r="AN65" s="1">
        <v>5</v>
      </c>
      <c r="AO65" s="12"/>
      <c r="AP65" s="7" t="s">
        <v>291</v>
      </c>
      <c r="AQ65" s="7" t="s">
        <v>292</v>
      </c>
      <c r="AR65" s="1">
        <v>1</v>
      </c>
      <c r="AS65" s="1">
        <v>5</v>
      </c>
      <c r="AT65" s="12"/>
      <c r="AU65" s="7" t="s">
        <v>293</v>
      </c>
      <c r="AV65" s="7" t="s">
        <v>294</v>
      </c>
      <c r="AW65" s="1">
        <v>2</v>
      </c>
      <c r="AX65" s="1">
        <v>7</v>
      </c>
      <c r="AY65" s="12"/>
      <c r="AZ65" s="7" t="s">
        <v>299</v>
      </c>
      <c r="BA65" s="7" t="s">
        <v>292</v>
      </c>
      <c r="BB65" s="1">
        <v>4</v>
      </c>
      <c r="BC65" s="1">
        <v>5</v>
      </c>
      <c r="BD65" s="12"/>
      <c r="BE65" s="7" t="s">
        <v>295</v>
      </c>
      <c r="BF65" s="7" t="s">
        <v>296</v>
      </c>
      <c r="BG65" s="1">
        <v>5</v>
      </c>
      <c r="BH65" s="1">
        <v>6</v>
      </c>
      <c r="BI65" s="12"/>
      <c r="BJ65" s="7" t="s">
        <v>298</v>
      </c>
      <c r="BK65" s="7" t="s">
        <v>296</v>
      </c>
      <c r="BL65" s="1">
        <v>3</v>
      </c>
      <c r="BM65" s="1">
        <v>6</v>
      </c>
      <c r="BN65" s="12"/>
      <c r="BO65" s="7" t="s">
        <v>291</v>
      </c>
      <c r="BP65" s="7" t="s">
        <v>296</v>
      </c>
      <c r="BQ65" s="1">
        <v>1</v>
      </c>
      <c r="BR65" s="1">
        <v>6</v>
      </c>
      <c r="BS65" s="12"/>
      <c r="BT65" s="7" t="s">
        <v>293</v>
      </c>
      <c r="BU65" s="7" t="s">
        <v>296</v>
      </c>
      <c r="BV65" s="1">
        <v>2</v>
      </c>
      <c r="BW65" s="1">
        <v>6</v>
      </c>
      <c r="BX65" s="12"/>
      <c r="BY65" s="7" t="s">
        <v>282</v>
      </c>
      <c r="BZ65" s="7" t="s">
        <v>297</v>
      </c>
      <c r="CA65" s="4" t="s">
        <v>282</v>
      </c>
      <c r="CB65" s="1">
        <v>4</v>
      </c>
      <c r="CC65" s="12"/>
      <c r="CD65" s="7" t="s">
        <v>295</v>
      </c>
      <c r="CE65" s="7" t="s">
        <v>292</v>
      </c>
      <c r="CF65" s="1">
        <v>5</v>
      </c>
      <c r="CG65" s="1">
        <v>5</v>
      </c>
      <c r="CH65" s="12"/>
      <c r="CI65" s="7" t="s">
        <v>298</v>
      </c>
      <c r="CJ65" s="7" t="s">
        <v>296</v>
      </c>
      <c r="CK65" s="1">
        <v>3</v>
      </c>
      <c r="CL65" s="1">
        <v>6</v>
      </c>
      <c r="CM65" s="12"/>
      <c r="CN65" s="7" t="s">
        <v>291</v>
      </c>
      <c r="CO65" s="7" t="s">
        <v>296</v>
      </c>
      <c r="CP65" s="1">
        <v>1</v>
      </c>
      <c r="CQ65" s="1">
        <v>6</v>
      </c>
      <c r="CR65" s="12"/>
      <c r="CS65" s="7" t="s">
        <v>293</v>
      </c>
      <c r="CT65" s="7" t="s">
        <v>294</v>
      </c>
      <c r="CU65" s="1">
        <v>2</v>
      </c>
      <c r="CV65" s="1">
        <v>7</v>
      </c>
      <c r="CW65" s="12"/>
      <c r="CX65" s="7" t="s">
        <v>299</v>
      </c>
      <c r="CY65" s="7" t="s">
        <v>297</v>
      </c>
      <c r="CZ65" s="1">
        <v>4</v>
      </c>
      <c r="DA65" s="1">
        <v>4</v>
      </c>
      <c r="DB65" s="12"/>
      <c r="DC65" s="7" t="s">
        <v>295</v>
      </c>
      <c r="DD65" s="7" t="s">
        <v>292</v>
      </c>
      <c r="DE65" s="1">
        <v>5</v>
      </c>
      <c r="DF65" s="1">
        <v>5</v>
      </c>
      <c r="DG65" s="12"/>
      <c r="DH65" s="7" t="s">
        <v>291</v>
      </c>
      <c r="DI65" s="7" t="s">
        <v>292</v>
      </c>
      <c r="DJ65" s="1">
        <v>1</v>
      </c>
      <c r="DK65" s="1">
        <v>5</v>
      </c>
      <c r="DL65" s="12"/>
      <c r="DM65" s="7" t="s">
        <v>291</v>
      </c>
      <c r="DN65" s="7" t="s">
        <v>292</v>
      </c>
      <c r="DO65" s="1">
        <v>1</v>
      </c>
      <c r="DP65" s="1">
        <v>5</v>
      </c>
      <c r="DQ65" s="12"/>
      <c r="DR65" s="7" t="s">
        <v>300</v>
      </c>
      <c r="DS65" s="7" t="s">
        <v>296</v>
      </c>
      <c r="DT65" s="1">
        <v>2</v>
      </c>
      <c r="DU65" s="1">
        <v>6</v>
      </c>
      <c r="DV65" s="12"/>
      <c r="DW65" s="7" t="s">
        <v>301</v>
      </c>
      <c r="DX65" s="7" t="s">
        <v>294</v>
      </c>
      <c r="DY65" s="1">
        <v>5</v>
      </c>
      <c r="DZ65" s="1">
        <v>7</v>
      </c>
      <c r="EA65" s="12"/>
      <c r="EB65" s="7" t="s">
        <v>291</v>
      </c>
      <c r="EC65" s="7" t="s">
        <v>294</v>
      </c>
      <c r="ED65" s="1">
        <v>1</v>
      </c>
      <c r="EE65" s="1">
        <v>7</v>
      </c>
      <c r="EF65" s="12"/>
      <c r="EG65" s="7" t="s">
        <v>300</v>
      </c>
      <c r="EH65" s="7" t="s">
        <v>296</v>
      </c>
      <c r="EI65" s="1">
        <v>2</v>
      </c>
      <c r="EJ65" s="1">
        <v>6</v>
      </c>
      <c r="EK65" s="12"/>
      <c r="EL65" s="7" t="s">
        <v>301</v>
      </c>
      <c r="EM65" s="7" t="s">
        <v>294</v>
      </c>
      <c r="EN65" s="1">
        <v>5</v>
      </c>
      <c r="EO65" s="1">
        <v>7</v>
      </c>
      <c r="EP65" s="12"/>
      <c r="EQ65" s="7" t="s">
        <v>291</v>
      </c>
      <c r="ER65" s="7" t="s">
        <v>296</v>
      </c>
      <c r="ES65" s="1">
        <v>1</v>
      </c>
      <c r="ET65" s="1">
        <v>6</v>
      </c>
      <c r="EU65" s="12"/>
      <c r="EV65" s="7" t="s">
        <v>300</v>
      </c>
      <c r="EW65" s="7" t="s">
        <v>296</v>
      </c>
      <c r="EX65" s="1">
        <v>2</v>
      </c>
      <c r="EY65" s="1">
        <v>6</v>
      </c>
      <c r="EZ65" s="12"/>
      <c r="FA65" s="7" t="s">
        <v>301</v>
      </c>
      <c r="FB65" s="7" t="s">
        <v>296</v>
      </c>
      <c r="FC65" s="1">
        <v>5</v>
      </c>
      <c r="FD65" s="1">
        <v>6</v>
      </c>
      <c r="FE65" s="12"/>
      <c r="FF65" s="7" t="s">
        <v>291</v>
      </c>
      <c r="FG65" s="7" t="s">
        <v>292</v>
      </c>
      <c r="FH65" s="1">
        <v>1</v>
      </c>
      <c r="FI65" s="1">
        <v>5</v>
      </c>
      <c r="FJ65" s="12"/>
      <c r="FK65" s="7" t="s">
        <v>300</v>
      </c>
      <c r="FL65" s="7" t="s">
        <v>296</v>
      </c>
      <c r="FM65" s="1">
        <v>2</v>
      </c>
      <c r="FN65" s="1">
        <v>6</v>
      </c>
      <c r="FO65" s="12"/>
      <c r="FP65" s="7" t="s">
        <v>301</v>
      </c>
      <c r="FQ65" s="7" t="s">
        <v>296</v>
      </c>
      <c r="FR65" s="1">
        <v>5</v>
      </c>
      <c r="FS65" s="1">
        <v>6</v>
      </c>
      <c r="FT65" s="10"/>
      <c r="FU65" s="7" t="s">
        <v>1057</v>
      </c>
      <c r="FV65" s="7" t="s">
        <v>1058</v>
      </c>
      <c r="FW65" s="7" t="s">
        <v>1059</v>
      </c>
      <c r="FX65" s="7" t="s">
        <v>1058</v>
      </c>
      <c r="FY65" s="7" t="s">
        <v>1060</v>
      </c>
      <c r="FZ65" s="7" t="s">
        <v>1061</v>
      </c>
      <c r="GA65" s="7" t="s">
        <v>1062</v>
      </c>
      <c r="GB65" s="7" t="s">
        <v>1058</v>
      </c>
      <c r="GC65" s="7" t="s">
        <v>1063</v>
      </c>
      <c r="GD65" s="7" t="s">
        <v>1058</v>
      </c>
      <c r="GE65" s="7" t="s">
        <v>1064</v>
      </c>
      <c r="GF65" s="7" t="s">
        <v>1065</v>
      </c>
      <c r="GG65" s="7" t="s">
        <v>356</v>
      </c>
      <c r="GH65" s="7" t="s">
        <v>313</v>
      </c>
    </row>
    <row r="66" spans="1:190" x14ac:dyDescent="0.2">
      <c r="A66">
        <v>64</v>
      </c>
      <c r="B66">
        <v>100</v>
      </c>
      <c r="C66">
        <v>1522</v>
      </c>
      <c r="D66" s="7" t="s">
        <v>280</v>
      </c>
      <c r="E66" s="7" t="s">
        <v>544</v>
      </c>
      <c r="F66" s="7" t="s">
        <v>1067</v>
      </c>
      <c r="G66" s="4" t="s">
        <v>1299</v>
      </c>
      <c r="H66" s="7" t="s">
        <v>288</v>
      </c>
      <c r="I66" s="1">
        <v>5</v>
      </c>
      <c r="J66" s="7" t="s">
        <v>289</v>
      </c>
      <c r="K66" s="1">
        <v>1</v>
      </c>
      <c r="L66" s="7" t="s">
        <v>317</v>
      </c>
      <c r="M66" s="1">
        <v>2</v>
      </c>
      <c r="N66" s="7" t="s">
        <v>317</v>
      </c>
      <c r="O66" s="1">
        <v>2</v>
      </c>
      <c r="P66" s="12"/>
      <c r="Q66" s="7" t="s">
        <v>291</v>
      </c>
      <c r="R66" s="7" t="s">
        <v>292</v>
      </c>
      <c r="S66" s="1">
        <v>1</v>
      </c>
      <c r="T66" s="1">
        <v>5</v>
      </c>
      <c r="U66" s="12"/>
      <c r="V66" s="7" t="s">
        <v>299</v>
      </c>
      <c r="W66" s="7" t="s">
        <v>292</v>
      </c>
      <c r="X66" s="1">
        <v>4</v>
      </c>
      <c r="Y66" s="1">
        <v>5</v>
      </c>
      <c r="Z66" s="12"/>
      <c r="AA66" s="7" t="s">
        <v>299</v>
      </c>
      <c r="AB66" s="7" t="s">
        <v>296</v>
      </c>
      <c r="AC66" s="1">
        <v>4</v>
      </c>
      <c r="AD66" s="1">
        <v>6</v>
      </c>
      <c r="AE66" s="12"/>
      <c r="AF66" s="7" t="s">
        <v>295</v>
      </c>
      <c r="AG66" s="7" t="s">
        <v>292</v>
      </c>
      <c r="AH66" s="1">
        <v>5</v>
      </c>
      <c r="AI66" s="1">
        <v>5</v>
      </c>
      <c r="AJ66" s="12"/>
      <c r="AK66" s="7" t="s">
        <v>295</v>
      </c>
      <c r="AL66" s="7" t="s">
        <v>296</v>
      </c>
      <c r="AM66" s="1">
        <v>5</v>
      </c>
      <c r="AN66" s="1">
        <v>6</v>
      </c>
      <c r="AO66" s="12"/>
      <c r="AP66" s="7" t="s">
        <v>291</v>
      </c>
      <c r="AQ66" s="7" t="s">
        <v>292</v>
      </c>
      <c r="AR66" s="1">
        <v>1</v>
      </c>
      <c r="AS66" s="1">
        <v>5</v>
      </c>
      <c r="AT66" s="12"/>
      <c r="AU66" s="7" t="s">
        <v>293</v>
      </c>
      <c r="AV66" s="7" t="s">
        <v>297</v>
      </c>
      <c r="AW66" s="1">
        <v>2</v>
      </c>
      <c r="AX66" s="1">
        <v>4</v>
      </c>
      <c r="AY66" s="12"/>
      <c r="AZ66" s="7" t="s">
        <v>298</v>
      </c>
      <c r="BA66" s="7" t="s">
        <v>330</v>
      </c>
      <c r="BB66" s="1">
        <v>3</v>
      </c>
      <c r="BC66" s="1">
        <v>3</v>
      </c>
      <c r="BD66" s="12"/>
      <c r="BE66" s="7" t="s">
        <v>295</v>
      </c>
      <c r="BF66" s="7" t="s">
        <v>292</v>
      </c>
      <c r="BG66" s="1">
        <v>5</v>
      </c>
      <c r="BH66" s="1">
        <v>5</v>
      </c>
      <c r="BI66" s="12"/>
      <c r="BJ66" s="7" t="s">
        <v>298</v>
      </c>
      <c r="BK66" s="7" t="s">
        <v>292</v>
      </c>
      <c r="BL66" s="1">
        <v>3</v>
      </c>
      <c r="BM66" s="1">
        <v>5</v>
      </c>
      <c r="BN66" s="12"/>
      <c r="BO66" s="7" t="s">
        <v>291</v>
      </c>
      <c r="BP66" s="7" t="s">
        <v>296</v>
      </c>
      <c r="BQ66" s="1">
        <v>1</v>
      </c>
      <c r="BR66" s="1">
        <v>6</v>
      </c>
      <c r="BS66" s="12"/>
      <c r="BT66" s="7" t="s">
        <v>299</v>
      </c>
      <c r="BU66" s="7" t="s">
        <v>292</v>
      </c>
      <c r="BV66" s="1">
        <v>4</v>
      </c>
      <c r="BW66" s="1">
        <v>5</v>
      </c>
      <c r="BX66" s="12"/>
      <c r="BY66" s="7" t="s">
        <v>298</v>
      </c>
      <c r="BZ66" s="7" t="s">
        <v>330</v>
      </c>
      <c r="CA66" s="1">
        <v>3</v>
      </c>
      <c r="CB66" s="1">
        <v>3</v>
      </c>
      <c r="CC66" s="12"/>
      <c r="CD66" s="7" t="s">
        <v>295</v>
      </c>
      <c r="CE66" s="7" t="s">
        <v>296</v>
      </c>
      <c r="CF66" s="1">
        <v>5</v>
      </c>
      <c r="CG66" s="1">
        <v>6</v>
      </c>
      <c r="CH66" s="12"/>
      <c r="CI66" s="7" t="s">
        <v>291</v>
      </c>
      <c r="CJ66" s="7" t="s">
        <v>296</v>
      </c>
      <c r="CK66" s="1">
        <v>1</v>
      </c>
      <c r="CL66" s="1">
        <v>6</v>
      </c>
      <c r="CM66" s="12"/>
      <c r="CN66" s="7" t="s">
        <v>291</v>
      </c>
      <c r="CO66" s="7" t="s">
        <v>292</v>
      </c>
      <c r="CP66" s="1">
        <v>1</v>
      </c>
      <c r="CQ66" s="1">
        <v>5</v>
      </c>
      <c r="CR66" s="12"/>
      <c r="CS66" s="7" t="s">
        <v>293</v>
      </c>
      <c r="CT66" s="7" t="s">
        <v>297</v>
      </c>
      <c r="CU66" s="1">
        <v>2</v>
      </c>
      <c r="CV66" s="1">
        <v>4</v>
      </c>
      <c r="CW66" s="12"/>
      <c r="CX66" s="7" t="s">
        <v>293</v>
      </c>
      <c r="CY66" s="7" t="s">
        <v>297</v>
      </c>
      <c r="CZ66" s="1">
        <v>2</v>
      </c>
      <c r="DA66" s="1">
        <v>4</v>
      </c>
      <c r="DB66" s="12"/>
      <c r="DC66" s="7" t="s">
        <v>295</v>
      </c>
      <c r="DD66" s="7" t="s">
        <v>296</v>
      </c>
      <c r="DE66" s="1">
        <v>5</v>
      </c>
      <c r="DF66" s="1">
        <v>6</v>
      </c>
      <c r="DG66" s="12"/>
      <c r="DH66" s="7" t="s">
        <v>298</v>
      </c>
      <c r="DI66" s="7" t="s">
        <v>292</v>
      </c>
      <c r="DJ66" s="1">
        <v>3</v>
      </c>
      <c r="DK66" s="1">
        <v>5</v>
      </c>
      <c r="DL66" s="12"/>
      <c r="DM66" s="7" t="s">
        <v>291</v>
      </c>
      <c r="DN66" s="7" t="s">
        <v>292</v>
      </c>
      <c r="DO66" s="1">
        <v>1</v>
      </c>
      <c r="DP66" s="1">
        <v>5</v>
      </c>
      <c r="DQ66" s="12"/>
      <c r="DR66" s="7" t="s">
        <v>300</v>
      </c>
      <c r="DS66" s="7" t="s">
        <v>294</v>
      </c>
      <c r="DT66" s="1">
        <v>2</v>
      </c>
      <c r="DU66" s="1">
        <v>7</v>
      </c>
      <c r="DV66" s="12"/>
      <c r="DW66" s="7" t="s">
        <v>301</v>
      </c>
      <c r="DX66" s="7" t="s">
        <v>296</v>
      </c>
      <c r="DY66" s="1">
        <v>5</v>
      </c>
      <c r="DZ66" s="1">
        <v>6</v>
      </c>
      <c r="EA66" s="12"/>
      <c r="EB66" s="7" t="s">
        <v>291</v>
      </c>
      <c r="EC66" s="7" t="s">
        <v>294</v>
      </c>
      <c r="ED66" s="1">
        <v>1</v>
      </c>
      <c r="EE66" s="1">
        <v>7</v>
      </c>
      <c r="EF66" s="12"/>
      <c r="EG66" s="7" t="s">
        <v>300</v>
      </c>
      <c r="EH66" s="7" t="s">
        <v>296</v>
      </c>
      <c r="EI66" s="1">
        <v>2</v>
      </c>
      <c r="EJ66" s="1">
        <v>6</v>
      </c>
      <c r="EK66" s="12"/>
      <c r="EL66" s="7" t="s">
        <v>301</v>
      </c>
      <c r="EM66" s="7" t="s">
        <v>294</v>
      </c>
      <c r="EN66" s="1">
        <v>5</v>
      </c>
      <c r="EO66" s="1">
        <v>7</v>
      </c>
      <c r="EP66" s="12"/>
      <c r="EQ66" s="7" t="s">
        <v>291</v>
      </c>
      <c r="ER66" s="7" t="s">
        <v>296</v>
      </c>
      <c r="ES66" s="1">
        <v>1</v>
      </c>
      <c r="ET66" s="1">
        <v>6</v>
      </c>
      <c r="EU66" s="12"/>
      <c r="EV66" s="7" t="s">
        <v>300</v>
      </c>
      <c r="EW66" s="7" t="s">
        <v>292</v>
      </c>
      <c r="EX66" s="1">
        <v>2</v>
      </c>
      <c r="EY66" s="1">
        <v>5</v>
      </c>
      <c r="EZ66" s="12"/>
      <c r="FA66" s="7" t="s">
        <v>301</v>
      </c>
      <c r="FB66" s="7" t="s">
        <v>296</v>
      </c>
      <c r="FC66" s="1">
        <v>5</v>
      </c>
      <c r="FD66" s="1">
        <v>6</v>
      </c>
      <c r="FE66" s="12"/>
      <c r="FF66" s="7" t="s">
        <v>291</v>
      </c>
      <c r="FG66" s="7" t="s">
        <v>296</v>
      </c>
      <c r="FH66" s="1">
        <v>1</v>
      </c>
      <c r="FI66" s="1">
        <v>6</v>
      </c>
      <c r="FJ66" s="12"/>
      <c r="FK66" s="7" t="s">
        <v>300</v>
      </c>
      <c r="FL66" s="7" t="s">
        <v>296</v>
      </c>
      <c r="FM66" s="1">
        <v>2</v>
      </c>
      <c r="FN66" s="1">
        <v>6</v>
      </c>
      <c r="FO66" s="12"/>
      <c r="FP66" s="7" t="s">
        <v>291</v>
      </c>
      <c r="FQ66" s="7" t="s">
        <v>297</v>
      </c>
      <c r="FR66" s="1">
        <v>1</v>
      </c>
      <c r="FS66" s="1">
        <v>4</v>
      </c>
      <c r="FT66" s="10"/>
      <c r="FU66" s="7" t="s">
        <v>1068</v>
      </c>
      <c r="FV66" s="7" t="s">
        <v>1069</v>
      </c>
      <c r="FW66" s="7" t="s">
        <v>1070</v>
      </c>
      <c r="FX66" s="7" t="s">
        <v>1071</v>
      </c>
      <c r="FY66" s="7" t="s">
        <v>1070</v>
      </c>
      <c r="FZ66" s="7" t="s">
        <v>1072</v>
      </c>
      <c r="GA66" s="7" t="s">
        <v>693</v>
      </c>
      <c r="GB66" s="7" t="s">
        <v>1073</v>
      </c>
      <c r="GC66" s="7" t="s">
        <v>1074</v>
      </c>
      <c r="GD66" s="7" t="s">
        <v>1075</v>
      </c>
      <c r="GE66" s="7" t="s">
        <v>1076</v>
      </c>
      <c r="GF66" s="7" t="s">
        <v>1077</v>
      </c>
      <c r="GG66" s="7" t="s">
        <v>356</v>
      </c>
      <c r="GH66" s="7" t="s">
        <v>313</v>
      </c>
    </row>
    <row r="67" spans="1:190" x14ac:dyDescent="0.2">
      <c r="A67">
        <v>65</v>
      </c>
      <c r="B67">
        <v>100</v>
      </c>
      <c r="C67">
        <v>2381</v>
      </c>
      <c r="D67" s="7" t="s">
        <v>280</v>
      </c>
      <c r="E67" s="7" t="s">
        <v>845</v>
      </c>
      <c r="F67" s="7" t="s">
        <v>860</v>
      </c>
      <c r="G67" s="4" t="s">
        <v>1295</v>
      </c>
      <c r="H67" s="7" t="s">
        <v>288</v>
      </c>
      <c r="I67" s="1">
        <v>5</v>
      </c>
      <c r="J67" s="7" t="s">
        <v>289</v>
      </c>
      <c r="K67" s="1">
        <v>1</v>
      </c>
      <c r="L67" s="7" t="s">
        <v>289</v>
      </c>
      <c r="M67" s="1">
        <v>1</v>
      </c>
      <c r="N67" s="7" t="s">
        <v>289</v>
      </c>
      <c r="O67" s="1">
        <v>1</v>
      </c>
      <c r="P67" s="12"/>
      <c r="Q67" s="7" t="s">
        <v>291</v>
      </c>
      <c r="R67" s="7" t="s">
        <v>294</v>
      </c>
      <c r="S67" s="1">
        <v>1</v>
      </c>
      <c r="T67" s="1">
        <v>7</v>
      </c>
      <c r="U67" s="12"/>
      <c r="V67" s="7" t="s">
        <v>299</v>
      </c>
      <c r="W67" s="7" t="s">
        <v>294</v>
      </c>
      <c r="X67" s="1">
        <v>4</v>
      </c>
      <c r="Y67" s="1">
        <v>7</v>
      </c>
      <c r="Z67" s="12"/>
      <c r="AA67" s="7" t="s">
        <v>299</v>
      </c>
      <c r="AB67" s="7" t="s">
        <v>294</v>
      </c>
      <c r="AC67" s="1">
        <v>4</v>
      </c>
      <c r="AD67" s="1">
        <v>7</v>
      </c>
      <c r="AE67" s="12"/>
      <c r="AF67" s="7" t="s">
        <v>295</v>
      </c>
      <c r="AG67" s="7" t="s">
        <v>294</v>
      </c>
      <c r="AH67" s="1">
        <v>5</v>
      </c>
      <c r="AI67" s="1">
        <v>7</v>
      </c>
      <c r="AJ67" s="12"/>
      <c r="AK67" s="7" t="s">
        <v>295</v>
      </c>
      <c r="AL67" s="7" t="s">
        <v>294</v>
      </c>
      <c r="AM67" s="1">
        <v>5</v>
      </c>
      <c r="AN67" s="1">
        <v>7</v>
      </c>
      <c r="AO67" s="12"/>
      <c r="AP67" s="7" t="s">
        <v>291</v>
      </c>
      <c r="AQ67" s="7" t="s">
        <v>296</v>
      </c>
      <c r="AR67" s="1">
        <v>1</v>
      </c>
      <c r="AS67" s="1">
        <v>6</v>
      </c>
      <c r="AT67" s="12"/>
      <c r="AU67" s="7" t="s">
        <v>293</v>
      </c>
      <c r="AV67" s="7" t="s">
        <v>296</v>
      </c>
      <c r="AW67" s="1">
        <v>2</v>
      </c>
      <c r="AX67" s="1">
        <v>6</v>
      </c>
      <c r="AY67" s="12"/>
      <c r="AZ67" s="7" t="s">
        <v>298</v>
      </c>
      <c r="BA67" s="7" t="s">
        <v>296</v>
      </c>
      <c r="BB67" s="1">
        <v>3</v>
      </c>
      <c r="BC67" s="1">
        <v>6</v>
      </c>
      <c r="BD67" s="12"/>
      <c r="BE67" s="7" t="s">
        <v>295</v>
      </c>
      <c r="BF67" s="7" t="s">
        <v>294</v>
      </c>
      <c r="BG67" s="1">
        <v>5</v>
      </c>
      <c r="BH67" s="1">
        <v>7</v>
      </c>
      <c r="BI67" s="12"/>
      <c r="BJ67" s="7" t="s">
        <v>298</v>
      </c>
      <c r="BK67" s="7" t="s">
        <v>294</v>
      </c>
      <c r="BL67" s="1">
        <v>3</v>
      </c>
      <c r="BM67" s="1">
        <v>7</v>
      </c>
      <c r="BN67" s="12"/>
      <c r="BO67" s="7" t="s">
        <v>291</v>
      </c>
      <c r="BP67" s="7" t="s">
        <v>294</v>
      </c>
      <c r="BQ67" s="1">
        <v>1</v>
      </c>
      <c r="BR67" s="1">
        <v>7</v>
      </c>
      <c r="BS67" s="12"/>
      <c r="BT67" s="7" t="s">
        <v>299</v>
      </c>
      <c r="BU67" s="7" t="s">
        <v>296</v>
      </c>
      <c r="BV67" s="1">
        <v>4</v>
      </c>
      <c r="BW67" s="1">
        <v>6</v>
      </c>
      <c r="BX67" s="12"/>
      <c r="BY67" s="7" t="s">
        <v>291</v>
      </c>
      <c r="BZ67" s="7" t="s">
        <v>296</v>
      </c>
      <c r="CA67" s="1">
        <v>1</v>
      </c>
      <c r="CB67" s="1">
        <v>6</v>
      </c>
      <c r="CC67" s="12"/>
      <c r="CD67" s="7" t="s">
        <v>295</v>
      </c>
      <c r="CE67" s="7" t="s">
        <v>294</v>
      </c>
      <c r="CF67" s="1">
        <v>5</v>
      </c>
      <c r="CG67" s="1">
        <v>7</v>
      </c>
      <c r="CH67" s="12"/>
      <c r="CI67" s="7" t="s">
        <v>295</v>
      </c>
      <c r="CJ67" s="7" t="s">
        <v>296</v>
      </c>
      <c r="CK67" s="1">
        <v>5</v>
      </c>
      <c r="CL67" s="1">
        <v>6</v>
      </c>
      <c r="CM67" s="12"/>
      <c r="CN67" s="7" t="s">
        <v>291</v>
      </c>
      <c r="CO67" s="7" t="s">
        <v>294</v>
      </c>
      <c r="CP67" s="1">
        <v>1</v>
      </c>
      <c r="CQ67" s="1">
        <v>7</v>
      </c>
      <c r="CR67" s="12"/>
      <c r="CS67" s="7" t="s">
        <v>299</v>
      </c>
      <c r="CT67" s="7" t="s">
        <v>294</v>
      </c>
      <c r="CU67" s="1">
        <v>4</v>
      </c>
      <c r="CV67" s="1">
        <v>7</v>
      </c>
      <c r="CW67" s="12"/>
      <c r="CX67" s="7" t="s">
        <v>282</v>
      </c>
      <c r="CY67" s="7" t="s">
        <v>297</v>
      </c>
      <c r="CZ67" s="4" t="s">
        <v>282</v>
      </c>
      <c r="DA67" s="1">
        <v>4</v>
      </c>
      <c r="DB67" s="12"/>
      <c r="DC67" s="7" t="s">
        <v>295</v>
      </c>
      <c r="DD67" s="7" t="s">
        <v>296</v>
      </c>
      <c r="DE67" s="1">
        <v>5</v>
      </c>
      <c r="DF67" s="1">
        <v>6</v>
      </c>
      <c r="DG67" s="12"/>
      <c r="DH67" s="7" t="s">
        <v>295</v>
      </c>
      <c r="DI67" s="7" t="s">
        <v>292</v>
      </c>
      <c r="DJ67" s="1">
        <v>5</v>
      </c>
      <c r="DK67" s="1">
        <v>5</v>
      </c>
      <c r="DL67" s="12"/>
      <c r="DM67" s="7" t="s">
        <v>291</v>
      </c>
      <c r="DN67" s="7" t="s">
        <v>292</v>
      </c>
      <c r="DO67" s="1">
        <v>1</v>
      </c>
      <c r="DP67" s="1">
        <v>5</v>
      </c>
      <c r="DQ67" s="12"/>
      <c r="DR67" s="7" t="s">
        <v>282</v>
      </c>
      <c r="DS67" s="7" t="s">
        <v>292</v>
      </c>
      <c r="DT67" s="4" t="s">
        <v>282</v>
      </c>
      <c r="DU67" s="1">
        <v>5</v>
      </c>
      <c r="DV67" s="12"/>
      <c r="DW67" s="7" t="s">
        <v>282</v>
      </c>
      <c r="DX67" s="7" t="s">
        <v>296</v>
      </c>
      <c r="DY67" s="4" t="s">
        <v>282</v>
      </c>
      <c r="DZ67" s="1">
        <v>6</v>
      </c>
      <c r="EA67" s="12"/>
      <c r="EB67" s="7" t="s">
        <v>301</v>
      </c>
      <c r="EC67" s="7" t="s">
        <v>296</v>
      </c>
      <c r="ED67" s="1">
        <v>5</v>
      </c>
      <c r="EE67" s="1">
        <v>6</v>
      </c>
      <c r="EF67" s="12"/>
      <c r="EG67" s="7" t="s">
        <v>300</v>
      </c>
      <c r="EH67" s="7" t="s">
        <v>292</v>
      </c>
      <c r="EI67" s="1">
        <v>2</v>
      </c>
      <c r="EJ67" s="1">
        <v>5</v>
      </c>
      <c r="EK67" s="12"/>
      <c r="EL67" s="7" t="s">
        <v>282</v>
      </c>
      <c r="EM67" s="7" t="s">
        <v>292</v>
      </c>
      <c r="EN67" s="4" t="s">
        <v>282</v>
      </c>
      <c r="EO67" s="1">
        <v>5</v>
      </c>
      <c r="EP67" s="12"/>
      <c r="EQ67" s="7" t="s">
        <v>291</v>
      </c>
      <c r="ER67" s="7" t="s">
        <v>296</v>
      </c>
      <c r="ES67" s="1">
        <v>1</v>
      </c>
      <c r="ET67" s="1">
        <v>6</v>
      </c>
      <c r="EU67" s="12"/>
      <c r="EV67" s="7" t="s">
        <v>300</v>
      </c>
      <c r="EW67" s="7" t="s">
        <v>292</v>
      </c>
      <c r="EX67" s="1">
        <v>2</v>
      </c>
      <c r="EY67" s="1">
        <v>5</v>
      </c>
      <c r="EZ67" s="12"/>
      <c r="FA67" s="7" t="s">
        <v>301</v>
      </c>
      <c r="FB67" s="7" t="s">
        <v>292</v>
      </c>
      <c r="FC67" s="1">
        <v>5</v>
      </c>
      <c r="FD67" s="1">
        <v>5</v>
      </c>
      <c r="FE67" s="12"/>
      <c r="FF67" s="7" t="s">
        <v>291</v>
      </c>
      <c r="FG67" s="7" t="s">
        <v>296</v>
      </c>
      <c r="FH67" s="1">
        <v>1</v>
      </c>
      <c r="FI67" s="1">
        <v>6</v>
      </c>
      <c r="FJ67" s="12"/>
      <c r="FK67" s="7" t="s">
        <v>282</v>
      </c>
      <c r="FL67" s="7" t="s">
        <v>292</v>
      </c>
      <c r="FM67" s="4" t="s">
        <v>282</v>
      </c>
      <c r="FN67" s="1">
        <v>5</v>
      </c>
      <c r="FO67" s="12"/>
      <c r="FP67" s="7" t="s">
        <v>291</v>
      </c>
      <c r="FQ67" s="7" t="s">
        <v>296</v>
      </c>
      <c r="FR67" s="1">
        <v>1</v>
      </c>
      <c r="FS67" s="1">
        <v>6</v>
      </c>
      <c r="FT67" s="10"/>
      <c r="FU67" s="7" t="s">
        <v>1080</v>
      </c>
      <c r="FV67" s="7" t="s">
        <v>1081</v>
      </c>
      <c r="FW67" s="7" t="s">
        <v>1082</v>
      </c>
      <c r="FX67" s="7" t="s">
        <v>1082</v>
      </c>
      <c r="FY67" s="7" t="s">
        <v>1083</v>
      </c>
      <c r="FZ67" s="7" t="s">
        <v>1084</v>
      </c>
      <c r="GA67" s="7" t="s">
        <v>1085</v>
      </c>
      <c r="GB67" s="7" t="s">
        <v>1086</v>
      </c>
      <c r="GC67" s="7" t="s">
        <v>1087</v>
      </c>
      <c r="GD67" s="7" t="s">
        <v>1088</v>
      </c>
      <c r="GE67" s="7" t="s">
        <v>282</v>
      </c>
      <c r="GF67" s="7" t="s">
        <v>1089</v>
      </c>
      <c r="GG67" s="7" t="s">
        <v>372</v>
      </c>
      <c r="GH67" s="7" t="s">
        <v>325</v>
      </c>
    </row>
    <row r="68" spans="1:190" x14ac:dyDescent="0.2">
      <c r="A68">
        <v>66</v>
      </c>
      <c r="B68">
        <v>100</v>
      </c>
      <c r="C68">
        <v>1934</v>
      </c>
      <c r="D68" s="7" t="s">
        <v>280</v>
      </c>
      <c r="E68" s="7" t="s">
        <v>359</v>
      </c>
      <c r="F68" s="7" t="s">
        <v>328</v>
      </c>
      <c r="G68" s="4" t="s">
        <v>1222</v>
      </c>
      <c r="H68" s="7" t="s">
        <v>288</v>
      </c>
      <c r="I68" s="1">
        <v>5</v>
      </c>
      <c r="J68" s="7" t="s">
        <v>289</v>
      </c>
      <c r="K68" s="1">
        <v>1</v>
      </c>
      <c r="L68" s="7" t="s">
        <v>317</v>
      </c>
      <c r="M68" s="1">
        <v>2</v>
      </c>
      <c r="N68" s="7" t="s">
        <v>289</v>
      </c>
      <c r="O68" s="1">
        <v>1</v>
      </c>
      <c r="P68" s="12"/>
      <c r="Q68" s="7" t="s">
        <v>291</v>
      </c>
      <c r="R68" s="7" t="s">
        <v>292</v>
      </c>
      <c r="S68" s="1">
        <v>1</v>
      </c>
      <c r="T68" s="1">
        <v>5</v>
      </c>
      <c r="U68" s="12"/>
      <c r="V68" s="7" t="s">
        <v>293</v>
      </c>
      <c r="W68" s="7" t="s">
        <v>292</v>
      </c>
      <c r="X68" s="1">
        <v>2</v>
      </c>
      <c r="Y68" s="1">
        <v>5</v>
      </c>
      <c r="Z68" s="12"/>
      <c r="AA68" s="7" t="s">
        <v>293</v>
      </c>
      <c r="AB68" s="7" t="s">
        <v>294</v>
      </c>
      <c r="AC68" s="1">
        <v>2</v>
      </c>
      <c r="AD68" s="1">
        <v>7</v>
      </c>
      <c r="AE68" s="12"/>
      <c r="AF68" s="7" t="s">
        <v>295</v>
      </c>
      <c r="AG68" s="7" t="s">
        <v>294</v>
      </c>
      <c r="AH68" s="1">
        <v>5</v>
      </c>
      <c r="AI68" s="1">
        <v>7</v>
      </c>
      <c r="AJ68" s="12"/>
      <c r="AK68" s="7" t="s">
        <v>299</v>
      </c>
      <c r="AL68" s="7" t="s">
        <v>294</v>
      </c>
      <c r="AM68" s="1">
        <v>4</v>
      </c>
      <c r="AN68" s="1">
        <v>7</v>
      </c>
      <c r="AO68" s="12"/>
      <c r="AP68" s="7" t="s">
        <v>291</v>
      </c>
      <c r="AQ68" s="7" t="s">
        <v>296</v>
      </c>
      <c r="AR68" s="1">
        <v>1</v>
      </c>
      <c r="AS68" s="1">
        <v>6</v>
      </c>
      <c r="AT68" s="12"/>
      <c r="AU68" s="7" t="s">
        <v>293</v>
      </c>
      <c r="AV68" s="7" t="s">
        <v>294</v>
      </c>
      <c r="AW68" s="1">
        <v>2</v>
      </c>
      <c r="AX68" s="1">
        <v>7</v>
      </c>
      <c r="AY68" s="12"/>
      <c r="AZ68" s="7" t="s">
        <v>295</v>
      </c>
      <c r="BA68" s="7" t="s">
        <v>296</v>
      </c>
      <c r="BB68" s="1">
        <v>5</v>
      </c>
      <c r="BC68" s="1">
        <v>6</v>
      </c>
      <c r="BD68" s="12"/>
      <c r="BE68" s="7" t="s">
        <v>295</v>
      </c>
      <c r="BF68" s="7" t="s">
        <v>296</v>
      </c>
      <c r="BG68" s="1">
        <v>5</v>
      </c>
      <c r="BH68" s="1">
        <v>6</v>
      </c>
      <c r="BI68" s="12"/>
      <c r="BJ68" s="7" t="s">
        <v>298</v>
      </c>
      <c r="BK68" s="7" t="s">
        <v>296</v>
      </c>
      <c r="BL68" s="1">
        <v>3</v>
      </c>
      <c r="BM68" s="1">
        <v>6</v>
      </c>
      <c r="BN68" s="12"/>
      <c r="BO68" s="7" t="s">
        <v>291</v>
      </c>
      <c r="BP68" s="7" t="s">
        <v>294</v>
      </c>
      <c r="BQ68" s="1">
        <v>1</v>
      </c>
      <c r="BR68" s="1">
        <v>7</v>
      </c>
      <c r="BS68" s="12"/>
      <c r="BT68" s="7" t="s">
        <v>293</v>
      </c>
      <c r="BU68" s="7" t="s">
        <v>294</v>
      </c>
      <c r="BV68" s="1">
        <v>2</v>
      </c>
      <c r="BW68" s="1">
        <v>7</v>
      </c>
      <c r="BX68" s="12"/>
      <c r="BY68" s="7" t="s">
        <v>295</v>
      </c>
      <c r="BZ68" s="7" t="s">
        <v>292</v>
      </c>
      <c r="CA68" s="1">
        <v>5</v>
      </c>
      <c r="CB68" s="1">
        <v>5</v>
      </c>
      <c r="CC68" s="12"/>
      <c r="CD68" s="7" t="s">
        <v>298</v>
      </c>
      <c r="CE68" s="7" t="s">
        <v>296</v>
      </c>
      <c r="CF68" s="1">
        <v>3</v>
      </c>
      <c r="CG68" s="1">
        <v>6</v>
      </c>
      <c r="CH68" s="12"/>
      <c r="CI68" s="7" t="s">
        <v>291</v>
      </c>
      <c r="CJ68" s="7" t="s">
        <v>296</v>
      </c>
      <c r="CK68" s="1">
        <v>1</v>
      </c>
      <c r="CL68" s="1">
        <v>6</v>
      </c>
      <c r="CM68" s="12"/>
      <c r="CN68" s="7" t="s">
        <v>291</v>
      </c>
      <c r="CO68" s="7" t="s">
        <v>296</v>
      </c>
      <c r="CP68" s="1">
        <v>1</v>
      </c>
      <c r="CQ68" s="1">
        <v>6</v>
      </c>
      <c r="CR68" s="12"/>
      <c r="CS68" s="7" t="s">
        <v>299</v>
      </c>
      <c r="CT68" s="7" t="s">
        <v>292</v>
      </c>
      <c r="CU68" s="1">
        <v>4</v>
      </c>
      <c r="CV68" s="1">
        <v>5</v>
      </c>
      <c r="CW68" s="12"/>
      <c r="CX68" s="7" t="s">
        <v>299</v>
      </c>
      <c r="CY68" s="7" t="s">
        <v>296</v>
      </c>
      <c r="CZ68" s="1">
        <v>4</v>
      </c>
      <c r="DA68" s="1">
        <v>6</v>
      </c>
      <c r="DB68" s="12"/>
      <c r="DC68" s="7" t="s">
        <v>298</v>
      </c>
      <c r="DD68" s="7" t="s">
        <v>292</v>
      </c>
      <c r="DE68" s="1">
        <v>3</v>
      </c>
      <c r="DF68" s="1">
        <v>5</v>
      </c>
      <c r="DG68" s="12"/>
      <c r="DH68" s="7" t="s">
        <v>291</v>
      </c>
      <c r="DI68" s="7" t="s">
        <v>296</v>
      </c>
      <c r="DJ68" s="1">
        <v>1</v>
      </c>
      <c r="DK68" s="1">
        <v>6</v>
      </c>
      <c r="DL68" s="12"/>
      <c r="DM68" s="7" t="s">
        <v>291</v>
      </c>
      <c r="DN68" s="7" t="s">
        <v>296</v>
      </c>
      <c r="DO68" s="1">
        <v>1</v>
      </c>
      <c r="DP68" s="1">
        <v>6</v>
      </c>
      <c r="DQ68" s="12"/>
      <c r="DR68" s="7" t="s">
        <v>300</v>
      </c>
      <c r="DS68" s="7" t="s">
        <v>294</v>
      </c>
      <c r="DT68" s="1">
        <v>2</v>
      </c>
      <c r="DU68" s="1">
        <v>7</v>
      </c>
      <c r="DV68" s="12"/>
      <c r="DW68" s="7" t="s">
        <v>301</v>
      </c>
      <c r="DX68" s="7" t="s">
        <v>296</v>
      </c>
      <c r="DY68" s="1">
        <v>5</v>
      </c>
      <c r="DZ68" s="1">
        <v>6</v>
      </c>
      <c r="EA68" s="12"/>
      <c r="EB68" s="7" t="s">
        <v>291</v>
      </c>
      <c r="EC68" s="7" t="s">
        <v>294</v>
      </c>
      <c r="ED68" s="1">
        <v>1</v>
      </c>
      <c r="EE68" s="1">
        <v>7</v>
      </c>
      <c r="EF68" s="12"/>
      <c r="EG68" s="7" t="s">
        <v>300</v>
      </c>
      <c r="EH68" s="7" t="s">
        <v>294</v>
      </c>
      <c r="EI68" s="1">
        <v>2</v>
      </c>
      <c r="EJ68" s="1">
        <v>7</v>
      </c>
      <c r="EK68" s="12"/>
      <c r="EL68" s="7" t="s">
        <v>301</v>
      </c>
      <c r="EM68" s="7" t="s">
        <v>294</v>
      </c>
      <c r="EN68" s="1">
        <v>5</v>
      </c>
      <c r="EO68" s="1">
        <v>7</v>
      </c>
      <c r="EP68" s="12"/>
      <c r="EQ68" s="7" t="s">
        <v>291</v>
      </c>
      <c r="ER68" s="7" t="s">
        <v>294</v>
      </c>
      <c r="ES68" s="1">
        <v>1</v>
      </c>
      <c r="ET68" s="1">
        <v>7</v>
      </c>
      <c r="EU68" s="12"/>
      <c r="EV68" s="7" t="s">
        <v>300</v>
      </c>
      <c r="EW68" s="7" t="s">
        <v>294</v>
      </c>
      <c r="EX68" s="1">
        <v>2</v>
      </c>
      <c r="EY68" s="1">
        <v>7</v>
      </c>
      <c r="EZ68" s="12"/>
      <c r="FA68" s="7" t="s">
        <v>301</v>
      </c>
      <c r="FB68" s="7" t="s">
        <v>296</v>
      </c>
      <c r="FC68" s="1">
        <v>5</v>
      </c>
      <c r="FD68" s="1">
        <v>6</v>
      </c>
      <c r="FE68" s="12"/>
      <c r="FF68" s="7" t="s">
        <v>291</v>
      </c>
      <c r="FG68" s="7" t="s">
        <v>294</v>
      </c>
      <c r="FH68" s="1">
        <v>1</v>
      </c>
      <c r="FI68" s="1">
        <v>7</v>
      </c>
      <c r="FJ68" s="12"/>
      <c r="FK68" s="7" t="s">
        <v>300</v>
      </c>
      <c r="FL68" s="7" t="s">
        <v>294</v>
      </c>
      <c r="FM68" s="1">
        <v>2</v>
      </c>
      <c r="FN68" s="1">
        <v>7</v>
      </c>
      <c r="FO68" s="12"/>
      <c r="FP68" s="7" t="s">
        <v>300</v>
      </c>
      <c r="FQ68" s="7" t="s">
        <v>296</v>
      </c>
      <c r="FR68" s="1">
        <v>2</v>
      </c>
      <c r="FS68" s="1">
        <v>6</v>
      </c>
      <c r="FT68" s="10"/>
      <c r="FU68" s="7" t="s">
        <v>1092</v>
      </c>
      <c r="FV68" s="7" t="s">
        <v>1093</v>
      </c>
      <c r="FW68" s="7" t="s">
        <v>1094</v>
      </c>
      <c r="FX68" s="7" t="s">
        <v>1095</v>
      </c>
      <c r="FY68" s="7" t="s">
        <v>1096</v>
      </c>
      <c r="FZ68" s="7" t="s">
        <v>1097</v>
      </c>
      <c r="GA68" s="7" t="s">
        <v>1098</v>
      </c>
      <c r="GB68" s="7" t="s">
        <v>1099</v>
      </c>
      <c r="GC68" s="7" t="s">
        <v>1100</v>
      </c>
      <c r="GD68" s="7" t="s">
        <v>1101</v>
      </c>
      <c r="GE68" s="7" t="s">
        <v>1102</v>
      </c>
      <c r="GF68" s="7" t="s">
        <v>282</v>
      </c>
      <c r="GG68" s="7" t="s">
        <v>372</v>
      </c>
      <c r="GH68" s="7" t="s">
        <v>325</v>
      </c>
    </row>
    <row r="69" spans="1:190" x14ac:dyDescent="0.2">
      <c r="A69">
        <v>67</v>
      </c>
      <c r="B69">
        <v>100</v>
      </c>
      <c r="C69">
        <v>1746</v>
      </c>
      <c r="D69" s="7" t="s">
        <v>280</v>
      </c>
      <c r="E69" s="7" t="s">
        <v>286</v>
      </c>
      <c r="F69" s="7" t="s">
        <v>375</v>
      </c>
      <c r="G69" s="4" t="s">
        <v>497</v>
      </c>
      <c r="H69" s="7" t="s">
        <v>288</v>
      </c>
      <c r="I69" s="1">
        <v>5</v>
      </c>
      <c r="J69" s="7" t="s">
        <v>289</v>
      </c>
      <c r="K69" s="1">
        <v>1</v>
      </c>
      <c r="L69" s="7" t="s">
        <v>289</v>
      </c>
      <c r="M69" s="1">
        <v>1</v>
      </c>
      <c r="N69" s="7" t="s">
        <v>317</v>
      </c>
      <c r="O69" s="1">
        <v>2</v>
      </c>
      <c r="P69" s="12"/>
      <c r="Q69" s="7" t="s">
        <v>295</v>
      </c>
      <c r="R69" s="7" t="s">
        <v>292</v>
      </c>
      <c r="S69" s="1">
        <v>5</v>
      </c>
      <c r="T69" s="1">
        <v>5</v>
      </c>
      <c r="U69" s="12"/>
      <c r="V69" s="7" t="s">
        <v>299</v>
      </c>
      <c r="W69" s="7" t="s">
        <v>292</v>
      </c>
      <c r="X69" s="1">
        <v>4</v>
      </c>
      <c r="Y69" s="1">
        <v>5</v>
      </c>
      <c r="Z69" s="12"/>
      <c r="AA69" s="7" t="s">
        <v>299</v>
      </c>
      <c r="AB69" s="7" t="s">
        <v>294</v>
      </c>
      <c r="AC69" s="1">
        <v>4</v>
      </c>
      <c r="AD69" s="1">
        <v>7</v>
      </c>
      <c r="AE69" s="12"/>
      <c r="AF69" s="7" t="s">
        <v>295</v>
      </c>
      <c r="AG69" s="7" t="s">
        <v>296</v>
      </c>
      <c r="AH69" s="1">
        <v>5</v>
      </c>
      <c r="AI69" s="1">
        <v>6</v>
      </c>
      <c r="AJ69" s="12"/>
      <c r="AK69" s="7" t="s">
        <v>295</v>
      </c>
      <c r="AL69" s="7" t="s">
        <v>294</v>
      </c>
      <c r="AM69" s="1">
        <v>5</v>
      </c>
      <c r="AN69" s="1">
        <v>7</v>
      </c>
      <c r="AO69" s="12"/>
      <c r="AP69" s="7" t="s">
        <v>291</v>
      </c>
      <c r="AQ69" s="7" t="s">
        <v>294</v>
      </c>
      <c r="AR69" s="1">
        <v>1</v>
      </c>
      <c r="AS69" s="1">
        <v>7</v>
      </c>
      <c r="AT69" s="12"/>
      <c r="AU69" s="7" t="s">
        <v>293</v>
      </c>
      <c r="AV69" s="7" t="s">
        <v>296</v>
      </c>
      <c r="AW69" s="1">
        <v>2</v>
      </c>
      <c r="AX69" s="1">
        <v>6</v>
      </c>
      <c r="AY69" s="12"/>
      <c r="AZ69" s="7" t="s">
        <v>291</v>
      </c>
      <c r="BA69" s="7" t="s">
        <v>294</v>
      </c>
      <c r="BB69" s="1">
        <v>1</v>
      </c>
      <c r="BC69" s="1">
        <v>7</v>
      </c>
      <c r="BD69" s="12"/>
      <c r="BE69" s="7" t="s">
        <v>295</v>
      </c>
      <c r="BF69" s="7" t="s">
        <v>292</v>
      </c>
      <c r="BG69" s="1">
        <v>5</v>
      </c>
      <c r="BH69" s="1">
        <v>5</v>
      </c>
      <c r="BI69" s="12"/>
      <c r="BJ69" s="7" t="s">
        <v>298</v>
      </c>
      <c r="BK69" s="7" t="s">
        <v>296</v>
      </c>
      <c r="BL69" s="1">
        <v>3</v>
      </c>
      <c r="BM69" s="1">
        <v>6</v>
      </c>
      <c r="BN69" s="12"/>
      <c r="BO69" s="7" t="s">
        <v>291</v>
      </c>
      <c r="BP69" s="7" t="s">
        <v>294</v>
      </c>
      <c r="BQ69" s="1">
        <v>1</v>
      </c>
      <c r="BR69" s="1">
        <v>7</v>
      </c>
      <c r="BS69" s="12"/>
      <c r="BT69" s="7" t="s">
        <v>293</v>
      </c>
      <c r="BU69" s="7" t="s">
        <v>292</v>
      </c>
      <c r="BV69" s="1">
        <v>2</v>
      </c>
      <c r="BW69" s="1">
        <v>5</v>
      </c>
      <c r="BX69" s="12"/>
      <c r="BY69" s="7" t="s">
        <v>291</v>
      </c>
      <c r="BZ69" s="7" t="s">
        <v>297</v>
      </c>
      <c r="CA69" s="1">
        <v>1</v>
      </c>
      <c r="CB69" s="1">
        <v>4</v>
      </c>
      <c r="CC69" s="12"/>
      <c r="CD69" s="7" t="s">
        <v>298</v>
      </c>
      <c r="CE69" s="7" t="s">
        <v>296</v>
      </c>
      <c r="CF69" s="1">
        <v>3</v>
      </c>
      <c r="CG69" s="1">
        <v>6</v>
      </c>
      <c r="CH69" s="12"/>
      <c r="CI69" s="7" t="s">
        <v>298</v>
      </c>
      <c r="CJ69" s="7" t="s">
        <v>296</v>
      </c>
      <c r="CK69" s="1">
        <v>3</v>
      </c>
      <c r="CL69" s="1">
        <v>6</v>
      </c>
      <c r="CM69" s="12"/>
      <c r="CN69" s="7" t="s">
        <v>291</v>
      </c>
      <c r="CO69" s="7" t="s">
        <v>294</v>
      </c>
      <c r="CP69" s="1">
        <v>1</v>
      </c>
      <c r="CQ69" s="1">
        <v>7</v>
      </c>
      <c r="CR69" s="12"/>
      <c r="CS69" s="7" t="s">
        <v>299</v>
      </c>
      <c r="CT69" s="7" t="s">
        <v>292</v>
      </c>
      <c r="CU69" s="1">
        <v>4</v>
      </c>
      <c r="CV69" s="1">
        <v>5</v>
      </c>
      <c r="CW69" s="12"/>
      <c r="CX69" s="7" t="s">
        <v>299</v>
      </c>
      <c r="CY69" s="7" t="s">
        <v>292</v>
      </c>
      <c r="CZ69" s="1">
        <v>4</v>
      </c>
      <c r="DA69" s="1">
        <v>5</v>
      </c>
      <c r="DB69" s="12"/>
      <c r="DC69" s="7" t="s">
        <v>295</v>
      </c>
      <c r="DD69" s="7" t="s">
        <v>292</v>
      </c>
      <c r="DE69" s="1">
        <v>5</v>
      </c>
      <c r="DF69" s="1">
        <v>5</v>
      </c>
      <c r="DG69" s="12"/>
      <c r="DH69" s="7" t="s">
        <v>298</v>
      </c>
      <c r="DI69" s="7" t="s">
        <v>296</v>
      </c>
      <c r="DJ69" s="1">
        <v>3</v>
      </c>
      <c r="DK69" s="1">
        <v>6</v>
      </c>
      <c r="DL69" s="12"/>
      <c r="DM69" s="7" t="s">
        <v>291</v>
      </c>
      <c r="DN69" s="7" t="s">
        <v>292</v>
      </c>
      <c r="DO69" s="1">
        <v>1</v>
      </c>
      <c r="DP69" s="1">
        <v>5</v>
      </c>
      <c r="DQ69" s="12"/>
      <c r="DR69" s="7" t="s">
        <v>301</v>
      </c>
      <c r="DS69" s="7" t="s">
        <v>292</v>
      </c>
      <c r="DT69" s="1">
        <v>5</v>
      </c>
      <c r="DU69" s="1">
        <v>5</v>
      </c>
      <c r="DV69" s="12"/>
      <c r="DW69" s="7" t="s">
        <v>301</v>
      </c>
      <c r="DX69" s="7" t="s">
        <v>294</v>
      </c>
      <c r="DY69" s="1">
        <v>5</v>
      </c>
      <c r="DZ69" s="1">
        <v>7</v>
      </c>
      <c r="EA69" s="12"/>
      <c r="EB69" s="7" t="s">
        <v>291</v>
      </c>
      <c r="EC69" s="7" t="s">
        <v>296</v>
      </c>
      <c r="ED69" s="1">
        <v>1</v>
      </c>
      <c r="EE69" s="1">
        <v>6</v>
      </c>
      <c r="EF69" s="12"/>
      <c r="EG69" s="7" t="s">
        <v>300</v>
      </c>
      <c r="EH69" s="7" t="s">
        <v>296</v>
      </c>
      <c r="EI69" s="1">
        <v>2</v>
      </c>
      <c r="EJ69" s="1">
        <v>6</v>
      </c>
      <c r="EK69" s="12"/>
      <c r="EL69" s="7" t="s">
        <v>301</v>
      </c>
      <c r="EM69" s="7" t="s">
        <v>294</v>
      </c>
      <c r="EN69" s="1">
        <v>5</v>
      </c>
      <c r="EO69" s="1">
        <v>7</v>
      </c>
      <c r="EP69" s="12"/>
      <c r="EQ69" s="7" t="s">
        <v>291</v>
      </c>
      <c r="ER69" s="7" t="s">
        <v>294</v>
      </c>
      <c r="ES69" s="1">
        <v>1</v>
      </c>
      <c r="ET69" s="1">
        <v>7</v>
      </c>
      <c r="EU69" s="12"/>
      <c r="EV69" s="7" t="s">
        <v>300</v>
      </c>
      <c r="EW69" s="7" t="s">
        <v>294</v>
      </c>
      <c r="EX69" s="1">
        <v>2</v>
      </c>
      <c r="EY69" s="1">
        <v>7</v>
      </c>
      <c r="EZ69" s="12"/>
      <c r="FA69" s="7" t="s">
        <v>301</v>
      </c>
      <c r="FB69" s="7" t="s">
        <v>294</v>
      </c>
      <c r="FC69" s="1">
        <v>5</v>
      </c>
      <c r="FD69" s="1">
        <v>7</v>
      </c>
      <c r="FE69" s="12"/>
      <c r="FF69" s="7" t="s">
        <v>291</v>
      </c>
      <c r="FG69" s="7" t="s">
        <v>296</v>
      </c>
      <c r="FH69" s="1">
        <v>1</v>
      </c>
      <c r="FI69" s="1">
        <v>6</v>
      </c>
      <c r="FJ69" s="12"/>
      <c r="FK69" s="7" t="s">
        <v>301</v>
      </c>
      <c r="FL69" s="7" t="s">
        <v>292</v>
      </c>
      <c r="FM69" s="1">
        <v>5</v>
      </c>
      <c r="FN69" s="1">
        <v>5</v>
      </c>
      <c r="FO69" s="12"/>
      <c r="FP69" s="7" t="s">
        <v>291</v>
      </c>
      <c r="FQ69" s="7" t="s">
        <v>292</v>
      </c>
      <c r="FR69" s="1">
        <v>1</v>
      </c>
      <c r="FS69" s="1">
        <v>5</v>
      </c>
      <c r="FT69" s="10"/>
      <c r="FU69" s="7" t="s">
        <v>1105</v>
      </c>
      <c r="FV69" s="7" t="s">
        <v>1106</v>
      </c>
      <c r="FW69" s="7" t="s">
        <v>1107</v>
      </c>
      <c r="FX69" s="7" t="s">
        <v>1108</v>
      </c>
      <c r="FY69" s="7" t="s">
        <v>1109</v>
      </c>
      <c r="FZ69" s="7" t="s">
        <v>1110</v>
      </c>
      <c r="GA69" s="7" t="s">
        <v>1111</v>
      </c>
      <c r="GB69" s="7" t="s">
        <v>1112</v>
      </c>
      <c r="GC69" s="7" t="s">
        <v>1113</v>
      </c>
      <c r="GD69" s="7" t="s">
        <v>1114</v>
      </c>
      <c r="GE69" s="7" t="s">
        <v>282</v>
      </c>
      <c r="GF69" s="7" t="s">
        <v>1115</v>
      </c>
      <c r="GG69" s="7" t="s">
        <v>356</v>
      </c>
      <c r="GH69" s="7" t="s">
        <v>313</v>
      </c>
    </row>
    <row r="70" spans="1:190" x14ac:dyDescent="0.2">
      <c r="A70">
        <v>68</v>
      </c>
      <c r="B70">
        <v>100</v>
      </c>
      <c r="C70">
        <v>820</v>
      </c>
      <c r="D70" s="7" t="s">
        <v>280</v>
      </c>
      <c r="E70" s="7" t="s">
        <v>286</v>
      </c>
      <c r="F70" s="7" t="s">
        <v>1118</v>
      </c>
      <c r="G70" s="4" t="s">
        <v>1300</v>
      </c>
      <c r="H70" s="7" t="s">
        <v>288</v>
      </c>
      <c r="I70" s="1">
        <v>5</v>
      </c>
      <c r="J70" s="7" t="s">
        <v>289</v>
      </c>
      <c r="K70" s="1">
        <v>1</v>
      </c>
      <c r="L70" s="7" t="s">
        <v>289</v>
      </c>
      <c r="M70" s="1">
        <v>1</v>
      </c>
      <c r="N70" s="7" t="s">
        <v>317</v>
      </c>
      <c r="O70" s="1">
        <v>2</v>
      </c>
      <c r="P70" s="12"/>
      <c r="Q70" s="7" t="s">
        <v>291</v>
      </c>
      <c r="R70" s="7" t="s">
        <v>292</v>
      </c>
      <c r="S70" s="1">
        <v>1</v>
      </c>
      <c r="T70" s="1">
        <v>5</v>
      </c>
      <c r="U70" s="12"/>
      <c r="V70" s="7" t="s">
        <v>299</v>
      </c>
      <c r="W70" s="7" t="s">
        <v>296</v>
      </c>
      <c r="X70" s="1">
        <v>4</v>
      </c>
      <c r="Y70" s="1">
        <v>6</v>
      </c>
      <c r="Z70" s="12"/>
      <c r="AA70" s="7" t="s">
        <v>293</v>
      </c>
      <c r="AB70" s="7" t="s">
        <v>294</v>
      </c>
      <c r="AC70" s="1">
        <v>2</v>
      </c>
      <c r="AD70" s="1">
        <v>7</v>
      </c>
      <c r="AE70" s="12"/>
      <c r="AF70" s="7" t="s">
        <v>298</v>
      </c>
      <c r="AG70" s="7" t="s">
        <v>297</v>
      </c>
      <c r="AH70" s="1">
        <v>3</v>
      </c>
      <c r="AI70" s="1">
        <v>4</v>
      </c>
      <c r="AJ70" s="12"/>
      <c r="AK70" s="7" t="s">
        <v>299</v>
      </c>
      <c r="AL70" s="7" t="s">
        <v>296</v>
      </c>
      <c r="AM70" s="1">
        <v>4</v>
      </c>
      <c r="AN70" s="1">
        <v>6</v>
      </c>
      <c r="AO70" s="12"/>
      <c r="AP70" s="7" t="s">
        <v>291</v>
      </c>
      <c r="AQ70" s="7" t="s">
        <v>294</v>
      </c>
      <c r="AR70" s="1">
        <v>1</v>
      </c>
      <c r="AS70" s="1">
        <v>7</v>
      </c>
      <c r="AT70" s="12"/>
      <c r="AU70" s="7" t="s">
        <v>293</v>
      </c>
      <c r="AV70" s="7" t="s">
        <v>296</v>
      </c>
      <c r="AW70" s="1">
        <v>2</v>
      </c>
      <c r="AX70" s="1">
        <v>6</v>
      </c>
      <c r="AY70" s="12"/>
      <c r="AZ70" s="7" t="s">
        <v>299</v>
      </c>
      <c r="BA70" s="7" t="s">
        <v>292</v>
      </c>
      <c r="BB70" s="1">
        <v>4</v>
      </c>
      <c r="BC70" s="1">
        <v>5</v>
      </c>
      <c r="BD70" s="12"/>
      <c r="BE70" s="7" t="s">
        <v>298</v>
      </c>
      <c r="BF70" s="7" t="s">
        <v>297</v>
      </c>
      <c r="BG70" s="1">
        <v>3</v>
      </c>
      <c r="BH70" s="1">
        <v>4</v>
      </c>
      <c r="BI70" s="12"/>
      <c r="BJ70" s="7" t="s">
        <v>298</v>
      </c>
      <c r="BK70" s="7" t="s">
        <v>296</v>
      </c>
      <c r="BL70" s="1">
        <v>3</v>
      </c>
      <c r="BM70" s="1">
        <v>6</v>
      </c>
      <c r="BN70" s="12"/>
      <c r="BO70" s="7" t="s">
        <v>291</v>
      </c>
      <c r="BP70" s="7" t="s">
        <v>296</v>
      </c>
      <c r="BQ70" s="1">
        <v>1</v>
      </c>
      <c r="BR70" s="1">
        <v>6</v>
      </c>
      <c r="BS70" s="12"/>
      <c r="BT70" s="7" t="s">
        <v>293</v>
      </c>
      <c r="BU70" s="7" t="s">
        <v>294</v>
      </c>
      <c r="BV70" s="1">
        <v>2</v>
      </c>
      <c r="BW70" s="1">
        <v>7</v>
      </c>
      <c r="BX70" s="12"/>
      <c r="BY70" s="7" t="s">
        <v>299</v>
      </c>
      <c r="BZ70" s="7" t="s">
        <v>292</v>
      </c>
      <c r="CA70" s="1">
        <v>4</v>
      </c>
      <c r="CB70" s="1">
        <v>5</v>
      </c>
      <c r="CC70" s="12"/>
      <c r="CD70" s="7" t="s">
        <v>298</v>
      </c>
      <c r="CE70" s="7" t="s">
        <v>292</v>
      </c>
      <c r="CF70" s="1">
        <v>3</v>
      </c>
      <c r="CG70" s="1">
        <v>5</v>
      </c>
      <c r="CH70" s="12"/>
      <c r="CI70" s="7" t="s">
        <v>298</v>
      </c>
      <c r="CJ70" s="7" t="s">
        <v>296</v>
      </c>
      <c r="CK70" s="1">
        <v>3</v>
      </c>
      <c r="CL70" s="1">
        <v>6</v>
      </c>
      <c r="CM70" s="12"/>
      <c r="CN70" s="7" t="s">
        <v>291</v>
      </c>
      <c r="CO70" s="7" t="s">
        <v>296</v>
      </c>
      <c r="CP70" s="1">
        <v>1</v>
      </c>
      <c r="CQ70" s="1">
        <v>6</v>
      </c>
      <c r="CR70" s="12"/>
      <c r="CS70" s="7" t="s">
        <v>299</v>
      </c>
      <c r="CT70" s="7" t="s">
        <v>292</v>
      </c>
      <c r="CU70" s="1">
        <v>4</v>
      </c>
      <c r="CV70" s="1">
        <v>5</v>
      </c>
      <c r="CW70" s="12"/>
      <c r="CX70" s="7" t="s">
        <v>291</v>
      </c>
      <c r="CY70" s="7" t="s">
        <v>296</v>
      </c>
      <c r="CZ70" s="1">
        <v>1</v>
      </c>
      <c r="DA70" s="1">
        <v>6</v>
      </c>
      <c r="DB70" s="12"/>
      <c r="DC70" s="7" t="s">
        <v>291</v>
      </c>
      <c r="DD70" s="7" t="s">
        <v>296</v>
      </c>
      <c r="DE70" s="1">
        <v>1</v>
      </c>
      <c r="DF70" s="1">
        <v>6</v>
      </c>
      <c r="DG70" s="12"/>
      <c r="DH70" s="7" t="s">
        <v>291</v>
      </c>
      <c r="DI70" s="7" t="s">
        <v>292</v>
      </c>
      <c r="DJ70" s="1">
        <v>1</v>
      </c>
      <c r="DK70" s="1">
        <v>5</v>
      </c>
      <c r="DL70" s="12"/>
      <c r="DM70" s="7" t="s">
        <v>291</v>
      </c>
      <c r="DN70" s="7" t="s">
        <v>296</v>
      </c>
      <c r="DO70" s="1">
        <v>1</v>
      </c>
      <c r="DP70" s="1">
        <v>6</v>
      </c>
      <c r="DQ70" s="12"/>
      <c r="DR70" s="7" t="s">
        <v>300</v>
      </c>
      <c r="DS70" s="7" t="s">
        <v>296</v>
      </c>
      <c r="DT70" s="1">
        <v>2</v>
      </c>
      <c r="DU70" s="1">
        <v>6</v>
      </c>
      <c r="DV70" s="12"/>
      <c r="DW70" s="7" t="s">
        <v>300</v>
      </c>
      <c r="DX70" s="7" t="s">
        <v>296</v>
      </c>
      <c r="DY70" s="1">
        <v>2</v>
      </c>
      <c r="DZ70" s="1">
        <v>6</v>
      </c>
      <c r="EA70" s="12"/>
      <c r="EB70" s="7" t="s">
        <v>291</v>
      </c>
      <c r="EC70" s="7" t="s">
        <v>296</v>
      </c>
      <c r="ED70" s="1">
        <v>1</v>
      </c>
      <c r="EE70" s="1">
        <v>6</v>
      </c>
      <c r="EF70" s="12"/>
      <c r="EG70" s="7" t="s">
        <v>300</v>
      </c>
      <c r="EH70" s="7" t="s">
        <v>296</v>
      </c>
      <c r="EI70" s="1">
        <v>2</v>
      </c>
      <c r="EJ70" s="1">
        <v>6</v>
      </c>
      <c r="EK70" s="12"/>
      <c r="EL70" s="7" t="s">
        <v>300</v>
      </c>
      <c r="EM70" s="7" t="s">
        <v>296</v>
      </c>
      <c r="EN70" s="1">
        <v>2</v>
      </c>
      <c r="EO70" s="1">
        <v>6</v>
      </c>
      <c r="EP70" s="12"/>
      <c r="EQ70" s="7" t="s">
        <v>301</v>
      </c>
      <c r="ER70" s="7" t="s">
        <v>296</v>
      </c>
      <c r="ES70" s="1">
        <v>5</v>
      </c>
      <c r="ET70" s="1">
        <v>6</v>
      </c>
      <c r="EU70" s="12"/>
      <c r="EV70" s="7" t="s">
        <v>300</v>
      </c>
      <c r="EW70" s="7" t="s">
        <v>296</v>
      </c>
      <c r="EX70" s="1">
        <v>2</v>
      </c>
      <c r="EY70" s="1">
        <v>6</v>
      </c>
      <c r="EZ70" s="12"/>
      <c r="FA70" s="7" t="s">
        <v>301</v>
      </c>
      <c r="FB70" s="7" t="s">
        <v>296</v>
      </c>
      <c r="FC70" s="1">
        <v>5</v>
      </c>
      <c r="FD70" s="1">
        <v>6</v>
      </c>
      <c r="FE70" s="12"/>
      <c r="FF70" s="7" t="s">
        <v>301</v>
      </c>
      <c r="FG70" s="7" t="s">
        <v>296</v>
      </c>
      <c r="FH70" s="1">
        <v>5</v>
      </c>
      <c r="FI70" s="1">
        <v>6</v>
      </c>
      <c r="FJ70" s="12"/>
      <c r="FK70" s="7" t="s">
        <v>300</v>
      </c>
      <c r="FL70" s="7" t="s">
        <v>296</v>
      </c>
      <c r="FM70" s="1">
        <v>2</v>
      </c>
      <c r="FN70" s="1">
        <v>6</v>
      </c>
      <c r="FO70" s="12"/>
      <c r="FP70" s="7" t="s">
        <v>291</v>
      </c>
      <c r="FQ70" s="7" t="s">
        <v>296</v>
      </c>
      <c r="FR70" s="1">
        <v>1</v>
      </c>
      <c r="FS70" s="1">
        <v>6</v>
      </c>
      <c r="FT70" s="10"/>
      <c r="FU70" s="7" t="s">
        <v>1119</v>
      </c>
      <c r="FV70" s="7" t="s">
        <v>1120</v>
      </c>
      <c r="FW70" s="7" t="s">
        <v>1121</v>
      </c>
      <c r="FX70" s="7" t="s">
        <v>1122</v>
      </c>
      <c r="FY70" s="7" t="s">
        <v>1123</v>
      </c>
      <c r="FZ70" s="7" t="s">
        <v>1124</v>
      </c>
      <c r="GA70" s="7" t="s">
        <v>1125</v>
      </c>
      <c r="GB70" s="7" t="s">
        <v>1126</v>
      </c>
      <c r="GC70" s="7" t="s">
        <v>1127</v>
      </c>
      <c r="GD70" s="7" t="s">
        <v>1127</v>
      </c>
      <c r="GE70" s="7" t="s">
        <v>282</v>
      </c>
      <c r="GF70" s="7" t="s">
        <v>282</v>
      </c>
      <c r="GG70" s="7" t="s">
        <v>372</v>
      </c>
      <c r="GH70" s="7" t="s">
        <v>325</v>
      </c>
    </row>
    <row r="71" spans="1:190" x14ac:dyDescent="0.2">
      <c r="A71">
        <v>69</v>
      </c>
      <c r="B71">
        <v>100</v>
      </c>
      <c r="C71">
        <v>2221</v>
      </c>
      <c r="D71" s="7" t="s">
        <v>280</v>
      </c>
      <c r="E71" s="7" t="s">
        <v>286</v>
      </c>
      <c r="F71" s="7" t="s">
        <v>287</v>
      </c>
      <c r="G71" s="4" t="s">
        <v>312</v>
      </c>
      <c r="H71" s="7" t="s">
        <v>288</v>
      </c>
      <c r="I71" s="1">
        <v>5</v>
      </c>
      <c r="J71" s="7" t="s">
        <v>329</v>
      </c>
      <c r="K71" s="1">
        <v>3</v>
      </c>
      <c r="L71" s="7" t="s">
        <v>290</v>
      </c>
      <c r="M71" s="1">
        <v>4</v>
      </c>
      <c r="N71" s="7" t="s">
        <v>317</v>
      </c>
      <c r="O71" s="1">
        <v>2</v>
      </c>
      <c r="P71" s="12"/>
      <c r="Q71" s="7" t="s">
        <v>291</v>
      </c>
      <c r="R71" s="7" t="s">
        <v>296</v>
      </c>
      <c r="S71" s="1">
        <v>1</v>
      </c>
      <c r="T71" s="1">
        <v>6</v>
      </c>
      <c r="U71" s="12"/>
      <c r="V71" s="7" t="s">
        <v>293</v>
      </c>
      <c r="W71" s="7" t="s">
        <v>296</v>
      </c>
      <c r="X71" s="1">
        <v>2</v>
      </c>
      <c r="Y71" s="1">
        <v>6</v>
      </c>
      <c r="Z71" s="12"/>
      <c r="AA71" s="7" t="s">
        <v>293</v>
      </c>
      <c r="AB71" s="7" t="s">
        <v>296</v>
      </c>
      <c r="AC71" s="1">
        <v>2</v>
      </c>
      <c r="AD71" s="1">
        <v>6</v>
      </c>
      <c r="AE71" s="12"/>
      <c r="AF71" s="7" t="s">
        <v>299</v>
      </c>
      <c r="AG71" s="7" t="s">
        <v>292</v>
      </c>
      <c r="AH71" s="1">
        <v>4</v>
      </c>
      <c r="AI71" s="1">
        <v>5</v>
      </c>
      <c r="AJ71" s="12"/>
      <c r="AK71" s="7" t="s">
        <v>299</v>
      </c>
      <c r="AL71" s="7" t="s">
        <v>294</v>
      </c>
      <c r="AM71" s="1">
        <v>4</v>
      </c>
      <c r="AN71" s="1">
        <v>7</v>
      </c>
      <c r="AO71" s="12"/>
      <c r="AP71" s="7" t="s">
        <v>291</v>
      </c>
      <c r="AQ71" s="7" t="s">
        <v>292</v>
      </c>
      <c r="AR71" s="1">
        <v>1</v>
      </c>
      <c r="AS71" s="1">
        <v>5</v>
      </c>
      <c r="AT71" s="12"/>
      <c r="AU71" s="7" t="s">
        <v>293</v>
      </c>
      <c r="AV71" s="7" t="s">
        <v>296</v>
      </c>
      <c r="AW71" s="1">
        <v>2</v>
      </c>
      <c r="AX71" s="1">
        <v>6</v>
      </c>
      <c r="AY71" s="12"/>
      <c r="AZ71" s="7" t="s">
        <v>291</v>
      </c>
      <c r="BA71" s="7" t="s">
        <v>292</v>
      </c>
      <c r="BB71" s="1">
        <v>1</v>
      </c>
      <c r="BC71" s="1">
        <v>5</v>
      </c>
      <c r="BD71" s="12"/>
      <c r="BE71" s="7" t="s">
        <v>299</v>
      </c>
      <c r="BF71" s="7" t="s">
        <v>292</v>
      </c>
      <c r="BG71" s="1">
        <v>4</v>
      </c>
      <c r="BH71" s="1">
        <v>5</v>
      </c>
      <c r="BI71" s="12"/>
      <c r="BJ71" s="7" t="s">
        <v>298</v>
      </c>
      <c r="BK71" s="7" t="s">
        <v>296</v>
      </c>
      <c r="BL71" s="1">
        <v>3</v>
      </c>
      <c r="BM71" s="1">
        <v>6</v>
      </c>
      <c r="BN71" s="12"/>
      <c r="BO71" s="7" t="s">
        <v>291</v>
      </c>
      <c r="BP71" s="7" t="s">
        <v>296</v>
      </c>
      <c r="BQ71" s="1">
        <v>1</v>
      </c>
      <c r="BR71" s="1">
        <v>6</v>
      </c>
      <c r="BS71" s="12"/>
      <c r="BT71" s="7" t="s">
        <v>293</v>
      </c>
      <c r="BU71" s="7" t="s">
        <v>296</v>
      </c>
      <c r="BV71" s="1">
        <v>2</v>
      </c>
      <c r="BW71" s="1">
        <v>6</v>
      </c>
      <c r="BX71" s="12"/>
      <c r="BY71" s="7" t="s">
        <v>291</v>
      </c>
      <c r="BZ71" s="7" t="s">
        <v>296</v>
      </c>
      <c r="CA71" s="1">
        <v>1</v>
      </c>
      <c r="CB71" s="1">
        <v>6</v>
      </c>
      <c r="CC71" s="12"/>
      <c r="CD71" s="7" t="s">
        <v>295</v>
      </c>
      <c r="CE71" s="7" t="s">
        <v>296</v>
      </c>
      <c r="CF71" s="1">
        <v>5</v>
      </c>
      <c r="CG71" s="1">
        <v>6</v>
      </c>
      <c r="CH71" s="12"/>
      <c r="CI71" s="7" t="s">
        <v>298</v>
      </c>
      <c r="CJ71" s="7" t="s">
        <v>292</v>
      </c>
      <c r="CK71" s="1">
        <v>3</v>
      </c>
      <c r="CL71" s="1">
        <v>5</v>
      </c>
      <c r="CM71" s="12"/>
      <c r="CN71" s="7" t="s">
        <v>291</v>
      </c>
      <c r="CO71" s="7" t="s">
        <v>296</v>
      </c>
      <c r="CP71" s="1">
        <v>1</v>
      </c>
      <c r="CQ71" s="1">
        <v>6</v>
      </c>
      <c r="CR71" s="12"/>
      <c r="CS71" s="7" t="s">
        <v>293</v>
      </c>
      <c r="CT71" s="7" t="s">
        <v>296</v>
      </c>
      <c r="CU71" s="1">
        <v>2</v>
      </c>
      <c r="CV71" s="1">
        <v>6</v>
      </c>
      <c r="CW71" s="12"/>
      <c r="CX71" s="7" t="s">
        <v>291</v>
      </c>
      <c r="CY71" s="7" t="s">
        <v>296</v>
      </c>
      <c r="CZ71" s="1">
        <v>1</v>
      </c>
      <c r="DA71" s="1">
        <v>6</v>
      </c>
      <c r="DB71" s="12"/>
      <c r="DC71" s="7" t="s">
        <v>295</v>
      </c>
      <c r="DD71" s="7" t="s">
        <v>296</v>
      </c>
      <c r="DE71" s="1">
        <v>5</v>
      </c>
      <c r="DF71" s="1">
        <v>6</v>
      </c>
      <c r="DG71" s="12"/>
      <c r="DH71" s="7" t="s">
        <v>298</v>
      </c>
      <c r="DI71" s="7" t="s">
        <v>292</v>
      </c>
      <c r="DJ71" s="1">
        <v>3</v>
      </c>
      <c r="DK71" s="1">
        <v>5</v>
      </c>
      <c r="DL71" s="12"/>
      <c r="DM71" s="7" t="s">
        <v>282</v>
      </c>
      <c r="DN71" s="7" t="s">
        <v>292</v>
      </c>
      <c r="DO71" s="4" t="s">
        <v>282</v>
      </c>
      <c r="DP71" s="1">
        <v>5</v>
      </c>
      <c r="DQ71" s="12"/>
      <c r="DR71" s="7" t="s">
        <v>300</v>
      </c>
      <c r="DS71" s="7" t="s">
        <v>294</v>
      </c>
      <c r="DT71" s="1">
        <v>2</v>
      </c>
      <c r="DU71" s="1">
        <v>7</v>
      </c>
      <c r="DV71" s="12"/>
      <c r="DW71" s="7" t="s">
        <v>301</v>
      </c>
      <c r="DX71" s="7" t="s">
        <v>292</v>
      </c>
      <c r="DY71" s="1">
        <v>5</v>
      </c>
      <c r="DZ71" s="1">
        <v>5</v>
      </c>
      <c r="EA71" s="12"/>
      <c r="EB71" s="7" t="s">
        <v>291</v>
      </c>
      <c r="EC71" s="7" t="s">
        <v>294</v>
      </c>
      <c r="ED71" s="1">
        <v>1</v>
      </c>
      <c r="EE71" s="1">
        <v>7</v>
      </c>
      <c r="EF71" s="12"/>
      <c r="EG71" s="7" t="s">
        <v>300</v>
      </c>
      <c r="EH71" s="7" t="s">
        <v>296</v>
      </c>
      <c r="EI71" s="1">
        <v>2</v>
      </c>
      <c r="EJ71" s="1">
        <v>6</v>
      </c>
      <c r="EK71" s="12"/>
      <c r="EL71" s="7" t="s">
        <v>282</v>
      </c>
      <c r="EM71" s="7" t="s">
        <v>292</v>
      </c>
      <c r="EN71" s="4" t="s">
        <v>282</v>
      </c>
      <c r="EO71" s="1">
        <v>5</v>
      </c>
      <c r="EP71" s="12"/>
      <c r="EQ71" s="7" t="s">
        <v>291</v>
      </c>
      <c r="ER71" s="7" t="s">
        <v>296</v>
      </c>
      <c r="ES71" s="1">
        <v>1</v>
      </c>
      <c r="ET71" s="1">
        <v>6</v>
      </c>
      <c r="EU71" s="12"/>
      <c r="EV71" s="7" t="s">
        <v>300</v>
      </c>
      <c r="EW71" s="7" t="s">
        <v>296</v>
      </c>
      <c r="EX71" s="1">
        <v>2</v>
      </c>
      <c r="EY71" s="1">
        <v>6</v>
      </c>
      <c r="EZ71" s="12"/>
      <c r="FA71" s="7" t="s">
        <v>301</v>
      </c>
      <c r="FB71" s="7" t="s">
        <v>292</v>
      </c>
      <c r="FC71" s="1">
        <v>5</v>
      </c>
      <c r="FD71" s="1">
        <v>5</v>
      </c>
      <c r="FE71" s="12"/>
      <c r="FF71" s="7" t="s">
        <v>291</v>
      </c>
      <c r="FG71" s="7" t="s">
        <v>294</v>
      </c>
      <c r="FH71" s="1">
        <v>1</v>
      </c>
      <c r="FI71" s="1">
        <v>7</v>
      </c>
      <c r="FJ71" s="12"/>
      <c r="FK71" s="7" t="s">
        <v>300</v>
      </c>
      <c r="FL71" s="7" t="s">
        <v>294</v>
      </c>
      <c r="FM71" s="1">
        <v>2</v>
      </c>
      <c r="FN71" s="1">
        <v>7</v>
      </c>
      <c r="FO71" s="12"/>
      <c r="FP71" s="7" t="s">
        <v>291</v>
      </c>
      <c r="FQ71" s="7" t="s">
        <v>296</v>
      </c>
      <c r="FR71" s="1">
        <v>1</v>
      </c>
      <c r="FS71" s="1">
        <v>6</v>
      </c>
      <c r="FT71" s="10"/>
      <c r="FU71" s="7" t="s">
        <v>1130</v>
      </c>
      <c r="FV71" s="7" t="s">
        <v>1131</v>
      </c>
      <c r="FW71" s="7" t="s">
        <v>1132</v>
      </c>
      <c r="FX71" s="7" t="s">
        <v>1133</v>
      </c>
      <c r="FY71" s="7" t="s">
        <v>1134</v>
      </c>
      <c r="FZ71" s="7" t="s">
        <v>1135</v>
      </c>
      <c r="GA71" s="7" t="s">
        <v>1136</v>
      </c>
      <c r="GB71" s="7" t="s">
        <v>1137</v>
      </c>
      <c r="GC71" s="7" t="s">
        <v>1138</v>
      </c>
      <c r="GD71" s="7" t="s">
        <v>1139</v>
      </c>
      <c r="GE71" s="7" t="s">
        <v>1140</v>
      </c>
      <c r="GF71" s="7" t="s">
        <v>282</v>
      </c>
      <c r="GG71" s="7" t="s">
        <v>356</v>
      </c>
      <c r="GH71" s="7" t="s">
        <v>313</v>
      </c>
    </row>
    <row r="72" spans="1:190" x14ac:dyDescent="0.2">
      <c r="A72">
        <v>70</v>
      </c>
      <c r="B72">
        <v>100</v>
      </c>
      <c r="C72">
        <v>951</v>
      </c>
      <c r="D72" s="7" t="s">
        <v>280</v>
      </c>
      <c r="E72" s="7" t="s">
        <v>412</v>
      </c>
      <c r="F72" s="7" t="s">
        <v>402</v>
      </c>
      <c r="G72" s="4" t="s">
        <v>1282</v>
      </c>
      <c r="H72" s="7" t="s">
        <v>288</v>
      </c>
      <c r="I72" s="1">
        <v>5</v>
      </c>
      <c r="J72" s="7" t="s">
        <v>289</v>
      </c>
      <c r="K72" s="1">
        <v>1</v>
      </c>
      <c r="L72" s="7" t="s">
        <v>289</v>
      </c>
      <c r="M72" s="1">
        <v>1</v>
      </c>
      <c r="N72" s="7" t="s">
        <v>317</v>
      </c>
      <c r="O72" s="1">
        <v>2</v>
      </c>
      <c r="P72" s="12"/>
      <c r="Q72" s="7" t="s">
        <v>291</v>
      </c>
      <c r="R72" s="7" t="s">
        <v>292</v>
      </c>
      <c r="S72" s="1">
        <v>1</v>
      </c>
      <c r="T72" s="1">
        <v>5</v>
      </c>
      <c r="U72" s="12"/>
      <c r="V72" s="7" t="s">
        <v>293</v>
      </c>
      <c r="W72" s="7" t="s">
        <v>296</v>
      </c>
      <c r="X72" s="1">
        <v>2</v>
      </c>
      <c r="Y72" s="1">
        <v>6</v>
      </c>
      <c r="Z72" s="12"/>
      <c r="AA72" s="7" t="s">
        <v>293</v>
      </c>
      <c r="AB72" s="7" t="s">
        <v>296</v>
      </c>
      <c r="AC72" s="1">
        <v>2</v>
      </c>
      <c r="AD72" s="1">
        <v>6</v>
      </c>
      <c r="AE72" s="12"/>
      <c r="AF72" s="7" t="s">
        <v>295</v>
      </c>
      <c r="AG72" s="7" t="s">
        <v>292</v>
      </c>
      <c r="AH72" s="1">
        <v>5</v>
      </c>
      <c r="AI72" s="1">
        <v>5</v>
      </c>
      <c r="AJ72" s="12"/>
      <c r="AK72" s="7" t="s">
        <v>295</v>
      </c>
      <c r="AL72" s="7" t="s">
        <v>292</v>
      </c>
      <c r="AM72" s="1">
        <v>5</v>
      </c>
      <c r="AN72" s="1">
        <v>5</v>
      </c>
      <c r="AO72" s="12"/>
      <c r="AP72" s="7" t="s">
        <v>298</v>
      </c>
      <c r="AQ72" s="7" t="s">
        <v>292</v>
      </c>
      <c r="AR72" s="1">
        <v>3</v>
      </c>
      <c r="AS72" s="1">
        <v>5</v>
      </c>
      <c r="AT72" s="12"/>
      <c r="AU72" s="7" t="s">
        <v>293</v>
      </c>
      <c r="AV72" s="7" t="s">
        <v>292</v>
      </c>
      <c r="AW72" s="1">
        <v>2</v>
      </c>
      <c r="AX72" s="1">
        <v>5</v>
      </c>
      <c r="AY72" s="12"/>
      <c r="AZ72" s="7" t="s">
        <v>298</v>
      </c>
      <c r="BA72" s="7" t="s">
        <v>296</v>
      </c>
      <c r="BB72" s="1">
        <v>3</v>
      </c>
      <c r="BC72" s="1">
        <v>6</v>
      </c>
      <c r="BD72" s="12"/>
      <c r="BE72" s="7" t="s">
        <v>295</v>
      </c>
      <c r="BF72" s="7" t="s">
        <v>296</v>
      </c>
      <c r="BG72" s="1">
        <v>5</v>
      </c>
      <c r="BH72" s="1">
        <v>6</v>
      </c>
      <c r="BI72" s="12"/>
      <c r="BJ72" s="7" t="s">
        <v>298</v>
      </c>
      <c r="BK72" s="7" t="s">
        <v>292</v>
      </c>
      <c r="BL72" s="1">
        <v>3</v>
      </c>
      <c r="BM72" s="1">
        <v>5</v>
      </c>
      <c r="BN72" s="12"/>
      <c r="BO72" s="7" t="s">
        <v>291</v>
      </c>
      <c r="BP72" s="7" t="s">
        <v>292</v>
      </c>
      <c r="BQ72" s="1">
        <v>1</v>
      </c>
      <c r="BR72" s="1">
        <v>5</v>
      </c>
      <c r="BS72" s="12"/>
      <c r="BT72" s="7" t="s">
        <v>293</v>
      </c>
      <c r="BU72" s="7" t="s">
        <v>296</v>
      </c>
      <c r="BV72" s="1">
        <v>2</v>
      </c>
      <c r="BW72" s="1">
        <v>6</v>
      </c>
      <c r="BX72" s="12"/>
      <c r="BY72" s="7" t="s">
        <v>298</v>
      </c>
      <c r="BZ72" s="7" t="s">
        <v>292</v>
      </c>
      <c r="CA72" s="1">
        <v>3</v>
      </c>
      <c r="CB72" s="1">
        <v>5</v>
      </c>
      <c r="CC72" s="12"/>
      <c r="CD72" s="7" t="s">
        <v>295</v>
      </c>
      <c r="CE72" s="7" t="s">
        <v>292</v>
      </c>
      <c r="CF72" s="1">
        <v>5</v>
      </c>
      <c r="CG72" s="1">
        <v>5</v>
      </c>
      <c r="CH72" s="12"/>
      <c r="CI72" s="7" t="s">
        <v>291</v>
      </c>
      <c r="CJ72" s="7" t="s">
        <v>296</v>
      </c>
      <c r="CK72" s="1">
        <v>1</v>
      </c>
      <c r="CL72" s="1">
        <v>6</v>
      </c>
      <c r="CM72" s="12"/>
      <c r="CN72" s="7" t="s">
        <v>298</v>
      </c>
      <c r="CO72" s="7" t="s">
        <v>292</v>
      </c>
      <c r="CP72" s="1">
        <v>3</v>
      </c>
      <c r="CQ72" s="1">
        <v>5</v>
      </c>
      <c r="CR72" s="12"/>
      <c r="CS72" s="7" t="s">
        <v>293</v>
      </c>
      <c r="CT72" s="7" t="s">
        <v>296</v>
      </c>
      <c r="CU72" s="1">
        <v>2</v>
      </c>
      <c r="CV72" s="1">
        <v>6</v>
      </c>
      <c r="CW72" s="12"/>
      <c r="CX72" s="7" t="s">
        <v>299</v>
      </c>
      <c r="CY72" s="7" t="s">
        <v>296</v>
      </c>
      <c r="CZ72" s="1">
        <v>4</v>
      </c>
      <c r="DA72" s="1">
        <v>6</v>
      </c>
      <c r="DB72" s="12"/>
      <c r="DC72" s="7" t="s">
        <v>298</v>
      </c>
      <c r="DD72" s="7" t="s">
        <v>292</v>
      </c>
      <c r="DE72" s="1">
        <v>3</v>
      </c>
      <c r="DF72" s="1">
        <v>5</v>
      </c>
      <c r="DG72" s="12"/>
      <c r="DH72" s="7" t="s">
        <v>291</v>
      </c>
      <c r="DI72" s="7" t="s">
        <v>296</v>
      </c>
      <c r="DJ72" s="1">
        <v>1</v>
      </c>
      <c r="DK72" s="1">
        <v>6</v>
      </c>
      <c r="DL72" s="12"/>
      <c r="DM72" s="7" t="s">
        <v>301</v>
      </c>
      <c r="DN72" s="7" t="s">
        <v>292</v>
      </c>
      <c r="DO72" s="1">
        <v>5</v>
      </c>
      <c r="DP72" s="1">
        <v>5</v>
      </c>
      <c r="DQ72" s="12"/>
      <c r="DR72" s="7" t="s">
        <v>300</v>
      </c>
      <c r="DS72" s="7" t="s">
        <v>292</v>
      </c>
      <c r="DT72" s="1">
        <v>2</v>
      </c>
      <c r="DU72" s="1">
        <v>5</v>
      </c>
      <c r="DV72" s="12"/>
      <c r="DW72" s="7" t="s">
        <v>301</v>
      </c>
      <c r="DX72" s="7" t="s">
        <v>296</v>
      </c>
      <c r="DY72" s="1">
        <v>5</v>
      </c>
      <c r="DZ72" s="1">
        <v>6</v>
      </c>
      <c r="EA72" s="12"/>
      <c r="EB72" s="7" t="s">
        <v>291</v>
      </c>
      <c r="EC72" s="7" t="s">
        <v>296</v>
      </c>
      <c r="ED72" s="1">
        <v>1</v>
      </c>
      <c r="EE72" s="1">
        <v>6</v>
      </c>
      <c r="EF72" s="12"/>
      <c r="EG72" s="7" t="s">
        <v>300</v>
      </c>
      <c r="EH72" s="7" t="s">
        <v>292</v>
      </c>
      <c r="EI72" s="1">
        <v>2</v>
      </c>
      <c r="EJ72" s="1">
        <v>5</v>
      </c>
      <c r="EK72" s="12"/>
      <c r="EL72" s="7" t="s">
        <v>291</v>
      </c>
      <c r="EM72" s="7" t="s">
        <v>296</v>
      </c>
      <c r="EN72" s="1">
        <v>1</v>
      </c>
      <c r="EO72" s="1">
        <v>6</v>
      </c>
      <c r="EP72" s="12"/>
      <c r="EQ72" s="7" t="s">
        <v>291</v>
      </c>
      <c r="ER72" s="7" t="s">
        <v>292</v>
      </c>
      <c r="ES72" s="1">
        <v>1</v>
      </c>
      <c r="ET72" s="1">
        <v>5</v>
      </c>
      <c r="EU72" s="12"/>
      <c r="EV72" s="7" t="s">
        <v>300</v>
      </c>
      <c r="EW72" s="7" t="s">
        <v>292</v>
      </c>
      <c r="EX72" s="1">
        <v>2</v>
      </c>
      <c r="EY72" s="1">
        <v>5</v>
      </c>
      <c r="EZ72" s="12"/>
      <c r="FA72" s="7" t="s">
        <v>301</v>
      </c>
      <c r="FB72" s="7" t="s">
        <v>292</v>
      </c>
      <c r="FC72" s="1">
        <v>5</v>
      </c>
      <c r="FD72" s="1">
        <v>5</v>
      </c>
      <c r="FE72" s="12"/>
      <c r="FF72" s="7" t="s">
        <v>291</v>
      </c>
      <c r="FG72" s="7" t="s">
        <v>296</v>
      </c>
      <c r="FH72" s="1">
        <v>1</v>
      </c>
      <c r="FI72" s="1">
        <v>6</v>
      </c>
      <c r="FJ72" s="12"/>
      <c r="FK72" s="7" t="s">
        <v>300</v>
      </c>
      <c r="FL72" s="7" t="s">
        <v>292</v>
      </c>
      <c r="FM72" s="1">
        <v>2</v>
      </c>
      <c r="FN72" s="1">
        <v>5</v>
      </c>
      <c r="FO72" s="12"/>
      <c r="FP72" s="7" t="s">
        <v>301</v>
      </c>
      <c r="FQ72" s="7" t="s">
        <v>292</v>
      </c>
      <c r="FR72" s="1">
        <v>5</v>
      </c>
      <c r="FS72" s="1">
        <v>5</v>
      </c>
      <c r="FT72" s="10"/>
      <c r="FU72" s="7" t="s">
        <v>1143</v>
      </c>
      <c r="FV72" s="7" t="s">
        <v>1144</v>
      </c>
      <c r="FW72" s="7" t="s">
        <v>1145</v>
      </c>
      <c r="FX72" s="7" t="s">
        <v>1145</v>
      </c>
      <c r="FY72" s="7" t="s">
        <v>1146</v>
      </c>
      <c r="FZ72" s="7" t="s">
        <v>1147</v>
      </c>
      <c r="GA72" s="7" t="s">
        <v>1148</v>
      </c>
      <c r="GB72" s="7" t="s">
        <v>1149</v>
      </c>
      <c r="GC72" s="7" t="s">
        <v>1150</v>
      </c>
      <c r="GD72" s="7" t="s">
        <v>1151</v>
      </c>
      <c r="GE72" s="7" t="s">
        <v>282</v>
      </c>
      <c r="GF72" s="7" t="s">
        <v>1152</v>
      </c>
      <c r="GG72" s="7" t="s">
        <v>356</v>
      </c>
      <c r="GH72" s="7" t="s">
        <v>313</v>
      </c>
    </row>
    <row r="73" spans="1:190" x14ac:dyDescent="0.2">
      <c r="A73">
        <v>71</v>
      </c>
      <c r="B73">
        <v>100</v>
      </c>
      <c r="C73">
        <v>1470</v>
      </c>
      <c r="D73" s="7" t="s">
        <v>280</v>
      </c>
      <c r="E73" s="7" t="s">
        <v>286</v>
      </c>
      <c r="F73" s="7" t="s">
        <v>375</v>
      </c>
      <c r="G73" s="4" t="s">
        <v>497</v>
      </c>
      <c r="H73" s="7" t="s">
        <v>288</v>
      </c>
      <c r="I73" s="1">
        <v>5</v>
      </c>
      <c r="J73" s="7" t="s">
        <v>290</v>
      </c>
      <c r="K73" s="1">
        <v>4</v>
      </c>
      <c r="L73" s="7" t="s">
        <v>290</v>
      </c>
      <c r="M73" s="1">
        <v>4</v>
      </c>
      <c r="N73" s="7" t="s">
        <v>289</v>
      </c>
      <c r="O73" s="1">
        <v>1</v>
      </c>
      <c r="P73" s="12"/>
      <c r="Q73" s="7" t="s">
        <v>298</v>
      </c>
      <c r="R73" s="7" t="s">
        <v>296</v>
      </c>
      <c r="S73" s="1">
        <v>3</v>
      </c>
      <c r="T73" s="1">
        <v>6</v>
      </c>
      <c r="U73" s="12"/>
      <c r="V73" s="7" t="s">
        <v>293</v>
      </c>
      <c r="W73" s="7" t="s">
        <v>296</v>
      </c>
      <c r="X73" s="1">
        <v>2</v>
      </c>
      <c r="Y73" s="1">
        <v>6</v>
      </c>
      <c r="Z73" s="12"/>
      <c r="AA73" s="7" t="s">
        <v>299</v>
      </c>
      <c r="AB73" s="7" t="s">
        <v>297</v>
      </c>
      <c r="AC73" s="1">
        <v>4</v>
      </c>
      <c r="AD73" s="1">
        <v>4</v>
      </c>
      <c r="AE73" s="12"/>
      <c r="AF73" s="7" t="s">
        <v>295</v>
      </c>
      <c r="AG73" s="7" t="s">
        <v>296</v>
      </c>
      <c r="AH73" s="1">
        <v>5</v>
      </c>
      <c r="AI73" s="1">
        <v>6</v>
      </c>
      <c r="AJ73" s="12"/>
      <c r="AK73" s="7" t="s">
        <v>295</v>
      </c>
      <c r="AL73" s="7" t="s">
        <v>294</v>
      </c>
      <c r="AM73" s="1">
        <v>5</v>
      </c>
      <c r="AN73" s="1">
        <v>7</v>
      </c>
      <c r="AO73" s="12"/>
      <c r="AP73" s="7" t="s">
        <v>291</v>
      </c>
      <c r="AQ73" s="7" t="s">
        <v>292</v>
      </c>
      <c r="AR73" s="1">
        <v>1</v>
      </c>
      <c r="AS73" s="1">
        <v>5</v>
      </c>
      <c r="AT73" s="12"/>
      <c r="AU73" s="7" t="s">
        <v>293</v>
      </c>
      <c r="AV73" s="7" t="s">
        <v>297</v>
      </c>
      <c r="AW73" s="1">
        <v>2</v>
      </c>
      <c r="AX73" s="1">
        <v>4</v>
      </c>
      <c r="AY73" s="12"/>
      <c r="AZ73" s="7" t="s">
        <v>291</v>
      </c>
      <c r="BA73" s="7" t="s">
        <v>296</v>
      </c>
      <c r="BB73" s="1">
        <v>1</v>
      </c>
      <c r="BC73" s="1">
        <v>6</v>
      </c>
      <c r="BD73" s="12"/>
      <c r="BE73" s="7" t="s">
        <v>295</v>
      </c>
      <c r="BF73" s="7" t="s">
        <v>294</v>
      </c>
      <c r="BG73" s="1">
        <v>5</v>
      </c>
      <c r="BH73" s="1">
        <v>7</v>
      </c>
      <c r="BI73" s="12"/>
      <c r="BJ73" s="7" t="s">
        <v>298</v>
      </c>
      <c r="BK73" s="7" t="s">
        <v>292</v>
      </c>
      <c r="BL73" s="1">
        <v>3</v>
      </c>
      <c r="BM73" s="1">
        <v>5</v>
      </c>
      <c r="BN73" s="12"/>
      <c r="BO73" s="7" t="s">
        <v>298</v>
      </c>
      <c r="BP73" s="7" t="s">
        <v>296</v>
      </c>
      <c r="BQ73" s="1">
        <v>3</v>
      </c>
      <c r="BR73" s="1">
        <v>6</v>
      </c>
      <c r="BS73" s="12"/>
      <c r="BT73" s="7" t="s">
        <v>293</v>
      </c>
      <c r="BU73" s="7" t="s">
        <v>297</v>
      </c>
      <c r="BV73" s="1">
        <v>2</v>
      </c>
      <c r="BW73" s="1">
        <v>4</v>
      </c>
      <c r="BX73" s="12"/>
      <c r="BY73" s="7" t="s">
        <v>291</v>
      </c>
      <c r="BZ73" s="7" t="s">
        <v>296</v>
      </c>
      <c r="CA73" s="1">
        <v>1</v>
      </c>
      <c r="CB73" s="1">
        <v>6</v>
      </c>
      <c r="CC73" s="12"/>
      <c r="CD73" s="7" t="s">
        <v>298</v>
      </c>
      <c r="CE73" s="7" t="s">
        <v>296</v>
      </c>
      <c r="CF73" s="1">
        <v>3</v>
      </c>
      <c r="CG73" s="1">
        <v>6</v>
      </c>
      <c r="CH73" s="12"/>
      <c r="CI73" s="7" t="s">
        <v>291</v>
      </c>
      <c r="CJ73" s="7" t="s">
        <v>296</v>
      </c>
      <c r="CK73" s="1">
        <v>1</v>
      </c>
      <c r="CL73" s="1">
        <v>6</v>
      </c>
      <c r="CM73" s="12"/>
      <c r="CN73" s="7" t="s">
        <v>291</v>
      </c>
      <c r="CO73" s="7" t="s">
        <v>296</v>
      </c>
      <c r="CP73" s="1">
        <v>1</v>
      </c>
      <c r="CQ73" s="1">
        <v>6</v>
      </c>
      <c r="CR73" s="12"/>
      <c r="CS73" s="7" t="s">
        <v>293</v>
      </c>
      <c r="CT73" s="7" t="s">
        <v>296</v>
      </c>
      <c r="CU73" s="1">
        <v>2</v>
      </c>
      <c r="CV73" s="1">
        <v>6</v>
      </c>
      <c r="CW73" s="12"/>
      <c r="CX73" s="7" t="s">
        <v>291</v>
      </c>
      <c r="CY73" s="7" t="s">
        <v>297</v>
      </c>
      <c r="CZ73" s="1">
        <v>1</v>
      </c>
      <c r="DA73" s="1">
        <v>4</v>
      </c>
      <c r="DB73" s="12"/>
      <c r="DC73" s="7" t="s">
        <v>298</v>
      </c>
      <c r="DD73" s="7" t="s">
        <v>292</v>
      </c>
      <c r="DE73" s="1">
        <v>3</v>
      </c>
      <c r="DF73" s="1">
        <v>5</v>
      </c>
      <c r="DG73" s="12"/>
      <c r="DH73" s="7" t="s">
        <v>291</v>
      </c>
      <c r="DI73" s="7" t="s">
        <v>296</v>
      </c>
      <c r="DJ73" s="1">
        <v>1</v>
      </c>
      <c r="DK73" s="1">
        <v>6</v>
      </c>
      <c r="DL73" s="12"/>
      <c r="DM73" s="7" t="s">
        <v>301</v>
      </c>
      <c r="DN73" s="7" t="s">
        <v>292</v>
      </c>
      <c r="DO73" s="1">
        <v>5</v>
      </c>
      <c r="DP73" s="1">
        <v>5</v>
      </c>
      <c r="DQ73" s="12"/>
      <c r="DR73" s="7" t="s">
        <v>300</v>
      </c>
      <c r="DS73" s="7" t="s">
        <v>294</v>
      </c>
      <c r="DT73" s="1">
        <v>2</v>
      </c>
      <c r="DU73" s="1">
        <v>7</v>
      </c>
      <c r="DV73" s="12"/>
      <c r="DW73" s="7" t="s">
        <v>301</v>
      </c>
      <c r="DX73" s="7" t="s">
        <v>294</v>
      </c>
      <c r="DY73" s="1">
        <v>5</v>
      </c>
      <c r="DZ73" s="1">
        <v>7</v>
      </c>
      <c r="EA73" s="12"/>
      <c r="EB73" s="7" t="s">
        <v>291</v>
      </c>
      <c r="EC73" s="7" t="s">
        <v>294</v>
      </c>
      <c r="ED73" s="1">
        <v>1</v>
      </c>
      <c r="EE73" s="1">
        <v>7</v>
      </c>
      <c r="EF73" s="12"/>
      <c r="EG73" s="7" t="s">
        <v>300</v>
      </c>
      <c r="EH73" s="7" t="s">
        <v>294</v>
      </c>
      <c r="EI73" s="1">
        <v>2</v>
      </c>
      <c r="EJ73" s="1">
        <v>7</v>
      </c>
      <c r="EK73" s="12"/>
      <c r="EL73" s="7" t="s">
        <v>301</v>
      </c>
      <c r="EM73" s="7" t="s">
        <v>294</v>
      </c>
      <c r="EN73" s="1">
        <v>5</v>
      </c>
      <c r="EO73" s="1">
        <v>7</v>
      </c>
      <c r="EP73" s="12"/>
      <c r="EQ73" s="7" t="s">
        <v>291</v>
      </c>
      <c r="ER73" s="7" t="s">
        <v>296</v>
      </c>
      <c r="ES73" s="1">
        <v>1</v>
      </c>
      <c r="ET73" s="1">
        <v>6</v>
      </c>
      <c r="EU73" s="12"/>
      <c r="EV73" s="7" t="s">
        <v>300</v>
      </c>
      <c r="EW73" s="7" t="s">
        <v>294</v>
      </c>
      <c r="EX73" s="1">
        <v>2</v>
      </c>
      <c r="EY73" s="1">
        <v>7</v>
      </c>
      <c r="EZ73" s="12"/>
      <c r="FA73" s="7" t="s">
        <v>291</v>
      </c>
      <c r="FB73" s="7" t="s">
        <v>296</v>
      </c>
      <c r="FC73" s="1">
        <v>1</v>
      </c>
      <c r="FD73" s="1">
        <v>6</v>
      </c>
      <c r="FE73" s="12"/>
      <c r="FF73" s="7" t="s">
        <v>291</v>
      </c>
      <c r="FG73" s="7" t="s">
        <v>296</v>
      </c>
      <c r="FH73" s="1">
        <v>1</v>
      </c>
      <c r="FI73" s="1">
        <v>6</v>
      </c>
      <c r="FJ73" s="12"/>
      <c r="FK73" s="7" t="s">
        <v>300</v>
      </c>
      <c r="FL73" s="7" t="s">
        <v>294</v>
      </c>
      <c r="FM73" s="1">
        <v>2</v>
      </c>
      <c r="FN73" s="1">
        <v>7</v>
      </c>
      <c r="FO73" s="12"/>
      <c r="FP73" s="7" t="s">
        <v>291</v>
      </c>
      <c r="FQ73" s="7" t="s">
        <v>292</v>
      </c>
      <c r="FR73" s="1">
        <v>1</v>
      </c>
      <c r="FS73" s="1">
        <v>5</v>
      </c>
      <c r="FT73" s="10"/>
      <c r="FU73" s="7" t="s">
        <v>1155</v>
      </c>
      <c r="FV73" s="7" t="s">
        <v>1156</v>
      </c>
      <c r="FW73" s="7" t="s">
        <v>1157</v>
      </c>
      <c r="FX73" s="7" t="s">
        <v>1158</v>
      </c>
      <c r="FY73" s="7" t="s">
        <v>1159</v>
      </c>
      <c r="FZ73" s="7" t="s">
        <v>1160</v>
      </c>
      <c r="GA73" s="7" t="s">
        <v>1161</v>
      </c>
      <c r="GB73" s="7" t="s">
        <v>1162</v>
      </c>
      <c r="GC73" s="7" t="s">
        <v>1163</v>
      </c>
      <c r="GD73" s="7" t="s">
        <v>1164</v>
      </c>
      <c r="GE73" s="7" t="s">
        <v>282</v>
      </c>
      <c r="GF73" s="7" t="s">
        <v>1165</v>
      </c>
      <c r="GG73" s="7" t="s">
        <v>372</v>
      </c>
      <c r="GH73" s="7" t="s">
        <v>325</v>
      </c>
    </row>
    <row r="74" spans="1:190" x14ac:dyDescent="0.2">
      <c r="A74">
        <v>72</v>
      </c>
      <c r="B74">
        <v>100</v>
      </c>
      <c r="C74">
        <v>1199</v>
      </c>
      <c r="D74" s="7" t="s">
        <v>280</v>
      </c>
      <c r="E74" s="7" t="s">
        <v>501</v>
      </c>
      <c r="F74" s="7" t="s">
        <v>375</v>
      </c>
      <c r="G74" s="4" t="s">
        <v>497</v>
      </c>
      <c r="H74" s="7" t="s">
        <v>288</v>
      </c>
      <c r="I74" s="1">
        <v>5</v>
      </c>
      <c r="J74" s="7" t="s">
        <v>289</v>
      </c>
      <c r="K74" s="1">
        <v>1</v>
      </c>
      <c r="L74" s="7" t="s">
        <v>329</v>
      </c>
      <c r="M74" s="1">
        <v>3</v>
      </c>
      <c r="N74" s="7" t="s">
        <v>289</v>
      </c>
      <c r="O74" s="1">
        <v>1</v>
      </c>
      <c r="P74" s="12"/>
      <c r="Q74" s="7" t="s">
        <v>291</v>
      </c>
      <c r="R74" s="7" t="s">
        <v>292</v>
      </c>
      <c r="S74" s="1">
        <v>1</v>
      </c>
      <c r="T74" s="1">
        <v>5</v>
      </c>
      <c r="U74" s="12"/>
      <c r="V74" s="7" t="s">
        <v>293</v>
      </c>
      <c r="W74" s="7" t="s">
        <v>296</v>
      </c>
      <c r="X74" s="1">
        <v>2</v>
      </c>
      <c r="Y74" s="1">
        <v>6</v>
      </c>
      <c r="Z74" s="12"/>
      <c r="AA74" s="7" t="s">
        <v>293</v>
      </c>
      <c r="AB74" s="7" t="s">
        <v>294</v>
      </c>
      <c r="AC74" s="1">
        <v>2</v>
      </c>
      <c r="AD74" s="1">
        <v>7</v>
      </c>
      <c r="AE74" s="12"/>
      <c r="AF74" s="7" t="s">
        <v>295</v>
      </c>
      <c r="AG74" s="7" t="s">
        <v>294</v>
      </c>
      <c r="AH74" s="1">
        <v>5</v>
      </c>
      <c r="AI74" s="1">
        <v>7</v>
      </c>
      <c r="AJ74" s="12"/>
      <c r="AK74" s="7" t="s">
        <v>295</v>
      </c>
      <c r="AL74" s="7" t="s">
        <v>292</v>
      </c>
      <c r="AM74" s="1">
        <v>5</v>
      </c>
      <c r="AN74" s="1">
        <v>5</v>
      </c>
      <c r="AO74" s="12"/>
      <c r="AP74" s="7" t="s">
        <v>298</v>
      </c>
      <c r="AQ74" s="7" t="s">
        <v>297</v>
      </c>
      <c r="AR74" s="1">
        <v>3</v>
      </c>
      <c r="AS74" s="1">
        <v>4</v>
      </c>
      <c r="AT74" s="12"/>
      <c r="AU74" s="7" t="s">
        <v>293</v>
      </c>
      <c r="AV74" s="7" t="s">
        <v>296</v>
      </c>
      <c r="AW74" s="1">
        <v>2</v>
      </c>
      <c r="AX74" s="1">
        <v>6</v>
      </c>
      <c r="AY74" s="12"/>
      <c r="AZ74" s="7" t="s">
        <v>298</v>
      </c>
      <c r="BA74" s="7" t="s">
        <v>292</v>
      </c>
      <c r="BB74" s="1">
        <v>3</v>
      </c>
      <c r="BC74" s="1">
        <v>5</v>
      </c>
      <c r="BD74" s="12"/>
      <c r="BE74" s="7" t="s">
        <v>295</v>
      </c>
      <c r="BF74" s="7" t="s">
        <v>297</v>
      </c>
      <c r="BG74" s="1">
        <v>5</v>
      </c>
      <c r="BH74" s="1">
        <v>4</v>
      </c>
      <c r="BI74" s="12"/>
      <c r="BJ74" s="7" t="s">
        <v>291</v>
      </c>
      <c r="BK74" s="7" t="s">
        <v>297</v>
      </c>
      <c r="BL74" s="1">
        <v>1</v>
      </c>
      <c r="BM74" s="1">
        <v>4</v>
      </c>
      <c r="BN74" s="12"/>
      <c r="BO74" s="7" t="s">
        <v>291</v>
      </c>
      <c r="BP74" s="7" t="s">
        <v>296</v>
      </c>
      <c r="BQ74" s="1">
        <v>1</v>
      </c>
      <c r="BR74" s="1">
        <v>6</v>
      </c>
      <c r="BS74" s="12"/>
      <c r="BT74" s="7" t="s">
        <v>293</v>
      </c>
      <c r="BU74" s="7" t="s">
        <v>294</v>
      </c>
      <c r="BV74" s="1">
        <v>2</v>
      </c>
      <c r="BW74" s="1">
        <v>7</v>
      </c>
      <c r="BX74" s="12"/>
      <c r="BY74" s="7" t="s">
        <v>298</v>
      </c>
      <c r="BZ74" s="7" t="s">
        <v>292</v>
      </c>
      <c r="CA74" s="1">
        <v>3</v>
      </c>
      <c r="CB74" s="1">
        <v>5</v>
      </c>
      <c r="CC74" s="12"/>
      <c r="CD74" s="7" t="s">
        <v>295</v>
      </c>
      <c r="CE74" s="7" t="s">
        <v>292</v>
      </c>
      <c r="CF74" s="1">
        <v>5</v>
      </c>
      <c r="CG74" s="1">
        <v>5</v>
      </c>
      <c r="CH74" s="12"/>
      <c r="CI74" s="7" t="s">
        <v>291</v>
      </c>
      <c r="CJ74" s="7" t="s">
        <v>294</v>
      </c>
      <c r="CK74" s="1">
        <v>1</v>
      </c>
      <c r="CL74" s="1">
        <v>7</v>
      </c>
      <c r="CM74" s="12"/>
      <c r="CN74" s="7" t="s">
        <v>298</v>
      </c>
      <c r="CO74" s="7" t="s">
        <v>297</v>
      </c>
      <c r="CP74" s="1">
        <v>3</v>
      </c>
      <c r="CQ74" s="1">
        <v>4</v>
      </c>
      <c r="CR74" s="12"/>
      <c r="CS74" s="7" t="s">
        <v>299</v>
      </c>
      <c r="CT74" s="7" t="s">
        <v>296</v>
      </c>
      <c r="CU74" s="1">
        <v>4</v>
      </c>
      <c r="CV74" s="1">
        <v>6</v>
      </c>
      <c r="CW74" s="12"/>
      <c r="CX74" s="7" t="s">
        <v>293</v>
      </c>
      <c r="CY74" s="7" t="s">
        <v>296</v>
      </c>
      <c r="CZ74" s="1">
        <v>2</v>
      </c>
      <c r="DA74" s="1">
        <v>6</v>
      </c>
      <c r="DB74" s="12"/>
      <c r="DC74" s="7" t="s">
        <v>298</v>
      </c>
      <c r="DD74" s="7" t="s">
        <v>296</v>
      </c>
      <c r="DE74" s="1">
        <v>3</v>
      </c>
      <c r="DF74" s="1">
        <v>6</v>
      </c>
      <c r="DG74" s="12"/>
      <c r="DH74" s="7" t="s">
        <v>291</v>
      </c>
      <c r="DI74" s="7" t="s">
        <v>297</v>
      </c>
      <c r="DJ74" s="1">
        <v>1</v>
      </c>
      <c r="DK74" s="1">
        <v>4</v>
      </c>
      <c r="DL74" s="12"/>
      <c r="DM74" s="7" t="s">
        <v>301</v>
      </c>
      <c r="DN74" s="7" t="s">
        <v>294</v>
      </c>
      <c r="DO74" s="1">
        <v>5</v>
      </c>
      <c r="DP74" s="1">
        <v>7</v>
      </c>
      <c r="DQ74" s="12"/>
      <c r="DR74" s="7" t="s">
        <v>300</v>
      </c>
      <c r="DS74" s="7" t="s">
        <v>294</v>
      </c>
      <c r="DT74" s="1">
        <v>2</v>
      </c>
      <c r="DU74" s="1">
        <v>7</v>
      </c>
      <c r="DV74" s="12"/>
      <c r="DW74" s="7" t="s">
        <v>301</v>
      </c>
      <c r="DX74" s="7" t="s">
        <v>294</v>
      </c>
      <c r="DY74" s="1">
        <v>5</v>
      </c>
      <c r="DZ74" s="1">
        <v>7</v>
      </c>
      <c r="EA74" s="12"/>
      <c r="EB74" s="7" t="s">
        <v>291</v>
      </c>
      <c r="EC74" s="7" t="s">
        <v>294</v>
      </c>
      <c r="ED74" s="1">
        <v>1</v>
      </c>
      <c r="EE74" s="1">
        <v>7</v>
      </c>
      <c r="EF74" s="12"/>
      <c r="EG74" s="7" t="s">
        <v>300</v>
      </c>
      <c r="EH74" s="7" t="s">
        <v>296</v>
      </c>
      <c r="EI74" s="1">
        <v>2</v>
      </c>
      <c r="EJ74" s="1">
        <v>6</v>
      </c>
      <c r="EK74" s="12"/>
      <c r="EL74" s="7" t="s">
        <v>301</v>
      </c>
      <c r="EM74" s="7" t="s">
        <v>294</v>
      </c>
      <c r="EN74" s="1">
        <v>5</v>
      </c>
      <c r="EO74" s="1">
        <v>7</v>
      </c>
      <c r="EP74" s="12"/>
      <c r="EQ74" s="7" t="s">
        <v>291</v>
      </c>
      <c r="ER74" s="7" t="s">
        <v>294</v>
      </c>
      <c r="ES74" s="1">
        <v>1</v>
      </c>
      <c r="ET74" s="1">
        <v>7</v>
      </c>
      <c r="EU74" s="12"/>
      <c r="EV74" s="7" t="s">
        <v>300</v>
      </c>
      <c r="EW74" s="7" t="s">
        <v>296</v>
      </c>
      <c r="EX74" s="1">
        <v>2</v>
      </c>
      <c r="EY74" s="1">
        <v>6</v>
      </c>
      <c r="EZ74" s="12"/>
      <c r="FA74" s="7" t="s">
        <v>301</v>
      </c>
      <c r="FB74" s="7" t="s">
        <v>294</v>
      </c>
      <c r="FC74" s="1">
        <v>5</v>
      </c>
      <c r="FD74" s="1">
        <v>7</v>
      </c>
      <c r="FE74" s="12"/>
      <c r="FF74" s="7" t="s">
        <v>291</v>
      </c>
      <c r="FG74" s="7" t="s">
        <v>294</v>
      </c>
      <c r="FH74" s="1">
        <v>1</v>
      </c>
      <c r="FI74" s="1">
        <v>7</v>
      </c>
      <c r="FJ74" s="12"/>
      <c r="FK74" s="7" t="s">
        <v>300</v>
      </c>
      <c r="FL74" s="7" t="s">
        <v>296</v>
      </c>
      <c r="FM74" s="1">
        <v>2</v>
      </c>
      <c r="FN74" s="1">
        <v>6</v>
      </c>
      <c r="FO74" s="12"/>
      <c r="FP74" s="7" t="s">
        <v>291</v>
      </c>
      <c r="FQ74" s="7" t="s">
        <v>294</v>
      </c>
      <c r="FR74" s="1">
        <v>1</v>
      </c>
      <c r="FS74" s="1">
        <v>7</v>
      </c>
      <c r="FT74" s="10"/>
      <c r="FU74" s="7" t="s">
        <v>1168</v>
      </c>
      <c r="FV74" s="7" t="s">
        <v>1169</v>
      </c>
      <c r="FW74" s="7" t="s">
        <v>1170</v>
      </c>
      <c r="FX74" s="7" t="s">
        <v>1171</v>
      </c>
      <c r="FY74" s="7" t="s">
        <v>1172</v>
      </c>
      <c r="FZ74" s="7" t="s">
        <v>1173</v>
      </c>
      <c r="GA74" s="7" t="s">
        <v>1174</v>
      </c>
      <c r="GB74" s="7" t="s">
        <v>1175</v>
      </c>
      <c r="GC74" s="7" t="s">
        <v>1176</v>
      </c>
      <c r="GD74" s="7" t="s">
        <v>1177</v>
      </c>
      <c r="GE74" s="7" t="s">
        <v>282</v>
      </c>
      <c r="GF74" s="7" t="s">
        <v>1178</v>
      </c>
      <c r="GG74" s="7" t="s">
        <v>372</v>
      </c>
      <c r="GH74" s="7" t="s">
        <v>325</v>
      </c>
    </row>
    <row r="75" spans="1:190" x14ac:dyDescent="0.2">
      <c r="A75">
        <v>73</v>
      </c>
      <c r="B75">
        <v>100</v>
      </c>
      <c r="C75">
        <v>1169</v>
      </c>
      <c r="D75" s="7" t="s">
        <v>280</v>
      </c>
      <c r="E75" s="7" t="s">
        <v>412</v>
      </c>
      <c r="F75" s="7" t="s">
        <v>1181</v>
      </c>
      <c r="G75" s="4" t="s">
        <v>1301</v>
      </c>
      <c r="H75" s="7" t="s">
        <v>288</v>
      </c>
      <c r="I75" s="1">
        <v>5</v>
      </c>
      <c r="J75" s="7" t="s">
        <v>289</v>
      </c>
      <c r="K75" s="1">
        <v>1</v>
      </c>
      <c r="L75" s="7" t="s">
        <v>289</v>
      </c>
      <c r="M75" s="1">
        <v>1</v>
      </c>
      <c r="N75" s="7" t="s">
        <v>289</v>
      </c>
      <c r="O75" s="1">
        <v>1</v>
      </c>
      <c r="P75" s="12"/>
      <c r="Q75" s="7" t="s">
        <v>291</v>
      </c>
      <c r="R75" s="7" t="s">
        <v>292</v>
      </c>
      <c r="S75" s="1">
        <v>1</v>
      </c>
      <c r="T75" s="1">
        <v>5</v>
      </c>
      <c r="U75" s="12"/>
      <c r="V75" s="7" t="s">
        <v>293</v>
      </c>
      <c r="W75" s="7" t="s">
        <v>296</v>
      </c>
      <c r="X75" s="1">
        <v>2</v>
      </c>
      <c r="Y75" s="1">
        <v>6</v>
      </c>
      <c r="Z75" s="12"/>
      <c r="AA75" s="7" t="s">
        <v>293</v>
      </c>
      <c r="AB75" s="7" t="s">
        <v>296</v>
      </c>
      <c r="AC75" s="1">
        <v>2</v>
      </c>
      <c r="AD75" s="1">
        <v>6</v>
      </c>
      <c r="AE75" s="12"/>
      <c r="AF75" s="7" t="s">
        <v>295</v>
      </c>
      <c r="AG75" s="7" t="s">
        <v>292</v>
      </c>
      <c r="AH75" s="1">
        <v>5</v>
      </c>
      <c r="AI75" s="1">
        <v>5</v>
      </c>
      <c r="AJ75" s="12"/>
      <c r="AK75" s="7" t="s">
        <v>295</v>
      </c>
      <c r="AL75" s="7" t="s">
        <v>292</v>
      </c>
      <c r="AM75" s="1">
        <v>5</v>
      </c>
      <c r="AN75" s="1">
        <v>5</v>
      </c>
      <c r="AO75" s="12"/>
      <c r="AP75" s="7" t="s">
        <v>291</v>
      </c>
      <c r="AQ75" s="7" t="s">
        <v>292</v>
      </c>
      <c r="AR75" s="1">
        <v>1</v>
      </c>
      <c r="AS75" s="1">
        <v>5</v>
      </c>
      <c r="AT75" s="12"/>
      <c r="AU75" s="7" t="s">
        <v>293</v>
      </c>
      <c r="AV75" s="7" t="s">
        <v>296</v>
      </c>
      <c r="AW75" s="1">
        <v>2</v>
      </c>
      <c r="AX75" s="1">
        <v>6</v>
      </c>
      <c r="AY75" s="12"/>
      <c r="AZ75" s="7" t="s">
        <v>293</v>
      </c>
      <c r="BA75" s="7" t="s">
        <v>292</v>
      </c>
      <c r="BB75" s="1">
        <v>2</v>
      </c>
      <c r="BC75" s="1">
        <v>5</v>
      </c>
      <c r="BD75" s="12"/>
      <c r="BE75" s="7" t="s">
        <v>298</v>
      </c>
      <c r="BF75" s="7" t="s">
        <v>292</v>
      </c>
      <c r="BG75" s="1">
        <v>3</v>
      </c>
      <c r="BH75" s="1">
        <v>5</v>
      </c>
      <c r="BI75" s="12"/>
      <c r="BJ75" s="7" t="s">
        <v>298</v>
      </c>
      <c r="BK75" s="7" t="s">
        <v>297</v>
      </c>
      <c r="BL75" s="1">
        <v>3</v>
      </c>
      <c r="BM75" s="1">
        <v>4</v>
      </c>
      <c r="BN75" s="12"/>
      <c r="BO75" s="7" t="s">
        <v>291</v>
      </c>
      <c r="BP75" s="7" t="s">
        <v>292</v>
      </c>
      <c r="BQ75" s="1">
        <v>1</v>
      </c>
      <c r="BR75" s="1">
        <v>5</v>
      </c>
      <c r="BS75" s="12"/>
      <c r="BT75" s="7" t="s">
        <v>293</v>
      </c>
      <c r="BU75" s="7" t="s">
        <v>296</v>
      </c>
      <c r="BV75" s="1">
        <v>2</v>
      </c>
      <c r="BW75" s="1">
        <v>6</v>
      </c>
      <c r="BX75" s="12"/>
      <c r="BY75" s="7" t="s">
        <v>293</v>
      </c>
      <c r="BZ75" s="7" t="s">
        <v>292</v>
      </c>
      <c r="CA75" s="1">
        <v>2</v>
      </c>
      <c r="CB75" s="1">
        <v>5</v>
      </c>
      <c r="CC75" s="12"/>
      <c r="CD75" s="7" t="s">
        <v>295</v>
      </c>
      <c r="CE75" s="7" t="s">
        <v>292</v>
      </c>
      <c r="CF75" s="1">
        <v>5</v>
      </c>
      <c r="CG75" s="1">
        <v>5</v>
      </c>
      <c r="CH75" s="12"/>
      <c r="CI75" s="7" t="s">
        <v>298</v>
      </c>
      <c r="CJ75" s="7" t="s">
        <v>296</v>
      </c>
      <c r="CK75" s="1">
        <v>3</v>
      </c>
      <c r="CL75" s="1">
        <v>6</v>
      </c>
      <c r="CM75" s="12"/>
      <c r="CN75" s="7" t="s">
        <v>291</v>
      </c>
      <c r="CO75" s="7" t="s">
        <v>292</v>
      </c>
      <c r="CP75" s="1">
        <v>1</v>
      </c>
      <c r="CQ75" s="1">
        <v>5</v>
      </c>
      <c r="CR75" s="12"/>
      <c r="CS75" s="7" t="s">
        <v>293</v>
      </c>
      <c r="CT75" s="7" t="s">
        <v>296</v>
      </c>
      <c r="CU75" s="1">
        <v>2</v>
      </c>
      <c r="CV75" s="1">
        <v>6</v>
      </c>
      <c r="CW75" s="12"/>
      <c r="CX75" s="7" t="s">
        <v>291</v>
      </c>
      <c r="CY75" s="7" t="s">
        <v>292</v>
      </c>
      <c r="CZ75" s="1">
        <v>1</v>
      </c>
      <c r="DA75" s="1">
        <v>5</v>
      </c>
      <c r="DB75" s="12"/>
      <c r="DC75" s="7" t="s">
        <v>295</v>
      </c>
      <c r="DD75" s="7" t="s">
        <v>296</v>
      </c>
      <c r="DE75" s="1">
        <v>5</v>
      </c>
      <c r="DF75" s="1">
        <v>6</v>
      </c>
      <c r="DG75" s="12"/>
      <c r="DH75" s="7" t="s">
        <v>298</v>
      </c>
      <c r="DI75" s="7" t="s">
        <v>292</v>
      </c>
      <c r="DJ75" s="1">
        <v>3</v>
      </c>
      <c r="DK75" s="1">
        <v>5</v>
      </c>
      <c r="DL75" s="12"/>
      <c r="DM75" s="7" t="s">
        <v>291</v>
      </c>
      <c r="DN75" s="7" t="s">
        <v>292</v>
      </c>
      <c r="DO75" s="1">
        <v>1</v>
      </c>
      <c r="DP75" s="1">
        <v>5</v>
      </c>
      <c r="DQ75" s="12"/>
      <c r="DR75" s="7" t="s">
        <v>300</v>
      </c>
      <c r="DS75" s="7" t="s">
        <v>296</v>
      </c>
      <c r="DT75" s="1">
        <v>2</v>
      </c>
      <c r="DU75" s="1">
        <v>6</v>
      </c>
      <c r="DV75" s="12"/>
      <c r="DW75" s="7" t="s">
        <v>301</v>
      </c>
      <c r="DX75" s="7" t="s">
        <v>292</v>
      </c>
      <c r="DY75" s="1">
        <v>5</v>
      </c>
      <c r="DZ75" s="1">
        <v>5</v>
      </c>
      <c r="EA75" s="12"/>
      <c r="EB75" s="7" t="s">
        <v>291</v>
      </c>
      <c r="EC75" s="7" t="s">
        <v>292</v>
      </c>
      <c r="ED75" s="1">
        <v>1</v>
      </c>
      <c r="EE75" s="1">
        <v>5</v>
      </c>
      <c r="EF75" s="12"/>
      <c r="EG75" s="7" t="s">
        <v>300</v>
      </c>
      <c r="EH75" s="7" t="s">
        <v>296</v>
      </c>
      <c r="EI75" s="1">
        <v>2</v>
      </c>
      <c r="EJ75" s="1">
        <v>6</v>
      </c>
      <c r="EK75" s="12"/>
      <c r="EL75" s="7" t="s">
        <v>301</v>
      </c>
      <c r="EM75" s="7" t="s">
        <v>292</v>
      </c>
      <c r="EN75" s="1">
        <v>5</v>
      </c>
      <c r="EO75" s="1">
        <v>5</v>
      </c>
      <c r="EP75" s="12"/>
      <c r="EQ75" s="7" t="s">
        <v>291</v>
      </c>
      <c r="ER75" s="7" t="s">
        <v>296</v>
      </c>
      <c r="ES75" s="1">
        <v>1</v>
      </c>
      <c r="ET75" s="1">
        <v>6</v>
      </c>
      <c r="EU75" s="12"/>
      <c r="EV75" s="7" t="s">
        <v>300</v>
      </c>
      <c r="EW75" s="7" t="s">
        <v>296</v>
      </c>
      <c r="EX75" s="1">
        <v>2</v>
      </c>
      <c r="EY75" s="1">
        <v>6</v>
      </c>
      <c r="EZ75" s="12"/>
      <c r="FA75" s="7" t="s">
        <v>301</v>
      </c>
      <c r="FB75" s="7" t="s">
        <v>292</v>
      </c>
      <c r="FC75" s="1">
        <v>5</v>
      </c>
      <c r="FD75" s="1">
        <v>5</v>
      </c>
      <c r="FE75" s="12"/>
      <c r="FF75" s="7" t="s">
        <v>291</v>
      </c>
      <c r="FG75" s="7" t="s">
        <v>292</v>
      </c>
      <c r="FH75" s="1">
        <v>1</v>
      </c>
      <c r="FI75" s="1">
        <v>5</v>
      </c>
      <c r="FJ75" s="12"/>
      <c r="FK75" s="7" t="s">
        <v>300</v>
      </c>
      <c r="FL75" s="7" t="s">
        <v>296</v>
      </c>
      <c r="FM75" s="1">
        <v>2</v>
      </c>
      <c r="FN75" s="1">
        <v>6</v>
      </c>
      <c r="FO75" s="12"/>
      <c r="FP75" s="7" t="s">
        <v>291</v>
      </c>
      <c r="FQ75" s="7" t="s">
        <v>292</v>
      </c>
      <c r="FR75" s="1">
        <v>1</v>
      </c>
      <c r="FS75" s="1">
        <v>5</v>
      </c>
      <c r="FT75" s="10"/>
      <c r="FU75" s="7" t="s">
        <v>1182</v>
      </c>
      <c r="FV75" s="7" t="s">
        <v>1183</v>
      </c>
      <c r="FW75" s="7" t="s">
        <v>1184</v>
      </c>
      <c r="FX75" s="7" t="s">
        <v>1183</v>
      </c>
      <c r="FY75" s="7" t="s">
        <v>1185</v>
      </c>
      <c r="FZ75" s="7" t="s">
        <v>1183</v>
      </c>
      <c r="GA75" s="7" t="s">
        <v>1186</v>
      </c>
      <c r="GB75" s="7" t="s">
        <v>1183</v>
      </c>
      <c r="GC75" s="7" t="s">
        <v>1187</v>
      </c>
      <c r="GD75" s="7" t="s">
        <v>1183</v>
      </c>
      <c r="GE75" s="7" t="s">
        <v>282</v>
      </c>
      <c r="GF75" s="7" t="s">
        <v>282</v>
      </c>
      <c r="GG75" s="7" t="s">
        <v>356</v>
      </c>
      <c r="GH75" s="7" t="s">
        <v>313</v>
      </c>
    </row>
    <row r="76" spans="1:190" x14ac:dyDescent="0.2">
      <c r="A76">
        <v>74</v>
      </c>
      <c r="B76">
        <v>100</v>
      </c>
      <c r="C76">
        <v>981</v>
      </c>
      <c r="D76" s="7" t="s">
        <v>280</v>
      </c>
      <c r="E76" s="7" t="s">
        <v>412</v>
      </c>
      <c r="F76" s="7" t="s">
        <v>375</v>
      </c>
      <c r="G76" s="4" t="s">
        <v>497</v>
      </c>
      <c r="H76" s="7" t="s">
        <v>288</v>
      </c>
      <c r="I76" s="1">
        <v>5</v>
      </c>
      <c r="J76" s="7" t="s">
        <v>290</v>
      </c>
      <c r="K76" s="1">
        <v>4</v>
      </c>
      <c r="L76" s="7" t="s">
        <v>290</v>
      </c>
      <c r="M76" s="1">
        <v>4</v>
      </c>
      <c r="N76" s="7" t="s">
        <v>329</v>
      </c>
      <c r="O76" s="1">
        <v>3</v>
      </c>
      <c r="P76" s="12"/>
      <c r="Q76" s="7" t="s">
        <v>282</v>
      </c>
      <c r="R76" s="7" t="s">
        <v>292</v>
      </c>
      <c r="S76" s="4" t="s">
        <v>282</v>
      </c>
      <c r="T76" s="1">
        <v>5</v>
      </c>
      <c r="U76" s="12"/>
      <c r="V76" s="7" t="s">
        <v>293</v>
      </c>
      <c r="W76" s="7" t="s">
        <v>296</v>
      </c>
      <c r="X76" s="1">
        <v>2</v>
      </c>
      <c r="Y76" s="1">
        <v>6</v>
      </c>
      <c r="Z76" s="12"/>
      <c r="AA76" s="7" t="s">
        <v>293</v>
      </c>
      <c r="AB76" s="7" t="s">
        <v>292</v>
      </c>
      <c r="AC76" s="1">
        <v>2</v>
      </c>
      <c r="AD76" s="1">
        <v>5</v>
      </c>
      <c r="AE76" s="12"/>
      <c r="AF76" s="7" t="s">
        <v>295</v>
      </c>
      <c r="AG76" s="7" t="s">
        <v>292</v>
      </c>
      <c r="AH76" s="1">
        <v>5</v>
      </c>
      <c r="AI76" s="1">
        <v>5</v>
      </c>
      <c r="AJ76" s="12"/>
      <c r="AK76" s="7" t="s">
        <v>298</v>
      </c>
      <c r="AL76" s="7" t="s">
        <v>297</v>
      </c>
      <c r="AM76" s="1">
        <v>3</v>
      </c>
      <c r="AN76" s="1">
        <v>4</v>
      </c>
      <c r="AO76" s="12"/>
      <c r="AP76" s="7" t="s">
        <v>291</v>
      </c>
      <c r="AQ76" s="7" t="s">
        <v>292</v>
      </c>
      <c r="AR76" s="1">
        <v>1</v>
      </c>
      <c r="AS76" s="1">
        <v>5</v>
      </c>
      <c r="AT76" s="12"/>
      <c r="AU76" s="7" t="s">
        <v>293</v>
      </c>
      <c r="AV76" s="7" t="s">
        <v>292</v>
      </c>
      <c r="AW76" s="1">
        <v>2</v>
      </c>
      <c r="AX76" s="1">
        <v>5</v>
      </c>
      <c r="AY76" s="12"/>
      <c r="AZ76" s="7" t="s">
        <v>298</v>
      </c>
      <c r="BA76" s="7" t="s">
        <v>292</v>
      </c>
      <c r="BB76" s="1">
        <v>3</v>
      </c>
      <c r="BC76" s="1">
        <v>5</v>
      </c>
      <c r="BD76" s="12"/>
      <c r="BE76" s="7" t="s">
        <v>298</v>
      </c>
      <c r="BF76" s="7" t="s">
        <v>296</v>
      </c>
      <c r="BG76" s="1">
        <v>3</v>
      </c>
      <c r="BH76" s="1">
        <v>6</v>
      </c>
      <c r="BI76" s="12"/>
      <c r="BJ76" s="7" t="s">
        <v>298</v>
      </c>
      <c r="BK76" s="7" t="s">
        <v>296</v>
      </c>
      <c r="BL76" s="1">
        <v>3</v>
      </c>
      <c r="BM76" s="1">
        <v>6</v>
      </c>
      <c r="BN76" s="12"/>
      <c r="BO76" s="7" t="s">
        <v>293</v>
      </c>
      <c r="BP76" s="7" t="s">
        <v>292</v>
      </c>
      <c r="BQ76" s="1">
        <v>2</v>
      </c>
      <c r="BR76" s="1">
        <v>5</v>
      </c>
      <c r="BS76" s="12"/>
      <c r="BT76" s="7" t="s">
        <v>293</v>
      </c>
      <c r="BU76" s="7" t="s">
        <v>296</v>
      </c>
      <c r="BV76" s="1">
        <v>2</v>
      </c>
      <c r="BW76" s="1">
        <v>6</v>
      </c>
      <c r="BX76" s="12"/>
      <c r="BY76" s="7" t="s">
        <v>282</v>
      </c>
      <c r="BZ76" s="7" t="s">
        <v>292</v>
      </c>
      <c r="CA76" s="4" t="s">
        <v>282</v>
      </c>
      <c r="CB76" s="1">
        <v>5</v>
      </c>
      <c r="CC76" s="12"/>
      <c r="CD76" s="7" t="s">
        <v>295</v>
      </c>
      <c r="CE76" s="7" t="s">
        <v>297</v>
      </c>
      <c r="CF76" s="1">
        <v>5</v>
      </c>
      <c r="CG76" s="1">
        <v>4</v>
      </c>
      <c r="CH76" s="12"/>
      <c r="CI76" s="7" t="s">
        <v>298</v>
      </c>
      <c r="CJ76" s="7" t="s">
        <v>297</v>
      </c>
      <c r="CK76" s="1">
        <v>3</v>
      </c>
      <c r="CL76" s="1">
        <v>4</v>
      </c>
      <c r="CM76" s="12"/>
      <c r="CN76" s="7" t="s">
        <v>282</v>
      </c>
      <c r="CO76" s="7" t="s">
        <v>297</v>
      </c>
      <c r="CP76" s="4" t="s">
        <v>282</v>
      </c>
      <c r="CQ76" s="1">
        <v>4</v>
      </c>
      <c r="CR76" s="12"/>
      <c r="CS76" s="7" t="s">
        <v>293</v>
      </c>
      <c r="CT76" s="7" t="s">
        <v>296</v>
      </c>
      <c r="CU76" s="1">
        <v>2</v>
      </c>
      <c r="CV76" s="1">
        <v>6</v>
      </c>
      <c r="CW76" s="12"/>
      <c r="CX76" s="7" t="s">
        <v>291</v>
      </c>
      <c r="CY76" s="7" t="s">
        <v>296</v>
      </c>
      <c r="CZ76" s="1">
        <v>1</v>
      </c>
      <c r="DA76" s="1">
        <v>6</v>
      </c>
      <c r="DB76" s="12"/>
      <c r="DC76" s="7" t="s">
        <v>295</v>
      </c>
      <c r="DD76" s="7" t="s">
        <v>296</v>
      </c>
      <c r="DE76" s="1">
        <v>5</v>
      </c>
      <c r="DF76" s="1">
        <v>6</v>
      </c>
      <c r="DG76" s="12"/>
      <c r="DH76" s="7" t="s">
        <v>298</v>
      </c>
      <c r="DI76" s="7" t="s">
        <v>296</v>
      </c>
      <c r="DJ76" s="1">
        <v>3</v>
      </c>
      <c r="DK76" s="1">
        <v>6</v>
      </c>
      <c r="DL76" s="12"/>
      <c r="DM76" s="7" t="s">
        <v>282</v>
      </c>
      <c r="DN76" s="7" t="s">
        <v>297</v>
      </c>
      <c r="DO76" s="4" t="s">
        <v>282</v>
      </c>
      <c r="DP76" s="1">
        <v>4</v>
      </c>
      <c r="DQ76" s="12"/>
      <c r="DR76" s="7" t="s">
        <v>619</v>
      </c>
      <c r="DS76" s="7" t="s">
        <v>292</v>
      </c>
      <c r="DT76" s="1">
        <v>1</v>
      </c>
      <c r="DU76" s="1">
        <v>5</v>
      </c>
      <c r="DV76" s="12"/>
      <c r="DW76" s="7" t="s">
        <v>301</v>
      </c>
      <c r="DX76" s="7" t="s">
        <v>296</v>
      </c>
      <c r="DY76" s="1">
        <v>5</v>
      </c>
      <c r="DZ76" s="1">
        <v>6</v>
      </c>
      <c r="EA76" s="12"/>
      <c r="EB76" s="7" t="s">
        <v>291</v>
      </c>
      <c r="EC76" s="7" t="s">
        <v>292</v>
      </c>
      <c r="ED76" s="1">
        <v>1</v>
      </c>
      <c r="EE76" s="1">
        <v>5</v>
      </c>
      <c r="EF76" s="12"/>
      <c r="EG76" s="7" t="s">
        <v>300</v>
      </c>
      <c r="EH76" s="7" t="s">
        <v>296</v>
      </c>
      <c r="EI76" s="1">
        <v>2</v>
      </c>
      <c r="EJ76" s="1">
        <v>6</v>
      </c>
      <c r="EK76" s="12"/>
      <c r="EL76" s="7" t="s">
        <v>300</v>
      </c>
      <c r="EM76" s="7" t="s">
        <v>292</v>
      </c>
      <c r="EN76" s="1">
        <v>2</v>
      </c>
      <c r="EO76" s="1">
        <v>5</v>
      </c>
      <c r="EP76" s="12"/>
      <c r="EQ76" s="7" t="s">
        <v>291</v>
      </c>
      <c r="ER76" s="7" t="s">
        <v>296</v>
      </c>
      <c r="ES76" s="1">
        <v>1</v>
      </c>
      <c r="ET76" s="1">
        <v>6</v>
      </c>
      <c r="EU76" s="12"/>
      <c r="EV76" s="7" t="s">
        <v>300</v>
      </c>
      <c r="EW76" s="7" t="s">
        <v>296</v>
      </c>
      <c r="EX76" s="1">
        <v>2</v>
      </c>
      <c r="EY76" s="1">
        <v>6</v>
      </c>
      <c r="EZ76" s="12"/>
      <c r="FA76" s="7" t="s">
        <v>301</v>
      </c>
      <c r="FB76" s="7" t="s">
        <v>296</v>
      </c>
      <c r="FC76" s="1">
        <v>5</v>
      </c>
      <c r="FD76" s="1">
        <v>6</v>
      </c>
      <c r="FE76" s="12"/>
      <c r="FF76" s="7" t="s">
        <v>291</v>
      </c>
      <c r="FG76" s="7" t="s">
        <v>296</v>
      </c>
      <c r="FH76" s="1">
        <v>1</v>
      </c>
      <c r="FI76" s="1">
        <v>6</v>
      </c>
      <c r="FJ76" s="12"/>
      <c r="FK76" s="7" t="s">
        <v>300</v>
      </c>
      <c r="FL76" s="7" t="s">
        <v>292</v>
      </c>
      <c r="FM76" s="1">
        <v>2</v>
      </c>
      <c r="FN76" s="1">
        <v>5</v>
      </c>
      <c r="FO76" s="12"/>
      <c r="FP76" s="7" t="s">
        <v>291</v>
      </c>
      <c r="FQ76" s="7" t="s">
        <v>296</v>
      </c>
      <c r="FR76" s="1">
        <v>1</v>
      </c>
      <c r="FS76" s="1">
        <v>6</v>
      </c>
      <c r="FT76" s="10"/>
      <c r="FU76" s="7" t="s">
        <v>1190</v>
      </c>
      <c r="FV76" s="7" t="s">
        <v>1191</v>
      </c>
      <c r="FW76" s="7" t="s">
        <v>1192</v>
      </c>
      <c r="FX76" s="7" t="s">
        <v>1193</v>
      </c>
      <c r="FY76" s="7" t="s">
        <v>1194</v>
      </c>
      <c r="FZ76" s="7" t="s">
        <v>1195</v>
      </c>
      <c r="GA76" s="7" t="s">
        <v>308</v>
      </c>
      <c r="GB76" s="7" t="s">
        <v>566</v>
      </c>
      <c r="GC76" s="7" t="s">
        <v>1196</v>
      </c>
      <c r="GD76" s="7" t="s">
        <v>1197</v>
      </c>
      <c r="GE76" s="7" t="s">
        <v>282</v>
      </c>
      <c r="GF76" s="7" t="s">
        <v>282</v>
      </c>
      <c r="GG76" s="7" t="s">
        <v>356</v>
      </c>
      <c r="GH76" s="7" t="s">
        <v>313</v>
      </c>
    </row>
    <row r="77" spans="1:190" x14ac:dyDescent="0.2">
      <c r="A77">
        <v>75</v>
      </c>
      <c r="B77">
        <v>100</v>
      </c>
      <c r="C77">
        <v>1896</v>
      </c>
      <c r="D77" s="7" t="s">
        <v>280</v>
      </c>
      <c r="E77" s="7" t="s">
        <v>286</v>
      </c>
      <c r="F77" s="7" t="s">
        <v>402</v>
      </c>
      <c r="G77" s="4" t="s">
        <v>1282</v>
      </c>
      <c r="H77" s="7" t="s">
        <v>288</v>
      </c>
      <c r="I77" s="1">
        <v>5</v>
      </c>
      <c r="J77" s="7" t="s">
        <v>329</v>
      </c>
      <c r="K77" s="1">
        <v>3</v>
      </c>
      <c r="L77" s="7" t="s">
        <v>288</v>
      </c>
      <c r="M77" s="1">
        <v>5</v>
      </c>
      <c r="N77" s="7" t="s">
        <v>317</v>
      </c>
      <c r="O77" s="1">
        <v>2</v>
      </c>
      <c r="P77" s="12"/>
      <c r="Q77" s="7" t="s">
        <v>298</v>
      </c>
      <c r="R77" s="7" t="s">
        <v>330</v>
      </c>
      <c r="S77" s="1">
        <v>3</v>
      </c>
      <c r="T77" s="1">
        <v>3</v>
      </c>
      <c r="U77" s="12"/>
      <c r="V77" s="7" t="s">
        <v>293</v>
      </c>
      <c r="W77" s="7" t="s">
        <v>292</v>
      </c>
      <c r="X77" s="1">
        <v>2</v>
      </c>
      <c r="Y77" s="1">
        <v>5</v>
      </c>
      <c r="Z77" s="12"/>
      <c r="AA77" s="7" t="s">
        <v>293</v>
      </c>
      <c r="AB77" s="7" t="s">
        <v>292</v>
      </c>
      <c r="AC77" s="1">
        <v>2</v>
      </c>
      <c r="AD77" s="1">
        <v>5</v>
      </c>
      <c r="AE77" s="12"/>
      <c r="AF77" s="7" t="s">
        <v>298</v>
      </c>
      <c r="AG77" s="7" t="s">
        <v>330</v>
      </c>
      <c r="AH77" s="1">
        <v>3</v>
      </c>
      <c r="AI77" s="1">
        <v>3</v>
      </c>
      <c r="AJ77" s="12"/>
      <c r="AK77" s="7" t="s">
        <v>295</v>
      </c>
      <c r="AL77" s="7" t="s">
        <v>297</v>
      </c>
      <c r="AM77" s="1">
        <v>5</v>
      </c>
      <c r="AN77" s="1">
        <v>4</v>
      </c>
      <c r="AO77" s="12"/>
      <c r="AP77" s="7" t="s">
        <v>291</v>
      </c>
      <c r="AQ77" s="7" t="s">
        <v>292</v>
      </c>
      <c r="AR77" s="1">
        <v>1</v>
      </c>
      <c r="AS77" s="1">
        <v>5</v>
      </c>
      <c r="AT77" s="12"/>
      <c r="AU77" s="7" t="s">
        <v>293</v>
      </c>
      <c r="AV77" s="7" t="s">
        <v>297</v>
      </c>
      <c r="AW77" s="1">
        <v>2</v>
      </c>
      <c r="AX77" s="1">
        <v>4</v>
      </c>
      <c r="AY77" s="12"/>
      <c r="AZ77" s="7" t="s">
        <v>299</v>
      </c>
      <c r="BA77" s="7" t="s">
        <v>297</v>
      </c>
      <c r="BB77" s="1">
        <v>4</v>
      </c>
      <c r="BC77" s="1">
        <v>4</v>
      </c>
      <c r="BD77" s="12"/>
      <c r="BE77" s="7" t="s">
        <v>299</v>
      </c>
      <c r="BF77" s="7" t="s">
        <v>297</v>
      </c>
      <c r="BG77" s="1">
        <v>4</v>
      </c>
      <c r="BH77" s="1">
        <v>4</v>
      </c>
      <c r="BI77" s="12"/>
      <c r="BJ77" s="7" t="s">
        <v>298</v>
      </c>
      <c r="BK77" s="7" t="s">
        <v>292</v>
      </c>
      <c r="BL77" s="1">
        <v>3</v>
      </c>
      <c r="BM77" s="1">
        <v>5</v>
      </c>
      <c r="BN77" s="12"/>
      <c r="BO77" s="7" t="s">
        <v>291</v>
      </c>
      <c r="BP77" s="7" t="s">
        <v>297</v>
      </c>
      <c r="BQ77" s="1">
        <v>1</v>
      </c>
      <c r="BR77" s="1">
        <v>4</v>
      </c>
      <c r="BS77" s="12"/>
      <c r="BT77" s="7" t="s">
        <v>293</v>
      </c>
      <c r="BU77" s="7" t="s">
        <v>292</v>
      </c>
      <c r="BV77" s="1">
        <v>2</v>
      </c>
      <c r="BW77" s="1">
        <v>5</v>
      </c>
      <c r="BX77" s="12"/>
      <c r="BY77" s="7" t="s">
        <v>299</v>
      </c>
      <c r="BZ77" s="7" t="s">
        <v>330</v>
      </c>
      <c r="CA77" s="1">
        <v>4</v>
      </c>
      <c r="CB77" s="1">
        <v>3</v>
      </c>
      <c r="CC77" s="12"/>
      <c r="CD77" s="7" t="s">
        <v>299</v>
      </c>
      <c r="CE77" s="7" t="s">
        <v>297</v>
      </c>
      <c r="CF77" s="1">
        <v>4</v>
      </c>
      <c r="CG77" s="1">
        <v>4</v>
      </c>
      <c r="CH77" s="12"/>
      <c r="CI77" s="7" t="s">
        <v>291</v>
      </c>
      <c r="CJ77" s="7" t="s">
        <v>297</v>
      </c>
      <c r="CK77" s="1">
        <v>1</v>
      </c>
      <c r="CL77" s="1">
        <v>4</v>
      </c>
      <c r="CM77" s="12"/>
      <c r="CN77" s="7" t="s">
        <v>291</v>
      </c>
      <c r="CO77" s="7" t="s">
        <v>297</v>
      </c>
      <c r="CP77" s="1">
        <v>1</v>
      </c>
      <c r="CQ77" s="1">
        <v>4</v>
      </c>
      <c r="CR77" s="12"/>
      <c r="CS77" s="7" t="s">
        <v>293</v>
      </c>
      <c r="CT77" s="7" t="s">
        <v>297</v>
      </c>
      <c r="CU77" s="1">
        <v>2</v>
      </c>
      <c r="CV77" s="1">
        <v>4</v>
      </c>
      <c r="CW77" s="12"/>
      <c r="CX77" s="7" t="s">
        <v>299</v>
      </c>
      <c r="CY77" s="7" t="s">
        <v>292</v>
      </c>
      <c r="CZ77" s="1">
        <v>4</v>
      </c>
      <c r="DA77" s="1">
        <v>5</v>
      </c>
      <c r="DB77" s="12"/>
      <c r="DC77" s="7" t="s">
        <v>298</v>
      </c>
      <c r="DD77" s="7" t="s">
        <v>330</v>
      </c>
      <c r="DE77" s="1">
        <v>3</v>
      </c>
      <c r="DF77" s="1">
        <v>3</v>
      </c>
      <c r="DG77" s="12"/>
      <c r="DH77" s="7" t="s">
        <v>291</v>
      </c>
      <c r="DI77" s="7" t="s">
        <v>297</v>
      </c>
      <c r="DJ77" s="1">
        <v>1</v>
      </c>
      <c r="DK77" s="1">
        <v>4</v>
      </c>
      <c r="DL77" s="12"/>
      <c r="DM77" s="7" t="s">
        <v>291</v>
      </c>
      <c r="DN77" s="7" t="s">
        <v>297</v>
      </c>
      <c r="DO77" s="1">
        <v>1</v>
      </c>
      <c r="DP77" s="1">
        <v>4</v>
      </c>
      <c r="DQ77" s="12"/>
      <c r="DR77" s="7" t="s">
        <v>300</v>
      </c>
      <c r="DS77" s="7" t="s">
        <v>292</v>
      </c>
      <c r="DT77" s="1">
        <v>2</v>
      </c>
      <c r="DU77" s="1">
        <v>5</v>
      </c>
      <c r="DV77" s="12"/>
      <c r="DW77" s="7" t="s">
        <v>301</v>
      </c>
      <c r="DX77" s="7" t="s">
        <v>297</v>
      </c>
      <c r="DY77" s="1">
        <v>5</v>
      </c>
      <c r="DZ77" s="1">
        <v>4</v>
      </c>
      <c r="EA77" s="12"/>
      <c r="EB77" s="7" t="s">
        <v>291</v>
      </c>
      <c r="EC77" s="7" t="s">
        <v>292</v>
      </c>
      <c r="ED77" s="1">
        <v>1</v>
      </c>
      <c r="EE77" s="1">
        <v>5</v>
      </c>
      <c r="EF77" s="12"/>
      <c r="EG77" s="7" t="s">
        <v>300</v>
      </c>
      <c r="EH77" s="7" t="s">
        <v>292</v>
      </c>
      <c r="EI77" s="1">
        <v>2</v>
      </c>
      <c r="EJ77" s="1">
        <v>5</v>
      </c>
      <c r="EK77" s="12"/>
      <c r="EL77" s="7" t="s">
        <v>301</v>
      </c>
      <c r="EM77" s="7" t="s">
        <v>297</v>
      </c>
      <c r="EN77" s="1">
        <v>5</v>
      </c>
      <c r="EO77" s="1">
        <v>4</v>
      </c>
      <c r="EP77" s="12"/>
      <c r="EQ77" s="7" t="s">
        <v>291</v>
      </c>
      <c r="ER77" s="7" t="s">
        <v>292</v>
      </c>
      <c r="ES77" s="1">
        <v>1</v>
      </c>
      <c r="ET77" s="1">
        <v>5</v>
      </c>
      <c r="EU77" s="12"/>
      <c r="EV77" s="7" t="s">
        <v>300</v>
      </c>
      <c r="EW77" s="7" t="s">
        <v>292</v>
      </c>
      <c r="EX77" s="1">
        <v>2</v>
      </c>
      <c r="EY77" s="1">
        <v>5</v>
      </c>
      <c r="EZ77" s="12"/>
      <c r="FA77" s="7" t="s">
        <v>291</v>
      </c>
      <c r="FB77" s="7" t="s">
        <v>292</v>
      </c>
      <c r="FC77" s="1">
        <v>1</v>
      </c>
      <c r="FD77" s="1">
        <v>5</v>
      </c>
      <c r="FE77" s="12"/>
      <c r="FF77" s="7" t="s">
        <v>291</v>
      </c>
      <c r="FG77" s="7" t="s">
        <v>292</v>
      </c>
      <c r="FH77" s="1">
        <v>1</v>
      </c>
      <c r="FI77" s="1">
        <v>5</v>
      </c>
      <c r="FJ77" s="12"/>
      <c r="FK77" s="7" t="s">
        <v>300</v>
      </c>
      <c r="FL77" s="7" t="s">
        <v>292</v>
      </c>
      <c r="FM77" s="1">
        <v>2</v>
      </c>
      <c r="FN77" s="1">
        <v>5</v>
      </c>
      <c r="FO77" s="12"/>
      <c r="FP77" s="7" t="s">
        <v>301</v>
      </c>
      <c r="FQ77" s="7" t="s">
        <v>292</v>
      </c>
      <c r="FR77" s="1">
        <v>5</v>
      </c>
      <c r="FS77" s="1">
        <v>5</v>
      </c>
      <c r="FT77" s="10"/>
      <c r="FU77" s="7" t="s">
        <v>1200</v>
      </c>
      <c r="FV77" s="7" t="s">
        <v>1201</v>
      </c>
      <c r="FW77" s="7" t="s">
        <v>1202</v>
      </c>
      <c r="FX77" s="7" t="s">
        <v>1203</v>
      </c>
      <c r="FY77" s="7" t="s">
        <v>1202</v>
      </c>
      <c r="FZ77" s="7" t="s">
        <v>1204</v>
      </c>
      <c r="GA77" s="7" t="s">
        <v>1203</v>
      </c>
      <c r="GB77" s="7" t="s">
        <v>1203</v>
      </c>
      <c r="GC77" s="7" t="s">
        <v>1205</v>
      </c>
      <c r="GD77" s="7" t="s">
        <v>1206</v>
      </c>
      <c r="GE77" s="7" t="s">
        <v>282</v>
      </c>
      <c r="GF77" s="7" t="s">
        <v>282</v>
      </c>
      <c r="GG77" s="7" t="s">
        <v>372</v>
      </c>
      <c r="GH77" s="7" t="s">
        <v>325</v>
      </c>
    </row>
    <row r="78" spans="1:190" x14ac:dyDescent="0.2">
      <c r="A78">
        <v>76</v>
      </c>
      <c r="B78">
        <v>100</v>
      </c>
      <c r="C78">
        <v>1589</v>
      </c>
      <c r="D78" s="7" t="s">
        <v>280</v>
      </c>
      <c r="E78" s="7" t="s">
        <v>544</v>
      </c>
      <c r="F78" s="7" t="s">
        <v>402</v>
      </c>
      <c r="G78" s="4" t="s">
        <v>1282</v>
      </c>
      <c r="H78" s="7" t="s">
        <v>288</v>
      </c>
      <c r="I78" s="1">
        <v>5</v>
      </c>
      <c r="J78" s="7" t="s">
        <v>317</v>
      </c>
      <c r="K78" s="1">
        <v>2</v>
      </c>
      <c r="L78" s="7" t="s">
        <v>290</v>
      </c>
      <c r="M78" s="1">
        <v>4</v>
      </c>
      <c r="N78" s="7" t="s">
        <v>317</v>
      </c>
      <c r="O78" s="1">
        <v>2</v>
      </c>
      <c r="P78" s="12"/>
      <c r="Q78" s="7" t="s">
        <v>291</v>
      </c>
      <c r="R78" s="7" t="s">
        <v>296</v>
      </c>
      <c r="S78" s="1">
        <v>1</v>
      </c>
      <c r="T78" s="1">
        <v>6</v>
      </c>
      <c r="U78" s="12"/>
      <c r="V78" s="7" t="s">
        <v>293</v>
      </c>
      <c r="W78" s="7" t="s">
        <v>296</v>
      </c>
      <c r="X78" s="1">
        <v>2</v>
      </c>
      <c r="Y78" s="1">
        <v>6</v>
      </c>
      <c r="Z78" s="12"/>
      <c r="AA78" s="7" t="s">
        <v>293</v>
      </c>
      <c r="AB78" s="7" t="s">
        <v>296</v>
      </c>
      <c r="AC78" s="1">
        <v>2</v>
      </c>
      <c r="AD78" s="1">
        <v>6</v>
      </c>
      <c r="AE78" s="12"/>
      <c r="AF78" s="7" t="s">
        <v>295</v>
      </c>
      <c r="AG78" s="7" t="s">
        <v>292</v>
      </c>
      <c r="AH78" s="1">
        <v>5</v>
      </c>
      <c r="AI78" s="1">
        <v>5</v>
      </c>
      <c r="AJ78" s="12"/>
      <c r="AK78" s="7" t="s">
        <v>295</v>
      </c>
      <c r="AL78" s="7" t="s">
        <v>292</v>
      </c>
      <c r="AM78" s="1">
        <v>5</v>
      </c>
      <c r="AN78" s="1">
        <v>5</v>
      </c>
      <c r="AO78" s="12"/>
      <c r="AP78" s="7" t="s">
        <v>291</v>
      </c>
      <c r="AQ78" s="7" t="s">
        <v>296</v>
      </c>
      <c r="AR78" s="1">
        <v>1</v>
      </c>
      <c r="AS78" s="1">
        <v>6</v>
      </c>
      <c r="AT78" s="12"/>
      <c r="AU78" s="7" t="s">
        <v>293</v>
      </c>
      <c r="AV78" s="7" t="s">
        <v>296</v>
      </c>
      <c r="AW78" s="1">
        <v>2</v>
      </c>
      <c r="AX78" s="1">
        <v>6</v>
      </c>
      <c r="AY78" s="12"/>
      <c r="AZ78" s="7" t="s">
        <v>298</v>
      </c>
      <c r="BA78" s="7" t="s">
        <v>297</v>
      </c>
      <c r="BB78" s="1">
        <v>3</v>
      </c>
      <c r="BC78" s="1">
        <v>4</v>
      </c>
      <c r="BD78" s="12"/>
      <c r="BE78" s="7" t="s">
        <v>295</v>
      </c>
      <c r="BF78" s="7" t="s">
        <v>292</v>
      </c>
      <c r="BG78" s="1">
        <v>5</v>
      </c>
      <c r="BH78" s="1">
        <v>5</v>
      </c>
      <c r="BI78" s="12"/>
      <c r="BJ78" s="7" t="s">
        <v>298</v>
      </c>
      <c r="BK78" s="7" t="s">
        <v>292</v>
      </c>
      <c r="BL78" s="1">
        <v>3</v>
      </c>
      <c r="BM78" s="1">
        <v>5</v>
      </c>
      <c r="BN78" s="12"/>
      <c r="BO78" s="7" t="s">
        <v>291</v>
      </c>
      <c r="BP78" s="7" t="s">
        <v>296</v>
      </c>
      <c r="BQ78" s="1">
        <v>1</v>
      </c>
      <c r="BR78" s="1">
        <v>6</v>
      </c>
      <c r="BS78" s="12"/>
      <c r="BT78" s="7" t="s">
        <v>293</v>
      </c>
      <c r="BU78" s="7" t="s">
        <v>297</v>
      </c>
      <c r="BV78" s="1">
        <v>2</v>
      </c>
      <c r="BW78" s="1">
        <v>4</v>
      </c>
      <c r="BX78" s="12"/>
      <c r="BY78" s="7" t="s">
        <v>298</v>
      </c>
      <c r="BZ78" s="7" t="s">
        <v>330</v>
      </c>
      <c r="CA78" s="1">
        <v>3</v>
      </c>
      <c r="CB78" s="1">
        <v>3</v>
      </c>
      <c r="CC78" s="12"/>
      <c r="CD78" s="7" t="s">
        <v>295</v>
      </c>
      <c r="CE78" s="7" t="s">
        <v>292</v>
      </c>
      <c r="CF78" s="1">
        <v>5</v>
      </c>
      <c r="CG78" s="1">
        <v>5</v>
      </c>
      <c r="CH78" s="12"/>
      <c r="CI78" s="7" t="s">
        <v>298</v>
      </c>
      <c r="CJ78" s="7" t="s">
        <v>330</v>
      </c>
      <c r="CK78" s="1">
        <v>3</v>
      </c>
      <c r="CL78" s="1">
        <v>3</v>
      </c>
      <c r="CM78" s="12"/>
      <c r="CN78" s="7" t="s">
        <v>291</v>
      </c>
      <c r="CO78" s="7" t="s">
        <v>296</v>
      </c>
      <c r="CP78" s="1">
        <v>1</v>
      </c>
      <c r="CQ78" s="1">
        <v>6</v>
      </c>
      <c r="CR78" s="12"/>
      <c r="CS78" s="7" t="s">
        <v>293</v>
      </c>
      <c r="CT78" s="7" t="s">
        <v>296</v>
      </c>
      <c r="CU78" s="1">
        <v>2</v>
      </c>
      <c r="CV78" s="1">
        <v>6</v>
      </c>
      <c r="CW78" s="12"/>
      <c r="CX78" s="7" t="s">
        <v>298</v>
      </c>
      <c r="CY78" s="7" t="s">
        <v>330</v>
      </c>
      <c r="CZ78" s="1">
        <v>3</v>
      </c>
      <c r="DA78" s="1">
        <v>3</v>
      </c>
      <c r="DB78" s="12"/>
      <c r="DC78" s="7" t="s">
        <v>295</v>
      </c>
      <c r="DD78" s="7" t="s">
        <v>292</v>
      </c>
      <c r="DE78" s="1">
        <v>5</v>
      </c>
      <c r="DF78" s="1">
        <v>5</v>
      </c>
      <c r="DG78" s="12"/>
      <c r="DH78" s="7" t="s">
        <v>298</v>
      </c>
      <c r="DI78" s="7" t="s">
        <v>292</v>
      </c>
      <c r="DJ78" s="1">
        <v>3</v>
      </c>
      <c r="DK78" s="1">
        <v>5</v>
      </c>
      <c r="DL78" s="12"/>
      <c r="DM78" s="7" t="s">
        <v>291</v>
      </c>
      <c r="DN78" s="7" t="s">
        <v>296</v>
      </c>
      <c r="DO78" s="1">
        <v>1</v>
      </c>
      <c r="DP78" s="1">
        <v>6</v>
      </c>
      <c r="DQ78" s="12"/>
      <c r="DR78" s="7" t="s">
        <v>300</v>
      </c>
      <c r="DS78" s="7" t="s">
        <v>296</v>
      </c>
      <c r="DT78" s="1">
        <v>2</v>
      </c>
      <c r="DU78" s="1">
        <v>6</v>
      </c>
      <c r="DV78" s="12"/>
      <c r="DW78" s="7" t="s">
        <v>282</v>
      </c>
      <c r="DX78" s="7" t="s">
        <v>330</v>
      </c>
      <c r="DY78" s="4" t="s">
        <v>282</v>
      </c>
      <c r="DZ78" s="1">
        <v>3</v>
      </c>
      <c r="EA78" s="12"/>
      <c r="EB78" s="7" t="s">
        <v>291</v>
      </c>
      <c r="EC78" s="7" t="s">
        <v>292</v>
      </c>
      <c r="ED78" s="1">
        <v>1</v>
      </c>
      <c r="EE78" s="1">
        <v>5</v>
      </c>
      <c r="EF78" s="12"/>
      <c r="EG78" s="7" t="s">
        <v>300</v>
      </c>
      <c r="EH78" s="7" t="s">
        <v>296</v>
      </c>
      <c r="EI78" s="1">
        <v>2</v>
      </c>
      <c r="EJ78" s="1">
        <v>6</v>
      </c>
      <c r="EK78" s="12"/>
      <c r="EL78" s="7" t="s">
        <v>282</v>
      </c>
      <c r="EM78" s="7" t="s">
        <v>330</v>
      </c>
      <c r="EN78" s="4" t="s">
        <v>282</v>
      </c>
      <c r="EO78" s="1">
        <v>3</v>
      </c>
      <c r="EP78" s="12"/>
      <c r="EQ78" s="7" t="s">
        <v>291</v>
      </c>
      <c r="ER78" s="7" t="s">
        <v>296</v>
      </c>
      <c r="ES78" s="1">
        <v>1</v>
      </c>
      <c r="ET78" s="1">
        <v>6</v>
      </c>
      <c r="EU78" s="12"/>
      <c r="EV78" s="7" t="s">
        <v>300</v>
      </c>
      <c r="EW78" s="7" t="s">
        <v>292</v>
      </c>
      <c r="EX78" s="1">
        <v>2</v>
      </c>
      <c r="EY78" s="1">
        <v>5</v>
      </c>
      <c r="EZ78" s="12"/>
      <c r="FA78" s="7" t="s">
        <v>301</v>
      </c>
      <c r="FB78" s="7" t="s">
        <v>297</v>
      </c>
      <c r="FC78" s="1">
        <v>5</v>
      </c>
      <c r="FD78" s="1">
        <v>4</v>
      </c>
      <c r="FE78" s="12"/>
      <c r="FF78" s="7" t="s">
        <v>291</v>
      </c>
      <c r="FG78" s="7" t="s">
        <v>292</v>
      </c>
      <c r="FH78" s="1">
        <v>1</v>
      </c>
      <c r="FI78" s="1">
        <v>5</v>
      </c>
      <c r="FJ78" s="12"/>
      <c r="FK78" s="7" t="s">
        <v>300</v>
      </c>
      <c r="FL78" s="7" t="s">
        <v>294</v>
      </c>
      <c r="FM78" s="1">
        <v>2</v>
      </c>
      <c r="FN78" s="1">
        <v>7</v>
      </c>
      <c r="FO78" s="12"/>
      <c r="FP78" s="7" t="s">
        <v>301</v>
      </c>
      <c r="FQ78" s="7" t="s">
        <v>297</v>
      </c>
      <c r="FR78" s="1">
        <v>5</v>
      </c>
      <c r="FS78" s="1">
        <v>4</v>
      </c>
      <c r="FT78" s="10"/>
      <c r="FU78" s="7" t="s">
        <v>1209</v>
      </c>
      <c r="FV78" s="7" t="s">
        <v>1210</v>
      </c>
      <c r="FW78" s="7" t="s">
        <v>1211</v>
      </c>
      <c r="FX78" s="7" t="s">
        <v>1212</v>
      </c>
      <c r="FY78" s="7" t="s">
        <v>1213</v>
      </c>
      <c r="FZ78" s="7" t="s">
        <v>1214</v>
      </c>
      <c r="GA78" s="7" t="s">
        <v>693</v>
      </c>
      <c r="GB78" s="7" t="s">
        <v>693</v>
      </c>
      <c r="GC78" s="7" t="s">
        <v>1215</v>
      </c>
      <c r="GD78" s="7" t="s">
        <v>1216</v>
      </c>
      <c r="GE78" s="7" t="s">
        <v>1217</v>
      </c>
      <c r="GF78" s="7" t="s">
        <v>282</v>
      </c>
      <c r="GG78" s="7" t="s">
        <v>356</v>
      </c>
      <c r="GH78" s="7" t="s">
        <v>313</v>
      </c>
    </row>
    <row r="79" spans="1:190" x14ac:dyDescent="0.2">
      <c r="A79">
        <v>77</v>
      </c>
      <c r="B79">
        <v>100</v>
      </c>
      <c r="C79">
        <v>2223</v>
      </c>
      <c r="D79" s="7" t="s">
        <v>280</v>
      </c>
      <c r="E79" s="7" t="s">
        <v>412</v>
      </c>
      <c r="F79" s="7" t="s">
        <v>287</v>
      </c>
      <c r="G79" s="4" t="s">
        <v>312</v>
      </c>
      <c r="H79" s="7" t="s">
        <v>288</v>
      </c>
      <c r="I79" s="1">
        <v>5</v>
      </c>
      <c r="J79" s="7" t="s">
        <v>288</v>
      </c>
      <c r="K79" s="1">
        <v>5</v>
      </c>
      <c r="L79" s="7" t="s">
        <v>329</v>
      </c>
      <c r="M79" s="1">
        <v>3</v>
      </c>
      <c r="N79" s="7" t="s">
        <v>329</v>
      </c>
      <c r="O79" s="1">
        <v>3</v>
      </c>
      <c r="P79" s="12"/>
      <c r="Q79" s="7" t="s">
        <v>291</v>
      </c>
      <c r="R79" s="7" t="s">
        <v>296</v>
      </c>
      <c r="S79" s="1">
        <v>1</v>
      </c>
      <c r="T79" s="1">
        <v>6</v>
      </c>
      <c r="U79" s="12"/>
      <c r="V79" s="7" t="s">
        <v>293</v>
      </c>
      <c r="W79" s="7" t="s">
        <v>296</v>
      </c>
      <c r="X79" s="1">
        <v>2</v>
      </c>
      <c r="Y79" s="1">
        <v>6</v>
      </c>
      <c r="Z79" s="12"/>
      <c r="AA79" s="7" t="s">
        <v>299</v>
      </c>
      <c r="AB79" s="7" t="s">
        <v>296</v>
      </c>
      <c r="AC79" s="1">
        <v>4</v>
      </c>
      <c r="AD79" s="1">
        <v>6</v>
      </c>
      <c r="AE79" s="12"/>
      <c r="AF79" s="7" t="s">
        <v>295</v>
      </c>
      <c r="AG79" s="7" t="s">
        <v>296</v>
      </c>
      <c r="AH79" s="1">
        <v>5</v>
      </c>
      <c r="AI79" s="1">
        <v>6</v>
      </c>
      <c r="AJ79" s="12"/>
      <c r="AK79" s="7" t="s">
        <v>295</v>
      </c>
      <c r="AL79" s="7" t="s">
        <v>296</v>
      </c>
      <c r="AM79" s="1">
        <v>5</v>
      </c>
      <c r="AN79" s="1">
        <v>6</v>
      </c>
      <c r="AO79" s="12"/>
      <c r="AP79" s="7" t="s">
        <v>299</v>
      </c>
      <c r="AQ79" s="7" t="s">
        <v>296</v>
      </c>
      <c r="AR79" s="1">
        <v>4</v>
      </c>
      <c r="AS79" s="1">
        <v>6</v>
      </c>
      <c r="AT79" s="12"/>
      <c r="AU79" s="7" t="s">
        <v>293</v>
      </c>
      <c r="AV79" s="7" t="s">
        <v>296</v>
      </c>
      <c r="AW79" s="1">
        <v>2</v>
      </c>
      <c r="AX79" s="1">
        <v>6</v>
      </c>
      <c r="AY79" s="12"/>
      <c r="AZ79" s="7" t="s">
        <v>299</v>
      </c>
      <c r="BA79" s="7" t="s">
        <v>296</v>
      </c>
      <c r="BB79" s="1">
        <v>4</v>
      </c>
      <c r="BC79" s="1">
        <v>6</v>
      </c>
      <c r="BD79" s="12"/>
      <c r="BE79" s="7" t="s">
        <v>298</v>
      </c>
      <c r="BF79" s="7" t="s">
        <v>296</v>
      </c>
      <c r="BG79" s="1">
        <v>3</v>
      </c>
      <c r="BH79" s="1">
        <v>6</v>
      </c>
      <c r="BI79" s="12"/>
      <c r="BJ79" s="7" t="s">
        <v>295</v>
      </c>
      <c r="BK79" s="7" t="s">
        <v>296</v>
      </c>
      <c r="BL79" s="1">
        <v>5</v>
      </c>
      <c r="BM79" s="1">
        <v>6</v>
      </c>
      <c r="BN79" s="12"/>
      <c r="BO79" s="7" t="s">
        <v>298</v>
      </c>
      <c r="BP79" s="7" t="s">
        <v>292</v>
      </c>
      <c r="BQ79" s="1">
        <v>3</v>
      </c>
      <c r="BR79" s="1">
        <v>5</v>
      </c>
      <c r="BS79" s="12"/>
      <c r="BT79" s="7" t="s">
        <v>293</v>
      </c>
      <c r="BU79" s="7" t="s">
        <v>292</v>
      </c>
      <c r="BV79" s="1">
        <v>2</v>
      </c>
      <c r="BW79" s="1">
        <v>5</v>
      </c>
      <c r="BX79" s="12"/>
      <c r="BY79" s="7" t="s">
        <v>293</v>
      </c>
      <c r="BZ79" s="7" t="s">
        <v>296</v>
      </c>
      <c r="CA79" s="1">
        <v>2</v>
      </c>
      <c r="CB79" s="1">
        <v>6</v>
      </c>
      <c r="CC79" s="12"/>
      <c r="CD79" s="7" t="s">
        <v>298</v>
      </c>
      <c r="CE79" s="7" t="s">
        <v>296</v>
      </c>
      <c r="CF79" s="1">
        <v>3</v>
      </c>
      <c r="CG79" s="1">
        <v>6</v>
      </c>
      <c r="CH79" s="12"/>
      <c r="CI79" s="7" t="s">
        <v>291</v>
      </c>
      <c r="CJ79" s="7" t="s">
        <v>296</v>
      </c>
      <c r="CK79" s="1">
        <v>1</v>
      </c>
      <c r="CL79" s="1">
        <v>6</v>
      </c>
      <c r="CM79" s="12"/>
      <c r="CN79" s="7" t="s">
        <v>299</v>
      </c>
      <c r="CO79" s="7" t="s">
        <v>296</v>
      </c>
      <c r="CP79" s="1">
        <v>4</v>
      </c>
      <c r="CQ79" s="1">
        <v>6</v>
      </c>
      <c r="CR79" s="12"/>
      <c r="CS79" s="7" t="s">
        <v>299</v>
      </c>
      <c r="CT79" s="7" t="s">
        <v>296</v>
      </c>
      <c r="CU79" s="1">
        <v>4</v>
      </c>
      <c r="CV79" s="1">
        <v>6</v>
      </c>
      <c r="CW79" s="12"/>
      <c r="CX79" s="7" t="s">
        <v>291</v>
      </c>
      <c r="CY79" s="7" t="s">
        <v>296</v>
      </c>
      <c r="CZ79" s="1">
        <v>1</v>
      </c>
      <c r="DA79" s="1">
        <v>6</v>
      </c>
      <c r="DB79" s="12"/>
      <c r="DC79" s="7" t="s">
        <v>298</v>
      </c>
      <c r="DD79" s="7" t="s">
        <v>292</v>
      </c>
      <c r="DE79" s="1">
        <v>3</v>
      </c>
      <c r="DF79" s="1">
        <v>5</v>
      </c>
      <c r="DG79" s="12"/>
      <c r="DH79" s="7" t="s">
        <v>291</v>
      </c>
      <c r="DI79" s="7" t="s">
        <v>292</v>
      </c>
      <c r="DJ79" s="1">
        <v>1</v>
      </c>
      <c r="DK79" s="1">
        <v>5</v>
      </c>
      <c r="DL79" s="12"/>
      <c r="DM79" s="7" t="s">
        <v>291</v>
      </c>
      <c r="DN79" s="7" t="s">
        <v>292</v>
      </c>
      <c r="DO79" s="1">
        <v>1</v>
      </c>
      <c r="DP79" s="1">
        <v>5</v>
      </c>
      <c r="DQ79" s="12"/>
      <c r="DR79" s="7" t="s">
        <v>300</v>
      </c>
      <c r="DS79" s="7" t="s">
        <v>292</v>
      </c>
      <c r="DT79" s="1">
        <v>2</v>
      </c>
      <c r="DU79" s="1">
        <v>5</v>
      </c>
      <c r="DV79" s="12"/>
      <c r="DW79" s="7" t="s">
        <v>300</v>
      </c>
      <c r="DX79" s="7" t="s">
        <v>292</v>
      </c>
      <c r="DY79" s="1">
        <v>2</v>
      </c>
      <c r="DZ79" s="1">
        <v>5</v>
      </c>
      <c r="EA79" s="12"/>
      <c r="EB79" s="7" t="s">
        <v>291</v>
      </c>
      <c r="EC79" s="7" t="s">
        <v>296</v>
      </c>
      <c r="ED79" s="1">
        <v>1</v>
      </c>
      <c r="EE79" s="1">
        <v>6</v>
      </c>
      <c r="EF79" s="12"/>
      <c r="EG79" s="7" t="s">
        <v>300</v>
      </c>
      <c r="EH79" s="7" t="s">
        <v>296</v>
      </c>
      <c r="EI79" s="1">
        <v>2</v>
      </c>
      <c r="EJ79" s="1">
        <v>6</v>
      </c>
      <c r="EK79" s="12"/>
      <c r="EL79" s="7" t="s">
        <v>282</v>
      </c>
      <c r="EM79" s="7" t="s">
        <v>292</v>
      </c>
      <c r="EN79" s="4" t="s">
        <v>282</v>
      </c>
      <c r="EO79" s="1">
        <v>5</v>
      </c>
      <c r="EP79" s="12"/>
      <c r="EQ79" s="7" t="s">
        <v>291</v>
      </c>
      <c r="ER79" s="7" t="s">
        <v>296</v>
      </c>
      <c r="ES79" s="1">
        <v>1</v>
      </c>
      <c r="ET79" s="1">
        <v>6</v>
      </c>
      <c r="EU79" s="12"/>
      <c r="EV79" s="7" t="s">
        <v>300</v>
      </c>
      <c r="EW79" s="7" t="s">
        <v>296</v>
      </c>
      <c r="EX79" s="1">
        <v>2</v>
      </c>
      <c r="EY79" s="1">
        <v>6</v>
      </c>
      <c r="EZ79" s="12"/>
      <c r="FA79" s="7" t="s">
        <v>301</v>
      </c>
      <c r="FB79" s="7" t="s">
        <v>296</v>
      </c>
      <c r="FC79" s="1">
        <v>5</v>
      </c>
      <c r="FD79" s="1">
        <v>6</v>
      </c>
      <c r="FE79" s="12"/>
      <c r="FF79" s="7" t="s">
        <v>282</v>
      </c>
      <c r="FG79" s="7" t="s">
        <v>296</v>
      </c>
      <c r="FH79" s="4" t="s">
        <v>282</v>
      </c>
      <c r="FI79" s="1">
        <v>6</v>
      </c>
      <c r="FJ79" s="12"/>
      <c r="FK79" s="7" t="s">
        <v>300</v>
      </c>
      <c r="FL79" s="7" t="s">
        <v>296</v>
      </c>
      <c r="FM79" s="1">
        <v>2</v>
      </c>
      <c r="FN79" s="1">
        <v>6</v>
      </c>
      <c r="FO79" s="12"/>
      <c r="FP79" s="7" t="s">
        <v>301</v>
      </c>
      <c r="FQ79" s="7" t="s">
        <v>292</v>
      </c>
      <c r="FR79" s="1">
        <v>5</v>
      </c>
      <c r="FS79" s="1">
        <v>5</v>
      </c>
      <c r="FT79" s="10"/>
      <c r="FU79" s="7" t="s">
        <v>1236</v>
      </c>
      <c r="FV79" s="7" t="s">
        <v>1237</v>
      </c>
      <c r="FW79" s="7" t="s">
        <v>1238</v>
      </c>
      <c r="FX79" s="7" t="s">
        <v>1239</v>
      </c>
      <c r="FY79" s="7" t="s">
        <v>1240</v>
      </c>
      <c r="FZ79" s="7" t="s">
        <v>1241</v>
      </c>
      <c r="GA79" s="7" t="s">
        <v>1242</v>
      </c>
      <c r="GB79" s="7" t="s">
        <v>1243</v>
      </c>
      <c r="GC79" s="7" t="s">
        <v>1244</v>
      </c>
      <c r="GD79" s="7" t="s">
        <v>1245</v>
      </c>
      <c r="GE79" s="7" t="s">
        <v>1246</v>
      </c>
      <c r="GF79" s="7" t="s">
        <v>1247</v>
      </c>
      <c r="GG79" s="7" t="s">
        <v>372</v>
      </c>
      <c r="GH79" s="7" t="s">
        <v>325</v>
      </c>
    </row>
    <row r="80" spans="1:190" x14ac:dyDescent="0.2">
      <c r="A80">
        <v>78</v>
      </c>
      <c r="B80">
        <v>100</v>
      </c>
      <c r="C80">
        <v>1206</v>
      </c>
      <c r="D80" s="7" t="s">
        <v>280</v>
      </c>
      <c r="E80" s="7" t="s">
        <v>286</v>
      </c>
      <c r="F80" s="7" t="s">
        <v>328</v>
      </c>
      <c r="G80" s="4" t="s">
        <v>1222</v>
      </c>
      <c r="H80" s="7" t="s">
        <v>288</v>
      </c>
      <c r="I80" s="1">
        <v>5</v>
      </c>
      <c r="J80" s="7" t="s">
        <v>289</v>
      </c>
      <c r="K80" s="1">
        <v>1</v>
      </c>
      <c r="L80" s="7" t="s">
        <v>329</v>
      </c>
      <c r="M80" s="1">
        <v>3</v>
      </c>
      <c r="N80" s="7" t="s">
        <v>317</v>
      </c>
      <c r="O80" s="1">
        <v>2</v>
      </c>
      <c r="P80" s="12"/>
      <c r="Q80" s="7" t="s">
        <v>291</v>
      </c>
      <c r="R80" s="7" t="s">
        <v>292</v>
      </c>
      <c r="S80" s="1">
        <v>1</v>
      </c>
      <c r="T80" s="1">
        <v>5</v>
      </c>
      <c r="U80" s="12"/>
      <c r="V80" s="7" t="s">
        <v>293</v>
      </c>
      <c r="W80" s="7" t="s">
        <v>296</v>
      </c>
      <c r="X80" s="1">
        <v>2</v>
      </c>
      <c r="Y80" s="1">
        <v>6</v>
      </c>
      <c r="Z80" s="12"/>
      <c r="AA80" s="7" t="s">
        <v>293</v>
      </c>
      <c r="AB80" s="7" t="s">
        <v>296</v>
      </c>
      <c r="AC80" s="1">
        <v>2</v>
      </c>
      <c r="AD80" s="1">
        <v>6</v>
      </c>
      <c r="AE80" s="12"/>
      <c r="AF80" s="7" t="s">
        <v>295</v>
      </c>
      <c r="AG80" s="7" t="s">
        <v>294</v>
      </c>
      <c r="AH80" s="1">
        <v>5</v>
      </c>
      <c r="AI80" s="1">
        <v>7</v>
      </c>
      <c r="AJ80" s="12"/>
      <c r="AK80" s="7" t="s">
        <v>295</v>
      </c>
      <c r="AL80" s="7" t="s">
        <v>294</v>
      </c>
      <c r="AM80" s="1">
        <v>5</v>
      </c>
      <c r="AN80" s="1">
        <v>7</v>
      </c>
      <c r="AO80" s="12"/>
      <c r="AP80" s="7" t="s">
        <v>291</v>
      </c>
      <c r="AQ80" s="7" t="s">
        <v>296</v>
      </c>
      <c r="AR80" s="1">
        <v>1</v>
      </c>
      <c r="AS80" s="1">
        <v>6</v>
      </c>
      <c r="AT80" s="12"/>
      <c r="AU80" s="7" t="s">
        <v>293</v>
      </c>
      <c r="AV80" s="7" t="s">
        <v>296</v>
      </c>
      <c r="AW80" s="1">
        <v>2</v>
      </c>
      <c r="AX80" s="1">
        <v>6</v>
      </c>
      <c r="AY80" s="12"/>
      <c r="AZ80" s="7" t="s">
        <v>299</v>
      </c>
      <c r="BA80" s="7" t="s">
        <v>330</v>
      </c>
      <c r="BB80" s="1">
        <v>4</v>
      </c>
      <c r="BC80" s="1">
        <v>3</v>
      </c>
      <c r="BD80" s="12"/>
      <c r="BE80" s="7" t="s">
        <v>295</v>
      </c>
      <c r="BF80" s="7" t="s">
        <v>296</v>
      </c>
      <c r="BG80" s="1">
        <v>5</v>
      </c>
      <c r="BH80" s="1">
        <v>6</v>
      </c>
      <c r="BI80" s="12"/>
      <c r="BJ80" s="7" t="s">
        <v>298</v>
      </c>
      <c r="BK80" s="7" t="s">
        <v>296</v>
      </c>
      <c r="BL80" s="1">
        <v>3</v>
      </c>
      <c r="BM80" s="1">
        <v>6</v>
      </c>
      <c r="BN80" s="12"/>
      <c r="BO80" s="7" t="s">
        <v>291</v>
      </c>
      <c r="BP80" s="7" t="s">
        <v>296</v>
      </c>
      <c r="BQ80" s="1">
        <v>1</v>
      </c>
      <c r="BR80" s="1">
        <v>6</v>
      </c>
      <c r="BS80" s="12"/>
      <c r="BT80" s="7" t="s">
        <v>293</v>
      </c>
      <c r="BU80" s="7" t="s">
        <v>296</v>
      </c>
      <c r="BV80" s="1">
        <v>2</v>
      </c>
      <c r="BW80" s="1">
        <v>6</v>
      </c>
      <c r="BX80" s="12"/>
      <c r="BY80" s="7" t="s">
        <v>299</v>
      </c>
      <c r="BZ80" s="7" t="s">
        <v>292</v>
      </c>
      <c r="CA80" s="1">
        <v>4</v>
      </c>
      <c r="CB80" s="1">
        <v>5</v>
      </c>
      <c r="CC80" s="12"/>
      <c r="CD80" s="7" t="s">
        <v>295</v>
      </c>
      <c r="CE80" s="7" t="s">
        <v>296</v>
      </c>
      <c r="CF80" s="1">
        <v>5</v>
      </c>
      <c r="CG80" s="1">
        <v>6</v>
      </c>
      <c r="CH80" s="12"/>
      <c r="CI80" s="7" t="s">
        <v>298</v>
      </c>
      <c r="CJ80" s="7" t="s">
        <v>296</v>
      </c>
      <c r="CK80" s="1">
        <v>3</v>
      </c>
      <c r="CL80" s="1">
        <v>6</v>
      </c>
      <c r="CM80" s="12"/>
      <c r="CN80" s="7" t="s">
        <v>291</v>
      </c>
      <c r="CO80" s="7" t="s">
        <v>292</v>
      </c>
      <c r="CP80" s="1">
        <v>1</v>
      </c>
      <c r="CQ80" s="1">
        <v>5</v>
      </c>
      <c r="CR80" s="12"/>
      <c r="CS80" s="7" t="s">
        <v>293</v>
      </c>
      <c r="CT80" s="7" t="s">
        <v>296</v>
      </c>
      <c r="CU80" s="1">
        <v>2</v>
      </c>
      <c r="CV80" s="1">
        <v>6</v>
      </c>
      <c r="CW80" s="12"/>
      <c r="CX80" s="7" t="s">
        <v>299</v>
      </c>
      <c r="CY80" s="7" t="s">
        <v>296</v>
      </c>
      <c r="CZ80" s="1">
        <v>4</v>
      </c>
      <c r="DA80" s="1">
        <v>6</v>
      </c>
      <c r="DB80" s="12"/>
      <c r="DC80" s="7" t="s">
        <v>295</v>
      </c>
      <c r="DD80" s="7" t="s">
        <v>294</v>
      </c>
      <c r="DE80" s="1">
        <v>5</v>
      </c>
      <c r="DF80" s="1">
        <v>7</v>
      </c>
      <c r="DG80" s="12"/>
      <c r="DH80" s="7" t="s">
        <v>298</v>
      </c>
      <c r="DI80" s="7" t="s">
        <v>296</v>
      </c>
      <c r="DJ80" s="1">
        <v>3</v>
      </c>
      <c r="DK80" s="1">
        <v>6</v>
      </c>
      <c r="DL80" s="12"/>
      <c r="DM80" s="7" t="s">
        <v>291</v>
      </c>
      <c r="DN80" s="7" t="s">
        <v>292</v>
      </c>
      <c r="DO80" s="1">
        <v>1</v>
      </c>
      <c r="DP80" s="1">
        <v>5</v>
      </c>
      <c r="DQ80" s="12"/>
      <c r="DR80" s="7" t="s">
        <v>300</v>
      </c>
      <c r="DS80" s="7" t="s">
        <v>292</v>
      </c>
      <c r="DT80" s="1">
        <v>2</v>
      </c>
      <c r="DU80" s="1">
        <v>5</v>
      </c>
      <c r="DV80" s="12"/>
      <c r="DW80" s="7" t="s">
        <v>301</v>
      </c>
      <c r="DX80" s="7" t="s">
        <v>296</v>
      </c>
      <c r="DY80" s="1">
        <v>5</v>
      </c>
      <c r="DZ80" s="1">
        <v>6</v>
      </c>
      <c r="EA80" s="12"/>
      <c r="EB80" s="7" t="s">
        <v>291</v>
      </c>
      <c r="EC80" s="7" t="s">
        <v>296</v>
      </c>
      <c r="ED80" s="1">
        <v>1</v>
      </c>
      <c r="EE80" s="1">
        <v>6</v>
      </c>
      <c r="EF80" s="12"/>
      <c r="EG80" s="7" t="s">
        <v>300</v>
      </c>
      <c r="EH80" s="7" t="s">
        <v>294</v>
      </c>
      <c r="EI80" s="1">
        <v>2</v>
      </c>
      <c r="EJ80" s="1">
        <v>7</v>
      </c>
      <c r="EK80" s="12"/>
      <c r="EL80" s="7" t="s">
        <v>301</v>
      </c>
      <c r="EM80" s="7" t="s">
        <v>294</v>
      </c>
      <c r="EN80" s="1">
        <v>5</v>
      </c>
      <c r="EO80" s="1">
        <v>7</v>
      </c>
      <c r="EP80" s="12"/>
      <c r="EQ80" s="7" t="s">
        <v>291</v>
      </c>
      <c r="ER80" s="7" t="s">
        <v>292</v>
      </c>
      <c r="ES80" s="1">
        <v>1</v>
      </c>
      <c r="ET80" s="1">
        <v>5</v>
      </c>
      <c r="EU80" s="12"/>
      <c r="EV80" s="7" t="s">
        <v>300</v>
      </c>
      <c r="EW80" s="7" t="s">
        <v>294</v>
      </c>
      <c r="EX80" s="1">
        <v>2</v>
      </c>
      <c r="EY80" s="1">
        <v>7</v>
      </c>
      <c r="EZ80" s="12"/>
      <c r="FA80" s="7" t="s">
        <v>301</v>
      </c>
      <c r="FB80" s="7" t="s">
        <v>294</v>
      </c>
      <c r="FC80" s="1">
        <v>5</v>
      </c>
      <c r="FD80" s="1">
        <v>7</v>
      </c>
      <c r="FE80" s="12"/>
      <c r="FF80" s="7" t="s">
        <v>291</v>
      </c>
      <c r="FG80" s="7" t="s">
        <v>296</v>
      </c>
      <c r="FH80" s="1">
        <v>1</v>
      </c>
      <c r="FI80" s="1">
        <v>6</v>
      </c>
      <c r="FJ80" s="12"/>
      <c r="FK80" s="7" t="s">
        <v>300</v>
      </c>
      <c r="FL80" s="7" t="s">
        <v>294</v>
      </c>
      <c r="FM80" s="1">
        <v>2</v>
      </c>
      <c r="FN80" s="1">
        <v>7</v>
      </c>
      <c r="FO80" s="12"/>
      <c r="FP80" s="7" t="s">
        <v>291</v>
      </c>
      <c r="FQ80" s="7" t="s">
        <v>292</v>
      </c>
      <c r="FR80" s="1">
        <v>1</v>
      </c>
      <c r="FS80" s="1">
        <v>5</v>
      </c>
      <c r="FT80" s="10"/>
      <c r="FU80" s="7" t="s">
        <v>1250</v>
      </c>
      <c r="FV80" s="7" t="s">
        <v>1251</v>
      </c>
      <c r="FW80" s="7" t="s">
        <v>1252</v>
      </c>
      <c r="FX80" s="7" t="s">
        <v>1253</v>
      </c>
      <c r="FY80" s="7" t="s">
        <v>1254</v>
      </c>
      <c r="FZ80" s="7" t="s">
        <v>1255</v>
      </c>
      <c r="GA80" s="7" t="s">
        <v>1256</v>
      </c>
      <c r="GB80" s="7" t="s">
        <v>1257</v>
      </c>
      <c r="GC80" s="7" t="s">
        <v>1258</v>
      </c>
      <c r="GD80" s="7" t="s">
        <v>1259</v>
      </c>
      <c r="GE80" s="7" t="s">
        <v>1260</v>
      </c>
      <c r="GF80" s="7" t="s">
        <v>282</v>
      </c>
      <c r="GG80" s="7" t="s">
        <v>356</v>
      </c>
      <c r="GH80" s="7" t="s">
        <v>313</v>
      </c>
    </row>
    <row r="81" spans="1:190" x14ac:dyDescent="0.2">
      <c r="A81">
        <v>79</v>
      </c>
      <c r="B81">
        <v>100</v>
      </c>
      <c r="C81">
        <v>726</v>
      </c>
      <c r="D81" s="7" t="s">
        <v>280</v>
      </c>
      <c r="E81" s="7" t="s">
        <v>905</v>
      </c>
      <c r="F81" s="7" t="s">
        <v>328</v>
      </c>
      <c r="G81" s="4" t="s">
        <v>1222</v>
      </c>
      <c r="H81" s="7" t="s">
        <v>288</v>
      </c>
      <c r="I81" s="1">
        <v>5</v>
      </c>
      <c r="J81" s="7" t="s">
        <v>289</v>
      </c>
      <c r="K81" s="1">
        <v>1</v>
      </c>
      <c r="L81" s="7" t="s">
        <v>317</v>
      </c>
      <c r="M81" s="1">
        <v>2</v>
      </c>
      <c r="N81" s="7" t="s">
        <v>317</v>
      </c>
      <c r="O81" s="1">
        <v>2</v>
      </c>
      <c r="P81" s="12"/>
      <c r="Q81" s="7" t="s">
        <v>291</v>
      </c>
      <c r="R81" s="7" t="s">
        <v>292</v>
      </c>
      <c r="S81" s="1">
        <v>1</v>
      </c>
      <c r="T81" s="1">
        <v>5</v>
      </c>
      <c r="U81" s="12"/>
      <c r="V81" s="7" t="s">
        <v>299</v>
      </c>
      <c r="W81" s="7" t="s">
        <v>292</v>
      </c>
      <c r="X81" s="1">
        <v>4</v>
      </c>
      <c r="Y81" s="1">
        <v>5</v>
      </c>
      <c r="Z81" s="12"/>
      <c r="AA81" s="7" t="s">
        <v>299</v>
      </c>
      <c r="AB81" s="7" t="s">
        <v>292</v>
      </c>
      <c r="AC81" s="1">
        <v>4</v>
      </c>
      <c r="AD81" s="1">
        <v>5</v>
      </c>
      <c r="AE81" s="12"/>
      <c r="AF81" s="7" t="s">
        <v>295</v>
      </c>
      <c r="AG81" s="7" t="s">
        <v>292</v>
      </c>
      <c r="AH81" s="1">
        <v>5</v>
      </c>
      <c r="AI81" s="1">
        <v>5</v>
      </c>
      <c r="AJ81" s="12"/>
      <c r="AK81" s="7" t="s">
        <v>295</v>
      </c>
      <c r="AL81" s="7" t="s">
        <v>296</v>
      </c>
      <c r="AM81" s="1">
        <v>5</v>
      </c>
      <c r="AN81" s="1">
        <v>6</v>
      </c>
      <c r="AO81" s="12"/>
      <c r="AP81" s="7" t="s">
        <v>291</v>
      </c>
      <c r="AQ81" s="7" t="s">
        <v>292</v>
      </c>
      <c r="AR81" s="1">
        <v>1</v>
      </c>
      <c r="AS81" s="1">
        <v>5</v>
      </c>
      <c r="AT81" s="12"/>
      <c r="AU81" s="7" t="s">
        <v>299</v>
      </c>
      <c r="AV81" s="7" t="s">
        <v>297</v>
      </c>
      <c r="AW81" s="1">
        <v>4</v>
      </c>
      <c r="AX81" s="1">
        <v>4</v>
      </c>
      <c r="AY81" s="12"/>
      <c r="AZ81" s="7" t="s">
        <v>299</v>
      </c>
      <c r="BA81" s="7" t="s">
        <v>292</v>
      </c>
      <c r="BB81" s="1">
        <v>4</v>
      </c>
      <c r="BC81" s="1">
        <v>5</v>
      </c>
      <c r="BD81" s="12"/>
      <c r="BE81" s="7" t="s">
        <v>295</v>
      </c>
      <c r="BF81" s="7" t="s">
        <v>292</v>
      </c>
      <c r="BG81" s="1">
        <v>5</v>
      </c>
      <c r="BH81" s="1">
        <v>5</v>
      </c>
      <c r="BI81" s="12"/>
      <c r="BJ81" s="7" t="s">
        <v>298</v>
      </c>
      <c r="BK81" s="7" t="s">
        <v>292</v>
      </c>
      <c r="BL81" s="1">
        <v>3</v>
      </c>
      <c r="BM81" s="1">
        <v>5</v>
      </c>
      <c r="BN81" s="12"/>
      <c r="BO81" s="7" t="s">
        <v>291</v>
      </c>
      <c r="BP81" s="7" t="s">
        <v>292</v>
      </c>
      <c r="BQ81" s="1">
        <v>1</v>
      </c>
      <c r="BR81" s="1">
        <v>5</v>
      </c>
      <c r="BS81" s="12"/>
      <c r="BT81" s="7" t="s">
        <v>299</v>
      </c>
      <c r="BU81" s="7" t="s">
        <v>292</v>
      </c>
      <c r="BV81" s="1">
        <v>4</v>
      </c>
      <c r="BW81" s="1">
        <v>5</v>
      </c>
      <c r="BX81" s="12"/>
      <c r="BY81" s="7" t="s">
        <v>299</v>
      </c>
      <c r="BZ81" s="7" t="s">
        <v>297</v>
      </c>
      <c r="CA81" s="1">
        <v>4</v>
      </c>
      <c r="CB81" s="1">
        <v>4</v>
      </c>
      <c r="CC81" s="12"/>
      <c r="CD81" s="7" t="s">
        <v>295</v>
      </c>
      <c r="CE81" s="7" t="s">
        <v>292</v>
      </c>
      <c r="CF81" s="1">
        <v>5</v>
      </c>
      <c r="CG81" s="1">
        <v>5</v>
      </c>
      <c r="CH81" s="12"/>
      <c r="CI81" s="7" t="s">
        <v>298</v>
      </c>
      <c r="CJ81" s="7" t="s">
        <v>297</v>
      </c>
      <c r="CK81" s="1">
        <v>3</v>
      </c>
      <c r="CL81" s="1">
        <v>4</v>
      </c>
      <c r="CM81" s="12"/>
      <c r="CN81" s="7" t="s">
        <v>291</v>
      </c>
      <c r="CO81" s="7" t="s">
        <v>292</v>
      </c>
      <c r="CP81" s="1">
        <v>1</v>
      </c>
      <c r="CQ81" s="1">
        <v>5</v>
      </c>
      <c r="CR81" s="12"/>
      <c r="CS81" s="7" t="s">
        <v>299</v>
      </c>
      <c r="CT81" s="7" t="s">
        <v>292</v>
      </c>
      <c r="CU81" s="1">
        <v>4</v>
      </c>
      <c r="CV81" s="1">
        <v>5</v>
      </c>
      <c r="CW81" s="12"/>
      <c r="CX81" s="7" t="s">
        <v>299</v>
      </c>
      <c r="CY81" s="7" t="s">
        <v>294</v>
      </c>
      <c r="CZ81" s="1">
        <v>4</v>
      </c>
      <c r="DA81" s="1">
        <v>7</v>
      </c>
      <c r="DB81" s="12"/>
      <c r="DC81" s="7" t="s">
        <v>295</v>
      </c>
      <c r="DD81" s="7" t="s">
        <v>297</v>
      </c>
      <c r="DE81" s="1">
        <v>5</v>
      </c>
      <c r="DF81" s="1">
        <v>4</v>
      </c>
      <c r="DG81" s="12"/>
      <c r="DH81" s="7" t="s">
        <v>298</v>
      </c>
      <c r="DI81" s="7" t="s">
        <v>292</v>
      </c>
      <c r="DJ81" s="1">
        <v>3</v>
      </c>
      <c r="DK81" s="1">
        <v>5</v>
      </c>
      <c r="DL81" s="12"/>
      <c r="DM81" s="7" t="s">
        <v>291</v>
      </c>
      <c r="DN81" s="7" t="s">
        <v>292</v>
      </c>
      <c r="DO81" s="1">
        <v>1</v>
      </c>
      <c r="DP81" s="1">
        <v>5</v>
      </c>
      <c r="DQ81" s="12"/>
      <c r="DR81" s="7" t="s">
        <v>300</v>
      </c>
      <c r="DS81" s="7" t="s">
        <v>292</v>
      </c>
      <c r="DT81" s="1">
        <v>2</v>
      </c>
      <c r="DU81" s="1">
        <v>5</v>
      </c>
      <c r="DV81" s="12"/>
      <c r="DW81" s="7" t="s">
        <v>301</v>
      </c>
      <c r="DX81" s="7" t="s">
        <v>292</v>
      </c>
      <c r="DY81" s="1">
        <v>5</v>
      </c>
      <c r="DZ81" s="1">
        <v>5</v>
      </c>
      <c r="EA81" s="12"/>
      <c r="EB81" s="7" t="s">
        <v>291</v>
      </c>
      <c r="EC81" s="7" t="s">
        <v>296</v>
      </c>
      <c r="ED81" s="1">
        <v>1</v>
      </c>
      <c r="EE81" s="1">
        <v>6</v>
      </c>
      <c r="EF81" s="12"/>
      <c r="EG81" s="7" t="s">
        <v>300</v>
      </c>
      <c r="EH81" s="7" t="s">
        <v>296</v>
      </c>
      <c r="EI81" s="1">
        <v>2</v>
      </c>
      <c r="EJ81" s="1">
        <v>6</v>
      </c>
      <c r="EK81" s="12"/>
      <c r="EL81" s="7" t="s">
        <v>301</v>
      </c>
      <c r="EM81" s="7" t="s">
        <v>294</v>
      </c>
      <c r="EN81" s="1">
        <v>5</v>
      </c>
      <c r="EO81" s="1">
        <v>7</v>
      </c>
      <c r="EP81" s="12"/>
      <c r="EQ81" s="7" t="s">
        <v>291</v>
      </c>
      <c r="ER81" s="7" t="s">
        <v>296</v>
      </c>
      <c r="ES81" s="1">
        <v>1</v>
      </c>
      <c r="ET81" s="1">
        <v>6</v>
      </c>
      <c r="EU81" s="12"/>
      <c r="EV81" s="7" t="s">
        <v>300</v>
      </c>
      <c r="EW81" s="7" t="s">
        <v>292</v>
      </c>
      <c r="EX81" s="1">
        <v>2</v>
      </c>
      <c r="EY81" s="1">
        <v>5</v>
      </c>
      <c r="EZ81" s="12"/>
      <c r="FA81" s="7" t="s">
        <v>301</v>
      </c>
      <c r="FB81" s="7" t="s">
        <v>296</v>
      </c>
      <c r="FC81" s="1">
        <v>5</v>
      </c>
      <c r="FD81" s="1">
        <v>6</v>
      </c>
      <c r="FE81" s="12"/>
      <c r="FF81" s="7" t="s">
        <v>291</v>
      </c>
      <c r="FG81" s="7" t="s">
        <v>296</v>
      </c>
      <c r="FH81" s="1">
        <v>1</v>
      </c>
      <c r="FI81" s="1">
        <v>6</v>
      </c>
      <c r="FJ81" s="12"/>
      <c r="FK81" s="7" t="s">
        <v>300</v>
      </c>
      <c r="FL81" s="7" t="s">
        <v>292</v>
      </c>
      <c r="FM81" s="1">
        <v>2</v>
      </c>
      <c r="FN81" s="1">
        <v>5</v>
      </c>
      <c r="FO81" s="12"/>
      <c r="FP81" s="7" t="s">
        <v>300</v>
      </c>
      <c r="FQ81" s="7" t="s">
        <v>294</v>
      </c>
      <c r="FR81" s="1">
        <v>2</v>
      </c>
      <c r="FS81" s="1">
        <v>7</v>
      </c>
      <c r="FT81" s="10"/>
      <c r="FU81" s="7" t="s">
        <v>1269</v>
      </c>
      <c r="FV81" s="7" t="s">
        <v>1270</v>
      </c>
      <c r="FW81" s="7" t="s">
        <v>1271</v>
      </c>
      <c r="FX81" s="7" t="s">
        <v>1272</v>
      </c>
      <c r="FY81" s="7" t="s">
        <v>1273</v>
      </c>
      <c r="FZ81" s="7" t="s">
        <v>1274</v>
      </c>
      <c r="GA81" s="7" t="s">
        <v>1275</v>
      </c>
      <c r="GB81" s="7" t="s">
        <v>1276</v>
      </c>
      <c r="GC81" s="7" t="s">
        <v>1277</v>
      </c>
      <c r="GD81" s="7" t="s">
        <v>1278</v>
      </c>
      <c r="GE81" s="7" t="s">
        <v>1279</v>
      </c>
      <c r="GF81" s="7" t="s">
        <v>282</v>
      </c>
      <c r="GG81" s="7" t="s">
        <v>372</v>
      </c>
      <c r="GH81" s="7" t="s">
        <v>325</v>
      </c>
    </row>
    <row r="85" spans="1:190" x14ac:dyDescent="0.2">
      <c r="A85" s="48"/>
      <c r="Q85" s="7"/>
    </row>
    <row r="86" spans="1:190" x14ac:dyDescent="0.2">
      <c r="A86" s="49"/>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E55D-EE3C-094B-BC80-F8386659B328}">
  <dimension ref="A1:O2529"/>
  <sheetViews>
    <sheetView zoomScale="130" zoomScaleNormal="130" workbookViewId="0">
      <selection activeCell="B2" sqref="B2"/>
    </sheetView>
  </sheetViews>
  <sheetFormatPr baseColWidth="10" defaultRowHeight="15" x14ac:dyDescent="0.2"/>
  <cols>
    <col min="1" max="11" width="19.5" customWidth="1"/>
    <col min="12" max="12" width="19.5" style="67" customWidth="1"/>
    <col min="14" max="14" width="61.6640625" customWidth="1"/>
  </cols>
  <sheetData>
    <row r="1" spans="1:15" ht="23" thickBot="1" x14ac:dyDescent="0.35">
      <c r="A1" s="16" t="s">
        <v>1304</v>
      </c>
      <c r="B1" s="39" t="s">
        <v>1345</v>
      </c>
      <c r="C1" s="39" t="s">
        <v>1338</v>
      </c>
      <c r="D1" s="39" t="s">
        <v>1329</v>
      </c>
      <c r="E1" s="39" t="s">
        <v>1303</v>
      </c>
      <c r="F1" s="39" t="s">
        <v>1305</v>
      </c>
      <c r="G1" s="39" t="s">
        <v>1306</v>
      </c>
      <c r="H1" s="39" t="s">
        <v>1330</v>
      </c>
      <c r="I1" s="39" t="s">
        <v>1331</v>
      </c>
      <c r="J1" s="39" t="s">
        <v>1307</v>
      </c>
      <c r="K1" s="39" t="s">
        <v>1308</v>
      </c>
      <c r="L1" s="66" t="s">
        <v>1309</v>
      </c>
      <c r="N1" s="118" t="s">
        <v>1310</v>
      </c>
      <c r="O1" s="118"/>
    </row>
    <row r="2" spans="1:15" x14ac:dyDescent="0.2">
      <c r="A2">
        <v>1</v>
      </c>
      <c r="B2" s="7" t="s">
        <v>356</v>
      </c>
      <c r="C2" t="s">
        <v>1311</v>
      </c>
      <c r="D2" s="65" t="str">
        <f>IF($E2="iso", "N", IF(OR($E2="non", $E2="emd", $E2="dyn"), "Y", "ERROR"))</f>
        <v>N</v>
      </c>
      <c r="E2" t="s">
        <v>1312</v>
      </c>
      <c r="F2" s="7" t="s">
        <v>291</v>
      </c>
      <c r="G2" s="1">
        <v>1</v>
      </c>
      <c r="H2" s="7" t="s">
        <v>291</v>
      </c>
      <c r="I2" s="7" t="s">
        <v>292</v>
      </c>
      <c r="J2" s="1">
        <v>1</v>
      </c>
      <c r="K2" s="1">
        <v>5</v>
      </c>
      <c r="L2" s="67">
        <f>IF(G2=J2, 1, 0)</f>
        <v>1</v>
      </c>
      <c r="N2" s="17" t="s">
        <v>291</v>
      </c>
      <c r="O2" s="18">
        <v>1</v>
      </c>
    </row>
    <row r="3" spans="1:15" x14ac:dyDescent="0.2">
      <c r="A3">
        <v>2</v>
      </c>
      <c r="B3" s="7" t="s">
        <v>372</v>
      </c>
      <c r="C3" t="s">
        <v>1311</v>
      </c>
      <c r="D3" s="65" t="str">
        <f t="shared" ref="D3:D66" si="0">IF($E3="iso", "N", IF(OR($E3="non", $E3="emd", $E3="dyn"), "Y", "ERROR"))</f>
        <v>N</v>
      </c>
      <c r="E3" t="s">
        <v>1312</v>
      </c>
      <c r="F3" s="7" t="s">
        <v>291</v>
      </c>
      <c r="G3" s="1">
        <v>1</v>
      </c>
      <c r="H3" s="7" t="s">
        <v>291</v>
      </c>
      <c r="I3" s="7" t="s">
        <v>292</v>
      </c>
      <c r="J3" s="1">
        <v>1</v>
      </c>
      <c r="K3" s="1">
        <v>5</v>
      </c>
      <c r="L3" s="67">
        <f t="shared" ref="L3:L66" si="1">IF(G3=J3, 1, 0)</f>
        <v>1</v>
      </c>
      <c r="N3" s="19" t="s">
        <v>293</v>
      </c>
      <c r="O3" s="23">
        <v>2</v>
      </c>
    </row>
    <row r="4" spans="1:15" x14ac:dyDescent="0.2">
      <c r="A4">
        <v>3</v>
      </c>
      <c r="B4" s="7" t="s">
        <v>372</v>
      </c>
      <c r="C4" t="s">
        <v>1311</v>
      </c>
      <c r="D4" s="65" t="str">
        <f t="shared" si="0"/>
        <v>N</v>
      </c>
      <c r="E4" t="s">
        <v>1312</v>
      </c>
      <c r="F4" s="7" t="s">
        <v>291</v>
      </c>
      <c r="G4" s="1">
        <v>1</v>
      </c>
      <c r="H4" s="7" t="s">
        <v>291</v>
      </c>
      <c r="I4" s="7" t="s">
        <v>296</v>
      </c>
      <c r="J4" s="1">
        <v>1</v>
      </c>
      <c r="K4" s="1">
        <v>6</v>
      </c>
      <c r="L4" s="67">
        <f t="shared" si="1"/>
        <v>1</v>
      </c>
      <c r="N4" s="19" t="s">
        <v>298</v>
      </c>
      <c r="O4" s="23">
        <v>3</v>
      </c>
    </row>
    <row r="5" spans="1:15" x14ac:dyDescent="0.2">
      <c r="A5">
        <v>4</v>
      </c>
      <c r="B5" s="7" t="s">
        <v>356</v>
      </c>
      <c r="C5" t="s">
        <v>1311</v>
      </c>
      <c r="D5" s="65" t="str">
        <f t="shared" si="0"/>
        <v>N</v>
      </c>
      <c r="E5" t="s">
        <v>1312</v>
      </c>
      <c r="F5" s="7" t="s">
        <v>291</v>
      </c>
      <c r="G5" s="1">
        <v>1</v>
      </c>
      <c r="H5" s="7" t="s">
        <v>291</v>
      </c>
      <c r="I5" s="7" t="s">
        <v>292</v>
      </c>
      <c r="J5" s="1">
        <v>1</v>
      </c>
      <c r="K5" s="1">
        <v>5</v>
      </c>
      <c r="L5" s="67">
        <f t="shared" si="1"/>
        <v>1</v>
      </c>
      <c r="N5" s="19" t="s">
        <v>299</v>
      </c>
      <c r="O5" s="23">
        <v>4</v>
      </c>
    </row>
    <row r="6" spans="1:15" ht="16" thickBot="1" x14ac:dyDescent="0.25">
      <c r="A6">
        <v>5</v>
      </c>
      <c r="B6" s="7" t="s">
        <v>372</v>
      </c>
      <c r="C6" t="s">
        <v>1311</v>
      </c>
      <c r="D6" s="65" t="str">
        <f t="shared" si="0"/>
        <v>N</v>
      </c>
      <c r="E6" t="s">
        <v>1312</v>
      </c>
      <c r="F6" s="7" t="s">
        <v>291</v>
      </c>
      <c r="G6" s="1">
        <v>1</v>
      </c>
      <c r="H6" s="7" t="s">
        <v>291</v>
      </c>
      <c r="I6" s="7" t="s">
        <v>292</v>
      </c>
      <c r="J6" s="1">
        <v>1</v>
      </c>
      <c r="K6" s="1">
        <v>5</v>
      </c>
      <c r="L6" s="67">
        <f t="shared" si="1"/>
        <v>1</v>
      </c>
      <c r="N6" s="21" t="s">
        <v>295</v>
      </c>
      <c r="O6" s="24">
        <v>5</v>
      </c>
    </row>
    <row r="7" spans="1:15" x14ac:dyDescent="0.2">
      <c r="A7">
        <v>6</v>
      </c>
      <c r="B7" s="7" t="s">
        <v>356</v>
      </c>
      <c r="C7" t="s">
        <v>1311</v>
      </c>
      <c r="D7" s="65" t="str">
        <f t="shared" si="0"/>
        <v>N</v>
      </c>
      <c r="E7" t="s">
        <v>1312</v>
      </c>
      <c r="F7" s="7" t="s">
        <v>291</v>
      </c>
      <c r="G7" s="1">
        <v>1</v>
      </c>
      <c r="H7" s="7" t="s">
        <v>291</v>
      </c>
      <c r="I7" s="7" t="s">
        <v>297</v>
      </c>
      <c r="J7" s="1">
        <v>1</v>
      </c>
      <c r="K7" s="1">
        <v>4</v>
      </c>
      <c r="L7" s="67">
        <f t="shared" si="1"/>
        <v>1</v>
      </c>
    </row>
    <row r="8" spans="1:15" ht="16" thickBot="1" x14ac:dyDescent="0.25">
      <c r="A8">
        <v>7</v>
      </c>
      <c r="B8" s="7" t="s">
        <v>372</v>
      </c>
      <c r="C8" t="s">
        <v>1311</v>
      </c>
      <c r="D8" s="65" t="str">
        <f t="shared" si="0"/>
        <v>N</v>
      </c>
      <c r="E8" t="s">
        <v>1312</v>
      </c>
      <c r="F8" s="7" t="s">
        <v>291</v>
      </c>
      <c r="G8" s="1">
        <v>1</v>
      </c>
      <c r="H8" s="7" t="s">
        <v>291</v>
      </c>
      <c r="I8" s="7" t="s">
        <v>292</v>
      </c>
      <c r="J8" s="1">
        <v>1</v>
      </c>
      <c r="K8" s="1">
        <v>5</v>
      </c>
      <c r="L8" s="67">
        <f t="shared" si="1"/>
        <v>1</v>
      </c>
    </row>
    <row r="9" spans="1:15" x14ac:dyDescent="0.2">
      <c r="A9">
        <v>8</v>
      </c>
      <c r="B9" s="7" t="s">
        <v>356</v>
      </c>
      <c r="C9" t="s">
        <v>1311</v>
      </c>
      <c r="D9" s="65" t="str">
        <f t="shared" si="0"/>
        <v>N</v>
      </c>
      <c r="E9" t="s">
        <v>1312</v>
      </c>
      <c r="F9" s="7" t="s">
        <v>291</v>
      </c>
      <c r="G9" s="1">
        <v>1</v>
      </c>
      <c r="H9" s="7" t="s">
        <v>291</v>
      </c>
      <c r="I9" s="7" t="s">
        <v>296</v>
      </c>
      <c r="J9" s="1">
        <v>1</v>
      </c>
      <c r="K9" s="1">
        <v>6</v>
      </c>
      <c r="L9" s="67">
        <f t="shared" si="1"/>
        <v>1</v>
      </c>
      <c r="N9" s="17" t="s">
        <v>330</v>
      </c>
      <c r="O9" s="18">
        <v>3</v>
      </c>
    </row>
    <row r="10" spans="1:15" x14ac:dyDescent="0.2">
      <c r="A10">
        <v>9</v>
      </c>
      <c r="B10" s="7" t="s">
        <v>372</v>
      </c>
      <c r="C10" t="s">
        <v>1311</v>
      </c>
      <c r="D10" s="65" t="str">
        <f t="shared" si="0"/>
        <v>N</v>
      </c>
      <c r="E10" t="s">
        <v>1312</v>
      </c>
      <c r="F10" s="7" t="s">
        <v>291</v>
      </c>
      <c r="G10" s="1">
        <v>1</v>
      </c>
      <c r="H10" s="7" t="s">
        <v>291</v>
      </c>
      <c r="I10" s="7" t="s">
        <v>296</v>
      </c>
      <c r="J10" s="1">
        <v>1</v>
      </c>
      <c r="K10" s="1">
        <v>6</v>
      </c>
      <c r="L10" s="67">
        <f t="shared" si="1"/>
        <v>1</v>
      </c>
      <c r="N10" s="19" t="s">
        <v>297</v>
      </c>
      <c r="O10" s="20">
        <v>4</v>
      </c>
    </row>
    <row r="11" spans="1:15" x14ac:dyDescent="0.2">
      <c r="A11">
        <v>10</v>
      </c>
      <c r="B11" s="7" t="s">
        <v>356</v>
      </c>
      <c r="C11" t="s">
        <v>1311</v>
      </c>
      <c r="D11" s="65" t="str">
        <f t="shared" si="0"/>
        <v>N</v>
      </c>
      <c r="E11" t="s">
        <v>1312</v>
      </c>
      <c r="F11" s="7" t="s">
        <v>291</v>
      </c>
      <c r="G11" s="1">
        <v>1</v>
      </c>
      <c r="H11" s="7" t="s">
        <v>291</v>
      </c>
      <c r="I11" s="7" t="s">
        <v>292</v>
      </c>
      <c r="J11" s="1">
        <v>1</v>
      </c>
      <c r="K11" s="1">
        <v>5</v>
      </c>
      <c r="L11" s="67">
        <f t="shared" si="1"/>
        <v>1</v>
      </c>
      <c r="N11" s="19" t="s">
        <v>292</v>
      </c>
      <c r="O11" s="20">
        <v>5</v>
      </c>
    </row>
    <row r="12" spans="1:15" x14ac:dyDescent="0.2">
      <c r="A12">
        <v>11</v>
      </c>
      <c r="B12" s="7" t="s">
        <v>356</v>
      </c>
      <c r="C12" t="s">
        <v>1311</v>
      </c>
      <c r="D12" s="65" t="str">
        <f t="shared" si="0"/>
        <v>N</v>
      </c>
      <c r="E12" t="s">
        <v>1312</v>
      </c>
      <c r="F12" s="7" t="s">
        <v>291</v>
      </c>
      <c r="G12" s="1">
        <v>1</v>
      </c>
      <c r="H12" s="7" t="s">
        <v>293</v>
      </c>
      <c r="I12" s="7" t="s">
        <v>296</v>
      </c>
      <c r="J12" s="1">
        <v>2</v>
      </c>
      <c r="K12" s="1">
        <v>6</v>
      </c>
      <c r="L12" s="67">
        <f t="shared" si="1"/>
        <v>0</v>
      </c>
      <c r="N12" s="19" t="s">
        <v>296</v>
      </c>
      <c r="O12" s="20">
        <v>6</v>
      </c>
    </row>
    <row r="13" spans="1:15" ht="16" thickBot="1" x14ac:dyDescent="0.25">
      <c r="A13">
        <v>12</v>
      </c>
      <c r="B13" s="7" t="s">
        <v>372</v>
      </c>
      <c r="C13" t="s">
        <v>1311</v>
      </c>
      <c r="D13" s="65" t="str">
        <f t="shared" si="0"/>
        <v>N</v>
      </c>
      <c r="E13" t="s">
        <v>1312</v>
      </c>
      <c r="F13" s="7" t="s">
        <v>291</v>
      </c>
      <c r="G13" s="1">
        <v>1</v>
      </c>
      <c r="H13" s="7" t="s">
        <v>291</v>
      </c>
      <c r="I13" s="7" t="s">
        <v>292</v>
      </c>
      <c r="J13" s="1">
        <v>1</v>
      </c>
      <c r="K13" s="1">
        <v>5</v>
      </c>
      <c r="L13" s="67">
        <f t="shared" si="1"/>
        <v>1</v>
      </c>
      <c r="N13" s="21" t="s">
        <v>294</v>
      </c>
      <c r="O13" s="22">
        <v>7</v>
      </c>
    </row>
    <row r="14" spans="1:15" x14ac:dyDescent="0.2">
      <c r="A14">
        <v>13</v>
      </c>
      <c r="B14" s="7" t="s">
        <v>356</v>
      </c>
      <c r="C14" t="s">
        <v>1311</v>
      </c>
      <c r="D14" s="65" t="str">
        <f t="shared" si="0"/>
        <v>N</v>
      </c>
      <c r="E14" t="s">
        <v>1312</v>
      </c>
      <c r="F14" s="7" t="s">
        <v>291</v>
      </c>
      <c r="G14" s="1">
        <v>1</v>
      </c>
      <c r="H14" s="7" t="s">
        <v>291</v>
      </c>
      <c r="I14" s="7" t="s">
        <v>296</v>
      </c>
      <c r="J14" s="1">
        <v>1</v>
      </c>
      <c r="K14" s="1">
        <v>6</v>
      </c>
      <c r="L14" s="67">
        <f t="shared" si="1"/>
        <v>1</v>
      </c>
    </row>
    <row r="15" spans="1:15" x14ac:dyDescent="0.2">
      <c r="A15">
        <v>14</v>
      </c>
      <c r="B15" s="7" t="s">
        <v>372</v>
      </c>
      <c r="C15" t="s">
        <v>1311</v>
      </c>
      <c r="D15" s="65" t="str">
        <f t="shared" si="0"/>
        <v>N</v>
      </c>
      <c r="E15" t="s">
        <v>1312</v>
      </c>
      <c r="F15" s="7" t="s">
        <v>291</v>
      </c>
      <c r="G15" s="1">
        <v>1</v>
      </c>
      <c r="H15" s="7" t="s">
        <v>291</v>
      </c>
      <c r="I15" s="7" t="s">
        <v>294</v>
      </c>
      <c r="J15" s="1">
        <v>1</v>
      </c>
      <c r="K15" s="1">
        <v>7</v>
      </c>
      <c r="L15" s="67">
        <f t="shared" si="1"/>
        <v>1</v>
      </c>
    </row>
    <row r="16" spans="1:15" x14ac:dyDescent="0.2">
      <c r="A16">
        <v>15</v>
      </c>
      <c r="B16" s="7" t="s">
        <v>356</v>
      </c>
      <c r="C16" t="s">
        <v>1311</v>
      </c>
      <c r="D16" s="65" t="str">
        <f t="shared" si="0"/>
        <v>N</v>
      </c>
      <c r="E16" t="s">
        <v>1312</v>
      </c>
      <c r="F16" s="7" t="s">
        <v>291</v>
      </c>
      <c r="G16" s="1">
        <v>1</v>
      </c>
      <c r="H16" s="7" t="s">
        <v>291</v>
      </c>
      <c r="I16" s="7" t="s">
        <v>296</v>
      </c>
      <c r="J16" s="1">
        <v>1</v>
      </c>
      <c r="K16" s="1">
        <v>6</v>
      </c>
      <c r="L16" s="67">
        <f t="shared" si="1"/>
        <v>1</v>
      </c>
    </row>
    <row r="17" spans="1:12" x14ac:dyDescent="0.2">
      <c r="A17">
        <v>16</v>
      </c>
      <c r="B17" s="7" t="s">
        <v>372</v>
      </c>
      <c r="C17" t="s">
        <v>1311</v>
      </c>
      <c r="D17" s="65" t="str">
        <f t="shared" si="0"/>
        <v>N</v>
      </c>
      <c r="E17" t="s">
        <v>1312</v>
      </c>
      <c r="F17" s="7" t="s">
        <v>291</v>
      </c>
      <c r="G17" s="1">
        <v>1</v>
      </c>
      <c r="H17" s="7" t="s">
        <v>295</v>
      </c>
      <c r="I17" s="7" t="s">
        <v>292</v>
      </c>
      <c r="J17" s="1">
        <v>5</v>
      </c>
      <c r="K17" s="1">
        <v>5</v>
      </c>
      <c r="L17" s="67">
        <f t="shared" si="1"/>
        <v>0</v>
      </c>
    </row>
    <row r="18" spans="1:12" x14ac:dyDescent="0.2">
      <c r="A18">
        <v>17</v>
      </c>
      <c r="B18" s="7" t="s">
        <v>372</v>
      </c>
      <c r="C18" t="s">
        <v>1311</v>
      </c>
      <c r="D18" s="65" t="str">
        <f t="shared" si="0"/>
        <v>N</v>
      </c>
      <c r="E18" t="s">
        <v>1312</v>
      </c>
      <c r="F18" s="7" t="s">
        <v>291</v>
      </c>
      <c r="G18" s="1">
        <v>1</v>
      </c>
      <c r="H18" s="7" t="s">
        <v>291</v>
      </c>
      <c r="I18" s="7" t="s">
        <v>292</v>
      </c>
      <c r="J18" s="1">
        <v>1</v>
      </c>
      <c r="K18" s="1">
        <v>5</v>
      </c>
      <c r="L18" s="67">
        <f t="shared" si="1"/>
        <v>1</v>
      </c>
    </row>
    <row r="19" spans="1:12" x14ac:dyDescent="0.2">
      <c r="A19">
        <v>18</v>
      </c>
      <c r="B19" s="7" t="s">
        <v>356</v>
      </c>
      <c r="C19" t="s">
        <v>1311</v>
      </c>
      <c r="D19" s="65" t="str">
        <f t="shared" si="0"/>
        <v>N</v>
      </c>
      <c r="E19" t="s">
        <v>1312</v>
      </c>
      <c r="F19" s="7" t="s">
        <v>291</v>
      </c>
      <c r="G19" s="1">
        <v>1</v>
      </c>
      <c r="H19" s="7" t="s">
        <v>291</v>
      </c>
      <c r="I19" s="7" t="s">
        <v>292</v>
      </c>
      <c r="J19" s="1">
        <v>1</v>
      </c>
      <c r="K19" s="1">
        <v>5</v>
      </c>
      <c r="L19" s="67">
        <f t="shared" si="1"/>
        <v>1</v>
      </c>
    </row>
    <row r="20" spans="1:12" x14ac:dyDescent="0.2">
      <c r="A20">
        <v>19</v>
      </c>
      <c r="B20" s="7" t="s">
        <v>356</v>
      </c>
      <c r="C20" t="s">
        <v>1311</v>
      </c>
      <c r="D20" s="65" t="str">
        <f t="shared" si="0"/>
        <v>N</v>
      </c>
      <c r="E20" t="s">
        <v>1312</v>
      </c>
      <c r="F20" s="7" t="s">
        <v>291</v>
      </c>
      <c r="G20" s="1">
        <v>1</v>
      </c>
      <c r="H20" s="7" t="s">
        <v>291</v>
      </c>
      <c r="I20" s="7" t="s">
        <v>292</v>
      </c>
      <c r="J20" s="1">
        <v>1</v>
      </c>
      <c r="K20" s="1">
        <v>5</v>
      </c>
      <c r="L20" s="67">
        <f t="shared" si="1"/>
        <v>1</v>
      </c>
    </row>
    <row r="21" spans="1:12" x14ac:dyDescent="0.2">
      <c r="A21">
        <v>20</v>
      </c>
      <c r="B21" s="7" t="s">
        <v>372</v>
      </c>
      <c r="C21" t="s">
        <v>1311</v>
      </c>
      <c r="D21" s="65" t="str">
        <f t="shared" si="0"/>
        <v>N</v>
      </c>
      <c r="E21" t="s">
        <v>1312</v>
      </c>
      <c r="F21" s="7" t="s">
        <v>291</v>
      </c>
      <c r="G21" s="1">
        <v>1</v>
      </c>
      <c r="H21" s="7" t="s">
        <v>295</v>
      </c>
      <c r="I21" s="7" t="s">
        <v>297</v>
      </c>
      <c r="J21" s="1">
        <v>5</v>
      </c>
      <c r="K21" s="1">
        <v>4</v>
      </c>
      <c r="L21" s="67">
        <f t="shared" si="1"/>
        <v>0</v>
      </c>
    </row>
    <row r="22" spans="1:12" x14ac:dyDescent="0.2">
      <c r="A22">
        <v>21</v>
      </c>
      <c r="B22" s="7" t="s">
        <v>356</v>
      </c>
      <c r="C22" t="s">
        <v>1311</v>
      </c>
      <c r="D22" s="65" t="str">
        <f t="shared" si="0"/>
        <v>N</v>
      </c>
      <c r="E22" t="s">
        <v>1312</v>
      </c>
      <c r="F22" s="7" t="s">
        <v>291</v>
      </c>
      <c r="G22" s="1">
        <v>1</v>
      </c>
      <c r="H22" s="7" t="s">
        <v>291</v>
      </c>
      <c r="I22" s="7" t="s">
        <v>296</v>
      </c>
      <c r="J22" s="1">
        <v>1</v>
      </c>
      <c r="K22" s="1">
        <v>6</v>
      </c>
      <c r="L22" s="67">
        <f t="shared" si="1"/>
        <v>1</v>
      </c>
    </row>
    <row r="23" spans="1:12" x14ac:dyDescent="0.2">
      <c r="A23">
        <v>22</v>
      </c>
      <c r="B23" s="7" t="s">
        <v>356</v>
      </c>
      <c r="C23" t="s">
        <v>1311</v>
      </c>
      <c r="D23" s="65" t="str">
        <f t="shared" si="0"/>
        <v>N</v>
      </c>
      <c r="E23" t="s">
        <v>1312</v>
      </c>
      <c r="F23" s="7" t="s">
        <v>291</v>
      </c>
      <c r="G23" s="1">
        <v>1</v>
      </c>
      <c r="H23" s="7" t="s">
        <v>291</v>
      </c>
      <c r="I23" s="7" t="s">
        <v>292</v>
      </c>
      <c r="J23" s="1">
        <v>1</v>
      </c>
      <c r="K23" s="1">
        <v>5</v>
      </c>
      <c r="L23" s="67">
        <f t="shared" si="1"/>
        <v>1</v>
      </c>
    </row>
    <row r="24" spans="1:12" x14ac:dyDescent="0.2">
      <c r="A24">
        <v>23</v>
      </c>
      <c r="B24" s="7" t="s">
        <v>372</v>
      </c>
      <c r="C24" t="s">
        <v>1311</v>
      </c>
      <c r="D24" s="65" t="str">
        <f t="shared" si="0"/>
        <v>N</v>
      </c>
      <c r="E24" t="s">
        <v>1312</v>
      </c>
      <c r="F24" s="7" t="s">
        <v>291</v>
      </c>
      <c r="G24" s="1">
        <v>1</v>
      </c>
      <c r="H24" s="7" t="s">
        <v>282</v>
      </c>
      <c r="I24" s="7" t="s">
        <v>294</v>
      </c>
      <c r="J24" s="4" t="s">
        <v>282</v>
      </c>
      <c r="K24" s="1">
        <v>7</v>
      </c>
      <c r="L24" s="67">
        <f t="shared" si="1"/>
        <v>0</v>
      </c>
    </row>
    <row r="25" spans="1:12" x14ac:dyDescent="0.2">
      <c r="A25">
        <v>24</v>
      </c>
      <c r="B25" s="7" t="s">
        <v>372</v>
      </c>
      <c r="C25" t="s">
        <v>1311</v>
      </c>
      <c r="D25" s="65" t="str">
        <f t="shared" si="0"/>
        <v>N</v>
      </c>
      <c r="E25" t="s">
        <v>1312</v>
      </c>
      <c r="F25" s="7" t="s">
        <v>291</v>
      </c>
      <c r="G25" s="1">
        <v>1</v>
      </c>
      <c r="H25" s="7" t="s">
        <v>295</v>
      </c>
      <c r="I25" s="7" t="s">
        <v>292</v>
      </c>
      <c r="J25" s="1">
        <v>5</v>
      </c>
      <c r="K25" s="1">
        <v>5</v>
      </c>
      <c r="L25" s="67">
        <f t="shared" si="1"/>
        <v>0</v>
      </c>
    </row>
    <row r="26" spans="1:12" x14ac:dyDescent="0.2">
      <c r="A26">
        <v>25</v>
      </c>
      <c r="B26" s="7" t="s">
        <v>356</v>
      </c>
      <c r="C26" t="s">
        <v>1311</v>
      </c>
      <c r="D26" s="65" t="str">
        <f t="shared" si="0"/>
        <v>N</v>
      </c>
      <c r="E26" t="s">
        <v>1312</v>
      </c>
      <c r="F26" s="7" t="s">
        <v>291</v>
      </c>
      <c r="G26" s="1">
        <v>1</v>
      </c>
      <c r="H26" s="7" t="s">
        <v>291</v>
      </c>
      <c r="I26" s="7" t="s">
        <v>292</v>
      </c>
      <c r="J26" s="1">
        <v>1</v>
      </c>
      <c r="K26" s="1">
        <v>5</v>
      </c>
      <c r="L26" s="67">
        <f t="shared" si="1"/>
        <v>1</v>
      </c>
    </row>
    <row r="27" spans="1:12" x14ac:dyDescent="0.2">
      <c r="A27">
        <v>26</v>
      </c>
      <c r="B27" s="7" t="s">
        <v>356</v>
      </c>
      <c r="C27" t="s">
        <v>1311</v>
      </c>
      <c r="D27" s="65" t="str">
        <f t="shared" si="0"/>
        <v>N</v>
      </c>
      <c r="E27" t="s">
        <v>1312</v>
      </c>
      <c r="F27" s="7" t="s">
        <v>291</v>
      </c>
      <c r="G27" s="1">
        <v>1</v>
      </c>
      <c r="H27" s="7" t="s">
        <v>291</v>
      </c>
      <c r="I27" s="7" t="s">
        <v>296</v>
      </c>
      <c r="J27" s="1">
        <v>1</v>
      </c>
      <c r="K27" s="1">
        <v>6</v>
      </c>
      <c r="L27" s="67">
        <f t="shared" si="1"/>
        <v>1</v>
      </c>
    </row>
    <row r="28" spans="1:12" x14ac:dyDescent="0.2">
      <c r="A28">
        <v>27</v>
      </c>
      <c r="B28" s="7" t="s">
        <v>372</v>
      </c>
      <c r="C28" t="s">
        <v>1311</v>
      </c>
      <c r="D28" s="65" t="str">
        <f t="shared" si="0"/>
        <v>N</v>
      </c>
      <c r="E28" t="s">
        <v>1312</v>
      </c>
      <c r="F28" s="7" t="s">
        <v>291</v>
      </c>
      <c r="G28" s="1">
        <v>1</v>
      </c>
      <c r="H28" s="7" t="s">
        <v>291</v>
      </c>
      <c r="I28" s="7" t="s">
        <v>294</v>
      </c>
      <c r="J28" s="1">
        <v>1</v>
      </c>
      <c r="K28" s="1">
        <v>7</v>
      </c>
      <c r="L28" s="67">
        <f t="shared" si="1"/>
        <v>1</v>
      </c>
    </row>
    <row r="29" spans="1:12" x14ac:dyDescent="0.2">
      <c r="A29">
        <v>28</v>
      </c>
      <c r="B29" s="7" t="s">
        <v>356</v>
      </c>
      <c r="C29" t="s">
        <v>1311</v>
      </c>
      <c r="D29" s="65" t="str">
        <f t="shared" si="0"/>
        <v>N</v>
      </c>
      <c r="E29" t="s">
        <v>1312</v>
      </c>
      <c r="F29" s="7" t="s">
        <v>291</v>
      </c>
      <c r="G29" s="1">
        <v>1</v>
      </c>
      <c r="H29" s="7" t="s">
        <v>291</v>
      </c>
      <c r="I29" s="7" t="s">
        <v>296</v>
      </c>
      <c r="J29" s="1">
        <v>1</v>
      </c>
      <c r="K29" s="1">
        <v>6</v>
      </c>
      <c r="L29" s="67">
        <f t="shared" si="1"/>
        <v>1</v>
      </c>
    </row>
    <row r="30" spans="1:12" x14ac:dyDescent="0.2">
      <c r="A30">
        <v>29</v>
      </c>
      <c r="B30" s="7" t="s">
        <v>372</v>
      </c>
      <c r="C30" t="s">
        <v>1311</v>
      </c>
      <c r="D30" s="65" t="str">
        <f t="shared" si="0"/>
        <v>N</v>
      </c>
      <c r="E30" t="s">
        <v>1312</v>
      </c>
      <c r="F30" s="7" t="s">
        <v>291</v>
      </c>
      <c r="G30" s="1">
        <v>1</v>
      </c>
      <c r="H30" s="7" t="s">
        <v>291</v>
      </c>
      <c r="I30" s="7" t="s">
        <v>297</v>
      </c>
      <c r="J30" s="1">
        <v>1</v>
      </c>
      <c r="K30" s="1">
        <v>4</v>
      </c>
      <c r="L30" s="67">
        <f t="shared" si="1"/>
        <v>1</v>
      </c>
    </row>
    <row r="31" spans="1:12" x14ac:dyDescent="0.2">
      <c r="A31">
        <v>30</v>
      </c>
      <c r="B31" s="7" t="s">
        <v>356</v>
      </c>
      <c r="C31" t="s">
        <v>1311</v>
      </c>
      <c r="D31" s="65" t="str">
        <f t="shared" si="0"/>
        <v>N</v>
      </c>
      <c r="E31" t="s">
        <v>1312</v>
      </c>
      <c r="F31" s="7" t="s">
        <v>291</v>
      </c>
      <c r="G31" s="1">
        <v>1</v>
      </c>
      <c r="H31" s="7" t="s">
        <v>291</v>
      </c>
      <c r="I31" s="7" t="s">
        <v>292</v>
      </c>
      <c r="J31" s="1">
        <v>1</v>
      </c>
      <c r="K31" s="1">
        <v>5</v>
      </c>
      <c r="L31" s="67">
        <f t="shared" si="1"/>
        <v>1</v>
      </c>
    </row>
    <row r="32" spans="1:12" x14ac:dyDescent="0.2">
      <c r="A32">
        <v>31</v>
      </c>
      <c r="B32" s="7" t="s">
        <v>372</v>
      </c>
      <c r="C32" t="s">
        <v>1311</v>
      </c>
      <c r="D32" s="65" t="str">
        <f t="shared" si="0"/>
        <v>N</v>
      </c>
      <c r="E32" t="s">
        <v>1312</v>
      </c>
      <c r="F32" s="7" t="s">
        <v>291</v>
      </c>
      <c r="G32" s="1">
        <v>1</v>
      </c>
      <c r="H32" s="7" t="s">
        <v>291</v>
      </c>
      <c r="I32" s="7" t="s">
        <v>296</v>
      </c>
      <c r="J32" s="1">
        <v>1</v>
      </c>
      <c r="K32" s="1">
        <v>6</v>
      </c>
      <c r="L32" s="67">
        <f t="shared" si="1"/>
        <v>1</v>
      </c>
    </row>
    <row r="33" spans="1:12" x14ac:dyDescent="0.2">
      <c r="A33">
        <v>32</v>
      </c>
      <c r="B33" s="7" t="s">
        <v>356</v>
      </c>
      <c r="C33" t="s">
        <v>1311</v>
      </c>
      <c r="D33" s="65" t="str">
        <f t="shared" si="0"/>
        <v>N</v>
      </c>
      <c r="E33" t="s">
        <v>1312</v>
      </c>
      <c r="F33" s="7" t="s">
        <v>291</v>
      </c>
      <c r="G33" s="1">
        <v>1</v>
      </c>
      <c r="H33" s="7" t="s">
        <v>291</v>
      </c>
      <c r="I33" s="7" t="s">
        <v>297</v>
      </c>
      <c r="J33" s="1">
        <v>1</v>
      </c>
      <c r="K33" s="1">
        <v>4</v>
      </c>
      <c r="L33" s="67">
        <f t="shared" si="1"/>
        <v>1</v>
      </c>
    </row>
    <row r="34" spans="1:12" x14ac:dyDescent="0.2">
      <c r="A34">
        <v>33</v>
      </c>
      <c r="B34" s="7" t="s">
        <v>356</v>
      </c>
      <c r="C34" t="s">
        <v>1311</v>
      </c>
      <c r="D34" s="65" t="str">
        <f t="shared" si="0"/>
        <v>N</v>
      </c>
      <c r="E34" t="s">
        <v>1312</v>
      </c>
      <c r="F34" s="7" t="s">
        <v>291</v>
      </c>
      <c r="G34" s="1">
        <v>1</v>
      </c>
      <c r="H34" s="7" t="s">
        <v>291</v>
      </c>
      <c r="I34" s="7" t="s">
        <v>294</v>
      </c>
      <c r="J34" s="1">
        <v>1</v>
      </c>
      <c r="K34" s="1">
        <v>7</v>
      </c>
      <c r="L34" s="67">
        <f t="shared" si="1"/>
        <v>1</v>
      </c>
    </row>
    <row r="35" spans="1:12" x14ac:dyDescent="0.2">
      <c r="A35">
        <v>34</v>
      </c>
      <c r="B35" s="7" t="s">
        <v>372</v>
      </c>
      <c r="C35" t="s">
        <v>1311</v>
      </c>
      <c r="D35" s="65" t="str">
        <f t="shared" si="0"/>
        <v>N</v>
      </c>
      <c r="E35" t="s">
        <v>1312</v>
      </c>
      <c r="F35" s="7" t="s">
        <v>291</v>
      </c>
      <c r="G35" s="1">
        <v>1</v>
      </c>
      <c r="H35" s="7" t="s">
        <v>291</v>
      </c>
      <c r="I35" s="7" t="s">
        <v>294</v>
      </c>
      <c r="J35" s="1">
        <v>1</v>
      </c>
      <c r="K35" s="1">
        <v>7</v>
      </c>
      <c r="L35" s="67">
        <f t="shared" si="1"/>
        <v>1</v>
      </c>
    </row>
    <row r="36" spans="1:12" x14ac:dyDescent="0.2">
      <c r="A36">
        <v>35</v>
      </c>
      <c r="B36" s="7" t="s">
        <v>372</v>
      </c>
      <c r="C36" t="s">
        <v>1311</v>
      </c>
      <c r="D36" s="65" t="str">
        <f t="shared" si="0"/>
        <v>N</v>
      </c>
      <c r="E36" t="s">
        <v>1312</v>
      </c>
      <c r="F36" s="7" t="s">
        <v>291</v>
      </c>
      <c r="G36" s="1">
        <v>1</v>
      </c>
      <c r="H36" s="7" t="s">
        <v>291</v>
      </c>
      <c r="I36" s="7" t="s">
        <v>292</v>
      </c>
      <c r="J36" s="1">
        <v>1</v>
      </c>
      <c r="K36" s="1">
        <v>5</v>
      </c>
      <c r="L36" s="67">
        <f t="shared" si="1"/>
        <v>1</v>
      </c>
    </row>
    <row r="37" spans="1:12" x14ac:dyDescent="0.2">
      <c r="A37">
        <v>36</v>
      </c>
      <c r="B37" s="7" t="s">
        <v>356</v>
      </c>
      <c r="C37" t="s">
        <v>1311</v>
      </c>
      <c r="D37" s="65" t="str">
        <f t="shared" si="0"/>
        <v>N</v>
      </c>
      <c r="E37" t="s">
        <v>1312</v>
      </c>
      <c r="F37" s="7" t="s">
        <v>291</v>
      </c>
      <c r="G37" s="1">
        <v>1</v>
      </c>
      <c r="H37" s="7" t="s">
        <v>291</v>
      </c>
      <c r="I37" s="7" t="s">
        <v>292</v>
      </c>
      <c r="J37" s="1">
        <v>1</v>
      </c>
      <c r="K37" s="1">
        <v>5</v>
      </c>
      <c r="L37" s="67">
        <f t="shared" si="1"/>
        <v>1</v>
      </c>
    </row>
    <row r="38" spans="1:12" x14ac:dyDescent="0.2">
      <c r="A38">
        <v>37</v>
      </c>
      <c r="B38" s="7" t="s">
        <v>372</v>
      </c>
      <c r="C38" t="s">
        <v>1311</v>
      </c>
      <c r="D38" s="65" t="str">
        <f t="shared" si="0"/>
        <v>N</v>
      </c>
      <c r="E38" t="s">
        <v>1312</v>
      </c>
      <c r="F38" s="7" t="s">
        <v>291</v>
      </c>
      <c r="G38" s="1">
        <v>1</v>
      </c>
      <c r="H38" s="7" t="s">
        <v>291</v>
      </c>
      <c r="I38" s="7" t="s">
        <v>292</v>
      </c>
      <c r="J38" s="1">
        <v>1</v>
      </c>
      <c r="K38" s="1">
        <v>5</v>
      </c>
      <c r="L38" s="67">
        <f t="shared" si="1"/>
        <v>1</v>
      </c>
    </row>
    <row r="39" spans="1:12" x14ac:dyDescent="0.2">
      <c r="A39">
        <v>38</v>
      </c>
      <c r="B39" s="7" t="s">
        <v>372</v>
      </c>
      <c r="C39" t="s">
        <v>1311</v>
      </c>
      <c r="D39" s="65" t="str">
        <f t="shared" si="0"/>
        <v>N</v>
      </c>
      <c r="E39" t="s">
        <v>1312</v>
      </c>
      <c r="F39" s="7" t="s">
        <v>291</v>
      </c>
      <c r="G39" s="1">
        <v>1</v>
      </c>
      <c r="H39" s="7" t="s">
        <v>291</v>
      </c>
      <c r="I39" s="7" t="s">
        <v>292</v>
      </c>
      <c r="J39" s="1">
        <v>1</v>
      </c>
      <c r="K39" s="1">
        <v>5</v>
      </c>
      <c r="L39" s="67">
        <f t="shared" si="1"/>
        <v>1</v>
      </c>
    </row>
    <row r="40" spans="1:12" x14ac:dyDescent="0.2">
      <c r="A40">
        <v>39</v>
      </c>
      <c r="B40" s="7" t="s">
        <v>372</v>
      </c>
      <c r="C40" t="s">
        <v>1311</v>
      </c>
      <c r="D40" s="65" t="str">
        <f t="shared" si="0"/>
        <v>N</v>
      </c>
      <c r="E40" t="s">
        <v>1312</v>
      </c>
      <c r="F40" s="7" t="s">
        <v>291</v>
      </c>
      <c r="G40" s="1">
        <v>1</v>
      </c>
      <c r="H40" s="7" t="s">
        <v>291</v>
      </c>
      <c r="I40" s="7" t="s">
        <v>297</v>
      </c>
      <c r="J40" s="1">
        <v>1</v>
      </c>
      <c r="K40" s="1">
        <v>4</v>
      </c>
      <c r="L40" s="67">
        <f t="shared" si="1"/>
        <v>1</v>
      </c>
    </row>
    <row r="41" spans="1:12" x14ac:dyDescent="0.2">
      <c r="A41">
        <v>40</v>
      </c>
      <c r="B41" s="7" t="s">
        <v>356</v>
      </c>
      <c r="C41" t="s">
        <v>1311</v>
      </c>
      <c r="D41" s="65" t="str">
        <f t="shared" si="0"/>
        <v>N</v>
      </c>
      <c r="E41" t="s">
        <v>1312</v>
      </c>
      <c r="F41" s="7" t="s">
        <v>291</v>
      </c>
      <c r="G41" s="1">
        <v>1</v>
      </c>
      <c r="H41" s="7" t="s">
        <v>291</v>
      </c>
      <c r="I41" s="7" t="s">
        <v>296</v>
      </c>
      <c r="J41" s="1">
        <v>1</v>
      </c>
      <c r="K41" s="1">
        <v>6</v>
      </c>
      <c r="L41" s="67">
        <f t="shared" si="1"/>
        <v>1</v>
      </c>
    </row>
    <row r="42" spans="1:12" x14ac:dyDescent="0.2">
      <c r="A42">
        <v>41</v>
      </c>
      <c r="B42" s="7" t="s">
        <v>372</v>
      </c>
      <c r="C42" t="s">
        <v>1311</v>
      </c>
      <c r="D42" s="65" t="str">
        <f t="shared" si="0"/>
        <v>N</v>
      </c>
      <c r="E42" t="s">
        <v>1312</v>
      </c>
      <c r="F42" s="7" t="s">
        <v>291</v>
      </c>
      <c r="G42" s="1">
        <v>1</v>
      </c>
      <c r="H42" s="7" t="s">
        <v>295</v>
      </c>
      <c r="I42" s="7" t="s">
        <v>297</v>
      </c>
      <c r="J42" s="1">
        <v>5</v>
      </c>
      <c r="K42" s="1">
        <v>4</v>
      </c>
      <c r="L42" s="67">
        <f t="shared" si="1"/>
        <v>0</v>
      </c>
    </row>
    <row r="43" spans="1:12" x14ac:dyDescent="0.2">
      <c r="A43">
        <v>42</v>
      </c>
      <c r="B43" s="7" t="s">
        <v>356</v>
      </c>
      <c r="C43" t="s">
        <v>1311</v>
      </c>
      <c r="D43" s="65" t="str">
        <f t="shared" si="0"/>
        <v>N</v>
      </c>
      <c r="E43" t="s">
        <v>1312</v>
      </c>
      <c r="F43" s="7" t="s">
        <v>291</v>
      </c>
      <c r="G43" s="1">
        <v>1</v>
      </c>
      <c r="H43" s="7" t="s">
        <v>291</v>
      </c>
      <c r="I43" s="7" t="s">
        <v>292</v>
      </c>
      <c r="J43" s="1">
        <v>1</v>
      </c>
      <c r="K43" s="1">
        <v>5</v>
      </c>
      <c r="L43" s="67">
        <f t="shared" si="1"/>
        <v>1</v>
      </c>
    </row>
    <row r="44" spans="1:12" x14ac:dyDescent="0.2">
      <c r="A44">
        <v>43</v>
      </c>
      <c r="B44" s="7" t="s">
        <v>356</v>
      </c>
      <c r="C44" t="s">
        <v>1311</v>
      </c>
      <c r="D44" s="65" t="str">
        <f t="shared" si="0"/>
        <v>N</v>
      </c>
      <c r="E44" t="s">
        <v>1312</v>
      </c>
      <c r="F44" s="7" t="s">
        <v>291</v>
      </c>
      <c r="G44" s="1">
        <v>1</v>
      </c>
      <c r="H44" s="7" t="s">
        <v>291</v>
      </c>
      <c r="I44" s="7" t="s">
        <v>296</v>
      </c>
      <c r="J44" s="1">
        <v>1</v>
      </c>
      <c r="K44" s="1">
        <v>6</v>
      </c>
      <c r="L44" s="67">
        <f t="shared" si="1"/>
        <v>1</v>
      </c>
    </row>
    <row r="45" spans="1:12" x14ac:dyDescent="0.2">
      <c r="A45">
        <v>44</v>
      </c>
      <c r="B45" s="7" t="s">
        <v>372</v>
      </c>
      <c r="C45" t="s">
        <v>1311</v>
      </c>
      <c r="D45" s="65" t="str">
        <f t="shared" si="0"/>
        <v>N</v>
      </c>
      <c r="E45" t="s">
        <v>1312</v>
      </c>
      <c r="F45" s="7" t="s">
        <v>291</v>
      </c>
      <c r="G45" s="1">
        <v>1</v>
      </c>
      <c r="H45" s="7" t="s">
        <v>282</v>
      </c>
      <c r="I45" s="7" t="s">
        <v>292</v>
      </c>
      <c r="J45" s="4" t="s">
        <v>282</v>
      </c>
      <c r="K45" s="1">
        <v>5</v>
      </c>
      <c r="L45" s="67">
        <f t="shared" si="1"/>
        <v>0</v>
      </c>
    </row>
    <row r="46" spans="1:12" x14ac:dyDescent="0.2">
      <c r="A46">
        <v>45</v>
      </c>
      <c r="B46" s="7" t="s">
        <v>372</v>
      </c>
      <c r="C46" t="s">
        <v>1311</v>
      </c>
      <c r="D46" s="65" t="str">
        <f t="shared" si="0"/>
        <v>N</v>
      </c>
      <c r="E46" t="s">
        <v>1312</v>
      </c>
      <c r="F46" s="7" t="s">
        <v>291</v>
      </c>
      <c r="G46" s="1">
        <v>1</v>
      </c>
      <c r="H46" s="7" t="s">
        <v>291</v>
      </c>
      <c r="I46" s="7" t="s">
        <v>292</v>
      </c>
      <c r="J46" s="1">
        <v>1</v>
      </c>
      <c r="K46" s="1">
        <v>5</v>
      </c>
      <c r="L46" s="67">
        <f t="shared" si="1"/>
        <v>1</v>
      </c>
    </row>
    <row r="47" spans="1:12" x14ac:dyDescent="0.2">
      <c r="A47">
        <v>46</v>
      </c>
      <c r="B47" s="7" t="s">
        <v>356</v>
      </c>
      <c r="C47" t="s">
        <v>1311</v>
      </c>
      <c r="D47" s="65" t="str">
        <f t="shared" si="0"/>
        <v>N</v>
      </c>
      <c r="E47" t="s">
        <v>1312</v>
      </c>
      <c r="F47" s="7" t="s">
        <v>291</v>
      </c>
      <c r="G47" s="1">
        <v>1</v>
      </c>
      <c r="H47" s="7" t="s">
        <v>282</v>
      </c>
      <c r="I47" s="7" t="s">
        <v>292</v>
      </c>
      <c r="J47" s="4" t="s">
        <v>282</v>
      </c>
      <c r="K47" s="1">
        <v>5</v>
      </c>
      <c r="L47" s="67">
        <f t="shared" si="1"/>
        <v>0</v>
      </c>
    </row>
    <row r="48" spans="1:12" x14ac:dyDescent="0.2">
      <c r="A48">
        <v>47</v>
      </c>
      <c r="B48" s="7" t="s">
        <v>372</v>
      </c>
      <c r="C48" t="s">
        <v>1311</v>
      </c>
      <c r="D48" s="65" t="str">
        <f t="shared" si="0"/>
        <v>N</v>
      </c>
      <c r="E48" t="s">
        <v>1312</v>
      </c>
      <c r="F48" s="7" t="s">
        <v>291</v>
      </c>
      <c r="G48" s="1">
        <v>1</v>
      </c>
      <c r="H48" s="7" t="s">
        <v>291</v>
      </c>
      <c r="I48" s="7" t="s">
        <v>296</v>
      </c>
      <c r="J48" s="1">
        <v>1</v>
      </c>
      <c r="K48" s="1">
        <v>6</v>
      </c>
      <c r="L48" s="67">
        <f t="shared" si="1"/>
        <v>1</v>
      </c>
    </row>
    <row r="49" spans="1:12" x14ac:dyDescent="0.2">
      <c r="A49">
        <v>48</v>
      </c>
      <c r="B49" s="7" t="s">
        <v>356</v>
      </c>
      <c r="C49" t="s">
        <v>1311</v>
      </c>
      <c r="D49" s="65" t="str">
        <f t="shared" si="0"/>
        <v>N</v>
      </c>
      <c r="E49" t="s">
        <v>1312</v>
      </c>
      <c r="F49" s="7" t="s">
        <v>291</v>
      </c>
      <c r="G49" s="1">
        <v>1</v>
      </c>
      <c r="H49" s="7" t="s">
        <v>291</v>
      </c>
      <c r="I49" s="7" t="s">
        <v>292</v>
      </c>
      <c r="J49" s="1">
        <v>1</v>
      </c>
      <c r="K49" s="1">
        <v>5</v>
      </c>
      <c r="L49" s="67">
        <f t="shared" si="1"/>
        <v>1</v>
      </c>
    </row>
    <row r="50" spans="1:12" x14ac:dyDescent="0.2">
      <c r="A50">
        <v>49</v>
      </c>
      <c r="B50" s="7" t="s">
        <v>372</v>
      </c>
      <c r="C50" t="s">
        <v>1311</v>
      </c>
      <c r="D50" s="65" t="str">
        <f t="shared" si="0"/>
        <v>N</v>
      </c>
      <c r="E50" t="s">
        <v>1312</v>
      </c>
      <c r="F50" s="7" t="s">
        <v>291</v>
      </c>
      <c r="G50" s="1">
        <v>1</v>
      </c>
      <c r="H50" s="7" t="s">
        <v>291</v>
      </c>
      <c r="I50" s="7" t="s">
        <v>292</v>
      </c>
      <c r="J50" s="1">
        <v>1</v>
      </c>
      <c r="K50" s="1">
        <v>5</v>
      </c>
      <c r="L50" s="67">
        <f t="shared" si="1"/>
        <v>1</v>
      </c>
    </row>
    <row r="51" spans="1:12" x14ac:dyDescent="0.2">
      <c r="A51">
        <v>50</v>
      </c>
      <c r="B51" s="7" t="s">
        <v>372</v>
      </c>
      <c r="C51" t="s">
        <v>1311</v>
      </c>
      <c r="D51" s="65" t="str">
        <f t="shared" si="0"/>
        <v>N</v>
      </c>
      <c r="E51" t="s">
        <v>1312</v>
      </c>
      <c r="F51" s="7" t="s">
        <v>291</v>
      </c>
      <c r="G51" s="1">
        <v>1</v>
      </c>
      <c r="H51" s="7" t="s">
        <v>291</v>
      </c>
      <c r="I51" s="7" t="s">
        <v>296</v>
      </c>
      <c r="J51" s="1">
        <v>1</v>
      </c>
      <c r="K51" s="1">
        <v>6</v>
      </c>
      <c r="L51" s="67">
        <f t="shared" si="1"/>
        <v>1</v>
      </c>
    </row>
    <row r="52" spans="1:12" x14ac:dyDescent="0.2">
      <c r="A52">
        <v>51</v>
      </c>
      <c r="B52" s="7" t="s">
        <v>356</v>
      </c>
      <c r="C52" t="s">
        <v>1311</v>
      </c>
      <c r="D52" s="65" t="str">
        <f t="shared" si="0"/>
        <v>N</v>
      </c>
      <c r="E52" t="s">
        <v>1312</v>
      </c>
      <c r="F52" s="7" t="s">
        <v>291</v>
      </c>
      <c r="G52" s="1">
        <v>1</v>
      </c>
      <c r="H52" s="7" t="s">
        <v>291</v>
      </c>
      <c r="I52" s="7" t="s">
        <v>296</v>
      </c>
      <c r="J52" s="1">
        <v>1</v>
      </c>
      <c r="K52" s="1">
        <v>6</v>
      </c>
      <c r="L52" s="67">
        <f t="shared" si="1"/>
        <v>1</v>
      </c>
    </row>
    <row r="53" spans="1:12" x14ac:dyDescent="0.2">
      <c r="A53">
        <v>52</v>
      </c>
      <c r="B53" s="7" t="s">
        <v>372</v>
      </c>
      <c r="C53" t="s">
        <v>1311</v>
      </c>
      <c r="D53" s="65" t="str">
        <f t="shared" si="0"/>
        <v>N</v>
      </c>
      <c r="E53" t="s">
        <v>1312</v>
      </c>
      <c r="F53" s="7" t="s">
        <v>291</v>
      </c>
      <c r="G53" s="1">
        <v>1</v>
      </c>
      <c r="H53" s="7" t="s">
        <v>291</v>
      </c>
      <c r="I53" s="7" t="s">
        <v>296</v>
      </c>
      <c r="J53" s="1">
        <v>1</v>
      </c>
      <c r="K53" s="1">
        <v>6</v>
      </c>
      <c r="L53" s="67">
        <f t="shared" si="1"/>
        <v>1</v>
      </c>
    </row>
    <row r="54" spans="1:12" x14ac:dyDescent="0.2">
      <c r="A54">
        <v>53</v>
      </c>
      <c r="B54" s="7" t="s">
        <v>356</v>
      </c>
      <c r="C54" t="s">
        <v>1311</v>
      </c>
      <c r="D54" s="65" t="str">
        <f t="shared" si="0"/>
        <v>N</v>
      </c>
      <c r="E54" t="s">
        <v>1312</v>
      </c>
      <c r="F54" s="7" t="s">
        <v>291</v>
      </c>
      <c r="G54" s="1">
        <v>1</v>
      </c>
      <c r="H54" s="7" t="s">
        <v>291</v>
      </c>
      <c r="I54" s="7" t="s">
        <v>296</v>
      </c>
      <c r="J54" s="1">
        <v>1</v>
      </c>
      <c r="K54" s="1">
        <v>6</v>
      </c>
      <c r="L54" s="67">
        <f t="shared" si="1"/>
        <v>1</v>
      </c>
    </row>
    <row r="55" spans="1:12" x14ac:dyDescent="0.2">
      <c r="A55">
        <v>54</v>
      </c>
      <c r="B55" s="7" t="s">
        <v>356</v>
      </c>
      <c r="C55" t="s">
        <v>1311</v>
      </c>
      <c r="D55" s="65" t="str">
        <f t="shared" si="0"/>
        <v>N</v>
      </c>
      <c r="E55" t="s">
        <v>1312</v>
      </c>
      <c r="F55" s="7" t="s">
        <v>291</v>
      </c>
      <c r="G55" s="1">
        <v>1</v>
      </c>
      <c r="H55" s="7" t="s">
        <v>291</v>
      </c>
      <c r="I55" s="7" t="s">
        <v>292</v>
      </c>
      <c r="J55" s="1">
        <v>1</v>
      </c>
      <c r="K55" s="1">
        <v>5</v>
      </c>
      <c r="L55" s="67">
        <f t="shared" si="1"/>
        <v>1</v>
      </c>
    </row>
    <row r="56" spans="1:12" x14ac:dyDescent="0.2">
      <c r="A56">
        <v>55</v>
      </c>
      <c r="B56" s="7" t="s">
        <v>372</v>
      </c>
      <c r="C56" t="s">
        <v>1311</v>
      </c>
      <c r="D56" s="65" t="str">
        <f t="shared" si="0"/>
        <v>N</v>
      </c>
      <c r="E56" t="s">
        <v>1312</v>
      </c>
      <c r="F56" s="7" t="s">
        <v>291</v>
      </c>
      <c r="G56" s="1">
        <v>1</v>
      </c>
      <c r="H56" s="7" t="s">
        <v>291</v>
      </c>
      <c r="I56" s="7" t="s">
        <v>292</v>
      </c>
      <c r="J56" s="1">
        <v>1</v>
      </c>
      <c r="K56" s="1">
        <v>5</v>
      </c>
      <c r="L56" s="67">
        <f t="shared" si="1"/>
        <v>1</v>
      </c>
    </row>
    <row r="57" spans="1:12" x14ac:dyDescent="0.2">
      <c r="A57">
        <v>56</v>
      </c>
      <c r="B57" s="7" t="s">
        <v>356</v>
      </c>
      <c r="C57" t="s">
        <v>1311</v>
      </c>
      <c r="D57" s="65" t="str">
        <f t="shared" si="0"/>
        <v>N</v>
      </c>
      <c r="E57" t="s">
        <v>1312</v>
      </c>
      <c r="F57" s="7" t="s">
        <v>291</v>
      </c>
      <c r="G57" s="1">
        <v>1</v>
      </c>
      <c r="H57" s="7" t="s">
        <v>291</v>
      </c>
      <c r="I57" s="7" t="s">
        <v>292</v>
      </c>
      <c r="J57" s="1">
        <v>1</v>
      </c>
      <c r="K57" s="1">
        <v>5</v>
      </c>
      <c r="L57" s="67">
        <f t="shared" si="1"/>
        <v>1</v>
      </c>
    </row>
    <row r="58" spans="1:12" x14ac:dyDescent="0.2">
      <c r="A58">
        <v>57</v>
      </c>
      <c r="B58" s="7" t="s">
        <v>372</v>
      </c>
      <c r="C58" t="s">
        <v>1311</v>
      </c>
      <c r="D58" s="65" t="str">
        <f t="shared" si="0"/>
        <v>N</v>
      </c>
      <c r="E58" t="s">
        <v>1312</v>
      </c>
      <c r="F58" s="7" t="s">
        <v>291</v>
      </c>
      <c r="G58" s="1">
        <v>1</v>
      </c>
      <c r="H58" s="7" t="s">
        <v>291</v>
      </c>
      <c r="I58" s="7" t="s">
        <v>292</v>
      </c>
      <c r="J58" s="1">
        <v>1</v>
      </c>
      <c r="K58" s="1">
        <v>5</v>
      </c>
      <c r="L58" s="67">
        <f t="shared" si="1"/>
        <v>1</v>
      </c>
    </row>
    <row r="59" spans="1:12" x14ac:dyDescent="0.2">
      <c r="A59">
        <v>58</v>
      </c>
      <c r="B59" s="7" t="s">
        <v>356</v>
      </c>
      <c r="C59" t="s">
        <v>1311</v>
      </c>
      <c r="D59" s="65" t="str">
        <f t="shared" si="0"/>
        <v>N</v>
      </c>
      <c r="E59" t="s">
        <v>1312</v>
      </c>
      <c r="F59" s="7" t="s">
        <v>291</v>
      </c>
      <c r="G59" s="1">
        <v>1</v>
      </c>
      <c r="H59" s="7" t="s">
        <v>291</v>
      </c>
      <c r="I59" s="7" t="s">
        <v>292</v>
      </c>
      <c r="J59" s="1">
        <v>1</v>
      </c>
      <c r="K59" s="1">
        <v>5</v>
      </c>
      <c r="L59" s="67">
        <f t="shared" si="1"/>
        <v>1</v>
      </c>
    </row>
    <row r="60" spans="1:12" x14ac:dyDescent="0.2">
      <c r="A60">
        <v>59</v>
      </c>
      <c r="B60" s="7" t="s">
        <v>372</v>
      </c>
      <c r="C60" t="s">
        <v>1311</v>
      </c>
      <c r="D60" s="65" t="str">
        <f t="shared" si="0"/>
        <v>N</v>
      </c>
      <c r="E60" t="s">
        <v>1312</v>
      </c>
      <c r="F60" s="7" t="s">
        <v>291</v>
      </c>
      <c r="G60" s="1">
        <v>1</v>
      </c>
      <c r="H60" s="7" t="s">
        <v>291</v>
      </c>
      <c r="I60" s="7" t="s">
        <v>294</v>
      </c>
      <c r="J60" s="1">
        <v>1</v>
      </c>
      <c r="K60" s="1">
        <v>7</v>
      </c>
      <c r="L60" s="67">
        <f t="shared" si="1"/>
        <v>1</v>
      </c>
    </row>
    <row r="61" spans="1:12" x14ac:dyDescent="0.2">
      <c r="A61">
        <v>60</v>
      </c>
      <c r="B61" s="7" t="s">
        <v>356</v>
      </c>
      <c r="C61" t="s">
        <v>1311</v>
      </c>
      <c r="D61" s="65" t="str">
        <f t="shared" si="0"/>
        <v>N</v>
      </c>
      <c r="E61" t="s">
        <v>1312</v>
      </c>
      <c r="F61" s="7" t="s">
        <v>291</v>
      </c>
      <c r="G61" s="1">
        <v>1</v>
      </c>
      <c r="H61" s="7" t="s">
        <v>298</v>
      </c>
      <c r="I61" s="7" t="s">
        <v>292</v>
      </c>
      <c r="J61" s="1">
        <v>3</v>
      </c>
      <c r="K61" s="1">
        <v>5</v>
      </c>
      <c r="L61" s="67">
        <f t="shared" si="1"/>
        <v>0</v>
      </c>
    </row>
    <row r="62" spans="1:12" x14ac:dyDescent="0.2">
      <c r="A62">
        <v>61</v>
      </c>
      <c r="B62" s="7" t="s">
        <v>372</v>
      </c>
      <c r="C62" t="s">
        <v>1311</v>
      </c>
      <c r="D62" s="65" t="str">
        <f t="shared" si="0"/>
        <v>N</v>
      </c>
      <c r="E62" t="s">
        <v>1312</v>
      </c>
      <c r="F62" s="7" t="s">
        <v>291</v>
      </c>
      <c r="G62" s="1">
        <v>1</v>
      </c>
      <c r="H62" s="7" t="s">
        <v>298</v>
      </c>
      <c r="I62" s="7" t="s">
        <v>294</v>
      </c>
      <c r="J62" s="1">
        <v>3</v>
      </c>
      <c r="K62" s="1">
        <v>7</v>
      </c>
      <c r="L62" s="67">
        <f t="shared" si="1"/>
        <v>0</v>
      </c>
    </row>
    <row r="63" spans="1:12" x14ac:dyDescent="0.2">
      <c r="A63">
        <v>62</v>
      </c>
      <c r="B63" s="7" t="s">
        <v>372</v>
      </c>
      <c r="C63" t="s">
        <v>1311</v>
      </c>
      <c r="D63" s="65" t="str">
        <f t="shared" si="0"/>
        <v>N</v>
      </c>
      <c r="E63" t="s">
        <v>1312</v>
      </c>
      <c r="F63" s="7" t="s">
        <v>291</v>
      </c>
      <c r="G63" s="1">
        <v>1</v>
      </c>
      <c r="H63" s="7" t="s">
        <v>291</v>
      </c>
      <c r="I63" s="7" t="s">
        <v>294</v>
      </c>
      <c r="J63" s="1">
        <v>1</v>
      </c>
      <c r="K63" s="1">
        <v>7</v>
      </c>
      <c r="L63" s="67">
        <f t="shared" si="1"/>
        <v>1</v>
      </c>
    </row>
    <row r="64" spans="1:12" x14ac:dyDescent="0.2">
      <c r="A64">
        <v>63</v>
      </c>
      <c r="B64" s="7" t="s">
        <v>356</v>
      </c>
      <c r="C64" t="s">
        <v>1311</v>
      </c>
      <c r="D64" s="65" t="str">
        <f t="shared" si="0"/>
        <v>N</v>
      </c>
      <c r="E64" t="s">
        <v>1312</v>
      </c>
      <c r="F64" s="7" t="s">
        <v>291</v>
      </c>
      <c r="G64" s="1">
        <v>1</v>
      </c>
      <c r="H64" s="7" t="s">
        <v>291</v>
      </c>
      <c r="I64" s="7" t="s">
        <v>296</v>
      </c>
      <c r="J64" s="1">
        <v>1</v>
      </c>
      <c r="K64" s="1">
        <v>6</v>
      </c>
      <c r="L64" s="67">
        <f t="shared" si="1"/>
        <v>1</v>
      </c>
    </row>
    <row r="65" spans="1:12" x14ac:dyDescent="0.2">
      <c r="A65">
        <v>64</v>
      </c>
      <c r="B65" s="7" t="s">
        <v>356</v>
      </c>
      <c r="C65" t="s">
        <v>1311</v>
      </c>
      <c r="D65" s="65" t="str">
        <f t="shared" si="0"/>
        <v>N</v>
      </c>
      <c r="E65" t="s">
        <v>1312</v>
      </c>
      <c r="F65" s="7" t="s">
        <v>291</v>
      </c>
      <c r="G65" s="1">
        <v>1</v>
      </c>
      <c r="H65" s="7" t="s">
        <v>291</v>
      </c>
      <c r="I65" s="7" t="s">
        <v>292</v>
      </c>
      <c r="J65" s="1">
        <v>1</v>
      </c>
      <c r="K65" s="1">
        <v>5</v>
      </c>
      <c r="L65" s="67">
        <f t="shared" si="1"/>
        <v>1</v>
      </c>
    </row>
    <row r="66" spans="1:12" x14ac:dyDescent="0.2">
      <c r="A66">
        <v>65</v>
      </c>
      <c r="B66" s="7" t="s">
        <v>372</v>
      </c>
      <c r="C66" t="s">
        <v>1311</v>
      </c>
      <c r="D66" s="65" t="str">
        <f t="shared" si="0"/>
        <v>N</v>
      </c>
      <c r="E66" t="s">
        <v>1312</v>
      </c>
      <c r="F66" s="7" t="s">
        <v>291</v>
      </c>
      <c r="G66" s="1">
        <v>1</v>
      </c>
      <c r="H66" s="7" t="s">
        <v>291</v>
      </c>
      <c r="I66" s="7" t="s">
        <v>294</v>
      </c>
      <c r="J66" s="1">
        <v>1</v>
      </c>
      <c r="K66" s="1">
        <v>7</v>
      </c>
      <c r="L66" s="67">
        <f t="shared" si="1"/>
        <v>1</v>
      </c>
    </row>
    <row r="67" spans="1:12" x14ac:dyDescent="0.2">
      <c r="A67">
        <v>66</v>
      </c>
      <c r="B67" s="7" t="s">
        <v>372</v>
      </c>
      <c r="C67" t="s">
        <v>1311</v>
      </c>
      <c r="D67" s="65" t="str">
        <f t="shared" ref="D67:D130" si="2">IF($E67="iso", "N", IF(OR($E67="non", $E67="emd", $E67="dyn"), "Y", "ERROR"))</f>
        <v>N</v>
      </c>
      <c r="E67" t="s">
        <v>1312</v>
      </c>
      <c r="F67" s="7" t="s">
        <v>291</v>
      </c>
      <c r="G67" s="1">
        <v>1</v>
      </c>
      <c r="H67" s="7" t="s">
        <v>291</v>
      </c>
      <c r="I67" s="7" t="s">
        <v>292</v>
      </c>
      <c r="J67" s="1">
        <v>1</v>
      </c>
      <c r="K67" s="1">
        <v>5</v>
      </c>
      <c r="L67" s="67">
        <f t="shared" ref="L67:L130" si="3">IF(G67=J67, 1, 0)</f>
        <v>1</v>
      </c>
    </row>
    <row r="68" spans="1:12" x14ac:dyDescent="0.2">
      <c r="A68">
        <v>67</v>
      </c>
      <c r="B68" s="7" t="s">
        <v>356</v>
      </c>
      <c r="C68" t="s">
        <v>1311</v>
      </c>
      <c r="D68" s="65" t="str">
        <f t="shared" si="2"/>
        <v>N</v>
      </c>
      <c r="E68" t="s">
        <v>1312</v>
      </c>
      <c r="F68" s="7" t="s">
        <v>291</v>
      </c>
      <c r="G68" s="1">
        <v>1</v>
      </c>
      <c r="H68" s="7" t="s">
        <v>295</v>
      </c>
      <c r="I68" s="7" t="s">
        <v>292</v>
      </c>
      <c r="J68" s="1">
        <v>5</v>
      </c>
      <c r="K68" s="1">
        <v>5</v>
      </c>
      <c r="L68" s="67">
        <f t="shared" si="3"/>
        <v>0</v>
      </c>
    </row>
    <row r="69" spans="1:12" x14ac:dyDescent="0.2">
      <c r="A69">
        <v>68</v>
      </c>
      <c r="B69" s="7" t="s">
        <v>372</v>
      </c>
      <c r="C69" t="s">
        <v>1311</v>
      </c>
      <c r="D69" s="65" t="str">
        <f t="shared" si="2"/>
        <v>N</v>
      </c>
      <c r="E69" t="s">
        <v>1312</v>
      </c>
      <c r="F69" s="7" t="s">
        <v>291</v>
      </c>
      <c r="G69" s="1">
        <v>1</v>
      </c>
      <c r="H69" s="7" t="s">
        <v>291</v>
      </c>
      <c r="I69" s="7" t="s">
        <v>292</v>
      </c>
      <c r="J69" s="1">
        <v>1</v>
      </c>
      <c r="K69" s="1">
        <v>5</v>
      </c>
      <c r="L69" s="67">
        <f t="shared" si="3"/>
        <v>1</v>
      </c>
    </row>
    <row r="70" spans="1:12" x14ac:dyDescent="0.2">
      <c r="A70">
        <v>69</v>
      </c>
      <c r="B70" s="7" t="s">
        <v>356</v>
      </c>
      <c r="C70" t="s">
        <v>1311</v>
      </c>
      <c r="D70" s="65" t="str">
        <f t="shared" si="2"/>
        <v>N</v>
      </c>
      <c r="E70" t="s">
        <v>1312</v>
      </c>
      <c r="F70" s="7" t="s">
        <v>291</v>
      </c>
      <c r="G70" s="1">
        <v>1</v>
      </c>
      <c r="H70" s="7" t="s">
        <v>291</v>
      </c>
      <c r="I70" s="7" t="s">
        <v>296</v>
      </c>
      <c r="J70" s="1">
        <v>1</v>
      </c>
      <c r="K70" s="1">
        <v>6</v>
      </c>
      <c r="L70" s="67">
        <f t="shared" si="3"/>
        <v>1</v>
      </c>
    </row>
    <row r="71" spans="1:12" x14ac:dyDescent="0.2">
      <c r="A71">
        <v>70</v>
      </c>
      <c r="B71" s="7" t="s">
        <v>356</v>
      </c>
      <c r="C71" t="s">
        <v>1311</v>
      </c>
      <c r="D71" s="65" t="str">
        <f t="shared" si="2"/>
        <v>N</v>
      </c>
      <c r="E71" t="s">
        <v>1312</v>
      </c>
      <c r="F71" s="7" t="s">
        <v>291</v>
      </c>
      <c r="G71" s="1">
        <v>1</v>
      </c>
      <c r="H71" s="7" t="s">
        <v>291</v>
      </c>
      <c r="I71" s="7" t="s">
        <v>292</v>
      </c>
      <c r="J71" s="1">
        <v>1</v>
      </c>
      <c r="K71" s="1">
        <v>5</v>
      </c>
      <c r="L71" s="67">
        <f t="shared" si="3"/>
        <v>1</v>
      </c>
    </row>
    <row r="72" spans="1:12" x14ac:dyDescent="0.2">
      <c r="A72">
        <v>71</v>
      </c>
      <c r="B72" s="7" t="s">
        <v>372</v>
      </c>
      <c r="C72" t="s">
        <v>1311</v>
      </c>
      <c r="D72" s="65" t="str">
        <f t="shared" si="2"/>
        <v>N</v>
      </c>
      <c r="E72" t="s">
        <v>1312</v>
      </c>
      <c r="F72" s="7" t="s">
        <v>291</v>
      </c>
      <c r="G72" s="1">
        <v>1</v>
      </c>
      <c r="H72" s="7" t="s">
        <v>298</v>
      </c>
      <c r="I72" s="7" t="s">
        <v>296</v>
      </c>
      <c r="J72" s="1">
        <v>3</v>
      </c>
      <c r="K72" s="1">
        <v>6</v>
      </c>
      <c r="L72" s="67">
        <f t="shared" si="3"/>
        <v>0</v>
      </c>
    </row>
    <row r="73" spans="1:12" x14ac:dyDescent="0.2">
      <c r="A73">
        <v>72</v>
      </c>
      <c r="B73" s="7" t="s">
        <v>372</v>
      </c>
      <c r="C73" t="s">
        <v>1311</v>
      </c>
      <c r="D73" s="65" t="str">
        <f t="shared" si="2"/>
        <v>N</v>
      </c>
      <c r="E73" t="s">
        <v>1312</v>
      </c>
      <c r="F73" s="7" t="s">
        <v>291</v>
      </c>
      <c r="G73" s="1">
        <v>1</v>
      </c>
      <c r="H73" s="7" t="s">
        <v>291</v>
      </c>
      <c r="I73" s="7" t="s">
        <v>292</v>
      </c>
      <c r="J73" s="1">
        <v>1</v>
      </c>
      <c r="K73" s="1">
        <v>5</v>
      </c>
      <c r="L73" s="67">
        <f t="shared" si="3"/>
        <v>1</v>
      </c>
    </row>
    <row r="74" spans="1:12" x14ac:dyDescent="0.2">
      <c r="A74">
        <v>73</v>
      </c>
      <c r="B74" s="7" t="s">
        <v>356</v>
      </c>
      <c r="C74" t="s">
        <v>1311</v>
      </c>
      <c r="D74" s="65" t="str">
        <f t="shared" si="2"/>
        <v>N</v>
      </c>
      <c r="E74" t="s">
        <v>1312</v>
      </c>
      <c r="F74" s="7" t="s">
        <v>291</v>
      </c>
      <c r="G74" s="1">
        <v>1</v>
      </c>
      <c r="H74" s="7" t="s">
        <v>291</v>
      </c>
      <c r="I74" s="7" t="s">
        <v>292</v>
      </c>
      <c r="J74" s="1">
        <v>1</v>
      </c>
      <c r="K74" s="1">
        <v>5</v>
      </c>
      <c r="L74" s="67">
        <f t="shared" si="3"/>
        <v>1</v>
      </c>
    </row>
    <row r="75" spans="1:12" x14ac:dyDescent="0.2">
      <c r="A75">
        <v>74</v>
      </c>
      <c r="B75" s="7" t="s">
        <v>356</v>
      </c>
      <c r="C75" t="s">
        <v>1311</v>
      </c>
      <c r="D75" s="65" t="str">
        <f t="shared" si="2"/>
        <v>N</v>
      </c>
      <c r="E75" t="s">
        <v>1312</v>
      </c>
      <c r="F75" s="7" t="s">
        <v>291</v>
      </c>
      <c r="G75" s="1">
        <v>1</v>
      </c>
      <c r="H75" s="7" t="s">
        <v>282</v>
      </c>
      <c r="I75" s="7" t="s">
        <v>292</v>
      </c>
      <c r="J75" s="4" t="s">
        <v>282</v>
      </c>
      <c r="K75" s="1">
        <v>5</v>
      </c>
      <c r="L75" s="67">
        <f t="shared" si="3"/>
        <v>0</v>
      </c>
    </row>
    <row r="76" spans="1:12" x14ac:dyDescent="0.2">
      <c r="A76">
        <v>75</v>
      </c>
      <c r="B76" s="7" t="s">
        <v>372</v>
      </c>
      <c r="C76" t="s">
        <v>1311</v>
      </c>
      <c r="D76" s="65" t="str">
        <f t="shared" si="2"/>
        <v>N</v>
      </c>
      <c r="E76" t="s">
        <v>1312</v>
      </c>
      <c r="F76" s="7" t="s">
        <v>291</v>
      </c>
      <c r="G76" s="1">
        <v>1</v>
      </c>
      <c r="H76" s="7" t="s">
        <v>298</v>
      </c>
      <c r="I76" s="7" t="s">
        <v>330</v>
      </c>
      <c r="J76" s="1">
        <v>3</v>
      </c>
      <c r="K76" s="1">
        <v>3</v>
      </c>
      <c r="L76" s="67">
        <f t="shared" si="3"/>
        <v>0</v>
      </c>
    </row>
    <row r="77" spans="1:12" x14ac:dyDescent="0.2">
      <c r="A77">
        <v>76</v>
      </c>
      <c r="B77" s="7" t="s">
        <v>356</v>
      </c>
      <c r="C77" t="s">
        <v>1311</v>
      </c>
      <c r="D77" s="65" t="str">
        <f t="shared" si="2"/>
        <v>N</v>
      </c>
      <c r="E77" t="s">
        <v>1312</v>
      </c>
      <c r="F77" s="7" t="s">
        <v>291</v>
      </c>
      <c r="G77" s="1">
        <v>1</v>
      </c>
      <c r="H77" s="7" t="s">
        <v>291</v>
      </c>
      <c r="I77" s="7" t="s">
        <v>296</v>
      </c>
      <c r="J77" s="1">
        <v>1</v>
      </c>
      <c r="K77" s="1">
        <v>6</v>
      </c>
      <c r="L77" s="67">
        <f t="shared" si="3"/>
        <v>1</v>
      </c>
    </row>
    <row r="78" spans="1:12" x14ac:dyDescent="0.2">
      <c r="A78">
        <v>77</v>
      </c>
      <c r="B78" s="7" t="s">
        <v>372</v>
      </c>
      <c r="C78" t="s">
        <v>1311</v>
      </c>
      <c r="D78" s="65" t="str">
        <f t="shared" si="2"/>
        <v>N</v>
      </c>
      <c r="E78" t="s">
        <v>1312</v>
      </c>
      <c r="F78" s="7" t="s">
        <v>291</v>
      </c>
      <c r="G78" s="1">
        <v>1</v>
      </c>
      <c r="H78" s="7" t="s">
        <v>291</v>
      </c>
      <c r="I78" s="7" t="s">
        <v>296</v>
      </c>
      <c r="J78" s="1">
        <v>1</v>
      </c>
      <c r="K78" s="1">
        <v>6</v>
      </c>
      <c r="L78" s="67">
        <f t="shared" si="3"/>
        <v>1</v>
      </c>
    </row>
    <row r="79" spans="1:12" x14ac:dyDescent="0.2">
      <c r="A79">
        <v>78</v>
      </c>
      <c r="B79" s="7" t="s">
        <v>356</v>
      </c>
      <c r="C79" t="s">
        <v>1311</v>
      </c>
      <c r="D79" s="65" t="str">
        <f t="shared" si="2"/>
        <v>N</v>
      </c>
      <c r="E79" t="s">
        <v>1312</v>
      </c>
      <c r="F79" s="7" t="s">
        <v>291</v>
      </c>
      <c r="G79" s="1">
        <v>1</v>
      </c>
      <c r="H79" s="7" t="s">
        <v>291</v>
      </c>
      <c r="I79" s="7" t="s">
        <v>292</v>
      </c>
      <c r="J79" s="1">
        <v>1</v>
      </c>
      <c r="K79" s="1">
        <v>5</v>
      </c>
      <c r="L79" s="67">
        <f t="shared" si="3"/>
        <v>1</v>
      </c>
    </row>
    <row r="80" spans="1:12" x14ac:dyDescent="0.2">
      <c r="A80">
        <v>79</v>
      </c>
      <c r="B80" s="7" t="s">
        <v>372</v>
      </c>
      <c r="C80" t="s">
        <v>1311</v>
      </c>
      <c r="D80" s="65" t="str">
        <f t="shared" si="2"/>
        <v>N</v>
      </c>
      <c r="E80" t="s">
        <v>1312</v>
      </c>
      <c r="F80" s="7" t="s">
        <v>291</v>
      </c>
      <c r="G80" s="1">
        <v>1</v>
      </c>
      <c r="H80" s="7" t="s">
        <v>291</v>
      </c>
      <c r="I80" s="7" t="s">
        <v>292</v>
      </c>
      <c r="J80" s="1">
        <v>1</v>
      </c>
      <c r="K80" s="1">
        <v>5</v>
      </c>
      <c r="L80" s="67">
        <f t="shared" si="3"/>
        <v>1</v>
      </c>
    </row>
    <row r="81" spans="1:12" x14ac:dyDescent="0.2">
      <c r="A81">
        <v>80</v>
      </c>
      <c r="B81" s="7" t="s">
        <v>356</v>
      </c>
      <c r="C81" t="s">
        <v>1311</v>
      </c>
      <c r="D81" s="65" t="str">
        <f t="shared" si="2"/>
        <v>N</v>
      </c>
      <c r="E81" t="s">
        <v>1312</v>
      </c>
      <c r="F81" s="25" t="s">
        <v>293</v>
      </c>
      <c r="G81" s="26">
        <v>2</v>
      </c>
      <c r="H81" s="7" t="s">
        <v>293</v>
      </c>
      <c r="I81" s="7" t="s">
        <v>294</v>
      </c>
      <c r="J81" s="1">
        <v>2</v>
      </c>
      <c r="K81" s="1">
        <v>7</v>
      </c>
      <c r="L81" s="67">
        <f t="shared" si="3"/>
        <v>1</v>
      </c>
    </row>
    <row r="82" spans="1:12" x14ac:dyDescent="0.2">
      <c r="A82">
        <v>81</v>
      </c>
      <c r="B82" s="7" t="s">
        <v>372</v>
      </c>
      <c r="C82" t="s">
        <v>1311</v>
      </c>
      <c r="D82" s="65" t="str">
        <f t="shared" si="2"/>
        <v>N</v>
      </c>
      <c r="E82" t="s">
        <v>1312</v>
      </c>
      <c r="F82" s="25" t="s">
        <v>293</v>
      </c>
      <c r="G82" s="26">
        <v>2</v>
      </c>
      <c r="H82" s="7" t="s">
        <v>293</v>
      </c>
      <c r="I82" s="7" t="s">
        <v>296</v>
      </c>
      <c r="J82" s="1">
        <v>2</v>
      </c>
      <c r="K82" s="1">
        <v>6</v>
      </c>
      <c r="L82" s="67">
        <f t="shared" si="3"/>
        <v>1</v>
      </c>
    </row>
    <row r="83" spans="1:12" x14ac:dyDescent="0.2">
      <c r="A83">
        <v>82</v>
      </c>
      <c r="B83" s="7" t="s">
        <v>372</v>
      </c>
      <c r="C83" t="s">
        <v>1311</v>
      </c>
      <c r="D83" s="65" t="str">
        <f t="shared" si="2"/>
        <v>N</v>
      </c>
      <c r="E83" t="s">
        <v>1312</v>
      </c>
      <c r="F83" s="25" t="s">
        <v>293</v>
      </c>
      <c r="G83" s="26">
        <v>2</v>
      </c>
      <c r="H83" s="7" t="s">
        <v>293</v>
      </c>
      <c r="I83" s="7" t="s">
        <v>296</v>
      </c>
      <c r="J83" s="1">
        <v>2</v>
      </c>
      <c r="K83" s="1">
        <v>6</v>
      </c>
      <c r="L83" s="67">
        <f t="shared" si="3"/>
        <v>1</v>
      </c>
    </row>
    <row r="84" spans="1:12" x14ac:dyDescent="0.2">
      <c r="A84">
        <v>83</v>
      </c>
      <c r="B84" s="7" t="s">
        <v>356</v>
      </c>
      <c r="C84" t="s">
        <v>1311</v>
      </c>
      <c r="D84" s="65" t="str">
        <f t="shared" si="2"/>
        <v>N</v>
      </c>
      <c r="E84" t="s">
        <v>1312</v>
      </c>
      <c r="F84" s="25" t="s">
        <v>293</v>
      </c>
      <c r="G84" s="26">
        <v>2</v>
      </c>
      <c r="H84" s="7" t="s">
        <v>299</v>
      </c>
      <c r="I84" s="7" t="s">
        <v>292</v>
      </c>
      <c r="J84" s="1">
        <v>4</v>
      </c>
      <c r="K84" s="1">
        <v>5</v>
      </c>
      <c r="L84" s="67">
        <f t="shared" si="3"/>
        <v>0</v>
      </c>
    </row>
    <row r="85" spans="1:12" x14ac:dyDescent="0.2">
      <c r="A85">
        <v>84</v>
      </c>
      <c r="B85" s="7" t="s">
        <v>372</v>
      </c>
      <c r="C85" t="s">
        <v>1311</v>
      </c>
      <c r="D85" s="65" t="str">
        <f t="shared" si="2"/>
        <v>N</v>
      </c>
      <c r="E85" t="s">
        <v>1312</v>
      </c>
      <c r="F85" s="25" t="s">
        <v>293</v>
      </c>
      <c r="G85" s="26">
        <v>2</v>
      </c>
      <c r="H85" s="7" t="s">
        <v>293</v>
      </c>
      <c r="I85" s="7" t="s">
        <v>296</v>
      </c>
      <c r="J85" s="1">
        <v>2</v>
      </c>
      <c r="K85" s="1">
        <v>6</v>
      </c>
      <c r="L85" s="67">
        <f t="shared" si="3"/>
        <v>1</v>
      </c>
    </row>
    <row r="86" spans="1:12" x14ac:dyDescent="0.2">
      <c r="A86">
        <v>85</v>
      </c>
      <c r="B86" s="7" t="s">
        <v>356</v>
      </c>
      <c r="C86" t="s">
        <v>1311</v>
      </c>
      <c r="D86" s="65" t="str">
        <f t="shared" si="2"/>
        <v>N</v>
      </c>
      <c r="E86" t="s">
        <v>1312</v>
      </c>
      <c r="F86" s="25" t="s">
        <v>293</v>
      </c>
      <c r="G86" s="26">
        <v>2</v>
      </c>
      <c r="H86" s="7" t="s">
        <v>299</v>
      </c>
      <c r="I86" s="7" t="s">
        <v>297</v>
      </c>
      <c r="J86" s="1">
        <v>4</v>
      </c>
      <c r="K86" s="1">
        <v>4</v>
      </c>
      <c r="L86" s="67">
        <f t="shared" si="3"/>
        <v>0</v>
      </c>
    </row>
    <row r="87" spans="1:12" x14ac:dyDescent="0.2">
      <c r="A87">
        <v>86</v>
      </c>
      <c r="B87" s="7" t="s">
        <v>372</v>
      </c>
      <c r="C87" t="s">
        <v>1311</v>
      </c>
      <c r="D87" s="65" t="str">
        <f t="shared" si="2"/>
        <v>N</v>
      </c>
      <c r="E87" t="s">
        <v>1312</v>
      </c>
      <c r="F87" s="25" t="s">
        <v>293</v>
      </c>
      <c r="G87" s="26">
        <v>2</v>
      </c>
      <c r="H87" s="7" t="s">
        <v>293</v>
      </c>
      <c r="I87" s="7" t="s">
        <v>296</v>
      </c>
      <c r="J87" s="1">
        <v>2</v>
      </c>
      <c r="K87" s="1">
        <v>6</v>
      </c>
      <c r="L87" s="67">
        <f t="shared" si="3"/>
        <v>1</v>
      </c>
    </row>
    <row r="88" spans="1:12" x14ac:dyDescent="0.2">
      <c r="A88">
        <v>87</v>
      </c>
      <c r="B88" s="7" t="s">
        <v>356</v>
      </c>
      <c r="C88" t="s">
        <v>1311</v>
      </c>
      <c r="D88" s="65" t="str">
        <f t="shared" si="2"/>
        <v>N</v>
      </c>
      <c r="E88" t="s">
        <v>1312</v>
      </c>
      <c r="F88" s="25" t="s">
        <v>293</v>
      </c>
      <c r="G88" s="26">
        <v>2</v>
      </c>
      <c r="H88" s="7" t="s">
        <v>293</v>
      </c>
      <c r="I88" s="7" t="s">
        <v>296</v>
      </c>
      <c r="J88" s="1">
        <v>2</v>
      </c>
      <c r="K88" s="1">
        <v>6</v>
      </c>
      <c r="L88" s="67">
        <f t="shared" si="3"/>
        <v>1</v>
      </c>
    </row>
    <row r="89" spans="1:12" x14ac:dyDescent="0.2">
      <c r="A89">
        <v>88</v>
      </c>
      <c r="B89" s="7" t="s">
        <v>372</v>
      </c>
      <c r="C89" t="s">
        <v>1311</v>
      </c>
      <c r="D89" s="65" t="str">
        <f t="shared" si="2"/>
        <v>N</v>
      </c>
      <c r="E89" t="s">
        <v>1312</v>
      </c>
      <c r="F89" s="25" t="s">
        <v>293</v>
      </c>
      <c r="G89" s="26">
        <v>2</v>
      </c>
      <c r="H89" s="7" t="s">
        <v>293</v>
      </c>
      <c r="I89" s="7" t="s">
        <v>296</v>
      </c>
      <c r="J89" s="1">
        <v>2</v>
      </c>
      <c r="K89" s="1">
        <v>6</v>
      </c>
      <c r="L89" s="67">
        <f t="shared" si="3"/>
        <v>1</v>
      </c>
    </row>
    <row r="90" spans="1:12" x14ac:dyDescent="0.2">
      <c r="A90">
        <v>89</v>
      </c>
      <c r="B90" s="7" t="s">
        <v>356</v>
      </c>
      <c r="C90" t="s">
        <v>1311</v>
      </c>
      <c r="D90" s="65" t="str">
        <f t="shared" si="2"/>
        <v>N</v>
      </c>
      <c r="E90" t="s">
        <v>1312</v>
      </c>
      <c r="F90" s="25" t="s">
        <v>293</v>
      </c>
      <c r="G90" s="26">
        <v>2</v>
      </c>
      <c r="H90" s="7" t="s">
        <v>293</v>
      </c>
      <c r="I90" s="7" t="s">
        <v>292</v>
      </c>
      <c r="J90" s="1">
        <v>2</v>
      </c>
      <c r="K90" s="1">
        <v>5</v>
      </c>
      <c r="L90" s="67">
        <f t="shared" si="3"/>
        <v>1</v>
      </c>
    </row>
    <row r="91" spans="1:12" x14ac:dyDescent="0.2">
      <c r="A91">
        <v>90</v>
      </c>
      <c r="B91" s="7" t="s">
        <v>356</v>
      </c>
      <c r="C91" t="s">
        <v>1311</v>
      </c>
      <c r="D91" s="65" t="str">
        <f t="shared" si="2"/>
        <v>N</v>
      </c>
      <c r="E91" t="s">
        <v>1312</v>
      </c>
      <c r="F91" s="25" t="s">
        <v>293</v>
      </c>
      <c r="G91" s="26">
        <v>2</v>
      </c>
      <c r="H91" s="7" t="s">
        <v>299</v>
      </c>
      <c r="I91" s="7" t="s">
        <v>296</v>
      </c>
      <c r="J91" s="1">
        <v>4</v>
      </c>
      <c r="K91" s="1">
        <v>6</v>
      </c>
      <c r="L91" s="67">
        <f t="shared" si="3"/>
        <v>0</v>
      </c>
    </row>
    <row r="92" spans="1:12" x14ac:dyDescent="0.2">
      <c r="A92">
        <v>91</v>
      </c>
      <c r="B92" s="7" t="s">
        <v>372</v>
      </c>
      <c r="C92" t="s">
        <v>1311</v>
      </c>
      <c r="D92" s="65" t="str">
        <f t="shared" si="2"/>
        <v>N</v>
      </c>
      <c r="E92" t="s">
        <v>1312</v>
      </c>
      <c r="F92" s="25" t="s">
        <v>293</v>
      </c>
      <c r="G92" s="26">
        <v>2</v>
      </c>
      <c r="H92" s="7" t="s">
        <v>293</v>
      </c>
      <c r="I92" s="7" t="s">
        <v>296</v>
      </c>
      <c r="J92" s="1">
        <v>2</v>
      </c>
      <c r="K92" s="1">
        <v>6</v>
      </c>
      <c r="L92" s="67">
        <f t="shared" si="3"/>
        <v>1</v>
      </c>
    </row>
    <row r="93" spans="1:12" x14ac:dyDescent="0.2">
      <c r="A93">
        <v>92</v>
      </c>
      <c r="B93" s="7" t="s">
        <v>356</v>
      </c>
      <c r="C93" t="s">
        <v>1311</v>
      </c>
      <c r="D93" s="65" t="str">
        <f t="shared" si="2"/>
        <v>N</v>
      </c>
      <c r="E93" t="s">
        <v>1312</v>
      </c>
      <c r="F93" s="25" t="s">
        <v>293</v>
      </c>
      <c r="G93" s="26">
        <v>2</v>
      </c>
      <c r="H93" s="7" t="s">
        <v>293</v>
      </c>
      <c r="I93" s="7" t="s">
        <v>296</v>
      </c>
      <c r="J93" s="1">
        <v>2</v>
      </c>
      <c r="K93" s="1">
        <v>6</v>
      </c>
      <c r="L93" s="67">
        <f t="shared" si="3"/>
        <v>1</v>
      </c>
    </row>
    <row r="94" spans="1:12" x14ac:dyDescent="0.2">
      <c r="A94">
        <v>93</v>
      </c>
      <c r="B94" s="7" t="s">
        <v>372</v>
      </c>
      <c r="C94" t="s">
        <v>1311</v>
      </c>
      <c r="D94" s="65" t="str">
        <f t="shared" si="2"/>
        <v>N</v>
      </c>
      <c r="E94" t="s">
        <v>1312</v>
      </c>
      <c r="F94" s="25" t="s">
        <v>293</v>
      </c>
      <c r="G94" s="26">
        <v>2</v>
      </c>
      <c r="H94" s="7" t="s">
        <v>293</v>
      </c>
      <c r="I94" s="7" t="s">
        <v>294</v>
      </c>
      <c r="J94" s="1">
        <v>2</v>
      </c>
      <c r="K94" s="1">
        <v>7</v>
      </c>
      <c r="L94" s="67">
        <f t="shared" si="3"/>
        <v>1</v>
      </c>
    </row>
    <row r="95" spans="1:12" x14ac:dyDescent="0.2">
      <c r="A95">
        <v>94</v>
      </c>
      <c r="B95" s="7" t="s">
        <v>356</v>
      </c>
      <c r="C95" t="s">
        <v>1311</v>
      </c>
      <c r="D95" s="65" t="str">
        <f t="shared" si="2"/>
        <v>N</v>
      </c>
      <c r="E95" t="s">
        <v>1312</v>
      </c>
      <c r="F95" s="25" t="s">
        <v>293</v>
      </c>
      <c r="G95" s="26">
        <v>2</v>
      </c>
      <c r="H95" s="7" t="s">
        <v>293</v>
      </c>
      <c r="I95" s="7" t="s">
        <v>294</v>
      </c>
      <c r="J95" s="1">
        <v>2</v>
      </c>
      <c r="K95" s="1">
        <v>7</v>
      </c>
      <c r="L95" s="67">
        <f t="shared" si="3"/>
        <v>1</v>
      </c>
    </row>
    <row r="96" spans="1:12" x14ac:dyDescent="0.2">
      <c r="A96">
        <v>95</v>
      </c>
      <c r="B96" s="7" t="s">
        <v>372</v>
      </c>
      <c r="C96" t="s">
        <v>1311</v>
      </c>
      <c r="D96" s="65" t="str">
        <f t="shared" si="2"/>
        <v>N</v>
      </c>
      <c r="E96" t="s">
        <v>1312</v>
      </c>
      <c r="F96" s="25" t="s">
        <v>293</v>
      </c>
      <c r="G96" s="26">
        <v>2</v>
      </c>
      <c r="H96" s="7" t="s">
        <v>293</v>
      </c>
      <c r="I96" s="7" t="s">
        <v>296</v>
      </c>
      <c r="J96" s="1">
        <v>2</v>
      </c>
      <c r="K96" s="1">
        <v>6</v>
      </c>
      <c r="L96" s="67">
        <f t="shared" si="3"/>
        <v>1</v>
      </c>
    </row>
    <row r="97" spans="1:12" x14ac:dyDescent="0.2">
      <c r="A97">
        <v>96</v>
      </c>
      <c r="B97" s="7" t="s">
        <v>372</v>
      </c>
      <c r="C97" t="s">
        <v>1311</v>
      </c>
      <c r="D97" s="65" t="str">
        <f t="shared" si="2"/>
        <v>N</v>
      </c>
      <c r="E97" t="s">
        <v>1312</v>
      </c>
      <c r="F97" s="25" t="s">
        <v>293</v>
      </c>
      <c r="G97" s="26">
        <v>2</v>
      </c>
      <c r="H97" s="7" t="s">
        <v>293</v>
      </c>
      <c r="I97" s="7" t="s">
        <v>294</v>
      </c>
      <c r="J97" s="1">
        <v>2</v>
      </c>
      <c r="K97" s="1">
        <v>7</v>
      </c>
      <c r="L97" s="67">
        <f t="shared" si="3"/>
        <v>1</v>
      </c>
    </row>
    <row r="98" spans="1:12" x14ac:dyDescent="0.2">
      <c r="A98">
        <v>97</v>
      </c>
      <c r="B98" s="7" t="s">
        <v>356</v>
      </c>
      <c r="C98" t="s">
        <v>1311</v>
      </c>
      <c r="D98" s="65" t="str">
        <f t="shared" si="2"/>
        <v>N</v>
      </c>
      <c r="E98" t="s">
        <v>1312</v>
      </c>
      <c r="F98" s="25" t="s">
        <v>293</v>
      </c>
      <c r="G98" s="26">
        <v>2</v>
      </c>
      <c r="H98" s="7" t="s">
        <v>299</v>
      </c>
      <c r="I98" s="7" t="s">
        <v>296</v>
      </c>
      <c r="J98" s="1">
        <v>4</v>
      </c>
      <c r="K98" s="1">
        <v>6</v>
      </c>
      <c r="L98" s="67">
        <f t="shared" si="3"/>
        <v>0</v>
      </c>
    </row>
    <row r="99" spans="1:12" x14ac:dyDescent="0.2">
      <c r="A99">
        <v>98</v>
      </c>
      <c r="B99" s="7" t="s">
        <v>356</v>
      </c>
      <c r="C99" t="s">
        <v>1311</v>
      </c>
      <c r="D99" s="65" t="str">
        <f t="shared" si="2"/>
        <v>N</v>
      </c>
      <c r="E99" t="s">
        <v>1312</v>
      </c>
      <c r="F99" s="25" t="s">
        <v>293</v>
      </c>
      <c r="G99" s="26">
        <v>2</v>
      </c>
      <c r="H99" s="7" t="s">
        <v>293</v>
      </c>
      <c r="I99" s="7" t="s">
        <v>292</v>
      </c>
      <c r="J99" s="1">
        <v>2</v>
      </c>
      <c r="K99" s="1">
        <v>5</v>
      </c>
      <c r="L99" s="67">
        <f t="shared" si="3"/>
        <v>1</v>
      </c>
    </row>
    <row r="100" spans="1:12" x14ac:dyDescent="0.2">
      <c r="A100">
        <v>99</v>
      </c>
      <c r="B100" s="7" t="s">
        <v>372</v>
      </c>
      <c r="C100" t="s">
        <v>1311</v>
      </c>
      <c r="D100" s="65" t="str">
        <f t="shared" si="2"/>
        <v>N</v>
      </c>
      <c r="E100" t="s">
        <v>1312</v>
      </c>
      <c r="F100" s="25" t="s">
        <v>293</v>
      </c>
      <c r="G100" s="26">
        <v>2</v>
      </c>
      <c r="H100" s="7" t="s">
        <v>293</v>
      </c>
      <c r="I100" s="7" t="s">
        <v>292</v>
      </c>
      <c r="J100" s="1">
        <v>2</v>
      </c>
      <c r="K100" s="1">
        <v>5</v>
      </c>
      <c r="L100" s="67">
        <f t="shared" si="3"/>
        <v>1</v>
      </c>
    </row>
    <row r="101" spans="1:12" x14ac:dyDescent="0.2">
      <c r="A101">
        <v>100</v>
      </c>
      <c r="B101" s="7" t="s">
        <v>356</v>
      </c>
      <c r="C101" t="s">
        <v>1311</v>
      </c>
      <c r="D101" s="65" t="str">
        <f t="shared" si="2"/>
        <v>N</v>
      </c>
      <c r="E101" t="s">
        <v>1312</v>
      </c>
      <c r="F101" s="25" t="s">
        <v>293</v>
      </c>
      <c r="G101" s="26">
        <v>2</v>
      </c>
      <c r="H101" s="7" t="s">
        <v>293</v>
      </c>
      <c r="I101" s="7" t="s">
        <v>296</v>
      </c>
      <c r="J101" s="1">
        <v>2</v>
      </c>
      <c r="K101" s="1">
        <v>6</v>
      </c>
      <c r="L101" s="67">
        <f t="shared" si="3"/>
        <v>1</v>
      </c>
    </row>
    <row r="102" spans="1:12" x14ac:dyDescent="0.2">
      <c r="A102">
        <v>101</v>
      </c>
      <c r="B102" s="7" t="s">
        <v>356</v>
      </c>
      <c r="C102" t="s">
        <v>1311</v>
      </c>
      <c r="D102" s="65" t="str">
        <f t="shared" si="2"/>
        <v>N</v>
      </c>
      <c r="E102" t="s">
        <v>1312</v>
      </c>
      <c r="F102" s="25" t="s">
        <v>293</v>
      </c>
      <c r="G102" s="26">
        <v>2</v>
      </c>
      <c r="H102" s="7" t="s">
        <v>293</v>
      </c>
      <c r="I102" s="7" t="s">
        <v>296</v>
      </c>
      <c r="J102" s="1">
        <v>2</v>
      </c>
      <c r="K102" s="1">
        <v>6</v>
      </c>
      <c r="L102" s="67">
        <f t="shared" si="3"/>
        <v>1</v>
      </c>
    </row>
    <row r="103" spans="1:12" x14ac:dyDescent="0.2">
      <c r="A103">
        <v>102</v>
      </c>
      <c r="B103" s="7" t="s">
        <v>372</v>
      </c>
      <c r="C103" t="s">
        <v>1311</v>
      </c>
      <c r="D103" s="65" t="str">
        <f t="shared" si="2"/>
        <v>N</v>
      </c>
      <c r="E103" t="s">
        <v>1312</v>
      </c>
      <c r="F103" s="25" t="s">
        <v>293</v>
      </c>
      <c r="G103" s="26">
        <v>2</v>
      </c>
      <c r="H103" s="7" t="s">
        <v>299</v>
      </c>
      <c r="I103" s="7" t="s">
        <v>294</v>
      </c>
      <c r="J103" s="1">
        <v>4</v>
      </c>
      <c r="K103" s="1">
        <v>7</v>
      </c>
      <c r="L103" s="67">
        <f t="shared" si="3"/>
        <v>0</v>
      </c>
    </row>
    <row r="104" spans="1:12" x14ac:dyDescent="0.2">
      <c r="A104">
        <v>103</v>
      </c>
      <c r="B104" s="7" t="s">
        <v>372</v>
      </c>
      <c r="C104" t="s">
        <v>1311</v>
      </c>
      <c r="D104" s="65" t="str">
        <f t="shared" si="2"/>
        <v>N</v>
      </c>
      <c r="E104" t="s">
        <v>1312</v>
      </c>
      <c r="F104" s="25" t="s">
        <v>293</v>
      </c>
      <c r="G104" s="26">
        <v>2</v>
      </c>
      <c r="H104" s="7" t="s">
        <v>299</v>
      </c>
      <c r="I104" s="7" t="s">
        <v>292</v>
      </c>
      <c r="J104" s="1">
        <v>4</v>
      </c>
      <c r="K104" s="1">
        <v>5</v>
      </c>
      <c r="L104" s="67">
        <f t="shared" si="3"/>
        <v>0</v>
      </c>
    </row>
    <row r="105" spans="1:12" x14ac:dyDescent="0.2">
      <c r="A105">
        <v>104</v>
      </c>
      <c r="B105" s="7" t="s">
        <v>356</v>
      </c>
      <c r="C105" t="s">
        <v>1311</v>
      </c>
      <c r="D105" s="65" t="str">
        <f t="shared" si="2"/>
        <v>N</v>
      </c>
      <c r="E105" t="s">
        <v>1312</v>
      </c>
      <c r="F105" s="25" t="s">
        <v>293</v>
      </c>
      <c r="G105" s="26">
        <v>2</v>
      </c>
      <c r="H105" s="7" t="s">
        <v>299</v>
      </c>
      <c r="I105" s="7" t="s">
        <v>296</v>
      </c>
      <c r="J105" s="1">
        <v>4</v>
      </c>
      <c r="K105" s="1">
        <v>6</v>
      </c>
      <c r="L105" s="67">
        <f t="shared" si="3"/>
        <v>0</v>
      </c>
    </row>
    <row r="106" spans="1:12" x14ac:dyDescent="0.2">
      <c r="A106">
        <v>105</v>
      </c>
      <c r="B106" s="7" t="s">
        <v>356</v>
      </c>
      <c r="C106" t="s">
        <v>1311</v>
      </c>
      <c r="D106" s="65" t="str">
        <f t="shared" si="2"/>
        <v>N</v>
      </c>
      <c r="E106" t="s">
        <v>1312</v>
      </c>
      <c r="F106" s="25" t="s">
        <v>293</v>
      </c>
      <c r="G106" s="26">
        <v>2</v>
      </c>
      <c r="H106" s="7" t="s">
        <v>293</v>
      </c>
      <c r="I106" s="7" t="s">
        <v>296</v>
      </c>
      <c r="J106" s="1">
        <v>2</v>
      </c>
      <c r="K106" s="1">
        <v>6</v>
      </c>
      <c r="L106" s="67">
        <f t="shared" si="3"/>
        <v>1</v>
      </c>
    </row>
    <row r="107" spans="1:12" x14ac:dyDescent="0.2">
      <c r="A107">
        <v>106</v>
      </c>
      <c r="B107" s="7" t="s">
        <v>372</v>
      </c>
      <c r="C107" t="s">
        <v>1311</v>
      </c>
      <c r="D107" s="65" t="str">
        <f t="shared" si="2"/>
        <v>N</v>
      </c>
      <c r="E107" t="s">
        <v>1312</v>
      </c>
      <c r="F107" s="25" t="s">
        <v>293</v>
      </c>
      <c r="G107" s="26">
        <v>2</v>
      </c>
      <c r="H107" s="7" t="s">
        <v>299</v>
      </c>
      <c r="I107" s="7" t="s">
        <v>294</v>
      </c>
      <c r="J107" s="1">
        <v>4</v>
      </c>
      <c r="K107" s="1">
        <v>7</v>
      </c>
      <c r="L107" s="67">
        <f t="shared" si="3"/>
        <v>0</v>
      </c>
    </row>
    <row r="108" spans="1:12" x14ac:dyDescent="0.2">
      <c r="A108">
        <v>107</v>
      </c>
      <c r="B108" s="7" t="s">
        <v>356</v>
      </c>
      <c r="C108" t="s">
        <v>1311</v>
      </c>
      <c r="D108" s="65" t="str">
        <f t="shared" si="2"/>
        <v>N</v>
      </c>
      <c r="E108" t="s">
        <v>1312</v>
      </c>
      <c r="F108" s="25" t="s">
        <v>293</v>
      </c>
      <c r="G108" s="26">
        <v>2</v>
      </c>
      <c r="H108" s="7" t="s">
        <v>293</v>
      </c>
      <c r="I108" s="7" t="s">
        <v>296</v>
      </c>
      <c r="J108" s="1">
        <v>2</v>
      </c>
      <c r="K108" s="1">
        <v>6</v>
      </c>
      <c r="L108" s="67">
        <f t="shared" si="3"/>
        <v>1</v>
      </c>
    </row>
    <row r="109" spans="1:12" x14ac:dyDescent="0.2">
      <c r="A109">
        <v>108</v>
      </c>
      <c r="B109" s="7" t="s">
        <v>372</v>
      </c>
      <c r="C109" t="s">
        <v>1311</v>
      </c>
      <c r="D109" s="65" t="str">
        <f t="shared" si="2"/>
        <v>N</v>
      </c>
      <c r="E109" t="s">
        <v>1312</v>
      </c>
      <c r="F109" s="25" t="s">
        <v>293</v>
      </c>
      <c r="G109" s="26">
        <v>2</v>
      </c>
      <c r="H109" s="7" t="s">
        <v>293</v>
      </c>
      <c r="I109" s="7" t="s">
        <v>296</v>
      </c>
      <c r="J109" s="1">
        <v>2</v>
      </c>
      <c r="K109" s="1">
        <v>6</v>
      </c>
      <c r="L109" s="67">
        <f t="shared" si="3"/>
        <v>1</v>
      </c>
    </row>
    <row r="110" spans="1:12" x14ac:dyDescent="0.2">
      <c r="A110">
        <v>109</v>
      </c>
      <c r="B110" s="7" t="s">
        <v>356</v>
      </c>
      <c r="C110" t="s">
        <v>1311</v>
      </c>
      <c r="D110" s="65" t="str">
        <f t="shared" si="2"/>
        <v>N</v>
      </c>
      <c r="E110" t="s">
        <v>1312</v>
      </c>
      <c r="F110" s="25" t="s">
        <v>293</v>
      </c>
      <c r="G110" s="26">
        <v>2</v>
      </c>
      <c r="H110" s="7" t="s">
        <v>293</v>
      </c>
      <c r="I110" s="7" t="s">
        <v>296</v>
      </c>
      <c r="J110" s="1">
        <v>2</v>
      </c>
      <c r="K110" s="1">
        <v>6</v>
      </c>
      <c r="L110" s="67">
        <f t="shared" si="3"/>
        <v>1</v>
      </c>
    </row>
    <row r="111" spans="1:12" x14ac:dyDescent="0.2">
      <c r="A111">
        <v>110</v>
      </c>
      <c r="B111" s="7" t="s">
        <v>372</v>
      </c>
      <c r="C111" t="s">
        <v>1311</v>
      </c>
      <c r="D111" s="65" t="str">
        <f t="shared" si="2"/>
        <v>N</v>
      </c>
      <c r="E111" t="s">
        <v>1312</v>
      </c>
      <c r="F111" s="25" t="s">
        <v>293</v>
      </c>
      <c r="G111" s="26">
        <v>2</v>
      </c>
      <c r="H111" s="7" t="s">
        <v>293</v>
      </c>
      <c r="I111" s="7" t="s">
        <v>296</v>
      </c>
      <c r="J111" s="1">
        <v>2</v>
      </c>
      <c r="K111" s="1">
        <v>6</v>
      </c>
      <c r="L111" s="67">
        <f t="shared" si="3"/>
        <v>1</v>
      </c>
    </row>
    <row r="112" spans="1:12" x14ac:dyDescent="0.2">
      <c r="A112">
        <v>111</v>
      </c>
      <c r="B112" s="7" t="s">
        <v>356</v>
      </c>
      <c r="C112" t="s">
        <v>1311</v>
      </c>
      <c r="D112" s="65" t="str">
        <f t="shared" si="2"/>
        <v>N</v>
      </c>
      <c r="E112" t="s">
        <v>1312</v>
      </c>
      <c r="F112" s="25" t="s">
        <v>293</v>
      </c>
      <c r="G112" s="26">
        <v>2</v>
      </c>
      <c r="H112" s="7" t="s">
        <v>299</v>
      </c>
      <c r="I112" s="7" t="s">
        <v>292</v>
      </c>
      <c r="J112" s="1">
        <v>4</v>
      </c>
      <c r="K112" s="1">
        <v>5</v>
      </c>
      <c r="L112" s="67">
        <f t="shared" si="3"/>
        <v>0</v>
      </c>
    </row>
    <row r="113" spans="1:12" x14ac:dyDescent="0.2">
      <c r="A113">
        <v>112</v>
      </c>
      <c r="B113" s="7" t="s">
        <v>356</v>
      </c>
      <c r="C113" t="s">
        <v>1311</v>
      </c>
      <c r="D113" s="65" t="str">
        <f t="shared" si="2"/>
        <v>N</v>
      </c>
      <c r="E113" t="s">
        <v>1312</v>
      </c>
      <c r="F113" s="25" t="s">
        <v>293</v>
      </c>
      <c r="G113" s="26">
        <v>2</v>
      </c>
      <c r="H113" s="7" t="s">
        <v>293</v>
      </c>
      <c r="I113" s="7" t="s">
        <v>296</v>
      </c>
      <c r="J113" s="1">
        <v>2</v>
      </c>
      <c r="K113" s="1">
        <v>6</v>
      </c>
      <c r="L113" s="67">
        <f t="shared" si="3"/>
        <v>1</v>
      </c>
    </row>
    <row r="114" spans="1:12" x14ac:dyDescent="0.2">
      <c r="A114">
        <v>113</v>
      </c>
      <c r="B114" s="7" t="s">
        <v>372</v>
      </c>
      <c r="C114" t="s">
        <v>1311</v>
      </c>
      <c r="D114" s="65" t="str">
        <f t="shared" si="2"/>
        <v>N</v>
      </c>
      <c r="E114" t="s">
        <v>1312</v>
      </c>
      <c r="F114" s="25" t="s">
        <v>293</v>
      </c>
      <c r="G114" s="26">
        <v>2</v>
      </c>
      <c r="H114" s="7" t="s">
        <v>293</v>
      </c>
      <c r="I114" s="7" t="s">
        <v>296</v>
      </c>
      <c r="J114" s="1">
        <v>2</v>
      </c>
      <c r="K114" s="1">
        <v>6</v>
      </c>
      <c r="L114" s="67">
        <f t="shared" si="3"/>
        <v>1</v>
      </c>
    </row>
    <row r="115" spans="1:12" x14ac:dyDescent="0.2">
      <c r="A115">
        <v>114</v>
      </c>
      <c r="B115" s="7" t="s">
        <v>372</v>
      </c>
      <c r="C115" t="s">
        <v>1311</v>
      </c>
      <c r="D115" s="65" t="str">
        <f t="shared" si="2"/>
        <v>N</v>
      </c>
      <c r="E115" t="s">
        <v>1312</v>
      </c>
      <c r="F115" s="25" t="s">
        <v>293</v>
      </c>
      <c r="G115" s="26">
        <v>2</v>
      </c>
      <c r="H115" s="7" t="s">
        <v>293</v>
      </c>
      <c r="I115" s="7" t="s">
        <v>296</v>
      </c>
      <c r="J115" s="1">
        <v>2</v>
      </c>
      <c r="K115" s="1">
        <v>6</v>
      </c>
      <c r="L115" s="67">
        <f t="shared" si="3"/>
        <v>1</v>
      </c>
    </row>
    <row r="116" spans="1:12" x14ac:dyDescent="0.2">
      <c r="A116">
        <v>115</v>
      </c>
      <c r="B116" s="7" t="s">
        <v>356</v>
      </c>
      <c r="C116" t="s">
        <v>1311</v>
      </c>
      <c r="D116" s="65" t="str">
        <f t="shared" si="2"/>
        <v>N</v>
      </c>
      <c r="E116" t="s">
        <v>1312</v>
      </c>
      <c r="F116" s="25" t="s">
        <v>293</v>
      </c>
      <c r="G116" s="26">
        <v>2</v>
      </c>
      <c r="H116" s="7" t="s">
        <v>293</v>
      </c>
      <c r="I116" s="7" t="s">
        <v>296</v>
      </c>
      <c r="J116" s="1">
        <v>2</v>
      </c>
      <c r="K116" s="1">
        <v>6</v>
      </c>
      <c r="L116" s="67">
        <f t="shared" si="3"/>
        <v>1</v>
      </c>
    </row>
    <row r="117" spans="1:12" x14ac:dyDescent="0.2">
      <c r="A117">
        <v>116</v>
      </c>
      <c r="B117" s="7" t="s">
        <v>372</v>
      </c>
      <c r="C117" t="s">
        <v>1311</v>
      </c>
      <c r="D117" s="65" t="str">
        <f t="shared" si="2"/>
        <v>N</v>
      </c>
      <c r="E117" t="s">
        <v>1312</v>
      </c>
      <c r="F117" s="25" t="s">
        <v>293</v>
      </c>
      <c r="G117" s="26">
        <v>2</v>
      </c>
      <c r="H117" s="7" t="s">
        <v>293</v>
      </c>
      <c r="I117" s="7" t="s">
        <v>296</v>
      </c>
      <c r="J117" s="1">
        <v>2</v>
      </c>
      <c r="K117" s="1">
        <v>6</v>
      </c>
      <c r="L117" s="67">
        <f t="shared" si="3"/>
        <v>1</v>
      </c>
    </row>
    <row r="118" spans="1:12" x14ac:dyDescent="0.2">
      <c r="A118">
        <v>117</v>
      </c>
      <c r="B118" s="7" t="s">
        <v>372</v>
      </c>
      <c r="C118" t="s">
        <v>1311</v>
      </c>
      <c r="D118" s="65" t="str">
        <f t="shared" si="2"/>
        <v>N</v>
      </c>
      <c r="E118" t="s">
        <v>1312</v>
      </c>
      <c r="F118" s="25" t="s">
        <v>293</v>
      </c>
      <c r="G118" s="26">
        <v>2</v>
      </c>
      <c r="H118" s="7" t="s">
        <v>293</v>
      </c>
      <c r="I118" s="7" t="s">
        <v>297</v>
      </c>
      <c r="J118" s="1">
        <v>2</v>
      </c>
      <c r="K118" s="1">
        <v>4</v>
      </c>
      <c r="L118" s="67">
        <f t="shared" si="3"/>
        <v>1</v>
      </c>
    </row>
    <row r="119" spans="1:12" x14ac:dyDescent="0.2">
      <c r="A119">
        <v>118</v>
      </c>
      <c r="B119" s="7" t="s">
        <v>372</v>
      </c>
      <c r="C119" t="s">
        <v>1311</v>
      </c>
      <c r="D119" s="65" t="str">
        <f t="shared" si="2"/>
        <v>N</v>
      </c>
      <c r="E119" t="s">
        <v>1312</v>
      </c>
      <c r="F119" s="25" t="s">
        <v>293</v>
      </c>
      <c r="G119" s="26">
        <v>2</v>
      </c>
      <c r="H119" s="7" t="s">
        <v>293</v>
      </c>
      <c r="I119" s="7" t="s">
        <v>292</v>
      </c>
      <c r="J119" s="1">
        <v>2</v>
      </c>
      <c r="K119" s="1">
        <v>5</v>
      </c>
      <c r="L119" s="67">
        <f t="shared" si="3"/>
        <v>1</v>
      </c>
    </row>
    <row r="120" spans="1:12" x14ac:dyDescent="0.2">
      <c r="A120">
        <v>119</v>
      </c>
      <c r="B120" s="7" t="s">
        <v>356</v>
      </c>
      <c r="C120" t="s">
        <v>1311</v>
      </c>
      <c r="D120" s="65" t="str">
        <f t="shared" si="2"/>
        <v>N</v>
      </c>
      <c r="E120" t="s">
        <v>1312</v>
      </c>
      <c r="F120" s="25" t="s">
        <v>293</v>
      </c>
      <c r="G120" s="26">
        <v>2</v>
      </c>
      <c r="H120" s="7" t="s">
        <v>293</v>
      </c>
      <c r="I120" s="7" t="s">
        <v>296</v>
      </c>
      <c r="J120" s="1">
        <v>2</v>
      </c>
      <c r="K120" s="1">
        <v>6</v>
      </c>
      <c r="L120" s="67">
        <f t="shared" si="3"/>
        <v>1</v>
      </c>
    </row>
    <row r="121" spans="1:12" x14ac:dyDescent="0.2">
      <c r="A121">
        <v>120</v>
      </c>
      <c r="B121" s="7" t="s">
        <v>372</v>
      </c>
      <c r="C121" t="s">
        <v>1311</v>
      </c>
      <c r="D121" s="65" t="str">
        <f t="shared" si="2"/>
        <v>N</v>
      </c>
      <c r="E121" t="s">
        <v>1312</v>
      </c>
      <c r="F121" s="25" t="s">
        <v>293</v>
      </c>
      <c r="G121" s="26">
        <v>2</v>
      </c>
      <c r="H121" s="7" t="s">
        <v>299</v>
      </c>
      <c r="I121" s="7" t="s">
        <v>292</v>
      </c>
      <c r="J121" s="1">
        <v>4</v>
      </c>
      <c r="K121" s="1">
        <v>5</v>
      </c>
      <c r="L121" s="67">
        <f t="shared" si="3"/>
        <v>0</v>
      </c>
    </row>
    <row r="122" spans="1:12" x14ac:dyDescent="0.2">
      <c r="A122">
        <v>121</v>
      </c>
      <c r="B122" s="7" t="s">
        <v>356</v>
      </c>
      <c r="C122" t="s">
        <v>1311</v>
      </c>
      <c r="D122" s="65" t="str">
        <f t="shared" si="2"/>
        <v>N</v>
      </c>
      <c r="E122" t="s">
        <v>1312</v>
      </c>
      <c r="F122" s="25" t="s">
        <v>293</v>
      </c>
      <c r="G122" s="26">
        <v>2</v>
      </c>
      <c r="H122" s="7" t="s">
        <v>293</v>
      </c>
      <c r="I122" s="7" t="s">
        <v>292</v>
      </c>
      <c r="J122" s="1">
        <v>2</v>
      </c>
      <c r="K122" s="1">
        <v>5</v>
      </c>
      <c r="L122" s="67">
        <f t="shared" si="3"/>
        <v>1</v>
      </c>
    </row>
    <row r="123" spans="1:12" x14ac:dyDescent="0.2">
      <c r="A123">
        <v>122</v>
      </c>
      <c r="B123" s="7" t="s">
        <v>356</v>
      </c>
      <c r="C123" t="s">
        <v>1311</v>
      </c>
      <c r="D123" s="65" t="str">
        <f t="shared" si="2"/>
        <v>N</v>
      </c>
      <c r="E123" t="s">
        <v>1312</v>
      </c>
      <c r="F123" s="25" t="s">
        <v>293</v>
      </c>
      <c r="G123" s="26">
        <v>2</v>
      </c>
      <c r="H123" s="7" t="s">
        <v>293</v>
      </c>
      <c r="I123" s="7" t="s">
        <v>296</v>
      </c>
      <c r="J123" s="1">
        <v>2</v>
      </c>
      <c r="K123" s="1">
        <v>6</v>
      </c>
      <c r="L123" s="67">
        <f t="shared" si="3"/>
        <v>1</v>
      </c>
    </row>
    <row r="124" spans="1:12" x14ac:dyDescent="0.2">
      <c r="A124">
        <v>123</v>
      </c>
      <c r="B124" s="7" t="s">
        <v>372</v>
      </c>
      <c r="C124" t="s">
        <v>1311</v>
      </c>
      <c r="D124" s="65" t="str">
        <f t="shared" si="2"/>
        <v>N</v>
      </c>
      <c r="E124" t="s">
        <v>1312</v>
      </c>
      <c r="F124" s="25" t="s">
        <v>293</v>
      </c>
      <c r="G124" s="26">
        <v>2</v>
      </c>
      <c r="H124" s="7" t="s">
        <v>282</v>
      </c>
      <c r="I124" s="7" t="s">
        <v>296</v>
      </c>
      <c r="J124" s="4" t="s">
        <v>282</v>
      </c>
      <c r="K124" s="1">
        <v>6</v>
      </c>
      <c r="L124" s="67">
        <f t="shared" si="3"/>
        <v>0</v>
      </c>
    </row>
    <row r="125" spans="1:12" x14ac:dyDescent="0.2">
      <c r="A125">
        <v>124</v>
      </c>
      <c r="B125" s="7" t="s">
        <v>372</v>
      </c>
      <c r="C125" t="s">
        <v>1311</v>
      </c>
      <c r="D125" s="65" t="str">
        <f t="shared" si="2"/>
        <v>N</v>
      </c>
      <c r="E125" t="s">
        <v>1312</v>
      </c>
      <c r="F125" s="25" t="s">
        <v>293</v>
      </c>
      <c r="G125" s="26">
        <v>2</v>
      </c>
      <c r="H125" s="7" t="s">
        <v>293</v>
      </c>
      <c r="I125" s="7" t="s">
        <v>296</v>
      </c>
      <c r="J125" s="1">
        <v>2</v>
      </c>
      <c r="K125" s="1">
        <v>6</v>
      </c>
      <c r="L125" s="67">
        <f t="shared" si="3"/>
        <v>1</v>
      </c>
    </row>
    <row r="126" spans="1:12" x14ac:dyDescent="0.2">
      <c r="A126">
        <v>125</v>
      </c>
      <c r="B126" s="7" t="s">
        <v>356</v>
      </c>
      <c r="C126" t="s">
        <v>1311</v>
      </c>
      <c r="D126" s="65" t="str">
        <f t="shared" si="2"/>
        <v>N</v>
      </c>
      <c r="E126" t="s">
        <v>1312</v>
      </c>
      <c r="F126" s="25" t="s">
        <v>293</v>
      </c>
      <c r="G126" s="26">
        <v>2</v>
      </c>
      <c r="H126" s="7" t="s">
        <v>293</v>
      </c>
      <c r="I126" s="7" t="s">
        <v>294</v>
      </c>
      <c r="J126" s="1">
        <v>2</v>
      </c>
      <c r="K126" s="1">
        <v>7</v>
      </c>
      <c r="L126" s="67">
        <f t="shared" si="3"/>
        <v>1</v>
      </c>
    </row>
    <row r="127" spans="1:12" x14ac:dyDescent="0.2">
      <c r="A127">
        <v>126</v>
      </c>
      <c r="B127" s="7" t="s">
        <v>372</v>
      </c>
      <c r="C127" t="s">
        <v>1311</v>
      </c>
      <c r="D127" s="65" t="str">
        <f t="shared" si="2"/>
        <v>N</v>
      </c>
      <c r="E127" t="s">
        <v>1312</v>
      </c>
      <c r="F127" s="25" t="s">
        <v>293</v>
      </c>
      <c r="G127" s="26">
        <v>2</v>
      </c>
      <c r="H127" s="7" t="s">
        <v>299</v>
      </c>
      <c r="I127" s="7" t="s">
        <v>292</v>
      </c>
      <c r="J127" s="1">
        <v>4</v>
      </c>
      <c r="K127" s="1">
        <v>5</v>
      </c>
      <c r="L127" s="67">
        <f t="shared" si="3"/>
        <v>0</v>
      </c>
    </row>
    <row r="128" spans="1:12" x14ac:dyDescent="0.2">
      <c r="A128">
        <v>127</v>
      </c>
      <c r="B128" s="7" t="s">
        <v>356</v>
      </c>
      <c r="C128" t="s">
        <v>1311</v>
      </c>
      <c r="D128" s="65" t="str">
        <f t="shared" si="2"/>
        <v>N</v>
      </c>
      <c r="E128" t="s">
        <v>1312</v>
      </c>
      <c r="F128" s="25" t="s">
        <v>293</v>
      </c>
      <c r="G128" s="26">
        <v>2</v>
      </c>
      <c r="H128" s="7" t="s">
        <v>293</v>
      </c>
      <c r="I128" s="7" t="s">
        <v>296</v>
      </c>
      <c r="J128" s="1">
        <v>2</v>
      </c>
      <c r="K128" s="1">
        <v>6</v>
      </c>
      <c r="L128" s="67">
        <f t="shared" si="3"/>
        <v>1</v>
      </c>
    </row>
    <row r="129" spans="1:12" x14ac:dyDescent="0.2">
      <c r="A129">
        <v>128</v>
      </c>
      <c r="B129" s="7" t="s">
        <v>372</v>
      </c>
      <c r="C129" t="s">
        <v>1311</v>
      </c>
      <c r="D129" s="65" t="str">
        <f t="shared" si="2"/>
        <v>N</v>
      </c>
      <c r="E129" t="s">
        <v>1312</v>
      </c>
      <c r="F129" s="25" t="s">
        <v>293</v>
      </c>
      <c r="G129" s="26">
        <v>2</v>
      </c>
      <c r="H129" s="7" t="s">
        <v>299</v>
      </c>
      <c r="I129" s="7" t="s">
        <v>294</v>
      </c>
      <c r="J129" s="1">
        <v>4</v>
      </c>
      <c r="K129" s="1">
        <v>7</v>
      </c>
      <c r="L129" s="67">
        <f t="shared" si="3"/>
        <v>0</v>
      </c>
    </row>
    <row r="130" spans="1:12" x14ac:dyDescent="0.2">
      <c r="A130">
        <v>129</v>
      </c>
      <c r="B130" s="7" t="s">
        <v>372</v>
      </c>
      <c r="C130" t="s">
        <v>1311</v>
      </c>
      <c r="D130" s="65" t="str">
        <f t="shared" si="2"/>
        <v>N</v>
      </c>
      <c r="E130" t="s">
        <v>1312</v>
      </c>
      <c r="F130" s="25" t="s">
        <v>293</v>
      </c>
      <c r="G130" s="26">
        <v>2</v>
      </c>
      <c r="H130" s="7" t="s">
        <v>299</v>
      </c>
      <c r="I130" s="7" t="s">
        <v>296</v>
      </c>
      <c r="J130" s="1">
        <v>4</v>
      </c>
      <c r="K130" s="1">
        <v>6</v>
      </c>
      <c r="L130" s="67">
        <f t="shared" si="3"/>
        <v>0</v>
      </c>
    </row>
    <row r="131" spans="1:12" x14ac:dyDescent="0.2">
      <c r="A131">
        <v>130</v>
      </c>
      <c r="B131" s="7" t="s">
        <v>356</v>
      </c>
      <c r="C131" t="s">
        <v>1311</v>
      </c>
      <c r="D131" s="65" t="str">
        <f t="shared" ref="D131:D194" si="4">IF($E131="iso", "N", IF(OR($E131="non", $E131="emd", $E131="dyn"), "Y", "ERROR"))</f>
        <v>N</v>
      </c>
      <c r="E131" t="s">
        <v>1312</v>
      </c>
      <c r="F131" s="25" t="s">
        <v>293</v>
      </c>
      <c r="G131" s="26">
        <v>2</v>
      </c>
      <c r="H131" s="7" t="s">
        <v>299</v>
      </c>
      <c r="I131" s="7" t="s">
        <v>292</v>
      </c>
      <c r="J131" s="1">
        <v>4</v>
      </c>
      <c r="K131" s="1">
        <v>5</v>
      </c>
      <c r="L131" s="67">
        <f t="shared" ref="L131:L194" si="5">IF(G131=J131, 1, 0)</f>
        <v>0</v>
      </c>
    </row>
    <row r="132" spans="1:12" x14ac:dyDescent="0.2">
      <c r="A132">
        <v>131</v>
      </c>
      <c r="B132" s="7" t="s">
        <v>372</v>
      </c>
      <c r="C132" t="s">
        <v>1311</v>
      </c>
      <c r="D132" s="65" t="str">
        <f t="shared" si="4"/>
        <v>N</v>
      </c>
      <c r="E132" t="s">
        <v>1312</v>
      </c>
      <c r="F132" s="25" t="s">
        <v>293</v>
      </c>
      <c r="G132" s="26">
        <v>2</v>
      </c>
      <c r="H132" s="7" t="s">
        <v>293</v>
      </c>
      <c r="I132" s="7" t="s">
        <v>296</v>
      </c>
      <c r="J132" s="1">
        <v>2</v>
      </c>
      <c r="K132" s="1">
        <v>6</v>
      </c>
      <c r="L132" s="67">
        <f t="shared" si="5"/>
        <v>1</v>
      </c>
    </row>
    <row r="133" spans="1:12" x14ac:dyDescent="0.2">
      <c r="A133">
        <v>132</v>
      </c>
      <c r="B133" s="7" t="s">
        <v>356</v>
      </c>
      <c r="C133" t="s">
        <v>1311</v>
      </c>
      <c r="D133" s="65" t="str">
        <f t="shared" si="4"/>
        <v>N</v>
      </c>
      <c r="E133" t="s">
        <v>1312</v>
      </c>
      <c r="F133" s="25" t="s">
        <v>293</v>
      </c>
      <c r="G133" s="26">
        <v>2</v>
      </c>
      <c r="H133" s="7" t="s">
        <v>293</v>
      </c>
      <c r="I133" s="7" t="s">
        <v>294</v>
      </c>
      <c r="J133" s="1">
        <v>2</v>
      </c>
      <c r="K133" s="1">
        <v>7</v>
      </c>
      <c r="L133" s="67">
        <f t="shared" si="5"/>
        <v>1</v>
      </c>
    </row>
    <row r="134" spans="1:12" x14ac:dyDescent="0.2">
      <c r="A134">
        <v>133</v>
      </c>
      <c r="B134" s="7" t="s">
        <v>356</v>
      </c>
      <c r="C134" t="s">
        <v>1311</v>
      </c>
      <c r="D134" s="65" t="str">
        <f t="shared" si="4"/>
        <v>N</v>
      </c>
      <c r="E134" t="s">
        <v>1312</v>
      </c>
      <c r="F134" s="25" t="s">
        <v>293</v>
      </c>
      <c r="G134" s="26">
        <v>2</v>
      </c>
      <c r="H134" s="7" t="s">
        <v>293</v>
      </c>
      <c r="I134" s="7" t="s">
        <v>296</v>
      </c>
      <c r="J134" s="1">
        <v>2</v>
      </c>
      <c r="K134" s="1">
        <v>6</v>
      </c>
      <c r="L134" s="67">
        <f t="shared" si="5"/>
        <v>1</v>
      </c>
    </row>
    <row r="135" spans="1:12" x14ac:dyDescent="0.2">
      <c r="A135">
        <v>134</v>
      </c>
      <c r="B135" s="7" t="s">
        <v>372</v>
      </c>
      <c r="C135" t="s">
        <v>1311</v>
      </c>
      <c r="D135" s="65" t="str">
        <f t="shared" si="4"/>
        <v>N</v>
      </c>
      <c r="E135" t="s">
        <v>1312</v>
      </c>
      <c r="F135" s="25" t="s">
        <v>293</v>
      </c>
      <c r="G135" s="26">
        <v>2</v>
      </c>
      <c r="H135" s="7" t="s">
        <v>293</v>
      </c>
      <c r="I135" s="7" t="s">
        <v>292</v>
      </c>
      <c r="J135" s="1">
        <v>2</v>
      </c>
      <c r="K135" s="1">
        <v>5</v>
      </c>
      <c r="L135" s="67">
        <f t="shared" si="5"/>
        <v>1</v>
      </c>
    </row>
    <row r="136" spans="1:12" x14ac:dyDescent="0.2">
      <c r="A136">
        <v>135</v>
      </c>
      <c r="B136" s="7" t="s">
        <v>356</v>
      </c>
      <c r="C136" t="s">
        <v>1311</v>
      </c>
      <c r="D136" s="65" t="str">
        <f t="shared" si="4"/>
        <v>N</v>
      </c>
      <c r="E136" t="s">
        <v>1312</v>
      </c>
      <c r="F136" s="25" t="s">
        <v>293</v>
      </c>
      <c r="G136" s="26">
        <v>2</v>
      </c>
      <c r="H136" s="7" t="s">
        <v>293</v>
      </c>
      <c r="I136" s="7" t="s">
        <v>296</v>
      </c>
      <c r="J136" s="1">
        <v>2</v>
      </c>
      <c r="K136" s="1">
        <v>6</v>
      </c>
      <c r="L136" s="67">
        <f t="shared" si="5"/>
        <v>1</v>
      </c>
    </row>
    <row r="137" spans="1:12" x14ac:dyDescent="0.2">
      <c r="A137">
        <v>136</v>
      </c>
      <c r="B137" s="7" t="s">
        <v>372</v>
      </c>
      <c r="C137" t="s">
        <v>1311</v>
      </c>
      <c r="D137" s="65" t="str">
        <f t="shared" si="4"/>
        <v>N</v>
      </c>
      <c r="E137" t="s">
        <v>1312</v>
      </c>
      <c r="F137" s="25" t="s">
        <v>293</v>
      </c>
      <c r="G137" s="26">
        <v>2</v>
      </c>
      <c r="H137" s="7" t="s">
        <v>293</v>
      </c>
      <c r="I137" s="7" t="s">
        <v>296</v>
      </c>
      <c r="J137" s="1">
        <v>2</v>
      </c>
      <c r="K137" s="1">
        <v>6</v>
      </c>
      <c r="L137" s="67">
        <f t="shared" si="5"/>
        <v>1</v>
      </c>
    </row>
    <row r="138" spans="1:12" x14ac:dyDescent="0.2">
      <c r="A138">
        <v>137</v>
      </c>
      <c r="B138" s="7" t="s">
        <v>356</v>
      </c>
      <c r="C138" t="s">
        <v>1311</v>
      </c>
      <c r="D138" s="65" t="str">
        <f t="shared" si="4"/>
        <v>N</v>
      </c>
      <c r="E138" t="s">
        <v>1312</v>
      </c>
      <c r="F138" s="25" t="s">
        <v>293</v>
      </c>
      <c r="G138" s="26">
        <v>2</v>
      </c>
      <c r="H138" s="7" t="s">
        <v>299</v>
      </c>
      <c r="I138" s="7" t="s">
        <v>296</v>
      </c>
      <c r="J138" s="1">
        <v>4</v>
      </c>
      <c r="K138" s="1">
        <v>6</v>
      </c>
      <c r="L138" s="67">
        <f t="shared" si="5"/>
        <v>0</v>
      </c>
    </row>
    <row r="139" spans="1:12" x14ac:dyDescent="0.2">
      <c r="A139">
        <v>138</v>
      </c>
      <c r="B139" s="7" t="s">
        <v>372</v>
      </c>
      <c r="C139" t="s">
        <v>1311</v>
      </c>
      <c r="D139" s="65" t="str">
        <f t="shared" si="4"/>
        <v>N</v>
      </c>
      <c r="E139" t="s">
        <v>1312</v>
      </c>
      <c r="F139" s="25" t="s">
        <v>293</v>
      </c>
      <c r="G139" s="26">
        <v>2</v>
      </c>
      <c r="H139" s="7" t="s">
        <v>299</v>
      </c>
      <c r="I139" s="7" t="s">
        <v>296</v>
      </c>
      <c r="J139" s="1">
        <v>4</v>
      </c>
      <c r="K139" s="1">
        <v>6</v>
      </c>
      <c r="L139" s="67">
        <f t="shared" si="5"/>
        <v>0</v>
      </c>
    </row>
    <row r="140" spans="1:12" x14ac:dyDescent="0.2">
      <c r="A140">
        <v>139</v>
      </c>
      <c r="B140" s="7" t="s">
        <v>356</v>
      </c>
      <c r="C140" t="s">
        <v>1311</v>
      </c>
      <c r="D140" s="65" t="str">
        <f t="shared" si="4"/>
        <v>N</v>
      </c>
      <c r="E140" t="s">
        <v>1312</v>
      </c>
      <c r="F140" s="25" t="s">
        <v>293</v>
      </c>
      <c r="G140" s="26">
        <v>2</v>
      </c>
      <c r="H140" s="7" t="s">
        <v>299</v>
      </c>
      <c r="I140" s="7" t="s">
        <v>296</v>
      </c>
      <c r="J140" s="1">
        <v>4</v>
      </c>
      <c r="K140" s="1">
        <v>6</v>
      </c>
      <c r="L140" s="67">
        <f t="shared" si="5"/>
        <v>0</v>
      </c>
    </row>
    <row r="141" spans="1:12" x14ac:dyDescent="0.2">
      <c r="A141">
        <v>140</v>
      </c>
      <c r="B141" s="7" t="s">
        <v>372</v>
      </c>
      <c r="C141" t="s">
        <v>1311</v>
      </c>
      <c r="D141" s="65" t="str">
        <f t="shared" si="4"/>
        <v>N</v>
      </c>
      <c r="E141" t="s">
        <v>1312</v>
      </c>
      <c r="F141" s="25" t="s">
        <v>293</v>
      </c>
      <c r="G141" s="26">
        <v>2</v>
      </c>
      <c r="H141" s="7" t="s">
        <v>293</v>
      </c>
      <c r="I141" s="7" t="s">
        <v>296</v>
      </c>
      <c r="J141" s="1">
        <v>2</v>
      </c>
      <c r="K141" s="1">
        <v>6</v>
      </c>
      <c r="L141" s="67">
        <f t="shared" si="5"/>
        <v>1</v>
      </c>
    </row>
    <row r="142" spans="1:12" x14ac:dyDescent="0.2">
      <c r="A142">
        <v>141</v>
      </c>
      <c r="B142" s="7" t="s">
        <v>372</v>
      </c>
      <c r="C142" t="s">
        <v>1311</v>
      </c>
      <c r="D142" s="65" t="str">
        <f t="shared" si="4"/>
        <v>N</v>
      </c>
      <c r="E142" t="s">
        <v>1312</v>
      </c>
      <c r="F142" s="25" t="s">
        <v>293</v>
      </c>
      <c r="G142" s="26">
        <v>2</v>
      </c>
      <c r="H142" s="7" t="s">
        <v>299</v>
      </c>
      <c r="I142" s="7" t="s">
        <v>296</v>
      </c>
      <c r="J142" s="1">
        <v>4</v>
      </c>
      <c r="K142" s="1">
        <v>6</v>
      </c>
      <c r="L142" s="67">
        <f t="shared" si="5"/>
        <v>0</v>
      </c>
    </row>
    <row r="143" spans="1:12" x14ac:dyDescent="0.2">
      <c r="A143">
        <v>142</v>
      </c>
      <c r="B143" s="7" t="s">
        <v>356</v>
      </c>
      <c r="C143" t="s">
        <v>1311</v>
      </c>
      <c r="D143" s="65" t="str">
        <f t="shared" si="4"/>
        <v>N</v>
      </c>
      <c r="E143" t="s">
        <v>1312</v>
      </c>
      <c r="F143" s="25" t="s">
        <v>293</v>
      </c>
      <c r="G143" s="26">
        <v>2</v>
      </c>
      <c r="H143" s="7" t="s">
        <v>293</v>
      </c>
      <c r="I143" s="7" t="s">
        <v>296</v>
      </c>
      <c r="J143" s="1">
        <v>2</v>
      </c>
      <c r="K143" s="1">
        <v>6</v>
      </c>
      <c r="L143" s="67">
        <f t="shared" si="5"/>
        <v>1</v>
      </c>
    </row>
    <row r="144" spans="1:12" x14ac:dyDescent="0.2">
      <c r="A144">
        <v>143</v>
      </c>
      <c r="B144" s="7" t="s">
        <v>356</v>
      </c>
      <c r="C144" t="s">
        <v>1311</v>
      </c>
      <c r="D144" s="65" t="str">
        <f t="shared" si="4"/>
        <v>N</v>
      </c>
      <c r="E144" t="s">
        <v>1312</v>
      </c>
      <c r="F144" s="25" t="s">
        <v>293</v>
      </c>
      <c r="G144" s="26">
        <v>2</v>
      </c>
      <c r="H144" s="7" t="s">
        <v>299</v>
      </c>
      <c r="I144" s="7" t="s">
        <v>292</v>
      </c>
      <c r="J144" s="1">
        <v>4</v>
      </c>
      <c r="K144" s="1">
        <v>5</v>
      </c>
      <c r="L144" s="67">
        <f t="shared" si="5"/>
        <v>0</v>
      </c>
    </row>
    <row r="145" spans="1:12" x14ac:dyDescent="0.2">
      <c r="A145">
        <v>144</v>
      </c>
      <c r="B145" s="7" t="s">
        <v>372</v>
      </c>
      <c r="C145" t="s">
        <v>1311</v>
      </c>
      <c r="D145" s="65" t="str">
        <f t="shared" si="4"/>
        <v>N</v>
      </c>
      <c r="E145" t="s">
        <v>1312</v>
      </c>
      <c r="F145" s="25" t="s">
        <v>293</v>
      </c>
      <c r="G145" s="26">
        <v>2</v>
      </c>
      <c r="H145" s="7" t="s">
        <v>299</v>
      </c>
      <c r="I145" s="7" t="s">
        <v>294</v>
      </c>
      <c r="J145" s="1">
        <v>4</v>
      </c>
      <c r="K145" s="1">
        <v>7</v>
      </c>
      <c r="L145" s="67">
        <f t="shared" si="5"/>
        <v>0</v>
      </c>
    </row>
    <row r="146" spans="1:12" x14ac:dyDescent="0.2">
      <c r="A146">
        <v>145</v>
      </c>
      <c r="B146" s="7" t="s">
        <v>372</v>
      </c>
      <c r="C146" t="s">
        <v>1311</v>
      </c>
      <c r="D146" s="65" t="str">
        <f t="shared" si="4"/>
        <v>N</v>
      </c>
      <c r="E146" t="s">
        <v>1312</v>
      </c>
      <c r="F146" s="25" t="s">
        <v>293</v>
      </c>
      <c r="G146" s="26">
        <v>2</v>
      </c>
      <c r="H146" s="7" t="s">
        <v>293</v>
      </c>
      <c r="I146" s="7" t="s">
        <v>292</v>
      </c>
      <c r="J146" s="1">
        <v>2</v>
      </c>
      <c r="K146" s="1">
        <v>5</v>
      </c>
      <c r="L146" s="67">
        <f t="shared" si="5"/>
        <v>1</v>
      </c>
    </row>
    <row r="147" spans="1:12" x14ac:dyDescent="0.2">
      <c r="A147">
        <v>146</v>
      </c>
      <c r="B147" s="7" t="s">
        <v>356</v>
      </c>
      <c r="C147" t="s">
        <v>1311</v>
      </c>
      <c r="D147" s="65" t="str">
        <f t="shared" si="4"/>
        <v>N</v>
      </c>
      <c r="E147" t="s">
        <v>1312</v>
      </c>
      <c r="F147" s="25" t="s">
        <v>293</v>
      </c>
      <c r="G147" s="26">
        <v>2</v>
      </c>
      <c r="H147" s="7" t="s">
        <v>299</v>
      </c>
      <c r="I147" s="7" t="s">
        <v>292</v>
      </c>
      <c r="J147" s="1">
        <v>4</v>
      </c>
      <c r="K147" s="1">
        <v>5</v>
      </c>
      <c r="L147" s="67">
        <f t="shared" si="5"/>
        <v>0</v>
      </c>
    </row>
    <row r="148" spans="1:12" x14ac:dyDescent="0.2">
      <c r="A148">
        <v>147</v>
      </c>
      <c r="B148" s="7" t="s">
        <v>372</v>
      </c>
      <c r="C148" t="s">
        <v>1311</v>
      </c>
      <c r="D148" s="65" t="str">
        <f t="shared" si="4"/>
        <v>N</v>
      </c>
      <c r="E148" t="s">
        <v>1312</v>
      </c>
      <c r="F148" s="25" t="s">
        <v>293</v>
      </c>
      <c r="G148" s="26">
        <v>2</v>
      </c>
      <c r="H148" s="7" t="s">
        <v>299</v>
      </c>
      <c r="I148" s="7" t="s">
        <v>296</v>
      </c>
      <c r="J148" s="1">
        <v>4</v>
      </c>
      <c r="K148" s="1">
        <v>6</v>
      </c>
      <c r="L148" s="67">
        <f t="shared" si="5"/>
        <v>0</v>
      </c>
    </row>
    <row r="149" spans="1:12" x14ac:dyDescent="0.2">
      <c r="A149">
        <v>148</v>
      </c>
      <c r="B149" s="7" t="s">
        <v>356</v>
      </c>
      <c r="C149" t="s">
        <v>1311</v>
      </c>
      <c r="D149" s="65" t="str">
        <f t="shared" si="4"/>
        <v>N</v>
      </c>
      <c r="E149" t="s">
        <v>1312</v>
      </c>
      <c r="F149" s="25" t="s">
        <v>293</v>
      </c>
      <c r="G149" s="26">
        <v>2</v>
      </c>
      <c r="H149" s="7" t="s">
        <v>293</v>
      </c>
      <c r="I149" s="7" t="s">
        <v>296</v>
      </c>
      <c r="J149" s="1">
        <v>2</v>
      </c>
      <c r="K149" s="1">
        <v>6</v>
      </c>
      <c r="L149" s="67">
        <f t="shared" si="5"/>
        <v>1</v>
      </c>
    </row>
    <row r="150" spans="1:12" x14ac:dyDescent="0.2">
      <c r="A150">
        <v>149</v>
      </c>
      <c r="B150" s="7" t="s">
        <v>356</v>
      </c>
      <c r="C150" t="s">
        <v>1311</v>
      </c>
      <c r="D150" s="65" t="str">
        <f t="shared" si="4"/>
        <v>N</v>
      </c>
      <c r="E150" t="s">
        <v>1312</v>
      </c>
      <c r="F150" s="25" t="s">
        <v>293</v>
      </c>
      <c r="G150" s="26">
        <v>2</v>
      </c>
      <c r="H150" s="7" t="s">
        <v>293</v>
      </c>
      <c r="I150" s="7" t="s">
        <v>296</v>
      </c>
      <c r="J150" s="1">
        <v>2</v>
      </c>
      <c r="K150" s="1">
        <v>6</v>
      </c>
      <c r="L150" s="67">
        <f t="shared" si="5"/>
        <v>1</v>
      </c>
    </row>
    <row r="151" spans="1:12" x14ac:dyDescent="0.2">
      <c r="A151">
        <v>150</v>
      </c>
      <c r="B151" s="7" t="s">
        <v>372</v>
      </c>
      <c r="C151" t="s">
        <v>1311</v>
      </c>
      <c r="D151" s="65" t="str">
        <f t="shared" si="4"/>
        <v>N</v>
      </c>
      <c r="E151" t="s">
        <v>1312</v>
      </c>
      <c r="F151" s="25" t="s">
        <v>293</v>
      </c>
      <c r="G151" s="26">
        <v>2</v>
      </c>
      <c r="H151" s="7" t="s">
        <v>293</v>
      </c>
      <c r="I151" s="7" t="s">
        <v>296</v>
      </c>
      <c r="J151" s="1">
        <v>2</v>
      </c>
      <c r="K151" s="1">
        <v>6</v>
      </c>
      <c r="L151" s="67">
        <f t="shared" si="5"/>
        <v>1</v>
      </c>
    </row>
    <row r="152" spans="1:12" x14ac:dyDescent="0.2">
      <c r="A152">
        <v>151</v>
      </c>
      <c r="B152" s="7" t="s">
        <v>372</v>
      </c>
      <c r="C152" t="s">
        <v>1311</v>
      </c>
      <c r="D152" s="65" t="str">
        <f t="shared" si="4"/>
        <v>N</v>
      </c>
      <c r="E152" t="s">
        <v>1312</v>
      </c>
      <c r="F152" s="25" t="s">
        <v>293</v>
      </c>
      <c r="G152" s="26">
        <v>2</v>
      </c>
      <c r="H152" s="7" t="s">
        <v>293</v>
      </c>
      <c r="I152" s="7" t="s">
        <v>296</v>
      </c>
      <c r="J152" s="1">
        <v>2</v>
      </c>
      <c r="K152" s="1">
        <v>6</v>
      </c>
      <c r="L152" s="67">
        <f t="shared" si="5"/>
        <v>1</v>
      </c>
    </row>
    <row r="153" spans="1:12" x14ac:dyDescent="0.2">
      <c r="A153">
        <v>152</v>
      </c>
      <c r="B153" s="7" t="s">
        <v>356</v>
      </c>
      <c r="C153" t="s">
        <v>1311</v>
      </c>
      <c r="D153" s="65" t="str">
        <f t="shared" si="4"/>
        <v>N</v>
      </c>
      <c r="E153" t="s">
        <v>1312</v>
      </c>
      <c r="F153" s="25" t="s">
        <v>293</v>
      </c>
      <c r="G153" s="26">
        <v>2</v>
      </c>
      <c r="H153" s="7" t="s">
        <v>293</v>
      </c>
      <c r="I153" s="7" t="s">
        <v>296</v>
      </c>
      <c r="J153" s="1">
        <v>2</v>
      </c>
      <c r="K153" s="1">
        <v>6</v>
      </c>
      <c r="L153" s="67">
        <f t="shared" si="5"/>
        <v>1</v>
      </c>
    </row>
    <row r="154" spans="1:12" x14ac:dyDescent="0.2">
      <c r="A154">
        <v>153</v>
      </c>
      <c r="B154" s="7" t="s">
        <v>356</v>
      </c>
      <c r="C154" t="s">
        <v>1311</v>
      </c>
      <c r="D154" s="65" t="str">
        <f t="shared" si="4"/>
        <v>N</v>
      </c>
      <c r="E154" t="s">
        <v>1312</v>
      </c>
      <c r="F154" s="25" t="s">
        <v>293</v>
      </c>
      <c r="G154" s="26">
        <v>2</v>
      </c>
      <c r="H154" s="7" t="s">
        <v>293</v>
      </c>
      <c r="I154" s="7" t="s">
        <v>296</v>
      </c>
      <c r="J154" s="1">
        <v>2</v>
      </c>
      <c r="K154" s="1">
        <v>6</v>
      </c>
      <c r="L154" s="67">
        <f t="shared" si="5"/>
        <v>1</v>
      </c>
    </row>
    <row r="155" spans="1:12" x14ac:dyDescent="0.2">
      <c r="A155">
        <v>154</v>
      </c>
      <c r="B155" s="7" t="s">
        <v>372</v>
      </c>
      <c r="C155" t="s">
        <v>1311</v>
      </c>
      <c r="D155" s="65" t="str">
        <f t="shared" si="4"/>
        <v>N</v>
      </c>
      <c r="E155" t="s">
        <v>1312</v>
      </c>
      <c r="F155" s="25" t="s">
        <v>293</v>
      </c>
      <c r="G155" s="26">
        <v>2</v>
      </c>
      <c r="H155" s="7" t="s">
        <v>293</v>
      </c>
      <c r="I155" s="7" t="s">
        <v>292</v>
      </c>
      <c r="J155" s="1">
        <v>2</v>
      </c>
      <c r="K155" s="1">
        <v>5</v>
      </c>
      <c r="L155" s="67">
        <f t="shared" si="5"/>
        <v>1</v>
      </c>
    </row>
    <row r="156" spans="1:12" x14ac:dyDescent="0.2">
      <c r="A156">
        <v>155</v>
      </c>
      <c r="B156" s="7" t="s">
        <v>356</v>
      </c>
      <c r="C156" t="s">
        <v>1311</v>
      </c>
      <c r="D156" s="65" t="str">
        <f t="shared" si="4"/>
        <v>N</v>
      </c>
      <c r="E156" t="s">
        <v>1312</v>
      </c>
      <c r="F156" s="25" t="s">
        <v>293</v>
      </c>
      <c r="G156" s="26">
        <v>2</v>
      </c>
      <c r="H156" s="7" t="s">
        <v>293</v>
      </c>
      <c r="I156" s="7" t="s">
        <v>296</v>
      </c>
      <c r="J156" s="1">
        <v>2</v>
      </c>
      <c r="K156" s="1">
        <v>6</v>
      </c>
      <c r="L156" s="67">
        <f t="shared" si="5"/>
        <v>1</v>
      </c>
    </row>
    <row r="157" spans="1:12" x14ac:dyDescent="0.2">
      <c r="A157">
        <v>156</v>
      </c>
      <c r="B157" s="7" t="s">
        <v>372</v>
      </c>
      <c r="C157" t="s">
        <v>1311</v>
      </c>
      <c r="D157" s="65" t="str">
        <f t="shared" si="4"/>
        <v>N</v>
      </c>
      <c r="E157" t="s">
        <v>1312</v>
      </c>
      <c r="F157" s="25" t="s">
        <v>293</v>
      </c>
      <c r="G157" s="26">
        <v>2</v>
      </c>
      <c r="H157" s="7" t="s">
        <v>293</v>
      </c>
      <c r="I157" s="7" t="s">
        <v>296</v>
      </c>
      <c r="J157" s="1">
        <v>2</v>
      </c>
      <c r="K157" s="1">
        <v>6</v>
      </c>
      <c r="L157" s="67">
        <f t="shared" si="5"/>
        <v>1</v>
      </c>
    </row>
    <row r="158" spans="1:12" x14ac:dyDescent="0.2">
      <c r="A158">
        <v>157</v>
      </c>
      <c r="B158" s="7" t="s">
        <v>356</v>
      </c>
      <c r="C158" t="s">
        <v>1311</v>
      </c>
      <c r="D158" s="65" t="str">
        <f t="shared" si="4"/>
        <v>N</v>
      </c>
      <c r="E158" t="s">
        <v>1312</v>
      </c>
      <c r="F158" s="25" t="s">
        <v>293</v>
      </c>
      <c r="G158" s="26">
        <v>2</v>
      </c>
      <c r="H158" s="7" t="s">
        <v>293</v>
      </c>
      <c r="I158" s="7" t="s">
        <v>296</v>
      </c>
      <c r="J158" s="1">
        <v>2</v>
      </c>
      <c r="K158" s="1">
        <v>6</v>
      </c>
      <c r="L158" s="67">
        <f t="shared" si="5"/>
        <v>1</v>
      </c>
    </row>
    <row r="159" spans="1:12" x14ac:dyDescent="0.2">
      <c r="A159">
        <v>158</v>
      </c>
      <c r="B159" s="7" t="s">
        <v>372</v>
      </c>
      <c r="C159" t="s">
        <v>1311</v>
      </c>
      <c r="D159" s="65" t="str">
        <f t="shared" si="4"/>
        <v>N</v>
      </c>
      <c r="E159" t="s">
        <v>1312</v>
      </c>
      <c r="F159" s="25" t="s">
        <v>293</v>
      </c>
      <c r="G159" s="26">
        <v>2</v>
      </c>
      <c r="H159" s="7" t="s">
        <v>299</v>
      </c>
      <c r="I159" s="7" t="s">
        <v>292</v>
      </c>
      <c r="J159" s="1">
        <v>4</v>
      </c>
      <c r="K159" s="1">
        <v>5</v>
      </c>
      <c r="L159" s="67">
        <f t="shared" si="5"/>
        <v>0</v>
      </c>
    </row>
    <row r="160" spans="1:12" x14ac:dyDescent="0.2">
      <c r="A160">
        <v>159</v>
      </c>
      <c r="B160" s="7" t="s">
        <v>356</v>
      </c>
      <c r="C160" t="s">
        <v>1311</v>
      </c>
      <c r="D160" s="65" t="str">
        <f t="shared" si="4"/>
        <v>N</v>
      </c>
      <c r="E160" t="s">
        <v>1312</v>
      </c>
      <c r="F160" s="25" t="s">
        <v>299</v>
      </c>
      <c r="G160" s="26">
        <v>4</v>
      </c>
      <c r="H160" s="7" t="s">
        <v>293</v>
      </c>
      <c r="I160" s="7" t="s">
        <v>294</v>
      </c>
      <c r="J160" s="1">
        <v>2</v>
      </c>
      <c r="K160" s="1">
        <v>7</v>
      </c>
      <c r="L160" s="67">
        <f t="shared" si="5"/>
        <v>0</v>
      </c>
    </row>
    <row r="161" spans="1:12" x14ac:dyDescent="0.2">
      <c r="A161">
        <v>160</v>
      </c>
      <c r="B161" s="7" t="s">
        <v>372</v>
      </c>
      <c r="C161" t="s">
        <v>1311</v>
      </c>
      <c r="D161" s="65" t="str">
        <f t="shared" si="4"/>
        <v>N</v>
      </c>
      <c r="E161" t="s">
        <v>1312</v>
      </c>
      <c r="F161" s="25" t="s">
        <v>299</v>
      </c>
      <c r="G161" s="26">
        <v>4</v>
      </c>
      <c r="H161" s="7" t="s">
        <v>299</v>
      </c>
      <c r="I161" s="7" t="s">
        <v>292</v>
      </c>
      <c r="J161" s="1">
        <v>4</v>
      </c>
      <c r="K161" s="1">
        <v>5</v>
      </c>
      <c r="L161" s="67">
        <f t="shared" si="5"/>
        <v>1</v>
      </c>
    </row>
    <row r="162" spans="1:12" x14ac:dyDescent="0.2">
      <c r="A162">
        <v>161</v>
      </c>
      <c r="B162" s="7" t="s">
        <v>372</v>
      </c>
      <c r="C162" t="s">
        <v>1311</v>
      </c>
      <c r="D162" s="65" t="str">
        <f t="shared" si="4"/>
        <v>N</v>
      </c>
      <c r="E162" t="s">
        <v>1312</v>
      </c>
      <c r="F162" s="25" t="s">
        <v>299</v>
      </c>
      <c r="G162" s="26">
        <v>4</v>
      </c>
      <c r="H162" s="7" t="s">
        <v>293</v>
      </c>
      <c r="I162" s="7" t="s">
        <v>296</v>
      </c>
      <c r="J162" s="1">
        <v>2</v>
      </c>
      <c r="K162" s="1">
        <v>6</v>
      </c>
      <c r="L162" s="67">
        <f t="shared" si="5"/>
        <v>0</v>
      </c>
    </row>
    <row r="163" spans="1:12" x14ac:dyDescent="0.2">
      <c r="A163">
        <v>162</v>
      </c>
      <c r="B163" s="7" t="s">
        <v>356</v>
      </c>
      <c r="C163" t="s">
        <v>1311</v>
      </c>
      <c r="D163" s="65" t="str">
        <f t="shared" si="4"/>
        <v>N</v>
      </c>
      <c r="E163" t="s">
        <v>1312</v>
      </c>
      <c r="F163" s="25" t="s">
        <v>299</v>
      </c>
      <c r="G163" s="26">
        <v>4</v>
      </c>
      <c r="H163" s="7" t="s">
        <v>293</v>
      </c>
      <c r="I163" s="7" t="s">
        <v>296</v>
      </c>
      <c r="J163" s="1">
        <v>2</v>
      </c>
      <c r="K163" s="1">
        <v>6</v>
      </c>
      <c r="L163" s="67">
        <f t="shared" si="5"/>
        <v>0</v>
      </c>
    </row>
    <row r="164" spans="1:12" x14ac:dyDescent="0.2">
      <c r="A164">
        <v>163</v>
      </c>
      <c r="B164" s="7" t="s">
        <v>372</v>
      </c>
      <c r="C164" t="s">
        <v>1311</v>
      </c>
      <c r="D164" s="65" t="str">
        <f t="shared" si="4"/>
        <v>N</v>
      </c>
      <c r="E164" t="s">
        <v>1312</v>
      </c>
      <c r="F164" s="25" t="s">
        <v>299</v>
      </c>
      <c r="G164" s="26">
        <v>4</v>
      </c>
      <c r="H164" s="7" t="s">
        <v>293</v>
      </c>
      <c r="I164" s="7" t="s">
        <v>296</v>
      </c>
      <c r="J164" s="1">
        <v>2</v>
      </c>
      <c r="K164" s="1">
        <v>6</v>
      </c>
      <c r="L164" s="67">
        <f t="shared" si="5"/>
        <v>0</v>
      </c>
    </row>
    <row r="165" spans="1:12" x14ac:dyDescent="0.2">
      <c r="A165">
        <v>164</v>
      </c>
      <c r="B165" s="7" t="s">
        <v>356</v>
      </c>
      <c r="C165" t="s">
        <v>1311</v>
      </c>
      <c r="D165" s="65" t="str">
        <f t="shared" si="4"/>
        <v>N</v>
      </c>
      <c r="E165" t="s">
        <v>1312</v>
      </c>
      <c r="F165" s="25" t="s">
        <v>299</v>
      </c>
      <c r="G165" s="26">
        <v>4</v>
      </c>
      <c r="H165" s="7" t="s">
        <v>299</v>
      </c>
      <c r="I165" s="7" t="s">
        <v>292</v>
      </c>
      <c r="J165" s="1">
        <v>4</v>
      </c>
      <c r="K165" s="1">
        <v>5</v>
      </c>
      <c r="L165" s="67">
        <f t="shared" si="5"/>
        <v>1</v>
      </c>
    </row>
    <row r="166" spans="1:12" x14ac:dyDescent="0.2">
      <c r="A166">
        <v>165</v>
      </c>
      <c r="B166" s="7" t="s">
        <v>372</v>
      </c>
      <c r="C166" t="s">
        <v>1311</v>
      </c>
      <c r="D166" s="65" t="str">
        <f t="shared" si="4"/>
        <v>N</v>
      </c>
      <c r="E166" t="s">
        <v>1312</v>
      </c>
      <c r="F166" s="25" t="s">
        <v>299</v>
      </c>
      <c r="G166" s="26">
        <v>4</v>
      </c>
      <c r="H166" s="7" t="s">
        <v>293</v>
      </c>
      <c r="I166" s="7" t="s">
        <v>296</v>
      </c>
      <c r="J166" s="1">
        <v>2</v>
      </c>
      <c r="K166" s="1">
        <v>6</v>
      </c>
      <c r="L166" s="67">
        <f t="shared" si="5"/>
        <v>0</v>
      </c>
    </row>
    <row r="167" spans="1:12" x14ac:dyDescent="0.2">
      <c r="A167">
        <v>166</v>
      </c>
      <c r="B167" s="7" t="s">
        <v>356</v>
      </c>
      <c r="C167" t="s">
        <v>1311</v>
      </c>
      <c r="D167" s="65" t="str">
        <f t="shared" si="4"/>
        <v>N</v>
      </c>
      <c r="E167" t="s">
        <v>1312</v>
      </c>
      <c r="F167" s="25" t="s">
        <v>299</v>
      </c>
      <c r="G167" s="26">
        <v>4</v>
      </c>
      <c r="H167" s="7" t="s">
        <v>293</v>
      </c>
      <c r="I167" s="7" t="s">
        <v>296</v>
      </c>
      <c r="J167" s="1">
        <v>2</v>
      </c>
      <c r="K167" s="1">
        <v>6</v>
      </c>
      <c r="L167" s="67">
        <f t="shared" si="5"/>
        <v>0</v>
      </c>
    </row>
    <row r="168" spans="1:12" x14ac:dyDescent="0.2">
      <c r="A168">
        <v>167</v>
      </c>
      <c r="B168" s="7" t="s">
        <v>372</v>
      </c>
      <c r="C168" t="s">
        <v>1311</v>
      </c>
      <c r="D168" s="65" t="str">
        <f t="shared" si="4"/>
        <v>N</v>
      </c>
      <c r="E168" t="s">
        <v>1312</v>
      </c>
      <c r="F168" s="25" t="s">
        <v>299</v>
      </c>
      <c r="G168" s="26">
        <v>4</v>
      </c>
      <c r="H168" s="7" t="s">
        <v>293</v>
      </c>
      <c r="I168" s="7" t="s">
        <v>296</v>
      </c>
      <c r="J168" s="1">
        <v>2</v>
      </c>
      <c r="K168" s="1">
        <v>6</v>
      </c>
      <c r="L168" s="67">
        <f t="shared" si="5"/>
        <v>0</v>
      </c>
    </row>
    <row r="169" spans="1:12" x14ac:dyDescent="0.2">
      <c r="A169">
        <v>168</v>
      </c>
      <c r="B169" s="7" t="s">
        <v>356</v>
      </c>
      <c r="C169" t="s">
        <v>1311</v>
      </c>
      <c r="D169" s="65" t="str">
        <f t="shared" si="4"/>
        <v>N</v>
      </c>
      <c r="E169" t="s">
        <v>1312</v>
      </c>
      <c r="F169" s="25" t="s">
        <v>299</v>
      </c>
      <c r="G169" s="26">
        <v>4</v>
      </c>
      <c r="H169" s="7" t="s">
        <v>293</v>
      </c>
      <c r="I169" s="7" t="s">
        <v>292</v>
      </c>
      <c r="J169" s="1">
        <v>2</v>
      </c>
      <c r="K169" s="1">
        <v>5</v>
      </c>
      <c r="L169" s="67">
        <f t="shared" si="5"/>
        <v>0</v>
      </c>
    </row>
    <row r="170" spans="1:12" x14ac:dyDescent="0.2">
      <c r="A170">
        <v>169</v>
      </c>
      <c r="B170" s="7" t="s">
        <v>356</v>
      </c>
      <c r="C170" t="s">
        <v>1311</v>
      </c>
      <c r="D170" s="65" t="str">
        <f t="shared" si="4"/>
        <v>N</v>
      </c>
      <c r="E170" t="s">
        <v>1312</v>
      </c>
      <c r="F170" s="25" t="s">
        <v>299</v>
      </c>
      <c r="G170" s="26">
        <v>4</v>
      </c>
      <c r="H170" s="7" t="s">
        <v>293</v>
      </c>
      <c r="I170" s="7" t="s">
        <v>296</v>
      </c>
      <c r="J170" s="1">
        <v>2</v>
      </c>
      <c r="K170" s="1">
        <v>6</v>
      </c>
      <c r="L170" s="67">
        <f t="shared" si="5"/>
        <v>0</v>
      </c>
    </row>
    <row r="171" spans="1:12" x14ac:dyDescent="0.2">
      <c r="A171">
        <v>170</v>
      </c>
      <c r="B171" s="7" t="s">
        <v>372</v>
      </c>
      <c r="C171" t="s">
        <v>1311</v>
      </c>
      <c r="D171" s="65" t="str">
        <f t="shared" si="4"/>
        <v>N</v>
      </c>
      <c r="E171" t="s">
        <v>1312</v>
      </c>
      <c r="F171" s="25" t="s">
        <v>299</v>
      </c>
      <c r="G171" s="26">
        <v>4</v>
      </c>
      <c r="H171" s="7" t="s">
        <v>293</v>
      </c>
      <c r="I171" s="7" t="s">
        <v>296</v>
      </c>
      <c r="J171" s="1">
        <v>2</v>
      </c>
      <c r="K171" s="1">
        <v>6</v>
      </c>
      <c r="L171" s="67">
        <f t="shared" si="5"/>
        <v>0</v>
      </c>
    </row>
    <row r="172" spans="1:12" x14ac:dyDescent="0.2">
      <c r="A172">
        <v>171</v>
      </c>
      <c r="B172" s="7" t="s">
        <v>356</v>
      </c>
      <c r="C172" t="s">
        <v>1311</v>
      </c>
      <c r="D172" s="65" t="str">
        <f t="shared" si="4"/>
        <v>N</v>
      </c>
      <c r="E172" t="s">
        <v>1312</v>
      </c>
      <c r="F172" s="25" t="s">
        <v>299</v>
      </c>
      <c r="G172" s="26">
        <v>4</v>
      </c>
      <c r="H172" s="7" t="s">
        <v>299</v>
      </c>
      <c r="I172" s="7" t="s">
        <v>296</v>
      </c>
      <c r="J172" s="1">
        <v>4</v>
      </c>
      <c r="K172" s="1">
        <v>6</v>
      </c>
      <c r="L172" s="67">
        <f t="shared" si="5"/>
        <v>1</v>
      </c>
    </row>
    <row r="173" spans="1:12" x14ac:dyDescent="0.2">
      <c r="A173">
        <v>172</v>
      </c>
      <c r="B173" s="7" t="s">
        <v>372</v>
      </c>
      <c r="C173" t="s">
        <v>1311</v>
      </c>
      <c r="D173" s="65" t="str">
        <f t="shared" si="4"/>
        <v>N</v>
      </c>
      <c r="E173" t="s">
        <v>1312</v>
      </c>
      <c r="F173" s="25" t="s">
        <v>299</v>
      </c>
      <c r="G173" s="26">
        <v>4</v>
      </c>
      <c r="H173" s="7" t="s">
        <v>293</v>
      </c>
      <c r="I173" s="7" t="s">
        <v>294</v>
      </c>
      <c r="J173" s="1">
        <v>2</v>
      </c>
      <c r="K173" s="1">
        <v>7</v>
      </c>
      <c r="L173" s="67">
        <f t="shared" si="5"/>
        <v>0</v>
      </c>
    </row>
    <row r="174" spans="1:12" x14ac:dyDescent="0.2">
      <c r="A174">
        <v>173</v>
      </c>
      <c r="B174" s="7" t="s">
        <v>356</v>
      </c>
      <c r="C174" t="s">
        <v>1311</v>
      </c>
      <c r="D174" s="65" t="str">
        <f t="shared" si="4"/>
        <v>N</v>
      </c>
      <c r="E174" t="s">
        <v>1312</v>
      </c>
      <c r="F174" s="25" t="s">
        <v>299</v>
      </c>
      <c r="G174" s="26">
        <v>4</v>
      </c>
      <c r="H174" s="7" t="s">
        <v>293</v>
      </c>
      <c r="I174" s="7" t="s">
        <v>296</v>
      </c>
      <c r="J174" s="1">
        <v>2</v>
      </c>
      <c r="K174" s="1">
        <v>6</v>
      </c>
      <c r="L174" s="67">
        <f t="shared" si="5"/>
        <v>0</v>
      </c>
    </row>
    <row r="175" spans="1:12" x14ac:dyDescent="0.2">
      <c r="A175">
        <v>174</v>
      </c>
      <c r="B175" s="7" t="s">
        <v>372</v>
      </c>
      <c r="C175" t="s">
        <v>1311</v>
      </c>
      <c r="D175" s="65" t="str">
        <f t="shared" si="4"/>
        <v>N</v>
      </c>
      <c r="E175" t="s">
        <v>1312</v>
      </c>
      <c r="F175" s="25" t="s">
        <v>299</v>
      </c>
      <c r="G175" s="26">
        <v>4</v>
      </c>
      <c r="H175" s="7" t="s">
        <v>293</v>
      </c>
      <c r="I175" s="7" t="s">
        <v>292</v>
      </c>
      <c r="J175" s="1">
        <v>2</v>
      </c>
      <c r="K175" s="1">
        <v>5</v>
      </c>
      <c r="L175" s="67">
        <f t="shared" si="5"/>
        <v>0</v>
      </c>
    </row>
    <row r="176" spans="1:12" x14ac:dyDescent="0.2">
      <c r="A176">
        <v>175</v>
      </c>
      <c r="B176" s="7" t="s">
        <v>372</v>
      </c>
      <c r="C176" t="s">
        <v>1311</v>
      </c>
      <c r="D176" s="65" t="str">
        <f t="shared" si="4"/>
        <v>N</v>
      </c>
      <c r="E176" t="s">
        <v>1312</v>
      </c>
      <c r="F176" s="25" t="s">
        <v>299</v>
      </c>
      <c r="G176" s="26">
        <v>4</v>
      </c>
      <c r="H176" s="7" t="s">
        <v>293</v>
      </c>
      <c r="I176" s="7" t="s">
        <v>294</v>
      </c>
      <c r="J176" s="1">
        <v>2</v>
      </c>
      <c r="K176" s="1">
        <v>7</v>
      </c>
      <c r="L176" s="67">
        <f t="shared" si="5"/>
        <v>0</v>
      </c>
    </row>
    <row r="177" spans="1:12" x14ac:dyDescent="0.2">
      <c r="A177">
        <v>176</v>
      </c>
      <c r="B177" s="7" t="s">
        <v>356</v>
      </c>
      <c r="C177" t="s">
        <v>1311</v>
      </c>
      <c r="D177" s="65" t="str">
        <f t="shared" si="4"/>
        <v>N</v>
      </c>
      <c r="E177" t="s">
        <v>1312</v>
      </c>
      <c r="F177" s="25" t="s">
        <v>299</v>
      </c>
      <c r="G177" s="26">
        <v>4</v>
      </c>
      <c r="H177" s="7" t="s">
        <v>293</v>
      </c>
      <c r="I177" s="7" t="s">
        <v>292</v>
      </c>
      <c r="J177" s="1">
        <v>2</v>
      </c>
      <c r="K177" s="1">
        <v>5</v>
      </c>
      <c r="L177" s="67">
        <f t="shared" si="5"/>
        <v>0</v>
      </c>
    </row>
    <row r="178" spans="1:12" x14ac:dyDescent="0.2">
      <c r="A178">
        <v>177</v>
      </c>
      <c r="B178" s="7" t="s">
        <v>356</v>
      </c>
      <c r="C178" t="s">
        <v>1311</v>
      </c>
      <c r="D178" s="65" t="str">
        <f t="shared" si="4"/>
        <v>N</v>
      </c>
      <c r="E178" t="s">
        <v>1312</v>
      </c>
      <c r="F178" s="25" t="s">
        <v>299</v>
      </c>
      <c r="G178" s="26">
        <v>4</v>
      </c>
      <c r="H178" s="7" t="s">
        <v>299</v>
      </c>
      <c r="I178" s="7" t="s">
        <v>296</v>
      </c>
      <c r="J178" s="1">
        <v>4</v>
      </c>
      <c r="K178" s="1">
        <v>6</v>
      </c>
      <c r="L178" s="67">
        <f t="shared" si="5"/>
        <v>1</v>
      </c>
    </row>
    <row r="179" spans="1:12" x14ac:dyDescent="0.2">
      <c r="A179">
        <v>178</v>
      </c>
      <c r="B179" s="7" t="s">
        <v>372</v>
      </c>
      <c r="C179" t="s">
        <v>1311</v>
      </c>
      <c r="D179" s="65" t="str">
        <f t="shared" si="4"/>
        <v>N</v>
      </c>
      <c r="E179" t="s">
        <v>1312</v>
      </c>
      <c r="F179" s="25" t="s">
        <v>299</v>
      </c>
      <c r="G179" s="26">
        <v>4</v>
      </c>
      <c r="H179" s="7" t="s">
        <v>293</v>
      </c>
      <c r="I179" s="7" t="s">
        <v>292</v>
      </c>
      <c r="J179" s="1">
        <v>2</v>
      </c>
      <c r="K179" s="1">
        <v>5</v>
      </c>
      <c r="L179" s="67">
        <f t="shared" si="5"/>
        <v>0</v>
      </c>
    </row>
    <row r="180" spans="1:12" x14ac:dyDescent="0.2">
      <c r="A180">
        <v>179</v>
      </c>
      <c r="B180" s="7" t="s">
        <v>356</v>
      </c>
      <c r="C180" t="s">
        <v>1311</v>
      </c>
      <c r="D180" s="65" t="str">
        <f t="shared" si="4"/>
        <v>N</v>
      </c>
      <c r="E180" t="s">
        <v>1312</v>
      </c>
      <c r="F180" s="25" t="s">
        <v>299</v>
      </c>
      <c r="G180" s="26">
        <v>4</v>
      </c>
      <c r="H180" s="7" t="s">
        <v>293</v>
      </c>
      <c r="I180" s="7" t="s">
        <v>296</v>
      </c>
      <c r="J180" s="1">
        <v>2</v>
      </c>
      <c r="K180" s="1">
        <v>6</v>
      </c>
      <c r="L180" s="67">
        <f t="shared" si="5"/>
        <v>0</v>
      </c>
    </row>
    <row r="181" spans="1:12" x14ac:dyDescent="0.2">
      <c r="A181">
        <v>180</v>
      </c>
      <c r="B181" s="7" t="s">
        <v>356</v>
      </c>
      <c r="C181" t="s">
        <v>1311</v>
      </c>
      <c r="D181" s="65" t="str">
        <f t="shared" si="4"/>
        <v>N</v>
      </c>
      <c r="E181" t="s">
        <v>1312</v>
      </c>
      <c r="F181" s="25" t="s">
        <v>299</v>
      </c>
      <c r="G181" s="26">
        <v>4</v>
      </c>
      <c r="H181" s="7" t="s">
        <v>293</v>
      </c>
      <c r="I181" s="7" t="s">
        <v>292</v>
      </c>
      <c r="J181" s="1">
        <v>2</v>
      </c>
      <c r="K181" s="1">
        <v>5</v>
      </c>
      <c r="L181" s="67">
        <f t="shared" si="5"/>
        <v>0</v>
      </c>
    </row>
    <row r="182" spans="1:12" x14ac:dyDescent="0.2">
      <c r="A182">
        <v>181</v>
      </c>
      <c r="B182" s="7" t="s">
        <v>372</v>
      </c>
      <c r="C182" t="s">
        <v>1311</v>
      </c>
      <c r="D182" s="65" t="str">
        <f t="shared" si="4"/>
        <v>N</v>
      </c>
      <c r="E182" t="s">
        <v>1312</v>
      </c>
      <c r="F182" s="25" t="s">
        <v>299</v>
      </c>
      <c r="G182" s="26">
        <v>4</v>
      </c>
      <c r="H182" s="7" t="s">
        <v>299</v>
      </c>
      <c r="I182" s="7" t="s">
        <v>294</v>
      </c>
      <c r="J182" s="1">
        <v>4</v>
      </c>
      <c r="K182" s="1">
        <v>7</v>
      </c>
      <c r="L182" s="67">
        <f t="shared" si="5"/>
        <v>1</v>
      </c>
    </row>
    <row r="183" spans="1:12" x14ac:dyDescent="0.2">
      <c r="A183">
        <v>182</v>
      </c>
      <c r="B183" s="7" t="s">
        <v>372</v>
      </c>
      <c r="C183" t="s">
        <v>1311</v>
      </c>
      <c r="D183" s="65" t="str">
        <f t="shared" si="4"/>
        <v>N</v>
      </c>
      <c r="E183" t="s">
        <v>1312</v>
      </c>
      <c r="F183" s="25" t="s">
        <v>299</v>
      </c>
      <c r="G183" s="26">
        <v>4</v>
      </c>
      <c r="H183" s="7" t="s">
        <v>293</v>
      </c>
      <c r="I183" s="7" t="s">
        <v>296</v>
      </c>
      <c r="J183" s="1">
        <v>2</v>
      </c>
      <c r="K183" s="1">
        <v>6</v>
      </c>
      <c r="L183" s="67">
        <f t="shared" si="5"/>
        <v>0</v>
      </c>
    </row>
    <row r="184" spans="1:12" x14ac:dyDescent="0.2">
      <c r="A184">
        <v>183</v>
      </c>
      <c r="B184" s="7" t="s">
        <v>356</v>
      </c>
      <c r="C184" t="s">
        <v>1311</v>
      </c>
      <c r="D184" s="65" t="str">
        <f t="shared" si="4"/>
        <v>N</v>
      </c>
      <c r="E184" t="s">
        <v>1312</v>
      </c>
      <c r="F184" s="25" t="s">
        <v>299</v>
      </c>
      <c r="G184" s="26">
        <v>4</v>
      </c>
      <c r="H184" s="7" t="s">
        <v>293</v>
      </c>
      <c r="I184" s="7" t="s">
        <v>297</v>
      </c>
      <c r="J184" s="1">
        <v>2</v>
      </c>
      <c r="K184" s="1">
        <v>4</v>
      </c>
      <c r="L184" s="67">
        <f t="shared" si="5"/>
        <v>0</v>
      </c>
    </row>
    <row r="185" spans="1:12" x14ac:dyDescent="0.2">
      <c r="A185">
        <v>184</v>
      </c>
      <c r="B185" s="7" t="s">
        <v>356</v>
      </c>
      <c r="C185" t="s">
        <v>1311</v>
      </c>
      <c r="D185" s="65" t="str">
        <f t="shared" si="4"/>
        <v>N</v>
      </c>
      <c r="E185" t="s">
        <v>1312</v>
      </c>
      <c r="F185" s="25" t="s">
        <v>299</v>
      </c>
      <c r="G185" s="26">
        <v>4</v>
      </c>
      <c r="H185" s="7" t="s">
        <v>293</v>
      </c>
      <c r="I185" s="7" t="s">
        <v>296</v>
      </c>
      <c r="J185" s="1">
        <v>2</v>
      </c>
      <c r="K185" s="1">
        <v>6</v>
      </c>
      <c r="L185" s="67">
        <f t="shared" si="5"/>
        <v>0</v>
      </c>
    </row>
    <row r="186" spans="1:12" x14ac:dyDescent="0.2">
      <c r="A186">
        <v>185</v>
      </c>
      <c r="B186" s="7" t="s">
        <v>372</v>
      </c>
      <c r="C186" t="s">
        <v>1311</v>
      </c>
      <c r="D186" s="65" t="str">
        <f t="shared" si="4"/>
        <v>N</v>
      </c>
      <c r="E186" t="s">
        <v>1312</v>
      </c>
      <c r="F186" s="25" t="s">
        <v>299</v>
      </c>
      <c r="G186" s="26">
        <v>4</v>
      </c>
      <c r="H186" s="7" t="s">
        <v>299</v>
      </c>
      <c r="I186" s="7" t="s">
        <v>294</v>
      </c>
      <c r="J186" s="1">
        <v>4</v>
      </c>
      <c r="K186" s="1">
        <v>7</v>
      </c>
      <c r="L186" s="67">
        <f t="shared" si="5"/>
        <v>1</v>
      </c>
    </row>
    <row r="187" spans="1:12" x14ac:dyDescent="0.2">
      <c r="A187">
        <v>186</v>
      </c>
      <c r="B187" s="7" t="s">
        <v>356</v>
      </c>
      <c r="C187" t="s">
        <v>1311</v>
      </c>
      <c r="D187" s="65" t="str">
        <f t="shared" si="4"/>
        <v>N</v>
      </c>
      <c r="E187" t="s">
        <v>1312</v>
      </c>
      <c r="F187" s="25" t="s">
        <v>299</v>
      </c>
      <c r="G187" s="26">
        <v>4</v>
      </c>
      <c r="H187" s="7" t="s">
        <v>293</v>
      </c>
      <c r="I187" s="7" t="s">
        <v>292</v>
      </c>
      <c r="J187" s="1">
        <v>2</v>
      </c>
      <c r="K187" s="1">
        <v>5</v>
      </c>
      <c r="L187" s="67">
        <f t="shared" si="5"/>
        <v>0</v>
      </c>
    </row>
    <row r="188" spans="1:12" x14ac:dyDescent="0.2">
      <c r="A188">
        <v>187</v>
      </c>
      <c r="B188" s="7" t="s">
        <v>372</v>
      </c>
      <c r="C188" t="s">
        <v>1311</v>
      </c>
      <c r="D188" s="65" t="str">
        <f t="shared" si="4"/>
        <v>N</v>
      </c>
      <c r="E188" t="s">
        <v>1312</v>
      </c>
      <c r="F188" s="25" t="s">
        <v>299</v>
      </c>
      <c r="G188" s="26">
        <v>4</v>
      </c>
      <c r="H188" s="7" t="s">
        <v>293</v>
      </c>
      <c r="I188" s="7" t="s">
        <v>296</v>
      </c>
      <c r="J188" s="1">
        <v>2</v>
      </c>
      <c r="K188" s="1">
        <v>6</v>
      </c>
      <c r="L188" s="67">
        <f t="shared" si="5"/>
        <v>0</v>
      </c>
    </row>
    <row r="189" spans="1:12" x14ac:dyDescent="0.2">
      <c r="A189">
        <v>188</v>
      </c>
      <c r="B189" s="7" t="s">
        <v>356</v>
      </c>
      <c r="C189" t="s">
        <v>1311</v>
      </c>
      <c r="D189" s="65" t="str">
        <f t="shared" si="4"/>
        <v>N</v>
      </c>
      <c r="E189" t="s">
        <v>1312</v>
      </c>
      <c r="F189" s="25" t="s">
        <v>299</v>
      </c>
      <c r="G189" s="26">
        <v>4</v>
      </c>
      <c r="H189" s="7" t="s">
        <v>293</v>
      </c>
      <c r="I189" s="7" t="s">
        <v>292</v>
      </c>
      <c r="J189" s="1">
        <v>2</v>
      </c>
      <c r="K189" s="1">
        <v>5</v>
      </c>
      <c r="L189" s="67">
        <f t="shared" si="5"/>
        <v>0</v>
      </c>
    </row>
    <row r="190" spans="1:12" x14ac:dyDescent="0.2">
      <c r="A190">
        <v>189</v>
      </c>
      <c r="B190" s="7" t="s">
        <v>372</v>
      </c>
      <c r="C190" t="s">
        <v>1311</v>
      </c>
      <c r="D190" s="65" t="str">
        <f t="shared" si="4"/>
        <v>N</v>
      </c>
      <c r="E190" t="s">
        <v>1312</v>
      </c>
      <c r="F190" s="25" t="s">
        <v>299</v>
      </c>
      <c r="G190" s="26">
        <v>4</v>
      </c>
      <c r="H190" s="7" t="s">
        <v>293</v>
      </c>
      <c r="I190" s="7" t="s">
        <v>296</v>
      </c>
      <c r="J190" s="1">
        <v>2</v>
      </c>
      <c r="K190" s="1">
        <v>6</v>
      </c>
      <c r="L190" s="67">
        <f t="shared" si="5"/>
        <v>0</v>
      </c>
    </row>
    <row r="191" spans="1:12" x14ac:dyDescent="0.2">
      <c r="A191">
        <v>190</v>
      </c>
      <c r="B191" s="7" t="s">
        <v>356</v>
      </c>
      <c r="C191" t="s">
        <v>1311</v>
      </c>
      <c r="D191" s="65" t="str">
        <f t="shared" si="4"/>
        <v>N</v>
      </c>
      <c r="E191" t="s">
        <v>1312</v>
      </c>
      <c r="F191" s="25" t="s">
        <v>299</v>
      </c>
      <c r="G191" s="26">
        <v>4</v>
      </c>
      <c r="H191" s="7" t="s">
        <v>293</v>
      </c>
      <c r="I191" s="7" t="s">
        <v>296</v>
      </c>
      <c r="J191" s="1">
        <v>2</v>
      </c>
      <c r="K191" s="1">
        <v>6</v>
      </c>
      <c r="L191" s="67">
        <f t="shared" si="5"/>
        <v>0</v>
      </c>
    </row>
    <row r="192" spans="1:12" x14ac:dyDescent="0.2">
      <c r="A192">
        <v>191</v>
      </c>
      <c r="B192" s="7" t="s">
        <v>356</v>
      </c>
      <c r="C192" t="s">
        <v>1311</v>
      </c>
      <c r="D192" s="65" t="str">
        <f t="shared" si="4"/>
        <v>N</v>
      </c>
      <c r="E192" t="s">
        <v>1312</v>
      </c>
      <c r="F192" s="25" t="s">
        <v>299</v>
      </c>
      <c r="G192" s="26">
        <v>4</v>
      </c>
      <c r="H192" s="7" t="s">
        <v>293</v>
      </c>
      <c r="I192" s="7" t="s">
        <v>292</v>
      </c>
      <c r="J192" s="1">
        <v>2</v>
      </c>
      <c r="K192" s="1">
        <v>5</v>
      </c>
      <c r="L192" s="67">
        <f t="shared" si="5"/>
        <v>0</v>
      </c>
    </row>
    <row r="193" spans="1:12" x14ac:dyDescent="0.2">
      <c r="A193">
        <v>192</v>
      </c>
      <c r="B193" s="7" t="s">
        <v>372</v>
      </c>
      <c r="C193" t="s">
        <v>1311</v>
      </c>
      <c r="D193" s="65" t="str">
        <f t="shared" si="4"/>
        <v>N</v>
      </c>
      <c r="E193" t="s">
        <v>1312</v>
      </c>
      <c r="F193" s="25" t="s">
        <v>299</v>
      </c>
      <c r="G193" s="26">
        <v>4</v>
      </c>
      <c r="H193" s="7" t="s">
        <v>293</v>
      </c>
      <c r="I193" s="7" t="s">
        <v>296</v>
      </c>
      <c r="J193" s="1">
        <v>2</v>
      </c>
      <c r="K193" s="1">
        <v>6</v>
      </c>
      <c r="L193" s="67">
        <f t="shared" si="5"/>
        <v>0</v>
      </c>
    </row>
    <row r="194" spans="1:12" x14ac:dyDescent="0.2">
      <c r="A194">
        <v>193</v>
      </c>
      <c r="B194" s="7" t="s">
        <v>372</v>
      </c>
      <c r="C194" t="s">
        <v>1311</v>
      </c>
      <c r="D194" s="65" t="str">
        <f t="shared" si="4"/>
        <v>N</v>
      </c>
      <c r="E194" t="s">
        <v>1312</v>
      </c>
      <c r="F194" s="25" t="s">
        <v>299</v>
      </c>
      <c r="G194" s="26">
        <v>4</v>
      </c>
      <c r="H194" s="7" t="s">
        <v>293</v>
      </c>
      <c r="I194" s="7" t="s">
        <v>292</v>
      </c>
      <c r="J194" s="1">
        <v>2</v>
      </c>
      <c r="K194" s="1">
        <v>5</v>
      </c>
      <c r="L194" s="67">
        <f t="shared" si="5"/>
        <v>0</v>
      </c>
    </row>
    <row r="195" spans="1:12" x14ac:dyDescent="0.2">
      <c r="A195">
        <v>194</v>
      </c>
      <c r="B195" s="7" t="s">
        <v>356</v>
      </c>
      <c r="C195" t="s">
        <v>1311</v>
      </c>
      <c r="D195" s="65" t="str">
        <f t="shared" ref="D195:D258" si="6">IF($E195="iso", "N", IF(OR($E195="non", $E195="emd", $E195="dyn"), "Y", "ERROR"))</f>
        <v>N</v>
      </c>
      <c r="E195" t="s">
        <v>1312</v>
      </c>
      <c r="F195" s="25" t="s">
        <v>299</v>
      </c>
      <c r="G195" s="26">
        <v>4</v>
      </c>
      <c r="H195" s="7" t="s">
        <v>293</v>
      </c>
      <c r="I195" s="7" t="s">
        <v>292</v>
      </c>
      <c r="J195" s="1">
        <v>2</v>
      </c>
      <c r="K195" s="1">
        <v>5</v>
      </c>
      <c r="L195" s="67">
        <f t="shared" ref="L195:L258" si="7">IF(G195=J195, 1, 0)</f>
        <v>0</v>
      </c>
    </row>
    <row r="196" spans="1:12" x14ac:dyDescent="0.2">
      <c r="A196">
        <v>195</v>
      </c>
      <c r="B196" s="7" t="s">
        <v>372</v>
      </c>
      <c r="C196" t="s">
        <v>1311</v>
      </c>
      <c r="D196" s="65" t="str">
        <f t="shared" si="6"/>
        <v>N</v>
      </c>
      <c r="E196" t="s">
        <v>1312</v>
      </c>
      <c r="F196" s="25" t="s">
        <v>299</v>
      </c>
      <c r="G196" s="26">
        <v>4</v>
      </c>
      <c r="H196" s="7" t="s">
        <v>293</v>
      </c>
      <c r="I196" s="7" t="s">
        <v>296</v>
      </c>
      <c r="J196" s="1">
        <v>2</v>
      </c>
      <c r="K196" s="1">
        <v>6</v>
      </c>
      <c r="L196" s="67">
        <f t="shared" si="7"/>
        <v>0</v>
      </c>
    </row>
    <row r="197" spans="1:12" x14ac:dyDescent="0.2">
      <c r="A197">
        <v>196</v>
      </c>
      <c r="B197" s="7" t="s">
        <v>372</v>
      </c>
      <c r="C197" t="s">
        <v>1311</v>
      </c>
      <c r="D197" s="65" t="str">
        <f t="shared" si="6"/>
        <v>N</v>
      </c>
      <c r="E197" t="s">
        <v>1312</v>
      </c>
      <c r="F197" s="25" t="s">
        <v>299</v>
      </c>
      <c r="G197" s="26">
        <v>4</v>
      </c>
      <c r="H197" s="7" t="s">
        <v>293</v>
      </c>
      <c r="I197" s="7" t="s">
        <v>297</v>
      </c>
      <c r="J197" s="1">
        <v>2</v>
      </c>
      <c r="K197" s="1">
        <v>4</v>
      </c>
      <c r="L197" s="67">
        <f t="shared" si="7"/>
        <v>0</v>
      </c>
    </row>
    <row r="198" spans="1:12" x14ac:dyDescent="0.2">
      <c r="A198">
        <v>197</v>
      </c>
      <c r="B198" s="7" t="s">
        <v>372</v>
      </c>
      <c r="C198" t="s">
        <v>1311</v>
      </c>
      <c r="D198" s="65" t="str">
        <f t="shared" si="6"/>
        <v>N</v>
      </c>
      <c r="E198" t="s">
        <v>1312</v>
      </c>
      <c r="F198" s="25" t="s">
        <v>299</v>
      </c>
      <c r="G198" s="26">
        <v>4</v>
      </c>
      <c r="H198" s="7" t="s">
        <v>293</v>
      </c>
      <c r="I198" s="7" t="s">
        <v>292</v>
      </c>
      <c r="J198" s="1">
        <v>2</v>
      </c>
      <c r="K198" s="1">
        <v>5</v>
      </c>
      <c r="L198" s="67">
        <f t="shared" si="7"/>
        <v>0</v>
      </c>
    </row>
    <row r="199" spans="1:12" x14ac:dyDescent="0.2">
      <c r="A199">
        <v>198</v>
      </c>
      <c r="B199" s="7" t="s">
        <v>356</v>
      </c>
      <c r="C199" t="s">
        <v>1311</v>
      </c>
      <c r="D199" s="65" t="str">
        <f t="shared" si="6"/>
        <v>N</v>
      </c>
      <c r="E199" t="s">
        <v>1312</v>
      </c>
      <c r="F199" s="25" t="s">
        <v>299</v>
      </c>
      <c r="G199" s="26">
        <v>4</v>
      </c>
      <c r="H199" s="7" t="s">
        <v>293</v>
      </c>
      <c r="I199" s="7" t="s">
        <v>296</v>
      </c>
      <c r="J199" s="1">
        <v>2</v>
      </c>
      <c r="K199" s="1">
        <v>6</v>
      </c>
      <c r="L199" s="67">
        <f t="shared" si="7"/>
        <v>0</v>
      </c>
    </row>
    <row r="200" spans="1:12" x14ac:dyDescent="0.2">
      <c r="A200">
        <v>199</v>
      </c>
      <c r="B200" s="7" t="s">
        <v>372</v>
      </c>
      <c r="C200" t="s">
        <v>1311</v>
      </c>
      <c r="D200" s="65" t="str">
        <f t="shared" si="6"/>
        <v>N</v>
      </c>
      <c r="E200" t="s">
        <v>1312</v>
      </c>
      <c r="F200" s="25" t="s">
        <v>299</v>
      </c>
      <c r="G200" s="26">
        <v>4</v>
      </c>
      <c r="H200" s="7" t="s">
        <v>299</v>
      </c>
      <c r="I200" s="7" t="s">
        <v>292</v>
      </c>
      <c r="J200" s="1">
        <v>4</v>
      </c>
      <c r="K200" s="1">
        <v>5</v>
      </c>
      <c r="L200" s="67">
        <f t="shared" si="7"/>
        <v>1</v>
      </c>
    </row>
    <row r="201" spans="1:12" x14ac:dyDescent="0.2">
      <c r="A201">
        <v>200</v>
      </c>
      <c r="B201" s="7" t="s">
        <v>356</v>
      </c>
      <c r="C201" t="s">
        <v>1311</v>
      </c>
      <c r="D201" s="65" t="str">
        <f t="shared" si="6"/>
        <v>N</v>
      </c>
      <c r="E201" t="s">
        <v>1312</v>
      </c>
      <c r="F201" s="25" t="s">
        <v>299</v>
      </c>
      <c r="G201" s="26">
        <v>4</v>
      </c>
      <c r="H201" s="7" t="s">
        <v>293</v>
      </c>
      <c r="I201" s="7" t="s">
        <v>292</v>
      </c>
      <c r="J201" s="1">
        <v>2</v>
      </c>
      <c r="K201" s="1">
        <v>5</v>
      </c>
      <c r="L201" s="67">
        <f t="shared" si="7"/>
        <v>0</v>
      </c>
    </row>
    <row r="202" spans="1:12" x14ac:dyDescent="0.2">
      <c r="A202">
        <v>201</v>
      </c>
      <c r="B202" s="7" t="s">
        <v>356</v>
      </c>
      <c r="C202" t="s">
        <v>1311</v>
      </c>
      <c r="D202" s="65" t="str">
        <f t="shared" si="6"/>
        <v>N</v>
      </c>
      <c r="E202" t="s">
        <v>1312</v>
      </c>
      <c r="F202" s="25" t="s">
        <v>299</v>
      </c>
      <c r="G202" s="26">
        <v>4</v>
      </c>
      <c r="H202" s="7" t="s">
        <v>293</v>
      </c>
      <c r="I202" s="7" t="s">
        <v>296</v>
      </c>
      <c r="J202" s="1">
        <v>2</v>
      </c>
      <c r="K202" s="1">
        <v>6</v>
      </c>
      <c r="L202" s="67">
        <f t="shared" si="7"/>
        <v>0</v>
      </c>
    </row>
    <row r="203" spans="1:12" x14ac:dyDescent="0.2">
      <c r="A203">
        <v>202</v>
      </c>
      <c r="B203" s="7" t="s">
        <v>372</v>
      </c>
      <c r="C203" t="s">
        <v>1311</v>
      </c>
      <c r="D203" s="65" t="str">
        <f t="shared" si="6"/>
        <v>N</v>
      </c>
      <c r="E203" t="s">
        <v>1312</v>
      </c>
      <c r="F203" s="25" t="s">
        <v>299</v>
      </c>
      <c r="G203" s="26">
        <v>4</v>
      </c>
      <c r="H203" s="7" t="s">
        <v>299</v>
      </c>
      <c r="I203" s="7" t="s">
        <v>296</v>
      </c>
      <c r="J203" s="1">
        <v>4</v>
      </c>
      <c r="K203" s="1">
        <v>6</v>
      </c>
      <c r="L203" s="67">
        <f t="shared" si="7"/>
        <v>1</v>
      </c>
    </row>
    <row r="204" spans="1:12" x14ac:dyDescent="0.2">
      <c r="A204">
        <v>203</v>
      </c>
      <c r="B204" s="7" t="s">
        <v>372</v>
      </c>
      <c r="C204" t="s">
        <v>1311</v>
      </c>
      <c r="D204" s="65" t="str">
        <f t="shared" si="6"/>
        <v>N</v>
      </c>
      <c r="E204" t="s">
        <v>1312</v>
      </c>
      <c r="F204" s="25" t="s">
        <v>299</v>
      </c>
      <c r="G204" s="26">
        <v>4</v>
      </c>
      <c r="H204" s="7" t="s">
        <v>293</v>
      </c>
      <c r="I204" s="7" t="s">
        <v>294</v>
      </c>
      <c r="J204" s="1">
        <v>2</v>
      </c>
      <c r="K204" s="1">
        <v>7</v>
      </c>
      <c r="L204" s="67">
        <f t="shared" si="7"/>
        <v>0</v>
      </c>
    </row>
    <row r="205" spans="1:12" x14ac:dyDescent="0.2">
      <c r="A205">
        <v>204</v>
      </c>
      <c r="B205" s="7" t="s">
        <v>356</v>
      </c>
      <c r="C205" t="s">
        <v>1311</v>
      </c>
      <c r="D205" s="65" t="str">
        <f t="shared" si="6"/>
        <v>N</v>
      </c>
      <c r="E205" t="s">
        <v>1312</v>
      </c>
      <c r="F205" s="25" t="s">
        <v>299</v>
      </c>
      <c r="G205" s="26">
        <v>4</v>
      </c>
      <c r="H205" s="7" t="s">
        <v>293</v>
      </c>
      <c r="I205" s="7" t="s">
        <v>294</v>
      </c>
      <c r="J205" s="1">
        <v>2</v>
      </c>
      <c r="K205" s="1">
        <v>7</v>
      </c>
      <c r="L205" s="67">
        <f t="shared" si="7"/>
        <v>0</v>
      </c>
    </row>
    <row r="206" spans="1:12" x14ac:dyDescent="0.2">
      <c r="A206">
        <v>205</v>
      </c>
      <c r="B206" s="7" t="s">
        <v>372</v>
      </c>
      <c r="C206" t="s">
        <v>1311</v>
      </c>
      <c r="D206" s="65" t="str">
        <f t="shared" si="6"/>
        <v>N</v>
      </c>
      <c r="E206" t="s">
        <v>1312</v>
      </c>
      <c r="F206" s="25" t="s">
        <v>299</v>
      </c>
      <c r="G206" s="26">
        <v>4</v>
      </c>
      <c r="H206" s="7" t="s">
        <v>293</v>
      </c>
      <c r="I206" s="7" t="s">
        <v>292</v>
      </c>
      <c r="J206" s="1">
        <v>2</v>
      </c>
      <c r="K206" s="1">
        <v>5</v>
      </c>
      <c r="L206" s="67">
        <f t="shared" si="7"/>
        <v>0</v>
      </c>
    </row>
    <row r="207" spans="1:12" x14ac:dyDescent="0.2">
      <c r="A207">
        <v>206</v>
      </c>
      <c r="B207" s="7" t="s">
        <v>356</v>
      </c>
      <c r="C207" t="s">
        <v>1311</v>
      </c>
      <c r="D207" s="65" t="str">
        <f t="shared" si="6"/>
        <v>N</v>
      </c>
      <c r="E207" t="s">
        <v>1312</v>
      </c>
      <c r="F207" s="25" t="s">
        <v>299</v>
      </c>
      <c r="G207" s="26">
        <v>4</v>
      </c>
      <c r="H207" s="7" t="s">
        <v>293</v>
      </c>
      <c r="I207" s="7" t="s">
        <v>296</v>
      </c>
      <c r="J207" s="1">
        <v>2</v>
      </c>
      <c r="K207" s="1">
        <v>6</v>
      </c>
      <c r="L207" s="67">
        <f t="shared" si="7"/>
        <v>0</v>
      </c>
    </row>
    <row r="208" spans="1:12" x14ac:dyDescent="0.2">
      <c r="A208">
        <v>207</v>
      </c>
      <c r="B208" s="7" t="s">
        <v>372</v>
      </c>
      <c r="C208" t="s">
        <v>1311</v>
      </c>
      <c r="D208" s="65" t="str">
        <f t="shared" si="6"/>
        <v>N</v>
      </c>
      <c r="E208" t="s">
        <v>1312</v>
      </c>
      <c r="F208" s="25" t="s">
        <v>299</v>
      </c>
      <c r="G208" s="26">
        <v>4</v>
      </c>
      <c r="H208" s="7" t="s">
        <v>299</v>
      </c>
      <c r="I208" s="7" t="s">
        <v>296</v>
      </c>
      <c r="J208" s="1">
        <v>4</v>
      </c>
      <c r="K208" s="1">
        <v>6</v>
      </c>
      <c r="L208" s="67">
        <f t="shared" si="7"/>
        <v>1</v>
      </c>
    </row>
    <row r="209" spans="1:12" x14ac:dyDescent="0.2">
      <c r="A209">
        <v>208</v>
      </c>
      <c r="B209" s="7" t="s">
        <v>372</v>
      </c>
      <c r="C209" t="s">
        <v>1311</v>
      </c>
      <c r="D209" s="65" t="str">
        <f t="shared" si="6"/>
        <v>N</v>
      </c>
      <c r="E209" t="s">
        <v>1312</v>
      </c>
      <c r="F209" s="25" t="s">
        <v>299</v>
      </c>
      <c r="G209" s="26">
        <v>4</v>
      </c>
      <c r="H209" s="7" t="s">
        <v>293</v>
      </c>
      <c r="I209" s="7" t="s">
        <v>292</v>
      </c>
      <c r="J209" s="1">
        <v>2</v>
      </c>
      <c r="K209" s="1">
        <v>5</v>
      </c>
      <c r="L209" s="67">
        <f t="shared" si="7"/>
        <v>0</v>
      </c>
    </row>
    <row r="210" spans="1:12" x14ac:dyDescent="0.2">
      <c r="A210">
        <v>209</v>
      </c>
      <c r="B210" s="7" t="s">
        <v>356</v>
      </c>
      <c r="C210" t="s">
        <v>1311</v>
      </c>
      <c r="D210" s="65" t="str">
        <f t="shared" si="6"/>
        <v>N</v>
      </c>
      <c r="E210" t="s">
        <v>1312</v>
      </c>
      <c r="F210" s="25" t="s">
        <v>299</v>
      </c>
      <c r="G210" s="26">
        <v>4</v>
      </c>
      <c r="H210" s="7" t="s">
        <v>299</v>
      </c>
      <c r="I210" s="7" t="s">
        <v>292</v>
      </c>
      <c r="J210" s="1">
        <v>4</v>
      </c>
      <c r="K210" s="1">
        <v>5</v>
      </c>
      <c r="L210" s="67">
        <f t="shared" si="7"/>
        <v>1</v>
      </c>
    </row>
    <row r="211" spans="1:12" x14ac:dyDescent="0.2">
      <c r="A211">
        <v>210</v>
      </c>
      <c r="B211" s="7" t="s">
        <v>372</v>
      </c>
      <c r="C211" t="s">
        <v>1311</v>
      </c>
      <c r="D211" s="65" t="str">
        <f t="shared" si="6"/>
        <v>N</v>
      </c>
      <c r="E211" t="s">
        <v>1312</v>
      </c>
      <c r="F211" s="25" t="s">
        <v>299</v>
      </c>
      <c r="G211" s="26">
        <v>4</v>
      </c>
      <c r="H211" s="7" t="s">
        <v>293</v>
      </c>
      <c r="I211" s="7" t="s">
        <v>296</v>
      </c>
      <c r="J211" s="1">
        <v>2</v>
      </c>
      <c r="K211" s="1">
        <v>6</v>
      </c>
      <c r="L211" s="67">
        <f t="shared" si="7"/>
        <v>0</v>
      </c>
    </row>
    <row r="212" spans="1:12" x14ac:dyDescent="0.2">
      <c r="A212">
        <v>211</v>
      </c>
      <c r="B212" s="7" t="s">
        <v>356</v>
      </c>
      <c r="C212" t="s">
        <v>1311</v>
      </c>
      <c r="D212" s="65" t="str">
        <f t="shared" si="6"/>
        <v>N</v>
      </c>
      <c r="E212" t="s">
        <v>1312</v>
      </c>
      <c r="F212" s="25" t="s">
        <v>299</v>
      </c>
      <c r="G212" s="26">
        <v>4</v>
      </c>
      <c r="H212" s="7" t="s">
        <v>293</v>
      </c>
      <c r="I212" s="7" t="s">
        <v>294</v>
      </c>
      <c r="J212" s="1">
        <v>2</v>
      </c>
      <c r="K212" s="1">
        <v>7</v>
      </c>
      <c r="L212" s="67">
        <f t="shared" si="7"/>
        <v>0</v>
      </c>
    </row>
    <row r="213" spans="1:12" x14ac:dyDescent="0.2">
      <c r="A213">
        <v>212</v>
      </c>
      <c r="B213" s="7" t="s">
        <v>356</v>
      </c>
      <c r="C213" t="s">
        <v>1311</v>
      </c>
      <c r="D213" s="65" t="str">
        <f t="shared" si="6"/>
        <v>N</v>
      </c>
      <c r="E213" t="s">
        <v>1312</v>
      </c>
      <c r="F213" s="25" t="s">
        <v>299</v>
      </c>
      <c r="G213" s="26">
        <v>4</v>
      </c>
      <c r="H213" s="7" t="s">
        <v>293</v>
      </c>
      <c r="I213" s="7" t="s">
        <v>292</v>
      </c>
      <c r="J213" s="1">
        <v>2</v>
      </c>
      <c r="K213" s="1">
        <v>5</v>
      </c>
      <c r="L213" s="67">
        <f t="shared" si="7"/>
        <v>0</v>
      </c>
    </row>
    <row r="214" spans="1:12" x14ac:dyDescent="0.2">
      <c r="A214">
        <v>213</v>
      </c>
      <c r="B214" s="7" t="s">
        <v>372</v>
      </c>
      <c r="C214" t="s">
        <v>1311</v>
      </c>
      <c r="D214" s="65" t="str">
        <f t="shared" si="6"/>
        <v>N</v>
      </c>
      <c r="E214" t="s">
        <v>1312</v>
      </c>
      <c r="F214" s="25" t="s">
        <v>299</v>
      </c>
      <c r="G214" s="26">
        <v>4</v>
      </c>
      <c r="H214" s="7" t="s">
        <v>293</v>
      </c>
      <c r="I214" s="7" t="s">
        <v>292</v>
      </c>
      <c r="J214" s="1">
        <v>2</v>
      </c>
      <c r="K214" s="1">
        <v>5</v>
      </c>
      <c r="L214" s="67">
        <f t="shared" si="7"/>
        <v>0</v>
      </c>
    </row>
    <row r="215" spans="1:12" x14ac:dyDescent="0.2">
      <c r="A215">
        <v>214</v>
      </c>
      <c r="B215" s="7" t="s">
        <v>356</v>
      </c>
      <c r="C215" t="s">
        <v>1311</v>
      </c>
      <c r="D215" s="65" t="str">
        <f t="shared" si="6"/>
        <v>N</v>
      </c>
      <c r="E215" t="s">
        <v>1312</v>
      </c>
      <c r="F215" s="25" t="s">
        <v>299</v>
      </c>
      <c r="G215" s="26">
        <v>4</v>
      </c>
      <c r="H215" s="7" t="s">
        <v>293</v>
      </c>
      <c r="I215" s="7" t="s">
        <v>294</v>
      </c>
      <c r="J215" s="1">
        <v>2</v>
      </c>
      <c r="K215" s="1">
        <v>7</v>
      </c>
      <c r="L215" s="67">
        <f t="shared" si="7"/>
        <v>0</v>
      </c>
    </row>
    <row r="216" spans="1:12" x14ac:dyDescent="0.2">
      <c r="A216">
        <v>215</v>
      </c>
      <c r="B216" s="7" t="s">
        <v>372</v>
      </c>
      <c r="C216" t="s">
        <v>1311</v>
      </c>
      <c r="D216" s="65" t="str">
        <f t="shared" si="6"/>
        <v>N</v>
      </c>
      <c r="E216" t="s">
        <v>1312</v>
      </c>
      <c r="F216" s="25" t="s">
        <v>299</v>
      </c>
      <c r="G216" s="26">
        <v>4</v>
      </c>
      <c r="H216" s="7" t="s">
        <v>293</v>
      </c>
      <c r="I216" s="7" t="s">
        <v>296</v>
      </c>
      <c r="J216" s="1">
        <v>2</v>
      </c>
      <c r="K216" s="1">
        <v>6</v>
      </c>
      <c r="L216" s="67">
        <f t="shared" si="7"/>
        <v>0</v>
      </c>
    </row>
    <row r="217" spans="1:12" x14ac:dyDescent="0.2">
      <c r="A217">
        <v>216</v>
      </c>
      <c r="B217" s="7" t="s">
        <v>356</v>
      </c>
      <c r="C217" t="s">
        <v>1311</v>
      </c>
      <c r="D217" s="65" t="str">
        <f t="shared" si="6"/>
        <v>N</v>
      </c>
      <c r="E217" t="s">
        <v>1312</v>
      </c>
      <c r="F217" s="25" t="s">
        <v>299</v>
      </c>
      <c r="G217" s="26">
        <v>4</v>
      </c>
      <c r="H217" s="7" t="s">
        <v>299</v>
      </c>
      <c r="I217" s="7" t="s">
        <v>296</v>
      </c>
      <c r="J217" s="1">
        <v>4</v>
      </c>
      <c r="K217" s="1">
        <v>6</v>
      </c>
      <c r="L217" s="67">
        <f t="shared" si="7"/>
        <v>1</v>
      </c>
    </row>
    <row r="218" spans="1:12" x14ac:dyDescent="0.2">
      <c r="A218">
        <v>217</v>
      </c>
      <c r="B218" s="7" t="s">
        <v>372</v>
      </c>
      <c r="C218" t="s">
        <v>1311</v>
      </c>
      <c r="D218" s="65" t="str">
        <f t="shared" si="6"/>
        <v>N</v>
      </c>
      <c r="E218" t="s">
        <v>1312</v>
      </c>
      <c r="F218" s="25" t="s">
        <v>299</v>
      </c>
      <c r="G218" s="26">
        <v>4</v>
      </c>
      <c r="H218" s="7" t="s">
        <v>293</v>
      </c>
      <c r="I218" s="7" t="s">
        <v>292</v>
      </c>
      <c r="J218" s="1">
        <v>2</v>
      </c>
      <c r="K218" s="1">
        <v>5</v>
      </c>
      <c r="L218" s="67">
        <f t="shared" si="7"/>
        <v>0</v>
      </c>
    </row>
    <row r="219" spans="1:12" x14ac:dyDescent="0.2">
      <c r="A219">
        <v>218</v>
      </c>
      <c r="B219" s="7" t="s">
        <v>356</v>
      </c>
      <c r="C219" t="s">
        <v>1311</v>
      </c>
      <c r="D219" s="65" t="str">
        <f t="shared" si="6"/>
        <v>N</v>
      </c>
      <c r="E219" t="s">
        <v>1312</v>
      </c>
      <c r="F219" s="25" t="s">
        <v>299</v>
      </c>
      <c r="G219" s="26">
        <v>4</v>
      </c>
      <c r="H219" s="7" t="s">
        <v>293</v>
      </c>
      <c r="I219" s="7" t="s">
        <v>296</v>
      </c>
      <c r="J219" s="1">
        <v>2</v>
      </c>
      <c r="K219" s="1">
        <v>6</v>
      </c>
      <c r="L219" s="67">
        <f t="shared" si="7"/>
        <v>0</v>
      </c>
    </row>
    <row r="220" spans="1:12" x14ac:dyDescent="0.2">
      <c r="A220">
        <v>219</v>
      </c>
      <c r="B220" s="7" t="s">
        <v>372</v>
      </c>
      <c r="C220" t="s">
        <v>1311</v>
      </c>
      <c r="D220" s="65" t="str">
        <f t="shared" si="6"/>
        <v>N</v>
      </c>
      <c r="E220" t="s">
        <v>1312</v>
      </c>
      <c r="F220" s="25" t="s">
        <v>299</v>
      </c>
      <c r="G220" s="26">
        <v>4</v>
      </c>
      <c r="H220" s="7" t="s">
        <v>282</v>
      </c>
      <c r="I220" s="7" t="s">
        <v>294</v>
      </c>
      <c r="J220" s="4" t="s">
        <v>282</v>
      </c>
      <c r="K220" s="1">
        <v>7</v>
      </c>
      <c r="L220" s="67">
        <f t="shared" si="7"/>
        <v>0</v>
      </c>
    </row>
    <row r="221" spans="1:12" x14ac:dyDescent="0.2">
      <c r="A221">
        <v>220</v>
      </c>
      <c r="B221" s="7" t="s">
        <v>372</v>
      </c>
      <c r="C221" t="s">
        <v>1311</v>
      </c>
      <c r="D221" s="65" t="str">
        <f t="shared" si="6"/>
        <v>N</v>
      </c>
      <c r="E221" t="s">
        <v>1312</v>
      </c>
      <c r="F221" s="25" t="s">
        <v>299</v>
      </c>
      <c r="G221" s="26">
        <v>4</v>
      </c>
      <c r="H221" s="7" t="s">
        <v>299</v>
      </c>
      <c r="I221" s="7" t="s">
        <v>296</v>
      </c>
      <c r="J221" s="1">
        <v>4</v>
      </c>
      <c r="K221" s="1">
        <v>6</v>
      </c>
      <c r="L221" s="67">
        <f t="shared" si="7"/>
        <v>1</v>
      </c>
    </row>
    <row r="222" spans="1:12" x14ac:dyDescent="0.2">
      <c r="A222">
        <v>221</v>
      </c>
      <c r="B222" s="7" t="s">
        <v>356</v>
      </c>
      <c r="C222" t="s">
        <v>1311</v>
      </c>
      <c r="D222" s="65" t="str">
        <f t="shared" si="6"/>
        <v>N</v>
      </c>
      <c r="E222" t="s">
        <v>1312</v>
      </c>
      <c r="F222" s="25" t="s">
        <v>299</v>
      </c>
      <c r="G222" s="26">
        <v>4</v>
      </c>
      <c r="H222" s="7" t="s">
        <v>293</v>
      </c>
      <c r="I222" s="7" t="s">
        <v>296</v>
      </c>
      <c r="J222" s="1">
        <v>2</v>
      </c>
      <c r="K222" s="1">
        <v>6</v>
      </c>
      <c r="L222" s="67">
        <f t="shared" si="7"/>
        <v>0</v>
      </c>
    </row>
    <row r="223" spans="1:12" x14ac:dyDescent="0.2">
      <c r="A223">
        <v>222</v>
      </c>
      <c r="B223" s="7" t="s">
        <v>356</v>
      </c>
      <c r="C223" t="s">
        <v>1311</v>
      </c>
      <c r="D223" s="65" t="str">
        <f t="shared" si="6"/>
        <v>N</v>
      </c>
      <c r="E223" t="s">
        <v>1312</v>
      </c>
      <c r="F223" s="25" t="s">
        <v>299</v>
      </c>
      <c r="G223" s="26">
        <v>4</v>
      </c>
      <c r="H223" s="7" t="s">
        <v>299</v>
      </c>
      <c r="I223" s="7" t="s">
        <v>296</v>
      </c>
      <c r="J223" s="1">
        <v>4</v>
      </c>
      <c r="K223" s="1">
        <v>6</v>
      </c>
      <c r="L223" s="67">
        <f t="shared" si="7"/>
        <v>1</v>
      </c>
    </row>
    <row r="224" spans="1:12" x14ac:dyDescent="0.2">
      <c r="A224">
        <v>223</v>
      </c>
      <c r="B224" s="7" t="s">
        <v>372</v>
      </c>
      <c r="C224" t="s">
        <v>1311</v>
      </c>
      <c r="D224" s="65" t="str">
        <f t="shared" si="6"/>
        <v>N</v>
      </c>
      <c r="E224" t="s">
        <v>1312</v>
      </c>
      <c r="F224" s="25" t="s">
        <v>299</v>
      </c>
      <c r="G224" s="26">
        <v>4</v>
      </c>
      <c r="H224" s="7" t="s">
        <v>299</v>
      </c>
      <c r="I224" s="7" t="s">
        <v>294</v>
      </c>
      <c r="J224" s="1">
        <v>4</v>
      </c>
      <c r="K224" s="1">
        <v>7</v>
      </c>
      <c r="L224" s="67">
        <f t="shared" si="7"/>
        <v>1</v>
      </c>
    </row>
    <row r="225" spans="1:12" x14ac:dyDescent="0.2">
      <c r="A225">
        <v>224</v>
      </c>
      <c r="B225" s="7" t="s">
        <v>372</v>
      </c>
      <c r="C225" t="s">
        <v>1311</v>
      </c>
      <c r="D225" s="65" t="str">
        <f t="shared" si="6"/>
        <v>N</v>
      </c>
      <c r="E225" t="s">
        <v>1312</v>
      </c>
      <c r="F225" s="25" t="s">
        <v>299</v>
      </c>
      <c r="G225" s="26">
        <v>4</v>
      </c>
      <c r="H225" s="7" t="s">
        <v>293</v>
      </c>
      <c r="I225" s="7" t="s">
        <v>294</v>
      </c>
      <c r="J225" s="1">
        <v>2</v>
      </c>
      <c r="K225" s="1">
        <v>7</v>
      </c>
      <c r="L225" s="67">
        <f t="shared" si="7"/>
        <v>0</v>
      </c>
    </row>
    <row r="226" spans="1:12" x14ac:dyDescent="0.2">
      <c r="A226">
        <v>225</v>
      </c>
      <c r="B226" s="7" t="s">
        <v>356</v>
      </c>
      <c r="C226" t="s">
        <v>1311</v>
      </c>
      <c r="D226" s="65" t="str">
        <f t="shared" si="6"/>
        <v>N</v>
      </c>
      <c r="E226" t="s">
        <v>1312</v>
      </c>
      <c r="F226" s="25" t="s">
        <v>299</v>
      </c>
      <c r="G226" s="26">
        <v>4</v>
      </c>
      <c r="H226" s="7" t="s">
        <v>299</v>
      </c>
      <c r="I226" s="7" t="s">
        <v>294</v>
      </c>
      <c r="J226" s="1">
        <v>4</v>
      </c>
      <c r="K226" s="1">
        <v>7</v>
      </c>
      <c r="L226" s="67">
        <f t="shared" si="7"/>
        <v>1</v>
      </c>
    </row>
    <row r="227" spans="1:12" x14ac:dyDescent="0.2">
      <c r="A227">
        <v>226</v>
      </c>
      <c r="B227" s="7" t="s">
        <v>372</v>
      </c>
      <c r="C227" t="s">
        <v>1311</v>
      </c>
      <c r="D227" s="65" t="str">
        <f t="shared" si="6"/>
        <v>N</v>
      </c>
      <c r="E227" t="s">
        <v>1312</v>
      </c>
      <c r="F227" s="25" t="s">
        <v>299</v>
      </c>
      <c r="G227" s="26">
        <v>4</v>
      </c>
      <c r="H227" s="7" t="s">
        <v>293</v>
      </c>
      <c r="I227" s="7" t="s">
        <v>294</v>
      </c>
      <c r="J227" s="1">
        <v>2</v>
      </c>
      <c r="K227" s="1">
        <v>7</v>
      </c>
      <c r="L227" s="67">
        <f t="shared" si="7"/>
        <v>0</v>
      </c>
    </row>
    <row r="228" spans="1:12" x14ac:dyDescent="0.2">
      <c r="A228">
        <v>227</v>
      </c>
      <c r="B228" s="7" t="s">
        <v>356</v>
      </c>
      <c r="C228" t="s">
        <v>1311</v>
      </c>
      <c r="D228" s="65" t="str">
        <f t="shared" si="6"/>
        <v>N</v>
      </c>
      <c r="E228" t="s">
        <v>1312</v>
      </c>
      <c r="F228" s="25" t="s">
        <v>299</v>
      </c>
      <c r="G228" s="26">
        <v>4</v>
      </c>
      <c r="H228" s="7" t="s">
        <v>293</v>
      </c>
      <c r="I228" s="7" t="s">
        <v>296</v>
      </c>
      <c r="J228" s="1">
        <v>2</v>
      </c>
      <c r="K228" s="1">
        <v>6</v>
      </c>
      <c r="L228" s="67">
        <f t="shared" si="7"/>
        <v>0</v>
      </c>
    </row>
    <row r="229" spans="1:12" x14ac:dyDescent="0.2">
      <c r="A229">
        <v>228</v>
      </c>
      <c r="B229" s="7" t="s">
        <v>356</v>
      </c>
      <c r="C229" t="s">
        <v>1311</v>
      </c>
      <c r="D229" s="65" t="str">
        <f t="shared" si="6"/>
        <v>N</v>
      </c>
      <c r="E229" t="s">
        <v>1312</v>
      </c>
      <c r="F229" s="25" t="s">
        <v>299</v>
      </c>
      <c r="G229" s="26">
        <v>4</v>
      </c>
      <c r="H229" s="7" t="s">
        <v>293</v>
      </c>
      <c r="I229" s="7" t="s">
        <v>296</v>
      </c>
      <c r="J229" s="1">
        <v>2</v>
      </c>
      <c r="K229" s="1">
        <v>6</v>
      </c>
      <c r="L229" s="67">
        <f t="shared" si="7"/>
        <v>0</v>
      </c>
    </row>
    <row r="230" spans="1:12" x14ac:dyDescent="0.2">
      <c r="A230">
        <v>229</v>
      </c>
      <c r="B230" s="7" t="s">
        <v>372</v>
      </c>
      <c r="C230" t="s">
        <v>1311</v>
      </c>
      <c r="D230" s="65" t="str">
        <f t="shared" si="6"/>
        <v>N</v>
      </c>
      <c r="E230" t="s">
        <v>1312</v>
      </c>
      <c r="F230" s="25" t="s">
        <v>299</v>
      </c>
      <c r="G230" s="26">
        <v>4</v>
      </c>
      <c r="H230" s="7" t="s">
        <v>299</v>
      </c>
      <c r="I230" s="7" t="s">
        <v>297</v>
      </c>
      <c r="J230" s="1">
        <v>4</v>
      </c>
      <c r="K230" s="1">
        <v>4</v>
      </c>
      <c r="L230" s="67">
        <f t="shared" si="7"/>
        <v>1</v>
      </c>
    </row>
    <row r="231" spans="1:12" x14ac:dyDescent="0.2">
      <c r="A231">
        <v>230</v>
      </c>
      <c r="B231" s="7" t="s">
        <v>372</v>
      </c>
      <c r="C231" t="s">
        <v>1311</v>
      </c>
      <c r="D231" s="65" t="str">
        <f t="shared" si="6"/>
        <v>N</v>
      </c>
      <c r="E231" t="s">
        <v>1312</v>
      </c>
      <c r="F231" s="25" t="s">
        <v>299</v>
      </c>
      <c r="G231" s="26">
        <v>4</v>
      </c>
      <c r="H231" s="7" t="s">
        <v>293</v>
      </c>
      <c r="I231" s="7" t="s">
        <v>294</v>
      </c>
      <c r="J231" s="1">
        <v>2</v>
      </c>
      <c r="K231" s="1">
        <v>7</v>
      </c>
      <c r="L231" s="67">
        <f t="shared" si="7"/>
        <v>0</v>
      </c>
    </row>
    <row r="232" spans="1:12" x14ac:dyDescent="0.2">
      <c r="A232">
        <v>231</v>
      </c>
      <c r="B232" s="7" t="s">
        <v>356</v>
      </c>
      <c r="C232" t="s">
        <v>1311</v>
      </c>
      <c r="D232" s="65" t="str">
        <f t="shared" si="6"/>
        <v>N</v>
      </c>
      <c r="E232" t="s">
        <v>1312</v>
      </c>
      <c r="F232" s="25" t="s">
        <v>299</v>
      </c>
      <c r="G232" s="26">
        <v>4</v>
      </c>
      <c r="H232" s="7" t="s">
        <v>293</v>
      </c>
      <c r="I232" s="7" t="s">
        <v>296</v>
      </c>
      <c r="J232" s="1">
        <v>2</v>
      </c>
      <c r="K232" s="1">
        <v>6</v>
      </c>
      <c r="L232" s="67">
        <f t="shared" si="7"/>
        <v>0</v>
      </c>
    </row>
    <row r="233" spans="1:12" x14ac:dyDescent="0.2">
      <c r="A233">
        <v>232</v>
      </c>
      <c r="B233" s="7" t="s">
        <v>356</v>
      </c>
      <c r="C233" t="s">
        <v>1311</v>
      </c>
      <c r="D233" s="65" t="str">
        <f t="shared" si="6"/>
        <v>N</v>
      </c>
      <c r="E233" t="s">
        <v>1312</v>
      </c>
      <c r="F233" s="25" t="s">
        <v>299</v>
      </c>
      <c r="G233" s="26">
        <v>4</v>
      </c>
      <c r="H233" s="7" t="s">
        <v>293</v>
      </c>
      <c r="I233" s="7" t="s">
        <v>292</v>
      </c>
      <c r="J233" s="1">
        <v>2</v>
      </c>
      <c r="K233" s="1">
        <v>5</v>
      </c>
      <c r="L233" s="67">
        <f t="shared" si="7"/>
        <v>0</v>
      </c>
    </row>
    <row r="234" spans="1:12" x14ac:dyDescent="0.2">
      <c r="A234">
        <v>233</v>
      </c>
      <c r="B234" s="7" t="s">
        <v>372</v>
      </c>
      <c r="C234" t="s">
        <v>1311</v>
      </c>
      <c r="D234" s="65" t="str">
        <f t="shared" si="6"/>
        <v>N</v>
      </c>
      <c r="E234" t="s">
        <v>1312</v>
      </c>
      <c r="F234" s="25" t="s">
        <v>299</v>
      </c>
      <c r="G234" s="26">
        <v>4</v>
      </c>
      <c r="H234" s="7" t="s">
        <v>293</v>
      </c>
      <c r="I234" s="7" t="s">
        <v>292</v>
      </c>
      <c r="J234" s="1">
        <v>2</v>
      </c>
      <c r="K234" s="1">
        <v>5</v>
      </c>
      <c r="L234" s="67">
        <f t="shared" si="7"/>
        <v>0</v>
      </c>
    </row>
    <row r="235" spans="1:12" x14ac:dyDescent="0.2">
      <c r="A235">
        <v>234</v>
      </c>
      <c r="B235" s="7" t="s">
        <v>356</v>
      </c>
      <c r="C235" t="s">
        <v>1311</v>
      </c>
      <c r="D235" s="65" t="str">
        <f t="shared" si="6"/>
        <v>N</v>
      </c>
      <c r="E235" t="s">
        <v>1312</v>
      </c>
      <c r="F235" s="25" t="s">
        <v>299</v>
      </c>
      <c r="G235" s="26">
        <v>4</v>
      </c>
      <c r="H235" s="7" t="s">
        <v>293</v>
      </c>
      <c r="I235" s="7" t="s">
        <v>296</v>
      </c>
      <c r="J235" s="1">
        <v>2</v>
      </c>
      <c r="K235" s="1">
        <v>6</v>
      </c>
      <c r="L235" s="67">
        <f t="shared" si="7"/>
        <v>0</v>
      </c>
    </row>
    <row r="236" spans="1:12" x14ac:dyDescent="0.2">
      <c r="A236">
        <v>235</v>
      </c>
      <c r="B236" s="7" t="s">
        <v>372</v>
      </c>
      <c r="C236" t="s">
        <v>1311</v>
      </c>
      <c r="D236" s="65" t="str">
        <f t="shared" si="6"/>
        <v>N</v>
      </c>
      <c r="E236" t="s">
        <v>1312</v>
      </c>
      <c r="F236" s="25" t="s">
        <v>299</v>
      </c>
      <c r="G236" s="26">
        <v>4</v>
      </c>
      <c r="H236" s="7" t="s">
        <v>299</v>
      </c>
      <c r="I236" s="7" t="s">
        <v>296</v>
      </c>
      <c r="J236" s="1">
        <v>4</v>
      </c>
      <c r="K236" s="1">
        <v>6</v>
      </c>
      <c r="L236" s="67">
        <f t="shared" si="7"/>
        <v>1</v>
      </c>
    </row>
    <row r="237" spans="1:12" x14ac:dyDescent="0.2">
      <c r="A237">
        <v>236</v>
      </c>
      <c r="B237" s="7" t="s">
        <v>356</v>
      </c>
      <c r="C237" t="s">
        <v>1311</v>
      </c>
      <c r="D237" s="65" t="str">
        <f t="shared" si="6"/>
        <v>N</v>
      </c>
      <c r="E237" t="s">
        <v>1312</v>
      </c>
      <c r="F237" s="25" t="s">
        <v>299</v>
      </c>
      <c r="G237" s="26">
        <v>4</v>
      </c>
      <c r="H237" s="7" t="s">
        <v>293</v>
      </c>
      <c r="I237" s="7" t="s">
        <v>296</v>
      </c>
      <c r="J237" s="1">
        <v>2</v>
      </c>
      <c r="K237" s="1">
        <v>6</v>
      </c>
      <c r="L237" s="67">
        <f t="shared" si="7"/>
        <v>0</v>
      </c>
    </row>
    <row r="238" spans="1:12" x14ac:dyDescent="0.2">
      <c r="A238">
        <v>237</v>
      </c>
      <c r="B238" s="7" t="s">
        <v>372</v>
      </c>
      <c r="C238" t="s">
        <v>1311</v>
      </c>
      <c r="D238" s="65" t="str">
        <f t="shared" si="6"/>
        <v>N</v>
      </c>
      <c r="E238" t="s">
        <v>1312</v>
      </c>
      <c r="F238" s="25" t="s">
        <v>299</v>
      </c>
      <c r="G238" s="26">
        <v>4</v>
      </c>
      <c r="H238" s="7" t="s">
        <v>299</v>
      </c>
      <c r="I238" s="7" t="s">
        <v>292</v>
      </c>
      <c r="J238" s="1">
        <v>4</v>
      </c>
      <c r="K238" s="1">
        <v>5</v>
      </c>
      <c r="L238" s="67">
        <f t="shared" si="7"/>
        <v>1</v>
      </c>
    </row>
    <row r="239" spans="1:12" x14ac:dyDescent="0.2">
      <c r="A239">
        <v>238</v>
      </c>
      <c r="B239" s="7" t="s">
        <v>356</v>
      </c>
      <c r="C239" t="s">
        <v>1311</v>
      </c>
      <c r="D239" s="65" t="str">
        <f t="shared" si="6"/>
        <v>N</v>
      </c>
      <c r="E239" t="s">
        <v>1312</v>
      </c>
      <c r="F239" s="25" t="s">
        <v>295</v>
      </c>
      <c r="G239" s="26">
        <v>5</v>
      </c>
      <c r="H239" s="7" t="s">
        <v>295</v>
      </c>
      <c r="I239" s="7" t="s">
        <v>296</v>
      </c>
      <c r="J239" s="1">
        <v>5</v>
      </c>
      <c r="K239" s="1">
        <v>6</v>
      </c>
      <c r="L239" s="67">
        <f t="shared" si="7"/>
        <v>1</v>
      </c>
    </row>
    <row r="240" spans="1:12" x14ac:dyDescent="0.2">
      <c r="A240">
        <v>239</v>
      </c>
      <c r="B240" s="7" t="s">
        <v>372</v>
      </c>
      <c r="C240" t="s">
        <v>1311</v>
      </c>
      <c r="D240" s="65" t="str">
        <f t="shared" si="6"/>
        <v>N</v>
      </c>
      <c r="E240" t="s">
        <v>1312</v>
      </c>
      <c r="F240" s="25" t="s">
        <v>295</v>
      </c>
      <c r="G240" s="26">
        <v>5</v>
      </c>
      <c r="H240" s="7" t="s">
        <v>295</v>
      </c>
      <c r="I240" s="7" t="s">
        <v>292</v>
      </c>
      <c r="J240" s="1">
        <v>5</v>
      </c>
      <c r="K240" s="1">
        <v>5</v>
      </c>
      <c r="L240" s="67">
        <f t="shared" si="7"/>
        <v>1</v>
      </c>
    </row>
    <row r="241" spans="1:12" x14ac:dyDescent="0.2">
      <c r="A241">
        <v>240</v>
      </c>
      <c r="B241" s="7" t="s">
        <v>372</v>
      </c>
      <c r="C241" t="s">
        <v>1311</v>
      </c>
      <c r="D241" s="65" t="str">
        <f t="shared" si="6"/>
        <v>N</v>
      </c>
      <c r="E241" t="s">
        <v>1312</v>
      </c>
      <c r="F241" s="25" t="s">
        <v>295</v>
      </c>
      <c r="G241" s="26">
        <v>5</v>
      </c>
      <c r="H241" s="7" t="s">
        <v>295</v>
      </c>
      <c r="I241" s="7" t="s">
        <v>292</v>
      </c>
      <c r="J241" s="1">
        <v>5</v>
      </c>
      <c r="K241" s="1">
        <v>5</v>
      </c>
      <c r="L241" s="67">
        <f t="shared" si="7"/>
        <v>1</v>
      </c>
    </row>
    <row r="242" spans="1:12" x14ac:dyDescent="0.2">
      <c r="A242">
        <v>241</v>
      </c>
      <c r="B242" s="7" t="s">
        <v>356</v>
      </c>
      <c r="C242" t="s">
        <v>1311</v>
      </c>
      <c r="D242" s="65" t="str">
        <f t="shared" si="6"/>
        <v>N</v>
      </c>
      <c r="E242" t="s">
        <v>1312</v>
      </c>
      <c r="F242" s="25" t="s">
        <v>295</v>
      </c>
      <c r="G242" s="26">
        <v>5</v>
      </c>
      <c r="H242" s="7" t="s">
        <v>295</v>
      </c>
      <c r="I242" s="7" t="s">
        <v>292</v>
      </c>
      <c r="J242" s="1">
        <v>5</v>
      </c>
      <c r="K242" s="1">
        <v>5</v>
      </c>
      <c r="L242" s="67">
        <f t="shared" si="7"/>
        <v>1</v>
      </c>
    </row>
    <row r="243" spans="1:12" x14ac:dyDescent="0.2">
      <c r="A243">
        <v>242</v>
      </c>
      <c r="B243" s="7" t="s">
        <v>372</v>
      </c>
      <c r="C243" t="s">
        <v>1311</v>
      </c>
      <c r="D243" s="65" t="str">
        <f t="shared" si="6"/>
        <v>N</v>
      </c>
      <c r="E243" t="s">
        <v>1312</v>
      </c>
      <c r="F243" s="25" t="s">
        <v>295</v>
      </c>
      <c r="G243" s="26">
        <v>5</v>
      </c>
      <c r="H243" s="7" t="s">
        <v>295</v>
      </c>
      <c r="I243" s="7" t="s">
        <v>292</v>
      </c>
      <c r="J243" s="1">
        <v>5</v>
      </c>
      <c r="K243" s="1">
        <v>5</v>
      </c>
      <c r="L243" s="67">
        <f t="shared" si="7"/>
        <v>1</v>
      </c>
    </row>
    <row r="244" spans="1:12" x14ac:dyDescent="0.2">
      <c r="A244">
        <v>243</v>
      </c>
      <c r="B244" s="7" t="s">
        <v>356</v>
      </c>
      <c r="C244" t="s">
        <v>1311</v>
      </c>
      <c r="D244" s="65" t="str">
        <f t="shared" si="6"/>
        <v>N</v>
      </c>
      <c r="E244" t="s">
        <v>1312</v>
      </c>
      <c r="F244" s="25" t="s">
        <v>295</v>
      </c>
      <c r="G244" s="26">
        <v>5</v>
      </c>
      <c r="H244" s="7" t="s">
        <v>298</v>
      </c>
      <c r="I244" s="7" t="s">
        <v>297</v>
      </c>
      <c r="J244" s="1">
        <v>3</v>
      </c>
      <c r="K244" s="1">
        <v>4</v>
      </c>
      <c r="L244" s="67">
        <f t="shared" si="7"/>
        <v>0</v>
      </c>
    </row>
    <row r="245" spans="1:12" x14ac:dyDescent="0.2">
      <c r="A245">
        <v>244</v>
      </c>
      <c r="B245" s="7" t="s">
        <v>372</v>
      </c>
      <c r="C245" t="s">
        <v>1311</v>
      </c>
      <c r="D245" s="65" t="str">
        <f t="shared" si="6"/>
        <v>N</v>
      </c>
      <c r="E245" t="s">
        <v>1312</v>
      </c>
      <c r="F245" s="25" t="s">
        <v>295</v>
      </c>
      <c r="G245" s="26">
        <v>5</v>
      </c>
      <c r="H245" s="7" t="s">
        <v>298</v>
      </c>
      <c r="I245" s="7" t="s">
        <v>296</v>
      </c>
      <c r="J245" s="1">
        <v>3</v>
      </c>
      <c r="K245" s="1">
        <v>6</v>
      </c>
      <c r="L245" s="67">
        <f t="shared" si="7"/>
        <v>0</v>
      </c>
    </row>
    <row r="246" spans="1:12" x14ac:dyDescent="0.2">
      <c r="A246">
        <v>245</v>
      </c>
      <c r="B246" s="7" t="s">
        <v>356</v>
      </c>
      <c r="C246" t="s">
        <v>1311</v>
      </c>
      <c r="D246" s="65" t="str">
        <f t="shared" si="6"/>
        <v>N</v>
      </c>
      <c r="E246" t="s">
        <v>1312</v>
      </c>
      <c r="F246" s="25" t="s">
        <v>295</v>
      </c>
      <c r="G246" s="26">
        <v>5</v>
      </c>
      <c r="H246" s="7" t="s">
        <v>295</v>
      </c>
      <c r="I246" s="7" t="s">
        <v>296</v>
      </c>
      <c r="J246" s="1">
        <v>5</v>
      </c>
      <c r="K246" s="1">
        <v>6</v>
      </c>
      <c r="L246" s="67">
        <f t="shared" si="7"/>
        <v>1</v>
      </c>
    </row>
    <row r="247" spans="1:12" x14ac:dyDescent="0.2">
      <c r="A247">
        <v>246</v>
      </c>
      <c r="B247" s="7" t="s">
        <v>372</v>
      </c>
      <c r="C247" t="s">
        <v>1311</v>
      </c>
      <c r="D247" s="65" t="str">
        <f t="shared" si="6"/>
        <v>N</v>
      </c>
      <c r="E247" t="s">
        <v>1312</v>
      </c>
      <c r="F247" s="25" t="s">
        <v>295</v>
      </c>
      <c r="G247" s="26">
        <v>5</v>
      </c>
      <c r="H247" s="7" t="s">
        <v>295</v>
      </c>
      <c r="I247" s="7" t="s">
        <v>296</v>
      </c>
      <c r="J247" s="1">
        <v>5</v>
      </c>
      <c r="K247" s="1">
        <v>6</v>
      </c>
      <c r="L247" s="67">
        <f t="shared" si="7"/>
        <v>1</v>
      </c>
    </row>
    <row r="248" spans="1:12" x14ac:dyDescent="0.2">
      <c r="A248">
        <v>247</v>
      </c>
      <c r="B248" s="7" t="s">
        <v>356</v>
      </c>
      <c r="C248" t="s">
        <v>1311</v>
      </c>
      <c r="D248" s="65" t="str">
        <f t="shared" si="6"/>
        <v>N</v>
      </c>
      <c r="E248" t="s">
        <v>1312</v>
      </c>
      <c r="F248" s="25" t="s">
        <v>295</v>
      </c>
      <c r="G248" s="26">
        <v>5</v>
      </c>
      <c r="H248" s="7" t="s">
        <v>295</v>
      </c>
      <c r="I248" s="7" t="s">
        <v>297</v>
      </c>
      <c r="J248" s="1">
        <v>5</v>
      </c>
      <c r="K248" s="1">
        <v>4</v>
      </c>
      <c r="L248" s="67">
        <f t="shared" si="7"/>
        <v>1</v>
      </c>
    </row>
    <row r="249" spans="1:12" x14ac:dyDescent="0.2">
      <c r="A249">
        <v>248</v>
      </c>
      <c r="B249" s="7" t="s">
        <v>356</v>
      </c>
      <c r="C249" t="s">
        <v>1311</v>
      </c>
      <c r="D249" s="65" t="str">
        <f t="shared" si="6"/>
        <v>N</v>
      </c>
      <c r="E249" t="s">
        <v>1312</v>
      </c>
      <c r="F249" s="25" t="s">
        <v>295</v>
      </c>
      <c r="G249" s="26">
        <v>5</v>
      </c>
      <c r="H249" s="7" t="s">
        <v>295</v>
      </c>
      <c r="I249" s="7" t="s">
        <v>292</v>
      </c>
      <c r="J249" s="1">
        <v>5</v>
      </c>
      <c r="K249" s="1">
        <v>5</v>
      </c>
      <c r="L249" s="67">
        <f t="shared" si="7"/>
        <v>1</v>
      </c>
    </row>
    <row r="250" spans="1:12" x14ac:dyDescent="0.2">
      <c r="A250">
        <v>249</v>
      </c>
      <c r="B250" s="7" t="s">
        <v>372</v>
      </c>
      <c r="C250" t="s">
        <v>1311</v>
      </c>
      <c r="D250" s="65" t="str">
        <f t="shared" si="6"/>
        <v>N</v>
      </c>
      <c r="E250" t="s">
        <v>1312</v>
      </c>
      <c r="F250" s="25" t="s">
        <v>295</v>
      </c>
      <c r="G250" s="26">
        <v>5</v>
      </c>
      <c r="H250" s="7" t="s">
        <v>295</v>
      </c>
      <c r="I250" s="7" t="s">
        <v>296</v>
      </c>
      <c r="J250" s="1">
        <v>5</v>
      </c>
      <c r="K250" s="1">
        <v>6</v>
      </c>
      <c r="L250" s="67">
        <f t="shared" si="7"/>
        <v>1</v>
      </c>
    </row>
    <row r="251" spans="1:12" x14ac:dyDescent="0.2">
      <c r="A251">
        <v>250</v>
      </c>
      <c r="B251" s="7" t="s">
        <v>356</v>
      </c>
      <c r="C251" t="s">
        <v>1311</v>
      </c>
      <c r="D251" s="65" t="str">
        <f t="shared" si="6"/>
        <v>N</v>
      </c>
      <c r="E251" t="s">
        <v>1312</v>
      </c>
      <c r="F251" s="25" t="s">
        <v>295</v>
      </c>
      <c r="G251" s="26">
        <v>5</v>
      </c>
      <c r="H251" s="7" t="s">
        <v>299</v>
      </c>
      <c r="I251" s="7" t="s">
        <v>296</v>
      </c>
      <c r="J251" s="1">
        <v>4</v>
      </c>
      <c r="K251" s="1">
        <v>6</v>
      </c>
      <c r="L251" s="67">
        <f t="shared" si="7"/>
        <v>0</v>
      </c>
    </row>
    <row r="252" spans="1:12" x14ac:dyDescent="0.2">
      <c r="A252">
        <v>251</v>
      </c>
      <c r="B252" s="7" t="s">
        <v>372</v>
      </c>
      <c r="C252" t="s">
        <v>1311</v>
      </c>
      <c r="D252" s="65" t="str">
        <f t="shared" si="6"/>
        <v>N</v>
      </c>
      <c r="E252" t="s">
        <v>1312</v>
      </c>
      <c r="F252" s="25" t="s">
        <v>295</v>
      </c>
      <c r="G252" s="26">
        <v>5</v>
      </c>
      <c r="H252" s="7" t="s">
        <v>295</v>
      </c>
      <c r="I252" s="7" t="s">
        <v>296</v>
      </c>
      <c r="J252" s="1">
        <v>5</v>
      </c>
      <c r="K252" s="1">
        <v>6</v>
      </c>
      <c r="L252" s="67">
        <f t="shared" si="7"/>
        <v>1</v>
      </c>
    </row>
    <row r="253" spans="1:12" x14ac:dyDescent="0.2">
      <c r="A253">
        <v>252</v>
      </c>
      <c r="B253" s="7" t="s">
        <v>356</v>
      </c>
      <c r="C253" t="s">
        <v>1311</v>
      </c>
      <c r="D253" s="65" t="str">
        <f t="shared" si="6"/>
        <v>N</v>
      </c>
      <c r="E253" t="s">
        <v>1312</v>
      </c>
      <c r="F253" s="25" t="s">
        <v>295</v>
      </c>
      <c r="G253" s="26">
        <v>5</v>
      </c>
      <c r="H253" s="7" t="s">
        <v>295</v>
      </c>
      <c r="I253" s="7" t="s">
        <v>296</v>
      </c>
      <c r="J253" s="1">
        <v>5</v>
      </c>
      <c r="K253" s="1">
        <v>6</v>
      </c>
      <c r="L253" s="67">
        <f t="shared" si="7"/>
        <v>1</v>
      </c>
    </row>
    <row r="254" spans="1:12" x14ac:dyDescent="0.2">
      <c r="A254">
        <v>253</v>
      </c>
      <c r="B254" s="7" t="s">
        <v>372</v>
      </c>
      <c r="C254" t="s">
        <v>1311</v>
      </c>
      <c r="D254" s="65" t="str">
        <f t="shared" si="6"/>
        <v>N</v>
      </c>
      <c r="E254" t="s">
        <v>1312</v>
      </c>
      <c r="F254" s="25" t="s">
        <v>295</v>
      </c>
      <c r="G254" s="26">
        <v>5</v>
      </c>
      <c r="H254" s="7" t="s">
        <v>295</v>
      </c>
      <c r="I254" s="7" t="s">
        <v>296</v>
      </c>
      <c r="J254" s="1">
        <v>5</v>
      </c>
      <c r="K254" s="1">
        <v>6</v>
      </c>
      <c r="L254" s="67">
        <f t="shared" si="7"/>
        <v>1</v>
      </c>
    </row>
    <row r="255" spans="1:12" x14ac:dyDescent="0.2">
      <c r="A255">
        <v>254</v>
      </c>
      <c r="B255" s="7" t="s">
        <v>372</v>
      </c>
      <c r="C255" t="s">
        <v>1311</v>
      </c>
      <c r="D255" s="65" t="str">
        <f t="shared" si="6"/>
        <v>N</v>
      </c>
      <c r="E255" t="s">
        <v>1312</v>
      </c>
      <c r="F255" s="25" t="s">
        <v>295</v>
      </c>
      <c r="G255" s="26">
        <v>5</v>
      </c>
      <c r="H255" s="7" t="s">
        <v>295</v>
      </c>
      <c r="I255" s="7" t="s">
        <v>292</v>
      </c>
      <c r="J255" s="1">
        <v>5</v>
      </c>
      <c r="K255" s="1">
        <v>5</v>
      </c>
      <c r="L255" s="67">
        <f t="shared" si="7"/>
        <v>1</v>
      </c>
    </row>
    <row r="256" spans="1:12" x14ac:dyDescent="0.2">
      <c r="A256">
        <v>255</v>
      </c>
      <c r="B256" s="7" t="s">
        <v>356</v>
      </c>
      <c r="C256" t="s">
        <v>1311</v>
      </c>
      <c r="D256" s="65" t="str">
        <f t="shared" si="6"/>
        <v>N</v>
      </c>
      <c r="E256" t="s">
        <v>1312</v>
      </c>
      <c r="F256" s="25" t="s">
        <v>295</v>
      </c>
      <c r="G256" s="26">
        <v>5</v>
      </c>
      <c r="H256" s="7" t="s">
        <v>295</v>
      </c>
      <c r="I256" s="7" t="s">
        <v>292</v>
      </c>
      <c r="J256" s="1">
        <v>5</v>
      </c>
      <c r="K256" s="1">
        <v>5</v>
      </c>
      <c r="L256" s="67">
        <f t="shared" si="7"/>
        <v>1</v>
      </c>
    </row>
    <row r="257" spans="1:12" x14ac:dyDescent="0.2">
      <c r="A257">
        <v>256</v>
      </c>
      <c r="B257" s="7" t="s">
        <v>356</v>
      </c>
      <c r="C257" t="s">
        <v>1311</v>
      </c>
      <c r="D257" s="65" t="str">
        <f t="shared" si="6"/>
        <v>N</v>
      </c>
      <c r="E257" t="s">
        <v>1312</v>
      </c>
      <c r="F257" s="25" t="s">
        <v>295</v>
      </c>
      <c r="G257" s="26">
        <v>5</v>
      </c>
      <c r="H257" s="7" t="s">
        <v>295</v>
      </c>
      <c r="I257" s="7" t="s">
        <v>292</v>
      </c>
      <c r="J257" s="1">
        <v>5</v>
      </c>
      <c r="K257" s="1">
        <v>5</v>
      </c>
      <c r="L257" s="67">
        <f t="shared" si="7"/>
        <v>1</v>
      </c>
    </row>
    <row r="258" spans="1:12" x14ac:dyDescent="0.2">
      <c r="A258">
        <v>257</v>
      </c>
      <c r="B258" s="7" t="s">
        <v>372</v>
      </c>
      <c r="C258" t="s">
        <v>1311</v>
      </c>
      <c r="D258" s="65" t="str">
        <f t="shared" si="6"/>
        <v>N</v>
      </c>
      <c r="E258" t="s">
        <v>1312</v>
      </c>
      <c r="F258" s="25" t="s">
        <v>295</v>
      </c>
      <c r="G258" s="26">
        <v>5</v>
      </c>
      <c r="H258" s="7" t="s">
        <v>298</v>
      </c>
      <c r="I258" s="7" t="s">
        <v>297</v>
      </c>
      <c r="J258" s="1">
        <v>3</v>
      </c>
      <c r="K258" s="1">
        <v>4</v>
      </c>
      <c r="L258" s="67">
        <f t="shared" si="7"/>
        <v>0</v>
      </c>
    </row>
    <row r="259" spans="1:12" x14ac:dyDescent="0.2">
      <c r="A259">
        <v>258</v>
      </c>
      <c r="B259" s="7" t="s">
        <v>356</v>
      </c>
      <c r="C259" t="s">
        <v>1311</v>
      </c>
      <c r="D259" s="65" t="str">
        <f t="shared" ref="D259:D322" si="8">IF($E259="iso", "N", IF(OR($E259="non", $E259="emd", $E259="dyn"), "Y", "ERROR"))</f>
        <v>N</v>
      </c>
      <c r="E259" t="s">
        <v>1312</v>
      </c>
      <c r="F259" s="25" t="s">
        <v>295</v>
      </c>
      <c r="G259" s="26">
        <v>5</v>
      </c>
      <c r="H259" s="7" t="s">
        <v>295</v>
      </c>
      <c r="I259" s="7" t="s">
        <v>296</v>
      </c>
      <c r="J259" s="1">
        <v>5</v>
      </c>
      <c r="K259" s="1">
        <v>6</v>
      </c>
      <c r="L259" s="67">
        <f t="shared" ref="L259:L322" si="9">IF(G259=J259, 1, 0)</f>
        <v>1</v>
      </c>
    </row>
    <row r="260" spans="1:12" x14ac:dyDescent="0.2">
      <c r="A260">
        <v>259</v>
      </c>
      <c r="B260" s="7" t="s">
        <v>356</v>
      </c>
      <c r="C260" t="s">
        <v>1311</v>
      </c>
      <c r="D260" s="65" t="str">
        <f t="shared" si="8"/>
        <v>N</v>
      </c>
      <c r="E260" t="s">
        <v>1312</v>
      </c>
      <c r="F260" s="25" t="s">
        <v>295</v>
      </c>
      <c r="G260" s="26">
        <v>5</v>
      </c>
      <c r="H260" s="7" t="s">
        <v>295</v>
      </c>
      <c r="I260" s="7" t="s">
        <v>296</v>
      </c>
      <c r="J260" s="1">
        <v>5</v>
      </c>
      <c r="K260" s="1">
        <v>6</v>
      </c>
      <c r="L260" s="67">
        <f t="shared" si="9"/>
        <v>1</v>
      </c>
    </row>
    <row r="261" spans="1:12" x14ac:dyDescent="0.2">
      <c r="A261">
        <v>260</v>
      </c>
      <c r="B261" s="7" t="s">
        <v>372</v>
      </c>
      <c r="C261" t="s">
        <v>1311</v>
      </c>
      <c r="D261" s="65" t="str">
        <f t="shared" si="8"/>
        <v>N</v>
      </c>
      <c r="E261" t="s">
        <v>1312</v>
      </c>
      <c r="F261" s="25" t="s">
        <v>295</v>
      </c>
      <c r="G261" s="26">
        <v>5</v>
      </c>
      <c r="H261" s="7" t="s">
        <v>298</v>
      </c>
      <c r="I261" s="7" t="s">
        <v>296</v>
      </c>
      <c r="J261" s="1">
        <v>3</v>
      </c>
      <c r="K261" s="1">
        <v>6</v>
      </c>
      <c r="L261" s="67">
        <f t="shared" si="9"/>
        <v>0</v>
      </c>
    </row>
    <row r="262" spans="1:12" x14ac:dyDescent="0.2">
      <c r="A262">
        <v>261</v>
      </c>
      <c r="B262" s="7" t="s">
        <v>372</v>
      </c>
      <c r="C262" t="s">
        <v>1311</v>
      </c>
      <c r="D262" s="65" t="str">
        <f t="shared" si="8"/>
        <v>N</v>
      </c>
      <c r="E262" t="s">
        <v>1312</v>
      </c>
      <c r="F262" s="25" t="s">
        <v>295</v>
      </c>
      <c r="G262" s="26">
        <v>5</v>
      </c>
      <c r="H262" s="7" t="s">
        <v>299</v>
      </c>
      <c r="I262" s="7" t="s">
        <v>294</v>
      </c>
      <c r="J262" s="1">
        <v>4</v>
      </c>
      <c r="K262" s="1">
        <v>7</v>
      </c>
      <c r="L262" s="67">
        <f t="shared" si="9"/>
        <v>0</v>
      </c>
    </row>
    <row r="263" spans="1:12" x14ac:dyDescent="0.2">
      <c r="A263">
        <v>262</v>
      </c>
      <c r="B263" s="7" t="s">
        <v>356</v>
      </c>
      <c r="C263" t="s">
        <v>1311</v>
      </c>
      <c r="D263" s="65" t="str">
        <f t="shared" si="8"/>
        <v>N</v>
      </c>
      <c r="E263" t="s">
        <v>1312</v>
      </c>
      <c r="F263" s="25" t="s">
        <v>295</v>
      </c>
      <c r="G263" s="26">
        <v>5</v>
      </c>
      <c r="H263" s="7" t="s">
        <v>295</v>
      </c>
      <c r="I263" s="7" t="s">
        <v>296</v>
      </c>
      <c r="J263" s="1">
        <v>5</v>
      </c>
      <c r="K263" s="1">
        <v>6</v>
      </c>
      <c r="L263" s="67">
        <f t="shared" si="9"/>
        <v>1</v>
      </c>
    </row>
    <row r="264" spans="1:12" x14ac:dyDescent="0.2">
      <c r="A264">
        <v>263</v>
      </c>
      <c r="B264" s="7" t="s">
        <v>356</v>
      </c>
      <c r="C264" t="s">
        <v>1311</v>
      </c>
      <c r="D264" s="65" t="str">
        <f t="shared" si="8"/>
        <v>N</v>
      </c>
      <c r="E264" t="s">
        <v>1312</v>
      </c>
      <c r="F264" s="25" t="s">
        <v>295</v>
      </c>
      <c r="G264" s="26">
        <v>5</v>
      </c>
      <c r="H264" s="7" t="s">
        <v>295</v>
      </c>
      <c r="I264" s="7" t="s">
        <v>296</v>
      </c>
      <c r="J264" s="1">
        <v>5</v>
      </c>
      <c r="K264" s="1">
        <v>6</v>
      </c>
      <c r="L264" s="67">
        <f t="shared" si="9"/>
        <v>1</v>
      </c>
    </row>
    <row r="265" spans="1:12" x14ac:dyDescent="0.2">
      <c r="A265">
        <v>264</v>
      </c>
      <c r="B265" s="7" t="s">
        <v>372</v>
      </c>
      <c r="C265" t="s">
        <v>1311</v>
      </c>
      <c r="D265" s="65" t="str">
        <f t="shared" si="8"/>
        <v>N</v>
      </c>
      <c r="E265" t="s">
        <v>1312</v>
      </c>
      <c r="F265" s="25" t="s">
        <v>295</v>
      </c>
      <c r="G265" s="26">
        <v>5</v>
      </c>
      <c r="H265" s="7" t="s">
        <v>299</v>
      </c>
      <c r="I265" s="7" t="s">
        <v>330</v>
      </c>
      <c r="J265" s="1">
        <v>4</v>
      </c>
      <c r="K265" s="1">
        <v>3</v>
      </c>
      <c r="L265" s="67">
        <f t="shared" si="9"/>
        <v>0</v>
      </c>
    </row>
    <row r="266" spans="1:12" x14ac:dyDescent="0.2">
      <c r="A266">
        <v>265</v>
      </c>
      <c r="B266" s="7" t="s">
        <v>356</v>
      </c>
      <c r="C266" t="s">
        <v>1311</v>
      </c>
      <c r="D266" s="65" t="str">
        <f t="shared" si="8"/>
        <v>N</v>
      </c>
      <c r="E266" t="s">
        <v>1312</v>
      </c>
      <c r="F266" s="25" t="s">
        <v>295</v>
      </c>
      <c r="G266" s="26">
        <v>5</v>
      </c>
      <c r="H266" s="7" t="s">
        <v>295</v>
      </c>
      <c r="I266" s="7" t="s">
        <v>296</v>
      </c>
      <c r="J266" s="1">
        <v>5</v>
      </c>
      <c r="K266" s="1">
        <v>6</v>
      </c>
      <c r="L266" s="67">
        <f t="shared" si="9"/>
        <v>1</v>
      </c>
    </row>
    <row r="267" spans="1:12" x14ac:dyDescent="0.2">
      <c r="A267">
        <v>266</v>
      </c>
      <c r="B267" s="7" t="s">
        <v>372</v>
      </c>
      <c r="C267" t="s">
        <v>1311</v>
      </c>
      <c r="D267" s="65" t="str">
        <f t="shared" si="8"/>
        <v>N</v>
      </c>
      <c r="E267" t="s">
        <v>1312</v>
      </c>
      <c r="F267" s="25" t="s">
        <v>295</v>
      </c>
      <c r="G267" s="26">
        <v>5</v>
      </c>
      <c r="H267" s="7" t="s">
        <v>291</v>
      </c>
      <c r="I267" s="7" t="s">
        <v>297</v>
      </c>
      <c r="J267" s="1">
        <v>1</v>
      </c>
      <c r="K267" s="1">
        <v>4</v>
      </c>
      <c r="L267" s="67">
        <f t="shared" si="9"/>
        <v>0</v>
      </c>
    </row>
    <row r="268" spans="1:12" x14ac:dyDescent="0.2">
      <c r="A268">
        <v>267</v>
      </c>
      <c r="B268" s="7" t="s">
        <v>356</v>
      </c>
      <c r="C268" t="s">
        <v>1311</v>
      </c>
      <c r="D268" s="65" t="str">
        <f t="shared" si="8"/>
        <v>N</v>
      </c>
      <c r="E268" t="s">
        <v>1312</v>
      </c>
      <c r="F268" s="25" t="s">
        <v>295</v>
      </c>
      <c r="G268" s="26">
        <v>5</v>
      </c>
      <c r="H268" s="7" t="s">
        <v>299</v>
      </c>
      <c r="I268" s="7" t="s">
        <v>296</v>
      </c>
      <c r="J268" s="1">
        <v>4</v>
      </c>
      <c r="K268" s="1">
        <v>6</v>
      </c>
      <c r="L268" s="67">
        <f t="shared" si="9"/>
        <v>0</v>
      </c>
    </row>
    <row r="269" spans="1:12" x14ac:dyDescent="0.2">
      <c r="A269">
        <v>268</v>
      </c>
      <c r="B269" s="7" t="s">
        <v>372</v>
      </c>
      <c r="C269" t="s">
        <v>1311</v>
      </c>
      <c r="D269" s="65" t="str">
        <f t="shared" si="8"/>
        <v>N</v>
      </c>
      <c r="E269" t="s">
        <v>1312</v>
      </c>
      <c r="F269" s="25" t="s">
        <v>295</v>
      </c>
      <c r="G269" s="26">
        <v>5</v>
      </c>
      <c r="H269" s="7" t="s">
        <v>295</v>
      </c>
      <c r="I269" s="7" t="s">
        <v>292</v>
      </c>
      <c r="J269" s="1">
        <v>5</v>
      </c>
      <c r="K269" s="1">
        <v>5</v>
      </c>
      <c r="L269" s="67">
        <f t="shared" si="9"/>
        <v>1</v>
      </c>
    </row>
    <row r="270" spans="1:12" x14ac:dyDescent="0.2">
      <c r="A270">
        <v>269</v>
      </c>
      <c r="B270" s="7" t="s">
        <v>356</v>
      </c>
      <c r="C270" t="s">
        <v>1311</v>
      </c>
      <c r="D270" s="65" t="str">
        <f t="shared" si="8"/>
        <v>N</v>
      </c>
      <c r="E270" t="s">
        <v>1312</v>
      </c>
      <c r="F270" s="25" t="s">
        <v>295</v>
      </c>
      <c r="G270" s="26">
        <v>5</v>
      </c>
      <c r="H270" s="7" t="s">
        <v>295</v>
      </c>
      <c r="I270" s="7" t="s">
        <v>292</v>
      </c>
      <c r="J270" s="1">
        <v>5</v>
      </c>
      <c r="K270" s="1">
        <v>5</v>
      </c>
      <c r="L270" s="67">
        <f t="shared" si="9"/>
        <v>1</v>
      </c>
    </row>
    <row r="271" spans="1:12" x14ac:dyDescent="0.2">
      <c r="A271">
        <v>270</v>
      </c>
      <c r="B271" s="7" t="s">
        <v>356</v>
      </c>
      <c r="C271" t="s">
        <v>1311</v>
      </c>
      <c r="D271" s="65" t="str">
        <f t="shared" si="8"/>
        <v>N</v>
      </c>
      <c r="E271" t="s">
        <v>1312</v>
      </c>
      <c r="F271" s="25" t="s">
        <v>295</v>
      </c>
      <c r="G271" s="26">
        <v>5</v>
      </c>
      <c r="H271" s="7" t="s">
        <v>295</v>
      </c>
      <c r="I271" s="7" t="s">
        <v>294</v>
      </c>
      <c r="J271" s="1">
        <v>5</v>
      </c>
      <c r="K271" s="1">
        <v>7</v>
      </c>
      <c r="L271" s="67">
        <f t="shared" si="9"/>
        <v>1</v>
      </c>
    </row>
    <row r="272" spans="1:12" x14ac:dyDescent="0.2">
      <c r="A272">
        <v>271</v>
      </c>
      <c r="B272" s="7" t="s">
        <v>372</v>
      </c>
      <c r="C272" t="s">
        <v>1311</v>
      </c>
      <c r="D272" s="65" t="str">
        <f t="shared" si="8"/>
        <v>N</v>
      </c>
      <c r="E272" t="s">
        <v>1312</v>
      </c>
      <c r="F272" s="25" t="s">
        <v>295</v>
      </c>
      <c r="G272" s="26">
        <v>5</v>
      </c>
      <c r="H272" s="7" t="s">
        <v>298</v>
      </c>
      <c r="I272" s="7" t="s">
        <v>292</v>
      </c>
      <c r="J272" s="1">
        <v>3</v>
      </c>
      <c r="K272" s="1">
        <v>5</v>
      </c>
      <c r="L272" s="67">
        <f t="shared" si="9"/>
        <v>0</v>
      </c>
    </row>
    <row r="273" spans="1:12" x14ac:dyDescent="0.2">
      <c r="A273">
        <v>272</v>
      </c>
      <c r="B273" s="7" t="s">
        <v>372</v>
      </c>
      <c r="C273" t="s">
        <v>1311</v>
      </c>
      <c r="D273" s="65" t="str">
        <f t="shared" si="8"/>
        <v>N</v>
      </c>
      <c r="E273" t="s">
        <v>1312</v>
      </c>
      <c r="F273" s="25" t="s">
        <v>295</v>
      </c>
      <c r="G273" s="26">
        <v>5</v>
      </c>
      <c r="H273" s="7" t="s">
        <v>295</v>
      </c>
      <c r="I273" s="7" t="s">
        <v>296</v>
      </c>
      <c r="J273" s="1">
        <v>5</v>
      </c>
      <c r="K273" s="1">
        <v>6</v>
      </c>
      <c r="L273" s="67">
        <f t="shared" si="9"/>
        <v>1</v>
      </c>
    </row>
    <row r="274" spans="1:12" x14ac:dyDescent="0.2">
      <c r="A274">
        <v>273</v>
      </c>
      <c r="B274" s="7" t="s">
        <v>356</v>
      </c>
      <c r="C274" t="s">
        <v>1311</v>
      </c>
      <c r="D274" s="65" t="str">
        <f t="shared" si="8"/>
        <v>N</v>
      </c>
      <c r="E274" t="s">
        <v>1312</v>
      </c>
      <c r="F274" s="25" t="s">
        <v>295</v>
      </c>
      <c r="G274" s="26">
        <v>5</v>
      </c>
      <c r="H274" s="7" t="s">
        <v>295</v>
      </c>
      <c r="I274" s="7" t="s">
        <v>292</v>
      </c>
      <c r="J274" s="1">
        <v>5</v>
      </c>
      <c r="K274" s="1">
        <v>5</v>
      </c>
      <c r="L274" s="67">
        <f t="shared" si="9"/>
        <v>1</v>
      </c>
    </row>
    <row r="275" spans="1:12" x14ac:dyDescent="0.2">
      <c r="A275">
        <v>274</v>
      </c>
      <c r="B275" s="7" t="s">
        <v>372</v>
      </c>
      <c r="C275" t="s">
        <v>1311</v>
      </c>
      <c r="D275" s="65" t="str">
        <f t="shared" si="8"/>
        <v>N</v>
      </c>
      <c r="E275" t="s">
        <v>1312</v>
      </c>
      <c r="F275" s="25" t="s">
        <v>295</v>
      </c>
      <c r="G275" s="26">
        <v>5</v>
      </c>
      <c r="H275" s="7" t="s">
        <v>299</v>
      </c>
      <c r="I275" s="7" t="s">
        <v>292</v>
      </c>
      <c r="J275" s="1">
        <v>4</v>
      </c>
      <c r="K275" s="1">
        <v>5</v>
      </c>
      <c r="L275" s="67">
        <f t="shared" si="9"/>
        <v>0</v>
      </c>
    </row>
    <row r="276" spans="1:12" x14ac:dyDescent="0.2">
      <c r="A276">
        <v>275</v>
      </c>
      <c r="B276" s="7" t="s">
        <v>372</v>
      </c>
      <c r="C276" t="s">
        <v>1311</v>
      </c>
      <c r="D276" s="65" t="str">
        <f t="shared" si="8"/>
        <v>N</v>
      </c>
      <c r="E276" t="s">
        <v>1312</v>
      </c>
      <c r="F276" s="25" t="s">
        <v>295</v>
      </c>
      <c r="G276" s="26">
        <v>5</v>
      </c>
      <c r="H276" s="7" t="s">
        <v>295</v>
      </c>
      <c r="I276" s="7" t="s">
        <v>297</v>
      </c>
      <c r="J276" s="1">
        <v>5</v>
      </c>
      <c r="K276" s="1">
        <v>4</v>
      </c>
      <c r="L276" s="67">
        <f t="shared" si="9"/>
        <v>1</v>
      </c>
    </row>
    <row r="277" spans="1:12" x14ac:dyDescent="0.2">
      <c r="A277">
        <v>276</v>
      </c>
      <c r="B277" s="7" t="s">
        <v>372</v>
      </c>
      <c r="C277" t="s">
        <v>1311</v>
      </c>
      <c r="D277" s="65" t="str">
        <f t="shared" si="8"/>
        <v>N</v>
      </c>
      <c r="E277" t="s">
        <v>1312</v>
      </c>
      <c r="F277" s="25" t="s">
        <v>295</v>
      </c>
      <c r="G277" s="26">
        <v>5</v>
      </c>
      <c r="H277" s="7" t="s">
        <v>295</v>
      </c>
      <c r="I277" s="7" t="s">
        <v>297</v>
      </c>
      <c r="J277" s="1">
        <v>5</v>
      </c>
      <c r="K277" s="1">
        <v>4</v>
      </c>
      <c r="L277" s="67">
        <f t="shared" si="9"/>
        <v>1</v>
      </c>
    </row>
    <row r="278" spans="1:12" x14ac:dyDescent="0.2">
      <c r="A278">
        <v>277</v>
      </c>
      <c r="B278" s="7" t="s">
        <v>356</v>
      </c>
      <c r="C278" t="s">
        <v>1311</v>
      </c>
      <c r="D278" s="65" t="str">
        <f t="shared" si="8"/>
        <v>N</v>
      </c>
      <c r="E278" t="s">
        <v>1312</v>
      </c>
      <c r="F278" s="25" t="s">
        <v>295</v>
      </c>
      <c r="G278" s="26">
        <v>5</v>
      </c>
      <c r="H278" s="7" t="s">
        <v>295</v>
      </c>
      <c r="I278" s="7" t="s">
        <v>294</v>
      </c>
      <c r="J278" s="1">
        <v>5</v>
      </c>
      <c r="K278" s="1">
        <v>7</v>
      </c>
      <c r="L278" s="67">
        <f t="shared" si="9"/>
        <v>1</v>
      </c>
    </row>
    <row r="279" spans="1:12" x14ac:dyDescent="0.2">
      <c r="A279">
        <v>278</v>
      </c>
      <c r="B279" s="7" t="s">
        <v>372</v>
      </c>
      <c r="C279" t="s">
        <v>1311</v>
      </c>
      <c r="D279" s="65" t="str">
        <f t="shared" si="8"/>
        <v>N</v>
      </c>
      <c r="E279" t="s">
        <v>1312</v>
      </c>
      <c r="F279" s="25" t="s">
        <v>295</v>
      </c>
      <c r="G279" s="26">
        <v>5</v>
      </c>
      <c r="H279" s="7" t="s">
        <v>293</v>
      </c>
      <c r="I279" s="7" t="s">
        <v>292</v>
      </c>
      <c r="J279" s="1">
        <v>2</v>
      </c>
      <c r="K279" s="1">
        <v>5</v>
      </c>
      <c r="L279" s="67">
        <f t="shared" si="9"/>
        <v>0</v>
      </c>
    </row>
    <row r="280" spans="1:12" x14ac:dyDescent="0.2">
      <c r="A280">
        <v>279</v>
      </c>
      <c r="B280" s="7" t="s">
        <v>356</v>
      </c>
      <c r="C280" t="s">
        <v>1311</v>
      </c>
      <c r="D280" s="65" t="str">
        <f t="shared" si="8"/>
        <v>N</v>
      </c>
      <c r="E280" t="s">
        <v>1312</v>
      </c>
      <c r="F280" s="25" t="s">
        <v>295</v>
      </c>
      <c r="G280" s="26">
        <v>5</v>
      </c>
      <c r="H280" s="7" t="s">
        <v>295</v>
      </c>
      <c r="I280" s="7" t="s">
        <v>296</v>
      </c>
      <c r="J280" s="1">
        <v>5</v>
      </c>
      <c r="K280" s="1">
        <v>6</v>
      </c>
      <c r="L280" s="67">
        <f t="shared" si="9"/>
        <v>1</v>
      </c>
    </row>
    <row r="281" spans="1:12" x14ac:dyDescent="0.2">
      <c r="A281">
        <v>280</v>
      </c>
      <c r="B281" s="7" t="s">
        <v>356</v>
      </c>
      <c r="C281" t="s">
        <v>1311</v>
      </c>
      <c r="D281" s="65" t="str">
        <f t="shared" si="8"/>
        <v>N</v>
      </c>
      <c r="E281" t="s">
        <v>1312</v>
      </c>
      <c r="F281" s="25" t="s">
        <v>295</v>
      </c>
      <c r="G281" s="26">
        <v>5</v>
      </c>
      <c r="H281" s="7" t="s">
        <v>295</v>
      </c>
      <c r="I281" s="7" t="s">
        <v>292</v>
      </c>
      <c r="J281" s="1">
        <v>5</v>
      </c>
      <c r="K281" s="1">
        <v>5</v>
      </c>
      <c r="L281" s="67">
        <f t="shared" si="9"/>
        <v>1</v>
      </c>
    </row>
    <row r="282" spans="1:12" x14ac:dyDescent="0.2">
      <c r="A282">
        <v>281</v>
      </c>
      <c r="B282" s="7" t="s">
        <v>372</v>
      </c>
      <c r="C282" t="s">
        <v>1311</v>
      </c>
      <c r="D282" s="65" t="str">
        <f t="shared" si="8"/>
        <v>N</v>
      </c>
      <c r="E282" t="s">
        <v>1312</v>
      </c>
      <c r="F282" s="25" t="s">
        <v>295</v>
      </c>
      <c r="G282" s="26">
        <v>5</v>
      </c>
      <c r="H282" s="7" t="s">
        <v>295</v>
      </c>
      <c r="I282" s="7" t="s">
        <v>296</v>
      </c>
      <c r="J282" s="1">
        <v>5</v>
      </c>
      <c r="K282" s="1">
        <v>6</v>
      </c>
      <c r="L282" s="67">
        <f t="shared" si="9"/>
        <v>1</v>
      </c>
    </row>
    <row r="283" spans="1:12" x14ac:dyDescent="0.2">
      <c r="A283">
        <v>282</v>
      </c>
      <c r="B283" s="7" t="s">
        <v>372</v>
      </c>
      <c r="C283" t="s">
        <v>1311</v>
      </c>
      <c r="D283" s="65" t="str">
        <f t="shared" si="8"/>
        <v>N</v>
      </c>
      <c r="E283" t="s">
        <v>1312</v>
      </c>
      <c r="F283" s="25" t="s">
        <v>295</v>
      </c>
      <c r="G283" s="26">
        <v>5</v>
      </c>
      <c r="H283" s="7" t="s">
        <v>295</v>
      </c>
      <c r="I283" s="7" t="s">
        <v>296</v>
      </c>
      <c r="J283" s="1">
        <v>5</v>
      </c>
      <c r="K283" s="1">
        <v>6</v>
      </c>
      <c r="L283" s="67">
        <f t="shared" si="9"/>
        <v>1</v>
      </c>
    </row>
    <row r="284" spans="1:12" x14ac:dyDescent="0.2">
      <c r="A284">
        <v>283</v>
      </c>
      <c r="B284" s="7" t="s">
        <v>356</v>
      </c>
      <c r="C284" t="s">
        <v>1311</v>
      </c>
      <c r="D284" s="65" t="str">
        <f t="shared" si="8"/>
        <v>N</v>
      </c>
      <c r="E284" t="s">
        <v>1312</v>
      </c>
      <c r="F284" s="25" t="s">
        <v>295</v>
      </c>
      <c r="G284" s="26">
        <v>5</v>
      </c>
      <c r="H284" s="7" t="s">
        <v>295</v>
      </c>
      <c r="I284" s="7" t="s">
        <v>292</v>
      </c>
      <c r="J284" s="1">
        <v>5</v>
      </c>
      <c r="K284" s="1">
        <v>5</v>
      </c>
      <c r="L284" s="67">
        <f t="shared" si="9"/>
        <v>1</v>
      </c>
    </row>
    <row r="285" spans="1:12" x14ac:dyDescent="0.2">
      <c r="A285">
        <v>284</v>
      </c>
      <c r="B285" s="7" t="s">
        <v>372</v>
      </c>
      <c r="C285" t="s">
        <v>1311</v>
      </c>
      <c r="D285" s="65" t="str">
        <f t="shared" si="8"/>
        <v>N</v>
      </c>
      <c r="E285" t="s">
        <v>1312</v>
      </c>
      <c r="F285" s="25" t="s">
        <v>295</v>
      </c>
      <c r="G285" s="26">
        <v>5</v>
      </c>
      <c r="H285" s="7" t="s">
        <v>295</v>
      </c>
      <c r="I285" s="7" t="s">
        <v>296</v>
      </c>
      <c r="J285" s="1">
        <v>5</v>
      </c>
      <c r="K285" s="1">
        <v>6</v>
      </c>
      <c r="L285" s="67">
        <f t="shared" si="9"/>
        <v>1</v>
      </c>
    </row>
    <row r="286" spans="1:12" x14ac:dyDescent="0.2">
      <c r="A286">
        <v>285</v>
      </c>
      <c r="B286" s="7" t="s">
        <v>356</v>
      </c>
      <c r="C286" t="s">
        <v>1311</v>
      </c>
      <c r="D286" s="65" t="str">
        <f t="shared" si="8"/>
        <v>N</v>
      </c>
      <c r="E286" t="s">
        <v>1312</v>
      </c>
      <c r="F286" s="25" t="s">
        <v>295</v>
      </c>
      <c r="G286" s="26">
        <v>5</v>
      </c>
      <c r="H286" s="7" t="s">
        <v>298</v>
      </c>
      <c r="I286" s="7" t="s">
        <v>296</v>
      </c>
      <c r="J286" s="1">
        <v>3</v>
      </c>
      <c r="K286" s="1">
        <v>6</v>
      </c>
      <c r="L286" s="67">
        <f t="shared" si="9"/>
        <v>0</v>
      </c>
    </row>
    <row r="287" spans="1:12" x14ac:dyDescent="0.2">
      <c r="A287">
        <v>286</v>
      </c>
      <c r="B287" s="7" t="s">
        <v>372</v>
      </c>
      <c r="C287" t="s">
        <v>1311</v>
      </c>
      <c r="D287" s="65" t="str">
        <f t="shared" si="8"/>
        <v>N</v>
      </c>
      <c r="E287" t="s">
        <v>1312</v>
      </c>
      <c r="F287" s="25" t="s">
        <v>295</v>
      </c>
      <c r="G287" s="26">
        <v>5</v>
      </c>
      <c r="H287" s="7" t="s">
        <v>295</v>
      </c>
      <c r="I287" s="7" t="s">
        <v>294</v>
      </c>
      <c r="J287" s="1">
        <v>5</v>
      </c>
      <c r="K287" s="1">
        <v>7</v>
      </c>
      <c r="L287" s="67">
        <f t="shared" si="9"/>
        <v>1</v>
      </c>
    </row>
    <row r="288" spans="1:12" x14ac:dyDescent="0.2">
      <c r="A288">
        <v>287</v>
      </c>
      <c r="B288" s="7" t="s">
        <v>372</v>
      </c>
      <c r="C288" t="s">
        <v>1311</v>
      </c>
      <c r="D288" s="65" t="str">
        <f t="shared" si="8"/>
        <v>N</v>
      </c>
      <c r="E288" t="s">
        <v>1312</v>
      </c>
      <c r="F288" s="25" t="s">
        <v>295</v>
      </c>
      <c r="G288" s="26">
        <v>5</v>
      </c>
      <c r="H288" s="7" t="s">
        <v>295</v>
      </c>
      <c r="I288" s="7" t="s">
        <v>296</v>
      </c>
      <c r="J288" s="1">
        <v>5</v>
      </c>
      <c r="K288" s="1">
        <v>6</v>
      </c>
      <c r="L288" s="67">
        <f t="shared" si="9"/>
        <v>1</v>
      </c>
    </row>
    <row r="289" spans="1:12" x14ac:dyDescent="0.2">
      <c r="A289">
        <v>288</v>
      </c>
      <c r="B289" s="7" t="s">
        <v>356</v>
      </c>
      <c r="C289" t="s">
        <v>1311</v>
      </c>
      <c r="D289" s="65" t="str">
        <f t="shared" si="8"/>
        <v>N</v>
      </c>
      <c r="E289" t="s">
        <v>1312</v>
      </c>
      <c r="F289" s="25" t="s">
        <v>295</v>
      </c>
      <c r="G289" s="26">
        <v>5</v>
      </c>
      <c r="H289" s="7" t="s">
        <v>295</v>
      </c>
      <c r="I289" s="7" t="s">
        <v>296</v>
      </c>
      <c r="J289" s="1">
        <v>5</v>
      </c>
      <c r="K289" s="1">
        <v>6</v>
      </c>
      <c r="L289" s="67">
        <f t="shared" si="9"/>
        <v>1</v>
      </c>
    </row>
    <row r="290" spans="1:12" x14ac:dyDescent="0.2">
      <c r="A290">
        <v>289</v>
      </c>
      <c r="B290" s="7" t="s">
        <v>372</v>
      </c>
      <c r="C290" t="s">
        <v>1311</v>
      </c>
      <c r="D290" s="65" t="str">
        <f t="shared" si="8"/>
        <v>N</v>
      </c>
      <c r="E290" t="s">
        <v>1312</v>
      </c>
      <c r="F290" s="25" t="s">
        <v>295</v>
      </c>
      <c r="G290" s="26">
        <v>5</v>
      </c>
      <c r="H290" s="7" t="s">
        <v>295</v>
      </c>
      <c r="I290" s="7" t="s">
        <v>296</v>
      </c>
      <c r="J290" s="1">
        <v>5</v>
      </c>
      <c r="K290" s="1">
        <v>6</v>
      </c>
      <c r="L290" s="67">
        <f t="shared" si="9"/>
        <v>1</v>
      </c>
    </row>
    <row r="291" spans="1:12" x14ac:dyDescent="0.2">
      <c r="A291">
        <v>290</v>
      </c>
      <c r="B291" s="7" t="s">
        <v>356</v>
      </c>
      <c r="C291" t="s">
        <v>1311</v>
      </c>
      <c r="D291" s="65" t="str">
        <f t="shared" si="8"/>
        <v>N</v>
      </c>
      <c r="E291" t="s">
        <v>1312</v>
      </c>
      <c r="F291" s="25" t="s">
        <v>295</v>
      </c>
      <c r="G291" s="26">
        <v>5</v>
      </c>
      <c r="H291" s="7" t="s">
        <v>295</v>
      </c>
      <c r="I291" s="7" t="s">
        <v>296</v>
      </c>
      <c r="J291" s="1">
        <v>5</v>
      </c>
      <c r="K291" s="1">
        <v>6</v>
      </c>
      <c r="L291" s="67">
        <f t="shared" si="9"/>
        <v>1</v>
      </c>
    </row>
    <row r="292" spans="1:12" x14ac:dyDescent="0.2">
      <c r="A292">
        <v>291</v>
      </c>
      <c r="B292" s="7" t="s">
        <v>356</v>
      </c>
      <c r="C292" t="s">
        <v>1311</v>
      </c>
      <c r="D292" s="65" t="str">
        <f t="shared" si="8"/>
        <v>N</v>
      </c>
      <c r="E292" t="s">
        <v>1312</v>
      </c>
      <c r="F292" s="25" t="s">
        <v>295</v>
      </c>
      <c r="G292" s="26">
        <v>5</v>
      </c>
      <c r="H292" s="7" t="s">
        <v>298</v>
      </c>
      <c r="I292" s="7" t="s">
        <v>292</v>
      </c>
      <c r="J292" s="1">
        <v>3</v>
      </c>
      <c r="K292" s="1">
        <v>5</v>
      </c>
      <c r="L292" s="67">
        <f t="shared" si="9"/>
        <v>0</v>
      </c>
    </row>
    <row r="293" spans="1:12" x14ac:dyDescent="0.2">
      <c r="A293">
        <v>292</v>
      </c>
      <c r="B293" s="7" t="s">
        <v>372</v>
      </c>
      <c r="C293" t="s">
        <v>1311</v>
      </c>
      <c r="D293" s="65" t="str">
        <f t="shared" si="8"/>
        <v>N</v>
      </c>
      <c r="E293" t="s">
        <v>1312</v>
      </c>
      <c r="F293" s="25" t="s">
        <v>295</v>
      </c>
      <c r="G293" s="26">
        <v>5</v>
      </c>
      <c r="H293" s="7" t="s">
        <v>295</v>
      </c>
      <c r="I293" s="7" t="s">
        <v>297</v>
      </c>
      <c r="J293" s="1">
        <v>5</v>
      </c>
      <c r="K293" s="1">
        <v>4</v>
      </c>
      <c r="L293" s="67">
        <f t="shared" si="9"/>
        <v>1</v>
      </c>
    </row>
    <row r="294" spans="1:12" x14ac:dyDescent="0.2">
      <c r="A294">
        <v>293</v>
      </c>
      <c r="B294" s="7" t="s">
        <v>356</v>
      </c>
      <c r="C294" t="s">
        <v>1311</v>
      </c>
      <c r="D294" s="65" t="str">
        <f t="shared" si="8"/>
        <v>N</v>
      </c>
      <c r="E294" t="s">
        <v>1312</v>
      </c>
      <c r="F294" s="25" t="s">
        <v>295</v>
      </c>
      <c r="G294" s="26">
        <v>5</v>
      </c>
      <c r="H294" s="7" t="s">
        <v>295</v>
      </c>
      <c r="I294" s="7" t="s">
        <v>292</v>
      </c>
      <c r="J294" s="1">
        <v>5</v>
      </c>
      <c r="K294" s="1">
        <v>5</v>
      </c>
      <c r="L294" s="67">
        <f t="shared" si="9"/>
        <v>1</v>
      </c>
    </row>
    <row r="295" spans="1:12" x14ac:dyDescent="0.2">
      <c r="A295">
        <v>294</v>
      </c>
      <c r="B295" s="7" t="s">
        <v>372</v>
      </c>
      <c r="C295" t="s">
        <v>1311</v>
      </c>
      <c r="D295" s="65" t="str">
        <f t="shared" si="8"/>
        <v>N</v>
      </c>
      <c r="E295" t="s">
        <v>1312</v>
      </c>
      <c r="F295" s="25" t="s">
        <v>295</v>
      </c>
      <c r="G295" s="26">
        <v>5</v>
      </c>
      <c r="H295" s="7" t="s">
        <v>295</v>
      </c>
      <c r="I295" s="7" t="s">
        <v>296</v>
      </c>
      <c r="J295" s="1">
        <v>5</v>
      </c>
      <c r="K295" s="1">
        <v>6</v>
      </c>
      <c r="L295" s="67">
        <f t="shared" si="9"/>
        <v>1</v>
      </c>
    </row>
    <row r="296" spans="1:12" x14ac:dyDescent="0.2">
      <c r="A296">
        <v>295</v>
      </c>
      <c r="B296" s="7" t="s">
        <v>356</v>
      </c>
      <c r="C296" t="s">
        <v>1311</v>
      </c>
      <c r="D296" s="65" t="str">
        <f t="shared" si="8"/>
        <v>N</v>
      </c>
      <c r="E296" t="s">
        <v>1312</v>
      </c>
      <c r="F296" s="25" t="s">
        <v>295</v>
      </c>
      <c r="G296" s="26">
        <v>5</v>
      </c>
      <c r="H296" s="7" t="s">
        <v>295</v>
      </c>
      <c r="I296" s="7" t="s">
        <v>296</v>
      </c>
      <c r="J296" s="1">
        <v>5</v>
      </c>
      <c r="K296" s="1">
        <v>6</v>
      </c>
      <c r="L296" s="67">
        <f t="shared" si="9"/>
        <v>1</v>
      </c>
    </row>
    <row r="297" spans="1:12" x14ac:dyDescent="0.2">
      <c r="A297">
        <v>296</v>
      </c>
      <c r="B297" s="7" t="s">
        <v>372</v>
      </c>
      <c r="C297" t="s">
        <v>1311</v>
      </c>
      <c r="D297" s="65" t="str">
        <f t="shared" si="8"/>
        <v>N</v>
      </c>
      <c r="E297" t="s">
        <v>1312</v>
      </c>
      <c r="F297" s="25" t="s">
        <v>295</v>
      </c>
      <c r="G297" s="26">
        <v>5</v>
      </c>
      <c r="H297" s="7" t="s">
        <v>293</v>
      </c>
      <c r="I297" s="7" t="s">
        <v>296</v>
      </c>
      <c r="J297" s="1">
        <v>2</v>
      </c>
      <c r="K297" s="1">
        <v>6</v>
      </c>
      <c r="L297" s="67">
        <f t="shared" si="9"/>
        <v>0</v>
      </c>
    </row>
    <row r="298" spans="1:12" x14ac:dyDescent="0.2">
      <c r="A298">
        <v>297</v>
      </c>
      <c r="B298" s="7" t="s">
        <v>356</v>
      </c>
      <c r="C298" t="s">
        <v>1311</v>
      </c>
      <c r="D298" s="65" t="str">
        <f t="shared" si="8"/>
        <v>N</v>
      </c>
      <c r="E298" t="s">
        <v>1312</v>
      </c>
      <c r="F298" s="25" t="s">
        <v>295</v>
      </c>
      <c r="G298" s="26">
        <v>5</v>
      </c>
      <c r="H298" s="7" t="s">
        <v>295</v>
      </c>
      <c r="I298" s="7" t="s">
        <v>296</v>
      </c>
      <c r="J298" s="1">
        <v>5</v>
      </c>
      <c r="K298" s="1">
        <v>6</v>
      </c>
      <c r="L298" s="67">
        <f t="shared" si="9"/>
        <v>1</v>
      </c>
    </row>
    <row r="299" spans="1:12" x14ac:dyDescent="0.2">
      <c r="A299">
        <v>298</v>
      </c>
      <c r="B299" s="7" t="s">
        <v>372</v>
      </c>
      <c r="C299" t="s">
        <v>1311</v>
      </c>
      <c r="D299" s="65" t="str">
        <f t="shared" si="8"/>
        <v>N</v>
      </c>
      <c r="E299" t="s">
        <v>1312</v>
      </c>
      <c r="F299" s="25" t="s">
        <v>295</v>
      </c>
      <c r="G299" s="26">
        <v>5</v>
      </c>
      <c r="H299" s="7" t="s">
        <v>298</v>
      </c>
      <c r="I299" s="7" t="s">
        <v>296</v>
      </c>
      <c r="J299" s="1">
        <v>3</v>
      </c>
      <c r="K299" s="1">
        <v>6</v>
      </c>
      <c r="L299" s="67">
        <f t="shared" si="9"/>
        <v>0</v>
      </c>
    </row>
    <row r="300" spans="1:12" x14ac:dyDescent="0.2">
      <c r="A300">
        <v>299</v>
      </c>
      <c r="B300" s="7" t="s">
        <v>372</v>
      </c>
      <c r="C300" t="s">
        <v>1311</v>
      </c>
      <c r="D300" s="65" t="str">
        <f t="shared" si="8"/>
        <v>N</v>
      </c>
      <c r="E300" t="s">
        <v>1312</v>
      </c>
      <c r="F300" s="25" t="s">
        <v>295</v>
      </c>
      <c r="G300" s="26">
        <v>5</v>
      </c>
      <c r="H300" s="7" t="s">
        <v>295</v>
      </c>
      <c r="I300" s="7" t="s">
        <v>296</v>
      </c>
      <c r="J300" s="1">
        <v>5</v>
      </c>
      <c r="K300" s="1">
        <v>6</v>
      </c>
      <c r="L300" s="67">
        <f t="shared" si="9"/>
        <v>1</v>
      </c>
    </row>
    <row r="301" spans="1:12" x14ac:dyDescent="0.2">
      <c r="A301">
        <v>300</v>
      </c>
      <c r="B301" s="7" t="s">
        <v>356</v>
      </c>
      <c r="C301" t="s">
        <v>1311</v>
      </c>
      <c r="D301" s="65" t="str">
        <f t="shared" si="8"/>
        <v>N</v>
      </c>
      <c r="E301" t="s">
        <v>1312</v>
      </c>
      <c r="F301" s="25" t="s">
        <v>295</v>
      </c>
      <c r="G301" s="26">
        <v>5</v>
      </c>
      <c r="H301" s="7" t="s">
        <v>295</v>
      </c>
      <c r="I301" s="7" t="s">
        <v>296</v>
      </c>
      <c r="J301" s="1">
        <v>5</v>
      </c>
      <c r="K301" s="1">
        <v>6</v>
      </c>
      <c r="L301" s="67">
        <f t="shared" si="9"/>
        <v>1</v>
      </c>
    </row>
    <row r="302" spans="1:12" x14ac:dyDescent="0.2">
      <c r="A302">
        <v>301</v>
      </c>
      <c r="B302" s="7" t="s">
        <v>356</v>
      </c>
      <c r="C302" t="s">
        <v>1311</v>
      </c>
      <c r="D302" s="65" t="str">
        <f t="shared" si="8"/>
        <v>N</v>
      </c>
      <c r="E302" t="s">
        <v>1312</v>
      </c>
      <c r="F302" s="25" t="s">
        <v>295</v>
      </c>
      <c r="G302" s="26">
        <v>5</v>
      </c>
      <c r="H302" s="7" t="s">
        <v>295</v>
      </c>
      <c r="I302" s="7" t="s">
        <v>292</v>
      </c>
      <c r="J302" s="1">
        <v>5</v>
      </c>
      <c r="K302" s="1">
        <v>5</v>
      </c>
      <c r="L302" s="67">
        <f t="shared" si="9"/>
        <v>1</v>
      </c>
    </row>
    <row r="303" spans="1:12" x14ac:dyDescent="0.2">
      <c r="A303">
        <v>302</v>
      </c>
      <c r="B303" s="7" t="s">
        <v>372</v>
      </c>
      <c r="C303" t="s">
        <v>1311</v>
      </c>
      <c r="D303" s="65" t="str">
        <f t="shared" si="8"/>
        <v>N</v>
      </c>
      <c r="E303" t="s">
        <v>1312</v>
      </c>
      <c r="F303" s="25" t="s">
        <v>295</v>
      </c>
      <c r="G303" s="26">
        <v>5</v>
      </c>
      <c r="H303" s="7" t="s">
        <v>295</v>
      </c>
      <c r="I303" s="7" t="s">
        <v>294</v>
      </c>
      <c r="J303" s="1">
        <v>5</v>
      </c>
      <c r="K303" s="1">
        <v>7</v>
      </c>
      <c r="L303" s="67">
        <f t="shared" si="9"/>
        <v>1</v>
      </c>
    </row>
    <row r="304" spans="1:12" x14ac:dyDescent="0.2">
      <c r="A304">
        <v>303</v>
      </c>
      <c r="B304" s="7" t="s">
        <v>372</v>
      </c>
      <c r="C304" t="s">
        <v>1311</v>
      </c>
      <c r="D304" s="65" t="str">
        <f t="shared" si="8"/>
        <v>N</v>
      </c>
      <c r="E304" t="s">
        <v>1312</v>
      </c>
      <c r="F304" s="25" t="s">
        <v>295</v>
      </c>
      <c r="G304" s="26">
        <v>5</v>
      </c>
      <c r="H304" s="7" t="s">
        <v>295</v>
      </c>
      <c r="I304" s="7" t="s">
        <v>294</v>
      </c>
      <c r="J304" s="1">
        <v>5</v>
      </c>
      <c r="K304" s="1">
        <v>7</v>
      </c>
      <c r="L304" s="67">
        <f t="shared" si="9"/>
        <v>1</v>
      </c>
    </row>
    <row r="305" spans="1:12" x14ac:dyDescent="0.2">
      <c r="A305">
        <v>304</v>
      </c>
      <c r="B305" s="7" t="s">
        <v>356</v>
      </c>
      <c r="C305" t="s">
        <v>1311</v>
      </c>
      <c r="D305" s="65" t="str">
        <f t="shared" si="8"/>
        <v>N</v>
      </c>
      <c r="E305" t="s">
        <v>1312</v>
      </c>
      <c r="F305" s="25" t="s">
        <v>295</v>
      </c>
      <c r="G305" s="26">
        <v>5</v>
      </c>
      <c r="H305" s="7" t="s">
        <v>295</v>
      </c>
      <c r="I305" s="7" t="s">
        <v>296</v>
      </c>
      <c r="J305" s="1">
        <v>5</v>
      </c>
      <c r="K305" s="1">
        <v>6</v>
      </c>
      <c r="L305" s="67">
        <f t="shared" si="9"/>
        <v>1</v>
      </c>
    </row>
    <row r="306" spans="1:12" x14ac:dyDescent="0.2">
      <c r="A306">
        <v>305</v>
      </c>
      <c r="B306" s="7" t="s">
        <v>372</v>
      </c>
      <c r="C306" t="s">
        <v>1311</v>
      </c>
      <c r="D306" s="65" t="str">
        <f t="shared" si="8"/>
        <v>N</v>
      </c>
      <c r="E306" t="s">
        <v>1312</v>
      </c>
      <c r="F306" s="25" t="s">
        <v>295</v>
      </c>
      <c r="G306" s="26">
        <v>5</v>
      </c>
      <c r="H306" s="7" t="s">
        <v>298</v>
      </c>
      <c r="I306" s="7" t="s">
        <v>297</v>
      </c>
      <c r="J306" s="1">
        <v>3</v>
      </c>
      <c r="K306" s="1">
        <v>4</v>
      </c>
      <c r="L306" s="67">
        <f t="shared" si="9"/>
        <v>0</v>
      </c>
    </row>
    <row r="307" spans="1:12" x14ac:dyDescent="0.2">
      <c r="A307">
        <v>306</v>
      </c>
      <c r="B307" s="7" t="s">
        <v>356</v>
      </c>
      <c r="C307" t="s">
        <v>1311</v>
      </c>
      <c r="D307" s="65" t="str">
        <f t="shared" si="8"/>
        <v>N</v>
      </c>
      <c r="E307" t="s">
        <v>1312</v>
      </c>
      <c r="F307" s="25" t="s">
        <v>295</v>
      </c>
      <c r="G307" s="26">
        <v>5</v>
      </c>
      <c r="H307" s="7" t="s">
        <v>299</v>
      </c>
      <c r="I307" s="7" t="s">
        <v>292</v>
      </c>
      <c r="J307" s="1">
        <v>4</v>
      </c>
      <c r="K307" s="1">
        <v>5</v>
      </c>
      <c r="L307" s="67">
        <f t="shared" si="9"/>
        <v>0</v>
      </c>
    </row>
    <row r="308" spans="1:12" x14ac:dyDescent="0.2">
      <c r="A308">
        <v>307</v>
      </c>
      <c r="B308" s="7" t="s">
        <v>356</v>
      </c>
      <c r="C308" t="s">
        <v>1311</v>
      </c>
      <c r="D308" s="65" t="str">
        <f t="shared" si="8"/>
        <v>N</v>
      </c>
      <c r="E308" t="s">
        <v>1312</v>
      </c>
      <c r="F308" s="25" t="s">
        <v>295</v>
      </c>
      <c r="G308" s="26">
        <v>5</v>
      </c>
      <c r="H308" s="7" t="s">
        <v>295</v>
      </c>
      <c r="I308" s="7" t="s">
        <v>292</v>
      </c>
      <c r="J308" s="1">
        <v>5</v>
      </c>
      <c r="K308" s="1">
        <v>5</v>
      </c>
      <c r="L308" s="67">
        <f t="shared" si="9"/>
        <v>1</v>
      </c>
    </row>
    <row r="309" spans="1:12" x14ac:dyDescent="0.2">
      <c r="A309">
        <v>308</v>
      </c>
      <c r="B309" s="7" t="s">
        <v>372</v>
      </c>
      <c r="C309" t="s">
        <v>1311</v>
      </c>
      <c r="D309" s="65" t="str">
        <f t="shared" si="8"/>
        <v>N</v>
      </c>
      <c r="E309" t="s">
        <v>1312</v>
      </c>
      <c r="F309" s="25" t="s">
        <v>295</v>
      </c>
      <c r="G309" s="26">
        <v>5</v>
      </c>
      <c r="H309" s="7" t="s">
        <v>295</v>
      </c>
      <c r="I309" s="7" t="s">
        <v>296</v>
      </c>
      <c r="J309" s="1">
        <v>5</v>
      </c>
      <c r="K309" s="1">
        <v>6</v>
      </c>
      <c r="L309" s="67">
        <f t="shared" si="9"/>
        <v>1</v>
      </c>
    </row>
    <row r="310" spans="1:12" x14ac:dyDescent="0.2">
      <c r="A310">
        <v>309</v>
      </c>
      <c r="B310" s="7" t="s">
        <v>372</v>
      </c>
      <c r="C310" t="s">
        <v>1311</v>
      </c>
      <c r="D310" s="65" t="str">
        <f t="shared" si="8"/>
        <v>N</v>
      </c>
      <c r="E310" t="s">
        <v>1312</v>
      </c>
      <c r="F310" s="25" t="s">
        <v>295</v>
      </c>
      <c r="G310" s="26">
        <v>5</v>
      </c>
      <c r="H310" s="7" t="s">
        <v>295</v>
      </c>
      <c r="I310" s="7" t="s">
        <v>294</v>
      </c>
      <c r="J310" s="1">
        <v>5</v>
      </c>
      <c r="K310" s="1">
        <v>7</v>
      </c>
      <c r="L310" s="67">
        <f t="shared" si="9"/>
        <v>1</v>
      </c>
    </row>
    <row r="311" spans="1:12" x14ac:dyDescent="0.2">
      <c r="A311">
        <v>310</v>
      </c>
      <c r="B311" s="7" t="s">
        <v>356</v>
      </c>
      <c r="C311" t="s">
        <v>1311</v>
      </c>
      <c r="D311" s="65" t="str">
        <f t="shared" si="8"/>
        <v>N</v>
      </c>
      <c r="E311" t="s">
        <v>1312</v>
      </c>
      <c r="F311" s="25" t="s">
        <v>295</v>
      </c>
      <c r="G311" s="26">
        <v>5</v>
      </c>
      <c r="H311" s="7" t="s">
        <v>295</v>
      </c>
      <c r="I311" s="7" t="s">
        <v>292</v>
      </c>
      <c r="J311" s="1">
        <v>5</v>
      </c>
      <c r="K311" s="1">
        <v>5</v>
      </c>
      <c r="L311" s="67">
        <f t="shared" si="9"/>
        <v>1</v>
      </c>
    </row>
    <row r="312" spans="1:12" x14ac:dyDescent="0.2">
      <c r="A312">
        <v>311</v>
      </c>
      <c r="B312" s="7" t="s">
        <v>356</v>
      </c>
      <c r="C312" t="s">
        <v>1311</v>
      </c>
      <c r="D312" s="65" t="str">
        <f t="shared" si="8"/>
        <v>N</v>
      </c>
      <c r="E312" t="s">
        <v>1312</v>
      </c>
      <c r="F312" s="25" t="s">
        <v>295</v>
      </c>
      <c r="G312" s="26">
        <v>5</v>
      </c>
      <c r="H312" s="7" t="s">
        <v>295</v>
      </c>
      <c r="I312" s="7" t="s">
        <v>292</v>
      </c>
      <c r="J312" s="1">
        <v>5</v>
      </c>
      <c r="K312" s="1">
        <v>5</v>
      </c>
      <c r="L312" s="67">
        <f t="shared" si="9"/>
        <v>1</v>
      </c>
    </row>
    <row r="313" spans="1:12" x14ac:dyDescent="0.2">
      <c r="A313">
        <v>312</v>
      </c>
      <c r="B313" s="7" t="s">
        <v>372</v>
      </c>
      <c r="C313" t="s">
        <v>1311</v>
      </c>
      <c r="D313" s="65" t="str">
        <f t="shared" si="8"/>
        <v>N</v>
      </c>
      <c r="E313" t="s">
        <v>1312</v>
      </c>
      <c r="F313" s="25" t="s">
        <v>295</v>
      </c>
      <c r="G313" s="26">
        <v>5</v>
      </c>
      <c r="H313" s="7" t="s">
        <v>298</v>
      </c>
      <c r="I313" s="7" t="s">
        <v>330</v>
      </c>
      <c r="J313" s="1">
        <v>3</v>
      </c>
      <c r="K313" s="1">
        <v>3</v>
      </c>
      <c r="L313" s="67">
        <f t="shared" si="9"/>
        <v>0</v>
      </c>
    </row>
    <row r="314" spans="1:12" x14ac:dyDescent="0.2">
      <c r="A314">
        <v>313</v>
      </c>
      <c r="B314" s="7" t="s">
        <v>356</v>
      </c>
      <c r="C314" t="s">
        <v>1311</v>
      </c>
      <c r="D314" s="65" t="str">
        <f t="shared" si="8"/>
        <v>N</v>
      </c>
      <c r="E314" t="s">
        <v>1312</v>
      </c>
      <c r="F314" s="25" t="s">
        <v>295</v>
      </c>
      <c r="G314" s="26">
        <v>5</v>
      </c>
      <c r="H314" s="7" t="s">
        <v>295</v>
      </c>
      <c r="I314" s="7" t="s">
        <v>292</v>
      </c>
      <c r="J314" s="1">
        <v>5</v>
      </c>
      <c r="K314" s="1">
        <v>5</v>
      </c>
      <c r="L314" s="67">
        <f t="shared" si="9"/>
        <v>1</v>
      </c>
    </row>
    <row r="315" spans="1:12" x14ac:dyDescent="0.2">
      <c r="A315">
        <v>314</v>
      </c>
      <c r="B315" s="7" t="s">
        <v>372</v>
      </c>
      <c r="C315" t="s">
        <v>1311</v>
      </c>
      <c r="D315" s="65" t="str">
        <f t="shared" si="8"/>
        <v>N</v>
      </c>
      <c r="E315" t="s">
        <v>1312</v>
      </c>
      <c r="F315" s="25" t="s">
        <v>295</v>
      </c>
      <c r="G315" s="26">
        <v>5</v>
      </c>
      <c r="H315" s="7" t="s">
        <v>295</v>
      </c>
      <c r="I315" s="7" t="s">
        <v>296</v>
      </c>
      <c r="J315" s="1">
        <v>5</v>
      </c>
      <c r="K315" s="1">
        <v>6</v>
      </c>
      <c r="L315" s="67">
        <f t="shared" si="9"/>
        <v>1</v>
      </c>
    </row>
    <row r="316" spans="1:12" x14ac:dyDescent="0.2">
      <c r="A316">
        <v>315</v>
      </c>
      <c r="B316" s="7" t="s">
        <v>356</v>
      </c>
      <c r="C316" t="s">
        <v>1311</v>
      </c>
      <c r="D316" s="65" t="str">
        <f t="shared" si="8"/>
        <v>N</v>
      </c>
      <c r="E316" t="s">
        <v>1312</v>
      </c>
      <c r="F316" s="25" t="s">
        <v>295</v>
      </c>
      <c r="G316" s="26">
        <v>5</v>
      </c>
      <c r="H316" s="7" t="s">
        <v>295</v>
      </c>
      <c r="I316" s="7" t="s">
        <v>294</v>
      </c>
      <c r="J316" s="1">
        <v>5</v>
      </c>
      <c r="K316" s="1">
        <v>7</v>
      </c>
      <c r="L316" s="67">
        <f t="shared" si="9"/>
        <v>1</v>
      </c>
    </row>
    <row r="317" spans="1:12" x14ac:dyDescent="0.2">
      <c r="A317">
        <v>316</v>
      </c>
      <c r="B317" s="7" t="s">
        <v>372</v>
      </c>
      <c r="C317" t="s">
        <v>1311</v>
      </c>
      <c r="D317" s="65" t="str">
        <f t="shared" si="8"/>
        <v>N</v>
      </c>
      <c r="E317" t="s">
        <v>1312</v>
      </c>
      <c r="F317" s="25" t="s">
        <v>295</v>
      </c>
      <c r="G317" s="26">
        <v>5</v>
      </c>
      <c r="H317" s="7" t="s">
        <v>295</v>
      </c>
      <c r="I317" s="7" t="s">
        <v>292</v>
      </c>
      <c r="J317" s="1">
        <v>5</v>
      </c>
      <c r="K317" s="1">
        <v>5</v>
      </c>
      <c r="L317" s="67">
        <f t="shared" si="9"/>
        <v>1</v>
      </c>
    </row>
    <row r="318" spans="1:12" x14ac:dyDescent="0.2">
      <c r="A318">
        <v>317</v>
      </c>
      <c r="B318" s="7" t="s">
        <v>356</v>
      </c>
      <c r="C318" t="s">
        <v>1311</v>
      </c>
      <c r="D318" s="65" t="str">
        <f t="shared" si="8"/>
        <v>N</v>
      </c>
      <c r="E318" t="s">
        <v>1312</v>
      </c>
      <c r="F318" s="25" t="s">
        <v>298</v>
      </c>
      <c r="G318" s="26">
        <v>3</v>
      </c>
      <c r="H318" s="7" t="s">
        <v>295</v>
      </c>
      <c r="I318" s="7" t="s">
        <v>296</v>
      </c>
      <c r="J318" s="1">
        <v>5</v>
      </c>
      <c r="K318" s="1">
        <v>6</v>
      </c>
      <c r="L318" s="67">
        <f t="shared" si="9"/>
        <v>0</v>
      </c>
    </row>
    <row r="319" spans="1:12" x14ac:dyDescent="0.2">
      <c r="A319">
        <v>318</v>
      </c>
      <c r="B319" s="7" t="s">
        <v>372</v>
      </c>
      <c r="C319" t="s">
        <v>1311</v>
      </c>
      <c r="D319" s="65" t="str">
        <f t="shared" si="8"/>
        <v>N</v>
      </c>
      <c r="E319" t="s">
        <v>1312</v>
      </c>
      <c r="F319" s="25" t="s">
        <v>298</v>
      </c>
      <c r="G319" s="26">
        <v>3</v>
      </c>
      <c r="H319" s="7" t="s">
        <v>298</v>
      </c>
      <c r="I319" s="7" t="s">
        <v>296</v>
      </c>
      <c r="J319" s="1">
        <v>3</v>
      </c>
      <c r="K319" s="1">
        <v>6</v>
      </c>
      <c r="L319" s="67">
        <f t="shared" si="9"/>
        <v>1</v>
      </c>
    </row>
    <row r="320" spans="1:12" x14ac:dyDescent="0.2">
      <c r="A320">
        <v>319</v>
      </c>
      <c r="B320" s="7" t="s">
        <v>372</v>
      </c>
      <c r="C320" t="s">
        <v>1311</v>
      </c>
      <c r="D320" s="65" t="str">
        <f t="shared" si="8"/>
        <v>N</v>
      </c>
      <c r="E320" t="s">
        <v>1312</v>
      </c>
      <c r="F320" s="25" t="s">
        <v>298</v>
      </c>
      <c r="G320" s="26">
        <v>3</v>
      </c>
      <c r="H320" s="7" t="s">
        <v>295</v>
      </c>
      <c r="I320" s="7" t="s">
        <v>297</v>
      </c>
      <c r="J320" s="1">
        <v>5</v>
      </c>
      <c r="K320" s="1">
        <v>4</v>
      </c>
      <c r="L320" s="67">
        <f t="shared" si="9"/>
        <v>0</v>
      </c>
    </row>
    <row r="321" spans="1:12" x14ac:dyDescent="0.2">
      <c r="A321">
        <v>320</v>
      </c>
      <c r="B321" s="7" t="s">
        <v>356</v>
      </c>
      <c r="C321" t="s">
        <v>1311</v>
      </c>
      <c r="D321" s="65" t="str">
        <f t="shared" si="8"/>
        <v>N</v>
      </c>
      <c r="E321" t="s">
        <v>1312</v>
      </c>
      <c r="F321" s="25" t="s">
        <v>298</v>
      </c>
      <c r="G321" s="26">
        <v>3</v>
      </c>
      <c r="H321" s="7" t="s">
        <v>295</v>
      </c>
      <c r="I321" s="7" t="s">
        <v>292</v>
      </c>
      <c r="J321" s="1">
        <v>5</v>
      </c>
      <c r="K321" s="1">
        <v>5</v>
      </c>
      <c r="L321" s="67">
        <f t="shared" si="9"/>
        <v>0</v>
      </c>
    </row>
    <row r="322" spans="1:12" x14ac:dyDescent="0.2">
      <c r="A322">
        <v>321</v>
      </c>
      <c r="B322" s="7" t="s">
        <v>372</v>
      </c>
      <c r="C322" t="s">
        <v>1311</v>
      </c>
      <c r="D322" s="65" t="str">
        <f t="shared" si="8"/>
        <v>N</v>
      </c>
      <c r="E322" t="s">
        <v>1312</v>
      </c>
      <c r="F322" s="25" t="s">
        <v>298</v>
      </c>
      <c r="G322" s="26">
        <v>3</v>
      </c>
      <c r="H322" s="7" t="s">
        <v>299</v>
      </c>
      <c r="I322" s="7" t="s">
        <v>297</v>
      </c>
      <c r="J322" s="1">
        <v>4</v>
      </c>
      <c r="K322" s="1">
        <v>4</v>
      </c>
      <c r="L322" s="67">
        <f t="shared" si="9"/>
        <v>0</v>
      </c>
    </row>
    <row r="323" spans="1:12" x14ac:dyDescent="0.2">
      <c r="A323">
        <v>322</v>
      </c>
      <c r="B323" s="7" t="s">
        <v>356</v>
      </c>
      <c r="C323" t="s">
        <v>1311</v>
      </c>
      <c r="D323" s="65" t="str">
        <f t="shared" ref="D323:D386" si="10">IF($E323="iso", "N", IF(OR($E323="non", $E323="emd", $E323="dyn"), "Y", "ERROR"))</f>
        <v>N</v>
      </c>
      <c r="E323" t="s">
        <v>1312</v>
      </c>
      <c r="F323" s="25" t="s">
        <v>298</v>
      </c>
      <c r="G323" s="26">
        <v>3</v>
      </c>
      <c r="H323" s="7" t="s">
        <v>295</v>
      </c>
      <c r="I323" s="7" t="s">
        <v>297</v>
      </c>
      <c r="J323" s="1">
        <v>5</v>
      </c>
      <c r="K323" s="1">
        <v>4</v>
      </c>
      <c r="L323" s="67">
        <f t="shared" ref="L323:L386" si="11">IF(G323=J323, 1, 0)</f>
        <v>0</v>
      </c>
    </row>
    <row r="324" spans="1:12" x14ac:dyDescent="0.2">
      <c r="A324">
        <v>323</v>
      </c>
      <c r="B324" s="7" t="s">
        <v>372</v>
      </c>
      <c r="C324" t="s">
        <v>1311</v>
      </c>
      <c r="D324" s="65" t="str">
        <f t="shared" si="10"/>
        <v>N</v>
      </c>
      <c r="E324" t="s">
        <v>1312</v>
      </c>
      <c r="F324" s="25" t="s">
        <v>298</v>
      </c>
      <c r="G324" s="26">
        <v>3</v>
      </c>
      <c r="H324" s="7" t="s">
        <v>299</v>
      </c>
      <c r="I324" s="7" t="s">
        <v>296</v>
      </c>
      <c r="J324" s="1">
        <v>4</v>
      </c>
      <c r="K324" s="1">
        <v>6</v>
      </c>
      <c r="L324" s="67">
        <f t="shared" si="11"/>
        <v>0</v>
      </c>
    </row>
    <row r="325" spans="1:12" x14ac:dyDescent="0.2">
      <c r="A325">
        <v>324</v>
      </c>
      <c r="B325" s="7" t="s">
        <v>356</v>
      </c>
      <c r="C325" t="s">
        <v>1311</v>
      </c>
      <c r="D325" s="65" t="str">
        <f t="shared" si="10"/>
        <v>N</v>
      </c>
      <c r="E325" t="s">
        <v>1312</v>
      </c>
      <c r="F325" s="25" t="s">
        <v>298</v>
      </c>
      <c r="G325" s="26">
        <v>3</v>
      </c>
      <c r="H325" s="7" t="s">
        <v>299</v>
      </c>
      <c r="I325" s="7" t="s">
        <v>296</v>
      </c>
      <c r="J325" s="1">
        <v>4</v>
      </c>
      <c r="K325" s="1">
        <v>6</v>
      </c>
      <c r="L325" s="67">
        <f t="shared" si="11"/>
        <v>0</v>
      </c>
    </row>
    <row r="326" spans="1:12" x14ac:dyDescent="0.2">
      <c r="A326">
        <v>325</v>
      </c>
      <c r="B326" s="7" t="s">
        <v>372</v>
      </c>
      <c r="C326" t="s">
        <v>1311</v>
      </c>
      <c r="D326" s="65" t="str">
        <f t="shared" si="10"/>
        <v>N</v>
      </c>
      <c r="E326" t="s">
        <v>1312</v>
      </c>
      <c r="F326" s="25" t="s">
        <v>298</v>
      </c>
      <c r="G326" s="26">
        <v>3</v>
      </c>
      <c r="H326" s="7" t="s">
        <v>295</v>
      </c>
      <c r="I326" s="7" t="s">
        <v>296</v>
      </c>
      <c r="J326" s="1">
        <v>5</v>
      </c>
      <c r="K326" s="1">
        <v>6</v>
      </c>
      <c r="L326" s="67">
        <f t="shared" si="11"/>
        <v>0</v>
      </c>
    </row>
    <row r="327" spans="1:12" x14ac:dyDescent="0.2">
      <c r="A327">
        <v>326</v>
      </c>
      <c r="B327" s="7" t="s">
        <v>356</v>
      </c>
      <c r="C327" t="s">
        <v>1311</v>
      </c>
      <c r="D327" s="65" t="str">
        <f t="shared" si="10"/>
        <v>N</v>
      </c>
      <c r="E327" t="s">
        <v>1312</v>
      </c>
      <c r="F327" s="25" t="s">
        <v>298</v>
      </c>
      <c r="G327" s="26">
        <v>3</v>
      </c>
      <c r="H327" s="7" t="s">
        <v>295</v>
      </c>
      <c r="I327" s="7" t="s">
        <v>297</v>
      </c>
      <c r="J327" s="1">
        <v>5</v>
      </c>
      <c r="K327" s="1">
        <v>4</v>
      </c>
      <c r="L327" s="67">
        <f t="shared" si="11"/>
        <v>0</v>
      </c>
    </row>
    <row r="328" spans="1:12" x14ac:dyDescent="0.2">
      <c r="A328">
        <v>327</v>
      </c>
      <c r="B328" s="7" t="s">
        <v>356</v>
      </c>
      <c r="C328" t="s">
        <v>1311</v>
      </c>
      <c r="D328" s="65" t="str">
        <f t="shared" si="10"/>
        <v>N</v>
      </c>
      <c r="E328" t="s">
        <v>1312</v>
      </c>
      <c r="F328" s="25" t="s">
        <v>298</v>
      </c>
      <c r="G328" s="26">
        <v>3</v>
      </c>
      <c r="H328" s="7" t="s">
        <v>295</v>
      </c>
      <c r="I328" s="7" t="s">
        <v>296</v>
      </c>
      <c r="J328" s="1">
        <v>5</v>
      </c>
      <c r="K328" s="1">
        <v>6</v>
      </c>
      <c r="L328" s="67">
        <f t="shared" si="11"/>
        <v>0</v>
      </c>
    </row>
    <row r="329" spans="1:12" x14ac:dyDescent="0.2">
      <c r="A329">
        <v>328</v>
      </c>
      <c r="B329" s="7" t="s">
        <v>372</v>
      </c>
      <c r="C329" t="s">
        <v>1311</v>
      </c>
      <c r="D329" s="65" t="str">
        <f t="shared" si="10"/>
        <v>N</v>
      </c>
      <c r="E329" t="s">
        <v>1312</v>
      </c>
      <c r="F329" s="25" t="s">
        <v>298</v>
      </c>
      <c r="G329" s="26">
        <v>3</v>
      </c>
      <c r="H329" s="7" t="s">
        <v>295</v>
      </c>
      <c r="I329" s="7" t="s">
        <v>296</v>
      </c>
      <c r="J329" s="1">
        <v>5</v>
      </c>
      <c r="K329" s="1">
        <v>6</v>
      </c>
      <c r="L329" s="67">
        <f t="shared" si="11"/>
        <v>0</v>
      </c>
    </row>
    <row r="330" spans="1:12" x14ac:dyDescent="0.2">
      <c r="A330">
        <v>329</v>
      </c>
      <c r="B330" s="7" t="s">
        <v>356</v>
      </c>
      <c r="C330" t="s">
        <v>1311</v>
      </c>
      <c r="D330" s="65" t="str">
        <f t="shared" si="10"/>
        <v>N</v>
      </c>
      <c r="E330" t="s">
        <v>1312</v>
      </c>
      <c r="F330" s="25" t="s">
        <v>298</v>
      </c>
      <c r="G330" s="26">
        <v>3</v>
      </c>
      <c r="H330" s="7" t="s">
        <v>295</v>
      </c>
      <c r="I330" s="7" t="s">
        <v>292</v>
      </c>
      <c r="J330" s="1">
        <v>5</v>
      </c>
      <c r="K330" s="1">
        <v>5</v>
      </c>
      <c r="L330" s="67">
        <f t="shared" si="11"/>
        <v>0</v>
      </c>
    </row>
    <row r="331" spans="1:12" x14ac:dyDescent="0.2">
      <c r="A331">
        <v>330</v>
      </c>
      <c r="B331" s="7" t="s">
        <v>372</v>
      </c>
      <c r="C331" t="s">
        <v>1311</v>
      </c>
      <c r="D331" s="65" t="str">
        <f t="shared" si="10"/>
        <v>N</v>
      </c>
      <c r="E331" t="s">
        <v>1312</v>
      </c>
      <c r="F331" s="25" t="s">
        <v>298</v>
      </c>
      <c r="G331" s="26">
        <v>3</v>
      </c>
      <c r="H331" s="7" t="s">
        <v>295</v>
      </c>
      <c r="I331" s="7" t="s">
        <v>292</v>
      </c>
      <c r="J331" s="1">
        <v>5</v>
      </c>
      <c r="K331" s="1">
        <v>5</v>
      </c>
      <c r="L331" s="67">
        <f t="shared" si="11"/>
        <v>0</v>
      </c>
    </row>
    <row r="332" spans="1:12" x14ac:dyDescent="0.2">
      <c r="A332">
        <v>331</v>
      </c>
      <c r="B332" s="7" t="s">
        <v>356</v>
      </c>
      <c r="C332" t="s">
        <v>1311</v>
      </c>
      <c r="D332" s="65" t="str">
        <f t="shared" si="10"/>
        <v>N</v>
      </c>
      <c r="E332" t="s">
        <v>1312</v>
      </c>
      <c r="F332" s="25" t="s">
        <v>298</v>
      </c>
      <c r="G332" s="26">
        <v>3</v>
      </c>
      <c r="H332" s="7" t="s">
        <v>295</v>
      </c>
      <c r="I332" s="7" t="s">
        <v>294</v>
      </c>
      <c r="J332" s="1">
        <v>5</v>
      </c>
      <c r="K332" s="1">
        <v>7</v>
      </c>
      <c r="L332" s="67">
        <f t="shared" si="11"/>
        <v>0</v>
      </c>
    </row>
    <row r="333" spans="1:12" x14ac:dyDescent="0.2">
      <c r="A333">
        <v>332</v>
      </c>
      <c r="B333" s="7" t="s">
        <v>372</v>
      </c>
      <c r="C333" t="s">
        <v>1311</v>
      </c>
      <c r="D333" s="65" t="str">
        <f t="shared" si="10"/>
        <v>N</v>
      </c>
      <c r="E333" t="s">
        <v>1312</v>
      </c>
      <c r="F333" s="25" t="s">
        <v>298</v>
      </c>
      <c r="G333" s="26">
        <v>3</v>
      </c>
      <c r="H333" s="7" t="s">
        <v>299</v>
      </c>
      <c r="I333" s="7" t="s">
        <v>296</v>
      </c>
      <c r="J333" s="1">
        <v>4</v>
      </c>
      <c r="K333" s="1">
        <v>6</v>
      </c>
      <c r="L333" s="67">
        <f t="shared" si="11"/>
        <v>0</v>
      </c>
    </row>
    <row r="334" spans="1:12" x14ac:dyDescent="0.2">
      <c r="A334">
        <v>333</v>
      </c>
      <c r="B334" s="7" t="s">
        <v>372</v>
      </c>
      <c r="C334" t="s">
        <v>1311</v>
      </c>
      <c r="D334" s="65" t="str">
        <f t="shared" si="10"/>
        <v>N</v>
      </c>
      <c r="E334" t="s">
        <v>1312</v>
      </c>
      <c r="F334" s="25" t="s">
        <v>298</v>
      </c>
      <c r="G334" s="26">
        <v>3</v>
      </c>
      <c r="H334" s="7" t="s">
        <v>295</v>
      </c>
      <c r="I334" s="7" t="s">
        <v>297</v>
      </c>
      <c r="J334" s="1">
        <v>5</v>
      </c>
      <c r="K334" s="1">
        <v>4</v>
      </c>
      <c r="L334" s="67">
        <f t="shared" si="11"/>
        <v>0</v>
      </c>
    </row>
    <row r="335" spans="1:12" x14ac:dyDescent="0.2">
      <c r="A335">
        <v>334</v>
      </c>
      <c r="B335" s="7" t="s">
        <v>356</v>
      </c>
      <c r="C335" t="s">
        <v>1311</v>
      </c>
      <c r="D335" s="65" t="str">
        <f t="shared" si="10"/>
        <v>N</v>
      </c>
      <c r="E335" t="s">
        <v>1312</v>
      </c>
      <c r="F335" s="25" t="s">
        <v>298</v>
      </c>
      <c r="G335" s="26">
        <v>3</v>
      </c>
      <c r="H335" s="7" t="s">
        <v>298</v>
      </c>
      <c r="I335" s="7" t="s">
        <v>292</v>
      </c>
      <c r="J335" s="1">
        <v>3</v>
      </c>
      <c r="K335" s="1">
        <v>5</v>
      </c>
      <c r="L335" s="67">
        <f t="shared" si="11"/>
        <v>1</v>
      </c>
    </row>
    <row r="336" spans="1:12" x14ac:dyDescent="0.2">
      <c r="A336">
        <v>335</v>
      </c>
      <c r="B336" s="7" t="s">
        <v>356</v>
      </c>
      <c r="C336" t="s">
        <v>1311</v>
      </c>
      <c r="D336" s="65" t="str">
        <f t="shared" si="10"/>
        <v>N</v>
      </c>
      <c r="E336" t="s">
        <v>1312</v>
      </c>
      <c r="F336" s="25" t="s">
        <v>298</v>
      </c>
      <c r="G336" s="26">
        <v>3</v>
      </c>
      <c r="H336" s="7" t="s">
        <v>295</v>
      </c>
      <c r="I336" s="7" t="s">
        <v>294</v>
      </c>
      <c r="J336" s="1">
        <v>5</v>
      </c>
      <c r="K336" s="1">
        <v>7</v>
      </c>
      <c r="L336" s="67">
        <f t="shared" si="11"/>
        <v>0</v>
      </c>
    </row>
    <row r="337" spans="1:12" x14ac:dyDescent="0.2">
      <c r="A337">
        <v>336</v>
      </c>
      <c r="B337" s="7" t="s">
        <v>372</v>
      </c>
      <c r="C337" t="s">
        <v>1311</v>
      </c>
      <c r="D337" s="65" t="str">
        <f t="shared" si="10"/>
        <v>N</v>
      </c>
      <c r="E337" t="s">
        <v>1312</v>
      </c>
      <c r="F337" s="25" t="s">
        <v>298</v>
      </c>
      <c r="G337" s="26">
        <v>3</v>
      </c>
      <c r="H337" s="7" t="s">
        <v>298</v>
      </c>
      <c r="I337" s="7" t="s">
        <v>297</v>
      </c>
      <c r="J337" s="1">
        <v>3</v>
      </c>
      <c r="K337" s="1">
        <v>4</v>
      </c>
      <c r="L337" s="67">
        <f t="shared" si="11"/>
        <v>1</v>
      </c>
    </row>
    <row r="338" spans="1:12" x14ac:dyDescent="0.2">
      <c r="A338">
        <v>337</v>
      </c>
      <c r="B338" s="7" t="s">
        <v>356</v>
      </c>
      <c r="C338" t="s">
        <v>1311</v>
      </c>
      <c r="D338" s="65" t="str">
        <f t="shared" si="10"/>
        <v>N</v>
      </c>
      <c r="E338" t="s">
        <v>1312</v>
      </c>
      <c r="F338" s="25" t="s">
        <v>298</v>
      </c>
      <c r="G338" s="26">
        <v>3</v>
      </c>
      <c r="H338" s="7" t="s">
        <v>298</v>
      </c>
      <c r="I338" s="7" t="s">
        <v>296</v>
      </c>
      <c r="J338" s="1">
        <v>3</v>
      </c>
      <c r="K338" s="1">
        <v>6</v>
      </c>
      <c r="L338" s="67">
        <f t="shared" si="11"/>
        <v>1</v>
      </c>
    </row>
    <row r="339" spans="1:12" x14ac:dyDescent="0.2">
      <c r="A339">
        <v>338</v>
      </c>
      <c r="B339" s="7" t="s">
        <v>356</v>
      </c>
      <c r="C339" t="s">
        <v>1311</v>
      </c>
      <c r="D339" s="65" t="str">
        <f t="shared" si="10"/>
        <v>N</v>
      </c>
      <c r="E339" t="s">
        <v>1312</v>
      </c>
      <c r="F339" s="25" t="s">
        <v>298</v>
      </c>
      <c r="G339" s="26">
        <v>3</v>
      </c>
      <c r="H339" s="7" t="s">
        <v>295</v>
      </c>
      <c r="I339" s="7" t="s">
        <v>296</v>
      </c>
      <c r="J339" s="1">
        <v>5</v>
      </c>
      <c r="K339" s="1">
        <v>6</v>
      </c>
      <c r="L339" s="67">
        <f t="shared" si="11"/>
        <v>0</v>
      </c>
    </row>
    <row r="340" spans="1:12" x14ac:dyDescent="0.2">
      <c r="A340">
        <v>339</v>
      </c>
      <c r="B340" s="7" t="s">
        <v>372</v>
      </c>
      <c r="C340" t="s">
        <v>1311</v>
      </c>
      <c r="D340" s="65" t="str">
        <f t="shared" si="10"/>
        <v>N</v>
      </c>
      <c r="E340" t="s">
        <v>1312</v>
      </c>
      <c r="F340" s="25" t="s">
        <v>298</v>
      </c>
      <c r="G340" s="26">
        <v>3</v>
      </c>
      <c r="H340" s="7" t="s">
        <v>298</v>
      </c>
      <c r="I340" s="7" t="s">
        <v>292</v>
      </c>
      <c r="J340" s="1">
        <v>3</v>
      </c>
      <c r="K340" s="1">
        <v>5</v>
      </c>
      <c r="L340" s="67">
        <f t="shared" si="11"/>
        <v>1</v>
      </c>
    </row>
    <row r="341" spans="1:12" x14ac:dyDescent="0.2">
      <c r="A341">
        <v>340</v>
      </c>
      <c r="B341" s="7" t="s">
        <v>372</v>
      </c>
      <c r="C341" t="s">
        <v>1311</v>
      </c>
      <c r="D341" s="65" t="str">
        <f t="shared" si="10"/>
        <v>N</v>
      </c>
      <c r="E341" t="s">
        <v>1312</v>
      </c>
      <c r="F341" s="25" t="s">
        <v>298</v>
      </c>
      <c r="G341" s="26">
        <v>3</v>
      </c>
      <c r="H341" s="7" t="s">
        <v>299</v>
      </c>
      <c r="I341" s="7" t="s">
        <v>294</v>
      </c>
      <c r="J341" s="1">
        <v>4</v>
      </c>
      <c r="K341" s="1">
        <v>7</v>
      </c>
      <c r="L341" s="67">
        <f t="shared" si="11"/>
        <v>0</v>
      </c>
    </row>
    <row r="342" spans="1:12" x14ac:dyDescent="0.2">
      <c r="A342">
        <v>341</v>
      </c>
      <c r="B342" s="7" t="s">
        <v>356</v>
      </c>
      <c r="C342" t="s">
        <v>1311</v>
      </c>
      <c r="D342" s="65" t="str">
        <f t="shared" si="10"/>
        <v>N</v>
      </c>
      <c r="E342" t="s">
        <v>1312</v>
      </c>
      <c r="F342" s="25" t="s">
        <v>298</v>
      </c>
      <c r="G342" s="26">
        <v>3</v>
      </c>
      <c r="H342" s="7" t="s">
        <v>295</v>
      </c>
      <c r="I342" s="7" t="s">
        <v>296</v>
      </c>
      <c r="J342" s="1">
        <v>5</v>
      </c>
      <c r="K342" s="1">
        <v>6</v>
      </c>
      <c r="L342" s="67">
        <f t="shared" si="11"/>
        <v>0</v>
      </c>
    </row>
    <row r="343" spans="1:12" x14ac:dyDescent="0.2">
      <c r="A343">
        <v>342</v>
      </c>
      <c r="B343" s="7" t="s">
        <v>356</v>
      </c>
      <c r="C343" t="s">
        <v>1311</v>
      </c>
      <c r="D343" s="65" t="str">
        <f t="shared" si="10"/>
        <v>N</v>
      </c>
      <c r="E343" t="s">
        <v>1312</v>
      </c>
      <c r="F343" s="25" t="s">
        <v>298</v>
      </c>
      <c r="G343" s="26">
        <v>3</v>
      </c>
      <c r="H343" s="7" t="s">
        <v>295</v>
      </c>
      <c r="I343" s="7" t="s">
        <v>296</v>
      </c>
      <c r="J343" s="1">
        <v>5</v>
      </c>
      <c r="K343" s="1">
        <v>6</v>
      </c>
      <c r="L343" s="67">
        <f t="shared" si="11"/>
        <v>0</v>
      </c>
    </row>
    <row r="344" spans="1:12" x14ac:dyDescent="0.2">
      <c r="A344">
        <v>343</v>
      </c>
      <c r="B344" s="7" t="s">
        <v>372</v>
      </c>
      <c r="C344" t="s">
        <v>1311</v>
      </c>
      <c r="D344" s="65" t="str">
        <f t="shared" si="10"/>
        <v>N</v>
      </c>
      <c r="E344" t="s">
        <v>1312</v>
      </c>
      <c r="F344" s="25" t="s">
        <v>298</v>
      </c>
      <c r="G344" s="26">
        <v>3</v>
      </c>
      <c r="H344" s="7" t="s">
        <v>299</v>
      </c>
      <c r="I344" s="7" t="s">
        <v>330</v>
      </c>
      <c r="J344" s="1">
        <v>4</v>
      </c>
      <c r="K344" s="1">
        <v>3</v>
      </c>
      <c r="L344" s="67">
        <f t="shared" si="11"/>
        <v>0</v>
      </c>
    </row>
    <row r="345" spans="1:12" x14ac:dyDescent="0.2">
      <c r="A345">
        <v>344</v>
      </c>
      <c r="B345" s="7" t="s">
        <v>356</v>
      </c>
      <c r="C345" t="s">
        <v>1311</v>
      </c>
      <c r="D345" s="65" t="str">
        <f t="shared" si="10"/>
        <v>N</v>
      </c>
      <c r="E345" t="s">
        <v>1312</v>
      </c>
      <c r="F345" s="25" t="s">
        <v>298</v>
      </c>
      <c r="G345" s="26">
        <v>3</v>
      </c>
      <c r="H345" s="7" t="s">
        <v>295</v>
      </c>
      <c r="I345" s="7" t="s">
        <v>292</v>
      </c>
      <c r="J345" s="1">
        <v>5</v>
      </c>
      <c r="K345" s="1">
        <v>5</v>
      </c>
      <c r="L345" s="67">
        <f t="shared" si="11"/>
        <v>0</v>
      </c>
    </row>
    <row r="346" spans="1:12" x14ac:dyDescent="0.2">
      <c r="A346">
        <v>345</v>
      </c>
      <c r="B346" s="7" t="s">
        <v>372</v>
      </c>
      <c r="C346" t="s">
        <v>1311</v>
      </c>
      <c r="D346" s="65" t="str">
        <f t="shared" si="10"/>
        <v>N</v>
      </c>
      <c r="E346" t="s">
        <v>1312</v>
      </c>
      <c r="F346" s="25" t="s">
        <v>298</v>
      </c>
      <c r="G346" s="26">
        <v>3</v>
      </c>
      <c r="H346" s="7" t="s">
        <v>295</v>
      </c>
      <c r="I346" s="7" t="s">
        <v>297</v>
      </c>
      <c r="J346" s="1">
        <v>5</v>
      </c>
      <c r="K346" s="1">
        <v>4</v>
      </c>
      <c r="L346" s="67">
        <f t="shared" si="11"/>
        <v>0</v>
      </c>
    </row>
    <row r="347" spans="1:12" x14ac:dyDescent="0.2">
      <c r="A347">
        <v>346</v>
      </c>
      <c r="B347" s="7" t="s">
        <v>356</v>
      </c>
      <c r="C347" t="s">
        <v>1311</v>
      </c>
      <c r="D347" s="65" t="str">
        <f t="shared" si="10"/>
        <v>N</v>
      </c>
      <c r="E347" t="s">
        <v>1312</v>
      </c>
      <c r="F347" s="25" t="s">
        <v>298</v>
      </c>
      <c r="G347" s="26">
        <v>3</v>
      </c>
      <c r="H347" s="7" t="s">
        <v>299</v>
      </c>
      <c r="I347" s="7" t="s">
        <v>292</v>
      </c>
      <c r="J347" s="1">
        <v>4</v>
      </c>
      <c r="K347" s="1">
        <v>5</v>
      </c>
      <c r="L347" s="67">
        <f t="shared" si="11"/>
        <v>0</v>
      </c>
    </row>
    <row r="348" spans="1:12" x14ac:dyDescent="0.2">
      <c r="A348">
        <v>347</v>
      </c>
      <c r="B348" s="7" t="s">
        <v>372</v>
      </c>
      <c r="C348" t="s">
        <v>1311</v>
      </c>
      <c r="D348" s="65" t="str">
        <f t="shared" si="10"/>
        <v>N</v>
      </c>
      <c r="E348" t="s">
        <v>1312</v>
      </c>
      <c r="F348" s="25" t="s">
        <v>298</v>
      </c>
      <c r="G348" s="26">
        <v>3</v>
      </c>
      <c r="H348" s="7" t="s">
        <v>295</v>
      </c>
      <c r="I348" s="7" t="s">
        <v>297</v>
      </c>
      <c r="J348" s="1">
        <v>5</v>
      </c>
      <c r="K348" s="1">
        <v>4</v>
      </c>
      <c r="L348" s="67">
        <f t="shared" si="11"/>
        <v>0</v>
      </c>
    </row>
    <row r="349" spans="1:12" x14ac:dyDescent="0.2">
      <c r="A349">
        <v>348</v>
      </c>
      <c r="B349" s="7" t="s">
        <v>356</v>
      </c>
      <c r="C349" t="s">
        <v>1311</v>
      </c>
      <c r="D349" s="65" t="str">
        <f t="shared" si="10"/>
        <v>N</v>
      </c>
      <c r="E349" t="s">
        <v>1312</v>
      </c>
      <c r="F349" s="25" t="s">
        <v>298</v>
      </c>
      <c r="G349" s="26">
        <v>3</v>
      </c>
      <c r="H349" s="7" t="s">
        <v>295</v>
      </c>
      <c r="I349" s="7" t="s">
        <v>297</v>
      </c>
      <c r="J349" s="1">
        <v>5</v>
      </c>
      <c r="K349" s="1">
        <v>4</v>
      </c>
      <c r="L349" s="67">
        <f t="shared" si="11"/>
        <v>0</v>
      </c>
    </row>
    <row r="350" spans="1:12" x14ac:dyDescent="0.2">
      <c r="A350">
        <v>349</v>
      </c>
      <c r="B350" s="7" t="s">
        <v>356</v>
      </c>
      <c r="C350" t="s">
        <v>1311</v>
      </c>
      <c r="D350" s="65" t="str">
        <f t="shared" si="10"/>
        <v>N</v>
      </c>
      <c r="E350" t="s">
        <v>1312</v>
      </c>
      <c r="F350" s="25" t="s">
        <v>298</v>
      </c>
      <c r="G350" s="26">
        <v>3</v>
      </c>
      <c r="H350" s="7" t="s">
        <v>295</v>
      </c>
      <c r="I350" s="7" t="s">
        <v>296</v>
      </c>
      <c r="J350" s="1">
        <v>5</v>
      </c>
      <c r="K350" s="1">
        <v>6</v>
      </c>
      <c r="L350" s="67">
        <f t="shared" si="11"/>
        <v>0</v>
      </c>
    </row>
    <row r="351" spans="1:12" x14ac:dyDescent="0.2">
      <c r="A351">
        <v>350</v>
      </c>
      <c r="B351" s="7" t="s">
        <v>372</v>
      </c>
      <c r="C351" t="s">
        <v>1311</v>
      </c>
      <c r="D351" s="65" t="str">
        <f t="shared" si="10"/>
        <v>N</v>
      </c>
      <c r="E351" t="s">
        <v>1312</v>
      </c>
      <c r="F351" s="25" t="s">
        <v>298</v>
      </c>
      <c r="G351" s="26">
        <v>3</v>
      </c>
      <c r="H351" s="7" t="s">
        <v>295</v>
      </c>
      <c r="I351" s="7" t="s">
        <v>292</v>
      </c>
      <c r="J351" s="1">
        <v>5</v>
      </c>
      <c r="K351" s="1">
        <v>5</v>
      </c>
      <c r="L351" s="67">
        <f t="shared" si="11"/>
        <v>0</v>
      </c>
    </row>
    <row r="352" spans="1:12" x14ac:dyDescent="0.2">
      <c r="A352">
        <v>351</v>
      </c>
      <c r="B352" s="7" t="s">
        <v>372</v>
      </c>
      <c r="C352" t="s">
        <v>1311</v>
      </c>
      <c r="D352" s="65" t="str">
        <f t="shared" si="10"/>
        <v>N</v>
      </c>
      <c r="E352" t="s">
        <v>1312</v>
      </c>
      <c r="F352" s="25" t="s">
        <v>298</v>
      </c>
      <c r="G352" s="26">
        <v>3</v>
      </c>
      <c r="H352" s="7" t="s">
        <v>299</v>
      </c>
      <c r="I352" s="7" t="s">
        <v>297</v>
      </c>
      <c r="J352" s="1">
        <v>4</v>
      </c>
      <c r="K352" s="1">
        <v>4</v>
      </c>
      <c r="L352" s="67">
        <f t="shared" si="11"/>
        <v>0</v>
      </c>
    </row>
    <row r="353" spans="1:12" x14ac:dyDescent="0.2">
      <c r="A353">
        <v>352</v>
      </c>
      <c r="B353" s="7" t="s">
        <v>356</v>
      </c>
      <c r="C353" t="s">
        <v>1311</v>
      </c>
      <c r="D353" s="65" t="str">
        <f t="shared" si="10"/>
        <v>N</v>
      </c>
      <c r="E353" t="s">
        <v>1312</v>
      </c>
      <c r="F353" s="25" t="s">
        <v>298</v>
      </c>
      <c r="G353" s="26">
        <v>3</v>
      </c>
      <c r="H353" s="7" t="s">
        <v>295</v>
      </c>
      <c r="I353" s="7" t="s">
        <v>297</v>
      </c>
      <c r="J353" s="1">
        <v>5</v>
      </c>
      <c r="K353" s="1">
        <v>4</v>
      </c>
      <c r="L353" s="67">
        <f t="shared" si="11"/>
        <v>0</v>
      </c>
    </row>
    <row r="354" spans="1:12" x14ac:dyDescent="0.2">
      <c r="A354">
        <v>353</v>
      </c>
      <c r="B354" s="7" t="s">
        <v>372</v>
      </c>
      <c r="C354" t="s">
        <v>1311</v>
      </c>
      <c r="D354" s="65" t="str">
        <f t="shared" si="10"/>
        <v>N</v>
      </c>
      <c r="E354" t="s">
        <v>1312</v>
      </c>
      <c r="F354" s="25" t="s">
        <v>298</v>
      </c>
      <c r="G354" s="26">
        <v>3</v>
      </c>
      <c r="H354" s="7" t="s">
        <v>299</v>
      </c>
      <c r="I354" s="7" t="s">
        <v>296</v>
      </c>
      <c r="J354" s="1">
        <v>4</v>
      </c>
      <c r="K354" s="1">
        <v>6</v>
      </c>
      <c r="L354" s="67">
        <f t="shared" si="11"/>
        <v>0</v>
      </c>
    </row>
    <row r="355" spans="1:12" x14ac:dyDescent="0.2">
      <c r="A355">
        <v>354</v>
      </c>
      <c r="B355" s="7" t="s">
        <v>372</v>
      </c>
      <c r="C355" t="s">
        <v>1311</v>
      </c>
      <c r="D355" s="65" t="str">
        <f t="shared" si="10"/>
        <v>N</v>
      </c>
      <c r="E355" t="s">
        <v>1312</v>
      </c>
      <c r="F355" s="25" t="s">
        <v>298</v>
      </c>
      <c r="G355" s="26">
        <v>3</v>
      </c>
      <c r="H355" s="7" t="s">
        <v>299</v>
      </c>
      <c r="I355" s="7" t="s">
        <v>296</v>
      </c>
      <c r="J355" s="1">
        <v>4</v>
      </c>
      <c r="K355" s="1">
        <v>6</v>
      </c>
      <c r="L355" s="67">
        <f t="shared" si="11"/>
        <v>0</v>
      </c>
    </row>
    <row r="356" spans="1:12" x14ac:dyDescent="0.2">
      <c r="A356">
        <v>355</v>
      </c>
      <c r="B356" s="7" t="s">
        <v>372</v>
      </c>
      <c r="C356" t="s">
        <v>1311</v>
      </c>
      <c r="D356" s="65" t="str">
        <f t="shared" si="10"/>
        <v>N</v>
      </c>
      <c r="E356" t="s">
        <v>1312</v>
      </c>
      <c r="F356" s="25" t="s">
        <v>298</v>
      </c>
      <c r="G356" s="26">
        <v>3</v>
      </c>
      <c r="H356" s="7" t="s">
        <v>295</v>
      </c>
      <c r="I356" s="7" t="s">
        <v>297</v>
      </c>
      <c r="J356" s="1">
        <v>5</v>
      </c>
      <c r="K356" s="1">
        <v>4</v>
      </c>
      <c r="L356" s="67">
        <f t="shared" si="11"/>
        <v>0</v>
      </c>
    </row>
    <row r="357" spans="1:12" x14ac:dyDescent="0.2">
      <c r="A357">
        <v>356</v>
      </c>
      <c r="B357" s="7" t="s">
        <v>356</v>
      </c>
      <c r="C357" t="s">
        <v>1311</v>
      </c>
      <c r="D357" s="65" t="str">
        <f t="shared" si="10"/>
        <v>N</v>
      </c>
      <c r="E357" t="s">
        <v>1312</v>
      </c>
      <c r="F357" s="25" t="s">
        <v>298</v>
      </c>
      <c r="G357" s="26">
        <v>3</v>
      </c>
      <c r="H357" s="7" t="s">
        <v>295</v>
      </c>
      <c r="I357" s="7" t="s">
        <v>292</v>
      </c>
      <c r="J357" s="1">
        <v>5</v>
      </c>
      <c r="K357" s="1">
        <v>5</v>
      </c>
      <c r="L357" s="67">
        <f t="shared" si="11"/>
        <v>0</v>
      </c>
    </row>
    <row r="358" spans="1:12" x14ac:dyDescent="0.2">
      <c r="A358">
        <v>357</v>
      </c>
      <c r="B358" s="7" t="s">
        <v>372</v>
      </c>
      <c r="C358" t="s">
        <v>1311</v>
      </c>
      <c r="D358" s="65" t="str">
        <f t="shared" si="10"/>
        <v>N</v>
      </c>
      <c r="E358" t="s">
        <v>1312</v>
      </c>
      <c r="F358" s="25" t="s">
        <v>298</v>
      </c>
      <c r="G358" s="26">
        <v>3</v>
      </c>
      <c r="H358" s="7" t="s">
        <v>295</v>
      </c>
      <c r="I358" s="7" t="s">
        <v>292</v>
      </c>
      <c r="J358" s="1">
        <v>5</v>
      </c>
      <c r="K358" s="1">
        <v>5</v>
      </c>
      <c r="L358" s="67">
        <f t="shared" si="11"/>
        <v>0</v>
      </c>
    </row>
    <row r="359" spans="1:12" x14ac:dyDescent="0.2">
      <c r="A359">
        <v>358</v>
      </c>
      <c r="B359" s="7" t="s">
        <v>356</v>
      </c>
      <c r="C359" t="s">
        <v>1311</v>
      </c>
      <c r="D359" s="65" t="str">
        <f t="shared" si="10"/>
        <v>N</v>
      </c>
      <c r="E359" t="s">
        <v>1312</v>
      </c>
      <c r="F359" s="25" t="s">
        <v>298</v>
      </c>
      <c r="G359" s="26">
        <v>3</v>
      </c>
      <c r="H359" s="7" t="s">
        <v>295</v>
      </c>
      <c r="I359" s="7" t="s">
        <v>292</v>
      </c>
      <c r="J359" s="1">
        <v>5</v>
      </c>
      <c r="K359" s="1">
        <v>5</v>
      </c>
      <c r="L359" s="67">
        <f t="shared" si="11"/>
        <v>0</v>
      </c>
    </row>
    <row r="360" spans="1:12" x14ac:dyDescent="0.2">
      <c r="A360">
        <v>359</v>
      </c>
      <c r="B360" s="7" t="s">
        <v>356</v>
      </c>
      <c r="C360" t="s">
        <v>1311</v>
      </c>
      <c r="D360" s="65" t="str">
        <f t="shared" si="10"/>
        <v>N</v>
      </c>
      <c r="E360" t="s">
        <v>1312</v>
      </c>
      <c r="F360" s="25" t="s">
        <v>298</v>
      </c>
      <c r="G360" s="26">
        <v>3</v>
      </c>
      <c r="H360" s="7" t="s">
        <v>295</v>
      </c>
      <c r="I360" s="7" t="s">
        <v>296</v>
      </c>
      <c r="J360" s="1">
        <v>5</v>
      </c>
      <c r="K360" s="1">
        <v>6</v>
      </c>
      <c r="L360" s="67">
        <f t="shared" si="11"/>
        <v>0</v>
      </c>
    </row>
    <row r="361" spans="1:12" x14ac:dyDescent="0.2">
      <c r="A361">
        <v>360</v>
      </c>
      <c r="B361" s="7" t="s">
        <v>372</v>
      </c>
      <c r="C361" t="s">
        <v>1311</v>
      </c>
      <c r="D361" s="65" t="str">
        <f t="shared" si="10"/>
        <v>N</v>
      </c>
      <c r="E361" t="s">
        <v>1312</v>
      </c>
      <c r="F361" s="25" t="s">
        <v>298</v>
      </c>
      <c r="G361" s="26">
        <v>3</v>
      </c>
      <c r="H361" s="7" t="s">
        <v>295</v>
      </c>
      <c r="I361" s="7" t="s">
        <v>296</v>
      </c>
      <c r="J361" s="1">
        <v>5</v>
      </c>
      <c r="K361" s="1">
        <v>6</v>
      </c>
      <c r="L361" s="67">
        <f t="shared" si="11"/>
        <v>0</v>
      </c>
    </row>
    <row r="362" spans="1:12" x14ac:dyDescent="0.2">
      <c r="A362">
        <v>361</v>
      </c>
      <c r="B362" s="7" t="s">
        <v>372</v>
      </c>
      <c r="C362" t="s">
        <v>1311</v>
      </c>
      <c r="D362" s="65" t="str">
        <f t="shared" si="10"/>
        <v>N</v>
      </c>
      <c r="E362" t="s">
        <v>1312</v>
      </c>
      <c r="F362" s="25" t="s">
        <v>298</v>
      </c>
      <c r="G362" s="26">
        <v>3</v>
      </c>
      <c r="H362" s="7" t="s">
        <v>295</v>
      </c>
      <c r="I362" s="7" t="s">
        <v>296</v>
      </c>
      <c r="J362" s="1">
        <v>5</v>
      </c>
      <c r="K362" s="1">
        <v>6</v>
      </c>
      <c r="L362" s="67">
        <f t="shared" si="11"/>
        <v>0</v>
      </c>
    </row>
    <row r="363" spans="1:12" x14ac:dyDescent="0.2">
      <c r="A363">
        <v>362</v>
      </c>
      <c r="B363" s="7" t="s">
        <v>356</v>
      </c>
      <c r="C363" t="s">
        <v>1311</v>
      </c>
      <c r="D363" s="65" t="str">
        <f t="shared" si="10"/>
        <v>N</v>
      </c>
      <c r="E363" t="s">
        <v>1312</v>
      </c>
      <c r="F363" s="25" t="s">
        <v>298</v>
      </c>
      <c r="G363" s="26">
        <v>3</v>
      </c>
      <c r="H363" s="7" t="s">
        <v>295</v>
      </c>
      <c r="I363" s="7" t="s">
        <v>294</v>
      </c>
      <c r="J363" s="1">
        <v>5</v>
      </c>
      <c r="K363" s="1">
        <v>7</v>
      </c>
      <c r="L363" s="67">
        <f t="shared" si="11"/>
        <v>0</v>
      </c>
    </row>
    <row r="364" spans="1:12" x14ac:dyDescent="0.2">
      <c r="A364">
        <v>363</v>
      </c>
      <c r="B364" s="7" t="s">
        <v>372</v>
      </c>
      <c r="C364" t="s">
        <v>1311</v>
      </c>
      <c r="D364" s="65" t="str">
        <f t="shared" si="10"/>
        <v>N</v>
      </c>
      <c r="E364" t="s">
        <v>1312</v>
      </c>
      <c r="F364" s="25" t="s">
        <v>298</v>
      </c>
      <c r="G364" s="26">
        <v>3</v>
      </c>
      <c r="H364" s="7" t="s">
        <v>295</v>
      </c>
      <c r="I364" s="7" t="s">
        <v>292</v>
      </c>
      <c r="J364" s="1">
        <v>5</v>
      </c>
      <c r="K364" s="1">
        <v>5</v>
      </c>
      <c r="L364" s="67">
        <f t="shared" si="11"/>
        <v>0</v>
      </c>
    </row>
    <row r="365" spans="1:12" x14ac:dyDescent="0.2">
      <c r="A365">
        <v>364</v>
      </c>
      <c r="B365" s="7" t="s">
        <v>356</v>
      </c>
      <c r="C365" t="s">
        <v>1311</v>
      </c>
      <c r="D365" s="65" t="str">
        <f t="shared" si="10"/>
        <v>N</v>
      </c>
      <c r="E365" t="s">
        <v>1312</v>
      </c>
      <c r="F365" s="25" t="s">
        <v>298</v>
      </c>
      <c r="G365" s="26">
        <v>3</v>
      </c>
      <c r="H365" s="7" t="s">
        <v>298</v>
      </c>
      <c r="I365" s="7" t="s">
        <v>296</v>
      </c>
      <c r="J365" s="1">
        <v>3</v>
      </c>
      <c r="K365" s="1">
        <v>6</v>
      </c>
      <c r="L365" s="67">
        <f t="shared" si="11"/>
        <v>1</v>
      </c>
    </row>
    <row r="366" spans="1:12" x14ac:dyDescent="0.2">
      <c r="A366">
        <v>365</v>
      </c>
      <c r="B366" s="7" t="s">
        <v>372</v>
      </c>
      <c r="C366" t="s">
        <v>1311</v>
      </c>
      <c r="D366" s="65" t="str">
        <f t="shared" si="10"/>
        <v>N</v>
      </c>
      <c r="E366" t="s">
        <v>1312</v>
      </c>
      <c r="F366" s="25" t="s">
        <v>298</v>
      </c>
      <c r="G366" s="26">
        <v>3</v>
      </c>
      <c r="H366" s="7" t="s">
        <v>295</v>
      </c>
      <c r="I366" s="7" t="s">
        <v>296</v>
      </c>
      <c r="J366" s="1">
        <v>5</v>
      </c>
      <c r="K366" s="1">
        <v>6</v>
      </c>
      <c r="L366" s="67">
        <f t="shared" si="11"/>
        <v>0</v>
      </c>
    </row>
    <row r="367" spans="1:12" x14ac:dyDescent="0.2">
      <c r="A367">
        <v>366</v>
      </c>
      <c r="B367" s="7" t="s">
        <v>372</v>
      </c>
      <c r="C367" t="s">
        <v>1311</v>
      </c>
      <c r="D367" s="65" t="str">
        <f t="shared" si="10"/>
        <v>N</v>
      </c>
      <c r="E367" t="s">
        <v>1312</v>
      </c>
      <c r="F367" s="25" t="s">
        <v>298</v>
      </c>
      <c r="G367" s="26">
        <v>3</v>
      </c>
      <c r="H367" s="7" t="s">
        <v>299</v>
      </c>
      <c r="I367" s="7" t="s">
        <v>296</v>
      </c>
      <c r="J367" s="1">
        <v>4</v>
      </c>
      <c r="K367" s="1">
        <v>6</v>
      </c>
      <c r="L367" s="67">
        <f t="shared" si="11"/>
        <v>0</v>
      </c>
    </row>
    <row r="368" spans="1:12" x14ac:dyDescent="0.2">
      <c r="A368">
        <v>367</v>
      </c>
      <c r="B368" s="7" t="s">
        <v>356</v>
      </c>
      <c r="C368" t="s">
        <v>1311</v>
      </c>
      <c r="D368" s="65" t="str">
        <f t="shared" si="10"/>
        <v>N</v>
      </c>
      <c r="E368" t="s">
        <v>1312</v>
      </c>
      <c r="F368" s="25" t="s">
        <v>298</v>
      </c>
      <c r="G368" s="26">
        <v>3</v>
      </c>
      <c r="H368" s="7" t="s">
        <v>299</v>
      </c>
      <c r="I368" s="7" t="s">
        <v>292</v>
      </c>
      <c r="J368" s="1">
        <v>4</v>
      </c>
      <c r="K368" s="1">
        <v>5</v>
      </c>
      <c r="L368" s="67">
        <f t="shared" si="11"/>
        <v>0</v>
      </c>
    </row>
    <row r="369" spans="1:12" x14ac:dyDescent="0.2">
      <c r="A369">
        <v>368</v>
      </c>
      <c r="B369" s="7" t="s">
        <v>372</v>
      </c>
      <c r="C369" t="s">
        <v>1311</v>
      </c>
      <c r="D369" s="65" t="str">
        <f t="shared" si="10"/>
        <v>N</v>
      </c>
      <c r="E369" t="s">
        <v>1312</v>
      </c>
      <c r="F369" s="25" t="s">
        <v>298</v>
      </c>
      <c r="G369" s="26">
        <v>3</v>
      </c>
      <c r="H369" s="7" t="s">
        <v>295</v>
      </c>
      <c r="I369" s="7" t="s">
        <v>296</v>
      </c>
      <c r="J369" s="1">
        <v>5</v>
      </c>
      <c r="K369" s="1">
        <v>6</v>
      </c>
      <c r="L369" s="67">
        <f t="shared" si="11"/>
        <v>0</v>
      </c>
    </row>
    <row r="370" spans="1:12" x14ac:dyDescent="0.2">
      <c r="A370">
        <v>369</v>
      </c>
      <c r="B370" s="7" t="s">
        <v>356</v>
      </c>
      <c r="C370" t="s">
        <v>1311</v>
      </c>
      <c r="D370" s="65" t="str">
        <f t="shared" si="10"/>
        <v>N</v>
      </c>
      <c r="E370" t="s">
        <v>1312</v>
      </c>
      <c r="F370" s="25" t="s">
        <v>298</v>
      </c>
      <c r="G370" s="26">
        <v>3</v>
      </c>
      <c r="H370" s="7" t="s">
        <v>299</v>
      </c>
      <c r="I370" s="7" t="s">
        <v>297</v>
      </c>
      <c r="J370" s="1">
        <v>4</v>
      </c>
      <c r="K370" s="1">
        <v>4</v>
      </c>
      <c r="L370" s="67">
        <f t="shared" si="11"/>
        <v>0</v>
      </c>
    </row>
    <row r="371" spans="1:12" x14ac:dyDescent="0.2">
      <c r="A371">
        <v>370</v>
      </c>
      <c r="B371" s="7" t="s">
        <v>356</v>
      </c>
      <c r="C371" t="s">
        <v>1311</v>
      </c>
      <c r="D371" s="65" t="str">
        <f t="shared" si="10"/>
        <v>N</v>
      </c>
      <c r="E371" t="s">
        <v>1312</v>
      </c>
      <c r="F371" s="25" t="s">
        <v>298</v>
      </c>
      <c r="G371" s="26">
        <v>3</v>
      </c>
      <c r="H371" s="7" t="s">
        <v>298</v>
      </c>
      <c r="I371" s="7" t="s">
        <v>296</v>
      </c>
      <c r="J371" s="1">
        <v>3</v>
      </c>
      <c r="K371" s="1">
        <v>6</v>
      </c>
      <c r="L371" s="67">
        <f t="shared" si="11"/>
        <v>1</v>
      </c>
    </row>
    <row r="372" spans="1:12" x14ac:dyDescent="0.2">
      <c r="A372">
        <v>371</v>
      </c>
      <c r="B372" s="7" t="s">
        <v>372</v>
      </c>
      <c r="C372" t="s">
        <v>1311</v>
      </c>
      <c r="D372" s="65" t="str">
        <f t="shared" si="10"/>
        <v>N</v>
      </c>
      <c r="E372" t="s">
        <v>1312</v>
      </c>
      <c r="F372" s="25" t="s">
        <v>298</v>
      </c>
      <c r="G372" s="26">
        <v>3</v>
      </c>
      <c r="H372" s="7" t="s">
        <v>295</v>
      </c>
      <c r="I372" s="7" t="s">
        <v>297</v>
      </c>
      <c r="J372" s="1">
        <v>5</v>
      </c>
      <c r="K372" s="1">
        <v>4</v>
      </c>
      <c r="L372" s="67">
        <f t="shared" si="11"/>
        <v>0</v>
      </c>
    </row>
    <row r="373" spans="1:12" x14ac:dyDescent="0.2">
      <c r="A373">
        <v>372</v>
      </c>
      <c r="B373" s="7" t="s">
        <v>356</v>
      </c>
      <c r="C373" t="s">
        <v>1311</v>
      </c>
      <c r="D373" s="65" t="str">
        <f t="shared" si="10"/>
        <v>N</v>
      </c>
      <c r="E373" t="s">
        <v>1312</v>
      </c>
      <c r="F373" s="25" t="s">
        <v>298</v>
      </c>
      <c r="G373" s="26">
        <v>3</v>
      </c>
      <c r="H373" s="7" t="s">
        <v>295</v>
      </c>
      <c r="I373" s="7" t="s">
        <v>296</v>
      </c>
      <c r="J373" s="1">
        <v>5</v>
      </c>
      <c r="K373" s="1">
        <v>6</v>
      </c>
      <c r="L373" s="67">
        <f t="shared" si="11"/>
        <v>0</v>
      </c>
    </row>
    <row r="374" spans="1:12" x14ac:dyDescent="0.2">
      <c r="A374">
        <v>373</v>
      </c>
      <c r="B374" s="7" t="s">
        <v>372</v>
      </c>
      <c r="C374" t="s">
        <v>1311</v>
      </c>
      <c r="D374" s="65" t="str">
        <f t="shared" si="10"/>
        <v>N</v>
      </c>
      <c r="E374" t="s">
        <v>1312</v>
      </c>
      <c r="F374" s="25" t="s">
        <v>298</v>
      </c>
      <c r="G374" s="26">
        <v>3</v>
      </c>
      <c r="H374" s="7" t="s">
        <v>295</v>
      </c>
      <c r="I374" s="7" t="s">
        <v>296</v>
      </c>
      <c r="J374" s="1">
        <v>5</v>
      </c>
      <c r="K374" s="1">
        <v>6</v>
      </c>
      <c r="L374" s="67">
        <f t="shared" si="11"/>
        <v>0</v>
      </c>
    </row>
    <row r="375" spans="1:12" x14ac:dyDescent="0.2">
      <c r="A375">
        <v>374</v>
      </c>
      <c r="B375" s="7" t="s">
        <v>356</v>
      </c>
      <c r="C375" t="s">
        <v>1311</v>
      </c>
      <c r="D375" s="65" t="str">
        <f t="shared" si="10"/>
        <v>N</v>
      </c>
      <c r="E375" t="s">
        <v>1312</v>
      </c>
      <c r="F375" s="25" t="s">
        <v>298</v>
      </c>
      <c r="G375" s="26">
        <v>3</v>
      </c>
      <c r="H375" s="7" t="s">
        <v>295</v>
      </c>
      <c r="I375" s="7" t="s">
        <v>296</v>
      </c>
      <c r="J375" s="1">
        <v>5</v>
      </c>
      <c r="K375" s="1">
        <v>6</v>
      </c>
      <c r="L375" s="67">
        <f t="shared" si="11"/>
        <v>0</v>
      </c>
    </row>
    <row r="376" spans="1:12" x14ac:dyDescent="0.2">
      <c r="A376">
        <v>375</v>
      </c>
      <c r="B376" s="7" t="s">
        <v>372</v>
      </c>
      <c r="C376" t="s">
        <v>1311</v>
      </c>
      <c r="D376" s="65" t="str">
        <f t="shared" si="10"/>
        <v>N</v>
      </c>
      <c r="E376" t="s">
        <v>1312</v>
      </c>
      <c r="F376" s="25" t="s">
        <v>298</v>
      </c>
      <c r="G376" s="26">
        <v>3</v>
      </c>
      <c r="H376" s="7" t="s">
        <v>298</v>
      </c>
      <c r="I376" s="7" t="s">
        <v>296</v>
      </c>
      <c r="J376" s="1">
        <v>3</v>
      </c>
      <c r="K376" s="1">
        <v>6</v>
      </c>
      <c r="L376" s="67">
        <f t="shared" si="11"/>
        <v>1</v>
      </c>
    </row>
    <row r="377" spans="1:12" x14ac:dyDescent="0.2">
      <c r="A377">
        <v>376</v>
      </c>
      <c r="B377" s="7" t="s">
        <v>356</v>
      </c>
      <c r="C377" t="s">
        <v>1311</v>
      </c>
      <c r="D377" s="65" t="str">
        <f t="shared" si="10"/>
        <v>N</v>
      </c>
      <c r="E377" t="s">
        <v>1312</v>
      </c>
      <c r="F377" s="25" t="s">
        <v>298</v>
      </c>
      <c r="G377" s="26">
        <v>3</v>
      </c>
      <c r="H377" s="7" t="s">
        <v>295</v>
      </c>
      <c r="I377" s="7" t="s">
        <v>296</v>
      </c>
      <c r="J377" s="1">
        <v>5</v>
      </c>
      <c r="K377" s="1">
        <v>6</v>
      </c>
      <c r="L377" s="67">
        <f t="shared" si="11"/>
        <v>0</v>
      </c>
    </row>
    <row r="378" spans="1:12" x14ac:dyDescent="0.2">
      <c r="A378">
        <v>377</v>
      </c>
      <c r="B378" s="7" t="s">
        <v>372</v>
      </c>
      <c r="C378" t="s">
        <v>1311</v>
      </c>
      <c r="D378" s="65" t="str">
        <f t="shared" si="10"/>
        <v>N</v>
      </c>
      <c r="E378" t="s">
        <v>1312</v>
      </c>
      <c r="F378" s="25" t="s">
        <v>298</v>
      </c>
      <c r="G378" s="26">
        <v>3</v>
      </c>
      <c r="H378" s="7" t="s">
        <v>298</v>
      </c>
      <c r="I378" s="7" t="s">
        <v>292</v>
      </c>
      <c r="J378" s="1">
        <v>3</v>
      </c>
      <c r="K378" s="1">
        <v>5</v>
      </c>
      <c r="L378" s="67">
        <f t="shared" si="11"/>
        <v>1</v>
      </c>
    </row>
    <row r="379" spans="1:12" x14ac:dyDescent="0.2">
      <c r="A379">
        <v>378</v>
      </c>
      <c r="B379" s="7" t="s">
        <v>372</v>
      </c>
      <c r="C379" t="s">
        <v>1311</v>
      </c>
      <c r="D379" s="65" t="str">
        <f t="shared" si="10"/>
        <v>N</v>
      </c>
      <c r="E379" t="s">
        <v>1312</v>
      </c>
      <c r="F379" s="25" t="s">
        <v>298</v>
      </c>
      <c r="G379" s="26">
        <v>3</v>
      </c>
      <c r="H379" s="7" t="s">
        <v>295</v>
      </c>
      <c r="I379" s="7" t="s">
        <v>297</v>
      </c>
      <c r="J379" s="1">
        <v>5</v>
      </c>
      <c r="K379" s="1">
        <v>4</v>
      </c>
      <c r="L379" s="67">
        <f t="shared" si="11"/>
        <v>0</v>
      </c>
    </row>
    <row r="380" spans="1:12" x14ac:dyDescent="0.2">
      <c r="A380">
        <v>379</v>
      </c>
      <c r="B380" s="7" t="s">
        <v>356</v>
      </c>
      <c r="C380" t="s">
        <v>1311</v>
      </c>
      <c r="D380" s="65" t="str">
        <f t="shared" si="10"/>
        <v>N</v>
      </c>
      <c r="E380" t="s">
        <v>1312</v>
      </c>
      <c r="F380" s="25" t="s">
        <v>298</v>
      </c>
      <c r="G380" s="26">
        <v>3</v>
      </c>
      <c r="H380" s="7" t="s">
        <v>295</v>
      </c>
      <c r="I380" s="7" t="s">
        <v>292</v>
      </c>
      <c r="J380" s="1">
        <v>5</v>
      </c>
      <c r="K380" s="1">
        <v>5</v>
      </c>
      <c r="L380" s="67">
        <f t="shared" si="11"/>
        <v>0</v>
      </c>
    </row>
    <row r="381" spans="1:12" x14ac:dyDescent="0.2">
      <c r="A381">
        <v>380</v>
      </c>
      <c r="B381" s="7" t="s">
        <v>356</v>
      </c>
      <c r="C381" t="s">
        <v>1311</v>
      </c>
      <c r="D381" s="65" t="str">
        <f t="shared" si="10"/>
        <v>N</v>
      </c>
      <c r="E381" t="s">
        <v>1312</v>
      </c>
      <c r="F381" s="25" t="s">
        <v>298</v>
      </c>
      <c r="G381" s="26">
        <v>3</v>
      </c>
      <c r="H381" s="7" t="s">
        <v>295</v>
      </c>
      <c r="I381" s="7" t="s">
        <v>296</v>
      </c>
      <c r="J381" s="1">
        <v>5</v>
      </c>
      <c r="K381" s="1">
        <v>6</v>
      </c>
      <c r="L381" s="67">
        <f t="shared" si="11"/>
        <v>0</v>
      </c>
    </row>
    <row r="382" spans="1:12" x14ac:dyDescent="0.2">
      <c r="A382">
        <v>381</v>
      </c>
      <c r="B382" s="7" t="s">
        <v>372</v>
      </c>
      <c r="C382" t="s">
        <v>1311</v>
      </c>
      <c r="D382" s="65" t="str">
        <f t="shared" si="10"/>
        <v>N</v>
      </c>
      <c r="E382" t="s">
        <v>1312</v>
      </c>
      <c r="F382" s="25" t="s">
        <v>298</v>
      </c>
      <c r="G382" s="26">
        <v>3</v>
      </c>
      <c r="H382" s="7" t="s">
        <v>295</v>
      </c>
      <c r="I382" s="7" t="s">
        <v>294</v>
      </c>
      <c r="J382" s="1">
        <v>5</v>
      </c>
      <c r="K382" s="1">
        <v>7</v>
      </c>
      <c r="L382" s="67">
        <f t="shared" si="11"/>
        <v>0</v>
      </c>
    </row>
    <row r="383" spans="1:12" x14ac:dyDescent="0.2">
      <c r="A383">
        <v>382</v>
      </c>
      <c r="B383" s="7" t="s">
        <v>372</v>
      </c>
      <c r="C383" t="s">
        <v>1311</v>
      </c>
      <c r="D383" s="65" t="str">
        <f t="shared" si="10"/>
        <v>N</v>
      </c>
      <c r="E383" t="s">
        <v>1312</v>
      </c>
      <c r="F383" s="25" t="s">
        <v>298</v>
      </c>
      <c r="G383" s="26">
        <v>3</v>
      </c>
      <c r="H383" s="7" t="s">
        <v>299</v>
      </c>
      <c r="I383" s="7" t="s">
        <v>294</v>
      </c>
      <c r="J383" s="1">
        <v>4</v>
      </c>
      <c r="K383" s="1">
        <v>7</v>
      </c>
      <c r="L383" s="67">
        <f t="shared" si="11"/>
        <v>0</v>
      </c>
    </row>
    <row r="384" spans="1:12" x14ac:dyDescent="0.2">
      <c r="A384">
        <v>383</v>
      </c>
      <c r="B384" s="7" t="s">
        <v>356</v>
      </c>
      <c r="C384" t="s">
        <v>1311</v>
      </c>
      <c r="D384" s="65" t="str">
        <f t="shared" si="10"/>
        <v>N</v>
      </c>
      <c r="E384" t="s">
        <v>1312</v>
      </c>
      <c r="F384" s="25" t="s">
        <v>298</v>
      </c>
      <c r="G384" s="26">
        <v>3</v>
      </c>
      <c r="H384" s="7" t="s">
        <v>295</v>
      </c>
      <c r="I384" s="7" t="s">
        <v>294</v>
      </c>
      <c r="J384" s="1">
        <v>5</v>
      </c>
      <c r="K384" s="1">
        <v>7</v>
      </c>
      <c r="L384" s="67">
        <f t="shared" si="11"/>
        <v>0</v>
      </c>
    </row>
    <row r="385" spans="1:12" x14ac:dyDescent="0.2">
      <c r="A385">
        <v>384</v>
      </c>
      <c r="B385" s="7" t="s">
        <v>372</v>
      </c>
      <c r="C385" t="s">
        <v>1311</v>
      </c>
      <c r="D385" s="65" t="str">
        <f t="shared" si="10"/>
        <v>N</v>
      </c>
      <c r="E385" t="s">
        <v>1312</v>
      </c>
      <c r="F385" s="25" t="s">
        <v>298</v>
      </c>
      <c r="G385" s="26">
        <v>3</v>
      </c>
      <c r="H385" s="7" t="s">
        <v>299</v>
      </c>
      <c r="I385" s="7" t="s">
        <v>296</v>
      </c>
      <c r="J385" s="1">
        <v>4</v>
      </c>
      <c r="K385" s="1">
        <v>6</v>
      </c>
      <c r="L385" s="67">
        <f t="shared" si="11"/>
        <v>0</v>
      </c>
    </row>
    <row r="386" spans="1:12" x14ac:dyDescent="0.2">
      <c r="A386">
        <v>385</v>
      </c>
      <c r="B386" s="7" t="s">
        <v>356</v>
      </c>
      <c r="C386" t="s">
        <v>1311</v>
      </c>
      <c r="D386" s="65" t="str">
        <f t="shared" si="10"/>
        <v>N</v>
      </c>
      <c r="E386" t="s">
        <v>1312</v>
      </c>
      <c r="F386" s="25" t="s">
        <v>298</v>
      </c>
      <c r="G386" s="26">
        <v>3</v>
      </c>
      <c r="H386" s="7" t="s">
        <v>299</v>
      </c>
      <c r="I386" s="7" t="s">
        <v>294</v>
      </c>
      <c r="J386" s="1">
        <v>4</v>
      </c>
      <c r="K386" s="1">
        <v>7</v>
      </c>
      <c r="L386" s="67">
        <f t="shared" si="11"/>
        <v>0</v>
      </c>
    </row>
    <row r="387" spans="1:12" x14ac:dyDescent="0.2">
      <c r="A387">
        <v>386</v>
      </c>
      <c r="B387" s="7" t="s">
        <v>356</v>
      </c>
      <c r="C387" t="s">
        <v>1311</v>
      </c>
      <c r="D387" s="65" t="str">
        <f t="shared" ref="D387:D450" si="12">IF($E387="iso", "N", IF(OR($E387="non", $E387="emd", $E387="dyn"), "Y", "ERROR"))</f>
        <v>N</v>
      </c>
      <c r="E387" t="s">
        <v>1312</v>
      </c>
      <c r="F387" s="25" t="s">
        <v>298</v>
      </c>
      <c r="G387" s="26">
        <v>3</v>
      </c>
      <c r="H387" s="7" t="s">
        <v>295</v>
      </c>
      <c r="I387" s="7" t="s">
        <v>292</v>
      </c>
      <c r="J387" s="1">
        <v>5</v>
      </c>
      <c r="K387" s="1">
        <v>5</v>
      </c>
      <c r="L387" s="67">
        <f t="shared" ref="L387:L450" si="13">IF(G387=J387, 1, 0)</f>
        <v>0</v>
      </c>
    </row>
    <row r="388" spans="1:12" x14ac:dyDescent="0.2">
      <c r="A388">
        <v>387</v>
      </c>
      <c r="B388" s="7" t="s">
        <v>372</v>
      </c>
      <c r="C388" t="s">
        <v>1311</v>
      </c>
      <c r="D388" s="65" t="str">
        <f t="shared" si="12"/>
        <v>N</v>
      </c>
      <c r="E388" t="s">
        <v>1312</v>
      </c>
      <c r="F388" s="25" t="s">
        <v>298</v>
      </c>
      <c r="G388" s="26">
        <v>3</v>
      </c>
      <c r="H388" s="7" t="s">
        <v>295</v>
      </c>
      <c r="I388" s="7" t="s">
        <v>294</v>
      </c>
      <c r="J388" s="1">
        <v>5</v>
      </c>
      <c r="K388" s="1">
        <v>7</v>
      </c>
      <c r="L388" s="67">
        <f t="shared" si="13"/>
        <v>0</v>
      </c>
    </row>
    <row r="389" spans="1:12" x14ac:dyDescent="0.2">
      <c r="A389">
        <v>388</v>
      </c>
      <c r="B389" s="7" t="s">
        <v>372</v>
      </c>
      <c r="C389" t="s">
        <v>1311</v>
      </c>
      <c r="D389" s="65" t="str">
        <f t="shared" si="12"/>
        <v>N</v>
      </c>
      <c r="E389" t="s">
        <v>1312</v>
      </c>
      <c r="F389" s="25" t="s">
        <v>298</v>
      </c>
      <c r="G389" s="26">
        <v>3</v>
      </c>
      <c r="H389" s="7" t="s">
        <v>295</v>
      </c>
      <c r="I389" s="7" t="s">
        <v>292</v>
      </c>
      <c r="J389" s="1">
        <v>5</v>
      </c>
      <c r="K389" s="1">
        <v>5</v>
      </c>
      <c r="L389" s="67">
        <f t="shared" si="13"/>
        <v>0</v>
      </c>
    </row>
    <row r="390" spans="1:12" x14ac:dyDescent="0.2">
      <c r="A390">
        <v>389</v>
      </c>
      <c r="B390" s="7" t="s">
        <v>356</v>
      </c>
      <c r="C390" t="s">
        <v>1311</v>
      </c>
      <c r="D390" s="65" t="str">
        <f t="shared" si="12"/>
        <v>N</v>
      </c>
      <c r="E390" t="s">
        <v>1312</v>
      </c>
      <c r="F390" s="25" t="s">
        <v>298</v>
      </c>
      <c r="G390" s="26">
        <v>3</v>
      </c>
      <c r="H390" s="7" t="s">
        <v>295</v>
      </c>
      <c r="I390" s="7" t="s">
        <v>292</v>
      </c>
      <c r="J390" s="1">
        <v>5</v>
      </c>
      <c r="K390" s="1">
        <v>5</v>
      </c>
      <c r="L390" s="67">
        <f t="shared" si="13"/>
        <v>0</v>
      </c>
    </row>
    <row r="391" spans="1:12" x14ac:dyDescent="0.2">
      <c r="A391">
        <v>390</v>
      </c>
      <c r="B391" s="7" t="s">
        <v>356</v>
      </c>
      <c r="C391" t="s">
        <v>1311</v>
      </c>
      <c r="D391" s="65" t="str">
        <f t="shared" si="12"/>
        <v>N</v>
      </c>
      <c r="E391" t="s">
        <v>1312</v>
      </c>
      <c r="F391" s="25" t="s">
        <v>298</v>
      </c>
      <c r="G391" s="26">
        <v>3</v>
      </c>
      <c r="H391" s="7" t="s">
        <v>298</v>
      </c>
      <c r="I391" s="7" t="s">
        <v>297</v>
      </c>
      <c r="J391" s="1">
        <v>3</v>
      </c>
      <c r="K391" s="1">
        <v>4</v>
      </c>
      <c r="L391" s="67">
        <f t="shared" si="13"/>
        <v>1</v>
      </c>
    </row>
    <row r="392" spans="1:12" x14ac:dyDescent="0.2">
      <c r="A392">
        <v>391</v>
      </c>
      <c r="B392" s="7" t="s">
        <v>372</v>
      </c>
      <c r="C392" t="s">
        <v>1311</v>
      </c>
      <c r="D392" s="65" t="str">
        <f t="shared" si="12"/>
        <v>N</v>
      </c>
      <c r="E392" t="s">
        <v>1312</v>
      </c>
      <c r="F392" s="25" t="s">
        <v>298</v>
      </c>
      <c r="G392" s="26">
        <v>3</v>
      </c>
      <c r="H392" s="7" t="s">
        <v>295</v>
      </c>
      <c r="I392" s="7" t="s">
        <v>297</v>
      </c>
      <c r="J392" s="1">
        <v>5</v>
      </c>
      <c r="K392" s="1">
        <v>4</v>
      </c>
      <c r="L392" s="67">
        <f t="shared" si="13"/>
        <v>0</v>
      </c>
    </row>
    <row r="393" spans="1:12" x14ac:dyDescent="0.2">
      <c r="A393">
        <v>392</v>
      </c>
      <c r="B393" s="7" t="s">
        <v>356</v>
      </c>
      <c r="C393" t="s">
        <v>1311</v>
      </c>
      <c r="D393" s="65" t="str">
        <f t="shared" si="12"/>
        <v>N</v>
      </c>
      <c r="E393" t="s">
        <v>1312</v>
      </c>
      <c r="F393" s="25" t="s">
        <v>298</v>
      </c>
      <c r="G393" s="26">
        <v>3</v>
      </c>
      <c r="H393" s="7" t="s">
        <v>295</v>
      </c>
      <c r="I393" s="7" t="s">
        <v>292</v>
      </c>
      <c r="J393" s="1">
        <v>5</v>
      </c>
      <c r="K393" s="1">
        <v>5</v>
      </c>
      <c r="L393" s="67">
        <f t="shared" si="13"/>
        <v>0</v>
      </c>
    </row>
    <row r="394" spans="1:12" x14ac:dyDescent="0.2">
      <c r="A394">
        <v>393</v>
      </c>
      <c r="B394" s="7" t="s">
        <v>372</v>
      </c>
      <c r="C394" t="s">
        <v>1311</v>
      </c>
      <c r="D394" s="65" t="str">
        <f t="shared" si="12"/>
        <v>N</v>
      </c>
      <c r="E394" t="s">
        <v>1312</v>
      </c>
      <c r="F394" s="25" t="s">
        <v>298</v>
      </c>
      <c r="G394" s="26">
        <v>3</v>
      </c>
      <c r="H394" s="7" t="s">
        <v>295</v>
      </c>
      <c r="I394" s="7" t="s">
        <v>296</v>
      </c>
      <c r="J394" s="1">
        <v>5</v>
      </c>
      <c r="K394" s="1">
        <v>6</v>
      </c>
      <c r="L394" s="67">
        <f t="shared" si="13"/>
        <v>0</v>
      </c>
    </row>
    <row r="395" spans="1:12" x14ac:dyDescent="0.2">
      <c r="A395">
        <v>394</v>
      </c>
      <c r="B395" s="7" t="s">
        <v>356</v>
      </c>
      <c r="C395" t="s">
        <v>1311</v>
      </c>
      <c r="D395" s="65" t="str">
        <f t="shared" si="12"/>
        <v>N</v>
      </c>
      <c r="E395" t="s">
        <v>1312</v>
      </c>
      <c r="F395" s="25" t="s">
        <v>298</v>
      </c>
      <c r="G395" s="26">
        <v>3</v>
      </c>
      <c r="H395" s="7" t="s">
        <v>295</v>
      </c>
      <c r="I395" s="7" t="s">
        <v>294</v>
      </c>
      <c r="J395" s="1">
        <v>5</v>
      </c>
      <c r="K395" s="1">
        <v>7</v>
      </c>
      <c r="L395" s="67">
        <f t="shared" si="13"/>
        <v>0</v>
      </c>
    </row>
    <row r="396" spans="1:12" x14ac:dyDescent="0.2">
      <c r="A396">
        <v>395</v>
      </c>
      <c r="B396" s="7" t="s">
        <v>372</v>
      </c>
      <c r="C396" t="s">
        <v>1311</v>
      </c>
      <c r="D396" s="65" t="str">
        <f t="shared" si="12"/>
        <v>N</v>
      </c>
      <c r="E396" t="s">
        <v>1312</v>
      </c>
      <c r="F396" s="25" t="s">
        <v>298</v>
      </c>
      <c r="G396" s="26">
        <v>3</v>
      </c>
      <c r="H396" s="7" t="s">
        <v>295</v>
      </c>
      <c r="I396" s="7" t="s">
        <v>296</v>
      </c>
      <c r="J396" s="1">
        <v>5</v>
      </c>
      <c r="K396" s="1">
        <v>6</v>
      </c>
      <c r="L396" s="67">
        <f t="shared" si="13"/>
        <v>0</v>
      </c>
    </row>
    <row r="397" spans="1:12" x14ac:dyDescent="0.2">
      <c r="A397">
        <v>396</v>
      </c>
      <c r="B397" s="7" t="s">
        <v>356</v>
      </c>
      <c r="C397" t="s">
        <v>1311</v>
      </c>
      <c r="D397" s="65" t="str">
        <f t="shared" si="12"/>
        <v>Y</v>
      </c>
      <c r="E397" t="s">
        <v>1313</v>
      </c>
      <c r="F397" s="7" t="s">
        <v>291</v>
      </c>
      <c r="G397" s="1">
        <v>1</v>
      </c>
      <c r="H397" s="7" t="s">
        <v>291</v>
      </c>
      <c r="I397" s="7" t="s">
        <v>292</v>
      </c>
      <c r="J397" s="1">
        <v>1</v>
      </c>
      <c r="K397" s="1">
        <v>5</v>
      </c>
      <c r="L397" s="67">
        <f t="shared" si="13"/>
        <v>1</v>
      </c>
    </row>
    <row r="398" spans="1:12" x14ac:dyDescent="0.2">
      <c r="A398">
        <v>397</v>
      </c>
      <c r="B398" s="7" t="s">
        <v>372</v>
      </c>
      <c r="C398" t="s">
        <v>1311</v>
      </c>
      <c r="D398" s="65" t="str">
        <f t="shared" si="12"/>
        <v>Y</v>
      </c>
      <c r="E398" t="s">
        <v>1313</v>
      </c>
      <c r="F398" s="7" t="s">
        <v>291</v>
      </c>
      <c r="G398" s="1">
        <v>1</v>
      </c>
      <c r="H398" s="7" t="s">
        <v>291</v>
      </c>
      <c r="I398" s="7" t="s">
        <v>297</v>
      </c>
      <c r="J398" s="1">
        <v>1</v>
      </c>
      <c r="K398" s="1">
        <v>4</v>
      </c>
      <c r="L398" s="67">
        <f t="shared" si="13"/>
        <v>1</v>
      </c>
    </row>
    <row r="399" spans="1:12" x14ac:dyDescent="0.2">
      <c r="A399">
        <v>398</v>
      </c>
      <c r="B399" s="7" t="s">
        <v>372</v>
      </c>
      <c r="C399" t="s">
        <v>1311</v>
      </c>
      <c r="D399" s="65" t="str">
        <f t="shared" si="12"/>
        <v>Y</v>
      </c>
      <c r="E399" t="s">
        <v>1313</v>
      </c>
      <c r="F399" s="7" t="s">
        <v>291</v>
      </c>
      <c r="G399" s="1">
        <v>1</v>
      </c>
      <c r="H399" s="7" t="s">
        <v>291</v>
      </c>
      <c r="I399" s="7" t="s">
        <v>296</v>
      </c>
      <c r="J399" s="1">
        <v>1</v>
      </c>
      <c r="K399" s="1">
        <v>6</v>
      </c>
      <c r="L399" s="67">
        <f t="shared" si="13"/>
        <v>1</v>
      </c>
    </row>
    <row r="400" spans="1:12" x14ac:dyDescent="0.2">
      <c r="A400">
        <v>399</v>
      </c>
      <c r="B400" s="7" t="s">
        <v>356</v>
      </c>
      <c r="C400" t="s">
        <v>1311</v>
      </c>
      <c r="D400" s="65" t="str">
        <f t="shared" si="12"/>
        <v>Y</v>
      </c>
      <c r="E400" t="s">
        <v>1313</v>
      </c>
      <c r="F400" s="7" t="s">
        <v>291</v>
      </c>
      <c r="G400" s="1">
        <v>1</v>
      </c>
      <c r="H400" s="7" t="s">
        <v>291</v>
      </c>
      <c r="I400" s="7" t="s">
        <v>296</v>
      </c>
      <c r="J400" s="1">
        <v>1</v>
      </c>
      <c r="K400" s="1">
        <v>6</v>
      </c>
      <c r="L400" s="67">
        <f t="shared" si="13"/>
        <v>1</v>
      </c>
    </row>
    <row r="401" spans="1:12" x14ac:dyDescent="0.2">
      <c r="A401">
        <v>400</v>
      </c>
      <c r="B401" s="7" t="s">
        <v>372</v>
      </c>
      <c r="C401" t="s">
        <v>1311</v>
      </c>
      <c r="D401" s="65" t="str">
        <f t="shared" si="12"/>
        <v>Y</v>
      </c>
      <c r="E401" t="s">
        <v>1313</v>
      </c>
      <c r="F401" s="7" t="s">
        <v>291</v>
      </c>
      <c r="G401" s="1">
        <v>1</v>
      </c>
      <c r="H401" s="7" t="s">
        <v>291</v>
      </c>
      <c r="I401" s="7" t="s">
        <v>292</v>
      </c>
      <c r="J401" s="1">
        <v>1</v>
      </c>
      <c r="K401" s="1">
        <v>5</v>
      </c>
      <c r="L401" s="67">
        <f t="shared" si="13"/>
        <v>1</v>
      </c>
    </row>
    <row r="402" spans="1:12" x14ac:dyDescent="0.2">
      <c r="A402">
        <v>401</v>
      </c>
      <c r="B402" s="7" t="s">
        <v>356</v>
      </c>
      <c r="C402" t="s">
        <v>1311</v>
      </c>
      <c r="D402" s="65" t="str">
        <f t="shared" si="12"/>
        <v>Y</v>
      </c>
      <c r="E402" t="s">
        <v>1313</v>
      </c>
      <c r="F402" s="7" t="s">
        <v>291</v>
      </c>
      <c r="G402" s="1">
        <v>1</v>
      </c>
      <c r="H402" s="7" t="s">
        <v>291</v>
      </c>
      <c r="I402" s="7" t="s">
        <v>297</v>
      </c>
      <c r="J402" s="1">
        <v>1</v>
      </c>
      <c r="K402" s="1">
        <v>4</v>
      </c>
      <c r="L402" s="67">
        <f t="shared" si="13"/>
        <v>1</v>
      </c>
    </row>
    <row r="403" spans="1:12" x14ac:dyDescent="0.2">
      <c r="A403">
        <v>402</v>
      </c>
      <c r="B403" s="7" t="s">
        <v>372</v>
      </c>
      <c r="C403" t="s">
        <v>1311</v>
      </c>
      <c r="D403" s="65" t="str">
        <f t="shared" si="12"/>
        <v>Y</v>
      </c>
      <c r="E403" t="s">
        <v>1313</v>
      </c>
      <c r="F403" s="7" t="s">
        <v>291</v>
      </c>
      <c r="G403" s="1">
        <v>1</v>
      </c>
      <c r="H403" s="7" t="s">
        <v>298</v>
      </c>
      <c r="I403" s="7" t="s">
        <v>292</v>
      </c>
      <c r="J403" s="1">
        <v>3</v>
      </c>
      <c r="K403" s="1">
        <v>5</v>
      </c>
      <c r="L403" s="67">
        <f t="shared" si="13"/>
        <v>0</v>
      </c>
    </row>
    <row r="404" spans="1:12" x14ac:dyDescent="0.2">
      <c r="A404">
        <v>403</v>
      </c>
      <c r="B404" s="7" t="s">
        <v>356</v>
      </c>
      <c r="C404" t="s">
        <v>1311</v>
      </c>
      <c r="D404" s="65" t="str">
        <f t="shared" si="12"/>
        <v>Y</v>
      </c>
      <c r="E404" t="s">
        <v>1313</v>
      </c>
      <c r="F404" s="7" t="s">
        <v>291</v>
      </c>
      <c r="G404" s="1">
        <v>1</v>
      </c>
      <c r="H404" s="7" t="s">
        <v>291</v>
      </c>
      <c r="I404" s="7" t="s">
        <v>296</v>
      </c>
      <c r="J404" s="1">
        <v>1</v>
      </c>
      <c r="K404" s="1">
        <v>6</v>
      </c>
      <c r="L404" s="67">
        <f t="shared" si="13"/>
        <v>1</v>
      </c>
    </row>
    <row r="405" spans="1:12" x14ac:dyDescent="0.2">
      <c r="A405">
        <v>404</v>
      </c>
      <c r="B405" s="7" t="s">
        <v>372</v>
      </c>
      <c r="C405" t="s">
        <v>1311</v>
      </c>
      <c r="D405" s="65" t="str">
        <f t="shared" si="12"/>
        <v>Y</v>
      </c>
      <c r="E405" t="s">
        <v>1313</v>
      </c>
      <c r="F405" s="7" t="s">
        <v>291</v>
      </c>
      <c r="G405" s="1">
        <v>1</v>
      </c>
      <c r="H405" s="7" t="s">
        <v>291</v>
      </c>
      <c r="I405" s="7" t="s">
        <v>296</v>
      </c>
      <c r="J405" s="1">
        <v>1</v>
      </c>
      <c r="K405" s="1">
        <v>6</v>
      </c>
      <c r="L405" s="67">
        <f t="shared" si="13"/>
        <v>1</v>
      </c>
    </row>
    <row r="406" spans="1:12" x14ac:dyDescent="0.2">
      <c r="A406">
        <v>405</v>
      </c>
      <c r="B406" s="7" t="s">
        <v>356</v>
      </c>
      <c r="C406" t="s">
        <v>1311</v>
      </c>
      <c r="D406" s="65" t="str">
        <f t="shared" si="12"/>
        <v>Y</v>
      </c>
      <c r="E406" t="s">
        <v>1313</v>
      </c>
      <c r="F406" s="7" t="s">
        <v>291</v>
      </c>
      <c r="G406" s="1">
        <v>1</v>
      </c>
      <c r="H406" s="7" t="s">
        <v>291</v>
      </c>
      <c r="I406" s="7" t="s">
        <v>292</v>
      </c>
      <c r="J406" s="1">
        <v>1</v>
      </c>
      <c r="K406" s="1">
        <v>5</v>
      </c>
      <c r="L406" s="67">
        <f t="shared" si="13"/>
        <v>1</v>
      </c>
    </row>
    <row r="407" spans="1:12" x14ac:dyDescent="0.2">
      <c r="A407">
        <v>406</v>
      </c>
      <c r="B407" s="7" t="s">
        <v>356</v>
      </c>
      <c r="C407" t="s">
        <v>1311</v>
      </c>
      <c r="D407" s="65" t="str">
        <f t="shared" si="12"/>
        <v>Y</v>
      </c>
      <c r="E407" t="s">
        <v>1313</v>
      </c>
      <c r="F407" s="7" t="s">
        <v>291</v>
      </c>
      <c r="G407" s="1">
        <v>1</v>
      </c>
      <c r="H407" s="7" t="s">
        <v>291</v>
      </c>
      <c r="I407" s="7" t="s">
        <v>296</v>
      </c>
      <c r="J407" s="1">
        <v>1</v>
      </c>
      <c r="K407" s="1">
        <v>6</v>
      </c>
      <c r="L407" s="67">
        <f t="shared" si="13"/>
        <v>1</v>
      </c>
    </row>
    <row r="408" spans="1:12" x14ac:dyDescent="0.2">
      <c r="A408">
        <v>407</v>
      </c>
      <c r="B408" s="7" t="s">
        <v>372</v>
      </c>
      <c r="C408" t="s">
        <v>1311</v>
      </c>
      <c r="D408" s="65" t="str">
        <f t="shared" si="12"/>
        <v>Y</v>
      </c>
      <c r="E408" t="s">
        <v>1313</v>
      </c>
      <c r="F408" s="7" t="s">
        <v>291</v>
      </c>
      <c r="G408" s="1">
        <v>1</v>
      </c>
      <c r="H408" s="7" t="s">
        <v>291</v>
      </c>
      <c r="I408" s="7" t="s">
        <v>292</v>
      </c>
      <c r="J408" s="1">
        <v>1</v>
      </c>
      <c r="K408" s="1">
        <v>5</v>
      </c>
      <c r="L408" s="67">
        <f t="shared" si="13"/>
        <v>1</v>
      </c>
    </row>
    <row r="409" spans="1:12" x14ac:dyDescent="0.2">
      <c r="A409">
        <v>408</v>
      </c>
      <c r="B409" s="7" t="s">
        <v>356</v>
      </c>
      <c r="C409" t="s">
        <v>1311</v>
      </c>
      <c r="D409" s="65" t="str">
        <f t="shared" si="12"/>
        <v>Y</v>
      </c>
      <c r="E409" t="s">
        <v>1313</v>
      </c>
      <c r="F409" s="7" t="s">
        <v>291</v>
      </c>
      <c r="G409" s="1">
        <v>1</v>
      </c>
      <c r="H409" s="7" t="s">
        <v>291</v>
      </c>
      <c r="I409" s="7" t="s">
        <v>292</v>
      </c>
      <c r="J409" s="1">
        <v>1</v>
      </c>
      <c r="K409" s="1">
        <v>5</v>
      </c>
      <c r="L409" s="67">
        <f t="shared" si="13"/>
        <v>1</v>
      </c>
    </row>
    <row r="410" spans="1:12" x14ac:dyDescent="0.2">
      <c r="A410">
        <v>409</v>
      </c>
      <c r="B410" s="7" t="s">
        <v>372</v>
      </c>
      <c r="C410" t="s">
        <v>1311</v>
      </c>
      <c r="D410" s="65" t="str">
        <f t="shared" si="12"/>
        <v>Y</v>
      </c>
      <c r="E410" t="s">
        <v>1313</v>
      </c>
      <c r="F410" s="7" t="s">
        <v>291</v>
      </c>
      <c r="G410" s="1">
        <v>1</v>
      </c>
      <c r="H410" s="7" t="s">
        <v>291</v>
      </c>
      <c r="I410" s="7" t="s">
        <v>294</v>
      </c>
      <c r="J410" s="1">
        <v>1</v>
      </c>
      <c r="K410" s="1">
        <v>7</v>
      </c>
      <c r="L410" s="67">
        <f t="shared" si="13"/>
        <v>1</v>
      </c>
    </row>
    <row r="411" spans="1:12" x14ac:dyDescent="0.2">
      <c r="A411">
        <v>410</v>
      </c>
      <c r="B411" s="7" t="s">
        <v>356</v>
      </c>
      <c r="C411" t="s">
        <v>1311</v>
      </c>
      <c r="D411" s="65" t="str">
        <f t="shared" si="12"/>
        <v>Y</v>
      </c>
      <c r="E411" t="s">
        <v>1313</v>
      </c>
      <c r="F411" s="7" t="s">
        <v>291</v>
      </c>
      <c r="G411" s="1">
        <v>1</v>
      </c>
      <c r="H411" s="7" t="s">
        <v>291</v>
      </c>
      <c r="I411" s="7" t="s">
        <v>294</v>
      </c>
      <c r="J411" s="1">
        <v>1</v>
      </c>
      <c r="K411" s="1">
        <v>7</v>
      </c>
      <c r="L411" s="67">
        <f t="shared" si="13"/>
        <v>1</v>
      </c>
    </row>
    <row r="412" spans="1:12" x14ac:dyDescent="0.2">
      <c r="A412">
        <v>411</v>
      </c>
      <c r="B412" s="7" t="s">
        <v>372</v>
      </c>
      <c r="C412" t="s">
        <v>1311</v>
      </c>
      <c r="D412" s="65" t="str">
        <f t="shared" si="12"/>
        <v>Y</v>
      </c>
      <c r="E412" t="s">
        <v>1313</v>
      </c>
      <c r="F412" s="7" t="s">
        <v>291</v>
      </c>
      <c r="G412" s="1">
        <v>1</v>
      </c>
      <c r="H412" s="7" t="s">
        <v>298</v>
      </c>
      <c r="I412" s="7" t="s">
        <v>292</v>
      </c>
      <c r="J412" s="1">
        <v>3</v>
      </c>
      <c r="K412" s="1">
        <v>5</v>
      </c>
      <c r="L412" s="67">
        <f t="shared" si="13"/>
        <v>0</v>
      </c>
    </row>
    <row r="413" spans="1:12" x14ac:dyDescent="0.2">
      <c r="A413">
        <v>412</v>
      </c>
      <c r="B413" s="7" t="s">
        <v>372</v>
      </c>
      <c r="C413" t="s">
        <v>1311</v>
      </c>
      <c r="D413" s="65" t="str">
        <f t="shared" si="12"/>
        <v>Y</v>
      </c>
      <c r="E413" t="s">
        <v>1313</v>
      </c>
      <c r="F413" s="7" t="s">
        <v>291</v>
      </c>
      <c r="G413" s="1">
        <v>1</v>
      </c>
      <c r="H413" s="7" t="s">
        <v>291</v>
      </c>
      <c r="I413" s="7" t="s">
        <v>297</v>
      </c>
      <c r="J413" s="1">
        <v>1</v>
      </c>
      <c r="K413" s="1">
        <v>4</v>
      </c>
      <c r="L413" s="67">
        <f t="shared" si="13"/>
        <v>1</v>
      </c>
    </row>
    <row r="414" spans="1:12" x14ac:dyDescent="0.2">
      <c r="A414">
        <v>413</v>
      </c>
      <c r="B414" s="7" t="s">
        <v>356</v>
      </c>
      <c r="C414" t="s">
        <v>1311</v>
      </c>
      <c r="D414" s="65" t="str">
        <f t="shared" si="12"/>
        <v>Y</v>
      </c>
      <c r="E414" t="s">
        <v>1313</v>
      </c>
      <c r="F414" s="7" t="s">
        <v>291</v>
      </c>
      <c r="G414" s="1">
        <v>1</v>
      </c>
      <c r="H414" s="7" t="s">
        <v>291</v>
      </c>
      <c r="I414" s="7" t="s">
        <v>292</v>
      </c>
      <c r="J414" s="1">
        <v>1</v>
      </c>
      <c r="K414" s="1">
        <v>5</v>
      </c>
      <c r="L414" s="67">
        <f t="shared" si="13"/>
        <v>1</v>
      </c>
    </row>
    <row r="415" spans="1:12" x14ac:dyDescent="0.2">
      <c r="A415">
        <v>414</v>
      </c>
      <c r="B415" s="7" t="s">
        <v>356</v>
      </c>
      <c r="C415" t="s">
        <v>1311</v>
      </c>
      <c r="D415" s="65" t="str">
        <f t="shared" si="12"/>
        <v>Y</v>
      </c>
      <c r="E415" t="s">
        <v>1313</v>
      </c>
      <c r="F415" s="7" t="s">
        <v>291</v>
      </c>
      <c r="G415" s="1">
        <v>1</v>
      </c>
      <c r="H415" s="7" t="s">
        <v>291</v>
      </c>
      <c r="I415" s="7" t="s">
        <v>297</v>
      </c>
      <c r="J415" s="1">
        <v>1</v>
      </c>
      <c r="K415" s="1">
        <v>4</v>
      </c>
      <c r="L415" s="67">
        <f t="shared" si="13"/>
        <v>1</v>
      </c>
    </row>
    <row r="416" spans="1:12" x14ac:dyDescent="0.2">
      <c r="A416">
        <v>415</v>
      </c>
      <c r="B416" s="7" t="s">
        <v>372</v>
      </c>
      <c r="C416" t="s">
        <v>1311</v>
      </c>
      <c r="D416" s="65" t="str">
        <f t="shared" si="12"/>
        <v>Y</v>
      </c>
      <c r="E416" t="s">
        <v>1313</v>
      </c>
      <c r="F416" s="7" t="s">
        <v>291</v>
      </c>
      <c r="G416" s="1">
        <v>1</v>
      </c>
      <c r="H416" s="7" t="s">
        <v>291</v>
      </c>
      <c r="I416" s="7" t="s">
        <v>297</v>
      </c>
      <c r="J416" s="1">
        <v>1</v>
      </c>
      <c r="K416" s="1">
        <v>4</v>
      </c>
      <c r="L416" s="67">
        <f t="shared" si="13"/>
        <v>1</v>
      </c>
    </row>
    <row r="417" spans="1:12" x14ac:dyDescent="0.2">
      <c r="A417">
        <v>416</v>
      </c>
      <c r="B417" s="7" t="s">
        <v>356</v>
      </c>
      <c r="C417" t="s">
        <v>1311</v>
      </c>
      <c r="D417" s="65" t="str">
        <f t="shared" si="12"/>
        <v>Y</v>
      </c>
      <c r="E417" t="s">
        <v>1313</v>
      </c>
      <c r="F417" s="7" t="s">
        <v>291</v>
      </c>
      <c r="G417" s="1">
        <v>1</v>
      </c>
      <c r="H417" s="7" t="s">
        <v>291</v>
      </c>
      <c r="I417" s="7" t="s">
        <v>296</v>
      </c>
      <c r="J417" s="1">
        <v>1</v>
      </c>
      <c r="K417" s="1">
        <v>6</v>
      </c>
      <c r="L417" s="67">
        <f t="shared" si="13"/>
        <v>1</v>
      </c>
    </row>
    <row r="418" spans="1:12" x14ac:dyDescent="0.2">
      <c r="A418">
        <v>417</v>
      </c>
      <c r="B418" s="7" t="s">
        <v>356</v>
      </c>
      <c r="C418" t="s">
        <v>1311</v>
      </c>
      <c r="D418" s="65" t="str">
        <f t="shared" si="12"/>
        <v>Y</v>
      </c>
      <c r="E418" t="s">
        <v>1313</v>
      </c>
      <c r="F418" s="7" t="s">
        <v>291</v>
      </c>
      <c r="G418" s="1">
        <v>1</v>
      </c>
      <c r="H418" s="7" t="s">
        <v>291</v>
      </c>
      <c r="I418" s="7" t="s">
        <v>292</v>
      </c>
      <c r="J418" s="1">
        <v>1</v>
      </c>
      <c r="K418" s="1">
        <v>5</v>
      </c>
      <c r="L418" s="67">
        <f t="shared" si="13"/>
        <v>1</v>
      </c>
    </row>
    <row r="419" spans="1:12" x14ac:dyDescent="0.2">
      <c r="A419">
        <v>418</v>
      </c>
      <c r="B419" s="7" t="s">
        <v>372</v>
      </c>
      <c r="C419" t="s">
        <v>1311</v>
      </c>
      <c r="D419" s="65" t="str">
        <f t="shared" si="12"/>
        <v>Y</v>
      </c>
      <c r="E419" t="s">
        <v>1313</v>
      </c>
      <c r="F419" s="7" t="s">
        <v>291</v>
      </c>
      <c r="G419" s="1">
        <v>1</v>
      </c>
      <c r="H419" s="7" t="s">
        <v>291</v>
      </c>
      <c r="I419" s="7" t="s">
        <v>296</v>
      </c>
      <c r="J419" s="1">
        <v>1</v>
      </c>
      <c r="K419" s="1">
        <v>6</v>
      </c>
      <c r="L419" s="67">
        <f t="shared" si="13"/>
        <v>1</v>
      </c>
    </row>
    <row r="420" spans="1:12" x14ac:dyDescent="0.2">
      <c r="A420">
        <v>419</v>
      </c>
      <c r="B420" s="7" t="s">
        <v>372</v>
      </c>
      <c r="C420" t="s">
        <v>1311</v>
      </c>
      <c r="D420" s="65" t="str">
        <f t="shared" si="12"/>
        <v>Y</v>
      </c>
      <c r="E420" t="s">
        <v>1313</v>
      </c>
      <c r="F420" s="7" t="s">
        <v>291</v>
      </c>
      <c r="G420" s="1">
        <v>1</v>
      </c>
      <c r="H420" s="7" t="s">
        <v>295</v>
      </c>
      <c r="I420" s="7" t="s">
        <v>292</v>
      </c>
      <c r="J420" s="1">
        <v>5</v>
      </c>
      <c r="K420" s="1">
        <v>5</v>
      </c>
      <c r="L420" s="67">
        <f t="shared" si="13"/>
        <v>0</v>
      </c>
    </row>
    <row r="421" spans="1:12" x14ac:dyDescent="0.2">
      <c r="A421">
        <v>420</v>
      </c>
      <c r="B421" s="7" t="s">
        <v>356</v>
      </c>
      <c r="C421" t="s">
        <v>1311</v>
      </c>
      <c r="D421" s="65" t="str">
        <f t="shared" si="12"/>
        <v>Y</v>
      </c>
      <c r="E421" t="s">
        <v>1313</v>
      </c>
      <c r="F421" s="7" t="s">
        <v>291</v>
      </c>
      <c r="G421" s="1">
        <v>1</v>
      </c>
      <c r="H421" s="7" t="s">
        <v>291</v>
      </c>
      <c r="I421" s="7" t="s">
        <v>296</v>
      </c>
      <c r="J421" s="1">
        <v>1</v>
      </c>
      <c r="K421" s="1">
        <v>6</v>
      </c>
      <c r="L421" s="67">
        <f t="shared" si="13"/>
        <v>1</v>
      </c>
    </row>
    <row r="422" spans="1:12" x14ac:dyDescent="0.2">
      <c r="A422">
        <v>421</v>
      </c>
      <c r="B422" s="7" t="s">
        <v>356</v>
      </c>
      <c r="C422" t="s">
        <v>1311</v>
      </c>
      <c r="D422" s="65" t="str">
        <f t="shared" si="12"/>
        <v>Y</v>
      </c>
      <c r="E422" t="s">
        <v>1313</v>
      </c>
      <c r="F422" s="7" t="s">
        <v>291</v>
      </c>
      <c r="G422" s="1">
        <v>1</v>
      </c>
      <c r="H422" s="7" t="s">
        <v>291</v>
      </c>
      <c r="I422" s="7" t="s">
        <v>296</v>
      </c>
      <c r="J422" s="1">
        <v>1</v>
      </c>
      <c r="K422" s="1">
        <v>6</v>
      </c>
      <c r="L422" s="67">
        <f t="shared" si="13"/>
        <v>1</v>
      </c>
    </row>
    <row r="423" spans="1:12" x14ac:dyDescent="0.2">
      <c r="A423">
        <v>422</v>
      </c>
      <c r="B423" s="7" t="s">
        <v>372</v>
      </c>
      <c r="C423" t="s">
        <v>1311</v>
      </c>
      <c r="D423" s="65" t="str">
        <f t="shared" si="12"/>
        <v>Y</v>
      </c>
      <c r="E423" t="s">
        <v>1313</v>
      </c>
      <c r="F423" s="7" t="s">
        <v>291</v>
      </c>
      <c r="G423" s="1">
        <v>1</v>
      </c>
      <c r="H423" s="7" t="s">
        <v>291</v>
      </c>
      <c r="I423" s="7" t="s">
        <v>296</v>
      </c>
      <c r="J423" s="1">
        <v>1</v>
      </c>
      <c r="K423" s="1">
        <v>6</v>
      </c>
      <c r="L423" s="67">
        <f t="shared" si="13"/>
        <v>1</v>
      </c>
    </row>
    <row r="424" spans="1:12" x14ac:dyDescent="0.2">
      <c r="A424">
        <v>423</v>
      </c>
      <c r="B424" s="7" t="s">
        <v>356</v>
      </c>
      <c r="C424" t="s">
        <v>1311</v>
      </c>
      <c r="D424" s="65" t="str">
        <f t="shared" si="12"/>
        <v>Y</v>
      </c>
      <c r="E424" t="s">
        <v>1313</v>
      </c>
      <c r="F424" s="7" t="s">
        <v>291</v>
      </c>
      <c r="G424" s="1">
        <v>1</v>
      </c>
      <c r="H424" s="7" t="s">
        <v>291</v>
      </c>
      <c r="I424" s="7" t="s">
        <v>296</v>
      </c>
      <c r="J424" s="1">
        <v>1</v>
      </c>
      <c r="K424" s="1">
        <v>6</v>
      </c>
      <c r="L424" s="67">
        <f t="shared" si="13"/>
        <v>1</v>
      </c>
    </row>
    <row r="425" spans="1:12" x14ac:dyDescent="0.2">
      <c r="A425">
        <v>424</v>
      </c>
      <c r="B425" s="7" t="s">
        <v>372</v>
      </c>
      <c r="C425" t="s">
        <v>1311</v>
      </c>
      <c r="D425" s="65" t="str">
        <f t="shared" si="12"/>
        <v>Y</v>
      </c>
      <c r="E425" t="s">
        <v>1313</v>
      </c>
      <c r="F425" s="7" t="s">
        <v>291</v>
      </c>
      <c r="G425" s="1">
        <v>1</v>
      </c>
      <c r="H425" s="7" t="s">
        <v>291</v>
      </c>
      <c r="I425" s="7" t="s">
        <v>297</v>
      </c>
      <c r="J425" s="1">
        <v>1</v>
      </c>
      <c r="K425" s="1">
        <v>4</v>
      </c>
      <c r="L425" s="67">
        <f t="shared" si="13"/>
        <v>1</v>
      </c>
    </row>
    <row r="426" spans="1:12" x14ac:dyDescent="0.2">
      <c r="A426">
        <v>425</v>
      </c>
      <c r="B426" s="7" t="s">
        <v>356</v>
      </c>
      <c r="C426" t="s">
        <v>1311</v>
      </c>
      <c r="D426" s="65" t="str">
        <f t="shared" si="12"/>
        <v>Y</v>
      </c>
      <c r="E426" t="s">
        <v>1313</v>
      </c>
      <c r="F426" s="7" t="s">
        <v>291</v>
      </c>
      <c r="G426" s="1">
        <v>1</v>
      </c>
      <c r="H426" s="7" t="s">
        <v>291</v>
      </c>
      <c r="I426" s="7" t="s">
        <v>296</v>
      </c>
      <c r="J426" s="1">
        <v>1</v>
      </c>
      <c r="K426" s="1">
        <v>6</v>
      </c>
      <c r="L426" s="67">
        <f t="shared" si="13"/>
        <v>1</v>
      </c>
    </row>
    <row r="427" spans="1:12" x14ac:dyDescent="0.2">
      <c r="A427">
        <v>426</v>
      </c>
      <c r="B427" s="7" t="s">
        <v>372</v>
      </c>
      <c r="C427" t="s">
        <v>1311</v>
      </c>
      <c r="D427" s="65" t="str">
        <f t="shared" si="12"/>
        <v>Y</v>
      </c>
      <c r="E427" t="s">
        <v>1313</v>
      </c>
      <c r="F427" s="7" t="s">
        <v>291</v>
      </c>
      <c r="G427" s="1">
        <v>1</v>
      </c>
      <c r="H427" s="7" t="s">
        <v>291</v>
      </c>
      <c r="I427" s="7" t="s">
        <v>297</v>
      </c>
      <c r="J427" s="1">
        <v>1</v>
      </c>
      <c r="K427" s="1">
        <v>4</v>
      </c>
      <c r="L427" s="67">
        <f t="shared" si="13"/>
        <v>1</v>
      </c>
    </row>
    <row r="428" spans="1:12" x14ac:dyDescent="0.2">
      <c r="A428">
        <v>427</v>
      </c>
      <c r="B428" s="7" t="s">
        <v>356</v>
      </c>
      <c r="C428" t="s">
        <v>1311</v>
      </c>
      <c r="D428" s="65" t="str">
        <f t="shared" si="12"/>
        <v>Y</v>
      </c>
      <c r="E428" t="s">
        <v>1313</v>
      </c>
      <c r="F428" s="7" t="s">
        <v>291</v>
      </c>
      <c r="G428" s="1">
        <v>1</v>
      </c>
      <c r="H428" s="7" t="s">
        <v>299</v>
      </c>
      <c r="I428" s="7" t="s">
        <v>292</v>
      </c>
      <c r="J428" s="1">
        <v>4</v>
      </c>
      <c r="K428" s="1">
        <v>5</v>
      </c>
      <c r="L428" s="67">
        <f t="shared" si="13"/>
        <v>0</v>
      </c>
    </row>
    <row r="429" spans="1:12" x14ac:dyDescent="0.2">
      <c r="A429">
        <v>428</v>
      </c>
      <c r="B429" s="7" t="s">
        <v>356</v>
      </c>
      <c r="C429" t="s">
        <v>1311</v>
      </c>
      <c r="D429" s="65" t="str">
        <f t="shared" si="12"/>
        <v>Y</v>
      </c>
      <c r="E429" t="s">
        <v>1313</v>
      </c>
      <c r="F429" s="7" t="s">
        <v>291</v>
      </c>
      <c r="G429" s="1">
        <v>1</v>
      </c>
      <c r="H429" s="7" t="s">
        <v>291</v>
      </c>
      <c r="I429" s="7" t="s">
        <v>294</v>
      </c>
      <c r="J429" s="1">
        <v>1</v>
      </c>
      <c r="K429" s="1">
        <v>7</v>
      </c>
      <c r="L429" s="67">
        <f t="shared" si="13"/>
        <v>1</v>
      </c>
    </row>
    <row r="430" spans="1:12" x14ac:dyDescent="0.2">
      <c r="A430">
        <v>429</v>
      </c>
      <c r="B430" s="7" t="s">
        <v>372</v>
      </c>
      <c r="C430" t="s">
        <v>1311</v>
      </c>
      <c r="D430" s="65" t="str">
        <f t="shared" si="12"/>
        <v>Y</v>
      </c>
      <c r="E430" t="s">
        <v>1313</v>
      </c>
      <c r="F430" s="7" t="s">
        <v>291</v>
      </c>
      <c r="G430" s="1">
        <v>1</v>
      </c>
      <c r="H430" s="7" t="s">
        <v>291</v>
      </c>
      <c r="I430" s="7" t="s">
        <v>292</v>
      </c>
      <c r="J430" s="1">
        <v>1</v>
      </c>
      <c r="K430" s="1">
        <v>5</v>
      </c>
      <c r="L430" s="67">
        <f t="shared" si="13"/>
        <v>1</v>
      </c>
    </row>
    <row r="431" spans="1:12" x14ac:dyDescent="0.2">
      <c r="A431">
        <v>430</v>
      </c>
      <c r="B431" s="7" t="s">
        <v>372</v>
      </c>
      <c r="C431" t="s">
        <v>1311</v>
      </c>
      <c r="D431" s="65" t="str">
        <f t="shared" si="12"/>
        <v>Y</v>
      </c>
      <c r="E431" t="s">
        <v>1313</v>
      </c>
      <c r="F431" s="7" t="s">
        <v>291</v>
      </c>
      <c r="G431" s="1">
        <v>1</v>
      </c>
      <c r="H431" s="7" t="s">
        <v>291</v>
      </c>
      <c r="I431" s="7" t="s">
        <v>296</v>
      </c>
      <c r="J431" s="1">
        <v>1</v>
      </c>
      <c r="K431" s="1">
        <v>6</v>
      </c>
      <c r="L431" s="67">
        <f t="shared" si="13"/>
        <v>1</v>
      </c>
    </row>
    <row r="432" spans="1:12" x14ac:dyDescent="0.2">
      <c r="A432">
        <v>431</v>
      </c>
      <c r="B432" s="7" t="s">
        <v>356</v>
      </c>
      <c r="C432" t="s">
        <v>1311</v>
      </c>
      <c r="D432" s="65" t="str">
        <f t="shared" si="12"/>
        <v>Y</v>
      </c>
      <c r="E432" t="s">
        <v>1313</v>
      </c>
      <c r="F432" s="7" t="s">
        <v>291</v>
      </c>
      <c r="G432" s="1">
        <v>1</v>
      </c>
      <c r="H432" s="7" t="s">
        <v>291</v>
      </c>
      <c r="I432" s="7" t="s">
        <v>292</v>
      </c>
      <c r="J432" s="1">
        <v>1</v>
      </c>
      <c r="K432" s="1">
        <v>5</v>
      </c>
      <c r="L432" s="67">
        <f t="shared" si="13"/>
        <v>1</v>
      </c>
    </row>
    <row r="433" spans="1:12" x14ac:dyDescent="0.2">
      <c r="A433">
        <v>432</v>
      </c>
      <c r="B433" s="7" t="s">
        <v>372</v>
      </c>
      <c r="C433" t="s">
        <v>1311</v>
      </c>
      <c r="D433" s="65" t="str">
        <f t="shared" si="12"/>
        <v>Y</v>
      </c>
      <c r="E433" t="s">
        <v>1313</v>
      </c>
      <c r="F433" s="7" t="s">
        <v>291</v>
      </c>
      <c r="G433" s="1">
        <v>1</v>
      </c>
      <c r="H433" s="7" t="s">
        <v>291</v>
      </c>
      <c r="I433" s="7" t="s">
        <v>296</v>
      </c>
      <c r="J433" s="1">
        <v>1</v>
      </c>
      <c r="K433" s="1">
        <v>6</v>
      </c>
      <c r="L433" s="67">
        <f t="shared" si="13"/>
        <v>1</v>
      </c>
    </row>
    <row r="434" spans="1:12" x14ac:dyDescent="0.2">
      <c r="A434">
        <v>433</v>
      </c>
      <c r="B434" s="7" t="s">
        <v>372</v>
      </c>
      <c r="C434" t="s">
        <v>1311</v>
      </c>
      <c r="D434" s="65" t="str">
        <f t="shared" si="12"/>
        <v>Y</v>
      </c>
      <c r="E434" t="s">
        <v>1313</v>
      </c>
      <c r="F434" s="7" t="s">
        <v>291</v>
      </c>
      <c r="G434" s="1">
        <v>1</v>
      </c>
      <c r="H434" s="7" t="s">
        <v>291</v>
      </c>
      <c r="I434" s="7" t="s">
        <v>296</v>
      </c>
      <c r="J434" s="1">
        <v>1</v>
      </c>
      <c r="K434" s="1">
        <v>6</v>
      </c>
      <c r="L434" s="67">
        <f t="shared" si="13"/>
        <v>1</v>
      </c>
    </row>
    <row r="435" spans="1:12" x14ac:dyDescent="0.2">
      <c r="A435">
        <v>434</v>
      </c>
      <c r="B435" s="7" t="s">
        <v>372</v>
      </c>
      <c r="C435" t="s">
        <v>1311</v>
      </c>
      <c r="D435" s="65" t="str">
        <f t="shared" si="12"/>
        <v>Y</v>
      </c>
      <c r="E435" t="s">
        <v>1313</v>
      </c>
      <c r="F435" s="7" t="s">
        <v>291</v>
      </c>
      <c r="G435" s="1">
        <v>1</v>
      </c>
      <c r="H435" s="7" t="s">
        <v>291</v>
      </c>
      <c r="I435" s="7" t="s">
        <v>297</v>
      </c>
      <c r="J435" s="1">
        <v>1</v>
      </c>
      <c r="K435" s="1">
        <v>4</v>
      </c>
      <c r="L435" s="67">
        <f t="shared" si="13"/>
        <v>1</v>
      </c>
    </row>
    <row r="436" spans="1:12" x14ac:dyDescent="0.2">
      <c r="A436">
        <v>435</v>
      </c>
      <c r="B436" s="7" t="s">
        <v>356</v>
      </c>
      <c r="C436" t="s">
        <v>1311</v>
      </c>
      <c r="D436" s="65" t="str">
        <f t="shared" si="12"/>
        <v>Y</v>
      </c>
      <c r="E436" t="s">
        <v>1313</v>
      </c>
      <c r="F436" s="7" t="s">
        <v>291</v>
      </c>
      <c r="G436" s="1">
        <v>1</v>
      </c>
      <c r="H436" s="7" t="s">
        <v>291</v>
      </c>
      <c r="I436" s="7" t="s">
        <v>296</v>
      </c>
      <c r="J436" s="1">
        <v>1</v>
      </c>
      <c r="K436" s="1">
        <v>6</v>
      </c>
      <c r="L436" s="67">
        <f t="shared" si="13"/>
        <v>1</v>
      </c>
    </row>
    <row r="437" spans="1:12" x14ac:dyDescent="0.2">
      <c r="A437">
        <v>436</v>
      </c>
      <c r="B437" s="7" t="s">
        <v>372</v>
      </c>
      <c r="C437" t="s">
        <v>1311</v>
      </c>
      <c r="D437" s="65" t="str">
        <f t="shared" si="12"/>
        <v>Y</v>
      </c>
      <c r="E437" t="s">
        <v>1313</v>
      </c>
      <c r="F437" s="7" t="s">
        <v>291</v>
      </c>
      <c r="G437" s="1">
        <v>1</v>
      </c>
      <c r="H437" s="7" t="s">
        <v>293</v>
      </c>
      <c r="I437" s="7" t="s">
        <v>292</v>
      </c>
      <c r="J437" s="1">
        <v>2</v>
      </c>
      <c r="K437" s="1">
        <v>5</v>
      </c>
      <c r="L437" s="67">
        <f t="shared" si="13"/>
        <v>0</v>
      </c>
    </row>
    <row r="438" spans="1:12" x14ac:dyDescent="0.2">
      <c r="A438">
        <v>437</v>
      </c>
      <c r="B438" s="7" t="s">
        <v>356</v>
      </c>
      <c r="C438" t="s">
        <v>1311</v>
      </c>
      <c r="D438" s="65" t="str">
        <f t="shared" si="12"/>
        <v>Y</v>
      </c>
      <c r="E438" t="s">
        <v>1313</v>
      </c>
      <c r="F438" s="7" t="s">
        <v>291</v>
      </c>
      <c r="G438" s="1">
        <v>1</v>
      </c>
      <c r="H438" s="7" t="s">
        <v>291</v>
      </c>
      <c r="I438" s="7" t="s">
        <v>292</v>
      </c>
      <c r="J438" s="1">
        <v>1</v>
      </c>
      <c r="K438" s="1">
        <v>5</v>
      </c>
      <c r="L438" s="67">
        <f t="shared" si="13"/>
        <v>1</v>
      </c>
    </row>
    <row r="439" spans="1:12" x14ac:dyDescent="0.2">
      <c r="A439">
        <v>438</v>
      </c>
      <c r="B439" s="7" t="s">
        <v>356</v>
      </c>
      <c r="C439" t="s">
        <v>1311</v>
      </c>
      <c r="D439" s="65" t="str">
        <f t="shared" si="12"/>
        <v>Y</v>
      </c>
      <c r="E439" t="s">
        <v>1313</v>
      </c>
      <c r="F439" s="7" t="s">
        <v>291</v>
      </c>
      <c r="G439" s="1">
        <v>1</v>
      </c>
      <c r="H439" s="7" t="s">
        <v>291</v>
      </c>
      <c r="I439" s="7" t="s">
        <v>292</v>
      </c>
      <c r="J439" s="1">
        <v>1</v>
      </c>
      <c r="K439" s="1">
        <v>5</v>
      </c>
      <c r="L439" s="67">
        <f t="shared" si="13"/>
        <v>1</v>
      </c>
    </row>
    <row r="440" spans="1:12" x14ac:dyDescent="0.2">
      <c r="A440">
        <v>439</v>
      </c>
      <c r="B440" s="7" t="s">
        <v>372</v>
      </c>
      <c r="C440" t="s">
        <v>1311</v>
      </c>
      <c r="D440" s="65" t="str">
        <f t="shared" si="12"/>
        <v>Y</v>
      </c>
      <c r="E440" t="s">
        <v>1313</v>
      </c>
      <c r="F440" s="7" t="s">
        <v>291</v>
      </c>
      <c r="G440" s="1">
        <v>1</v>
      </c>
      <c r="H440" s="7" t="s">
        <v>282</v>
      </c>
      <c r="I440" s="7" t="s">
        <v>292</v>
      </c>
      <c r="J440" s="4" t="s">
        <v>282</v>
      </c>
      <c r="K440" s="1">
        <v>5</v>
      </c>
      <c r="L440" s="67">
        <f t="shared" si="13"/>
        <v>0</v>
      </c>
    </row>
    <row r="441" spans="1:12" x14ac:dyDescent="0.2">
      <c r="A441">
        <v>440</v>
      </c>
      <c r="B441" s="7" t="s">
        <v>372</v>
      </c>
      <c r="C441" t="s">
        <v>1311</v>
      </c>
      <c r="D441" s="65" t="str">
        <f t="shared" si="12"/>
        <v>Y</v>
      </c>
      <c r="E441" t="s">
        <v>1313</v>
      </c>
      <c r="F441" s="7" t="s">
        <v>291</v>
      </c>
      <c r="G441" s="1">
        <v>1</v>
      </c>
      <c r="H441" s="7" t="s">
        <v>291</v>
      </c>
      <c r="I441" s="7" t="s">
        <v>296</v>
      </c>
      <c r="J441" s="1">
        <v>1</v>
      </c>
      <c r="K441" s="1">
        <v>6</v>
      </c>
      <c r="L441" s="67">
        <f t="shared" si="13"/>
        <v>1</v>
      </c>
    </row>
    <row r="442" spans="1:12" x14ac:dyDescent="0.2">
      <c r="A442">
        <v>441</v>
      </c>
      <c r="B442" s="7" t="s">
        <v>356</v>
      </c>
      <c r="C442" t="s">
        <v>1311</v>
      </c>
      <c r="D442" s="65" t="str">
        <f t="shared" si="12"/>
        <v>Y</v>
      </c>
      <c r="E442" t="s">
        <v>1313</v>
      </c>
      <c r="F442" s="7" t="s">
        <v>291</v>
      </c>
      <c r="G442" s="1">
        <v>1</v>
      </c>
      <c r="H442" s="7" t="s">
        <v>291</v>
      </c>
      <c r="I442" s="7" t="s">
        <v>296</v>
      </c>
      <c r="J442" s="1">
        <v>1</v>
      </c>
      <c r="K442" s="1">
        <v>6</v>
      </c>
      <c r="L442" s="67">
        <f t="shared" si="13"/>
        <v>1</v>
      </c>
    </row>
    <row r="443" spans="1:12" x14ac:dyDescent="0.2">
      <c r="A443">
        <v>442</v>
      </c>
      <c r="B443" s="7" t="s">
        <v>372</v>
      </c>
      <c r="C443" t="s">
        <v>1311</v>
      </c>
      <c r="D443" s="65" t="str">
        <f t="shared" si="12"/>
        <v>Y</v>
      </c>
      <c r="E443" t="s">
        <v>1313</v>
      </c>
      <c r="F443" s="7" t="s">
        <v>291</v>
      </c>
      <c r="G443" s="1">
        <v>1</v>
      </c>
      <c r="H443" s="7" t="s">
        <v>291</v>
      </c>
      <c r="I443" s="7" t="s">
        <v>296</v>
      </c>
      <c r="J443" s="1">
        <v>1</v>
      </c>
      <c r="K443" s="1">
        <v>6</v>
      </c>
      <c r="L443" s="67">
        <f t="shared" si="13"/>
        <v>1</v>
      </c>
    </row>
    <row r="444" spans="1:12" x14ac:dyDescent="0.2">
      <c r="A444">
        <v>443</v>
      </c>
      <c r="B444" s="7" t="s">
        <v>356</v>
      </c>
      <c r="C444" t="s">
        <v>1311</v>
      </c>
      <c r="D444" s="65" t="str">
        <f t="shared" si="12"/>
        <v>Y</v>
      </c>
      <c r="E444" t="s">
        <v>1313</v>
      </c>
      <c r="F444" s="7" t="s">
        <v>291</v>
      </c>
      <c r="G444" s="1">
        <v>1</v>
      </c>
      <c r="H444" s="7" t="s">
        <v>291</v>
      </c>
      <c r="I444" s="7" t="s">
        <v>296</v>
      </c>
      <c r="J444" s="1">
        <v>1</v>
      </c>
      <c r="K444" s="1">
        <v>6</v>
      </c>
      <c r="L444" s="67">
        <f t="shared" si="13"/>
        <v>1</v>
      </c>
    </row>
    <row r="445" spans="1:12" x14ac:dyDescent="0.2">
      <c r="A445">
        <v>444</v>
      </c>
      <c r="B445" s="7" t="s">
        <v>372</v>
      </c>
      <c r="C445" t="s">
        <v>1311</v>
      </c>
      <c r="D445" s="65" t="str">
        <f t="shared" si="12"/>
        <v>Y</v>
      </c>
      <c r="E445" t="s">
        <v>1313</v>
      </c>
      <c r="F445" s="7" t="s">
        <v>291</v>
      </c>
      <c r="G445" s="1">
        <v>1</v>
      </c>
      <c r="H445" s="7" t="s">
        <v>291</v>
      </c>
      <c r="I445" s="7" t="s">
        <v>296</v>
      </c>
      <c r="J445" s="1">
        <v>1</v>
      </c>
      <c r="K445" s="1">
        <v>6</v>
      </c>
      <c r="L445" s="67">
        <f t="shared" si="13"/>
        <v>1</v>
      </c>
    </row>
    <row r="446" spans="1:12" x14ac:dyDescent="0.2">
      <c r="A446">
        <v>445</v>
      </c>
      <c r="B446" s="7" t="s">
        <v>372</v>
      </c>
      <c r="C446" t="s">
        <v>1311</v>
      </c>
      <c r="D446" s="65" t="str">
        <f t="shared" si="12"/>
        <v>Y</v>
      </c>
      <c r="E446" t="s">
        <v>1313</v>
      </c>
      <c r="F446" s="7" t="s">
        <v>291</v>
      </c>
      <c r="G446" s="1">
        <v>1</v>
      </c>
      <c r="H446" s="7" t="s">
        <v>291</v>
      </c>
      <c r="I446" s="7" t="s">
        <v>296</v>
      </c>
      <c r="J446" s="1">
        <v>1</v>
      </c>
      <c r="K446" s="1">
        <v>6</v>
      </c>
      <c r="L446" s="67">
        <f t="shared" si="13"/>
        <v>1</v>
      </c>
    </row>
    <row r="447" spans="1:12" x14ac:dyDescent="0.2">
      <c r="A447">
        <v>446</v>
      </c>
      <c r="B447" s="7" t="s">
        <v>356</v>
      </c>
      <c r="C447" t="s">
        <v>1311</v>
      </c>
      <c r="D447" s="65" t="str">
        <f t="shared" si="12"/>
        <v>Y</v>
      </c>
      <c r="E447" t="s">
        <v>1313</v>
      </c>
      <c r="F447" s="7" t="s">
        <v>291</v>
      </c>
      <c r="G447" s="1">
        <v>1</v>
      </c>
      <c r="H447" s="7" t="s">
        <v>291</v>
      </c>
      <c r="I447" s="7" t="s">
        <v>296</v>
      </c>
      <c r="J447" s="1">
        <v>1</v>
      </c>
      <c r="K447" s="1">
        <v>6</v>
      </c>
      <c r="L447" s="67">
        <f t="shared" si="13"/>
        <v>1</v>
      </c>
    </row>
    <row r="448" spans="1:12" x14ac:dyDescent="0.2">
      <c r="A448">
        <v>447</v>
      </c>
      <c r="B448" s="7" t="s">
        <v>372</v>
      </c>
      <c r="C448" t="s">
        <v>1311</v>
      </c>
      <c r="D448" s="65" t="str">
        <f t="shared" si="12"/>
        <v>Y</v>
      </c>
      <c r="E448" t="s">
        <v>1313</v>
      </c>
      <c r="F448" s="7" t="s">
        <v>291</v>
      </c>
      <c r="G448" s="1">
        <v>1</v>
      </c>
      <c r="H448" s="7" t="s">
        <v>291</v>
      </c>
      <c r="I448" s="7" t="s">
        <v>296</v>
      </c>
      <c r="J448" s="1">
        <v>1</v>
      </c>
      <c r="K448" s="1">
        <v>6</v>
      </c>
      <c r="L448" s="67">
        <f t="shared" si="13"/>
        <v>1</v>
      </c>
    </row>
    <row r="449" spans="1:12" x14ac:dyDescent="0.2">
      <c r="A449">
        <v>448</v>
      </c>
      <c r="B449" s="7" t="s">
        <v>356</v>
      </c>
      <c r="C449" t="s">
        <v>1311</v>
      </c>
      <c r="D449" s="65" t="str">
        <f t="shared" si="12"/>
        <v>Y</v>
      </c>
      <c r="E449" t="s">
        <v>1313</v>
      </c>
      <c r="F449" s="7" t="s">
        <v>291</v>
      </c>
      <c r="G449" s="1">
        <v>1</v>
      </c>
      <c r="H449" s="7" t="s">
        <v>291</v>
      </c>
      <c r="I449" s="7" t="s">
        <v>296</v>
      </c>
      <c r="J449" s="1">
        <v>1</v>
      </c>
      <c r="K449" s="1">
        <v>6</v>
      </c>
      <c r="L449" s="67">
        <f t="shared" si="13"/>
        <v>1</v>
      </c>
    </row>
    <row r="450" spans="1:12" x14ac:dyDescent="0.2">
      <c r="A450">
        <v>449</v>
      </c>
      <c r="B450" s="7" t="s">
        <v>356</v>
      </c>
      <c r="C450" t="s">
        <v>1311</v>
      </c>
      <c r="D450" s="65" t="str">
        <f t="shared" si="12"/>
        <v>Y</v>
      </c>
      <c r="E450" t="s">
        <v>1313</v>
      </c>
      <c r="F450" s="7" t="s">
        <v>291</v>
      </c>
      <c r="G450" s="1">
        <v>1</v>
      </c>
      <c r="H450" s="7" t="s">
        <v>293</v>
      </c>
      <c r="I450" s="7" t="s">
        <v>296</v>
      </c>
      <c r="J450" s="1">
        <v>2</v>
      </c>
      <c r="K450" s="1">
        <v>6</v>
      </c>
      <c r="L450" s="67">
        <f t="shared" si="13"/>
        <v>0</v>
      </c>
    </row>
    <row r="451" spans="1:12" x14ac:dyDescent="0.2">
      <c r="A451">
        <v>450</v>
      </c>
      <c r="B451" s="7" t="s">
        <v>372</v>
      </c>
      <c r="C451" t="s">
        <v>1311</v>
      </c>
      <c r="D451" s="65" t="str">
        <f t="shared" ref="D451:D514" si="14">IF($E451="iso", "N", IF(OR($E451="non", $E451="emd", $E451="dyn"), "Y", "ERROR"))</f>
        <v>Y</v>
      </c>
      <c r="E451" t="s">
        <v>1313</v>
      </c>
      <c r="F451" s="7" t="s">
        <v>291</v>
      </c>
      <c r="G451" s="1">
        <v>1</v>
      </c>
      <c r="H451" s="7" t="s">
        <v>291</v>
      </c>
      <c r="I451" s="7" t="s">
        <v>292</v>
      </c>
      <c r="J451" s="1">
        <v>1</v>
      </c>
      <c r="K451" s="1">
        <v>5</v>
      </c>
      <c r="L451" s="67">
        <f t="shared" ref="L451:L514" si="15">IF(G451=J451, 1, 0)</f>
        <v>1</v>
      </c>
    </row>
    <row r="452" spans="1:12" x14ac:dyDescent="0.2">
      <c r="A452">
        <v>451</v>
      </c>
      <c r="B452" s="7" t="s">
        <v>356</v>
      </c>
      <c r="C452" t="s">
        <v>1311</v>
      </c>
      <c r="D452" s="65" t="str">
        <f t="shared" si="14"/>
        <v>Y</v>
      </c>
      <c r="E452" t="s">
        <v>1313</v>
      </c>
      <c r="F452" s="7" t="s">
        <v>291</v>
      </c>
      <c r="G452" s="1">
        <v>1</v>
      </c>
      <c r="H452" s="7" t="s">
        <v>291</v>
      </c>
      <c r="I452" s="7" t="s">
        <v>297</v>
      </c>
      <c r="J452" s="1">
        <v>1</v>
      </c>
      <c r="K452" s="1">
        <v>4</v>
      </c>
      <c r="L452" s="67">
        <f t="shared" si="15"/>
        <v>1</v>
      </c>
    </row>
    <row r="453" spans="1:12" x14ac:dyDescent="0.2">
      <c r="A453">
        <v>452</v>
      </c>
      <c r="B453" s="7" t="s">
        <v>372</v>
      </c>
      <c r="C453" t="s">
        <v>1311</v>
      </c>
      <c r="D453" s="65" t="str">
        <f t="shared" si="14"/>
        <v>Y</v>
      </c>
      <c r="E453" t="s">
        <v>1313</v>
      </c>
      <c r="F453" s="7" t="s">
        <v>291</v>
      </c>
      <c r="G453" s="1">
        <v>1</v>
      </c>
      <c r="H453" s="7" t="s">
        <v>291</v>
      </c>
      <c r="I453" s="7" t="s">
        <v>296</v>
      </c>
      <c r="J453" s="1">
        <v>1</v>
      </c>
      <c r="K453" s="1">
        <v>6</v>
      </c>
      <c r="L453" s="67">
        <f t="shared" si="15"/>
        <v>1</v>
      </c>
    </row>
    <row r="454" spans="1:12" x14ac:dyDescent="0.2">
      <c r="A454">
        <v>453</v>
      </c>
      <c r="B454" s="7" t="s">
        <v>356</v>
      </c>
      <c r="C454" t="s">
        <v>1311</v>
      </c>
      <c r="D454" s="65" t="str">
        <f t="shared" si="14"/>
        <v>Y</v>
      </c>
      <c r="E454" t="s">
        <v>1313</v>
      </c>
      <c r="F454" s="7" t="s">
        <v>291</v>
      </c>
      <c r="G454" s="1">
        <v>1</v>
      </c>
      <c r="H454" s="7" t="s">
        <v>291</v>
      </c>
      <c r="I454" s="7" t="s">
        <v>296</v>
      </c>
      <c r="J454" s="1">
        <v>1</v>
      </c>
      <c r="K454" s="1">
        <v>6</v>
      </c>
      <c r="L454" s="67">
        <f t="shared" si="15"/>
        <v>1</v>
      </c>
    </row>
    <row r="455" spans="1:12" x14ac:dyDescent="0.2">
      <c r="A455">
        <v>454</v>
      </c>
      <c r="B455" s="7" t="s">
        <v>372</v>
      </c>
      <c r="C455" t="s">
        <v>1311</v>
      </c>
      <c r="D455" s="65" t="str">
        <f t="shared" si="14"/>
        <v>Y</v>
      </c>
      <c r="E455" t="s">
        <v>1313</v>
      </c>
      <c r="F455" s="7" t="s">
        <v>291</v>
      </c>
      <c r="G455" s="1">
        <v>1</v>
      </c>
      <c r="H455" s="7" t="s">
        <v>291</v>
      </c>
      <c r="I455" s="7" t="s">
        <v>296</v>
      </c>
      <c r="J455" s="1">
        <v>1</v>
      </c>
      <c r="K455" s="1">
        <v>6</v>
      </c>
      <c r="L455" s="67">
        <f t="shared" si="15"/>
        <v>1</v>
      </c>
    </row>
    <row r="456" spans="1:12" x14ac:dyDescent="0.2">
      <c r="A456">
        <v>455</v>
      </c>
      <c r="B456" s="7" t="s">
        <v>356</v>
      </c>
      <c r="C456" t="s">
        <v>1311</v>
      </c>
      <c r="D456" s="65" t="str">
        <f t="shared" si="14"/>
        <v>Y</v>
      </c>
      <c r="E456" t="s">
        <v>1313</v>
      </c>
      <c r="F456" s="7" t="s">
        <v>291</v>
      </c>
      <c r="G456" s="1">
        <v>1</v>
      </c>
      <c r="H456" s="7" t="s">
        <v>291</v>
      </c>
      <c r="I456" s="7" t="s">
        <v>296</v>
      </c>
      <c r="J456" s="1">
        <v>1</v>
      </c>
      <c r="K456" s="1">
        <v>6</v>
      </c>
      <c r="L456" s="67">
        <f t="shared" si="15"/>
        <v>1</v>
      </c>
    </row>
    <row r="457" spans="1:12" x14ac:dyDescent="0.2">
      <c r="A457">
        <v>456</v>
      </c>
      <c r="B457" s="7" t="s">
        <v>372</v>
      </c>
      <c r="C457" t="s">
        <v>1311</v>
      </c>
      <c r="D457" s="65" t="str">
        <f t="shared" si="14"/>
        <v>Y</v>
      </c>
      <c r="E457" t="s">
        <v>1313</v>
      </c>
      <c r="F457" s="7" t="s">
        <v>291</v>
      </c>
      <c r="G457" s="1">
        <v>1</v>
      </c>
      <c r="H457" s="7" t="s">
        <v>298</v>
      </c>
      <c r="I457" s="7" t="s">
        <v>292</v>
      </c>
      <c r="J457" s="1">
        <v>3</v>
      </c>
      <c r="K457" s="1">
        <v>5</v>
      </c>
      <c r="L457" s="67">
        <f t="shared" si="15"/>
        <v>0</v>
      </c>
    </row>
    <row r="458" spans="1:12" x14ac:dyDescent="0.2">
      <c r="A458">
        <v>457</v>
      </c>
      <c r="B458" s="7" t="s">
        <v>372</v>
      </c>
      <c r="C458" t="s">
        <v>1311</v>
      </c>
      <c r="D458" s="65" t="str">
        <f t="shared" si="14"/>
        <v>Y</v>
      </c>
      <c r="E458" t="s">
        <v>1313</v>
      </c>
      <c r="F458" s="7" t="s">
        <v>291</v>
      </c>
      <c r="G458" s="1">
        <v>1</v>
      </c>
      <c r="H458" s="7" t="s">
        <v>291</v>
      </c>
      <c r="I458" s="7" t="s">
        <v>292</v>
      </c>
      <c r="J458" s="1">
        <v>1</v>
      </c>
      <c r="K458" s="1">
        <v>5</v>
      </c>
      <c r="L458" s="67">
        <f t="shared" si="15"/>
        <v>1</v>
      </c>
    </row>
    <row r="459" spans="1:12" x14ac:dyDescent="0.2">
      <c r="A459">
        <v>458</v>
      </c>
      <c r="B459" s="7" t="s">
        <v>356</v>
      </c>
      <c r="C459" t="s">
        <v>1311</v>
      </c>
      <c r="D459" s="65" t="str">
        <f t="shared" si="14"/>
        <v>Y</v>
      </c>
      <c r="E459" t="s">
        <v>1313</v>
      </c>
      <c r="F459" s="7" t="s">
        <v>291</v>
      </c>
      <c r="G459" s="1">
        <v>1</v>
      </c>
      <c r="H459" s="7" t="s">
        <v>291</v>
      </c>
      <c r="I459" s="7" t="s">
        <v>292</v>
      </c>
      <c r="J459" s="1">
        <v>1</v>
      </c>
      <c r="K459" s="1">
        <v>5</v>
      </c>
      <c r="L459" s="67">
        <f t="shared" si="15"/>
        <v>1</v>
      </c>
    </row>
    <row r="460" spans="1:12" x14ac:dyDescent="0.2">
      <c r="A460">
        <v>459</v>
      </c>
      <c r="B460" s="7" t="s">
        <v>356</v>
      </c>
      <c r="C460" t="s">
        <v>1311</v>
      </c>
      <c r="D460" s="65" t="str">
        <f t="shared" si="14"/>
        <v>Y</v>
      </c>
      <c r="E460" t="s">
        <v>1313</v>
      </c>
      <c r="F460" s="7" t="s">
        <v>291</v>
      </c>
      <c r="G460" s="1">
        <v>1</v>
      </c>
      <c r="H460" s="7" t="s">
        <v>291</v>
      </c>
      <c r="I460" s="7" t="s">
        <v>292</v>
      </c>
      <c r="J460" s="1">
        <v>1</v>
      </c>
      <c r="K460" s="1">
        <v>5</v>
      </c>
      <c r="L460" s="67">
        <f t="shared" si="15"/>
        <v>1</v>
      </c>
    </row>
    <row r="461" spans="1:12" x14ac:dyDescent="0.2">
      <c r="A461">
        <v>460</v>
      </c>
      <c r="B461" s="7" t="s">
        <v>372</v>
      </c>
      <c r="C461" t="s">
        <v>1311</v>
      </c>
      <c r="D461" s="65" t="str">
        <f t="shared" si="14"/>
        <v>Y</v>
      </c>
      <c r="E461" t="s">
        <v>1313</v>
      </c>
      <c r="F461" s="7" t="s">
        <v>291</v>
      </c>
      <c r="G461" s="1">
        <v>1</v>
      </c>
      <c r="H461" s="7" t="s">
        <v>291</v>
      </c>
      <c r="I461" s="7" t="s">
        <v>296</v>
      </c>
      <c r="J461" s="1">
        <v>1</v>
      </c>
      <c r="K461" s="1">
        <v>6</v>
      </c>
      <c r="L461" s="67">
        <f t="shared" si="15"/>
        <v>1</v>
      </c>
    </row>
    <row r="462" spans="1:12" x14ac:dyDescent="0.2">
      <c r="A462">
        <v>461</v>
      </c>
      <c r="B462" s="7" t="s">
        <v>372</v>
      </c>
      <c r="C462" t="s">
        <v>1311</v>
      </c>
      <c r="D462" s="65" t="str">
        <f t="shared" si="14"/>
        <v>Y</v>
      </c>
      <c r="E462" t="s">
        <v>1313</v>
      </c>
      <c r="F462" s="7" t="s">
        <v>291</v>
      </c>
      <c r="G462" s="1">
        <v>1</v>
      </c>
      <c r="H462" s="7" t="s">
        <v>291</v>
      </c>
      <c r="I462" s="7" t="s">
        <v>296</v>
      </c>
      <c r="J462" s="1">
        <v>1</v>
      </c>
      <c r="K462" s="1">
        <v>6</v>
      </c>
      <c r="L462" s="67">
        <f t="shared" si="15"/>
        <v>1</v>
      </c>
    </row>
    <row r="463" spans="1:12" x14ac:dyDescent="0.2">
      <c r="A463">
        <v>462</v>
      </c>
      <c r="B463" s="7" t="s">
        <v>356</v>
      </c>
      <c r="C463" t="s">
        <v>1311</v>
      </c>
      <c r="D463" s="65" t="str">
        <f t="shared" si="14"/>
        <v>Y</v>
      </c>
      <c r="E463" t="s">
        <v>1313</v>
      </c>
      <c r="F463" s="7" t="s">
        <v>291</v>
      </c>
      <c r="G463" s="1">
        <v>1</v>
      </c>
      <c r="H463" s="7" t="s">
        <v>291</v>
      </c>
      <c r="I463" s="7" t="s">
        <v>294</v>
      </c>
      <c r="J463" s="1">
        <v>1</v>
      </c>
      <c r="K463" s="1">
        <v>7</v>
      </c>
      <c r="L463" s="67">
        <f t="shared" si="15"/>
        <v>1</v>
      </c>
    </row>
    <row r="464" spans="1:12" x14ac:dyDescent="0.2">
      <c r="A464">
        <v>463</v>
      </c>
      <c r="B464" s="7" t="s">
        <v>372</v>
      </c>
      <c r="C464" t="s">
        <v>1311</v>
      </c>
      <c r="D464" s="65" t="str">
        <f t="shared" si="14"/>
        <v>Y</v>
      </c>
      <c r="E464" t="s">
        <v>1313</v>
      </c>
      <c r="F464" s="7" t="s">
        <v>291</v>
      </c>
      <c r="G464" s="1">
        <v>1</v>
      </c>
      <c r="H464" s="7" t="s">
        <v>291</v>
      </c>
      <c r="I464" s="7" t="s">
        <v>294</v>
      </c>
      <c r="J464" s="1">
        <v>1</v>
      </c>
      <c r="K464" s="1">
        <v>7</v>
      </c>
      <c r="L464" s="67">
        <f t="shared" si="15"/>
        <v>1</v>
      </c>
    </row>
    <row r="465" spans="1:12" x14ac:dyDescent="0.2">
      <c r="A465">
        <v>464</v>
      </c>
      <c r="B465" s="7" t="s">
        <v>356</v>
      </c>
      <c r="C465" t="s">
        <v>1311</v>
      </c>
      <c r="D465" s="65" t="str">
        <f t="shared" si="14"/>
        <v>Y</v>
      </c>
      <c r="E465" t="s">
        <v>1313</v>
      </c>
      <c r="F465" s="7" t="s">
        <v>291</v>
      </c>
      <c r="G465" s="1">
        <v>1</v>
      </c>
      <c r="H465" s="7" t="s">
        <v>291</v>
      </c>
      <c r="I465" s="7" t="s">
        <v>292</v>
      </c>
      <c r="J465" s="1">
        <v>1</v>
      </c>
      <c r="K465" s="1">
        <v>5</v>
      </c>
      <c r="L465" s="67">
        <f t="shared" si="15"/>
        <v>1</v>
      </c>
    </row>
    <row r="466" spans="1:12" x14ac:dyDescent="0.2">
      <c r="A466">
        <v>465</v>
      </c>
      <c r="B466" s="7" t="s">
        <v>356</v>
      </c>
      <c r="C466" t="s">
        <v>1311</v>
      </c>
      <c r="D466" s="65" t="str">
        <f t="shared" si="14"/>
        <v>Y</v>
      </c>
      <c r="E466" t="s">
        <v>1313</v>
      </c>
      <c r="F466" s="7" t="s">
        <v>291</v>
      </c>
      <c r="G466" s="1">
        <v>1</v>
      </c>
      <c r="H466" s="7" t="s">
        <v>298</v>
      </c>
      <c r="I466" s="7" t="s">
        <v>292</v>
      </c>
      <c r="J466" s="1">
        <v>3</v>
      </c>
      <c r="K466" s="1">
        <v>5</v>
      </c>
      <c r="L466" s="67">
        <f t="shared" si="15"/>
        <v>0</v>
      </c>
    </row>
    <row r="467" spans="1:12" x14ac:dyDescent="0.2">
      <c r="A467">
        <v>466</v>
      </c>
      <c r="B467" s="7" t="s">
        <v>372</v>
      </c>
      <c r="C467" t="s">
        <v>1311</v>
      </c>
      <c r="D467" s="65" t="str">
        <f t="shared" si="14"/>
        <v>Y</v>
      </c>
      <c r="E467" t="s">
        <v>1313</v>
      </c>
      <c r="F467" s="7" t="s">
        <v>291</v>
      </c>
      <c r="G467" s="1">
        <v>1</v>
      </c>
      <c r="H467" s="7" t="s">
        <v>291</v>
      </c>
      <c r="I467" s="7" t="s">
        <v>292</v>
      </c>
      <c r="J467" s="1">
        <v>1</v>
      </c>
      <c r="K467" s="1">
        <v>5</v>
      </c>
      <c r="L467" s="67">
        <f t="shared" si="15"/>
        <v>1</v>
      </c>
    </row>
    <row r="468" spans="1:12" x14ac:dyDescent="0.2">
      <c r="A468">
        <v>467</v>
      </c>
      <c r="B468" s="7" t="s">
        <v>372</v>
      </c>
      <c r="C468" t="s">
        <v>1311</v>
      </c>
      <c r="D468" s="65" t="str">
        <f t="shared" si="14"/>
        <v>Y</v>
      </c>
      <c r="E468" t="s">
        <v>1313</v>
      </c>
      <c r="F468" s="7" t="s">
        <v>291</v>
      </c>
      <c r="G468" s="1">
        <v>1</v>
      </c>
      <c r="H468" s="7" t="s">
        <v>298</v>
      </c>
      <c r="I468" s="7" t="s">
        <v>297</v>
      </c>
      <c r="J468" s="1">
        <v>3</v>
      </c>
      <c r="K468" s="1">
        <v>4</v>
      </c>
      <c r="L468" s="67">
        <f t="shared" si="15"/>
        <v>0</v>
      </c>
    </row>
    <row r="469" spans="1:12" x14ac:dyDescent="0.2">
      <c r="A469">
        <v>468</v>
      </c>
      <c r="B469" s="7" t="s">
        <v>356</v>
      </c>
      <c r="C469" t="s">
        <v>1311</v>
      </c>
      <c r="D469" s="65" t="str">
        <f t="shared" si="14"/>
        <v>Y</v>
      </c>
      <c r="E469" t="s">
        <v>1313</v>
      </c>
      <c r="F469" s="7" t="s">
        <v>291</v>
      </c>
      <c r="G469" s="1">
        <v>1</v>
      </c>
      <c r="H469" s="7" t="s">
        <v>291</v>
      </c>
      <c r="I469" s="7" t="s">
        <v>292</v>
      </c>
      <c r="J469" s="1">
        <v>1</v>
      </c>
      <c r="K469" s="1">
        <v>5</v>
      </c>
      <c r="L469" s="67">
        <f t="shared" si="15"/>
        <v>1</v>
      </c>
    </row>
    <row r="470" spans="1:12" x14ac:dyDescent="0.2">
      <c r="A470">
        <v>469</v>
      </c>
      <c r="B470" s="7" t="s">
        <v>356</v>
      </c>
      <c r="C470" t="s">
        <v>1311</v>
      </c>
      <c r="D470" s="65" t="str">
        <f t="shared" si="14"/>
        <v>Y</v>
      </c>
      <c r="E470" t="s">
        <v>1313</v>
      </c>
      <c r="F470" s="7" t="s">
        <v>291</v>
      </c>
      <c r="G470" s="1">
        <v>1</v>
      </c>
      <c r="H470" s="7" t="s">
        <v>291</v>
      </c>
      <c r="I470" s="7" t="s">
        <v>292</v>
      </c>
      <c r="J470" s="1">
        <v>1</v>
      </c>
      <c r="K470" s="1">
        <v>5</v>
      </c>
      <c r="L470" s="67">
        <f t="shared" si="15"/>
        <v>1</v>
      </c>
    </row>
    <row r="471" spans="1:12" x14ac:dyDescent="0.2">
      <c r="A471">
        <v>470</v>
      </c>
      <c r="B471" s="7" t="s">
        <v>372</v>
      </c>
      <c r="C471" t="s">
        <v>1311</v>
      </c>
      <c r="D471" s="65" t="str">
        <f t="shared" si="14"/>
        <v>Y</v>
      </c>
      <c r="E471" t="s">
        <v>1313</v>
      </c>
      <c r="F471" s="7" t="s">
        <v>291</v>
      </c>
      <c r="G471" s="1">
        <v>1</v>
      </c>
      <c r="H471" s="7" t="s">
        <v>291</v>
      </c>
      <c r="I471" s="7" t="s">
        <v>292</v>
      </c>
      <c r="J471" s="1">
        <v>1</v>
      </c>
      <c r="K471" s="1">
        <v>5</v>
      </c>
      <c r="L471" s="67">
        <f t="shared" si="15"/>
        <v>1</v>
      </c>
    </row>
    <row r="472" spans="1:12" x14ac:dyDescent="0.2">
      <c r="A472">
        <v>471</v>
      </c>
      <c r="B472" s="7" t="s">
        <v>356</v>
      </c>
      <c r="C472" t="s">
        <v>1311</v>
      </c>
      <c r="D472" s="65" t="str">
        <f t="shared" si="14"/>
        <v>Y</v>
      </c>
      <c r="E472" t="s">
        <v>1313</v>
      </c>
      <c r="F472" s="7" t="s">
        <v>291</v>
      </c>
      <c r="G472" s="1">
        <v>1</v>
      </c>
      <c r="H472" s="7" t="s">
        <v>291</v>
      </c>
      <c r="I472" s="7" t="s">
        <v>296</v>
      </c>
      <c r="J472" s="1">
        <v>1</v>
      </c>
      <c r="K472" s="1">
        <v>6</v>
      </c>
      <c r="L472" s="67">
        <f t="shared" si="15"/>
        <v>1</v>
      </c>
    </row>
    <row r="473" spans="1:12" x14ac:dyDescent="0.2">
      <c r="A473">
        <v>472</v>
      </c>
      <c r="B473" s="7" t="s">
        <v>372</v>
      </c>
      <c r="C473" t="s">
        <v>1311</v>
      </c>
      <c r="D473" s="65" t="str">
        <f t="shared" si="14"/>
        <v>Y</v>
      </c>
      <c r="E473" t="s">
        <v>1313</v>
      </c>
      <c r="F473" s="7" t="s">
        <v>291</v>
      </c>
      <c r="G473" s="1">
        <v>1</v>
      </c>
      <c r="H473" s="7" t="s">
        <v>299</v>
      </c>
      <c r="I473" s="7" t="s">
        <v>296</v>
      </c>
      <c r="J473" s="1">
        <v>4</v>
      </c>
      <c r="K473" s="1">
        <v>6</v>
      </c>
      <c r="L473" s="67">
        <f t="shared" si="15"/>
        <v>0</v>
      </c>
    </row>
    <row r="474" spans="1:12" x14ac:dyDescent="0.2">
      <c r="A474">
        <v>473</v>
      </c>
      <c r="B474" s="7" t="s">
        <v>356</v>
      </c>
      <c r="C474" t="s">
        <v>1311</v>
      </c>
      <c r="D474" s="65" t="str">
        <f t="shared" si="14"/>
        <v>Y</v>
      </c>
      <c r="E474" t="s">
        <v>1313</v>
      </c>
      <c r="F474" s="7" t="s">
        <v>291</v>
      </c>
      <c r="G474" s="1">
        <v>1</v>
      </c>
      <c r="H474" s="7" t="s">
        <v>291</v>
      </c>
      <c r="I474" s="7" t="s">
        <v>296</v>
      </c>
      <c r="J474" s="1">
        <v>1</v>
      </c>
      <c r="K474" s="1">
        <v>6</v>
      </c>
      <c r="L474" s="67">
        <f t="shared" si="15"/>
        <v>1</v>
      </c>
    </row>
    <row r="475" spans="1:12" x14ac:dyDescent="0.2">
      <c r="A475">
        <v>474</v>
      </c>
      <c r="B475" s="7" t="s">
        <v>372</v>
      </c>
      <c r="C475" t="s">
        <v>1311</v>
      </c>
      <c r="D475" s="65" t="str">
        <f t="shared" si="14"/>
        <v>Y</v>
      </c>
      <c r="E475" t="s">
        <v>1313</v>
      </c>
      <c r="F475" s="7" t="s">
        <v>291</v>
      </c>
      <c r="G475" s="1">
        <v>1</v>
      </c>
      <c r="H475" s="7" t="s">
        <v>291</v>
      </c>
      <c r="I475" s="7" t="s">
        <v>292</v>
      </c>
      <c r="J475" s="1">
        <v>1</v>
      </c>
      <c r="K475" s="1">
        <v>5</v>
      </c>
      <c r="L475" s="67">
        <f t="shared" si="15"/>
        <v>1</v>
      </c>
    </row>
    <row r="476" spans="1:12" x14ac:dyDescent="0.2">
      <c r="A476">
        <v>475</v>
      </c>
      <c r="B476" s="7" t="s">
        <v>356</v>
      </c>
      <c r="C476" t="s">
        <v>1311</v>
      </c>
      <c r="D476" s="65" t="str">
        <f t="shared" si="14"/>
        <v>Y</v>
      </c>
      <c r="E476" t="s">
        <v>1313</v>
      </c>
      <c r="F476" s="25" t="s">
        <v>293</v>
      </c>
      <c r="G476" s="26">
        <v>2</v>
      </c>
      <c r="H476" s="7" t="s">
        <v>293</v>
      </c>
      <c r="I476" s="7" t="s">
        <v>294</v>
      </c>
      <c r="J476" s="1">
        <v>2</v>
      </c>
      <c r="K476" s="1">
        <v>7</v>
      </c>
      <c r="L476" s="67">
        <f t="shared" si="15"/>
        <v>1</v>
      </c>
    </row>
    <row r="477" spans="1:12" x14ac:dyDescent="0.2">
      <c r="A477">
        <v>476</v>
      </c>
      <c r="B477" s="7" t="s">
        <v>372</v>
      </c>
      <c r="C477" t="s">
        <v>1311</v>
      </c>
      <c r="D477" s="65" t="str">
        <f t="shared" si="14"/>
        <v>Y</v>
      </c>
      <c r="E477" t="s">
        <v>1313</v>
      </c>
      <c r="F477" s="25" t="s">
        <v>293</v>
      </c>
      <c r="G477" s="26">
        <v>2</v>
      </c>
      <c r="H477" s="7" t="s">
        <v>293</v>
      </c>
      <c r="I477" s="7" t="s">
        <v>296</v>
      </c>
      <c r="J477" s="1">
        <v>2</v>
      </c>
      <c r="K477" s="1">
        <v>6</v>
      </c>
      <c r="L477" s="67">
        <f t="shared" si="15"/>
        <v>1</v>
      </c>
    </row>
    <row r="478" spans="1:12" x14ac:dyDescent="0.2">
      <c r="A478">
        <v>477</v>
      </c>
      <c r="B478" s="7" t="s">
        <v>372</v>
      </c>
      <c r="C478" t="s">
        <v>1311</v>
      </c>
      <c r="D478" s="65" t="str">
        <f t="shared" si="14"/>
        <v>Y</v>
      </c>
      <c r="E478" t="s">
        <v>1313</v>
      </c>
      <c r="F478" s="25" t="s">
        <v>293</v>
      </c>
      <c r="G478" s="26">
        <v>2</v>
      </c>
      <c r="H478" s="7" t="s">
        <v>293</v>
      </c>
      <c r="I478" s="7" t="s">
        <v>296</v>
      </c>
      <c r="J478" s="1">
        <v>2</v>
      </c>
      <c r="K478" s="1">
        <v>6</v>
      </c>
      <c r="L478" s="67">
        <f t="shared" si="15"/>
        <v>1</v>
      </c>
    </row>
    <row r="479" spans="1:12" x14ac:dyDescent="0.2">
      <c r="A479">
        <v>478</v>
      </c>
      <c r="B479" s="7" t="s">
        <v>356</v>
      </c>
      <c r="C479" t="s">
        <v>1311</v>
      </c>
      <c r="D479" s="65" t="str">
        <f t="shared" si="14"/>
        <v>Y</v>
      </c>
      <c r="E479" t="s">
        <v>1313</v>
      </c>
      <c r="F479" s="25" t="s">
        <v>293</v>
      </c>
      <c r="G479" s="26">
        <v>2</v>
      </c>
      <c r="H479" s="7" t="s">
        <v>293</v>
      </c>
      <c r="I479" s="7" t="s">
        <v>292</v>
      </c>
      <c r="J479" s="1">
        <v>2</v>
      </c>
      <c r="K479" s="1">
        <v>5</v>
      </c>
      <c r="L479" s="67">
        <f t="shared" si="15"/>
        <v>1</v>
      </c>
    </row>
    <row r="480" spans="1:12" x14ac:dyDescent="0.2">
      <c r="A480">
        <v>479</v>
      </c>
      <c r="B480" s="7" t="s">
        <v>372</v>
      </c>
      <c r="C480" t="s">
        <v>1311</v>
      </c>
      <c r="D480" s="65" t="str">
        <f t="shared" si="14"/>
        <v>Y</v>
      </c>
      <c r="E480" t="s">
        <v>1313</v>
      </c>
      <c r="F480" s="25" t="s">
        <v>293</v>
      </c>
      <c r="G480" s="26">
        <v>2</v>
      </c>
      <c r="H480" s="7" t="s">
        <v>293</v>
      </c>
      <c r="I480" s="7" t="s">
        <v>292</v>
      </c>
      <c r="J480" s="1">
        <v>2</v>
      </c>
      <c r="K480" s="1">
        <v>5</v>
      </c>
      <c r="L480" s="67">
        <f t="shared" si="15"/>
        <v>1</v>
      </c>
    </row>
    <row r="481" spans="1:12" x14ac:dyDescent="0.2">
      <c r="A481">
        <v>480</v>
      </c>
      <c r="B481" s="7" t="s">
        <v>356</v>
      </c>
      <c r="C481" t="s">
        <v>1311</v>
      </c>
      <c r="D481" s="65" t="str">
        <f t="shared" si="14"/>
        <v>Y</v>
      </c>
      <c r="E481" t="s">
        <v>1313</v>
      </c>
      <c r="F481" s="25" t="s">
        <v>293</v>
      </c>
      <c r="G481" s="26">
        <v>2</v>
      </c>
      <c r="H481" s="7" t="s">
        <v>299</v>
      </c>
      <c r="I481" s="7" t="s">
        <v>292</v>
      </c>
      <c r="J481" s="1">
        <v>4</v>
      </c>
      <c r="K481" s="1">
        <v>5</v>
      </c>
      <c r="L481" s="67">
        <f t="shared" si="15"/>
        <v>0</v>
      </c>
    </row>
    <row r="482" spans="1:12" x14ac:dyDescent="0.2">
      <c r="A482">
        <v>481</v>
      </c>
      <c r="B482" s="7" t="s">
        <v>372</v>
      </c>
      <c r="C482" t="s">
        <v>1311</v>
      </c>
      <c r="D482" s="65" t="str">
        <f t="shared" si="14"/>
        <v>Y</v>
      </c>
      <c r="E482" t="s">
        <v>1313</v>
      </c>
      <c r="F482" s="25" t="s">
        <v>293</v>
      </c>
      <c r="G482" s="26">
        <v>2</v>
      </c>
      <c r="H482" s="7" t="s">
        <v>293</v>
      </c>
      <c r="I482" s="7" t="s">
        <v>296</v>
      </c>
      <c r="J482" s="1">
        <v>2</v>
      </c>
      <c r="K482" s="1">
        <v>6</v>
      </c>
      <c r="L482" s="67">
        <f t="shared" si="15"/>
        <v>1</v>
      </c>
    </row>
    <row r="483" spans="1:12" x14ac:dyDescent="0.2">
      <c r="A483">
        <v>482</v>
      </c>
      <c r="B483" s="7" t="s">
        <v>356</v>
      </c>
      <c r="C483" t="s">
        <v>1311</v>
      </c>
      <c r="D483" s="65" t="str">
        <f t="shared" si="14"/>
        <v>Y</v>
      </c>
      <c r="E483" t="s">
        <v>1313</v>
      </c>
      <c r="F483" s="25" t="s">
        <v>293</v>
      </c>
      <c r="G483" s="26">
        <v>2</v>
      </c>
      <c r="H483" s="7" t="s">
        <v>293</v>
      </c>
      <c r="I483" s="7" t="s">
        <v>296</v>
      </c>
      <c r="J483" s="1">
        <v>2</v>
      </c>
      <c r="K483" s="1">
        <v>6</v>
      </c>
      <c r="L483" s="67">
        <f t="shared" si="15"/>
        <v>1</v>
      </c>
    </row>
    <row r="484" spans="1:12" x14ac:dyDescent="0.2">
      <c r="A484">
        <v>483</v>
      </c>
      <c r="B484" s="7" t="s">
        <v>372</v>
      </c>
      <c r="C484" t="s">
        <v>1311</v>
      </c>
      <c r="D484" s="65" t="str">
        <f t="shared" si="14"/>
        <v>Y</v>
      </c>
      <c r="E484" t="s">
        <v>1313</v>
      </c>
      <c r="F484" s="25" t="s">
        <v>293</v>
      </c>
      <c r="G484" s="26">
        <v>2</v>
      </c>
      <c r="H484" s="7" t="s">
        <v>293</v>
      </c>
      <c r="I484" s="7" t="s">
        <v>296</v>
      </c>
      <c r="J484" s="1">
        <v>2</v>
      </c>
      <c r="K484" s="1">
        <v>6</v>
      </c>
      <c r="L484" s="67">
        <f t="shared" si="15"/>
        <v>1</v>
      </c>
    </row>
    <row r="485" spans="1:12" x14ac:dyDescent="0.2">
      <c r="A485">
        <v>484</v>
      </c>
      <c r="B485" s="7" t="s">
        <v>356</v>
      </c>
      <c r="C485" t="s">
        <v>1311</v>
      </c>
      <c r="D485" s="65" t="str">
        <f t="shared" si="14"/>
        <v>Y</v>
      </c>
      <c r="E485" t="s">
        <v>1313</v>
      </c>
      <c r="F485" s="25" t="s">
        <v>293</v>
      </c>
      <c r="G485" s="26">
        <v>2</v>
      </c>
      <c r="H485" s="7" t="s">
        <v>293</v>
      </c>
      <c r="I485" s="7" t="s">
        <v>292</v>
      </c>
      <c r="J485" s="1">
        <v>2</v>
      </c>
      <c r="K485" s="1">
        <v>5</v>
      </c>
      <c r="L485" s="67">
        <f t="shared" si="15"/>
        <v>1</v>
      </c>
    </row>
    <row r="486" spans="1:12" x14ac:dyDescent="0.2">
      <c r="A486">
        <v>485</v>
      </c>
      <c r="B486" s="7" t="s">
        <v>356</v>
      </c>
      <c r="C486" t="s">
        <v>1311</v>
      </c>
      <c r="D486" s="65" t="str">
        <f t="shared" si="14"/>
        <v>Y</v>
      </c>
      <c r="E486" t="s">
        <v>1313</v>
      </c>
      <c r="F486" s="25" t="s">
        <v>293</v>
      </c>
      <c r="G486" s="26">
        <v>2</v>
      </c>
      <c r="H486" s="7" t="s">
        <v>299</v>
      </c>
      <c r="I486" s="7" t="s">
        <v>296</v>
      </c>
      <c r="J486" s="1">
        <v>4</v>
      </c>
      <c r="K486" s="1">
        <v>6</v>
      </c>
      <c r="L486" s="67">
        <f t="shared" si="15"/>
        <v>0</v>
      </c>
    </row>
    <row r="487" spans="1:12" x14ac:dyDescent="0.2">
      <c r="A487">
        <v>486</v>
      </c>
      <c r="B487" s="7" t="s">
        <v>372</v>
      </c>
      <c r="C487" t="s">
        <v>1311</v>
      </c>
      <c r="D487" s="65" t="str">
        <f t="shared" si="14"/>
        <v>Y</v>
      </c>
      <c r="E487" t="s">
        <v>1313</v>
      </c>
      <c r="F487" s="25" t="s">
        <v>293</v>
      </c>
      <c r="G487" s="26">
        <v>2</v>
      </c>
      <c r="H487" s="7" t="s">
        <v>293</v>
      </c>
      <c r="I487" s="7" t="s">
        <v>296</v>
      </c>
      <c r="J487" s="1">
        <v>2</v>
      </c>
      <c r="K487" s="1">
        <v>6</v>
      </c>
      <c r="L487" s="67">
        <f t="shared" si="15"/>
        <v>1</v>
      </c>
    </row>
    <row r="488" spans="1:12" x14ac:dyDescent="0.2">
      <c r="A488">
        <v>487</v>
      </c>
      <c r="B488" s="7" t="s">
        <v>356</v>
      </c>
      <c r="C488" t="s">
        <v>1311</v>
      </c>
      <c r="D488" s="65" t="str">
        <f t="shared" si="14"/>
        <v>Y</v>
      </c>
      <c r="E488" t="s">
        <v>1313</v>
      </c>
      <c r="F488" s="25" t="s">
        <v>293</v>
      </c>
      <c r="G488" s="26">
        <v>2</v>
      </c>
      <c r="H488" s="7" t="s">
        <v>299</v>
      </c>
      <c r="I488" s="7" t="s">
        <v>294</v>
      </c>
      <c r="J488" s="1">
        <v>4</v>
      </c>
      <c r="K488" s="1">
        <v>7</v>
      </c>
      <c r="L488" s="67">
        <f t="shared" si="15"/>
        <v>0</v>
      </c>
    </row>
    <row r="489" spans="1:12" x14ac:dyDescent="0.2">
      <c r="A489">
        <v>488</v>
      </c>
      <c r="B489" s="7" t="s">
        <v>372</v>
      </c>
      <c r="C489" t="s">
        <v>1311</v>
      </c>
      <c r="D489" s="65" t="str">
        <f t="shared" si="14"/>
        <v>Y</v>
      </c>
      <c r="E489" t="s">
        <v>1313</v>
      </c>
      <c r="F489" s="25" t="s">
        <v>293</v>
      </c>
      <c r="G489" s="26">
        <v>2</v>
      </c>
      <c r="H489" s="7" t="s">
        <v>293</v>
      </c>
      <c r="I489" s="7" t="s">
        <v>294</v>
      </c>
      <c r="J489" s="1">
        <v>2</v>
      </c>
      <c r="K489" s="1">
        <v>7</v>
      </c>
      <c r="L489" s="67">
        <f t="shared" si="15"/>
        <v>1</v>
      </c>
    </row>
    <row r="490" spans="1:12" x14ac:dyDescent="0.2">
      <c r="A490">
        <v>489</v>
      </c>
      <c r="B490" s="7" t="s">
        <v>356</v>
      </c>
      <c r="C490" t="s">
        <v>1311</v>
      </c>
      <c r="D490" s="65" t="str">
        <f t="shared" si="14"/>
        <v>Y</v>
      </c>
      <c r="E490" t="s">
        <v>1313</v>
      </c>
      <c r="F490" s="25" t="s">
        <v>293</v>
      </c>
      <c r="G490" s="26">
        <v>2</v>
      </c>
      <c r="H490" s="7" t="s">
        <v>293</v>
      </c>
      <c r="I490" s="7" t="s">
        <v>296</v>
      </c>
      <c r="J490" s="1">
        <v>2</v>
      </c>
      <c r="K490" s="1">
        <v>6</v>
      </c>
      <c r="L490" s="67">
        <f t="shared" si="15"/>
        <v>1</v>
      </c>
    </row>
    <row r="491" spans="1:12" x14ac:dyDescent="0.2">
      <c r="A491">
        <v>490</v>
      </c>
      <c r="B491" s="7" t="s">
        <v>372</v>
      </c>
      <c r="C491" t="s">
        <v>1311</v>
      </c>
      <c r="D491" s="65" t="str">
        <f t="shared" si="14"/>
        <v>Y</v>
      </c>
      <c r="E491" t="s">
        <v>1313</v>
      </c>
      <c r="F491" s="25" t="s">
        <v>293</v>
      </c>
      <c r="G491" s="26">
        <v>2</v>
      </c>
      <c r="H491" s="7" t="s">
        <v>299</v>
      </c>
      <c r="I491" s="7" t="s">
        <v>292</v>
      </c>
      <c r="J491" s="1">
        <v>4</v>
      </c>
      <c r="K491" s="1">
        <v>5</v>
      </c>
      <c r="L491" s="67">
        <f t="shared" si="15"/>
        <v>0</v>
      </c>
    </row>
    <row r="492" spans="1:12" x14ac:dyDescent="0.2">
      <c r="A492">
        <v>491</v>
      </c>
      <c r="B492" s="7" t="s">
        <v>372</v>
      </c>
      <c r="C492" t="s">
        <v>1311</v>
      </c>
      <c r="D492" s="65" t="str">
        <f t="shared" si="14"/>
        <v>Y</v>
      </c>
      <c r="E492" t="s">
        <v>1313</v>
      </c>
      <c r="F492" s="25" t="s">
        <v>293</v>
      </c>
      <c r="G492" s="26">
        <v>2</v>
      </c>
      <c r="H492" s="7" t="s">
        <v>293</v>
      </c>
      <c r="I492" s="7" t="s">
        <v>294</v>
      </c>
      <c r="J492" s="1">
        <v>2</v>
      </c>
      <c r="K492" s="1">
        <v>7</v>
      </c>
      <c r="L492" s="67">
        <f t="shared" si="15"/>
        <v>1</v>
      </c>
    </row>
    <row r="493" spans="1:12" x14ac:dyDescent="0.2">
      <c r="A493">
        <v>492</v>
      </c>
      <c r="B493" s="7" t="s">
        <v>356</v>
      </c>
      <c r="C493" t="s">
        <v>1311</v>
      </c>
      <c r="D493" s="65" t="str">
        <f t="shared" si="14"/>
        <v>Y</v>
      </c>
      <c r="E493" t="s">
        <v>1313</v>
      </c>
      <c r="F493" s="25" t="s">
        <v>293</v>
      </c>
      <c r="G493" s="26">
        <v>2</v>
      </c>
      <c r="H493" s="7" t="s">
        <v>293</v>
      </c>
      <c r="I493" s="7" t="s">
        <v>296</v>
      </c>
      <c r="J493" s="1">
        <v>2</v>
      </c>
      <c r="K493" s="1">
        <v>6</v>
      </c>
      <c r="L493" s="67">
        <f t="shared" si="15"/>
        <v>1</v>
      </c>
    </row>
    <row r="494" spans="1:12" x14ac:dyDescent="0.2">
      <c r="A494">
        <v>493</v>
      </c>
      <c r="B494" s="7" t="s">
        <v>356</v>
      </c>
      <c r="C494" t="s">
        <v>1311</v>
      </c>
      <c r="D494" s="65" t="str">
        <f t="shared" si="14"/>
        <v>Y</v>
      </c>
      <c r="E494" t="s">
        <v>1313</v>
      </c>
      <c r="F494" s="25" t="s">
        <v>293</v>
      </c>
      <c r="G494" s="26">
        <v>2</v>
      </c>
      <c r="H494" s="7" t="s">
        <v>293</v>
      </c>
      <c r="I494" s="7" t="s">
        <v>292</v>
      </c>
      <c r="J494" s="1">
        <v>2</v>
      </c>
      <c r="K494" s="1">
        <v>5</v>
      </c>
      <c r="L494" s="67">
        <f t="shared" si="15"/>
        <v>1</v>
      </c>
    </row>
    <row r="495" spans="1:12" x14ac:dyDescent="0.2">
      <c r="A495">
        <v>494</v>
      </c>
      <c r="B495" s="7" t="s">
        <v>372</v>
      </c>
      <c r="C495" t="s">
        <v>1311</v>
      </c>
      <c r="D495" s="65" t="str">
        <f t="shared" si="14"/>
        <v>Y</v>
      </c>
      <c r="E495" t="s">
        <v>1313</v>
      </c>
      <c r="F495" s="25" t="s">
        <v>293</v>
      </c>
      <c r="G495" s="26">
        <v>2</v>
      </c>
      <c r="H495" s="7" t="s">
        <v>293</v>
      </c>
      <c r="I495" s="7" t="s">
        <v>292</v>
      </c>
      <c r="J495" s="1">
        <v>2</v>
      </c>
      <c r="K495" s="1">
        <v>5</v>
      </c>
      <c r="L495" s="67">
        <f t="shared" si="15"/>
        <v>1</v>
      </c>
    </row>
    <row r="496" spans="1:12" x14ac:dyDescent="0.2">
      <c r="A496">
        <v>495</v>
      </c>
      <c r="B496" s="7" t="s">
        <v>356</v>
      </c>
      <c r="C496" t="s">
        <v>1311</v>
      </c>
      <c r="D496" s="65" t="str">
        <f t="shared" si="14"/>
        <v>Y</v>
      </c>
      <c r="E496" t="s">
        <v>1313</v>
      </c>
      <c r="F496" s="25" t="s">
        <v>293</v>
      </c>
      <c r="G496" s="26">
        <v>2</v>
      </c>
      <c r="H496" s="7" t="s">
        <v>293</v>
      </c>
      <c r="I496" s="7" t="s">
        <v>292</v>
      </c>
      <c r="J496" s="1">
        <v>2</v>
      </c>
      <c r="K496" s="1">
        <v>5</v>
      </c>
      <c r="L496" s="67">
        <f t="shared" si="15"/>
        <v>1</v>
      </c>
    </row>
    <row r="497" spans="1:12" x14ac:dyDescent="0.2">
      <c r="A497">
        <v>496</v>
      </c>
      <c r="B497" s="7" t="s">
        <v>356</v>
      </c>
      <c r="C497" t="s">
        <v>1311</v>
      </c>
      <c r="D497" s="65" t="str">
        <f t="shared" si="14"/>
        <v>Y</v>
      </c>
      <c r="E497" t="s">
        <v>1313</v>
      </c>
      <c r="F497" s="25" t="s">
        <v>293</v>
      </c>
      <c r="G497" s="26">
        <v>2</v>
      </c>
      <c r="H497" s="7" t="s">
        <v>299</v>
      </c>
      <c r="I497" s="7" t="s">
        <v>292</v>
      </c>
      <c r="J497" s="1">
        <v>4</v>
      </c>
      <c r="K497" s="1">
        <v>5</v>
      </c>
      <c r="L497" s="67">
        <f t="shared" si="15"/>
        <v>0</v>
      </c>
    </row>
    <row r="498" spans="1:12" x14ac:dyDescent="0.2">
      <c r="A498">
        <v>497</v>
      </c>
      <c r="B498" s="7" t="s">
        <v>372</v>
      </c>
      <c r="C498" t="s">
        <v>1311</v>
      </c>
      <c r="D498" s="65" t="str">
        <f t="shared" si="14"/>
        <v>Y</v>
      </c>
      <c r="E498" t="s">
        <v>1313</v>
      </c>
      <c r="F498" s="25" t="s">
        <v>293</v>
      </c>
      <c r="G498" s="26">
        <v>2</v>
      </c>
      <c r="H498" s="7" t="s">
        <v>293</v>
      </c>
      <c r="I498" s="7" t="s">
        <v>294</v>
      </c>
      <c r="J498" s="1">
        <v>2</v>
      </c>
      <c r="K498" s="1">
        <v>7</v>
      </c>
      <c r="L498" s="67">
        <f t="shared" si="15"/>
        <v>1</v>
      </c>
    </row>
    <row r="499" spans="1:12" x14ac:dyDescent="0.2">
      <c r="A499">
        <v>498</v>
      </c>
      <c r="B499" s="7" t="s">
        <v>372</v>
      </c>
      <c r="C499" t="s">
        <v>1311</v>
      </c>
      <c r="D499" s="65" t="str">
        <f t="shared" si="14"/>
        <v>Y</v>
      </c>
      <c r="E499" t="s">
        <v>1313</v>
      </c>
      <c r="F499" s="25" t="s">
        <v>293</v>
      </c>
      <c r="G499" s="26">
        <v>2</v>
      </c>
      <c r="H499" s="7" t="s">
        <v>293</v>
      </c>
      <c r="I499" s="7" t="s">
        <v>296</v>
      </c>
      <c r="J499" s="1">
        <v>2</v>
      </c>
      <c r="K499" s="1">
        <v>6</v>
      </c>
      <c r="L499" s="67">
        <f t="shared" si="15"/>
        <v>1</v>
      </c>
    </row>
    <row r="500" spans="1:12" x14ac:dyDescent="0.2">
      <c r="A500">
        <v>499</v>
      </c>
      <c r="B500" s="7" t="s">
        <v>356</v>
      </c>
      <c r="C500" t="s">
        <v>1311</v>
      </c>
      <c r="D500" s="65" t="str">
        <f t="shared" si="14"/>
        <v>Y</v>
      </c>
      <c r="E500" t="s">
        <v>1313</v>
      </c>
      <c r="F500" s="25" t="s">
        <v>293</v>
      </c>
      <c r="G500" s="26">
        <v>2</v>
      </c>
      <c r="H500" s="7" t="s">
        <v>299</v>
      </c>
      <c r="I500" s="7" t="s">
        <v>292</v>
      </c>
      <c r="J500" s="1">
        <v>4</v>
      </c>
      <c r="K500" s="1">
        <v>5</v>
      </c>
      <c r="L500" s="67">
        <f t="shared" si="15"/>
        <v>0</v>
      </c>
    </row>
    <row r="501" spans="1:12" x14ac:dyDescent="0.2">
      <c r="A501">
        <v>500</v>
      </c>
      <c r="B501" s="7" t="s">
        <v>356</v>
      </c>
      <c r="C501" t="s">
        <v>1311</v>
      </c>
      <c r="D501" s="65" t="str">
        <f t="shared" si="14"/>
        <v>Y</v>
      </c>
      <c r="E501" t="s">
        <v>1313</v>
      </c>
      <c r="F501" s="25" t="s">
        <v>293</v>
      </c>
      <c r="G501" s="26">
        <v>2</v>
      </c>
      <c r="H501" s="7" t="s">
        <v>293</v>
      </c>
      <c r="I501" s="7" t="s">
        <v>292</v>
      </c>
      <c r="J501" s="1">
        <v>2</v>
      </c>
      <c r="K501" s="1">
        <v>5</v>
      </c>
      <c r="L501" s="67">
        <f t="shared" si="15"/>
        <v>1</v>
      </c>
    </row>
    <row r="502" spans="1:12" x14ac:dyDescent="0.2">
      <c r="A502">
        <v>501</v>
      </c>
      <c r="B502" s="7" t="s">
        <v>372</v>
      </c>
      <c r="C502" t="s">
        <v>1311</v>
      </c>
      <c r="D502" s="65" t="str">
        <f t="shared" si="14"/>
        <v>Y</v>
      </c>
      <c r="E502" t="s">
        <v>1313</v>
      </c>
      <c r="F502" s="25" t="s">
        <v>293</v>
      </c>
      <c r="G502" s="26">
        <v>2</v>
      </c>
      <c r="H502" s="7" t="s">
        <v>299</v>
      </c>
      <c r="I502" s="7" t="s">
        <v>296</v>
      </c>
      <c r="J502" s="1">
        <v>4</v>
      </c>
      <c r="K502" s="1">
        <v>6</v>
      </c>
      <c r="L502" s="67">
        <f t="shared" si="15"/>
        <v>0</v>
      </c>
    </row>
    <row r="503" spans="1:12" x14ac:dyDescent="0.2">
      <c r="A503">
        <v>502</v>
      </c>
      <c r="B503" s="7" t="s">
        <v>356</v>
      </c>
      <c r="C503" t="s">
        <v>1311</v>
      </c>
      <c r="D503" s="65" t="str">
        <f t="shared" si="14"/>
        <v>Y</v>
      </c>
      <c r="E503" t="s">
        <v>1313</v>
      </c>
      <c r="F503" s="25" t="s">
        <v>293</v>
      </c>
      <c r="G503" s="26">
        <v>2</v>
      </c>
      <c r="H503" s="7" t="s">
        <v>293</v>
      </c>
      <c r="I503" s="7" t="s">
        <v>296</v>
      </c>
      <c r="J503" s="1">
        <v>2</v>
      </c>
      <c r="K503" s="1">
        <v>6</v>
      </c>
      <c r="L503" s="67">
        <f t="shared" si="15"/>
        <v>1</v>
      </c>
    </row>
    <row r="504" spans="1:12" x14ac:dyDescent="0.2">
      <c r="A504">
        <v>503</v>
      </c>
      <c r="B504" s="7" t="s">
        <v>372</v>
      </c>
      <c r="C504" t="s">
        <v>1311</v>
      </c>
      <c r="D504" s="65" t="str">
        <f t="shared" si="14"/>
        <v>Y</v>
      </c>
      <c r="E504" t="s">
        <v>1313</v>
      </c>
      <c r="F504" s="25" t="s">
        <v>293</v>
      </c>
      <c r="G504" s="26">
        <v>2</v>
      </c>
      <c r="H504" s="7" t="s">
        <v>293</v>
      </c>
      <c r="I504" s="7" t="s">
        <v>296</v>
      </c>
      <c r="J504" s="1">
        <v>2</v>
      </c>
      <c r="K504" s="1">
        <v>6</v>
      </c>
      <c r="L504" s="67">
        <f t="shared" si="15"/>
        <v>1</v>
      </c>
    </row>
    <row r="505" spans="1:12" x14ac:dyDescent="0.2">
      <c r="A505">
        <v>504</v>
      </c>
      <c r="B505" s="7" t="s">
        <v>356</v>
      </c>
      <c r="C505" t="s">
        <v>1311</v>
      </c>
      <c r="D505" s="65" t="str">
        <f t="shared" si="14"/>
        <v>Y</v>
      </c>
      <c r="E505" t="s">
        <v>1313</v>
      </c>
      <c r="F505" s="25" t="s">
        <v>293</v>
      </c>
      <c r="G505" s="26">
        <v>2</v>
      </c>
      <c r="H505" s="7" t="s">
        <v>293</v>
      </c>
      <c r="I505" s="7" t="s">
        <v>296</v>
      </c>
      <c r="J505" s="1">
        <v>2</v>
      </c>
      <c r="K505" s="1">
        <v>6</v>
      </c>
      <c r="L505" s="67">
        <f t="shared" si="15"/>
        <v>1</v>
      </c>
    </row>
    <row r="506" spans="1:12" x14ac:dyDescent="0.2">
      <c r="A506">
        <v>505</v>
      </c>
      <c r="B506" s="7" t="s">
        <v>372</v>
      </c>
      <c r="C506" t="s">
        <v>1311</v>
      </c>
      <c r="D506" s="65" t="str">
        <f t="shared" si="14"/>
        <v>Y</v>
      </c>
      <c r="E506" t="s">
        <v>1313</v>
      </c>
      <c r="F506" s="25" t="s">
        <v>293</v>
      </c>
      <c r="G506" s="26">
        <v>2</v>
      </c>
      <c r="H506" s="7" t="s">
        <v>293</v>
      </c>
      <c r="I506" s="7" t="s">
        <v>296</v>
      </c>
      <c r="J506" s="1">
        <v>2</v>
      </c>
      <c r="K506" s="1">
        <v>6</v>
      </c>
      <c r="L506" s="67">
        <f t="shared" si="15"/>
        <v>1</v>
      </c>
    </row>
    <row r="507" spans="1:12" x14ac:dyDescent="0.2">
      <c r="A507">
        <v>506</v>
      </c>
      <c r="B507" s="7" t="s">
        <v>356</v>
      </c>
      <c r="C507" t="s">
        <v>1311</v>
      </c>
      <c r="D507" s="65" t="str">
        <f t="shared" si="14"/>
        <v>Y</v>
      </c>
      <c r="E507" t="s">
        <v>1313</v>
      </c>
      <c r="F507" s="25" t="s">
        <v>293</v>
      </c>
      <c r="G507" s="26">
        <v>2</v>
      </c>
      <c r="H507" s="7" t="s">
        <v>293</v>
      </c>
      <c r="I507" s="7" t="s">
        <v>292</v>
      </c>
      <c r="J507" s="1">
        <v>2</v>
      </c>
      <c r="K507" s="1">
        <v>5</v>
      </c>
      <c r="L507" s="67">
        <f t="shared" si="15"/>
        <v>1</v>
      </c>
    </row>
    <row r="508" spans="1:12" x14ac:dyDescent="0.2">
      <c r="A508">
        <v>507</v>
      </c>
      <c r="B508" s="7" t="s">
        <v>356</v>
      </c>
      <c r="C508" t="s">
        <v>1311</v>
      </c>
      <c r="D508" s="65" t="str">
        <f t="shared" si="14"/>
        <v>Y</v>
      </c>
      <c r="E508" t="s">
        <v>1313</v>
      </c>
      <c r="F508" s="25" t="s">
        <v>293</v>
      </c>
      <c r="G508" s="26">
        <v>2</v>
      </c>
      <c r="H508" s="7" t="s">
        <v>293</v>
      </c>
      <c r="I508" s="7" t="s">
        <v>296</v>
      </c>
      <c r="J508" s="1">
        <v>2</v>
      </c>
      <c r="K508" s="1">
        <v>6</v>
      </c>
      <c r="L508" s="67">
        <f t="shared" si="15"/>
        <v>1</v>
      </c>
    </row>
    <row r="509" spans="1:12" x14ac:dyDescent="0.2">
      <c r="A509">
        <v>508</v>
      </c>
      <c r="B509" s="7" t="s">
        <v>372</v>
      </c>
      <c r="C509" t="s">
        <v>1311</v>
      </c>
      <c r="D509" s="65" t="str">
        <f t="shared" si="14"/>
        <v>Y</v>
      </c>
      <c r="E509" t="s">
        <v>1313</v>
      </c>
      <c r="F509" s="25" t="s">
        <v>293</v>
      </c>
      <c r="G509" s="26">
        <v>2</v>
      </c>
      <c r="H509" s="7" t="s">
        <v>293</v>
      </c>
      <c r="I509" s="7" t="s">
        <v>294</v>
      </c>
      <c r="J509" s="1">
        <v>2</v>
      </c>
      <c r="K509" s="1">
        <v>7</v>
      </c>
      <c r="L509" s="67">
        <f t="shared" si="15"/>
        <v>1</v>
      </c>
    </row>
    <row r="510" spans="1:12" x14ac:dyDescent="0.2">
      <c r="A510">
        <v>509</v>
      </c>
      <c r="B510" s="7" t="s">
        <v>372</v>
      </c>
      <c r="C510" t="s">
        <v>1311</v>
      </c>
      <c r="D510" s="65" t="str">
        <f t="shared" si="14"/>
        <v>Y</v>
      </c>
      <c r="E510" t="s">
        <v>1313</v>
      </c>
      <c r="F510" s="25" t="s">
        <v>293</v>
      </c>
      <c r="G510" s="26">
        <v>2</v>
      </c>
      <c r="H510" s="7" t="s">
        <v>293</v>
      </c>
      <c r="I510" s="7" t="s">
        <v>292</v>
      </c>
      <c r="J510" s="1">
        <v>2</v>
      </c>
      <c r="K510" s="1">
        <v>5</v>
      </c>
      <c r="L510" s="67">
        <f t="shared" si="15"/>
        <v>1</v>
      </c>
    </row>
    <row r="511" spans="1:12" x14ac:dyDescent="0.2">
      <c r="A511">
        <v>510</v>
      </c>
      <c r="B511" s="7" t="s">
        <v>356</v>
      </c>
      <c r="C511" t="s">
        <v>1311</v>
      </c>
      <c r="D511" s="65" t="str">
        <f t="shared" si="14"/>
        <v>Y</v>
      </c>
      <c r="E511" t="s">
        <v>1313</v>
      </c>
      <c r="F511" s="25" t="s">
        <v>293</v>
      </c>
      <c r="G511" s="26">
        <v>2</v>
      </c>
      <c r="H511" s="7" t="s">
        <v>293</v>
      </c>
      <c r="I511" s="7" t="s">
        <v>296</v>
      </c>
      <c r="J511" s="1">
        <v>2</v>
      </c>
      <c r="K511" s="1">
        <v>6</v>
      </c>
      <c r="L511" s="67">
        <f t="shared" si="15"/>
        <v>1</v>
      </c>
    </row>
    <row r="512" spans="1:12" x14ac:dyDescent="0.2">
      <c r="A512">
        <v>511</v>
      </c>
      <c r="B512" s="7" t="s">
        <v>372</v>
      </c>
      <c r="C512" t="s">
        <v>1311</v>
      </c>
      <c r="D512" s="65" t="str">
        <f t="shared" si="14"/>
        <v>Y</v>
      </c>
      <c r="E512" t="s">
        <v>1313</v>
      </c>
      <c r="F512" s="25" t="s">
        <v>293</v>
      </c>
      <c r="G512" s="26">
        <v>2</v>
      </c>
      <c r="H512" s="7" t="s">
        <v>293</v>
      </c>
      <c r="I512" s="7" t="s">
        <v>296</v>
      </c>
      <c r="J512" s="1">
        <v>2</v>
      </c>
      <c r="K512" s="1">
        <v>6</v>
      </c>
      <c r="L512" s="67">
        <f t="shared" si="15"/>
        <v>1</v>
      </c>
    </row>
    <row r="513" spans="1:12" x14ac:dyDescent="0.2">
      <c r="A513">
        <v>512</v>
      </c>
      <c r="B513" s="7" t="s">
        <v>372</v>
      </c>
      <c r="C513" t="s">
        <v>1311</v>
      </c>
      <c r="D513" s="65" t="str">
        <f t="shared" si="14"/>
        <v>Y</v>
      </c>
      <c r="E513" t="s">
        <v>1313</v>
      </c>
      <c r="F513" s="25" t="s">
        <v>293</v>
      </c>
      <c r="G513" s="26">
        <v>2</v>
      </c>
      <c r="H513" s="7" t="s">
        <v>293</v>
      </c>
      <c r="I513" s="7" t="s">
        <v>292</v>
      </c>
      <c r="J513" s="1">
        <v>2</v>
      </c>
      <c r="K513" s="1">
        <v>5</v>
      </c>
      <c r="L513" s="67">
        <f t="shared" si="15"/>
        <v>1</v>
      </c>
    </row>
    <row r="514" spans="1:12" x14ac:dyDescent="0.2">
      <c r="A514">
        <v>513</v>
      </c>
      <c r="B514" s="7" t="s">
        <v>372</v>
      </c>
      <c r="C514" t="s">
        <v>1311</v>
      </c>
      <c r="D514" s="65" t="str">
        <f t="shared" si="14"/>
        <v>Y</v>
      </c>
      <c r="E514" t="s">
        <v>1313</v>
      </c>
      <c r="F514" s="25" t="s">
        <v>293</v>
      </c>
      <c r="G514" s="26">
        <v>2</v>
      </c>
      <c r="H514" s="7" t="s">
        <v>293</v>
      </c>
      <c r="I514" s="7" t="s">
        <v>292</v>
      </c>
      <c r="J514" s="1">
        <v>2</v>
      </c>
      <c r="K514" s="1">
        <v>5</v>
      </c>
      <c r="L514" s="67">
        <f t="shared" si="15"/>
        <v>1</v>
      </c>
    </row>
    <row r="515" spans="1:12" x14ac:dyDescent="0.2">
      <c r="A515">
        <v>514</v>
      </c>
      <c r="B515" s="7" t="s">
        <v>356</v>
      </c>
      <c r="C515" t="s">
        <v>1311</v>
      </c>
      <c r="D515" s="65" t="str">
        <f t="shared" ref="D515:D578" si="16">IF($E515="iso", "N", IF(OR($E515="non", $E515="emd", $E515="dyn"), "Y", "ERROR"))</f>
        <v>Y</v>
      </c>
      <c r="E515" t="s">
        <v>1313</v>
      </c>
      <c r="F515" s="25" t="s">
        <v>293</v>
      </c>
      <c r="G515" s="26">
        <v>2</v>
      </c>
      <c r="H515" s="7" t="s">
        <v>293</v>
      </c>
      <c r="I515" s="7" t="s">
        <v>296</v>
      </c>
      <c r="J515" s="1">
        <v>2</v>
      </c>
      <c r="K515" s="1">
        <v>6</v>
      </c>
      <c r="L515" s="67">
        <f t="shared" ref="L515:L578" si="17">IF(G515=J515, 1, 0)</f>
        <v>1</v>
      </c>
    </row>
    <row r="516" spans="1:12" x14ac:dyDescent="0.2">
      <c r="A516">
        <v>515</v>
      </c>
      <c r="B516" s="7" t="s">
        <v>372</v>
      </c>
      <c r="C516" t="s">
        <v>1311</v>
      </c>
      <c r="D516" s="65" t="str">
        <f t="shared" si="16"/>
        <v>Y</v>
      </c>
      <c r="E516" t="s">
        <v>1313</v>
      </c>
      <c r="F516" s="25" t="s">
        <v>293</v>
      </c>
      <c r="G516" s="26">
        <v>2</v>
      </c>
      <c r="H516" s="7" t="s">
        <v>293</v>
      </c>
      <c r="I516" s="7" t="s">
        <v>292</v>
      </c>
      <c r="J516" s="1">
        <v>2</v>
      </c>
      <c r="K516" s="1">
        <v>5</v>
      </c>
      <c r="L516" s="67">
        <f t="shared" si="17"/>
        <v>1</v>
      </c>
    </row>
    <row r="517" spans="1:12" x14ac:dyDescent="0.2">
      <c r="A517">
        <v>516</v>
      </c>
      <c r="B517" s="7" t="s">
        <v>356</v>
      </c>
      <c r="C517" t="s">
        <v>1311</v>
      </c>
      <c r="D517" s="65" t="str">
        <f t="shared" si="16"/>
        <v>Y</v>
      </c>
      <c r="E517" t="s">
        <v>1313</v>
      </c>
      <c r="F517" s="25" t="s">
        <v>293</v>
      </c>
      <c r="G517" s="26">
        <v>2</v>
      </c>
      <c r="H517" s="7" t="s">
        <v>293</v>
      </c>
      <c r="I517" s="7" t="s">
        <v>292</v>
      </c>
      <c r="J517" s="1">
        <v>2</v>
      </c>
      <c r="K517" s="1">
        <v>5</v>
      </c>
      <c r="L517" s="67">
        <f t="shared" si="17"/>
        <v>1</v>
      </c>
    </row>
    <row r="518" spans="1:12" x14ac:dyDescent="0.2">
      <c r="A518">
        <v>517</v>
      </c>
      <c r="B518" s="7" t="s">
        <v>356</v>
      </c>
      <c r="C518" t="s">
        <v>1311</v>
      </c>
      <c r="D518" s="65" t="str">
        <f t="shared" si="16"/>
        <v>Y</v>
      </c>
      <c r="E518" t="s">
        <v>1313</v>
      </c>
      <c r="F518" s="25" t="s">
        <v>293</v>
      </c>
      <c r="G518" s="26">
        <v>2</v>
      </c>
      <c r="H518" s="7" t="s">
        <v>293</v>
      </c>
      <c r="I518" s="7" t="s">
        <v>296</v>
      </c>
      <c r="J518" s="1">
        <v>2</v>
      </c>
      <c r="K518" s="1">
        <v>6</v>
      </c>
      <c r="L518" s="67">
        <f t="shared" si="17"/>
        <v>1</v>
      </c>
    </row>
    <row r="519" spans="1:12" x14ac:dyDescent="0.2">
      <c r="A519">
        <v>518</v>
      </c>
      <c r="B519" s="7" t="s">
        <v>372</v>
      </c>
      <c r="C519" t="s">
        <v>1311</v>
      </c>
      <c r="D519" s="65" t="str">
        <f t="shared" si="16"/>
        <v>Y</v>
      </c>
      <c r="E519" t="s">
        <v>1313</v>
      </c>
      <c r="F519" s="25" t="s">
        <v>293</v>
      </c>
      <c r="G519" s="26">
        <v>2</v>
      </c>
      <c r="H519" s="7" t="s">
        <v>293</v>
      </c>
      <c r="I519" s="7" t="s">
        <v>296</v>
      </c>
      <c r="J519" s="1">
        <v>2</v>
      </c>
      <c r="K519" s="1">
        <v>6</v>
      </c>
      <c r="L519" s="67">
        <f t="shared" si="17"/>
        <v>1</v>
      </c>
    </row>
    <row r="520" spans="1:12" x14ac:dyDescent="0.2">
      <c r="A520">
        <v>519</v>
      </c>
      <c r="B520" s="7" t="s">
        <v>372</v>
      </c>
      <c r="C520" t="s">
        <v>1311</v>
      </c>
      <c r="D520" s="65" t="str">
        <f t="shared" si="16"/>
        <v>Y</v>
      </c>
      <c r="E520" t="s">
        <v>1313</v>
      </c>
      <c r="F520" s="25" t="s">
        <v>293</v>
      </c>
      <c r="G520" s="26">
        <v>2</v>
      </c>
      <c r="H520" s="7" t="s">
        <v>293</v>
      </c>
      <c r="I520" s="7" t="s">
        <v>296</v>
      </c>
      <c r="J520" s="1">
        <v>2</v>
      </c>
      <c r="K520" s="1">
        <v>6</v>
      </c>
      <c r="L520" s="67">
        <f t="shared" si="17"/>
        <v>1</v>
      </c>
    </row>
    <row r="521" spans="1:12" x14ac:dyDescent="0.2">
      <c r="A521">
        <v>520</v>
      </c>
      <c r="B521" s="7" t="s">
        <v>356</v>
      </c>
      <c r="C521" t="s">
        <v>1311</v>
      </c>
      <c r="D521" s="65" t="str">
        <f t="shared" si="16"/>
        <v>Y</v>
      </c>
      <c r="E521" t="s">
        <v>1313</v>
      </c>
      <c r="F521" s="25" t="s">
        <v>293</v>
      </c>
      <c r="G521" s="26">
        <v>2</v>
      </c>
      <c r="H521" s="7" t="s">
        <v>293</v>
      </c>
      <c r="I521" s="7" t="s">
        <v>294</v>
      </c>
      <c r="J521" s="1">
        <v>2</v>
      </c>
      <c r="K521" s="1">
        <v>7</v>
      </c>
      <c r="L521" s="67">
        <f t="shared" si="17"/>
        <v>1</v>
      </c>
    </row>
    <row r="522" spans="1:12" x14ac:dyDescent="0.2">
      <c r="A522">
        <v>521</v>
      </c>
      <c r="B522" s="7" t="s">
        <v>372</v>
      </c>
      <c r="C522" t="s">
        <v>1311</v>
      </c>
      <c r="D522" s="65" t="str">
        <f t="shared" si="16"/>
        <v>Y</v>
      </c>
      <c r="E522" t="s">
        <v>1313</v>
      </c>
      <c r="F522" s="25" t="s">
        <v>293</v>
      </c>
      <c r="G522" s="26">
        <v>2</v>
      </c>
      <c r="H522" s="7" t="s">
        <v>293</v>
      </c>
      <c r="I522" s="7" t="s">
        <v>292</v>
      </c>
      <c r="J522" s="1">
        <v>2</v>
      </c>
      <c r="K522" s="1">
        <v>5</v>
      </c>
      <c r="L522" s="67">
        <f t="shared" si="17"/>
        <v>1</v>
      </c>
    </row>
    <row r="523" spans="1:12" x14ac:dyDescent="0.2">
      <c r="A523">
        <v>522</v>
      </c>
      <c r="B523" s="7" t="s">
        <v>356</v>
      </c>
      <c r="C523" t="s">
        <v>1311</v>
      </c>
      <c r="D523" s="65" t="str">
        <f t="shared" si="16"/>
        <v>Y</v>
      </c>
      <c r="E523" t="s">
        <v>1313</v>
      </c>
      <c r="F523" s="25" t="s">
        <v>293</v>
      </c>
      <c r="G523" s="26">
        <v>2</v>
      </c>
      <c r="H523" s="7" t="s">
        <v>293</v>
      </c>
      <c r="I523" s="7" t="s">
        <v>296</v>
      </c>
      <c r="J523" s="1">
        <v>2</v>
      </c>
      <c r="K523" s="1">
        <v>6</v>
      </c>
      <c r="L523" s="67">
        <f t="shared" si="17"/>
        <v>1</v>
      </c>
    </row>
    <row r="524" spans="1:12" x14ac:dyDescent="0.2">
      <c r="A524">
        <v>523</v>
      </c>
      <c r="B524" s="7" t="s">
        <v>372</v>
      </c>
      <c r="C524" t="s">
        <v>1311</v>
      </c>
      <c r="D524" s="65" t="str">
        <f t="shared" si="16"/>
        <v>Y</v>
      </c>
      <c r="E524" t="s">
        <v>1313</v>
      </c>
      <c r="F524" s="25" t="s">
        <v>293</v>
      </c>
      <c r="G524" s="26">
        <v>2</v>
      </c>
      <c r="H524" s="7" t="s">
        <v>299</v>
      </c>
      <c r="I524" s="7" t="s">
        <v>294</v>
      </c>
      <c r="J524" s="1">
        <v>4</v>
      </c>
      <c r="K524" s="1">
        <v>7</v>
      </c>
      <c r="L524" s="67">
        <f t="shared" si="17"/>
        <v>0</v>
      </c>
    </row>
    <row r="525" spans="1:12" x14ac:dyDescent="0.2">
      <c r="A525">
        <v>524</v>
      </c>
      <c r="B525" s="7" t="s">
        <v>372</v>
      </c>
      <c r="C525" t="s">
        <v>1311</v>
      </c>
      <c r="D525" s="65" t="str">
        <f t="shared" si="16"/>
        <v>Y</v>
      </c>
      <c r="E525" t="s">
        <v>1313</v>
      </c>
      <c r="F525" s="25" t="s">
        <v>293</v>
      </c>
      <c r="G525" s="26">
        <v>2</v>
      </c>
      <c r="H525" s="7" t="s">
        <v>293</v>
      </c>
      <c r="I525" s="7" t="s">
        <v>296</v>
      </c>
      <c r="J525" s="1">
        <v>2</v>
      </c>
      <c r="K525" s="1">
        <v>6</v>
      </c>
      <c r="L525" s="67">
        <f t="shared" si="17"/>
        <v>1</v>
      </c>
    </row>
    <row r="526" spans="1:12" x14ac:dyDescent="0.2">
      <c r="A526">
        <v>525</v>
      </c>
      <c r="B526" s="7" t="s">
        <v>356</v>
      </c>
      <c r="C526" t="s">
        <v>1311</v>
      </c>
      <c r="D526" s="65" t="str">
        <f t="shared" si="16"/>
        <v>Y</v>
      </c>
      <c r="E526" t="s">
        <v>1313</v>
      </c>
      <c r="F526" s="25" t="s">
        <v>293</v>
      </c>
      <c r="G526" s="26">
        <v>2</v>
      </c>
      <c r="H526" s="7" t="s">
        <v>299</v>
      </c>
      <c r="I526" s="7" t="s">
        <v>296</v>
      </c>
      <c r="J526" s="1">
        <v>4</v>
      </c>
      <c r="K526" s="1">
        <v>6</v>
      </c>
      <c r="L526" s="67">
        <f t="shared" si="17"/>
        <v>0</v>
      </c>
    </row>
    <row r="527" spans="1:12" x14ac:dyDescent="0.2">
      <c r="A527">
        <v>526</v>
      </c>
      <c r="B527" s="7" t="s">
        <v>372</v>
      </c>
      <c r="C527" t="s">
        <v>1311</v>
      </c>
      <c r="D527" s="65" t="str">
        <f t="shared" si="16"/>
        <v>Y</v>
      </c>
      <c r="E527" t="s">
        <v>1313</v>
      </c>
      <c r="F527" s="25" t="s">
        <v>293</v>
      </c>
      <c r="G527" s="26">
        <v>2</v>
      </c>
      <c r="H527" s="7" t="s">
        <v>293</v>
      </c>
      <c r="I527" s="7" t="s">
        <v>296</v>
      </c>
      <c r="J527" s="1">
        <v>2</v>
      </c>
      <c r="K527" s="1">
        <v>6</v>
      </c>
      <c r="L527" s="67">
        <f t="shared" si="17"/>
        <v>1</v>
      </c>
    </row>
    <row r="528" spans="1:12" x14ac:dyDescent="0.2">
      <c r="A528">
        <v>527</v>
      </c>
      <c r="B528" s="7" t="s">
        <v>356</v>
      </c>
      <c r="C528" t="s">
        <v>1311</v>
      </c>
      <c r="D528" s="65" t="str">
        <f t="shared" si="16"/>
        <v>Y</v>
      </c>
      <c r="E528" t="s">
        <v>1313</v>
      </c>
      <c r="F528" s="25" t="s">
        <v>293</v>
      </c>
      <c r="G528" s="26">
        <v>2</v>
      </c>
      <c r="H528" s="7" t="s">
        <v>293</v>
      </c>
      <c r="I528" s="7" t="s">
        <v>294</v>
      </c>
      <c r="J528" s="1">
        <v>2</v>
      </c>
      <c r="K528" s="1">
        <v>7</v>
      </c>
      <c r="L528" s="67">
        <f t="shared" si="17"/>
        <v>1</v>
      </c>
    </row>
    <row r="529" spans="1:12" x14ac:dyDescent="0.2">
      <c r="A529">
        <v>528</v>
      </c>
      <c r="B529" s="7" t="s">
        <v>356</v>
      </c>
      <c r="C529" t="s">
        <v>1311</v>
      </c>
      <c r="D529" s="65" t="str">
        <f t="shared" si="16"/>
        <v>Y</v>
      </c>
      <c r="E529" t="s">
        <v>1313</v>
      </c>
      <c r="F529" s="25" t="s">
        <v>293</v>
      </c>
      <c r="G529" s="26">
        <v>2</v>
      </c>
      <c r="H529" s="7" t="s">
        <v>299</v>
      </c>
      <c r="I529" s="7" t="s">
        <v>292</v>
      </c>
      <c r="J529" s="1">
        <v>4</v>
      </c>
      <c r="K529" s="1">
        <v>5</v>
      </c>
      <c r="L529" s="67">
        <f t="shared" si="17"/>
        <v>0</v>
      </c>
    </row>
    <row r="530" spans="1:12" x14ac:dyDescent="0.2">
      <c r="A530">
        <v>529</v>
      </c>
      <c r="B530" s="7" t="s">
        <v>372</v>
      </c>
      <c r="C530" t="s">
        <v>1311</v>
      </c>
      <c r="D530" s="65" t="str">
        <f t="shared" si="16"/>
        <v>Y</v>
      </c>
      <c r="E530" t="s">
        <v>1313</v>
      </c>
      <c r="F530" s="25" t="s">
        <v>293</v>
      </c>
      <c r="G530" s="26">
        <v>2</v>
      </c>
      <c r="H530" s="7" t="s">
        <v>293</v>
      </c>
      <c r="I530" s="7" t="s">
        <v>292</v>
      </c>
      <c r="J530" s="1">
        <v>2</v>
      </c>
      <c r="K530" s="1">
        <v>5</v>
      </c>
      <c r="L530" s="67">
        <f t="shared" si="17"/>
        <v>1</v>
      </c>
    </row>
    <row r="531" spans="1:12" x14ac:dyDescent="0.2">
      <c r="A531">
        <v>530</v>
      </c>
      <c r="B531" s="7" t="s">
        <v>356</v>
      </c>
      <c r="C531" t="s">
        <v>1311</v>
      </c>
      <c r="D531" s="65" t="str">
        <f t="shared" si="16"/>
        <v>Y</v>
      </c>
      <c r="E531" t="s">
        <v>1313</v>
      </c>
      <c r="F531" s="25" t="s">
        <v>293</v>
      </c>
      <c r="G531" s="26">
        <v>2</v>
      </c>
      <c r="H531" s="7" t="s">
        <v>293</v>
      </c>
      <c r="I531" s="7" t="s">
        <v>294</v>
      </c>
      <c r="J531" s="1">
        <v>2</v>
      </c>
      <c r="K531" s="1">
        <v>7</v>
      </c>
      <c r="L531" s="67">
        <f t="shared" si="17"/>
        <v>1</v>
      </c>
    </row>
    <row r="532" spans="1:12" x14ac:dyDescent="0.2">
      <c r="A532">
        <v>531</v>
      </c>
      <c r="B532" s="7" t="s">
        <v>372</v>
      </c>
      <c r="C532" t="s">
        <v>1311</v>
      </c>
      <c r="D532" s="65" t="str">
        <f t="shared" si="16"/>
        <v>Y</v>
      </c>
      <c r="E532" t="s">
        <v>1313</v>
      </c>
      <c r="F532" s="25" t="s">
        <v>293</v>
      </c>
      <c r="G532" s="26">
        <v>2</v>
      </c>
      <c r="H532" s="7" t="s">
        <v>293</v>
      </c>
      <c r="I532" s="7" t="s">
        <v>296</v>
      </c>
      <c r="J532" s="1">
        <v>2</v>
      </c>
      <c r="K532" s="1">
        <v>6</v>
      </c>
      <c r="L532" s="67">
        <f t="shared" si="17"/>
        <v>1</v>
      </c>
    </row>
    <row r="533" spans="1:12" x14ac:dyDescent="0.2">
      <c r="A533">
        <v>532</v>
      </c>
      <c r="B533" s="7" t="s">
        <v>356</v>
      </c>
      <c r="C533" t="s">
        <v>1311</v>
      </c>
      <c r="D533" s="65" t="str">
        <f t="shared" si="16"/>
        <v>Y</v>
      </c>
      <c r="E533" t="s">
        <v>1313</v>
      </c>
      <c r="F533" s="25" t="s">
        <v>293</v>
      </c>
      <c r="G533" s="26">
        <v>2</v>
      </c>
      <c r="H533" s="7" t="s">
        <v>293</v>
      </c>
      <c r="I533" s="7" t="s">
        <v>297</v>
      </c>
      <c r="J533" s="1">
        <v>2</v>
      </c>
      <c r="K533" s="1">
        <v>4</v>
      </c>
      <c r="L533" s="67">
        <f t="shared" si="17"/>
        <v>1</v>
      </c>
    </row>
    <row r="534" spans="1:12" x14ac:dyDescent="0.2">
      <c r="A534">
        <v>533</v>
      </c>
      <c r="B534" s="7" t="s">
        <v>372</v>
      </c>
      <c r="C534" t="s">
        <v>1311</v>
      </c>
      <c r="D534" s="65" t="str">
        <f t="shared" si="16"/>
        <v>Y</v>
      </c>
      <c r="E534" t="s">
        <v>1313</v>
      </c>
      <c r="F534" s="25" t="s">
        <v>293</v>
      </c>
      <c r="G534" s="26">
        <v>2</v>
      </c>
      <c r="H534" s="7" t="s">
        <v>299</v>
      </c>
      <c r="I534" s="7" t="s">
        <v>294</v>
      </c>
      <c r="J534" s="1">
        <v>4</v>
      </c>
      <c r="K534" s="1">
        <v>7</v>
      </c>
      <c r="L534" s="67">
        <f t="shared" si="17"/>
        <v>0</v>
      </c>
    </row>
    <row r="535" spans="1:12" x14ac:dyDescent="0.2">
      <c r="A535">
        <v>534</v>
      </c>
      <c r="B535" s="7" t="s">
        <v>356</v>
      </c>
      <c r="C535" t="s">
        <v>1311</v>
      </c>
      <c r="D535" s="65" t="str">
        <f t="shared" si="16"/>
        <v>Y</v>
      </c>
      <c r="E535" t="s">
        <v>1313</v>
      </c>
      <c r="F535" s="25" t="s">
        <v>293</v>
      </c>
      <c r="G535" s="26">
        <v>2</v>
      </c>
      <c r="H535" s="7" t="s">
        <v>293</v>
      </c>
      <c r="I535" s="7" t="s">
        <v>296</v>
      </c>
      <c r="J535" s="1">
        <v>2</v>
      </c>
      <c r="K535" s="1">
        <v>6</v>
      </c>
      <c r="L535" s="67">
        <f t="shared" si="17"/>
        <v>1</v>
      </c>
    </row>
    <row r="536" spans="1:12" x14ac:dyDescent="0.2">
      <c r="A536">
        <v>535</v>
      </c>
      <c r="B536" s="7" t="s">
        <v>372</v>
      </c>
      <c r="C536" t="s">
        <v>1311</v>
      </c>
      <c r="D536" s="65" t="str">
        <f t="shared" si="16"/>
        <v>Y</v>
      </c>
      <c r="E536" t="s">
        <v>1313</v>
      </c>
      <c r="F536" s="25" t="s">
        <v>293</v>
      </c>
      <c r="G536" s="26">
        <v>2</v>
      </c>
      <c r="H536" s="7" t="s">
        <v>299</v>
      </c>
      <c r="I536" s="7" t="s">
        <v>296</v>
      </c>
      <c r="J536" s="1">
        <v>4</v>
      </c>
      <c r="K536" s="1">
        <v>6</v>
      </c>
      <c r="L536" s="67">
        <f t="shared" si="17"/>
        <v>0</v>
      </c>
    </row>
    <row r="537" spans="1:12" x14ac:dyDescent="0.2">
      <c r="A537">
        <v>536</v>
      </c>
      <c r="B537" s="7" t="s">
        <v>372</v>
      </c>
      <c r="C537" t="s">
        <v>1311</v>
      </c>
      <c r="D537" s="65" t="str">
        <f t="shared" si="16"/>
        <v>Y</v>
      </c>
      <c r="E537" t="s">
        <v>1313</v>
      </c>
      <c r="F537" s="25" t="s">
        <v>293</v>
      </c>
      <c r="G537" s="26">
        <v>2</v>
      </c>
      <c r="H537" s="7" t="s">
        <v>293</v>
      </c>
      <c r="I537" s="7" t="s">
        <v>296</v>
      </c>
      <c r="J537" s="1">
        <v>2</v>
      </c>
      <c r="K537" s="1">
        <v>6</v>
      </c>
      <c r="L537" s="67">
        <f t="shared" si="17"/>
        <v>1</v>
      </c>
    </row>
    <row r="538" spans="1:12" x14ac:dyDescent="0.2">
      <c r="A538">
        <v>537</v>
      </c>
      <c r="B538" s="7" t="s">
        <v>356</v>
      </c>
      <c r="C538" t="s">
        <v>1311</v>
      </c>
      <c r="D538" s="65" t="str">
        <f t="shared" si="16"/>
        <v>Y</v>
      </c>
      <c r="E538" t="s">
        <v>1313</v>
      </c>
      <c r="F538" s="25" t="s">
        <v>293</v>
      </c>
      <c r="G538" s="26">
        <v>2</v>
      </c>
      <c r="H538" s="7" t="s">
        <v>293</v>
      </c>
      <c r="I538" s="7" t="s">
        <v>294</v>
      </c>
      <c r="J538" s="1">
        <v>2</v>
      </c>
      <c r="K538" s="1">
        <v>7</v>
      </c>
      <c r="L538" s="67">
        <f t="shared" si="17"/>
        <v>1</v>
      </c>
    </row>
    <row r="539" spans="1:12" x14ac:dyDescent="0.2">
      <c r="A539">
        <v>538</v>
      </c>
      <c r="B539" s="7" t="s">
        <v>356</v>
      </c>
      <c r="C539" t="s">
        <v>1311</v>
      </c>
      <c r="D539" s="65" t="str">
        <f t="shared" si="16"/>
        <v>Y</v>
      </c>
      <c r="E539" t="s">
        <v>1313</v>
      </c>
      <c r="F539" s="25" t="s">
        <v>293</v>
      </c>
      <c r="G539" s="26">
        <v>2</v>
      </c>
      <c r="H539" s="7" t="s">
        <v>293</v>
      </c>
      <c r="I539" s="7" t="s">
        <v>297</v>
      </c>
      <c r="J539" s="1">
        <v>2</v>
      </c>
      <c r="K539" s="1">
        <v>4</v>
      </c>
      <c r="L539" s="67">
        <f t="shared" si="17"/>
        <v>1</v>
      </c>
    </row>
    <row r="540" spans="1:12" x14ac:dyDescent="0.2">
      <c r="A540">
        <v>539</v>
      </c>
      <c r="B540" s="7" t="s">
        <v>372</v>
      </c>
      <c r="C540" t="s">
        <v>1311</v>
      </c>
      <c r="D540" s="65" t="str">
        <f t="shared" si="16"/>
        <v>Y</v>
      </c>
      <c r="E540" t="s">
        <v>1313</v>
      </c>
      <c r="F540" s="25" t="s">
        <v>293</v>
      </c>
      <c r="G540" s="26">
        <v>2</v>
      </c>
      <c r="H540" s="7" t="s">
        <v>293</v>
      </c>
      <c r="I540" s="7" t="s">
        <v>296</v>
      </c>
      <c r="J540" s="1">
        <v>2</v>
      </c>
      <c r="K540" s="1">
        <v>6</v>
      </c>
      <c r="L540" s="67">
        <f t="shared" si="17"/>
        <v>1</v>
      </c>
    </row>
    <row r="541" spans="1:12" x14ac:dyDescent="0.2">
      <c r="A541">
        <v>540</v>
      </c>
      <c r="B541" s="7" t="s">
        <v>372</v>
      </c>
      <c r="C541" t="s">
        <v>1311</v>
      </c>
      <c r="D541" s="65" t="str">
        <f t="shared" si="16"/>
        <v>Y</v>
      </c>
      <c r="E541" t="s">
        <v>1313</v>
      </c>
      <c r="F541" s="25" t="s">
        <v>293</v>
      </c>
      <c r="G541" s="26">
        <v>2</v>
      </c>
      <c r="H541" s="7" t="s">
        <v>293</v>
      </c>
      <c r="I541" s="7" t="s">
        <v>294</v>
      </c>
      <c r="J541" s="1">
        <v>2</v>
      </c>
      <c r="K541" s="1">
        <v>7</v>
      </c>
      <c r="L541" s="67">
        <f t="shared" si="17"/>
        <v>1</v>
      </c>
    </row>
    <row r="542" spans="1:12" x14ac:dyDescent="0.2">
      <c r="A542">
        <v>541</v>
      </c>
      <c r="B542" s="7" t="s">
        <v>356</v>
      </c>
      <c r="C542" t="s">
        <v>1311</v>
      </c>
      <c r="D542" s="65" t="str">
        <f t="shared" si="16"/>
        <v>Y</v>
      </c>
      <c r="E542" t="s">
        <v>1313</v>
      </c>
      <c r="F542" s="25" t="s">
        <v>293</v>
      </c>
      <c r="G542" s="26">
        <v>2</v>
      </c>
      <c r="H542" s="7" t="s">
        <v>293</v>
      </c>
      <c r="I542" s="7" t="s">
        <v>296</v>
      </c>
      <c r="J542" s="1">
        <v>2</v>
      </c>
      <c r="K542" s="1">
        <v>6</v>
      </c>
      <c r="L542" s="67">
        <f t="shared" si="17"/>
        <v>1</v>
      </c>
    </row>
    <row r="543" spans="1:12" x14ac:dyDescent="0.2">
      <c r="A543">
        <v>542</v>
      </c>
      <c r="B543" s="7" t="s">
        <v>372</v>
      </c>
      <c r="C543" t="s">
        <v>1311</v>
      </c>
      <c r="D543" s="65" t="str">
        <f t="shared" si="16"/>
        <v>Y</v>
      </c>
      <c r="E543" t="s">
        <v>1313</v>
      </c>
      <c r="F543" s="25" t="s">
        <v>293</v>
      </c>
      <c r="G543" s="26">
        <v>2</v>
      </c>
      <c r="H543" s="7" t="s">
        <v>293</v>
      </c>
      <c r="I543" s="7" t="s">
        <v>296</v>
      </c>
      <c r="J543" s="1">
        <v>2</v>
      </c>
      <c r="K543" s="1">
        <v>6</v>
      </c>
      <c r="L543" s="67">
        <f t="shared" si="17"/>
        <v>1</v>
      </c>
    </row>
    <row r="544" spans="1:12" x14ac:dyDescent="0.2">
      <c r="A544">
        <v>543</v>
      </c>
      <c r="B544" s="7" t="s">
        <v>356</v>
      </c>
      <c r="C544" t="s">
        <v>1311</v>
      </c>
      <c r="D544" s="65" t="str">
        <f t="shared" si="16"/>
        <v>Y</v>
      </c>
      <c r="E544" t="s">
        <v>1313</v>
      </c>
      <c r="F544" s="25" t="s">
        <v>293</v>
      </c>
      <c r="G544" s="26">
        <v>2</v>
      </c>
      <c r="H544" s="7" t="s">
        <v>293</v>
      </c>
      <c r="I544" s="7" t="s">
        <v>296</v>
      </c>
      <c r="J544" s="1">
        <v>2</v>
      </c>
      <c r="K544" s="1">
        <v>6</v>
      </c>
      <c r="L544" s="67">
        <f t="shared" si="17"/>
        <v>1</v>
      </c>
    </row>
    <row r="545" spans="1:12" x14ac:dyDescent="0.2">
      <c r="A545">
        <v>544</v>
      </c>
      <c r="B545" s="7" t="s">
        <v>356</v>
      </c>
      <c r="C545" t="s">
        <v>1311</v>
      </c>
      <c r="D545" s="65" t="str">
        <f t="shared" si="16"/>
        <v>Y</v>
      </c>
      <c r="E545" t="s">
        <v>1313</v>
      </c>
      <c r="F545" s="25" t="s">
        <v>293</v>
      </c>
      <c r="G545" s="26">
        <v>2</v>
      </c>
      <c r="H545" s="7" t="s">
        <v>293</v>
      </c>
      <c r="I545" s="7" t="s">
        <v>292</v>
      </c>
      <c r="J545" s="1">
        <v>2</v>
      </c>
      <c r="K545" s="1">
        <v>5</v>
      </c>
      <c r="L545" s="67">
        <f t="shared" si="17"/>
        <v>1</v>
      </c>
    </row>
    <row r="546" spans="1:12" x14ac:dyDescent="0.2">
      <c r="A546">
        <v>545</v>
      </c>
      <c r="B546" s="7" t="s">
        <v>372</v>
      </c>
      <c r="C546" t="s">
        <v>1311</v>
      </c>
      <c r="D546" s="65" t="str">
        <f t="shared" si="16"/>
        <v>Y</v>
      </c>
      <c r="E546" t="s">
        <v>1313</v>
      </c>
      <c r="F546" s="25" t="s">
        <v>293</v>
      </c>
      <c r="G546" s="26">
        <v>2</v>
      </c>
      <c r="H546" s="7" t="s">
        <v>293</v>
      </c>
      <c r="I546" s="7" t="s">
        <v>297</v>
      </c>
      <c r="J546" s="1">
        <v>2</v>
      </c>
      <c r="K546" s="1">
        <v>4</v>
      </c>
      <c r="L546" s="67">
        <f t="shared" si="17"/>
        <v>1</v>
      </c>
    </row>
    <row r="547" spans="1:12" x14ac:dyDescent="0.2">
      <c r="A547">
        <v>546</v>
      </c>
      <c r="B547" s="7" t="s">
        <v>372</v>
      </c>
      <c r="C547" t="s">
        <v>1311</v>
      </c>
      <c r="D547" s="65" t="str">
        <f t="shared" si="16"/>
        <v>Y</v>
      </c>
      <c r="E547" t="s">
        <v>1313</v>
      </c>
      <c r="F547" s="25" t="s">
        <v>293</v>
      </c>
      <c r="G547" s="26">
        <v>2</v>
      </c>
      <c r="H547" s="7" t="s">
        <v>293</v>
      </c>
      <c r="I547" s="7" t="s">
        <v>296</v>
      </c>
      <c r="J547" s="1">
        <v>2</v>
      </c>
      <c r="K547" s="1">
        <v>6</v>
      </c>
      <c r="L547" s="67">
        <f t="shared" si="17"/>
        <v>1</v>
      </c>
    </row>
    <row r="548" spans="1:12" x14ac:dyDescent="0.2">
      <c r="A548">
        <v>547</v>
      </c>
      <c r="B548" s="7" t="s">
        <v>356</v>
      </c>
      <c r="C548" t="s">
        <v>1311</v>
      </c>
      <c r="D548" s="65" t="str">
        <f t="shared" si="16"/>
        <v>Y</v>
      </c>
      <c r="E548" t="s">
        <v>1313</v>
      </c>
      <c r="F548" s="25" t="s">
        <v>293</v>
      </c>
      <c r="G548" s="26">
        <v>2</v>
      </c>
      <c r="H548" s="7" t="s">
        <v>293</v>
      </c>
      <c r="I548" s="7" t="s">
        <v>296</v>
      </c>
      <c r="J548" s="1">
        <v>2</v>
      </c>
      <c r="K548" s="1">
        <v>6</v>
      </c>
      <c r="L548" s="67">
        <f t="shared" si="17"/>
        <v>1</v>
      </c>
    </row>
    <row r="549" spans="1:12" x14ac:dyDescent="0.2">
      <c r="A549">
        <v>548</v>
      </c>
      <c r="B549" s="7" t="s">
        <v>356</v>
      </c>
      <c r="C549" t="s">
        <v>1311</v>
      </c>
      <c r="D549" s="65" t="str">
        <f t="shared" si="16"/>
        <v>Y</v>
      </c>
      <c r="E549" t="s">
        <v>1313</v>
      </c>
      <c r="F549" s="25" t="s">
        <v>293</v>
      </c>
      <c r="G549" s="26">
        <v>2</v>
      </c>
      <c r="H549" s="7" t="s">
        <v>293</v>
      </c>
      <c r="I549" s="7" t="s">
        <v>292</v>
      </c>
      <c r="J549" s="1">
        <v>2</v>
      </c>
      <c r="K549" s="1">
        <v>5</v>
      </c>
      <c r="L549" s="67">
        <f t="shared" si="17"/>
        <v>1</v>
      </c>
    </row>
    <row r="550" spans="1:12" x14ac:dyDescent="0.2">
      <c r="A550">
        <v>549</v>
      </c>
      <c r="B550" s="7" t="s">
        <v>372</v>
      </c>
      <c r="C550" t="s">
        <v>1311</v>
      </c>
      <c r="D550" s="65" t="str">
        <f t="shared" si="16"/>
        <v>Y</v>
      </c>
      <c r="E550" t="s">
        <v>1313</v>
      </c>
      <c r="F550" s="25" t="s">
        <v>293</v>
      </c>
      <c r="G550" s="26">
        <v>2</v>
      </c>
      <c r="H550" s="7" t="s">
        <v>293</v>
      </c>
      <c r="I550" s="7" t="s">
        <v>297</v>
      </c>
      <c r="J550" s="1">
        <v>2</v>
      </c>
      <c r="K550" s="1">
        <v>4</v>
      </c>
      <c r="L550" s="67">
        <f t="shared" si="17"/>
        <v>1</v>
      </c>
    </row>
    <row r="551" spans="1:12" x14ac:dyDescent="0.2">
      <c r="A551">
        <v>550</v>
      </c>
      <c r="B551" s="7" t="s">
        <v>356</v>
      </c>
      <c r="C551" t="s">
        <v>1311</v>
      </c>
      <c r="D551" s="65" t="str">
        <f t="shared" si="16"/>
        <v>Y</v>
      </c>
      <c r="E551" t="s">
        <v>1313</v>
      </c>
      <c r="F551" s="25" t="s">
        <v>293</v>
      </c>
      <c r="G551" s="26">
        <v>2</v>
      </c>
      <c r="H551" s="7" t="s">
        <v>293</v>
      </c>
      <c r="I551" s="7" t="s">
        <v>296</v>
      </c>
      <c r="J551" s="1">
        <v>2</v>
      </c>
      <c r="K551" s="1">
        <v>6</v>
      </c>
      <c r="L551" s="67">
        <f t="shared" si="17"/>
        <v>1</v>
      </c>
    </row>
    <row r="552" spans="1:12" x14ac:dyDescent="0.2">
      <c r="A552">
        <v>551</v>
      </c>
      <c r="B552" s="7" t="s">
        <v>372</v>
      </c>
      <c r="C552" t="s">
        <v>1311</v>
      </c>
      <c r="D552" s="65" t="str">
        <f t="shared" si="16"/>
        <v>Y</v>
      </c>
      <c r="E552" t="s">
        <v>1313</v>
      </c>
      <c r="F552" s="25" t="s">
        <v>293</v>
      </c>
      <c r="G552" s="26">
        <v>2</v>
      </c>
      <c r="H552" s="7" t="s">
        <v>293</v>
      </c>
      <c r="I552" s="7" t="s">
        <v>296</v>
      </c>
      <c r="J552" s="1">
        <v>2</v>
      </c>
      <c r="K552" s="1">
        <v>6</v>
      </c>
      <c r="L552" s="67">
        <f t="shared" si="17"/>
        <v>1</v>
      </c>
    </row>
    <row r="553" spans="1:12" x14ac:dyDescent="0.2">
      <c r="A553">
        <v>552</v>
      </c>
      <c r="B553" s="7" t="s">
        <v>356</v>
      </c>
      <c r="C553" t="s">
        <v>1311</v>
      </c>
      <c r="D553" s="65" t="str">
        <f t="shared" si="16"/>
        <v>Y</v>
      </c>
      <c r="E553" t="s">
        <v>1313</v>
      </c>
      <c r="F553" s="25" t="s">
        <v>293</v>
      </c>
      <c r="G553" s="26">
        <v>2</v>
      </c>
      <c r="H553" s="7" t="s">
        <v>293</v>
      </c>
      <c r="I553" s="7" t="s">
        <v>296</v>
      </c>
      <c r="J553" s="1">
        <v>2</v>
      </c>
      <c r="K553" s="1">
        <v>6</v>
      </c>
      <c r="L553" s="67">
        <f t="shared" si="17"/>
        <v>1</v>
      </c>
    </row>
    <row r="554" spans="1:12" x14ac:dyDescent="0.2">
      <c r="A554">
        <v>553</v>
      </c>
      <c r="B554" s="7" t="s">
        <v>372</v>
      </c>
      <c r="C554" t="s">
        <v>1311</v>
      </c>
      <c r="D554" s="65" t="str">
        <f t="shared" si="16"/>
        <v>Y</v>
      </c>
      <c r="E554" t="s">
        <v>1313</v>
      </c>
      <c r="F554" s="25" t="s">
        <v>293</v>
      </c>
      <c r="G554" s="26">
        <v>2</v>
      </c>
      <c r="H554" s="7" t="s">
        <v>299</v>
      </c>
      <c r="I554" s="7" t="s">
        <v>297</v>
      </c>
      <c r="J554" s="1">
        <v>4</v>
      </c>
      <c r="K554" s="1">
        <v>4</v>
      </c>
      <c r="L554" s="67">
        <f t="shared" si="17"/>
        <v>0</v>
      </c>
    </row>
    <row r="555" spans="1:12" x14ac:dyDescent="0.2">
      <c r="A555">
        <v>554</v>
      </c>
      <c r="B555" s="7" t="s">
        <v>356</v>
      </c>
      <c r="C555" t="s">
        <v>1311</v>
      </c>
      <c r="D555" s="65" t="str">
        <f t="shared" si="16"/>
        <v>Y</v>
      </c>
      <c r="E555" t="s">
        <v>1313</v>
      </c>
      <c r="F555" s="25" t="s">
        <v>299</v>
      </c>
      <c r="G555" s="26">
        <v>4</v>
      </c>
      <c r="H555" s="7" t="s">
        <v>291</v>
      </c>
      <c r="I555" s="7" t="s">
        <v>297</v>
      </c>
      <c r="J555" s="1">
        <v>1</v>
      </c>
      <c r="K555" s="1">
        <v>4</v>
      </c>
      <c r="L555" s="67">
        <f t="shared" si="17"/>
        <v>0</v>
      </c>
    </row>
    <row r="556" spans="1:12" x14ac:dyDescent="0.2">
      <c r="A556">
        <v>555</v>
      </c>
      <c r="B556" s="7" t="s">
        <v>372</v>
      </c>
      <c r="C556" t="s">
        <v>1311</v>
      </c>
      <c r="D556" s="65" t="str">
        <f t="shared" si="16"/>
        <v>Y</v>
      </c>
      <c r="E556" t="s">
        <v>1313</v>
      </c>
      <c r="F556" s="25" t="s">
        <v>299</v>
      </c>
      <c r="G556" s="26">
        <v>4</v>
      </c>
      <c r="H556" s="7" t="s">
        <v>291</v>
      </c>
      <c r="I556" s="7" t="s">
        <v>292</v>
      </c>
      <c r="J556" s="1">
        <v>1</v>
      </c>
      <c r="K556" s="1">
        <v>5</v>
      </c>
      <c r="L556" s="67">
        <f t="shared" si="17"/>
        <v>0</v>
      </c>
    </row>
    <row r="557" spans="1:12" x14ac:dyDescent="0.2">
      <c r="A557">
        <v>556</v>
      </c>
      <c r="B557" s="7" t="s">
        <v>372</v>
      </c>
      <c r="C557" t="s">
        <v>1311</v>
      </c>
      <c r="D557" s="65" t="str">
        <f t="shared" si="16"/>
        <v>Y</v>
      </c>
      <c r="E557" t="s">
        <v>1313</v>
      </c>
      <c r="F557" s="25" t="s">
        <v>299</v>
      </c>
      <c r="G557" s="26">
        <v>4</v>
      </c>
      <c r="H557" s="7" t="s">
        <v>293</v>
      </c>
      <c r="I557" s="7" t="s">
        <v>297</v>
      </c>
      <c r="J557" s="1">
        <v>2</v>
      </c>
      <c r="K557" s="1">
        <v>4</v>
      </c>
      <c r="L557" s="67">
        <f t="shared" si="17"/>
        <v>0</v>
      </c>
    </row>
    <row r="558" spans="1:12" x14ac:dyDescent="0.2">
      <c r="A558">
        <v>557</v>
      </c>
      <c r="B558" s="7" t="s">
        <v>356</v>
      </c>
      <c r="C558" t="s">
        <v>1311</v>
      </c>
      <c r="D558" s="65" t="str">
        <f t="shared" si="16"/>
        <v>Y</v>
      </c>
      <c r="E558" t="s">
        <v>1313</v>
      </c>
      <c r="F558" s="25" t="s">
        <v>299</v>
      </c>
      <c r="G558" s="26">
        <v>4</v>
      </c>
      <c r="H558" s="7" t="s">
        <v>291</v>
      </c>
      <c r="I558" s="7" t="s">
        <v>297</v>
      </c>
      <c r="J558" s="1">
        <v>1</v>
      </c>
      <c r="K558" s="1">
        <v>4</v>
      </c>
      <c r="L558" s="67">
        <f t="shared" si="17"/>
        <v>0</v>
      </c>
    </row>
    <row r="559" spans="1:12" x14ac:dyDescent="0.2">
      <c r="A559">
        <v>558</v>
      </c>
      <c r="B559" s="7" t="s">
        <v>372</v>
      </c>
      <c r="C559" t="s">
        <v>1311</v>
      </c>
      <c r="D559" s="65" t="str">
        <f t="shared" si="16"/>
        <v>Y</v>
      </c>
      <c r="E559" t="s">
        <v>1313</v>
      </c>
      <c r="F559" s="25" t="s">
        <v>299</v>
      </c>
      <c r="G559" s="26">
        <v>4</v>
      </c>
      <c r="H559" s="7" t="s">
        <v>291</v>
      </c>
      <c r="I559" s="7" t="s">
        <v>292</v>
      </c>
      <c r="J559" s="1">
        <v>1</v>
      </c>
      <c r="K559" s="1">
        <v>5</v>
      </c>
      <c r="L559" s="67">
        <f t="shared" si="17"/>
        <v>0</v>
      </c>
    </row>
    <row r="560" spans="1:12" x14ac:dyDescent="0.2">
      <c r="A560">
        <v>559</v>
      </c>
      <c r="B560" s="7" t="s">
        <v>356</v>
      </c>
      <c r="C560" t="s">
        <v>1311</v>
      </c>
      <c r="D560" s="65" t="str">
        <f t="shared" si="16"/>
        <v>Y</v>
      </c>
      <c r="E560" t="s">
        <v>1313</v>
      </c>
      <c r="F560" s="25" t="s">
        <v>299</v>
      </c>
      <c r="G560" s="26">
        <v>4</v>
      </c>
      <c r="H560" s="7" t="s">
        <v>298</v>
      </c>
      <c r="I560" s="7" t="s">
        <v>330</v>
      </c>
      <c r="J560" s="1">
        <v>3</v>
      </c>
      <c r="K560" s="1">
        <v>3</v>
      </c>
      <c r="L560" s="67">
        <f t="shared" si="17"/>
        <v>0</v>
      </c>
    </row>
    <row r="561" spans="1:12" x14ac:dyDescent="0.2">
      <c r="A561">
        <v>560</v>
      </c>
      <c r="B561" s="7" t="s">
        <v>372</v>
      </c>
      <c r="C561" t="s">
        <v>1311</v>
      </c>
      <c r="D561" s="65" t="str">
        <f t="shared" si="16"/>
        <v>Y</v>
      </c>
      <c r="E561" t="s">
        <v>1313</v>
      </c>
      <c r="F561" s="25" t="s">
        <v>299</v>
      </c>
      <c r="G561" s="26">
        <v>4</v>
      </c>
      <c r="H561" s="7" t="s">
        <v>291</v>
      </c>
      <c r="I561" s="7" t="s">
        <v>292</v>
      </c>
      <c r="J561" s="1">
        <v>1</v>
      </c>
      <c r="K561" s="1">
        <v>5</v>
      </c>
      <c r="L561" s="67">
        <f t="shared" si="17"/>
        <v>0</v>
      </c>
    </row>
    <row r="562" spans="1:12" x14ac:dyDescent="0.2">
      <c r="A562">
        <v>561</v>
      </c>
      <c r="B562" s="7" t="s">
        <v>356</v>
      </c>
      <c r="C562" t="s">
        <v>1311</v>
      </c>
      <c r="D562" s="65" t="str">
        <f t="shared" si="16"/>
        <v>Y</v>
      </c>
      <c r="E562" t="s">
        <v>1313</v>
      </c>
      <c r="F562" s="25" t="s">
        <v>299</v>
      </c>
      <c r="G562" s="26">
        <v>4</v>
      </c>
      <c r="H562" s="7" t="s">
        <v>298</v>
      </c>
      <c r="I562" s="7" t="s">
        <v>292</v>
      </c>
      <c r="J562" s="1">
        <v>3</v>
      </c>
      <c r="K562" s="1">
        <v>5</v>
      </c>
      <c r="L562" s="67">
        <f t="shared" si="17"/>
        <v>0</v>
      </c>
    </row>
    <row r="563" spans="1:12" x14ac:dyDescent="0.2">
      <c r="A563">
        <v>562</v>
      </c>
      <c r="B563" s="7" t="s">
        <v>372</v>
      </c>
      <c r="C563" t="s">
        <v>1311</v>
      </c>
      <c r="D563" s="65" t="str">
        <f t="shared" si="16"/>
        <v>Y</v>
      </c>
      <c r="E563" t="s">
        <v>1313</v>
      </c>
      <c r="F563" s="25" t="s">
        <v>299</v>
      </c>
      <c r="G563" s="26">
        <v>4</v>
      </c>
      <c r="H563" s="7" t="s">
        <v>291</v>
      </c>
      <c r="I563" s="7" t="s">
        <v>296</v>
      </c>
      <c r="J563" s="1">
        <v>1</v>
      </c>
      <c r="K563" s="1">
        <v>6</v>
      </c>
      <c r="L563" s="67">
        <f t="shared" si="17"/>
        <v>0</v>
      </c>
    </row>
    <row r="564" spans="1:12" x14ac:dyDescent="0.2">
      <c r="A564">
        <v>563</v>
      </c>
      <c r="B564" s="7" t="s">
        <v>356</v>
      </c>
      <c r="C564" t="s">
        <v>1311</v>
      </c>
      <c r="D564" s="65" t="str">
        <f t="shared" si="16"/>
        <v>Y</v>
      </c>
      <c r="E564" t="s">
        <v>1313</v>
      </c>
      <c r="F564" s="25" t="s">
        <v>299</v>
      </c>
      <c r="G564" s="26">
        <v>4</v>
      </c>
      <c r="H564" s="7" t="s">
        <v>291</v>
      </c>
      <c r="I564" s="7" t="s">
        <v>297</v>
      </c>
      <c r="J564" s="1">
        <v>1</v>
      </c>
      <c r="K564" s="1">
        <v>4</v>
      </c>
      <c r="L564" s="67">
        <f t="shared" si="17"/>
        <v>0</v>
      </c>
    </row>
    <row r="565" spans="1:12" x14ac:dyDescent="0.2">
      <c r="A565">
        <v>564</v>
      </c>
      <c r="B565" s="7" t="s">
        <v>356</v>
      </c>
      <c r="C565" t="s">
        <v>1311</v>
      </c>
      <c r="D565" s="65" t="str">
        <f t="shared" si="16"/>
        <v>Y</v>
      </c>
      <c r="E565" t="s">
        <v>1313</v>
      </c>
      <c r="F565" s="25" t="s">
        <v>299</v>
      </c>
      <c r="G565" s="26">
        <v>4</v>
      </c>
      <c r="H565" s="7" t="s">
        <v>291</v>
      </c>
      <c r="I565" s="7" t="s">
        <v>296</v>
      </c>
      <c r="J565" s="1">
        <v>1</v>
      </c>
      <c r="K565" s="1">
        <v>6</v>
      </c>
      <c r="L565" s="67">
        <f t="shared" si="17"/>
        <v>0</v>
      </c>
    </row>
    <row r="566" spans="1:12" x14ac:dyDescent="0.2">
      <c r="A566">
        <v>565</v>
      </c>
      <c r="B566" s="7" t="s">
        <v>372</v>
      </c>
      <c r="C566" t="s">
        <v>1311</v>
      </c>
      <c r="D566" s="65" t="str">
        <f t="shared" si="16"/>
        <v>Y</v>
      </c>
      <c r="E566" t="s">
        <v>1313</v>
      </c>
      <c r="F566" s="25" t="s">
        <v>299</v>
      </c>
      <c r="G566" s="26">
        <v>4</v>
      </c>
      <c r="H566" s="7" t="s">
        <v>291</v>
      </c>
      <c r="I566" s="7" t="s">
        <v>292</v>
      </c>
      <c r="J566" s="1">
        <v>1</v>
      </c>
      <c r="K566" s="1">
        <v>5</v>
      </c>
      <c r="L566" s="67">
        <f t="shared" si="17"/>
        <v>0</v>
      </c>
    </row>
    <row r="567" spans="1:12" x14ac:dyDescent="0.2">
      <c r="A567">
        <v>566</v>
      </c>
      <c r="B567" s="7" t="s">
        <v>356</v>
      </c>
      <c r="C567" t="s">
        <v>1311</v>
      </c>
      <c r="D567" s="65" t="str">
        <f t="shared" si="16"/>
        <v>Y</v>
      </c>
      <c r="E567" t="s">
        <v>1313</v>
      </c>
      <c r="F567" s="25" t="s">
        <v>299</v>
      </c>
      <c r="G567" s="26">
        <v>4</v>
      </c>
      <c r="H567" s="7" t="s">
        <v>298</v>
      </c>
      <c r="I567" s="7" t="s">
        <v>292</v>
      </c>
      <c r="J567" s="1">
        <v>3</v>
      </c>
      <c r="K567" s="1">
        <v>5</v>
      </c>
      <c r="L567" s="67">
        <f t="shared" si="17"/>
        <v>0</v>
      </c>
    </row>
    <row r="568" spans="1:12" x14ac:dyDescent="0.2">
      <c r="A568">
        <v>567</v>
      </c>
      <c r="B568" s="7" t="s">
        <v>372</v>
      </c>
      <c r="C568" t="s">
        <v>1311</v>
      </c>
      <c r="D568" s="65" t="str">
        <f t="shared" si="16"/>
        <v>Y</v>
      </c>
      <c r="E568" t="s">
        <v>1313</v>
      </c>
      <c r="F568" s="25" t="s">
        <v>299</v>
      </c>
      <c r="G568" s="26">
        <v>4</v>
      </c>
      <c r="H568" s="7" t="s">
        <v>282</v>
      </c>
      <c r="I568" s="7" t="s">
        <v>297</v>
      </c>
      <c r="J568" s="4" t="s">
        <v>282</v>
      </c>
      <c r="K568" s="1">
        <v>4</v>
      </c>
      <c r="L568" s="67">
        <f t="shared" si="17"/>
        <v>0</v>
      </c>
    </row>
    <row r="569" spans="1:12" x14ac:dyDescent="0.2">
      <c r="A569">
        <v>568</v>
      </c>
      <c r="B569" s="7" t="s">
        <v>356</v>
      </c>
      <c r="C569" t="s">
        <v>1311</v>
      </c>
      <c r="D569" s="65" t="str">
        <f t="shared" si="16"/>
        <v>Y</v>
      </c>
      <c r="E569" t="s">
        <v>1313</v>
      </c>
      <c r="F569" s="25" t="s">
        <v>299</v>
      </c>
      <c r="G569" s="26">
        <v>4</v>
      </c>
      <c r="H569" s="7" t="s">
        <v>293</v>
      </c>
      <c r="I569" s="7" t="s">
        <v>292</v>
      </c>
      <c r="J569" s="1">
        <v>2</v>
      </c>
      <c r="K569" s="1">
        <v>5</v>
      </c>
      <c r="L569" s="67">
        <f t="shared" si="17"/>
        <v>0</v>
      </c>
    </row>
    <row r="570" spans="1:12" x14ac:dyDescent="0.2">
      <c r="A570">
        <v>569</v>
      </c>
      <c r="B570" s="7" t="s">
        <v>372</v>
      </c>
      <c r="C570" t="s">
        <v>1311</v>
      </c>
      <c r="D570" s="65" t="str">
        <f t="shared" si="16"/>
        <v>Y</v>
      </c>
      <c r="E570" t="s">
        <v>1313</v>
      </c>
      <c r="F570" s="25" t="s">
        <v>299</v>
      </c>
      <c r="G570" s="26">
        <v>4</v>
      </c>
      <c r="H570" s="7" t="s">
        <v>282</v>
      </c>
      <c r="I570" s="7" t="s">
        <v>292</v>
      </c>
      <c r="J570" s="4" t="s">
        <v>282</v>
      </c>
      <c r="K570" s="1">
        <v>5</v>
      </c>
      <c r="L570" s="67">
        <f t="shared" si="17"/>
        <v>0</v>
      </c>
    </row>
    <row r="571" spans="1:12" x14ac:dyDescent="0.2">
      <c r="A571">
        <v>570</v>
      </c>
      <c r="B571" s="7" t="s">
        <v>372</v>
      </c>
      <c r="C571" t="s">
        <v>1311</v>
      </c>
      <c r="D571" s="65" t="str">
        <f t="shared" si="16"/>
        <v>Y</v>
      </c>
      <c r="E571" t="s">
        <v>1313</v>
      </c>
      <c r="F571" s="25" t="s">
        <v>299</v>
      </c>
      <c r="G571" s="26">
        <v>4</v>
      </c>
      <c r="H571" s="7" t="s">
        <v>298</v>
      </c>
      <c r="I571" s="7" t="s">
        <v>297</v>
      </c>
      <c r="J571" s="1">
        <v>3</v>
      </c>
      <c r="K571" s="1">
        <v>4</v>
      </c>
      <c r="L571" s="67">
        <f t="shared" si="17"/>
        <v>0</v>
      </c>
    </row>
    <row r="572" spans="1:12" x14ac:dyDescent="0.2">
      <c r="A572">
        <v>571</v>
      </c>
      <c r="B572" s="7" t="s">
        <v>356</v>
      </c>
      <c r="C572" t="s">
        <v>1311</v>
      </c>
      <c r="D572" s="65" t="str">
        <f t="shared" si="16"/>
        <v>Y</v>
      </c>
      <c r="E572" t="s">
        <v>1313</v>
      </c>
      <c r="F572" s="25" t="s">
        <v>299</v>
      </c>
      <c r="G572" s="26">
        <v>4</v>
      </c>
      <c r="H572" s="7" t="s">
        <v>291</v>
      </c>
      <c r="I572" s="7" t="s">
        <v>292</v>
      </c>
      <c r="J572" s="1">
        <v>1</v>
      </c>
      <c r="K572" s="1">
        <v>5</v>
      </c>
      <c r="L572" s="67">
        <f t="shared" si="17"/>
        <v>0</v>
      </c>
    </row>
    <row r="573" spans="1:12" x14ac:dyDescent="0.2">
      <c r="A573">
        <v>572</v>
      </c>
      <c r="B573" s="7" t="s">
        <v>356</v>
      </c>
      <c r="C573" t="s">
        <v>1311</v>
      </c>
      <c r="D573" s="65" t="str">
        <f t="shared" si="16"/>
        <v>Y</v>
      </c>
      <c r="E573" t="s">
        <v>1313</v>
      </c>
      <c r="F573" s="25" t="s">
        <v>299</v>
      </c>
      <c r="G573" s="26">
        <v>4</v>
      </c>
      <c r="H573" s="7" t="s">
        <v>291</v>
      </c>
      <c r="I573" s="7" t="s">
        <v>297</v>
      </c>
      <c r="J573" s="1">
        <v>1</v>
      </c>
      <c r="K573" s="1">
        <v>4</v>
      </c>
      <c r="L573" s="67">
        <f t="shared" si="17"/>
        <v>0</v>
      </c>
    </row>
    <row r="574" spans="1:12" x14ac:dyDescent="0.2">
      <c r="A574">
        <v>573</v>
      </c>
      <c r="B574" s="7" t="s">
        <v>372</v>
      </c>
      <c r="C574" t="s">
        <v>1311</v>
      </c>
      <c r="D574" s="65" t="str">
        <f t="shared" si="16"/>
        <v>Y</v>
      </c>
      <c r="E574" t="s">
        <v>1313</v>
      </c>
      <c r="F574" s="25" t="s">
        <v>299</v>
      </c>
      <c r="G574" s="26">
        <v>4</v>
      </c>
      <c r="H574" s="7" t="s">
        <v>299</v>
      </c>
      <c r="I574" s="7" t="s">
        <v>292</v>
      </c>
      <c r="J574" s="1">
        <v>4</v>
      </c>
      <c r="K574" s="1">
        <v>5</v>
      </c>
      <c r="L574" s="67">
        <f t="shared" si="17"/>
        <v>1</v>
      </c>
    </row>
    <row r="575" spans="1:12" x14ac:dyDescent="0.2">
      <c r="A575">
        <v>574</v>
      </c>
      <c r="B575" s="7" t="s">
        <v>356</v>
      </c>
      <c r="C575" t="s">
        <v>1311</v>
      </c>
      <c r="D575" s="65" t="str">
        <f t="shared" si="16"/>
        <v>Y</v>
      </c>
      <c r="E575" t="s">
        <v>1313</v>
      </c>
      <c r="F575" s="25" t="s">
        <v>299</v>
      </c>
      <c r="G575" s="26">
        <v>4</v>
      </c>
      <c r="H575" s="7" t="s">
        <v>291</v>
      </c>
      <c r="I575" s="7" t="s">
        <v>296</v>
      </c>
      <c r="J575" s="1">
        <v>1</v>
      </c>
      <c r="K575" s="1">
        <v>6</v>
      </c>
      <c r="L575" s="67">
        <f t="shared" si="17"/>
        <v>0</v>
      </c>
    </row>
    <row r="576" spans="1:12" x14ac:dyDescent="0.2">
      <c r="A576">
        <v>575</v>
      </c>
      <c r="B576" s="7" t="s">
        <v>356</v>
      </c>
      <c r="C576" t="s">
        <v>1311</v>
      </c>
      <c r="D576" s="65" t="str">
        <f t="shared" si="16"/>
        <v>Y</v>
      </c>
      <c r="E576" t="s">
        <v>1313</v>
      </c>
      <c r="F576" s="25" t="s">
        <v>299</v>
      </c>
      <c r="G576" s="26">
        <v>4</v>
      </c>
      <c r="H576" s="7" t="s">
        <v>291</v>
      </c>
      <c r="I576" s="7" t="s">
        <v>292</v>
      </c>
      <c r="J576" s="1">
        <v>1</v>
      </c>
      <c r="K576" s="1">
        <v>5</v>
      </c>
      <c r="L576" s="67">
        <f t="shared" si="17"/>
        <v>0</v>
      </c>
    </row>
    <row r="577" spans="1:12" x14ac:dyDescent="0.2">
      <c r="A577">
        <v>576</v>
      </c>
      <c r="B577" s="7" t="s">
        <v>372</v>
      </c>
      <c r="C577" t="s">
        <v>1311</v>
      </c>
      <c r="D577" s="65" t="str">
        <f t="shared" si="16"/>
        <v>Y</v>
      </c>
      <c r="E577" t="s">
        <v>1313</v>
      </c>
      <c r="F577" s="25" t="s">
        <v>299</v>
      </c>
      <c r="G577" s="26">
        <v>4</v>
      </c>
      <c r="H577" s="7" t="s">
        <v>282</v>
      </c>
      <c r="I577" s="7" t="s">
        <v>296</v>
      </c>
      <c r="J577" s="4" t="s">
        <v>282</v>
      </c>
      <c r="K577" s="1">
        <v>6</v>
      </c>
      <c r="L577" s="67">
        <f t="shared" si="17"/>
        <v>0</v>
      </c>
    </row>
    <row r="578" spans="1:12" x14ac:dyDescent="0.2">
      <c r="A578">
        <v>577</v>
      </c>
      <c r="B578" s="7" t="s">
        <v>372</v>
      </c>
      <c r="C578" t="s">
        <v>1311</v>
      </c>
      <c r="D578" s="65" t="str">
        <f t="shared" si="16"/>
        <v>Y</v>
      </c>
      <c r="E578" t="s">
        <v>1313</v>
      </c>
      <c r="F578" s="25" t="s">
        <v>299</v>
      </c>
      <c r="G578" s="26">
        <v>4</v>
      </c>
      <c r="H578" s="7" t="s">
        <v>299</v>
      </c>
      <c r="I578" s="7" t="s">
        <v>292</v>
      </c>
      <c r="J578" s="1">
        <v>4</v>
      </c>
      <c r="K578" s="1">
        <v>5</v>
      </c>
      <c r="L578" s="67">
        <f t="shared" si="17"/>
        <v>1</v>
      </c>
    </row>
    <row r="579" spans="1:12" x14ac:dyDescent="0.2">
      <c r="A579">
        <v>578</v>
      </c>
      <c r="B579" s="7" t="s">
        <v>356</v>
      </c>
      <c r="C579" t="s">
        <v>1311</v>
      </c>
      <c r="D579" s="65" t="str">
        <f t="shared" ref="D579:D642" si="18">IF($E579="iso", "N", IF(OR($E579="non", $E579="emd", $E579="dyn"), "Y", "ERROR"))</f>
        <v>Y</v>
      </c>
      <c r="E579" t="s">
        <v>1313</v>
      </c>
      <c r="F579" s="25" t="s">
        <v>299</v>
      </c>
      <c r="G579" s="26">
        <v>4</v>
      </c>
      <c r="H579" s="7" t="s">
        <v>298</v>
      </c>
      <c r="I579" s="7" t="s">
        <v>297</v>
      </c>
      <c r="J579" s="1">
        <v>3</v>
      </c>
      <c r="K579" s="1">
        <v>4</v>
      </c>
      <c r="L579" s="67">
        <f t="shared" ref="L579:L642" si="19">IF(G579=J579, 1, 0)</f>
        <v>0</v>
      </c>
    </row>
    <row r="580" spans="1:12" x14ac:dyDescent="0.2">
      <c r="A580">
        <v>579</v>
      </c>
      <c r="B580" s="7" t="s">
        <v>356</v>
      </c>
      <c r="C580" t="s">
        <v>1311</v>
      </c>
      <c r="D580" s="65" t="str">
        <f t="shared" si="18"/>
        <v>Y</v>
      </c>
      <c r="E580" t="s">
        <v>1313</v>
      </c>
      <c r="F580" s="25" t="s">
        <v>299</v>
      </c>
      <c r="G580" s="26">
        <v>4</v>
      </c>
      <c r="H580" s="7" t="s">
        <v>299</v>
      </c>
      <c r="I580" s="7" t="s">
        <v>292</v>
      </c>
      <c r="J580" s="1">
        <v>4</v>
      </c>
      <c r="K580" s="1">
        <v>5</v>
      </c>
      <c r="L580" s="67">
        <f t="shared" si="19"/>
        <v>1</v>
      </c>
    </row>
    <row r="581" spans="1:12" x14ac:dyDescent="0.2">
      <c r="A581">
        <v>580</v>
      </c>
      <c r="B581" s="7" t="s">
        <v>372</v>
      </c>
      <c r="C581" t="s">
        <v>1311</v>
      </c>
      <c r="D581" s="65" t="str">
        <f t="shared" si="18"/>
        <v>Y</v>
      </c>
      <c r="E581" t="s">
        <v>1313</v>
      </c>
      <c r="F581" s="25" t="s">
        <v>299</v>
      </c>
      <c r="G581" s="26">
        <v>4</v>
      </c>
      <c r="H581" s="7" t="s">
        <v>293</v>
      </c>
      <c r="I581" s="7" t="s">
        <v>296</v>
      </c>
      <c r="J581" s="1">
        <v>2</v>
      </c>
      <c r="K581" s="1">
        <v>6</v>
      </c>
      <c r="L581" s="67">
        <f t="shared" si="19"/>
        <v>0</v>
      </c>
    </row>
    <row r="582" spans="1:12" x14ac:dyDescent="0.2">
      <c r="A582">
        <v>581</v>
      </c>
      <c r="B582" s="7" t="s">
        <v>356</v>
      </c>
      <c r="C582" t="s">
        <v>1311</v>
      </c>
      <c r="D582" s="65" t="str">
        <f t="shared" si="18"/>
        <v>Y</v>
      </c>
      <c r="E582" t="s">
        <v>1313</v>
      </c>
      <c r="F582" s="25" t="s">
        <v>299</v>
      </c>
      <c r="G582" s="26">
        <v>4</v>
      </c>
      <c r="H582" s="7" t="s">
        <v>291</v>
      </c>
      <c r="I582" s="7" t="s">
        <v>296</v>
      </c>
      <c r="J582" s="1">
        <v>1</v>
      </c>
      <c r="K582" s="1">
        <v>6</v>
      </c>
      <c r="L582" s="67">
        <f t="shared" si="19"/>
        <v>0</v>
      </c>
    </row>
    <row r="583" spans="1:12" x14ac:dyDescent="0.2">
      <c r="A583">
        <v>582</v>
      </c>
      <c r="B583" s="7" t="s">
        <v>372</v>
      </c>
      <c r="C583" t="s">
        <v>1311</v>
      </c>
      <c r="D583" s="65" t="str">
        <f t="shared" si="18"/>
        <v>Y</v>
      </c>
      <c r="E583" t="s">
        <v>1313</v>
      </c>
      <c r="F583" s="25" t="s">
        <v>299</v>
      </c>
      <c r="G583" s="26">
        <v>4</v>
      </c>
      <c r="H583" s="7" t="s">
        <v>298</v>
      </c>
      <c r="I583" s="7" t="s">
        <v>297</v>
      </c>
      <c r="J583" s="1">
        <v>3</v>
      </c>
      <c r="K583" s="1">
        <v>4</v>
      </c>
      <c r="L583" s="67">
        <f t="shared" si="19"/>
        <v>0</v>
      </c>
    </row>
    <row r="584" spans="1:12" x14ac:dyDescent="0.2">
      <c r="A584">
        <v>583</v>
      </c>
      <c r="B584" s="7" t="s">
        <v>356</v>
      </c>
      <c r="C584" t="s">
        <v>1311</v>
      </c>
      <c r="D584" s="65" t="str">
        <f t="shared" si="18"/>
        <v>Y</v>
      </c>
      <c r="E584" t="s">
        <v>1313</v>
      </c>
      <c r="F584" s="25" t="s">
        <v>299</v>
      </c>
      <c r="G584" s="26">
        <v>4</v>
      </c>
      <c r="H584" s="7" t="s">
        <v>293</v>
      </c>
      <c r="I584" s="7" t="s">
        <v>330</v>
      </c>
      <c r="J584" s="1">
        <v>2</v>
      </c>
      <c r="K584" s="1">
        <v>3</v>
      </c>
      <c r="L584" s="67">
        <f t="shared" si="19"/>
        <v>0</v>
      </c>
    </row>
    <row r="585" spans="1:12" x14ac:dyDescent="0.2">
      <c r="A585">
        <v>584</v>
      </c>
      <c r="B585" s="7" t="s">
        <v>372</v>
      </c>
      <c r="C585" t="s">
        <v>1311</v>
      </c>
      <c r="D585" s="65" t="str">
        <f t="shared" si="18"/>
        <v>Y</v>
      </c>
      <c r="E585" t="s">
        <v>1313</v>
      </c>
      <c r="F585" s="25" t="s">
        <v>299</v>
      </c>
      <c r="G585" s="26">
        <v>4</v>
      </c>
      <c r="H585" s="7" t="s">
        <v>293</v>
      </c>
      <c r="I585" s="7" t="s">
        <v>292</v>
      </c>
      <c r="J585" s="1">
        <v>2</v>
      </c>
      <c r="K585" s="1">
        <v>5</v>
      </c>
      <c r="L585" s="67">
        <f t="shared" si="19"/>
        <v>0</v>
      </c>
    </row>
    <row r="586" spans="1:12" x14ac:dyDescent="0.2">
      <c r="A586">
        <v>585</v>
      </c>
      <c r="B586" s="7" t="s">
        <v>356</v>
      </c>
      <c r="C586" t="s">
        <v>1311</v>
      </c>
      <c r="D586" s="65" t="str">
        <f t="shared" si="18"/>
        <v>Y</v>
      </c>
      <c r="E586" t="s">
        <v>1313</v>
      </c>
      <c r="F586" s="25" t="s">
        <v>299</v>
      </c>
      <c r="G586" s="26">
        <v>4</v>
      </c>
      <c r="H586" s="7" t="s">
        <v>291</v>
      </c>
      <c r="I586" s="7" t="s">
        <v>292</v>
      </c>
      <c r="J586" s="1">
        <v>1</v>
      </c>
      <c r="K586" s="1">
        <v>5</v>
      </c>
      <c r="L586" s="67">
        <f t="shared" si="19"/>
        <v>0</v>
      </c>
    </row>
    <row r="587" spans="1:12" x14ac:dyDescent="0.2">
      <c r="A587">
        <v>586</v>
      </c>
      <c r="B587" s="7" t="s">
        <v>356</v>
      </c>
      <c r="C587" t="s">
        <v>1311</v>
      </c>
      <c r="D587" s="65" t="str">
        <f t="shared" si="18"/>
        <v>Y</v>
      </c>
      <c r="E587" t="s">
        <v>1313</v>
      </c>
      <c r="F587" s="25" t="s">
        <v>299</v>
      </c>
      <c r="G587" s="26">
        <v>4</v>
      </c>
      <c r="H587" s="7" t="s">
        <v>299</v>
      </c>
      <c r="I587" s="7" t="s">
        <v>292</v>
      </c>
      <c r="J587" s="1">
        <v>4</v>
      </c>
      <c r="K587" s="1">
        <v>5</v>
      </c>
      <c r="L587" s="67">
        <f t="shared" si="19"/>
        <v>1</v>
      </c>
    </row>
    <row r="588" spans="1:12" x14ac:dyDescent="0.2">
      <c r="A588">
        <v>587</v>
      </c>
      <c r="B588" s="7" t="s">
        <v>372</v>
      </c>
      <c r="C588" t="s">
        <v>1311</v>
      </c>
      <c r="D588" s="65" t="str">
        <f t="shared" si="18"/>
        <v>Y</v>
      </c>
      <c r="E588" t="s">
        <v>1313</v>
      </c>
      <c r="F588" s="25" t="s">
        <v>299</v>
      </c>
      <c r="G588" s="26">
        <v>4</v>
      </c>
      <c r="H588" s="7" t="s">
        <v>291</v>
      </c>
      <c r="I588" s="7" t="s">
        <v>296</v>
      </c>
      <c r="J588" s="1">
        <v>1</v>
      </c>
      <c r="K588" s="1">
        <v>6</v>
      </c>
      <c r="L588" s="67">
        <f t="shared" si="19"/>
        <v>0</v>
      </c>
    </row>
    <row r="589" spans="1:12" x14ac:dyDescent="0.2">
      <c r="A589">
        <v>588</v>
      </c>
      <c r="B589" s="7" t="s">
        <v>372</v>
      </c>
      <c r="C589" t="s">
        <v>1311</v>
      </c>
      <c r="D589" s="65" t="str">
        <f t="shared" si="18"/>
        <v>Y</v>
      </c>
      <c r="E589" t="s">
        <v>1313</v>
      </c>
      <c r="F589" s="25" t="s">
        <v>299</v>
      </c>
      <c r="G589" s="26">
        <v>4</v>
      </c>
      <c r="H589" s="7" t="s">
        <v>291</v>
      </c>
      <c r="I589" s="7" t="s">
        <v>292</v>
      </c>
      <c r="J589" s="1">
        <v>1</v>
      </c>
      <c r="K589" s="1">
        <v>5</v>
      </c>
      <c r="L589" s="67">
        <f t="shared" si="19"/>
        <v>0</v>
      </c>
    </row>
    <row r="590" spans="1:12" x14ac:dyDescent="0.2">
      <c r="A590">
        <v>589</v>
      </c>
      <c r="B590" s="7" t="s">
        <v>356</v>
      </c>
      <c r="C590" t="s">
        <v>1311</v>
      </c>
      <c r="D590" s="65" t="str">
        <f t="shared" si="18"/>
        <v>Y</v>
      </c>
      <c r="E590" t="s">
        <v>1313</v>
      </c>
      <c r="F590" s="25" t="s">
        <v>299</v>
      </c>
      <c r="G590" s="26">
        <v>4</v>
      </c>
      <c r="H590" s="7" t="s">
        <v>298</v>
      </c>
      <c r="I590" s="7" t="s">
        <v>297</v>
      </c>
      <c r="J590" s="1">
        <v>3</v>
      </c>
      <c r="K590" s="1">
        <v>4</v>
      </c>
      <c r="L590" s="67">
        <f t="shared" si="19"/>
        <v>0</v>
      </c>
    </row>
    <row r="591" spans="1:12" x14ac:dyDescent="0.2">
      <c r="A591">
        <v>590</v>
      </c>
      <c r="B591" s="7" t="s">
        <v>372</v>
      </c>
      <c r="C591" t="s">
        <v>1311</v>
      </c>
      <c r="D591" s="65" t="str">
        <f t="shared" si="18"/>
        <v>Y</v>
      </c>
      <c r="E591" t="s">
        <v>1313</v>
      </c>
      <c r="F591" s="25" t="s">
        <v>299</v>
      </c>
      <c r="G591" s="26">
        <v>4</v>
      </c>
      <c r="H591" s="7" t="s">
        <v>293</v>
      </c>
      <c r="I591" s="7" t="s">
        <v>292</v>
      </c>
      <c r="J591" s="1">
        <v>2</v>
      </c>
      <c r="K591" s="1">
        <v>5</v>
      </c>
      <c r="L591" s="67">
        <f t="shared" si="19"/>
        <v>0</v>
      </c>
    </row>
    <row r="592" spans="1:12" x14ac:dyDescent="0.2">
      <c r="A592">
        <v>591</v>
      </c>
      <c r="B592" s="7" t="s">
        <v>372</v>
      </c>
      <c r="C592" t="s">
        <v>1311</v>
      </c>
      <c r="D592" s="65" t="str">
        <f t="shared" si="18"/>
        <v>Y</v>
      </c>
      <c r="E592" t="s">
        <v>1313</v>
      </c>
      <c r="F592" s="25" t="s">
        <v>299</v>
      </c>
      <c r="G592" s="26">
        <v>4</v>
      </c>
      <c r="H592" s="7" t="s">
        <v>282</v>
      </c>
      <c r="I592" s="7" t="s">
        <v>297</v>
      </c>
      <c r="J592" s="4" t="s">
        <v>282</v>
      </c>
      <c r="K592" s="1">
        <v>4</v>
      </c>
      <c r="L592" s="67">
        <f t="shared" si="19"/>
        <v>0</v>
      </c>
    </row>
    <row r="593" spans="1:12" x14ac:dyDescent="0.2">
      <c r="A593">
        <v>592</v>
      </c>
      <c r="B593" s="7" t="s">
        <v>372</v>
      </c>
      <c r="C593" t="s">
        <v>1311</v>
      </c>
      <c r="D593" s="65" t="str">
        <f t="shared" si="18"/>
        <v>Y</v>
      </c>
      <c r="E593" t="s">
        <v>1313</v>
      </c>
      <c r="F593" s="25" t="s">
        <v>299</v>
      </c>
      <c r="G593" s="26">
        <v>4</v>
      </c>
      <c r="H593" s="7" t="s">
        <v>291</v>
      </c>
      <c r="I593" s="7" t="s">
        <v>297</v>
      </c>
      <c r="J593" s="1">
        <v>1</v>
      </c>
      <c r="K593" s="1">
        <v>4</v>
      </c>
      <c r="L593" s="67">
        <f t="shared" si="19"/>
        <v>0</v>
      </c>
    </row>
    <row r="594" spans="1:12" x14ac:dyDescent="0.2">
      <c r="A594">
        <v>593</v>
      </c>
      <c r="B594" s="7" t="s">
        <v>356</v>
      </c>
      <c r="C594" t="s">
        <v>1311</v>
      </c>
      <c r="D594" s="65" t="str">
        <f t="shared" si="18"/>
        <v>Y</v>
      </c>
      <c r="E594" t="s">
        <v>1313</v>
      </c>
      <c r="F594" s="25" t="s">
        <v>299</v>
      </c>
      <c r="G594" s="26">
        <v>4</v>
      </c>
      <c r="H594" s="7" t="s">
        <v>291</v>
      </c>
      <c r="I594" s="7" t="s">
        <v>294</v>
      </c>
      <c r="J594" s="1">
        <v>1</v>
      </c>
      <c r="K594" s="1">
        <v>7</v>
      </c>
      <c r="L594" s="67">
        <f t="shared" si="19"/>
        <v>0</v>
      </c>
    </row>
    <row r="595" spans="1:12" x14ac:dyDescent="0.2">
      <c r="A595">
        <v>594</v>
      </c>
      <c r="B595" s="7" t="s">
        <v>372</v>
      </c>
      <c r="C595" t="s">
        <v>1311</v>
      </c>
      <c r="D595" s="65" t="str">
        <f t="shared" si="18"/>
        <v>Y</v>
      </c>
      <c r="E595" t="s">
        <v>1313</v>
      </c>
      <c r="F595" s="25" t="s">
        <v>299</v>
      </c>
      <c r="G595" s="26">
        <v>4</v>
      </c>
      <c r="H595" s="7" t="s">
        <v>291</v>
      </c>
      <c r="I595" s="7" t="s">
        <v>297</v>
      </c>
      <c r="J595" s="1">
        <v>1</v>
      </c>
      <c r="K595" s="1">
        <v>4</v>
      </c>
      <c r="L595" s="67">
        <f t="shared" si="19"/>
        <v>0</v>
      </c>
    </row>
    <row r="596" spans="1:12" x14ac:dyDescent="0.2">
      <c r="A596">
        <v>595</v>
      </c>
      <c r="B596" s="7" t="s">
        <v>356</v>
      </c>
      <c r="C596" t="s">
        <v>1311</v>
      </c>
      <c r="D596" s="65" t="str">
        <f t="shared" si="18"/>
        <v>Y</v>
      </c>
      <c r="E596" t="s">
        <v>1313</v>
      </c>
      <c r="F596" s="25" t="s">
        <v>299</v>
      </c>
      <c r="G596" s="26">
        <v>4</v>
      </c>
      <c r="H596" s="7" t="s">
        <v>291</v>
      </c>
      <c r="I596" s="7" t="s">
        <v>292</v>
      </c>
      <c r="J596" s="1">
        <v>1</v>
      </c>
      <c r="K596" s="1">
        <v>5</v>
      </c>
      <c r="L596" s="67">
        <f t="shared" si="19"/>
        <v>0</v>
      </c>
    </row>
    <row r="597" spans="1:12" x14ac:dyDescent="0.2">
      <c r="A597">
        <v>596</v>
      </c>
      <c r="B597" s="7" t="s">
        <v>356</v>
      </c>
      <c r="C597" t="s">
        <v>1311</v>
      </c>
      <c r="D597" s="65" t="str">
        <f t="shared" si="18"/>
        <v>Y</v>
      </c>
      <c r="E597" t="s">
        <v>1313</v>
      </c>
      <c r="F597" s="25" t="s">
        <v>299</v>
      </c>
      <c r="G597" s="26">
        <v>4</v>
      </c>
      <c r="H597" s="7" t="s">
        <v>291</v>
      </c>
      <c r="I597" s="7" t="s">
        <v>296</v>
      </c>
      <c r="J597" s="1">
        <v>1</v>
      </c>
      <c r="K597" s="1">
        <v>6</v>
      </c>
      <c r="L597" s="67">
        <f t="shared" si="19"/>
        <v>0</v>
      </c>
    </row>
    <row r="598" spans="1:12" x14ac:dyDescent="0.2">
      <c r="A598">
        <v>597</v>
      </c>
      <c r="B598" s="7" t="s">
        <v>372</v>
      </c>
      <c r="C598" t="s">
        <v>1311</v>
      </c>
      <c r="D598" s="65" t="str">
        <f t="shared" si="18"/>
        <v>Y</v>
      </c>
      <c r="E598" t="s">
        <v>1313</v>
      </c>
      <c r="F598" s="25" t="s">
        <v>299</v>
      </c>
      <c r="G598" s="26">
        <v>4</v>
      </c>
      <c r="H598" s="7" t="s">
        <v>299</v>
      </c>
      <c r="I598" s="7" t="s">
        <v>292</v>
      </c>
      <c r="J598" s="1">
        <v>4</v>
      </c>
      <c r="K598" s="1">
        <v>5</v>
      </c>
      <c r="L598" s="67">
        <f t="shared" si="19"/>
        <v>1</v>
      </c>
    </row>
    <row r="599" spans="1:12" x14ac:dyDescent="0.2">
      <c r="A599">
        <v>598</v>
      </c>
      <c r="B599" s="7" t="s">
        <v>372</v>
      </c>
      <c r="C599" t="s">
        <v>1311</v>
      </c>
      <c r="D599" s="65" t="str">
        <f t="shared" si="18"/>
        <v>Y</v>
      </c>
      <c r="E599" t="s">
        <v>1313</v>
      </c>
      <c r="F599" s="25" t="s">
        <v>299</v>
      </c>
      <c r="G599" s="26">
        <v>4</v>
      </c>
      <c r="H599" s="7" t="s">
        <v>291</v>
      </c>
      <c r="I599" s="7" t="s">
        <v>292</v>
      </c>
      <c r="J599" s="1">
        <v>1</v>
      </c>
      <c r="K599" s="1">
        <v>5</v>
      </c>
      <c r="L599" s="67">
        <f t="shared" si="19"/>
        <v>0</v>
      </c>
    </row>
    <row r="600" spans="1:12" x14ac:dyDescent="0.2">
      <c r="A600">
        <v>599</v>
      </c>
      <c r="B600" s="7" t="s">
        <v>356</v>
      </c>
      <c r="C600" t="s">
        <v>1311</v>
      </c>
      <c r="D600" s="65" t="str">
        <f t="shared" si="18"/>
        <v>Y</v>
      </c>
      <c r="E600" t="s">
        <v>1313</v>
      </c>
      <c r="F600" s="25" t="s">
        <v>299</v>
      </c>
      <c r="G600" s="26">
        <v>4</v>
      </c>
      <c r="H600" s="7" t="s">
        <v>298</v>
      </c>
      <c r="I600" s="7" t="s">
        <v>296</v>
      </c>
      <c r="J600" s="1">
        <v>3</v>
      </c>
      <c r="K600" s="1">
        <v>6</v>
      </c>
      <c r="L600" s="67">
        <f t="shared" si="19"/>
        <v>0</v>
      </c>
    </row>
    <row r="601" spans="1:12" x14ac:dyDescent="0.2">
      <c r="A601">
        <v>600</v>
      </c>
      <c r="B601" s="7" t="s">
        <v>372</v>
      </c>
      <c r="C601" t="s">
        <v>1311</v>
      </c>
      <c r="D601" s="65" t="str">
        <f t="shared" si="18"/>
        <v>Y</v>
      </c>
      <c r="E601" t="s">
        <v>1313</v>
      </c>
      <c r="F601" s="25" t="s">
        <v>299</v>
      </c>
      <c r="G601" s="26">
        <v>4</v>
      </c>
      <c r="H601" s="7" t="s">
        <v>291</v>
      </c>
      <c r="I601" s="7" t="s">
        <v>292</v>
      </c>
      <c r="J601" s="1">
        <v>1</v>
      </c>
      <c r="K601" s="1">
        <v>5</v>
      </c>
      <c r="L601" s="67">
        <f t="shared" si="19"/>
        <v>0</v>
      </c>
    </row>
    <row r="602" spans="1:12" x14ac:dyDescent="0.2">
      <c r="A602">
        <v>601</v>
      </c>
      <c r="B602" s="7" t="s">
        <v>356</v>
      </c>
      <c r="C602" t="s">
        <v>1311</v>
      </c>
      <c r="D602" s="65" t="str">
        <f t="shared" si="18"/>
        <v>Y</v>
      </c>
      <c r="E602" t="s">
        <v>1313</v>
      </c>
      <c r="F602" s="25" t="s">
        <v>299</v>
      </c>
      <c r="G602" s="26">
        <v>4</v>
      </c>
      <c r="H602" s="7" t="s">
        <v>295</v>
      </c>
      <c r="I602" s="7" t="s">
        <v>297</v>
      </c>
      <c r="J602" s="1">
        <v>5</v>
      </c>
      <c r="K602" s="1">
        <v>4</v>
      </c>
      <c r="L602" s="67">
        <f t="shared" si="19"/>
        <v>0</v>
      </c>
    </row>
    <row r="603" spans="1:12" x14ac:dyDescent="0.2">
      <c r="A603">
        <v>602</v>
      </c>
      <c r="B603" s="7" t="s">
        <v>372</v>
      </c>
      <c r="C603" t="s">
        <v>1311</v>
      </c>
      <c r="D603" s="65" t="str">
        <f t="shared" si="18"/>
        <v>Y</v>
      </c>
      <c r="E603" t="s">
        <v>1313</v>
      </c>
      <c r="F603" s="25" t="s">
        <v>299</v>
      </c>
      <c r="G603" s="26">
        <v>4</v>
      </c>
      <c r="H603" s="7" t="s">
        <v>291</v>
      </c>
      <c r="I603" s="7" t="s">
        <v>292</v>
      </c>
      <c r="J603" s="1">
        <v>1</v>
      </c>
      <c r="K603" s="1">
        <v>5</v>
      </c>
      <c r="L603" s="67">
        <f t="shared" si="19"/>
        <v>0</v>
      </c>
    </row>
    <row r="604" spans="1:12" x14ac:dyDescent="0.2">
      <c r="A604">
        <v>603</v>
      </c>
      <c r="B604" s="7" t="s">
        <v>372</v>
      </c>
      <c r="C604" t="s">
        <v>1311</v>
      </c>
      <c r="D604" s="65" t="str">
        <f t="shared" si="18"/>
        <v>Y</v>
      </c>
      <c r="E604" t="s">
        <v>1313</v>
      </c>
      <c r="F604" s="25" t="s">
        <v>299</v>
      </c>
      <c r="G604" s="26">
        <v>4</v>
      </c>
      <c r="H604" s="7" t="s">
        <v>293</v>
      </c>
      <c r="I604" s="7" t="s">
        <v>296</v>
      </c>
      <c r="J604" s="1">
        <v>2</v>
      </c>
      <c r="K604" s="1">
        <v>6</v>
      </c>
      <c r="L604" s="67">
        <f t="shared" si="19"/>
        <v>0</v>
      </c>
    </row>
    <row r="605" spans="1:12" x14ac:dyDescent="0.2">
      <c r="A605">
        <v>604</v>
      </c>
      <c r="B605" s="7" t="s">
        <v>356</v>
      </c>
      <c r="C605" t="s">
        <v>1311</v>
      </c>
      <c r="D605" s="65" t="str">
        <f t="shared" si="18"/>
        <v>Y</v>
      </c>
      <c r="E605" t="s">
        <v>1313</v>
      </c>
      <c r="F605" s="25" t="s">
        <v>299</v>
      </c>
      <c r="G605" s="26">
        <v>4</v>
      </c>
      <c r="H605" s="7" t="s">
        <v>291</v>
      </c>
      <c r="I605" s="7" t="s">
        <v>294</v>
      </c>
      <c r="J605" s="1">
        <v>1</v>
      </c>
      <c r="K605" s="1">
        <v>7</v>
      </c>
      <c r="L605" s="67">
        <f t="shared" si="19"/>
        <v>0</v>
      </c>
    </row>
    <row r="606" spans="1:12" x14ac:dyDescent="0.2">
      <c r="A606">
        <v>605</v>
      </c>
      <c r="B606" s="7" t="s">
        <v>372</v>
      </c>
      <c r="C606" t="s">
        <v>1311</v>
      </c>
      <c r="D606" s="65" t="str">
        <f t="shared" si="18"/>
        <v>Y</v>
      </c>
      <c r="E606" t="s">
        <v>1313</v>
      </c>
      <c r="F606" s="25" t="s">
        <v>299</v>
      </c>
      <c r="G606" s="26">
        <v>4</v>
      </c>
      <c r="H606" s="7" t="s">
        <v>291</v>
      </c>
      <c r="I606" s="7" t="s">
        <v>292</v>
      </c>
      <c r="J606" s="1">
        <v>1</v>
      </c>
      <c r="K606" s="1">
        <v>5</v>
      </c>
      <c r="L606" s="67">
        <f t="shared" si="19"/>
        <v>0</v>
      </c>
    </row>
    <row r="607" spans="1:12" x14ac:dyDescent="0.2">
      <c r="A607">
        <v>606</v>
      </c>
      <c r="B607" s="7" t="s">
        <v>356</v>
      </c>
      <c r="C607" t="s">
        <v>1311</v>
      </c>
      <c r="D607" s="65" t="str">
        <f t="shared" si="18"/>
        <v>Y</v>
      </c>
      <c r="E607" t="s">
        <v>1313</v>
      </c>
      <c r="F607" s="25" t="s">
        <v>299</v>
      </c>
      <c r="G607" s="26">
        <v>4</v>
      </c>
      <c r="H607" s="7" t="s">
        <v>291</v>
      </c>
      <c r="I607" s="7" t="s">
        <v>297</v>
      </c>
      <c r="J607" s="1">
        <v>1</v>
      </c>
      <c r="K607" s="1">
        <v>4</v>
      </c>
      <c r="L607" s="67">
        <f t="shared" si="19"/>
        <v>0</v>
      </c>
    </row>
    <row r="608" spans="1:12" x14ac:dyDescent="0.2">
      <c r="A608">
        <v>607</v>
      </c>
      <c r="B608" s="7" t="s">
        <v>356</v>
      </c>
      <c r="C608" t="s">
        <v>1311</v>
      </c>
      <c r="D608" s="65" t="str">
        <f t="shared" si="18"/>
        <v>Y</v>
      </c>
      <c r="E608" t="s">
        <v>1313</v>
      </c>
      <c r="F608" s="25" t="s">
        <v>299</v>
      </c>
      <c r="G608" s="26">
        <v>4</v>
      </c>
      <c r="H608" s="7" t="s">
        <v>293</v>
      </c>
      <c r="I608" s="7" t="s">
        <v>296</v>
      </c>
      <c r="J608" s="1">
        <v>2</v>
      </c>
      <c r="K608" s="1">
        <v>6</v>
      </c>
      <c r="L608" s="67">
        <f t="shared" si="19"/>
        <v>0</v>
      </c>
    </row>
    <row r="609" spans="1:12" x14ac:dyDescent="0.2">
      <c r="A609">
        <v>608</v>
      </c>
      <c r="B609" s="7" t="s">
        <v>372</v>
      </c>
      <c r="C609" t="s">
        <v>1311</v>
      </c>
      <c r="D609" s="65" t="str">
        <f t="shared" si="18"/>
        <v>Y</v>
      </c>
      <c r="E609" t="s">
        <v>1313</v>
      </c>
      <c r="F609" s="25" t="s">
        <v>299</v>
      </c>
      <c r="G609" s="26">
        <v>4</v>
      </c>
      <c r="H609" s="7" t="s">
        <v>293</v>
      </c>
      <c r="I609" s="7" t="s">
        <v>292</v>
      </c>
      <c r="J609" s="1">
        <v>2</v>
      </c>
      <c r="K609" s="1">
        <v>5</v>
      </c>
      <c r="L609" s="67">
        <f t="shared" si="19"/>
        <v>0</v>
      </c>
    </row>
    <row r="610" spans="1:12" x14ac:dyDescent="0.2">
      <c r="A610">
        <v>609</v>
      </c>
      <c r="B610" s="7" t="s">
        <v>356</v>
      </c>
      <c r="C610" t="s">
        <v>1311</v>
      </c>
      <c r="D610" s="65" t="str">
        <f t="shared" si="18"/>
        <v>Y</v>
      </c>
      <c r="E610" t="s">
        <v>1313</v>
      </c>
      <c r="F610" s="25" t="s">
        <v>299</v>
      </c>
      <c r="G610" s="26">
        <v>4</v>
      </c>
      <c r="H610" s="7" t="s">
        <v>291</v>
      </c>
      <c r="I610" s="7" t="s">
        <v>330</v>
      </c>
      <c r="J610" s="1">
        <v>1</v>
      </c>
      <c r="K610" s="1">
        <v>3</v>
      </c>
      <c r="L610" s="67">
        <f t="shared" si="19"/>
        <v>0</v>
      </c>
    </row>
    <row r="611" spans="1:12" x14ac:dyDescent="0.2">
      <c r="A611">
        <v>610</v>
      </c>
      <c r="B611" s="7" t="s">
        <v>372</v>
      </c>
      <c r="C611" t="s">
        <v>1311</v>
      </c>
      <c r="D611" s="65" t="str">
        <f t="shared" si="18"/>
        <v>Y</v>
      </c>
      <c r="E611" t="s">
        <v>1313</v>
      </c>
      <c r="F611" s="25" t="s">
        <v>299</v>
      </c>
      <c r="G611" s="26">
        <v>4</v>
      </c>
      <c r="H611" s="7" t="s">
        <v>282</v>
      </c>
      <c r="I611" s="7" t="s">
        <v>330</v>
      </c>
      <c r="J611" s="4" t="s">
        <v>282</v>
      </c>
      <c r="K611" s="1">
        <v>3</v>
      </c>
      <c r="L611" s="67">
        <f t="shared" si="19"/>
        <v>0</v>
      </c>
    </row>
    <row r="612" spans="1:12" x14ac:dyDescent="0.2">
      <c r="A612">
        <v>611</v>
      </c>
      <c r="B612" s="7" t="s">
        <v>356</v>
      </c>
      <c r="C612" t="s">
        <v>1311</v>
      </c>
      <c r="D612" s="65" t="str">
        <f t="shared" si="18"/>
        <v>Y</v>
      </c>
      <c r="E612" t="s">
        <v>1313</v>
      </c>
      <c r="F612" s="25" t="s">
        <v>299</v>
      </c>
      <c r="G612" s="26">
        <v>4</v>
      </c>
      <c r="H612" s="7" t="s">
        <v>291</v>
      </c>
      <c r="I612" s="7" t="s">
        <v>297</v>
      </c>
      <c r="J612" s="1">
        <v>1</v>
      </c>
      <c r="K612" s="1">
        <v>4</v>
      </c>
      <c r="L612" s="67">
        <f t="shared" si="19"/>
        <v>0</v>
      </c>
    </row>
    <row r="613" spans="1:12" x14ac:dyDescent="0.2">
      <c r="A613">
        <v>612</v>
      </c>
      <c r="B613" s="7" t="s">
        <v>372</v>
      </c>
      <c r="C613" t="s">
        <v>1311</v>
      </c>
      <c r="D613" s="65" t="str">
        <f t="shared" si="18"/>
        <v>Y</v>
      </c>
      <c r="E613" t="s">
        <v>1313</v>
      </c>
      <c r="F613" s="25" t="s">
        <v>299</v>
      </c>
      <c r="G613" s="26">
        <v>4</v>
      </c>
      <c r="H613" s="7" t="s">
        <v>291</v>
      </c>
      <c r="I613" s="7" t="s">
        <v>294</v>
      </c>
      <c r="J613" s="1">
        <v>1</v>
      </c>
      <c r="K613" s="1">
        <v>7</v>
      </c>
      <c r="L613" s="67">
        <f t="shared" si="19"/>
        <v>0</v>
      </c>
    </row>
    <row r="614" spans="1:12" x14ac:dyDescent="0.2">
      <c r="A614">
        <v>613</v>
      </c>
      <c r="B614" s="7" t="s">
        <v>356</v>
      </c>
      <c r="C614" t="s">
        <v>1311</v>
      </c>
      <c r="D614" s="65" t="str">
        <f t="shared" si="18"/>
        <v>Y</v>
      </c>
      <c r="E614" t="s">
        <v>1313</v>
      </c>
      <c r="F614" s="25" t="s">
        <v>299</v>
      </c>
      <c r="G614" s="26">
        <v>4</v>
      </c>
      <c r="H614" s="7" t="s">
        <v>291</v>
      </c>
      <c r="I614" s="7" t="s">
        <v>296</v>
      </c>
      <c r="J614" s="1">
        <v>1</v>
      </c>
      <c r="K614" s="1">
        <v>6</v>
      </c>
      <c r="L614" s="67">
        <f t="shared" si="19"/>
        <v>0</v>
      </c>
    </row>
    <row r="615" spans="1:12" x14ac:dyDescent="0.2">
      <c r="A615">
        <v>614</v>
      </c>
      <c r="B615" s="7" t="s">
        <v>372</v>
      </c>
      <c r="C615" t="s">
        <v>1311</v>
      </c>
      <c r="D615" s="65" t="str">
        <f t="shared" si="18"/>
        <v>Y</v>
      </c>
      <c r="E615" t="s">
        <v>1313</v>
      </c>
      <c r="F615" s="25" t="s">
        <v>299</v>
      </c>
      <c r="G615" s="26">
        <v>4</v>
      </c>
      <c r="H615" s="7" t="s">
        <v>291</v>
      </c>
      <c r="I615" s="7" t="s">
        <v>294</v>
      </c>
      <c r="J615" s="1">
        <v>1</v>
      </c>
      <c r="K615" s="1">
        <v>7</v>
      </c>
      <c r="L615" s="67">
        <f t="shared" si="19"/>
        <v>0</v>
      </c>
    </row>
    <row r="616" spans="1:12" x14ac:dyDescent="0.2">
      <c r="A616">
        <v>615</v>
      </c>
      <c r="B616" s="7" t="s">
        <v>372</v>
      </c>
      <c r="C616" t="s">
        <v>1311</v>
      </c>
      <c r="D616" s="65" t="str">
        <f t="shared" si="18"/>
        <v>Y</v>
      </c>
      <c r="E616" t="s">
        <v>1313</v>
      </c>
      <c r="F616" s="25" t="s">
        <v>299</v>
      </c>
      <c r="G616" s="26">
        <v>4</v>
      </c>
      <c r="H616" s="7" t="s">
        <v>293</v>
      </c>
      <c r="I616" s="7" t="s">
        <v>292</v>
      </c>
      <c r="J616" s="1">
        <v>2</v>
      </c>
      <c r="K616" s="1">
        <v>5</v>
      </c>
      <c r="L616" s="67">
        <f t="shared" si="19"/>
        <v>0</v>
      </c>
    </row>
    <row r="617" spans="1:12" x14ac:dyDescent="0.2">
      <c r="A617">
        <v>616</v>
      </c>
      <c r="B617" s="7" t="s">
        <v>356</v>
      </c>
      <c r="C617" t="s">
        <v>1311</v>
      </c>
      <c r="D617" s="65" t="str">
        <f t="shared" si="18"/>
        <v>Y</v>
      </c>
      <c r="E617" t="s">
        <v>1313</v>
      </c>
      <c r="F617" s="25" t="s">
        <v>299</v>
      </c>
      <c r="G617" s="26">
        <v>4</v>
      </c>
      <c r="H617" s="7" t="s">
        <v>299</v>
      </c>
      <c r="I617" s="7" t="s">
        <v>292</v>
      </c>
      <c r="J617" s="1">
        <v>4</v>
      </c>
      <c r="K617" s="1">
        <v>5</v>
      </c>
      <c r="L617" s="67">
        <f t="shared" si="19"/>
        <v>1</v>
      </c>
    </row>
    <row r="618" spans="1:12" x14ac:dyDescent="0.2">
      <c r="A618">
        <v>617</v>
      </c>
      <c r="B618" s="7" t="s">
        <v>356</v>
      </c>
      <c r="C618" t="s">
        <v>1311</v>
      </c>
      <c r="D618" s="65" t="str">
        <f t="shared" si="18"/>
        <v>Y</v>
      </c>
      <c r="E618" t="s">
        <v>1313</v>
      </c>
      <c r="F618" s="25" t="s">
        <v>299</v>
      </c>
      <c r="G618" s="26">
        <v>4</v>
      </c>
      <c r="H618" s="7" t="s">
        <v>298</v>
      </c>
      <c r="I618" s="7" t="s">
        <v>330</v>
      </c>
      <c r="J618" s="1">
        <v>3</v>
      </c>
      <c r="K618" s="1">
        <v>3</v>
      </c>
      <c r="L618" s="67">
        <f t="shared" si="19"/>
        <v>0</v>
      </c>
    </row>
    <row r="619" spans="1:12" x14ac:dyDescent="0.2">
      <c r="A619">
        <v>618</v>
      </c>
      <c r="B619" s="7" t="s">
        <v>372</v>
      </c>
      <c r="C619" t="s">
        <v>1311</v>
      </c>
      <c r="D619" s="65" t="str">
        <f t="shared" si="18"/>
        <v>Y</v>
      </c>
      <c r="E619" t="s">
        <v>1313</v>
      </c>
      <c r="F619" s="25" t="s">
        <v>299</v>
      </c>
      <c r="G619" s="26">
        <v>4</v>
      </c>
      <c r="H619" s="7" t="s">
        <v>298</v>
      </c>
      <c r="I619" s="7" t="s">
        <v>296</v>
      </c>
      <c r="J619" s="1">
        <v>3</v>
      </c>
      <c r="K619" s="1">
        <v>6</v>
      </c>
      <c r="L619" s="67">
        <f t="shared" si="19"/>
        <v>0</v>
      </c>
    </row>
    <row r="620" spans="1:12" x14ac:dyDescent="0.2">
      <c r="A620">
        <v>619</v>
      </c>
      <c r="B620" s="7" t="s">
        <v>372</v>
      </c>
      <c r="C620" t="s">
        <v>1311</v>
      </c>
      <c r="D620" s="65" t="str">
        <f t="shared" si="18"/>
        <v>Y</v>
      </c>
      <c r="E620" t="s">
        <v>1313</v>
      </c>
      <c r="F620" s="25" t="s">
        <v>299</v>
      </c>
      <c r="G620" s="26">
        <v>4</v>
      </c>
      <c r="H620" s="7" t="s">
        <v>295</v>
      </c>
      <c r="I620" s="7" t="s">
        <v>296</v>
      </c>
      <c r="J620" s="1">
        <v>5</v>
      </c>
      <c r="K620" s="1">
        <v>6</v>
      </c>
      <c r="L620" s="67">
        <f t="shared" si="19"/>
        <v>0</v>
      </c>
    </row>
    <row r="621" spans="1:12" x14ac:dyDescent="0.2">
      <c r="A621">
        <v>620</v>
      </c>
      <c r="B621" s="7" t="s">
        <v>356</v>
      </c>
      <c r="C621" t="s">
        <v>1311</v>
      </c>
      <c r="D621" s="65" t="str">
        <f t="shared" si="18"/>
        <v>Y</v>
      </c>
      <c r="E621" t="s">
        <v>1313</v>
      </c>
      <c r="F621" s="25" t="s">
        <v>299</v>
      </c>
      <c r="G621" s="26">
        <v>4</v>
      </c>
      <c r="H621" s="7" t="s">
        <v>291</v>
      </c>
      <c r="I621" s="7" t="s">
        <v>294</v>
      </c>
      <c r="J621" s="1">
        <v>1</v>
      </c>
      <c r="K621" s="1">
        <v>7</v>
      </c>
      <c r="L621" s="67">
        <f t="shared" si="19"/>
        <v>0</v>
      </c>
    </row>
    <row r="622" spans="1:12" x14ac:dyDescent="0.2">
      <c r="A622">
        <v>621</v>
      </c>
      <c r="B622" s="7" t="s">
        <v>372</v>
      </c>
      <c r="C622" t="s">
        <v>1311</v>
      </c>
      <c r="D622" s="65" t="str">
        <f t="shared" si="18"/>
        <v>Y</v>
      </c>
      <c r="E622" t="s">
        <v>1313</v>
      </c>
      <c r="F622" s="25" t="s">
        <v>299</v>
      </c>
      <c r="G622" s="26">
        <v>4</v>
      </c>
      <c r="H622" s="7" t="s">
        <v>299</v>
      </c>
      <c r="I622" s="7" t="s">
        <v>292</v>
      </c>
      <c r="J622" s="1">
        <v>4</v>
      </c>
      <c r="K622" s="1">
        <v>5</v>
      </c>
      <c r="L622" s="67">
        <f t="shared" si="19"/>
        <v>1</v>
      </c>
    </row>
    <row r="623" spans="1:12" x14ac:dyDescent="0.2">
      <c r="A623">
        <v>622</v>
      </c>
      <c r="B623" s="7" t="s">
        <v>356</v>
      </c>
      <c r="C623" t="s">
        <v>1311</v>
      </c>
      <c r="D623" s="65" t="str">
        <f t="shared" si="18"/>
        <v>Y</v>
      </c>
      <c r="E623" t="s">
        <v>1313</v>
      </c>
      <c r="F623" s="25" t="s">
        <v>299</v>
      </c>
      <c r="G623" s="26">
        <v>4</v>
      </c>
      <c r="H623" s="7" t="s">
        <v>291</v>
      </c>
      <c r="I623" s="7" t="s">
        <v>292</v>
      </c>
      <c r="J623" s="1">
        <v>1</v>
      </c>
      <c r="K623" s="1">
        <v>5</v>
      </c>
      <c r="L623" s="67">
        <f t="shared" si="19"/>
        <v>0</v>
      </c>
    </row>
    <row r="624" spans="1:12" x14ac:dyDescent="0.2">
      <c r="A624">
        <v>623</v>
      </c>
      <c r="B624" s="7" t="s">
        <v>356</v>
      </c>
      <c r="C624" t="s">
        <v>1311</v>
      </c>
      <c r="D624" s="65" t="str">
        <f t="shared" si="18"/>
        <v>Y</v>
      </c>
      <c r="E624" t="s">
        <v>1313</v>
      </c>
      <c r="F624" s="25" t="s">
        <v>299</v>
      </c>
      <c r="G624" s="26">
        <v>4</v>
      </c>
      <c r="H624" s="7" t="s">
        <v>298</v>
      </c>
      <c r="I624" s="7" t="s">
        <v>296</v>
      </c>
      <c r="J624" s="1">
        <v>3</v>
      </c>
      <c r="K624" s="1">
        <v>6</v>
      </c>
      <c r="L624" s="67">
        <f t="shared" si="19"/>
        <v>0</v>
      </c>
    </row>
    <row r="625" spans="1:12" x14ac:dyDescent="0.2">
      <c r="A625">
        <v>624</v>
      </c>
      <c r="B625" s="7" t="s">
        <v>372</v>
      </c>
      <c r="C625" t="s">
        <v>1311</v>
      </c>
      <c r="D625" s="65" t="str">
        <f t="shared" si="18"/>
        <v>Y</v>
      </c>
      <c r="E625" t="s">
        <v>1313</v>
      </c>
      <c r="F625" s="25" t="s">
        <v>299</v>
      </c>
      <c r="G625" s="26">
        <v>4</v>
      </c>
      <c r="H625" s="7" t="s">
        <v>291</v>
      </c>
      <c r="I625" s="7" t="s">
        <v>296</v>
      </c>
      <c r="J625" s="1">
        <v>1</v>
      </c>
      <c r="K625" s="1">
        <v>6</v>
      </c>
      <c r="L625" s="67">
        <f t="shared" si="19"/>
        <v>0</v>
      </c>
    </row>
    <row r="626" spans="1:12" x14ac:dyDescent="0.2">
      <c r="A626">
        <v>625</v>
      </c>
      <c r="B626" s="7" t="s">
        <v>372</v>
      </c>
      <c r="C626" t="s">
        <v>1311</v>
      </c>
      <c r="D626" s="65" t="str">
        <f t="shared" si="18"/>
        <v>Y</v>
      </c>
      <c r="E626" t="s">
        <v>1313</v>
      </c>
      <c r="F626" s="25" t="s">
        <v>299</v>
      </c>
      <c r="G626" s="26">
        <v>4</v>
      </c>
      <c r="H626" s="7" t="s">
        <v>298</v>
      </c>
      <c r="I626" s="7" t="s">
        <v>292</v>
      </c>
      <c r="J626" s="1">
        <v>3</v>
      </c>
      <c r="K626" s="1">
        <v>5</v>
      </c>
      <c r="L626" s="67">
        <f t="shared" si="19"/>
        <v>0</v>
      </c>
    </row>
    <row r="627" spans="1:12" x14ac:dyDescent="0.2">
      <c r="A627">
        <v>626</v>
      </c>
      <c r="B627" s="7" t="s">
        <v>356</v>
      </c>
      <c r="C627" t="s">
        <v>1311</v>
      </c>
      <c r="D627" s="65" t="str">
        <f t="shared" si="18"/>
        <v>Y</v>
      </c>
      <c r="E627" t="s">
        <v>1313</v>
      </c>
      <c r="F627" s="25" t="s">
        <v>299</v>
      </c>
      <c r="G627" s="26">
        <v>4</v>
      </c>
      <c r="H627" s="7" t="s">
        <v>293</v>
      </c>
      <c r="I627" s="7" t="s">
        <v>292</v>
      </c>
      <c r="J627" s="1">
        <v>2</v>
      </c>
      <c r="K627" s="1">
        <v>5</v>
      </c>
      <c r="L627" s="67">
        <f t="shared" si="19"/>
        <v>0</v>
      </c>
    </row>
    <row r="628" spans="1:12" x14ac:dyDescent="0.2">
      <c r="A628">
        <v>627</v>
      </c>
      <c r="B628" s="7" t="s">
        <v>356</v>
      </c>
      <c r="C628" t="s">
        <v>1311</v>
      </c>
      <c r="D628" s="65" t="str">
        <f t="shared" si="18"/>
        <v>Y</v>
      </c>
      <c r="E628" t="s">
        <v>1313</v>
      </c>
      <c r="F628" s="25" t="s">
        <v>299</v>
      </c>
      <c r="G628" s="26">
        <v>4</v>
      </c>
      <c r="H628" s="7" t="s">
        <v>298</v>
      </c>
      <c r="I628" s="7" t="s">
        <v>292</v>
      </c>
      <c r="J628" s="1">
        <v>3</v>
      </c>
      <c r="K628" s="1">
        <v>5</v>
      </c>
      <c r="L628" s="67">
        <f t="shared" si="19"/>
        <v>0</v>
      </c>
    </row>
    <row r="629" spans="1:12" x14ac:dyDescent="0.2">
      <c r="A629">
        <v>628</v>
      </c>
      <c r="B629" s="7" t="s">
        <v>372</v>
      </c>
      <c r="C629" t="s">
        <v>1311</v>
      </c>
      <c r="D629" s="65" t="str">
        <f t="shared" si="18"/>
        <v>Y</v>
      </c>
      <c r="E629" t="s">
        <v>1313</v>
      </c>
      <c r="F629" s="25" t="s">
        <v>299</v>
      </c>
      <c r="G629" s="26">
        <v>4</v>
      </c>
      <c r="H629" s="7" t="s">
        <v>299</v>
      </c>
      <c r="I629" s="7" t="s">
        <v>297</v>
      </c>
      <c r="J629" s="1">
        <v>4</v>
      </c>
      <c r="K629" s="1">
        <v>4</v>
      </c>
      <c r="L629" s="67">
        <f t="shared" si="19"/>
        <v>1</v>
      </c>
    </row>
    <row r="630" spans="1:12" x14ac:dyDescent="0.2">
      <c r="A630">
        <v>629</v>
      </c>
      <c r="B630" s="7" t="s">
        <v>356</v>
      </c>
      <c r="C630" t="s">
        <v>1311</v>
      </c>
      <c r="D630" s="65" t="str">
        <f t="shared" si="18"/>
        <v>Y</v>
      </c>
      <c r="E630" t="s">
        <v>1313</v>
      </c>
      <c r="F630" s="25" t="s">
        <v>299</v>
      </c>
      <c r="G630" s="26">
        <v>4</v>
      </c>
      <c r="H630" s="7" t="s">
        <v>298</v>
      </c>
      <c r="I630" s="7" t="s">
        <v>297</v>
      </c>
      <c r="J630" s="1">
        <v>3</v>
      </c>
      <c r="K630" s="1">
        <v>4</v>
      </c>
      <c r="L630" s="67">
        <f t="shared" si="19"/>
        <v>0</v>
      </c>
    </row>
    <row r="631" spans="1:12" x14ac:dyDescent="0.2">
      <c r="A631">
        <v>630</v>
      </c>
      <c r="B631" s="7" t="s">
        <v>372</v>
      </c>
      <c r="C631" t="s">
        <v>1311</v>
      </c>
      <c r="D631" s="65" t="str">
        <f t="shared" si="18"/>
        <v>Y</v>
      </c>
      <c r="E631" t="s">
        <v>1313</v>
      </c>
      <c r="F631" s="25" t="s">
        <v>299</v>
      </c>
      <c r="G631" s="26">
        <v>4</v>
      </c>
      <c r="H631" s="7" t="s">
        <v>299</v>
      </c>
      <c r="I631" s="7" t="s">
        <v>296</v>
      </c>
      <c r="J631" s="1">
        <v>4</v>
      </c>
      <c r="K631" s="1">
        <v>6</v>
      </c>
      <c r="L631" s="67">
        <f t="shared" si="19"/>
        <v>1</v>
      </c>
    </row>
    <row r="632" spans="1:12" x14ac:dyDescent="0.2">
      <c r="A632">
        <v>631</v>
      </c>
      <c r="B632" s="7" t="s">
        <v>356</v>
      </c>
      <c r="C632" t="s">
        <v>1311</v>
      </c>
      <c r="D632" s="65" t="str">
        <f t="shared" si="18"/>
        <v>Y</v>
      </c>
      <c r="E632" t="s">
        <v>1313</v>
      </c>
      <c r="F632" s="25" t="s">
        <v>299</v>
      </c>
      <c r="G632" s="26">
        <v>4</v>
      </c>
      <c r="H632" s="7" t="s">
        <v>299</v>
      </c>
      <c r="I632" s="7" t="s">
        <v>330</v>
      </c>
      <c r="J632" s="1">
        <v>4</v>
      </c>
      <c r="K632" s="1">
        <v>3</v>
      </c>
      <c r="L632" s="67">
        <f t="shared" si="19"/>
        <v>1</v>
      </c>
    </row>
    <row r="633" spans="1:12" x14ac:dyDescent="0.2">
      <c r="A633">
        <v>632</v>
      </c>
      <c r="B633" s="7" t="s">
        <v>372</v>
      </c>
      <c r="C633" t="s">
        <v>1311</v>
      </c>
      <c r="D633" s="65" t="str">
        <f t="shared" si="18"/>
        <v>Y</v>
      </c>
      <c r="E633" t="s">
        <v>1313</v>
      </c>
      <c r="F633" s="25" t="s">
        <v>299</v>
      </c>
      <c r="G633" s="26">
        <v>4</v>
      </c>
      <c r="H633" s="7" t="s">
        <v>299</v>
      </c>
      <c r="I633" s="7" t="s">
        <v>292</v>
      </c>
      <c r="J633" s="1">
        <v>4</v>
      </c>
      <c r="K633" s="1">
        <v>5</v>
      </c>
      <c r="L633" s="67">
        <f t="shared" si="19"/>
        <v>1</v>
      </c>
    </row>
    <row r="634" spans="1:12" x14ac:dyDescent="0.2">
      <c r="A634">
        <v>633</v>
      </c>
      <c r="B634" s="7" t="s">
        <v>356</v>
      </c>
      <c r="C634" t="s">
        <v>1311</v>
      </c>
      <c r="D634" s="65" t="str">
        <f t="shared" si="18"/>
        <v>Y</v>
      </c>
      <c r="E634" t="s">
        <v>1313</v>
      </c>
      <c r="F634" s="25" t="s">
        <v>295</v>
      </c>
      <c r="G634" s="26">
        <v>5</v>
      </c>
      <c r="H634" s="7" t="s">
        <v>295</v>
      </c>
      <c r="I634" s="7" t="s">
        <v>296</v>
      </c>
      <c r="J634" s="1">
        <v>5</v>
      </c>
      <c r="K634" s="1">
        <v>6</v>
      </c>
      <c r="L634" s="67">
        <f t="shared" si="19"/>
        <v>1</v>
      </c>
    </row>
    <row r="635" spans="1:12" x14ac:dyDescent="0.2">
      <c r="A635">
        <v>634</v>
      </c>
      <c r="B635" s="7" t="s">
        <v>372</v>
      </c>
      <c r="C635" t="s">
        <v>1311</v>
      </c>
      <c r="D635" s="65" t="str">
        <f t="shared" si="18"/>
        <v>Y</v>
      </c>
      <c r="E635" t="s">
        <v>1313</v>
      </c>
      <c r="F635" s="25" t="s">
        <v>295</v>
      </c>
      <c r="G635" s="26">
        <v>5</v>
      </c>
      <c r="H635" s="7" t="s">
        <v>298</v>
      </c>
      <c r="I635" s="7" t="s">
        <v>292</v>
      </c>
      <c r="J635" s="1">
        <v>3</v>
      </c>
      <c r="K635" s="1">
        <v>5</v>
      </c>
      <c r="L635" s="67">
        <f t="shared" si="19"/>
        <v>0</v>
      </c>
    </row>
    <row r="636" spans="1:12" x14ac:dyDescent="0.2">
      <c r="A636">
        <v>635</v>
      </c>
      <c r="B636" s="7" t="s">
        <v>372</v>
      </c>
      <c r="C636" t="s">
        <v>1311</v>
      </c>
      <c r="D636" s="65" t="str">
        <f t="shared" si="18"/>
        <v>Y</v>
      </c>
      <c r="E636" t="s">
        <v>1313</v>
      </c>
      <c r="F636" s="25" t="s">
        <v>295</v>
      </c>
      <c r="G636" s="26">
        <v>5</v>
      </c>
      <c r="H636" s="7" t="s">
        <v>295</v>
      </c>
      <c r="I636" s="7" t="s">
        <v>297</v>
      </c>
      <c r="J636" s="1">
        <v>5</v>
      </c>
      <c r="K636" s="1">
        <v>4</v>
      </c>
      <c r="L636" s="67">
        <f t="shared" si="19"/>
        <v>1</v>
      </c>
    </row>
    <row r="637" spans="1:12" x14ac:dyDescent="0.2">
      <c r="A637">
        <v>636</v>
      </c>
      <c r="B637" s="7" t="s">
        <v>356</v>
      </c>
      <c r="C637" t="s">
        <v>1311</v>
      </c>
      <c r="D637" s="65" t="str">
        <f t="shared" si="18"/>
        <v>Y</v>
      </c>
      <c r="E637" t="s">
        <v>1313</v>
      </c>
      <c r="F637" s="25" t="s">
        <v>295</v>
      </c>
      <c r="G637" s="26">
        <v>5</v>
      </c>
      <c r="H637" s="7" t="s">
        <v>298</v>
      </c>
      <c r="I637" s="7" t="s">
        <v>297</v>
      </c>
      <c r="J637" s="1">
        <v>3</v>
      </c>
      <c r="K637" s="1">
        <v>4</v>
      </c>
      <c r="L637" s="67">
        <f t="shared" si="19"/>
        <v>0</v>
      </c>
    </row>
    <row r="638" spans="1:12" x14ac:dyDescent="0.2">
      <c r="A638">
        <v>637</v>
      </c>
      <c r="B638" s="7" t="s">
        <v>372</v>
      </c>
      <c r="C638" t="s">
        <v>1311</v>
      </c>
      <c r="D638" s="65" t="str">
        <f t="shared" si="18"/>
        <v>Y</v>
      </c>
      <c r="E638" t="s">
        <v>1313</v>
      </c>
      <c r="F638" s="25" t="s">
        <v>295</v>
      </c>
      <c r="G638" s="26">
        <v>5</v>
      </c>
      <c r="H638" s="7" t="s">
        <v>299</v>
      </c>
      <c r="I638" s="7" t="s">
        <v>294</v>
      </c>
      <c r="J638" s="1">
        <v>4</v>
      </c>
      <c r="K638" s="1">
        <v>7</v>
      </c>
      <c r="L638" s="67">
        <f t="shared" si="19"/>
        <v>0</v>
      </c>
    </row>
    <row r="639" spans="1:12" x14ac:dyDescent="0.2">
      <c r="A639">
        <v>638</v>
      </c>
      <c r="B639" s="7" t="s">
        <v>356</v>
      </c>
      <c r="C639" t="s">
        <v>1311</v>
      </c>
      <c r="D639" s="65" t="str">
        <f t="shared" si="18"/>
        <v>Y</v>
      </c>
      <c r="E639" t="s">
        <v>1313</v>
      </c>
      <c r="F639" s="25" t="s">
        <v>295</v>
      </c>
      <c r="G639" s="26">
        <v>5</v>
      </c>
      <c r="H639" s="7" t="s">
        <v>295</v>
      </c>
      <c r="I639" s="7" t="s">
        <v>330</v>
      </c>
      <c r="J639" s="1">
        <v>5</v>
      </c>
      <c r="K639" s="1">
        <v>3</v>
      </c>
      <c r="L639" s="67">
        <f t="shared" si="19"/>
        <v>1</v>
      </c>
    </row>
    <row r="640" spans="1:12" x14ac:dyDescent="0.2">
      <c r="A640">
        <v>639</v>
      </c>
      <c r="B640" s="7" t="s">
        <v>372</v>
      </c>
      <c r="C640" t="s">
        <v>1311</v>
      </c>
      <c r="D640" s="65" t="str">
        <f t="shared" si="18"/>
        <v>Y</v>
      </c>
      <c r="E640" t="s">
        <v>1313</v>
      </c>
      <c r="F640" s="25" t="s">
        <v>295</v>
      </c>
      <c r="G640" s="26">
        <v>5</v>
      </c>
      <c r="H640" s="7" t="s">
        <v>295</v>
      </c>
      <c r="I640" s="7" t="s">
        <v>297</v>
      </c>
      <c r="J640" s="1">
        <v>5</v>
      </c>
      <c r="K640" s="1">
        <v>4</v>
      </c>
      <c r="L640" s="67">
        <f t="shared" si="19"/>
        <v>1</v>
      </c>
    </row>
    <row r="641" spans="1:12" x14ac:dyDescent="0.2">
      <c r="A641">
        <v>640</v>
      </c>
      <c r="B641" s="7" t="s">
        <v>356</v>
      </c>
      <c r="C641" t="s">
        <v>1311</v>
      </c>
      <c r="D641" s="65" t="str">
        <f t="shared" si="18"/>
        <v>Y</v>
      </c>
      <c r="E641" t="s">
        <v>1313</v>
      </c>
      <c r="F641" s="25" t="s">
        <v>295</v>
      </c>
      <c r="G641" s="26">
        <v>5</v>
      </c>
      <c r="H641" s="7" t="s">
        <v>299</v>
      </c>
      <c r="I641" s="7" t="s">
        <v>296</v>
      </c>
      <c r="J641" s="1">
        <v>4</v>
      </c>
      <c r="K641" s="1">
        <v>6</v>
      </c>
      <c r="L641" s="67">
        <f t="shared" si="19"/>
        <v>0</v>
      </c>
    </row>
    <row r="642" spans="1:12" x14ac:dyDescent="0.2">
      <c r="A642">
        <v>641</v>
      </c>
      <c r="B642" s="7" t="s">
        <v>372</v>
      </c>
      <c r="C642" t="s">
        <v>1311</v>
      </c>
      <c r="D642" s="65" t="str">
        <f t="shared" si="18"/>
        <v>Y</v>
      </c>
      <c r="E642" t="s">
        <v>1313</v>
      </c>
      <c r="F642" s="25" t="s">
        <v>295</v>
      </c>
      <c r="G642" s="26">
        <v>5</v>
      </c>
      <c r="H642" s="7" t="s">
        <v>295</v>
      </c>
      <c r="I642" s="7" t="s">
        <v>296</v>
      </c>
      <c r="J642" s="1">
        <v>5</v>
      </c>
      <c r="K642" s="1">
        <v>6</v>
      </c>
      <c r="L642" s="67">
        <f t="shared" si="19"/>
        <v>1</v>
      </c>
    </row>
    <row r="643" spans="1:12" x14ac:dyDescent="0.2">
      <c r="A643">
        <v>642</v>
      </c>
      <c r="B643" s="7" t="s">
        <v>356</v>
      </c>
      <c r="C643" t="s">
        <v>1311</v>
      </c>
      <c r="D643" s="65" t="str">
        <f t="shared" ref="D643:D706" si="20">IF($E643="iso", "N", IF(OR($E643="non", $E643="emd", $E643="dyn"), "Y", "ERROR"))</f>
        <v>Y</v>
      </c>
      <c r="E643" t="s">
        <v>1313</v>
      </c>
      <c r="F643" s="25" t="s">
        <v>295</v>
      </c>
      <c r="G643" s="26">
        <v>5</v>
      </c>
      <c r="H643" s="7" t="s">
        <v>298</v>
      </c>
      <c r="I643" s="7" t="s">
        <v>297</v>
      </c>
      <c r="J643" s="1">
        <v>3</v>
      </c>
      <c r="K643" s="1">
        <v>4</v>
      </c>
      <c r="L643" s="67">
        <f t="shared" ref="L643:L706" si="21">IF(G643=J643, 1, 0)</f>
        <v>0</v>
      </c>
    </row>
    <row r="644" spans="1:12" x14ac:dyDescent="0.2">
      <c r="A644">
        <v>643</v>
      </c>
      <c r="B644" s="7" t="s">
        <v>356</v>
      </c>
      <c r="C644" t="s">
        <v>1311</v>
      </c>
      <c r="D644" s="65" t="str">
        <f t="shared" si="20"/>
        <v>Y</v>
      </c>
      <c r="E644" t="s">
        <v>1313</v>
      </c>
      <c r="F644" s="25" t="s">
        <v>295</v>
      </c>
      <c r="G644" s="26">
        <v>5</v>
      </c>
      <c r="H644" s="7" t="s">
        <v>295</v>
      </c>
      <c r="I644" s="7" t="s">
        <v>292</v>
      </c>
      <c r="J644" s="1">
        <v>5</v>
      </c>
      <c r="K644" s="1">
        <v>5</v>
      </c>
      <c r="L644" s="67">
        <f t="shared" si="21"/>
        <v>1</v>
      </c>
    </row>
    <row r="645" spans="1:12" x14ac:dyDescent="0.2">
      <c r="A645">
        <v>644</v>
      </c>
      <c r="B645" s="7" t="s">
        <v>372</v>
      </c>
      <c r="C645" t="s">
        <v>1311</v>
      </c>
      <c r="D645" s="65" t="str">
        <f t="shared" si="20"/>
        <v>Y</v>
      </c>
      <c r="E645" t="s">
        <v>1313</v>
      </c>
      <c r="F645" s="25" t="s">
        <v>295</v>
      </c>
      <c r="G645" s="26">
        <v>5</v>
      </c>
      <c r="H645" s="7" t="s">
        <v>295</v>
      </c>
      <c r="I645" s="7" t="s">
        <v>296</v>
      </c>
      <c r="J645" s="1">
        <v>5</v>
      </c>
      <c r="K645" s="1">
        <v>6</v>
      </c>
      <c r="L645" s="67">
        <f t="shared" si="21"/>
        <v>1</v>
      </c>
    </row>
    <row r="646" spans="1:12" x14ac:dyDescent="0.2">
      <c r="A646">
        <v>645</v>
      </c>
      <c r="B646" s="7" t="s">
        <v>356</v>
      </c>
      <c r="C646" t="s">
        <v>1311</v>
      </c>
      <c r="D646" s="65" t="str">
        <f t="shared" si="20"/>
        <v>Y</v>
      </c>
      <c r="E646" t="s">
        <v>1313</v>
      </c>
      <c r="F646" s="25" t="s">
        <v>295</v>
      </c>
      <c r="G646" s="26">
        <v>5</v>
      </c>
      <c r="H646" s="7" t="s">
        <v>299</v>
      </c>
      <c r="I646" s="7" t="s">
        <v>296</v>
      </c>
      <c r="J646" s="1">
        <v>4</v>
      </c>
      <c r="K646" s="1">
        <v>6</v>
      </c>
      <c r="L646" s="67">
        <f t="shared" si="21"/>
        <v>0</v>
      </c>
    </row>
    <row r="647" spans="1:12" x14ac:dyDescent="0.2">
      <c r="A647">
        <v>646</v>
      </c>
      <c r="B647" s="7" t="s">
        <v>372</v>
      </c>
      <c r="C647" t="s">
        <v>1311</v>
      </c>
      <c r="D647" s="65" t="str">
        <f t="shared" si="20"/>
        <v>Y</v>
      </c>
      <c r="E647" t="s">
        <v>1313</v>
      </c>
      <c r="F647" s="25" t="s">
        <v>295</v>
      </c>
      <c r="G647" s="26">
        <v>5</v>
      </c>
      <c r="H647" s="7" t="s">
        <v>282</v>
      </c>
      <c r="I647" s="7" t="s">
        <v>297</v>
      </c>
      <c r="J647" s="4" t="s">
        <v>282</v>
      </c>
      <c r="K647" s="1">
        <v>4</v>
      </c>
      <c r="L647" s="67">
        <f t="shared" si="21"/>
        <v>0</v>
      </c>
    </row>
    <row r="648" spans="1:12" x14ac:dyDescent="0.2">
      <c r="A648">
        <v>647</v>
      </c>
      <c r="B648" s="7" t="s">
        <v>356</v>
      </c>
      <c r="C648" t="s">
        <v>1311</v>
      </c>
      <c r="D648" s="65" t="str">
        <f t="shared" si="20"/>
        <v>Y</v>
      </c>
      <c r="E648" t="s">
        <v>1313</v>
      </c>
      <c r="F648" s="25" t="s">
        <v>295</v>
      </c>
      <c r="G648" s="26">
        <v>5</v>
      </c>
      <c r="H648" s="7" t="s">
        <v>295</v>
      </c>
      <c r="I648" s="7" t="s">
        <v>296</v>
      </c>
      <c r="J648" s="1">
        <v>5</v>
      </c>
      <c r="K648" s="1">
        <v>6</v>
      </c>
      <c r="L648" s="67">
        <f t="shared" si="21"/>
        <v>1</v>
      </c>
    </row>
    <row r="649" spans="1:12" x14ac:dyDescent="0.2">
      <c r="A649">
        <v>648</v>
      </c>
      <c r="B649" s="7" t="s">
        <v>372</v>
      </c>
      <c r="C649" t="s">
        <v>1311</v>
      </c>
      <c r="D649" s="65" t="str">
        <f t="shared" si="20"/>
        <v>Y</v>
      </c>
      <c r="E649" t="s">
        <v>1313</v>
      </c>
      <c r="F649" s="25" t="s">
        <v>295</v>
      </c>
      <c r="G649" s="26">
        <v>5</v>
      </c>
      <c r="H649" s="7" t="s">
        <v>299</v>
      </c>
      <c r="I649" s="7" t="s">
        <v>296</v>
      </c>
      <c r="J649" s="1">
        <v>4</v>
      </c>
      <c r="K649" s="1">
        <v>6</v>
      </c>
      <c r="L649" s="67">
        <f t="shared" si="21"/>
        <v>0</v>
      </c>
    </row>
    <row r="650" spans="1:12" x14ac:dyDescent="0.2">
      <c r="A650">
        <v>649</v>
      </c>
      <c r="B650" s="7" t="s">
        <v>372</v>
      </c>
      <c r="C650" t="s">
        <v>1311</v>
      </c>
      <c r="D650" s="65" t="str">
        <f t="shared" si="20"/>
        <v>Y</v>
      </c>
      <c r="E650" t="s">
        <v>1313</v>
      </c>
      <c r="F650" s="25" t="s">
        <v>295</v>
      </c>
      <c r="G650" s="26">
        <v>5</v>
      </c>
      <c r="H650" s="7" t="s">
        <v>295</v>
      </c>
      <c r="I650" s="7" t="s">
        <v>292</v>
      </c>
      <c r="J650" s="1">
        <v>5</v>
      </c>
      <c r="K650" s="1">
        <v>5</v>
      </c>
      <c r="L650" s="67">
        <f t="shared" si="21"/>
        <v>1</v>
      </c>
    </row>
    <row r="651" spans="1:12" x14ac:dyDescent="0.2">
      <c r="A651">
        <v>650</v>
      </c>
      <c r="B651" s="7" t="s">
        <v>356</v>
      </c>
      <c r="C651" t="s">
        <v>1311</v>
      </c>
      <c r="D651" s="65" t="str">
        <f t="shared" si="20"/>
        <v>Y</v>
      </c>
      <c r="E651" t="s">
        <v>1313</v>
      </c>
      <c r="F651" s="25" t="s">
        <v>295</v>
      </c>
      <c r="G651" s="26">
        <v>5</v>
      </c>
      <c r="H651" s="7" t="s">
        <v>298</v>
      </c>
      <c r="I651" s="7" t="s">
        <v>292</v>
      </c>
      <c r="J651" s="1">
        <v>3</v>
      </c>
      <c r="K651" s="1">
        <v>5</v>
      </c>
      <c r="L651" s="67">
        <f t="shared" si="21"/>
        <v>0</v>
      </c>
    </row>
    <row r="652" spans="1:12" x14ac:dyDescent="0.2">
      <c r="A652">
        <v>651</v>
      </c>
      <c r="B652" s="7" t="s">
        <v>356</v>
      </c>
      <c r="C652" t="s">
        <v>1311</v>
      </c>
      <c r="D652" s="65" t="str">
        <f t="shared" si="20"/>
        <v>Y</v>
      </c>
      <c r="E652" t="s">
        <v>1313</v>
      </c>
      <c r="F652" s="25" t="s">
        <v>295</v>
      </c>
      <c r="G652" s="26">
        <v>5</v>
      </c>
      <c r="H652" s="7" t="s">
        <v>298</v>
      </c>
      <c r="I652" s="7" t="s">
        <v>292</v>
      </c>
      <c r="J652" s="1">
        <v>3</v>
      </c>
      <c r="K652" s="1">
        <v>5</v>
      </c>
      <c r="L652" s="67">
        <f t="shared" si="21"/>
        <v>0</v>
      </c>
    </row>
    <row r="653" spans="1:12" x14ac:dyDescent="0.2">
      <c r="A653">
        <v>652</v>
      </c>
      <c r="B653" s="7" t="s">
        <v>372</v>
      </c>
      <c r="C653" t="s">
        <v>1311</v>
      </c>
      <c r="D653" s="65" t="str">
        <f t="shared" si="20"/>
        <v>Y</v>
      </c>
      <c r="E653" t="s">
        <v>1313</v>
      </c>
      <c r="F653" s="25" t="s">
        <v>295</v>
      </c>
      <c r="G653" s="26">
        <v>5</v>
      </c>
      <c r="H653" s="7" t="s">
        <v>299</v>
      </c>
      <c r="I653" s="7" t="s">
        <v>292</v>
      </c>
      <c r="J653" s="1">
        <v>4</v>
      </c>
      <c r="K653" s="1">
        <v>5</v>
      </c>
      <c r="L653" s="67">
        <f t="shared" si="21"/>
        <v>0</v>
      </c>
    </row>
    <row r="654" spans="1:12" x14ac:dyDescent="0.2">
      <c r="A654">
        <v>653</v>
      </c>
      <c r="B654" s="7" t="s">
        <v>356</v>
      </c>
      <c r="C654" t="s">
        <v>1311</v>
      </c>
      <c r="D654" s="65" t="str">
        <f t="shared" si="20"/>
        <v>Y</v>
      </c>
      <c r="E654" t="s">
        <v>1313</v>
      </c>
      <c r="F654" s="25" t="s">
        <v>295</v>
      </c>
      <c r="G654" s="26">
        <v>5</v>
      </c>
      <c r="H654" s="7" t="s">
        <v>295</v>
      </c>
      <c r="I654" s="7" t="s">
        <v>296</v>
      </c>
      <c r="J654" s="1">
        <v>5</v>
      </c>
      <c r="K654" s="1">
        <v>6</v>
      </c>
      <c r="L654" s="67">
        <f t="shared" si="21"/>
        <v>1</v>
      </c>
    </row>
    <row r="655" spans="1:12" x14ac:dyDescent="0.2">
      <c r="A655">
        <v>654</v>
      </c>
      <c r="B655" s="7" t="s">
        <v>356</v>
      </c>
      <c r="C655" t="s">
        <v>1311</v>
      </c>
      <c r="D655" s="65" t="str">
        <f t="shared" si="20"/>
        <v>Y</v>
      </c>
      <c r="E655" t="s">
        <v>1313</v>
      </c>
      <c r="F655" s="25" t="s">
        <v>295</v>
      </c>
      <c r="G655" s="26">
        <v>5</v>
      </c>
      <c r="H655" s="7" t="s">
        <v>295</v>
      </c>
      <c r="I655" s="7" t="s">
        <v>297</v>
      </c>
      <c r="J655" s="1">
        <v>5</v>
      </c>
      <c r="K655" s="1">
        <v>4</v>
      </c>
      <c r="L655" s="67">
        <f t="shared" si="21"/>
        <v>1</v>
      </c>
    </row>
    <row r="656" spans="1:12" x14ac:dyDescent="0.2">
      <c r="A656">
        <v>655</v>
      </c>
      <c r="B656" s="7" t="s">
        <v>372</v>
      </c>
      <c r="C656" t="s">
        <v>1311</v>
      </c>
      <c r="D656" s="65" t="str">
        <f t="shared" si="20"/>
        <v>Y</v>
      </c>
      <c r="E656" t="s">
        <v>1313</v>
      </c>
      <c r="F656" s="25" t="s">
        <v>295</v>
      </c>
      <c r="G656" s="26">
        <v>5</v>
      </c>
      <c r="H656" s="7" t="s">
        <v>299</v>
      </c>
      <c r="I656" s="7" t="s">
        <v>294</v>
      </c>
      <c r="J656" s="1">
        <v>4</v>
      </c>
      <c r="K656" s="1">
        <v>7</v>
      </c>
      <c r="L656" s="67">
        <f t="shared" si="21"/>
        <v>0</v>
      </c>
    </row>
    <row r="657" spans="1:12" x14ac:dyDescent="0.2">
      <c r="A657">
        <v>656</v>
      </c>
      <c r="B657" s="7" t="s">
        <v>372</v>
      </c>
      <c r="C657" t="s">
        <v>1311</v>
      </c>
      <c r="D657" s="65" t="str">
        <f t="shared" si="20"/>
        <v>Y</v>
      </c>
      <c r="E657" t="s">
        <v>1313</v>
      </c>
      <c r="F657" s="25" t="s">
        <v>295</v>
      </c>
      <c r="G657" s="26">
        <v>5</v>
      </c>
      <c r="H657" s="7" t="s">
        <v>293</v>
      </c>
      <c r="I657" s="7" t="s">
        <v>296</v>
      </c>
      <c r="J657" s="1">
        <v>2</v>
      </c>
      <c r="K657" s="1">
        <v>6</v>
      </c>
      <c r="L657" s="67">
        <f t="shared" si="21"/>
        <v>0</v>
      </c>
    </row>
    <row r="658" spans="1:12" x14ac:dyDescent="0.2">
      <c r="A658">
        <v>657</v>
      </c>
      <c r="B658" s="7" t="s">
        <v>356</v>
      </c>
      <c r="C658" t="s">
        <v>1311</v>
      </c>
      <c r="D658" s="65" t="str">
        <f t="shared" si="20"/>
        <v>Y</v>
      </c>
      <c r="E658" t="s">
        <v>1313</v>
      </c>
      <c r="F658" s="25" t="s">
        <v>295</v>
      </c>
      <c r="G658" s="26">
        <v>5</v>
      </c>
      <c r="H658" s="7" t="s">
        <v>295</v>
      </c>
      <c r="I658" s="7" t="s">
        <v>296</v>
      </c>
      <c r="J658" s="1">
        <v>5</v>
      </c>
      <c r="K658" s="1">
        <v>6</v>
      </c>
      <c r="L658" s="67">
        <f t="shared" si="21"/>
        <v>1</v>
      </c>
    </row>
    <row r="659" spans="1:12" x14ac:dyDescent="0.2">
      <c r="A659">
        <v>658</v>
      </c>
      <c r="B659" s="7" t="s">
        <v>356</v>
      </c>
      <c r="C659" t="s">
        <v>1311</v>
      </c>
      <c r="D659" s="65" t="str">
        <f t="shared" si="20"/>
        <v>Y</v>
      </c>
      <c r="E659" t="s">
        <v>1313</v>
      </c>
      <c r="F659" s="25" t="s">
        <v>295</v>
      </c>
      <c r="G659" s="26">
        <v>5</v>
      </c>
      <c r="H659" s="7" t="s">
        <v>295</v>
      </c>
      <c r="I659" s="7" t="s">
        <v>296</v>
      </c>
      <c r="J659" s="1">
        <v>5</v>
      </c>
      <c r="K659" s="1">
        <v>6</v>
      </c>
      <c r="L659" s="67">
        <f t="shared" si="21"/>
        <v>1</v>
      </c>
    </row>
    <row r="660" spans="1:12" x14ac:dyDescent="0.2">
      <c r="A660">
        <v>659</v>
      </c>
      <c r="B660" s="7" t="s">
        <v>372</v>
      </c>
      <c r="C660" t="s">
        <v>1311</v>
      </c>
      <c r="D660" s="65" t="str">
        <f t="shared" si="20"/>
        <v>Y</v>
      </c>
      <c r="E660" t="s">
        <v>1313</v>
      </c>
      <c r="F660" s="25" t="s">
        <v>295</v>
      </c>
      <c r="G660" s="26">
        <v>5</v>
      </c>
      <c r="H660" s="7" t="s">
        <v>299</v>
      </c>
      <c r="I660" s="7" t="s">
        <v>297</v>
      </c>
      <c r="J660" s="1">
        <v>4</v>
      </c>
      <c r="K660" s="1">
        <v>4</v>
      </c>
      <c r="L660" s="67">
        <f t="shared" si="21"/>
        <v>0</v>
      </c>
    </row>
    <row r="661" spans="1:12" x14ac:dyDescent="0.2">
      <c r="A661">
        <v>660</v>
      </c>
      <c r="B661" s="7" t="s">
        <v>356</v>
      </c>
      <c r="C661" t="s">
        <v>1311</v>
      </c>
      <c r="D661" s="65" t="str">
        <f t="shared" si="20"/>
        <v>Y</v>
      </c>
      <c r="E661" t="s">
        <v>1313</v>
      </c>
      <c r="F661" s="25" t="s">
        <v>295</v>
      </c>
      <c r="G661" s="26">
        <v>5</v>
      </c>
      <c r="H661" s="7" t="s">
        <v>295</v>
      </c>
      <c r="I661" s="7" t="s">
        <v>296</v>
      </c>
      <c r="J661" s="1">
        <v>5</v>
      </c>
      <c r="K661" s="1">
        <v>6</v>
      </c>
      <c r="L661" s="67">
        <f t="shared" si="21"/>
        <v>1</v>
      </c>
    </row>
    <row r="662" spans="1:12" x14ac:dyDescent="0.2">
      <c r="A662">
        <v>661</v>
      </c>
      <c r="B662" s="7" t="s">
        <v>372</v>
      </c>
      <c r="C662" t="s">
        <v>1311</v>
      </c>
      <c r="D662" s="65" t="str">
        <f t="shared" si="20"/>
        <v>Y</v>
      </c>
      <c r="E662" t="s">
        <v>1313</v>
      </c>
      <c r="F662" s="25" t="s">
        <v>295</v>
      </c>
      <c r="G662" s="26">
        <v>5</v>
      </c>
      <c r="H662" s="7" t="s">
        <v>295</v>
      </c>
      <c r="I662" s="7" t="s">
        <v>297</v>
      </c>
      <c r="J662" s="1">
        <v>5</v>
      </c>
      <c r="K662" s="1">
        <v>4</v>
      </c>
      <c r="L662" s="67">
        <f t="shared" si="21"/>
        <v>1</v>
      </c>
    </row>
    <row r="663" spans="1:12" x14ac:dyDescent="0.2">
      <c r="A663">
        <v>662</v>
      </c>
      <c r="B663" s="7" t="s">
        <v>356</v>
      </c>
      <c r="C663" t="s">
        <v>1311</v>
      </c>
      <c r="D663" s="65" t="str">
        <f t="shared" si="20"/>
        <v>Y</v>
      </c>
      <c r="E663" t="s">
        <v>1313</v>
      </c>
      <c r="F663" s="25" t="s">
        <v>295</v>
      </c>
      <c r="G663" s="26">
        <v>5</v>
      </c>
      <c r="H663" s="7" t="s">
        <v>299</v>
      </c>
      <c r="I663" s="7" t="s">
        <v>292</v>
      </c>
      <c r="J663" s="1">
        <v>4</v>
      </c>
      <c r="K663" s="1">
        <v>5</v>
      </c>
      <c r="L663" s="67">
        <f t="shared" si="21"/>
        <v>0</v>
      </c>
    </row>
    <row r="664" spans="1:12" x14ac:dyDescent="0.2">
      <c r="A664">
        <v>663</v>
      </c>
      <c r="B664" s="7" t="s">
        <v>372</v>
      </c>
      <c r="C664" t="s">
        <v>1311</v>
      </c>
      <c r="D664" s="65" t="str">
        <f t="shared" si="20"/>
        <v>Y</v>
      </c>
      <c r="E664" t="s">
        <v>1313</v>
      </c>
      <c r="F664" s="25" t="s">
        <v>295</v>
      </c>
      <c r="G664" s="26">
        <v>5</v>
      </c>
      <c r="H664" s="7" t="s">
        <v>299</v>
      </c>
      <c r="I664" s="7" t="s">
        <v>297</v>
      </c>
      <c r="J664" s="1">
        <v>4</v>
      </c>
      <c r="K664" s="1">
        <v>4</v>
      </c>
      <c r="L664" s="67">
        <f t="shared" si="21"/>
        <v>0</v>
      </c>
    </row>
    <row r="665" spans="1:12" x14ac:dyDescent="0.2">
      <c r="A665">
        <v>664</v>
      </c>
      <c r="B665" s="7" t="s">
        <v>356</v>
      </c>
      <c r="C665" t="s">
        <v>1311</v>
      </c>
      <c r="D665" s="65" t="str">
        <f t="shared" si="20"/>
        <v>Y</v>
      </c>
      <c r="E665" t="s">
        <v>1313</v>
      </c>
      <c r="F665" s="25" t="s">
        <v>295</v>
      </c>
      <c r="G665" s="26">
        <v>5</v>
      </c>
      <c r="H665" s="7" t="s">
        <v>295</v>
      </c>
      <c r="I665" s="7" t="s">
        <v>330</v>
      </c>
      <c r="J665" s="1">
        <v>5</v>
      </c>
      <c r="K665" s="1">
        <v>3</v>
      </c>
      <c r="L665" s="67">
        <f t="shared" si="21"/>
        <v>1</v>
      </c>
    </row>
    <row r="666" spans="1:12" x14ac:dyDescent="0.2">
      <c r="A666">
        <v>665</v>
      </c>
      <c r="B666" s="7" t="s">
        <v>356</v>
      </c>
      <c r="C666" t="s">
        <v>1311</v>
      </c>
      <c r="D666" s="65" t="str">
        <f t="shared" si="20"/>
        <v>Y</v>
      </c>
      <c r="E666" t="s">
        <v>1313</v>
      </c>
      <c r="F666" s="25" t="s">
        <v>295</v>
      </c>
      <c r="G666" s="26">
        <v>5</v>
      </c>
      <c r="H666" s="7" t="s">
        <v>295</v>
      </c>
      <c r="I666" s="7" t="s">
        <v>294</v>
      </c>
      <c r="J666" s="1">
        <v>5</v>
      </c>
      <c r="K666" s="1">
        <v>7</v>
      </c>
      <c r="L666" s="67">
        <f t="shared" si="21"/>
        <v>1</v>
      </c>
    </row>
    <row r="667" spans="1:12" x14ac:dyDescent="0.2">
      <c r="A667">
        <v>666</v>
      </c>
      <c r="B667" s="7" t="s">
        <v>372</v>
      </c>
      <c r="C667" t="s">
        <v>1311</v>
      </c>
      <c r="D667" s="65" t="str">
        <f t="shared" si="20"/>
        <v>Y</v>
      </c>
      <c r="E667" t="s">
        <v>1313</v>
      </c>
      <c r="F667" s="25" t="s">
        <v>295</v>
      </c>
      <c r="G667" s="26">
        <v>5</v>
      </c>
      <c r="H667" s="7" t="s">
        <v>298</v>
      </c>
      <c r="I667" s="7" t="s">
        <v>297</v>
      </c>
      <c r="J667" s="1">
        <v>3</v>
      </c>
      <c r="K667" s="1">
        <v>4</v>
      </c>
      <c r="L667" s="67">
        <f t="shared" si="21"/>
        <v>0</v>
      </c>
    </row>
    <row r="668" spans="1:12" x14ac:dyDescent="0.2">
      <c r="A668">
        <v>667</v>
      </c>
      <c r="B668" s="7" t="s">
        <v>372</v>
      </c>
      <c r="C668" t="s">
        <v>1311</v>
      </c>
      <c r="D668" s="65" t="str">
        <f t="shared" si="20"/>
        <v>Y</v>
      </c>
      <c r="E668" t="s">
        <v>1313</v>
      </c>
      <c r="F668" s="25" t="s">
        <v>295</v>
      </c>
      <c r="G668" s="26">
        <v>5</v>
      </c>
      <c r="H668" s="7" t="s">
        <v>299</v>
      </c>
      <c r="I668" s="7" t="s">
        <v>296</v>
      </c>
      <c r="J668" s="1">
        <v>4</v>
      </c>
      <c r="K668" s="1">
        <v>6</v>
      </c>
      <c r="L668" s="67">
        <f t="shared" si="21"/>
        <v>0</v>
      </c>
    </row>
    <row r="669" spans="1:12" x14ac:dyDescent="0.2">
      <c r="A669">
        <v>668</v>
      </c>
      <c r="B669" s="7" t="s">
        <v>356</v>
      </c>
      <c r="C669" t="s">
        <v>1311</v>
      </c>
      <c r="D669" s="65" t="str">
        <f t="shared" si="20"/>
        <v>Y</v>
      </c>
      <c r="E669" t="s">
        <v>1313</v>
      </c>
      <c r="F669" s="25" t="s">
        <v>295</v>
      </c>
      <c r="G669" s="26">
        <v>5</v>
      </c>
      <c r="H669" s="7" t="s">
        <v>295</v>
      </c>
      <c r="I669" s="7" t="s">
        <v>292</v>
      </c>
      <c r="J669" s="1">
        <v>5</v>
      </c>
      <c r="K669" s="1">
        <v>5</v>
      </c>
      <c r="L669" s="67">
        <f t="shared" si="21"/>
        <v>1</v>
      </c>
    </row>
    <row r="670" spans="1:12" x14ac:dyDescent="0.2">
      <c r="A670">
        <v>669</v>
      </c>
      <c r="B670" s="7" t="s">
        <v>372</v>
      </c>
      <c r="C670" t="s">
        <v>1311</v>
      </c>
      <c r="D670" s="65" t="str">
        <f t="shared" si="20"/>
        <v>Y</v>
      </c>
      <c r="E670" t="s">
        <v>1313</v>
      </c>
      <c r="F670" s="25" t="s">
        <v>295</v>
      </c>
      <c r="G670" s="26">
        <v>5</v>
      </c>
      <c r="H670" s="7" t="s">
        <v>299</v>
      </c>
      <c r="I670" s="7" t="s">
        <v>296</v>
      </c>
      <c r="J670" s="1">
        <v>4</v>
      </c>
      <c r="K670" s="1">
        <v>6</v>
      </c>
      <c r="L670" s="67">
        <f t="shared" si="21"/>
        <v>0</v>
      </c>
    </row>
    <row r="671" spans="1:12" x14ac:dyDescent="0.2">
      <c r="A671">
        <v>670</v>
      </c>
      <c r="B671" s="7" t="s">
        <v>372</v>
      </c>
      <c r="C671" t="s">
        <v>1311</v>
      </c>
      <c r="D671" s="65" t="str">
        <f t="shared" si="20"/>
        <v>Y</v>
      </c>
      <c r="E671" t="s">
        <v>1313</v>
      </c>
      <c r="F671" s="25" t="s">
        <v>295</v>
      </c>
      <c r="G671" s="26">
        <v>5</v>
      </c>
      <c r="H671" s="7" t="s">
        <v>295</v>
      </c>
      <c r="I671" s="7" t="s">
        <v>330</v>
      </c>
      <c r="J671" s="1">
        <v>5</v>
      </c>
      <c r="K671" s="1">
        <v>3</v>
      </c>
      <c r="L671" s="67">
        <f t="shared" si="21"/>
        <v>1</v>
      </c>
    </row>
    <row r="672" spans="1:12" x14ac:dyDescent="0.2">
      <c r="A672">
        <v>671</v>
      </c>
      <c r="B672" s="7" t="s">
        <v>372</v>
      </c>
      <c r="C672" t="s">
        <v>1311</v>
      </c>
      <c r="D672" s="65" t="str">
        <f t="shared" si="20"/>
        <v>Y</v>
      </c>
      <c r="E672" t="s">
        <v>1313</v>
      </c>
      <c r="F672" s="25" t="s">
        <v>295</v>
      </c>
      <c r="G672" s="26">
        <v>5</v>
      </c>
      <c r="H672" s="7" t="s">
        <v>295</v>
      </c>
      <c r="I672" s="7" t="s">
        <v>297</v>
      </c>
      <c r="J672" s="1">
        <v>5</v>
      </c>
      <c r="K672" s="1">
        <v>4</v>
      </c>
      <c r="L672" s="67">
        <f t="shared" si="21"/>
        <v>1</v>
      </c>
    </row>
    <row r="673" spans="1:12" x14ac:dyDescent="0.2">
      <c r="A673">
        <v>672</v>
      </c>
      <c r="B673" s="7" t="s">
        <v>356</v>
      </c>
      <c r="C673" t="s">
        <v>1311</v>
      </c>
      <c r="D673" s="65" t="str">
        <f t="shared" si="20"/>
        <v>Y</v>
      </c>
      <c r="E673" t="s">
        <v>1313</v>
      </c>
      <c r="F673" s="25" t="s">
        <v>295</v>
      </c>
      <c r="G673" s="26">
        <v>5</v>
      </c>
      <c r="H673" s="7" t="s">
        <v>298</v>
      </c>
      <c r="I673" s="7" t="s">
        <v>296</v>
      </c>
      <c r="J673" s="1">
        <v>3</v>
      </c>
      <c r="K673" s="1">
        <v>6</v>
      </c>
      <c r="L673" s="67">
        <f t="shared" si="21"/>
        <v>0</v>
      </c>
    </row>
    <row r="674" spans="1:12" x14ac:dyDescent="0.2">
      <c r="A674">
        <v>673</v>
      </c>
      <c r="B674" s="7" t="s">
        <v>372</v>
      </c>
      <c r="C674" t="s">
        <v>1311</v>
      </c>
      <c r="D674" s="65" t="str">
        <f t="shared" si="20"/>
        <v>Y</v>
      </c>
      <c r="E674" t="s">
        <v>1313</v>
      </c>
      <c r="F674" s="25" t="s">
        <v>295</v>
      </c>
      <c r="G674" s="26">
        <v>5</v>
      </c>
      <c r="H674" s="7" t="s">
        <v>295</v>
      </c>
      <c r="I674" s="7" t="s">
        <v>292</v>
      </c>
      <c r="J674" s="1">
        <v>5</v>
      </c>
      <c r="K674" s="1">
        <v>5</v>
      </c>
      <c r="L674" s="67">
        <f t="shared" si="21"/>
        <v>1</v>
      </c>
    </row>
    <row r="675" spans="1:12" x14ac:dyDescent="0.2">
      <c r="A675">
        <v>674</v>
      </c>
      <c r="B675" s="7" t="s">
        <v>356</v>
      </c>
      <c r="C675" t="s">
        <v>1311</v>
      </c>
      <c r="D675" s="65" t="str">
        <f t="shared" si="20"/>
        <v>Y</v>
      </c>
      <c r="E675" t="s">
        <v>1313</v>
      </c>
      <c r="F675" s="25" t="s">
        <v>295</v>
      </c>
      <c r="G675" s="26">
        <v>5</v>
      </c>
      <c r="H675" s="7" t="s">
        <v>295</v>
      </c>
      <c r="I675" s="7" t="s">
        <v>292</v>
      </c>
      <c r="J675" s="1">
        <v>5</v>
      </c>
      <c r="K675" s="1">
        <v>5</v>
      </c>
      <c r="L675" s="67">
        <f t="shared" si="21"/>
        <v>1</v>
      </c>
    </row>
    <row r="676" spans="1:12" x14ac:dyDescent="0.2">
      <c r="A676">
        <v>675</v>
      </c>
      <c r="B676" s="7" t="s">
        <v>356</v>
      </c>
      <c r="C676" t="s">
        <v>1311</v>
      </c>
      <c r="D676" s="65" t="str">
        <f t="shared" si="20"/>
        <v>Y</v>
      </c>
      <c r="E676" t="s">
        <v>1313</v>
      </c>
      <c r="F676" s="25" t="s">
        <v>295</v>
      </c>
      <c r="G676" s="26">
        <v>5</v>
      </c>
      <c r="H676" s="7" t="s">
        <v>298</v>
      </c>
      <c r="I676" s="7" t="s">
        <v>297</v>
      </c>
      <c r="J676" s="1">
        <v>3</v>
      </c>
      <c r="K676" s="1">
        <v>4</v>
      </c>
      <c r="L676" s="67">
        <f t="shared" si="21"/>
        <v>0</v>
      </c>
    </row>
    <row r="677" spans="1:12" x14ac:dyDescent="0.2">
      <c r="A677">
        <v>676</v>
      </c>
      <c r="B677" s="7" t="s">
        <v>372</v>
      </c>
      <c r="C677" t="s">
        <v>1311</v>
      </c>
      <c r="D677" s="65" t="str">
        <f t="shared" si="20"/>
        <v>Y</v>
      </c>
      <c r="E677" t="s">
        <v>1313</v>
      </c>
      <c r="F677" s="25" t="s">
        <v>295</v>
      </c>
      <c r="G677" s="26">
        <v>5</v>
      </c>
      <c r="H677" s="7" t="s">
        <v>295</v>
      </c>
      <c r="I677" s="7" t="s">
        <v>296</v>
      </c>
      <c r="J677" s="1">
        <v>5</v>
      </c>
      <c r="K677" s="1">
        <v>6</v>
      </c>
      <c r="L677" s="67">
        <f t="shared" si="21"/>
        <v>1</v>
      </c>
    </row>
    <row r="678" spans="1:12" x14ac:dyDescent="0.2">
      <c r="A678">
        <v>677</v>
      </c>
      <c r="B678" s="7" t="s">
        <v>372</v>
      </c>
      <c r="C678" t="s">
        <v>1311</v>
      </c>
      <c r="D678" s="65" t="str">
        <f t="shared" si="20"/>
        <v>Y</v>
      </c>
      <c r="E678" t="s">
        <v>1313</v>
      </c>
      <c r="F678" s="25" t="s">
        <v>295</v>
      </c>
      <c r="G678" s="26">
        <v>5</v>
      </c>
      <c r="H678" s="7" t="s">
        <v>295</v>
      </c>
      <c r="I678" s="7" t="s">
        <v>292</v>
      </c>
      <c r="J678" s="1">
        <v>5</v>
      </c>
      <c r="K678" s="1">
        <v>5</v>
      </c>
      <c r="L678" s="67">
        <f t="shared" si="21"/>
        <v>1</v>
      </c>
    </row>
    <row r="679" spans="1:12" x14ac:dyDescent="0.2">
      <c r="A679">
        <v>678</v>
      </c>
      <c r="B679" s="7" t="s">
        <v>356</v>
      </c>
      <c r="C679" t="s">
        <v>1311</v>
      </c>
      <c r="D679" s="65" t="str">
        <f t="shared" si="20"/>
        <v>Y</v>
      </c>
      <c r="E679" t="s">
        <v>1313</v>
      </c>
      <c r="F679" s="25" t="s">
        <v>295</v>
      </c>
      <c r="G679" s="26">
        <v>5</v>
      </c>
      <c r="H679" s="7" t="s">
        <v>295</v>
      </c>
      <c r="I679" s="7" t="s">
        <v>296</v>
      </c>
      <c r="J679" s="1">
        <v>5</v>
      </c>
      <c r="K679" s="1">
        <v>6</v>
      </c>
      <c r="L679" s="67">
        <f t="shared" si="21"/>
        <v>1</v>
      </c>
    </row>
    <row r="680" spans="1:12" x14ac:dyDescent="0.2">
      <c r="A680">
        <v>679</v>
      </c>
      <c r="B680" s="7" t="s">
        <v>372</v>
      </c>
      <c r="C680" t="s">
        <v>1311</v>
      </c>
      <c r="D680" s="65" t="str">
        <f t="shared" si="20"/>
        <v>Y</v>
      </c>
      <c r="E680" t="s">
        <v>1313</v>
      </c>
      <c r="F680" s="25" t="s">
        <v>295</v>
      </c>
      <c r="G680" s="26">
        <v>5</v>
      </c>
      <c r="H680" s="7" t="s">
        <v>298</v>
      </c>
      <c r="I680" s="7" t="s">
        <v>292</v>
      </c>
      <c r="J680" s="1">
        <v>3</v>
      </c>
      <c r="K680" s="1">
        <v>5</v>
      </c>
      <c r="L680" s="67">
        <f t="shared" si="21"/>
        <v>0</v>
      </c>
    </row>
    <row r="681" spans="1:12" x14ac:dyDescent="0.2">
      <c r="A681">
        <v>680</v>
      </c>
      <c r="B681" s="7" t="s">
        <v>356</v>
      </c>
      <c r="C681" t="s">
        <v>1311</v>
      </c>
      <c r="D681" s="65" t="str">
        <f t="shared" si="20"/>
        <v>Y</v>
      </c>
      <c r="E681" t="s">
        <v>1313</v>
      </c>
      <c r="F681" s="25" t="s">
        <v>295</v>
      </c>
      <c r="G681" s="26">
        <v>5</v>
      </c>
      <c r="H681" s="7" t="s">
        <v>298</v>
      </c>
      <c r="I681" s="7" t="s">
        <v>296</v>
      </c>
      <c r="J681" s="1">
        <v>3</v>
      </c>
      <c r="K681" s="1">
        <v>6</v>
      </c>
      <c r="L681" s="67">
        <f t="shared" si="21"/>
        <v>0</v>
      </c>
    </row>
    <row r="682" spans="1:12" x14ac:dyDescent="0.2">
      <c r="A682">
        <v>681</v>
      </c>
      <c r="B682" s="7" t="s">
        <v>372</v>
      </c>
      <c r="C682" t="s">
        <v>1311</v>
      </c>
      <c r="D682" s="65" t="str">
        <f t="shared" si="20"/>
        <v>Y</v>
      </c>
      <c r="E682" t="s">
        <v>1313</v>
      </c>
      <c r="F682" s="25" t="s">
        <v>295</v>
      </c>
      <c r="G682" s="26">
        <v>5</v>
      </c>
      <c r="H682" s="7" t="s">
        <v>295</v>
      </c>
      <c r="I682" s="7" t="s">
        <v>296</v>
      </c>
      <c r="J682" s="1">
        <v>5</v>
      </c>
      <c r="K682" s="1">
        <v>6</v>
      </c>
      <c r="L682" s="67">
        <f t="shared" si="21"/>
        <v>1</v>
      </c>
    </row>
    <row r="683" spans="1:12" x14ac:dyDescent="0.2">
      <c r="A683">
        <v>682</v>
      </c>
      <c r="B683" s="7" t="s">
        <v>372</v>
      </c>
      <c r="C683" t="s">
        <v>1311</v>
      </c>
      <c r="D683" s="65" t="str">
        <f t="shared" si="20"/>
        <v>Y</v>
      </c>
      <c r="E683" t="s">
        <v>1313</v>
      </c>
      <c r="F683" s="25" t="s">
        <v>295</v>
      </c>
      <c r="G683" s="26">
        <v>5</v>
      </c>
      <c r="H683" s="7" t="s">
        <v>299</v>
      </c>
      <c r="I683" s="7" t="s">
        <v>294</v>
      </c>
      <c r="J683" s="1">
        <v>4</v>
      </c>
      <c r="K683" s="1">
        <v>7</v>
      </c>
      <c r="L683" s="67">
        <f t="shared" si="21"/>
        <v>0</v>
      </c>
    </row>
    <row r="684" spans="1:12" x14ac:dyDescent="0.2">
      <c r="A684">
        <v>683</v>
      </c>
      <c r="B684" s="7" t="s">
        <v>356</v>
      </c>
      <c r="C684" t="s">
        <v>1311</v>
      </c>
      <c r="D684" s="65" t="str">
        <f t="shared" si="20"/>
        <v>Y</v>
      </c>
      <c r="E684" t="s">
        <v>1313</v>
      </c>
      <c r="F684" s="25" t="s">
        <v>295</v>
      </c>
      <c r="G684" s="26">
        <v>5</v>
      </c>
      <c r="H684" s="7" t="s">
        <v>299</v>
      </c>
      <c r="I684" s="7" t="s">
        <v>292</v>
      </c>
      <c r="J684" s="1">
        <v>4</v>
      </c>
      <c r="K684" s="1">
        <v>5</v>
      </c>
      <c r="L684" s="67">
        <f t="shared" si="21"/>
        <v>0</v>
      </c>
    </row>
    <row r="685" spans="1:12" x14ac:dyDescent="0.2">
      <c r="A685">
        <v>684</v>
      </c>
      <c r="B685" s="7" t="s">
        <v>372</v>
      </c>
      <c r="C685" t="s">
        <v>1311</v>
      </c>
      <c r="D685" s="65" t="str">
        <f t="shared" si="20"/>
        <v>Y</v>
      </c>
      <c r="E685" t="s">
        <v>1313</v>
      </c>
      <c r="F685" s="25" t="s">
        <v>295</v>
      </c>
      <c r="G685" s="26">
        <v>5</v>
      </c>
      <c r="H685" s="7" t="s">
        <v>295</v>
      </c>
      <c r="I685" s="7" t="s">
        <v>296</v>
      </c>
      <c r="J685" s="1">
        <v>5</v>
      </c>
      <c r="K685" s="1">
        <v>6</v>
      </c>
      <c r="L685" s="67">
        <f t="shared" si="21"/>
        <v>1</v>
      </c>
    </row>
    <row r="686" spans="1:12" x14ac:dyDescent="0.2">
      <c r="A686">
        <v>685</v>
      </c>
      <c r="B686" s="7" t="s">
        <v>356</v>
      </c>
      <c r="C686" t="s">
        <v>1311</v>
      </c>
      <c r="D686" s="65" t="str">
        <f t="shared" si="20"/>
        <v>Y</v>
      </c>
      <c r="E686" t="s">
        <v>1313</v>
      </c>
      <c r="F686" s="25" t="s">
        <v>295</v>
      </c>
      <c r="G686" s="26">
        <v>5</v>
      </c>
      <c r="H686" s="7" t="s">
        <v>299</v>
      </c>
      <c r="I686" s="7" t="s">
        <v>292</v>
      </c>
      <c r="J686" s="1">
        <v>4</v>
      </c>
      <c r="K686" s="1">
        <v>5</v>
      </c>
      <c r="L686" s="67">
        <f t="shared" si="21"/>
        <v>0</v>
      </c>
    </row>
    <row r="687" spans="1:12" x14ac:dyDescent="0.2">
      <c r="A687">
        <v>686</v>
      </c>
      <c r="B687" s="7" t="s">
        <v>356</v>
      </c>
      <c r="C687" t="s">
        <v>1311</v>
      </c>
      <c r="D687" s="65" t="str">
        <f t="shared" si="20"/>
        <v>Y</v>
      </c>
      <c r="E687" t="s">
        <v>1313</v>
      </c>
      <c r="F687" s="25" t="s">
        <v>295</v>
      </c>
      <c r="G687" s="26">
        <v>5</v>
      </c>
      <c r="H687" s="7" t="s">
        <v>295</v>
      </c>
      <c r="I687" s="7" t="s">
        <v>294</v>
      </c>
      <c r="J687" s="1">
        <v>5</v>
      </c>
      <c r="K687" s="1">
        <v>7</v>
      </c>
      <c r="L687" s="67">
        <f t="shared" si="21"/>
        <v>1</v>
      </c>
    </row>
    <row r="688" spans="1:12" x14ac:dyDescent="0.2">
      <c r="A688">
        <v>687</v>
      </c>
      <c r="B688" s="7" t="s">
        <v>372</v>
      </c>
      <c r="C688" t="s">
        <v>1311</v>
      </c>
      <c r="D688" s="65" t="str">
        <f t="shared" si="20"/>
        <v>Y</v>
      </c>
      <c r="E688" t="s">
        <v>1313</v>
      </c>
      <c r="F688" s="25" t="s">
        <v>295</v>
      </c>
      <c r="G688" s="26">
        <v>5</v>
      </c>
      <c r="H688" s="7" t="s">
        <v>293</v>
      </c>
      <c r="I688" s="7" t="s">
        <v>292</v>
      </c>
      <c r="J688" s="1">
        <v>2</v>
      </c>
      <c r="K688" s="1">
        <v>5</v>
      </c>
      <c r="L688" s="67">
        <f t="shared" si="21"/>
        <v>0</v>
      </c>
    </row>
    <row r="689" spans="1:12" x14ac:dyDescent="0.2">
      <c r="A689">
        <v>688</v>
      </c>
      <c r="B689" s="7" t="s">
        <v>356</v>
      </c>
      <c r="C689" t="s">
        <v>1311</v>
      </c>
      <c r="D689" s="65" t="str">
        <f t="shared" si="20"/>
        <v>Y</v>
      </c>
      <c r="E689" t="s">
        <v>1313</v>
      </c>
      <c r="F689" s="25" t="s">
        <v>295</v>
      </c>
      <c r="G689" s="26">
        <v>5</v>
      </c>
      <c r="H689" s="7" t="s">
        <v>295</v>
      </c>
      <c r="I689" s="7" t="s">
        <v>292</v>
      </c>
      <c r="J689" s="1">
        <v>5</v>
      </c>
      <c r="K689" s="1">
        <v>5</v>
      </c>
      <c r="L689" s="67">
        <f t="shared" si="21"/>
        <v>1</v>
      </c>
    </row>
    <row r="690" spans="1:12" x14ac:dyDescent="0.2">
      <c r="A690">
        <v>689</v>
      </c>
      <c r="B690" s="7" t="s">
        <v>372</v>
      </c>
      <c r="C690" t="s">
        <v>1311</v>
      </c>
      <c r="D690" s="65" t="str">
        <f t="shared" si="20"/>
        <v>Y</v>
      </c>
      <c r="E690" t="s">
        <v>1313</v>
      </c>
      <c r="F690" s="25" t="s">
        <v>295</v>
      </c>
      <c r="G690" s="26">
        <v>5</v>
      </c>
      <c r="H690" s="7" t="s">
        <v>295</v>
      </c>
      <c r="I690" s="7" t="s">
        <v>292</v>
      </c>
      <c r="J690" s="1">
        <v>5</v>
      </c>
      <c r="K690" s="1">
        <v>5</v>
      </c>
      <c r="L690" s="67">
        <f t="shared" si="21"/>
        <v>1</v>
      </c>
    </row>
    <row r="691" spans="1:12" x14ac:dyDescent="0.2">
      <c r="A691">
        <v>690</v>
      </c>
      <c r="B691" s="7" t="s">
        <v>356</v>
      </c>
      <c r="C691" t="s">
        <v>1311</v>
      </c>
      <c r="D691" s="65" t="str">
        <f t="shared" si="20"/>
        <v>Y</v>
      </c>
      <c r="E691" t="s">
        <v>1313</v>
      </c>
      <c r="F691" s="25" t="s">
        <v>295</v>
      </c>
      <c r="G691" s="26">
        <v>5</v>
      </c>
      <c r="H691" s="7" t="s">
        <v>295</v>
      </c>
      <c r="I691" s="7" t="s">
        <v>292</v>
      </c>
      <c r="J691" s="1">
        <v>5</v>
      </c>
      <c r="K691" s="1">
        <v>5</v>
      </c>
      <c r="L691" s="67">
        <f t="shared" si="21"/>
        <v>1</v>
      </c>
    </row>
    <row r="692" spans="1:12" x14ac:dyDescent="0.2">
      <c r="A692">
        <v>691</v>
      </c>
      <c r="B692" s="7" t="s">
        <v>372</v>
      </c>
      <c r="C692" t="s">
        <v>1311</v>
      </c>
      <c r="D692" s="65" t="str">
        <f t="shared" si="20"/>
        <v>Y</v>
      </c>
      <c r="E692" t="s">
        <v>1313</v>
      </c>
      <c r="F692" s="25" t="s">
        <v>295</v>
      </c>
      <c r="G692" s="26">
        <v>5</v>
      </c>
      <c r="H692" s="7" t="s">
        <v>293</v>
      </c>
      <c r="I692" s="7" t="s">
        <v>296</v>
      </c>
      <c r="J692" s="1">
        <v>2</v>
      </c>
      <c r="K692" s="1">
        <v>6</v>
      </c>
      <c r="L692" s="67">
        <f t="shared" si="21"/>
        <v>0</v>
      </c>
    </row>
    <row r="693" spans="1:12" x14ac:dyDescent="0.2">
      <c r="A693">
        <v>692</v>
      </c>
      <c r="B693" s="7" t="s">
        <v>356</v>
      </c>
      <c r="C693" t="s">
        <v>1311</v>
      </c>
      <c r="D693" s="65" t="str">
        <f t="shared" si="20"/>
        <v>Y</v>
      </c>
      <c r="E693" t="s">
        <v>1313</v>
      </c>
      <c r="F693" s="25" t="s">
        <v>295</v>
      </c>
      <c r="G693" s="26">
        <v>5</v>
      </c>
      <c r="H693" s="7" t="s">
        <v>298</v>
      </c>
      <c r="I693" s="7" t="s">
        <v>292</v>
      </c>
      <c r="J693" s="1">
        <v>3</v>
      </c>
      <c r="K693" s="1">
        <v>5</v>
      </c>
      <c r="L693" s="67">
        <f t="shared" si="21"/>
        <v>0</v>
      </c>
    </row>
    <row r="694" spans="1:12" x14ac:dyDescent="0.2">
      <c r="A694">
        <v>693</v>
      </c>
      <c r="B694" s="7" t="s">
        <v>372</v>
      </c>
      <c r="C694" t="s">
        <v>1311</v>
      </c>
      <c r="D694" s="65" t="str">
        <f t="shared" si="20"/>
        <v>Y</v>
      </c>
      <c r="E694" t="s">
        <v>1313</v>
      </c>
      <c r="F694" s="25" t="s">
        <v>295</v>
      </c>
      <c r="G694" s="26">
        <v>5</v>
      </c>
      <c r="H694" s="7" t="s">
        <v>298</v>
      </c>
      <c r="I694" s="7" t="s">
        <v>292</v>
      </c>
      <c r="J694" s="1">
        <v>3</v>
      </c>
      <c r="K694" s="1">
        <v>5</v>
      </c>
      <c r="L694" s="67">
        <f t="shared" si="21"/>
        <v>0</v>
      </c>
    </row>
    <row r="695" spans="1:12" x14ac:dyDescent="0.2">
      <c r="A695">
        <v>694</v>
      </c>
      <c r="B695" s="7" t="s">
        <v>372</v>
      </c>
      <c r="C695" t="s">
        <v>1311</v>
      </c>
      <c r="D695" s="65" t="str">
        <f t="shared" si="20"/>
        <v>Y</v>
      </c>
      <c r="E695" t="s">
        <v>1313</v>
      </c>
      <c r="F695" s="25" t="s">
        <v>295</v>
      </c>
      <c r="G695" s="26">
        <v>5</v>
      </c>
      <c r="H695" s="7" t="s">
        <v>295</v>
      </c>
      <c r="I695" s="7" t="s">
        <v>292</v>
      </c>
      <c r="J695" s="1">
        <v>5</v>
      </c>
      <c r="K695" s="1">
        <v>5</v>
      </c>
      <c r="L695" s="67">
        <f t="shared" si="21"/>
        <v>1</v>
      </c>
    </row>
    <row r="696" spans="1:12" x14ac:dyDescent="0.2">
      <c r="A696">
        <v>695</v>
      </c>
      <c r="B696" s="7" t="s">
        <v>356</v>
      </c>
      <c r="C696" t="s">
        <v>1311</v>
      </c>
      <c r="D696" s="65" t="str">
        <f t="shared" si="20"/>
        <v>Y</v>
      </c>
      <c r="E696" t="s">
        <v>1313</v>
      </c>
      <c r="F696" s="25" t="s">
        <v>295</v>
      </c>
      <c r="G696" s="26">
        <v>5</v>
      </c>
      <c r="H696" s="7" t="s">
        <v>295</v>
      </c>
      <c r="I696" s="7" t="s">
        <v>296</v>
      </c>
      <c r="J696" s="1">
        <v>5</v>
      </c>
      <c r="K696" s="1">
        <v>6</v>
      </c>
      <c r="L696" s="67">
        <f t="shared" si="21"/>
        <v>1</v>
      </c>
    </row>
    <row r="697" spans="1:12" x14ac:dyDescent="0.2">
      <c r="A697">
        <v>696</v>
      </c>
      <c r="B697" s="7" t="s">
        <v>356</v>
      </c>
      <c r="C697" t="s">
        <v>1311</v>
      </c>
      <c r="D697" s="65" t="str">
        <f t="shared" si="20"/>
        <v>Y</v>
      </c>
      <c r="E697" t="s">
        <v>1313</v>
      </c>
      <c r="F697" s="25" t="s">
        <v>295</v>
      </c>
      <c r="G697" s="26">
        <v>5</v>
      </c>
      <c r="H697" s="7" t="s">
        <v>295</v>
      </c>
      <c r="I697" s="7" t="s">
        <v>292</v>
      </c>
      <c r="J697" s="1">
        <v>5</v>
      </c>
      <c r="K697" s="1">
        <v>5</v>
      </c>
      <c r="L697" s="67">
        <f t="shared" si="21"/>
        <v>1</v>
      </c>
    </row>
    <row r="698" spans="1:12" x14ac:dyDescent="0.2">
      <c r="A698">
        <v>697</v>
      </c>
      <c r="B698" s="7" t="s">
        <v>372</v>
      </c>
      <c r="C698" t="s">
        <v>1311</v>
      </c>
      <c r="D698" s="65" t="str">
        <f t="shared" si="20"/>
        <v>Y</v>
      </c>
      <c r="E698" t="s">
        <v>1313</v>
      </c>
      <c r="F698" s="25" t="s">
        <v>295</v>
      </c>
      <c r="G698" s="26">
        <v>5</v>
      </c>
      <c r="H698" s="7" t="s">
        <v>295</v>
      </c>
      <c r="I698" s="7" t="s">
        <v>294</v>
      </c>
      <c r="J698" s="1">
        <v>5</v>
      </c>
      <c r="K698" s="1">
        <v>7</v>
      </c>
      <c r="L698" s="67">
        <f t="shared" si="21"/>
        <v>1</v>
      </c>
    </row>
    <row r="699" spans="1:12" x14ac:dyDescent="0.2">
      <c r="A699">
        <v>698</v>
      </c>
      <c r="B699" s="7" t="s">
        <v>372</v>
      </c>
      <c r="C699" t="s">
        <v>1311</v>
      </c>
      <c r="D699" s="65" t="str">
        <f t="shared" si="20"/>
        <v>Y</v>
      </c>
      <c r="E699" t="s">
        <v>1313</v>
      </c>
      <c r="F699" s="25" t="s">
        <v>295</v>
      </c>
      <c r="G699" s="26">
        <v>5</v>
      </c>
      <c r="H699" s="7" t="s">
        <v>295</v>
      </c>
      <c r="I699" s="7" t="s">
        <v>296</v>
      </c>
      <c r="J699" s="1">
        <v>5</v>
      </c>
      <c r="K699" s="1">
        <v>6</v>
      </c>
      <c r="L699" s="67">
        <f t="shared" si="21"/>
        <v>1</v>
      </c>
    </row>
    <row r="700" spans="1:12" x14ac:dyDescent="0.2">
      <c r="A700">
        <v>699</v>
      </c>
      <c r="B700" s="7" t="s">
        <v>356</v>
      </c>
      <c r="C700" t="s">
        <v>1311</v>
      </c>
      <c r="D700" s="65" t="str">
        <f t="shared" si="20"/>
        <v>Y</v>
      </c>
      <c r="E700" t="s">
        <v>1313</v>
      </c>
      <c r="F700" s="25" t="s">
        <v>295</v>
      </c>
      <c r="G700" s="26">
        <v>5</v>
      </c>
      <c r="H700" s="7" t="s">
        <v>295</v>
      </c>
      <c r="I700" s="7" t="s">
        <v>292</v>
      </c>
      <c r="J700" s="1">
        <v>5</v>
      </c>
      <c r="K700" s="1">
        <v>5</v>
      </c>
      <c r="L700" s="67">
        <f t="shared" si="21"/>
        <v>1</v>
      </c>
    </row>
    <row r="701" spans="1:12" x14ac:dyDescent="0.2">
      <c r="A701">
        <v>700</v>
      </c>
      <c r="B701" s="7" t="s">
        <v>372</v>
      </c>
      <c r="C701" t="s">
        <v>1311</v>
      </c>
      <c r="D701" s="65" t="str">
        <f t="shared" si="20"/>
        <v>Y</v>
      </c>
      <c r="E701" t="s">
        <v>1313</v>
      </c>
      <c r="F701" s="25" t="s">
        <v>295</v>
      </c>
      <c r="G701" s="26">
        <v>5</v>
      </c>
      <c r="H701" s="7" t="s">
        <v>298</v>
      </c>
      <c r="I701" s="7" t="s">
        <v>297</v>
      </c>
      <c r="J701" s="1">
        <v>3</v>
      </c>
      <c r="K701" s="1">
        <v>4</v>
      </c>
      <c r="L701" s="67">
        <f t="shared" si="21"/>
        <v>0</v>
      </c>
    </row>
    <row r="702" spans="1:12" x14ac:dyDescent="0.2">
      <c r="A702">
        <v>701</v>
      </c>
      <c r="B702" s="7" t="s">
        <v>356</v>
      </c>
      <c r="C702" t="s">
        <v>1311</v>
      </c>
      <c r="D702" s="65" t="str">
        <f t="shared" si="20"/>
        <v>Y</v>
      </c>
      <c r="E702" t="s">
        <v>1313</v>
      </c>
      <c r="F702" s="25" t="s">
        <v>295</v>
      </c>
      <c r="G702" s="26">
        <v>5</v>
      </c>
      <c r="H702" s="7" t="s">
        <v>299</v>
      </c>
      <c r="I702" s="7" t="s">
        <v>292</v>
      </c>
      <c r="J702" s="1">
        <v>4</v>
      </c>
      <c r="K702" s="1">
        <v>5</v>
      </c>
      <c r="L702" s="67">
        <f t="shared" si="21"/>
        <v>0</v>
      </c>
    </row>
    <row r="703" spans="1:12" x14ac:dyDescent="0.2">
      <c r="A703">
        <v>702</v>
      </c>
      <c r="B703" s="7" t="s">
        <v>356</v>
      </c>
      <c r="C703" t="s">
        <v>1311</v>
      </c>
      <c r="D703" s="65" t="str">
        <f t="shared" si="20"/>
        <v>Y</v>
      </c>
      <c r="E703" t="s">
        <v>1313</v>
      </c>
      <c r="F703" s="25" t="s">
        <v>295</v>
      </c>
      <c r="G703" s="26">
        <v>5</v>
      </c>
      <c r="H703" s="7" t="s">
        <v>295</v>
      </c>
      <c r="I703" s="7" t="s">
        <v>296</v>
      </c>
      <c r="J703" s="1">
        <v>5</v>
      </c>
      <c r="K703" s="1">
        <v>6</v>
      </c>
      <c r="L703" s="67">
        <f t="shared" si="21"/>
        <v>1</v>
      </c>
    </row>
    <row r="704" spans="1:12" x14ac:dyDescent="0.2">
      <c r="A704">
        <v>703</v>
      </c>
      <c r="B704" s="7" t="s">
        <v>372</v>
      </c>
      <c r="C704" t="s">
        <v>1311</v>
      </c>
      <c r="D704" s="65" t="str">
        <f t="shared" si="20"/>
        <v>Y</v>
      </c>
      <c r="E704" t="s">
        <v>1313</v>
      </c>
      <c r="F704" s="25" t="s">
        <v>295</v>
      </c>
      <c r="G704" s="26">
        <v>5</v>
      </c>
      <c r="H704" s="7" t="s">
        <v>295</v>
      </c>
      <c r="I704" s="7" t="s">
        <v>294</v>
      </c>
      <c r="J704" s="1">
        <v>5</v>
      </c>
      <c r="K704" s="1">
        <v>7</v>
      </c>
      <c r="L704" s="67">
        <f t="shared" si="21"/>
        <v>1</v>
      </c>
    </row>
    <row r="705" spans="1:12" x14ac:dyDescent="0.2">
      <c r="A705">
        <v>704</v>
      </c>
      <c r="B705" s="7" t="s">
        <v>372</v>
      </c>
      <c r="C705" t="s">
        <v>1311</v>
      </c>
      <c r="D705" s="65" t="str">
        <f t="shared" si="20"/>
        <v>Y</v>
      </c>
      <c r="E705" t="s">
        <v>1313</v>
      </c>
      <c r="F705" s="25" t="s">
        <v>295</v>
      </c>
      <c r="G705" s="26">
        <v>5</v>
      </c>
      <c r="H705" s="7" t="s">
        <v>295</v>
      </c>
      <c r="I705" s="7" t="s">
        <v>297</v>
      </c>
      <c r="J705" s="1">
        <v>5</v>
      </c>
      <c r="K705" s="1">
        <v>4</v>
      </c>
      <c r="L705" s="67">
        <f t="shared" si="21"/>
        <v>1</v>
      </c>
    </row>
    <row r="706" spans="1:12" x14ac:dyDescent="0.2">
      <c r="A706">
        <v>705</v>
      </c>
      <c r="B706" s="7" t="s">
        <v>356</v>
      </c>
      <c r="C706" t="s">
        <v>1311</v>
      </c>
      <c r="D706" s="65" t="str">
        <f t="shared" si="20"/>
        <v>Y</v>
      </c>
      <c r="E706" t="s">
        <v>1313</v>
      </c>
      <c r="F706" s="25" t="s">
        <v>295</v>
      </c>
      <c r="G706" s="26">
        <v>5</v>
      </c>
      <c r="H706" s="7" t="s">
        <v>298</v>
      </c>
      <c r="I706" s="7" t="s">
        <v>292</v>
      </c>
      <c r="J706" s="1">
        <v>3</v>
      </c>
      <c r="K706" s="1">
        <v>5</v>
      </c>
      <c r="L706" s="67">
        <f t="shared" si="21"/>
        <v>0</v>
      </c>
    </row>
    <row r="707" spans="1:12" x14ac:dyDescent="0.2">
      <c r="A707">
        <v>706</v>
      </c>
      <c r="B707" s="7" t="s">
        <v>356</v>
      </c>
      <c r="C707" t="s">
        <v>1311</v>
      </c>
      <c r="D707" s="65" t="str">
        <f t="shared" ref="D707:D770" si="22">IF($E707="iso", "N", IF(OR($E707="non", $E707="emd", $E707="dyn"), "Y", "ERROR"))</f>
        <v>Y</v>
      </c>
      <c r="E707" t="s">
        <v>1313</v>
      </c>
      <c r="F707" s="25" t="s">
        <v>295</v>
      </c>
      <c r="G707" s="26">
        <v>5</v>
      </c>
      <c r="H707" s="7" t="s">
        <v>298</v>
      </c>
      <c r="I707" s="7" t="s">
        <v>296</v>
      </c>
      <c r="J707" s="1">
        <v>3</v>
      </c>
      <c r="K707" s="1">
        <v>6</v>
      </c>
      <c r="L707" s="67">
        <f t="shared" ref="L707:L770" si="23">IF(G707=J707, 1, 0)</f>
        <v>0</v>
      </c>
    </row>
    <row r="708" spans="1:12" x14ac:dyDescent="0.2">
      <c r="A708">
        <v>707</v>
      </c>
      <c r="B708" s="7" t="s">
        <v>372</v>
      </c>
      <c r="C708" t="s">
        <v>1311</v>
      </c>
      <c r="D708" s="65" t="str">
        <f t="shared" si="22"/>
        <v>Y</v>
      </c>
      <c r="E708" t="s">
        <v>1313</v>
      </c>
      <c r="F708" s="25" t="s">
        <v>295</v>
      </c>
      <c r="G708" s="26">
        <v>5</v>
      </c>
      <c r="H708" s="7" t="s">
        <v>299</v>
      </c>
      <c r="I708" s="7" t="s">
        <v>297</v>
      </c>
      <c r="J708" s="1">
        <v>4</v>
      </c>
      <c r="K708" s="1">
        <v>4</v>
      </c>
      <c r="L708" s="67">
        <f t="shared" si="23"/>
        <v>0</v>
      </c>
    </row>
    <row r="709" spans="1:12" x14ac:dyDescent="0.2">
      <c r="A709">
        <v>708</v>
      </c>
      <c r="B709" s="7" t="s">
        <v>356</v>
      </c>
      <c r="C709" t="s">
        <v>1311</v>
      </c>
      <c r="D709" s="65" t="str">
        <f t="shared" si="22"/>
        <v>Y</v>
      </c>
      <c r="E709" t="s">
        <v>1313</v>
      </c>
      <c r="F709" s="25" t="s">
        <v>295</v>
      </c>
      <c r="G709" s="26">
        <v>5</v>
      </c>
      <c r="H709" s="7" t="s">
        <v>295</v>
      </c>
      <c r="I709" s="7" t="s">
        <v>292</v>
      </c>
      <c r="J709" s="1">
        <v>5</v>
      </c>
      <c r="K709" s="1">
        <v>5</v>
      </c>
      <c r="L709" s="67">
        <f t="shared" si="23"/>
        <v>1</v>
      </c>
    </row>
    <row r="710" spans="1:12" x14ac:dyDescent="0.2">
      <c r="A710">
        <v>709</v>
      </c>
      <c r="B710" s="7" t="s">
        <v>372</v>
      </c>
      <c r="C710" t="s">
        <v>1311</v>
      </c>
      <c r="D710" s="65" t="str">
        <f t="shared" si="22"/>
        <v>Y</v>
      </c>
      <c r="E710" t="s">
        <v>1313</v>
      </c>
      <c r="F710" s="25" t="s">
        <v>295</v>
      </c>
      <c r="G710" s="26">
        <v>5</v>
      </c>
      <c r="H710" s="7" t="s">
        <v>298</v>
      </c>
      <c r="I710" s="7" t="s">
        <v>296</v>
      </c>
      <c r="J710" s="1">
        <v>3</v>
      </c>
      <c r="K710" s="1">
        <v>6</v>
      </c>
      <c r="L710" s="67">
        <f t="shared" si="23"/>
        <v>0</v>
      </c>
    </row>
    <row r="711" spans="1:12" x14ac:dyDescent="0.2">
      <c r="A711">
        <v>710</v>
      </c>
      <c r="B711" s="7" t="s">
        <v>356</v>
      </c>
      <c r="C711" t="s">
        <v>1311</v>
      </c>
      <c r="D711" s="65" t="str">
        <f t="shared" si="22"/>
        <v>Y</v>
      </c>
      <c r="E711" t="s">
        <v>1313</v>
      </c>
      <c r="F711" s="25" t="s">
        <v>295</v>
      </c>
      <c r="G711" s="26">
        <v>5</v>
      </c>
      <c r="H711" s="7" t="s">
        <v>295</v>
      </c>
      <c r="I711" s="7" t="s">
        <v>296</v>
      </c>
      <c r="J711" s="1">
        <v>5</v>
      </c>
      <c r="K711" s="1">
        <v>6</v>
      </c>
      <c r="L711" s="67">
        <f t="shared" si="23"/>
        <v>1</v>
      </c>
    </row>
    <row r="712" spans="1:12" x14ac:dyDescent="0.2">
      <c r="A712">
        <v>711</v>
      </c>
      <c r="B712" s="7" t="s">
        <v>372</v>
      </c>
      <c r="C712" t="s">
        <v>1311</v>
      </c>
      <c r="D712" s="65" t="str">
        <f t="shared" si="22"/>
        <v>Y</v>
      </c>
      <c r="E712" t="s">
        <v>1313</v>
      </c>
      <c r="F712" s="25" t="s">
        <v>295</v>
      </c>
      <c r="G712" s="26">
        <v>5</v>
      </c>
      <c r="H712" s="7" t="s">
        <v>295</v>
      </c>
      <c r="I712" s="7" t="s">
        <v>292</v>
      </c>
      <c r="J712" s="1">
        <v>5</v>
      </c>
      <c r="K712" s="1">
        <v>5</v>
      </c>
      <c r="L712" s="67">
        <f t="shared" si="23"/>
        <v>1</v>
      </c>
    </row>
    <row r="713" spans="1:12" x14ac:dyDescent="0.2">
      <c r="A713">
        <v>712</v>
      </c>
      <c r="B713" s="7" t="s">
        <v>356</v>
      </c>
      <c r="C713" t="s">
        <v>1311</v>
      </c>
      <c r="D713" s="65" t="str">
        <f t="shared" si="22"/>
        <v>Y</v>
      </c>
      <c r="E713" t="s">
        <v>1313</v>
      </c>
      <c r="F713" s="25" t="s">
        <v>298</v>
      </c>
      <c r="G713" s="26">
        <v>3</v>
      </c>
      <c r="H713" s="7" t="s">
        <v>298</v>
      </c>
      <c r="I713" s="7" t="s">
        <v>292</v>
      </c>
      <c r="J713" s="1">
        <v>3</v>
      </c>
      <c r="K713" s="1">
        <v>5</v>
      </c>
      <c r="L713" s="67">
        <f t="shared" si="23"/>
        <v>1</v>
      </c>
    </row>
    <row r="714" spans="1:12" x14ac:dyDescent="0.2">
      <c r="A714">
        <v>713</v>
      </c>
      <c r="B714" s="7" t="s">
        <v>372</v>
      </c>
      <c r="C714" t="s">
        <v>1311</v>
      </c>
      <c r="D714" s="65" t="str">
        <f t="shared" si="22"/>
        <v>Y</v>
      </c>
      <c r="E714" t="s">
        <v>1313</v>
      </c>
      <c r="F714" s="25" t="s">
        <v>298</v>
      </c>
      <c r="G714" s="26">
        <v>3</v>
      </c>
      <c r="H714" s="7" t="s">
        <v>295</v>
      </c>
      <c r="I714" s="7" t="s">
        <v>292</v>
      </c>
      <c r="J714" s="1">
        <v>5</v>
      </c>
      <c r="K714" s="1">
        <v>5</v>
      </c>
      <c r="L714" s="67">
        <f t="shared" si="23"/>
        <v>0</v>
      </c>
    </row>
    <row r="715" spans="1:12" x14ac:dyDescent="0.2">
      <c r="A715">
        <v>714</v>
      </c>
      <c r="B715" s="7" t="s">
        <v>372</v>
      </c>
      <c r="C715" t="s">
        <v>1311</v>
      </c>
      <c r="D715" s="65" t="str">
        <f t="shared" si="22"/>
        <v>Y</v>
      </c>
      <c r="E715" t="s">
        <v>1313</v>
      </c>
      <c r="F715" s="25" t="s">
        <v>298</v>
      </c>
      <c r="G715" s="26">
        <v>3</v>
      </c>
      <c r="H715" s="7" t="s">
        <v>298</v>
      </c>
      <c r="I715" s="7" t="s">
        <v>292</v>
      </c>
      <c r="J715" s="1">
        <v>3</v>
      </c>
      <c r="K715" s="1">
        <v>5</v>
      </c>
      <c r="L715" s="67">
        <f t="shared" si="23"/>
        <v>1</v>
      </c>
    </row>
    <row r="716" spans="1:12" x14ac:dyDescent="0.2">
      <c r="A716">
        <v>715</v>
      </c>
      <c r="B716" s="7" t="s">
        <v>356</v>
      </c>
      <c r="C716" t="s">
        <v>1311</v>
      </c>
      <c r="D716" s="65" t="str">
        <f t="shared" si="22"/>
        <v>Y</v>
      </c>
      <c r="E716" t="s">
        <v>1313</v>
      </c>
      <c r="F716" s="25" t="s">
        <v>298</v>
      </c>
      <c r="G716" s="26">
        <v>3</v>
      </c>
      <c r="H716" s="7" t="s">
        <v>298</v>
      </c>
      <c r="I716" s="7" t="s">
        <v>292</v>
      </c>
      <c r="J716" s="1">
        <v>3</v>
      </c>
      <c r="K716" s="1">
        <v>5</v>
      </c>
      <c r="L716" s="67">
        <f t="shared" si="23"/>
        <v>1</v>
      </c>
    </row>
    <row r="717" spans="1:12" x14ac:dyDescent="0.2">
      <c r="A717">
        <v>716</v>
      </c>
      <c r="B717" s="7" t="s">
        <v>372</v>
      </c>
      <c r="C717" t="s">
        <v>1311</v>
      </c>
      <c r="D717" s="65" t="str">
        <f t="shared" si="22"/>
        <v>Y</v>
      </c>
      <c r="E717" t="s">
        <v>1313</v>
      </c>
      <c r="F717" s="25" t="s">
        <v>298</v>
      </c>
      <c r="G717" s="26">
        <v>3</v>
      </c>
      <c r="H717" s="7" t="s">
        <v>298</v>
      </c>
      <c r="I717" s="7" t="s">
        <v>292</v>
      </c>
      <c r="J717" s="1">
        <v>3</v>
      </c>
      <c r="K717" s="1">
        <v>5</v>
      </c>
      <c r="L717" s="67">
        <f t="shared" si="23"/>
        <v>1</v>
      </c>
    </row>
    <row r="718" spans="1:12" x14ac:dyDescent="0.2">
      <c r="A718">
        <v>717</v>
      </c>
      <c r="B718" s="7" t="s">
        <v>356</v>
      </c>
      <c r="C718" t="s">
        <v>1311</v>
      </c>
      <c r="D718" s="65" t="str">
        <f t="shared" si="22"/>
        <v>Y</v>
      </c>
      <c r="E718" t="s">
        <v>1313</v>
      </c>
      <c r="F718" s="25" t="s">
        <v>298</v>
      </c>
      <c r="G718" s="26">
        <v>3</v>
      </c>
      <c r="H718" s="7" t="s">
        <v>298</v>
      </c>
      <c r="I718" s="7" t="s">
        <v>330</v>
      </c>
      <c r="J718" s="1">
        <v>3</v>
      </c>
      <c r="K718" s="1">
        <v>3</v>
      </c>
      <c r="L718" s="67">
        <f t="shared" si="23"/>
        <v>1</v>
      </c>
    </row>
    <row r="719" spans="1:12" x14ac:dyDescent="0.2">
      <c r="A719">
        <v>718</v>
      </c>
      <c r="B719" s="7" t="s">
        <v>372</v>
      </c>
      <c r="C719" t="s">
        <v>1311</v>
      </c>
      <c r="D719" s="65" t="str">
        <f t="shared" si="22"/>
        <v>Y</v>
      </c>
      <c r="E719" t="s">
        <v>1313</v>
      </c>
      <c r="F719" s="25" t="s">
        <v>298</v>
      </c>
      <c r="G719" s="26">
        <v>3</v>
      </c>
      <c r="H719" s="7" t="s">
        <v>298</v>
      </c>
      <c r="I719" s="7" t="s">
        <v>292</v>
      </c>
      <c r="J719" s="1">
        <v>3</v>
      </c>
      <c r="K719" s="1">
        <v>5</v>
      </c>
      <c r="L719" s="67">
        <f t="shared" si="23"/>
        <v>1</v>
      </c>
    </row>
    <row r="720" spans="1:12" x14ac:dyDescent="0.2">
      <c r="A720">
        <v>719</v>
      </c>
      <c r="B720" s="7" t="s">
        <v>356</v>
      </c>
      <c r="C720" t="s">
        <v>1311</v>
      </c>
      <c r="D720" s="65" t="str">
        <f t="shared" si="22"/>
        <v>Y</v>
      </c>
      <c r="E720" t="s">
        <v>1313</v>
      </c>
      <c r="F720" s="25" t="s">
        <v>298</v>
      </c>
      <c r="G720" s="26">
        <v>3</v>
      </c>
      <c r="H720" s="7" t="s">
        <v>298</v>
      </c>
      <c r="I720" s="7" t="s">
        <v>292</v>
      </c>
      <c r="J720" s="1">
        <v>3</v>
      </c>
      <c r="K720" s="1">
        <v>5</v>
      </c>
      <c r="L720" s="67">
        <f t="shared" si="23"/>
        <v>1</v>
      </c>
    </row>
    <row r="721" spans="1:12" x14ac:dyDescent="0.2">
      <c r="A721">
        <v>720</v>
      </c>
      <c r="B721" s="7" t="s">
        <v>372</v>
      </c>
      <c r="C721" t="s">
        <v>1311</v>
      </c>
      <c r="D721" s="65" t="str">
        <f t="shared" si="22"/>
        <v>Y</v>
      </c>
      <c r="E721" t="s">
        <v>1313</v>
      </c>
      <c r="F721" s="25" t="s">
        <v>298</v>
      </c>
      <c r="G721" s="26">
        <v>3</v>
      </c>
      <c r="H721" s="7" t="s">
        <v>298</v>
      </c>
      <c r="I721" s="7" t="s">
        <v>296</v>
      </c>
      <c r="J721" s="1">
        <v>3</v>
      </c>
      <c r="K721" s="1">
        <v>6</v>
      </c>
      <c r="L721" s="67">
        <f t="shared" si="23"/>
        <v>1</v>
      </c>
    </row>
    <row r="722" spans="1:12" x14ac:dyDescent="0.2">
      <c r="A722">
        <v>721</v>
      </c>
      <c r="B722" s="7" t="s">
        <v>356</v>
      </c>
      <c r="C722" t="s">
        <v>1311</v>
      </c>
      <c r="D722" s="65" t="str">
        <f t="shared" si="22"/>
        <v>Y</v>
      </c>
      <c r="E722" t="s">
        <v>1313</v>
      </c>
      <c r="F722" s="25" t="s">
        <v>298</v>
      </c>
      <c r="G722" s="26">
        <v>3</v>
      </c>
      <c r="H722" s="7" t="s">
        <v>291</v>
      </c>
      <c r="I722" s="7" t="s">
        <v>297</v>
      </c>
      <c r="J722" s="1">
        <v>1</v>
      </c>
      <c r="K722" s="1">
        <v>4</v>
      </c>
      <c r="L722" s="67">
        <f t="shared" si="23"/>
        <v>0</v>
      </c>
    </row>
    <row r="723" spans="1:12" x14ac:dyDescent="0.2">
      <c r="A723">
        <v>722</v>
      </c>
      <c r="B723" s="7" t="s">
        <v>356</v>
      </c>
      <c r="C723" t="s">
        <v>1311</v>
      </c>
      <c r="D723" s="65" t="str">
        <f t="shared" si="22"/>
        <v>Y</v>
      </c>
      <c r="E723" t="s">
        <v>1313</v>
      </c>
      <c r="F723" s="25" t="s">
        <v>298</v>
      </c>
      <c r="G723" s="26">
        <v>3</v>
      </c>
      <c r="H723" s="7" t="s">
        <v>293</v>
      </c>
      <c r="I723" s="7" t="s">
        <v>294</v>
      </c>
      <c r="J723" s="1">
        <v>2</v>
      </c>
      <c r="K723" s="1">
        <v>7</v>
      </c>
      <c r="L723" s="67">
        <f t="shared" si="23"/>
        <v>0</v>
      </c>
    </row>
    <row r="724" spans="1:12" x14ac:dyDescent="0.2">
      <c r="A724">
        <v>723</v>
      </c>
      <c r="B724" s="7" t="s">
        <v>372</v>
      </c>
      <c r="C724" t="s">
        <v>1311</v>
      </c>
      <c r="D724" s="65" t="str">
        <f t="shared" si="22"/>
        <v>Y</v>
      </c>
      <c r="E724" t="s">
        <v>1313</v>
      </c>
      <c r="F724" s="25" t="s">
        <v>298</v>
      </c>
      <c r="G724" s="26">
        <v>3</v>
      </c>
      <c r="H724" s="7" t="s">
        <v>298</v>
      </c>
      <c r="I724" s="7" t="s">
        <v>296</v>
      </c>
      <c r="J724" s="1">
        <v>3</v>
      </c>
      <c r="K724" s="1">
        <v>6</v>
      </c>
      <c r="L724" s="67">
        <f t="shared" si="23"/>
        <v>1</v>
      </c>
    </row>
    <row r="725" spans="1:12" x14ac:dyDescent="0.2">
      <c r="A725">
        <v>724</v>
      </c>
      <c r="B725" s="7" t="s">
        <v>356</v>
      </c>
      <c r="C725" t="s">
        <v>1311</v>
      </c>
      <c r="D725" s="65" t="str">
        <f t="shared" si="22"/>
        <v>Y</v>
      </c>
      <c r="E725" t="s">
        <v>1313</v>
      </c>
      <c r="F725" s="25" t="s">
        <v>298</v>
      </c>
      <c r="G725" s="26">
        <v>3</v>
      </c>
      <c r="H725" s="7" t="s">
        <v>298</v>
      </c>
      <c r="I725" s="7" t="s">
        <v>296</v>
      </c>
      <c r="J725" s="1">
        <v>3</v>
      </c>
      <c r="K725" s="1">
        <v>6</v>
      </c>
      <c r="L725" s="67">
        <f t="shared" si="23"/>
        <v>1</v>
      </c>
    </row>
    <row r="726" spans="1:12" x14ac:dyDescent="0.2">
      <c r="A726">
        <v>725</v>
      </c>
      <c r="B726" s="7" t="s">
        <v>372</v>
      </c>
      <c r="C726" t="s">
        <v>1311</v>
      </c>
      <c r="D726" s="65" t="str">
        <f t="shared" si="22"/>
        <v>Y</v>
      </c>
      <c r="E726" t="s">
        <v>1313</v>
      </c>
      <c r="F726" s="25" t="s">
        <v>298</v>
      </c>
      <c r="G726" s="26">
        <v>3</v>
      </c>
      <c r="H726" s="7" t="s">
        <v>298</v>
      </c>
      <c r="I726" s="7" t="s">
        <v>292</v>
      </c>
      <c r="J726" s="1">
        <v>3</v>
      </c>
      <c r="K726" s="1">
        <v>5</v>
      </c>
      <c r="L726" s="67">
        <f t="shared" si="23"/>
        <v>1</v>
      </c>
    </row>
    <row r="727" spans="1:12" x14ac:dyDescent="0.2">
      <c r="A727">
        <v>726</v>
      </c>
      <c r="B727" s="7" t="s">
        <v>356</v>
      </c>
      <c r="C727" t="s">
        <v>1311</v>
      </c>
      <c r="D727" s="65" t="str">
        <f t="shared" si="22"/>
        <v>Y</v>
      </c>
      <c r="E727" t="s">
        <v>1313</v>
      </c>
      <c r="F727" s="25" t="s">
        <v>298</v>
      </c>
      <c r="G727" s="26">
        <v>3</v>
      </c>
      <c r="H727" s="7" t="s">
        <v>298</v>
      </c>
      <c r="I727" s="7" t="s">
        <v>296</v>
      </c>
      <c r="J727" s="1">
        <v>3</v>
      </c>
      <c r="K727" s="1">
        <v>6</v>
      </c>
      <c r="L727" s="67">
        <f t="shared" si="23"/>
        <v>1</v>
      </c>
    </row>
    <row r="728" spans="1:12" x14ac:dyDescent="0.2">
      <c r="A728">
        <v>727</v>
      </c>
      <c r="B728" s="7" t="s">
        <v>372</v>
      </c>
      <c r="C728" t="s">
        <v>1311</v>
      </c>
      <c r="D728" s="65" t="str">
        <f t="shared" si="22"/>
        <v>Y</v>
      </c>
      <c r="E728" t="s">
        <v>1313</v>
      </c>
      <c r="F728" s="25" t="s">
        <v>298</v>
      </c>
      <c r="G728" s="26">
        <v>3</v>
      </c>
      <c r="H728" s="7" t="s">
        <v>295</v>
      </c>
      <c r="I728" s="7" t="s">
        <v>292</v>
      </c>
      <c r="J728" s="1">
        <v>5</v>
      </c>
      <c r="K728" s="1">
        <v>5</v>
      </c>
      <c r="L728" s="67">
        <f t="shared" si="23"/>
        <v>0</v>
      </c>
    </row>
    <row r="729" spans="1:12" x14ac:dyDescent="0.2">
      <c r="A729">
        <v>728</v>
      </c>
      <c r="B729" s="7" t="s">
        <v>372</v>
      </c>
      <c r="C729" t="s">
        <v>1311</v>
      </c>
      <c r="D729" s="65" t="str">
        <f t="shared" si="22"/>
        <v>Y</v>
      </c>
      <c r="E729" t="s">
        <v>1313</v>
      </c>
      <c r="F729" s="25" t="s">
        <v>298</v>
      </c>
      <c r="G729" s="26">
        <v>3</v>
      </c>
      <c r="H729" s="7" t="s">
        <v>298</v>
      </c>
      <c r="I729" s="7" t="s">
        <v>297</v>
      </c>
      <c r="J729" s="1">
        <v>3</v>
      </c>
      <c r="K729" s="1">
        <v>4</v>
      </c>
      <c r="L729" s="67">
        <f t="shared" si="23"/>
        <v>1</v>
      </c>
    </row>
    <row r="730" spans="1:12" x14ac:dyDescent="0.2">
      <c r="A730">
        <v>729</v>
      </c>
      <c r="B730" s="7" t="s">
        <v>356</v>
      </c>
      <c r="C730" t="s">
        <v>1311</v>
      </c>
      <c r="D730" s="65" t="str">
        <f t="shared" si="22"/>
        <v>Y</v>
      </c>
      <c r="E730" t="s">
        <v>1313</v>
      </c>
      <c r="F730" s="25" t="s">
        <v>298</v>
      </c>
      <c r="G730" s="26">
        <v>3</v>
      </c>
      <c r="H730" s="7" t="s">
        <v>299</v>
      </c>
      <c r="I730" s="7" t="s">
        <v>292</v>
      </c>
      <c r="J730" s="1">
        <v>4</v>
      </c>
      <c r="K730" s="1">
        <v>5</v>
      </c>
      <c r="L730" s="67">
        <f t="shared" si="23"/>
        <v>0</v>
      </c>
    </row>
    <row r="731" spans="1:12" x14ac:dyDescent="0.2">
      <c r="A731">
        <v>730</v>
      </c>
      <c r="B731" s="7" t="s">
        <v>356</v>
      </c>
      <c r="C731" t="s">
        <v>1311</v>
      </c>
      <c r="D731" s="65" t="str">
        <f t="shared" si="22"/>
        <v>Y</v>
      </c>
      <c r="E731" t="s">
        <v>1313</v>
      </c>
      <c r="F731" s="25" t="s">
        <v>298</v>
      </c>
      <c r="G731" s="26">
        <v>3</v>
      </c>
      <c r="H731" s="7" t="s">
        <v>282</v>
      </c>
      <c r="I731" s="7" t="s">
        <v>297</v>
      </c>
      <c r="J731" s="4" t="s">
        <v>282</v>
      </c>
      <c r="K731" s="1">
        <v>4</v>
      </c>
      <c r="L731" s="67">
        <f t="shared" si="23"/>
        <v>0</v>
      </c>
    </row>
    <row r="732" spans="1:12" x14ac:dyDescent="0.2">
      <c r="A732">
        <v>731</v>
      </c>
      <c r="B732" s="7" t="s">
        <v>372</v>
      </c>
      <c r="C732" t="s">
        <v>1311</v>
      </c>
      <c r="D732" s="65" t="str">
        <f t="shared" si="22"/>
        <v>Y</v>
      </c>
      <c r="E732" t="s">
        <v>1313</v>
      </c>
      <c r="F732" s="25" t="s">
        <v>298</v>
      </c>
      <c r="G732" s="26">
        <v>3</v>
      </c>
      <c r="H732" s="7" t="s">
        <v>291</v>
      </c>
      <c r="I732" s="7" t="s">
        <v>297</v>
      </c>
      <c r="J732" s="1">
        <v>1</v>
      </c>
      <c r="K732" s="1">
        <v>4</v>
      </c>
      <c r="L732" s="67">
        <f t="shared" si="23"/>
        <v>0</v>
      </c>
    </row>
    <row r="733" spans="1:12" x14ac:dyDescent="0.2">
      <c r="A733">
        <v>732</v>
      </c>
      <c r="B733" s="7" t="s">
        <v>356</v>
      </c>
      <c r="C733" t="s">
        <v>1311</v>
      </c>
      <c r="D733" s="65" t="str">
        <f t="shared" si="22"/>
        <v>Y</v>
      </c>
      <c r="E733" t="s">
        <v>1313</v>
      </c>
      <c r="F733" s="25" t="s">
        <v>298</v>
      </c>
      <c r="G733" s="26">
        <v>3</v>
      </c>
      <c r="H733" s="7" t="s">
        <v>299</v>
      </c>
      <c r="I733" s="7" t="s">
        <v>292</v>
      </c>
      <c r="J733" s="1">
        <v>4</v>
      </c>
      <c r="K733" s="1">
        <v>5</v>
      </c>
      <c r="L733" s="67">
        <f t="shared" si="23"/>
        <v>0</v>
      </c>
    </row>
    <row r="734" spans="1:12" x14ac:dyDescent="0.2">
      <c r="A734">
        <v>733</v>
      </c>
      <c r="B734" s="7" t="s">
        <v>356</v>
      </c>
      <c r="C734" t="s">
        <v>1311</v>
      </c>
      <c r="D734" s="65" t="str">
        <f t="shared" si="22"/>
        <v>Y</v>
      </c>
      <c r="E734" t="s">
        <v>1313</v>
      </c>
      <c r="F734" s="25" t="s">
        <v>298</v>
      </c>
      <c r="G734" s="26">
        <v>3</v>
      </c>
      <c r="H734" s="7" t="s">
        <v>298</v>
      </c>
      <c r="I734" s="7" t="s">
        <v>296</v>
      </c>
      <c r="J734" s="1">
        <v>3</v>
      </c>
      <c r="K734" s="1">
        <v>6</v>
      </c>
      <c r="L734" s="67">
        <f t="shared" si="23"/>
        <v>1</v>
      </c>
    </row>
    <row r="735" spans="1:12" x14ac:dyDescent="0.2">
      <c r="A735">
        <v>734</v>
      </c>
      <c r="B735" s="7" t="s">
        <v>372</v>
      </c>
      <c r="C735" t="s">
        <v>1311</v>
      </c>
      <c r="D735" s="65" t="str">
        <f t="shared" si="22"/>
        <v>Y</v>
      </c>
      <c r="E735" t="s">
        <v>1313</v>
      </c>
      <c r="F735" s="25" t="s">
        <v>298</v>
      </c>
      <c r="G735" s="26">
        <v>3</v>
      </c>
      <c r="H735" s="7" t="s">
        <v>293</v>
      </c>
      <c r="I735" s="7" t="s">
        <v>294</v>
      </c>
      <c r="J735" s="1">
        <v>2</v>
      </c>
      <c r="K735" s="1">
        <v>7</v>
      </c>
      <c r="L735" s="67">
        <f t="shared" si="23"/>
        <v>0</v>
      </c>
    </row>
    <row r="736" spans="1:12" x14ac:dyDescent="0.2">
      <c r="A736">
        <v>735</v>
      </c>
      <c r="B736" s="7" t="s">
        <v>372</v>
      </c>
      <c r="C736" t="s">
        <v>1311</v>
      </c>
      <c r="D736" s="65" t="str">
        <f t="shared" si="22"/>
        <v>Y</v>
      </c>
      <c r="E736" t="s">
        <v>1313</v>
      </c>
      <c r="F736" s="25" t="s">
        <v>298</v>
      </c>
      <c r="G736" s="26">
        <v>3</v>
      </c>
      <c r="H736" s="7" t="s">
        <v>298</v>
      </c>
      <c r="I736" s="7" t="s">
        <v>296</v>
      </c>
      <c r="J736" s="1">
        <v>3</v>
      </c>
      <c r="K736" s="1">
        <v>6</v>
      </c>
      <c r="L736" s="67">
        <f t="shared" si="23"/>
        <v>1</v>
      </c>
    </row>
    <row r="737" spans="1:12" x14ac:dyDescent="0.2">
      <c r="A737">
        <v>736</v>
      </c>
      <c r="B737" s="7" t="s">
        <v>356</v>
      </c>
      <c r="C737" t="s">
        <v>1311</v>
      </c>
      <c r="D737" s="65" t="str">
        <f t="shared" si="22"/>
        <v>Y</v>
      </c>
      <c r="E737" t="s">
        <v>1313</v>
      </c>
      <c r="F737" s="25" t="s">
        <v>298</v>
      </c>
      <c r="G737" s="26">
        <v>3</v>
      </c>
      <c r="H737" s="7" t="s">
        <v>298</v>
      </c>
      <c r="I737" s="7" t="s">
        <v>292</v>
      </c>
      <c r="J737" s="1">
        <v>3</v>
      </c>
      <c r="K737" s="1">
        <v>5</v>
      </c>
      <c r="L737" s="67">
        <f t="shared" si="23"/>
        <v>1</v>
      </c>
    </row>
    <row r="738" spans="1:12" x14ac:dyDescent="0.2">
      <c r="A738">
        <v>737</v>
      </c>
      <c r="B738" s="7" t="s">
        <v>356</v>
      </c>
      <c r="C738" t="s">
        <v>1311</v>
      </c>
      <c r="D738" s="65" t="str">
        <f t="shared" si="22"/>
        <v>Y</v>
      </c>
      <c r="E738" t="s">
        <v>1313</v>
      </c>
      <c r="F738" s="25" t="s">
        <v>298</v>
      </c>
      <c r="G738" s="26">
        <v>3</v>
      </c>
      <c r="H738" s="7" t="s">
        <v>298</v>
      </c>
      <c r="I738" s="7" t="s">
        <v>292</v>
      </c>
      <c r="J738" s="1">
        <v>3</v>
      </c>
      <c r="K738" s="1">
        <v>5</v>
      </c>
      <c r="L738" s="67">
        <f t="shared" si="23"/>
        <v>1</v>
      </c>
    </row>
    <row r="739" spans="1:12" x14ac:dyDescent="0.2">
      <c r="A739">
        <v>738</v>
      </c>
      <c r="B739" s="7" t="s">
        <v>372</v>
      </c>
      <c r="C739" t="s">
        <v>1311</v>
      </c>
      <c r="D739" s="65" t="str">
        <f t="shared" si="22"/>
        <v>Y</v>
      </c>
      <c r="E739" t="s">
        <v>1313</v>
      </c>
      <c r="F739" s="25" t="s">
        <v>298</v>
      </c>
      <c r="G739" s="26">
        <v>3</v>
      </c>
      <c r="H739" s="7" t="s">
        <v>298</v>
      </c>
      <c r="I739" s="7" t="s">
        <v>292</v>
      </c>
      <c r="J739" s="1">
        <v>3</v>
      </c>
      <c r="K739" s="1">
        <v>5</v>
      </c>
      <c r="L739" s="67">
        <f t="shared" si="23"/>
        <v>1</v>
      </c>
    </row>
    <row r="740" spans="1:12" x14ac:dyDescent="0.2">
      <c r="A740">
        <v>739</v>
      </c>
      <c r="B740" s="7" t="s">
        <v>356</v>
      </c>
      <c r="C740" t="s">
        <v>1311</v>
      </c>
      <c r="D740" s="65" t="str">
        <f t="shared" si="22"/>
        <v>Y</v>
      </c>
      <c r="E740" t="s">
        <v>1313</v>
      </c>
      <c r="F740" s="25" t="s">
        <v>298</v>
      </c>
      <c r="G740" s="26">
        <v>3</v>
      </c>
      <c r="H740" s="7" t="s">
        <v>298</v>
      </c>
      <c r="I740" s="7" t="s">
        <v>296</v>
      </c>
      <c r="J740" s="1">
        <v>3</v>
      </c>
      <c r="K740" s="1">
        <v>6</v>
      </c>
      <c r="L740" s="67">
        <f t="shared" si="23"/>
        <v>1</v>
      </c>
    </row>
    <row r="741" spans="1:12" x14ac:dyDescent="0.2">
      <c r="A741">
        <v>740</v>
      </c>
      <c r="B741" s="7" t="s">
        <v>372</v>
      </c>
      <c r="C741" t="s">
        <v>1311</v>
      </c>
      <c r="D741" s="65" t="str">
        <f t="shared" si="22"/>
        <v>Y</v>
      </c>
      <c r="E741" t="s">
        <v>1313</v>
      </c>
      <c r="F741" s="25" t="s">
        <v>298</v>
      </c>
      <c r="G741" s="26">
        <v>3</v>
      </c>
      <c r="H741" s="7" t="s">
        <v>291</v>
      </c>
      <c r="I741" s="7" t="s">
        <v>297</v>
      </c>
      <c r="J741" s="1">
        <v>1</v>
      </c>
      <c r="K741" s="1">
        <v>4</v>
      </c>
      <c r="L741" s="67">
        <f t="shared" si="23"/>
        <v>0</v>
      </c>
    </row>
    <row r="742" spans="1:12" x14ac:dyDescent="0.2">
      <c r="A742">
        <v>741</v>
      </c>
      <c r="B742" s="7" t="s">
        <v>356</v>
      </c>
      <c r="C742" t="s">
        <v>1311</v>
      </c>
      <c r="D742" s="65" t="str">
        <f t="shared" si="22"/>
        <v>Y</v>
      </c>
      <c r="E742" t="s">
        <v>1313</v>
      </c>
      <c r="F742" s="25" t="s">
        <v>298</v>
      </c>
      <c r="G742" s="26">
        <v>3</v>
      </c>
      <c r="H742" s="7" t="s">
        <v>291</v>
      </c>
      <c r="I742" s="7" t="s">
        <v>296</v>
      </c>
      <c r="J742" s="1">
        <v>1</v>
      </c>
      <c r="K742" s="1">
        <v>6</v>
      </c>
      <c r="L742" s="67">
        <f t="shared" si="23"/>
        <v>0</v>
      </c>
    </row>
    <row r="743" spans="1:12" x14ac:dyDescent="0.2">
      <c r="A743">
        <v>742</v>
      </c>
      <c r="B743" s="7" t="s">
        <v>372</v>
      </c>
      <c r="C743" t="s">
        <v>1311</v>
      </c>
      <c r="D743" s="65" t="str">
        <f t="shared" si="22"/>
        <v>Y</v>
      </c>
      <c r="E743" t="s">
        <v>1313</v>
      </c>
      <c r="F743" s="25" t="s">
        <v>298</v>
      </c>
      <c r="G743" s="26">
        <v>3</v>
      </c>
      <c r="H743" s="7" t="s">
        <v>298</v>
      </c>
      <c r="I743" s="7" t="s">
        <v>292</v>
      </c>
      <c r="J743" s="1">
        <v>3</v>
      </c>
      <c r="K743" s="1">
        <v>5</v>
      </c>
      <c r="L743" s="67">
        <f t="shared" si="23"/>
        <v>1</v>
      </c>
    </row>
    <row r="744" spans="1:12" x14ac:dyDescent="0.2">
      <c r="A744">
        <v>743</v>
      </c>
      <c r="B744" s="7" t="s">
        <v>356</v>
      </c>
      <c r="C744" t="s">
        <v>1311</v>
      </c>
      <c r="D744" s="65" t="str">
        <f t="shared" si="22"/>
        <v>Y</v>
      </c>
      <c r="E744" t="s">
        <v>1313</v>
      </c>
      <c r="F744" s="25" t="s">
        <v>298</v>
      </c>
      <c r="G744" s="26">
        <v>3</v>
      </c>
      <c r="H744" s="7" t="s">
        <v>298</v>
      </c>
      <c r="I744" s="7" t="s">
        <v>292</v>
      </c>
      <c r="J744" s="1">
        <v>3</v>
      </c>
      <c r="K744" s="1">
        <v>5</v>
      </c>
      <c r="L744" s="67">
        <f t="shared" si="23"/>
        <v>1</v>
      </c>
    </row>
    <row r="745" spans="1:12" x14ac:dyDescent="0.2">
      <c r="A745">
        <v>744</v>
      </c>
      <c r="B745" s="7" t="s">
        <v>356</v>
      </c>
      <c r="C745" t="s">
        <v>1311</v>
      </c>
      <c r="D745" s="65" t="str">
        <f t="shared" si="22"/>
        <v>Y</v>
      </c>
      <c r="E745" t="s">
        <v>1313</v>
      </c>
      <c r="F745" s="25" t="s">
        <v>298</v>
      </c>
      <c r="G745" s="26">
        <v>3</v>
      </c>
      <c r="H745" s="7" t="s">
        <v>298</v>
      </c>
      <c r="I745" s="7" t="s">
        <v>296</v>
      </c>
      <c r="J745" s="1">
        <v>3</v>
      </c>
      <c r="K745" s="1">
        <v>6</v>
      </c>
      <c r="L745" s="67">
        <f t="shared" si="23"/>
        <v>1</v>
      </c>
    </row>
    <row r="746" spans="1:12" x14ac:dyDescent="0.2">
      <c r="A746">
        <v>745</v>
      </c>
      <c r="B746" s="7" t="s">
        <v>372</v>
      </c>
      <c r="C746" t="s">
        <v>1311</v>
      </c>
      <c r="D746" s="65" t="str">
        <f t="shared" si="22"/>
        <v>Y</v>
      </c>
      <c r="E746" t="s">
        <v>1313</v>
      </c>
      <c r="F746" s="25" t="s">
        <v>298</v>
      </c>
      <c r="G746" s="26">
        <v>3</v>
      </c>
      <c r="H746" s="7" t="s">
        <v>298</v>
      </c>
      <c r="I746" s="7" t="s">
        <v>296</v>
      </c>
      <c r="J746" s="1">
        <v>3</v>
      </c>
      <c r="K746" s="1">
        <v>6</v>
      </c>
      <c r="L746" s="67">
        <f t="shared" si="23"/>
        <v>1</v>
      </c>
    </row>
    <row r="747" spans="1:12" x14ac:dyDescent="0.2">
      <c r="A747">
        <v>746</v>
      </c>
      <c r="B747" s="7" t="s">
        <v>372</v>
      </c>
      <c r="C747" t="s">
        <v>1311</v>
      </c>
      <c r="D747" s="65" t="str">
        <f t="shared" si="22"/>
        <v>Y</v>
      </c>
      <c r="E747" t="s">
        <v>1313</v>
      </c>
      <c r="F747" s="25" t="s">
        <v>298</v>
      </c>
      <c r="G747" s="26">
        <v>3</v>
      </c>
      <c r="H747" s="7" t="s">
        <v>298</v>
      </c>
      <c r="I747" s="7" t="s">
        <v>296</v>
      </c>
      <c r="J747" s="1">
        <v>3</v>
      </c>
      <c r="K747" s="1">
        <v>6</v>
      </c>
      <c r="L747" s="67">
        <f t="shared" si="23"/>
        <v>1</v>
      </c>
    </row>
    <row r="748" spans="1:12" x14ac:dyDescent="0.2">
      <c r="A748">
        <v>747</v>
      </c>
      <c r="B748" s="7" t="s">
        <v>356</v>
      </c>
      <c r="C748" t="s">
        <v>1311</v>
      </c>
      <c r="D748" s="65" t="str">
        <f t="shared" si="22"/>
        <v>Y</v>
      </c>
      <c r="E748" t="s">
        <v>1313</v>
      </c>
      <c r="F748" s="25" t="s">
        <v>298</v>
      </c>
      <c r="G748" s="26">
        <v>3</v>
      </c>
      <c r="H748" s="7" t="s">
        <v>298</v>
      </c>
      <c r="I748" s="7" t="s">
        <v>296</v>
      </c>
      <c r="J748" s="1">
        <v>3</v>
      </c>
      <c r="K748" s="1">
        <v>6</v>
      </c>
      <c r="L748" s="67">
        <f t="shared" si="23"/>
        <v>1</v>
      </c>
    </row>
    <row r="749" spans="1:12" x14ac:dyDescent="0.2">
      <c r="A749">
        <v>748</v>
      </c>
      <c r="B749" s="7" t="s">
        <v>372</v>
      </c>
      <c r="C749" t="s">
        <v>1311</v>
      </c>
      <c r="D749" s="65" t="str">
        <f t="shared" si="22"/>
        <v>Y</v>
      </c>
      <c r="E749" t="s">
        <v>1313</v>
      </c>
      <c r="F749" s="25" t="s">
        <v>298</v>
      </c>
      <c r="G749" s="26">
        <v>3</v>
      </c>
      <c r="H749" s="7" t="s">
        <v>298</v>
      </c>
      <c r="I749" s="7" t="s">
        <v>292</v>
      </c>
      <c r="J749" s="1">
        <v>3</v>
      </c>
      <c r="K749" s="1">
        <v>5</v>
      </c>
      <c r="L749" s="67">
        <f t="shared" si="23"/>
        <v>1</v>
      </c>
    </row>
    <row r="750" spans="1:12" x14ac:dyDescent="0.2">
      <c r="A750">
        <v>749</v>
      </c>
      <c r="B750" s="7" t="s">
        <v>372</v>
      </c>
      <c r="C750" t="s">
        <v>1311</v>
      </c>
      <c r="D750" s="65" t="str">
        <f t="shared" si="22"/>
        <v>Y</v>
      </c>
      <c r="E750" t="s">
        <v>1313</v>
      </c>
      <c r="F750" s="25" t="s">
        <v>298</v>
      </c>
      <c r="G750" s="26">
        <v>3</v>
      </c>
      <c r="H750" s="7" t="s">
        <v>293</v>
      </c>
      <c r="I750" s="7" t="s">
        <v>292</v>
      </c>
      <c r="J750" s="1">
        <v>2</v>
      </c>
      <c r="K750" s="1">
        <v>5</v>
      </c>
      <c r="L750" s="67">
        <f t="shared" si="23"/>
        <v>0</v>
      </c>
    </row>
    <row r="751" spans="1:12" x14ac:dyDescent="0.2">
      <c r="A751">
        <v>750</v>
      </c>
      <c r="B751" s="7" t="s">
        <v>372</v>
      </c>
      <c r="C751" t="s">
        <v>1311</v>
      </c>
      <c r="D751" s="65" t="str">
        <f t="shared" si="22"/>
        <v>Y</v>
      </c>
      <c r="E751" t="s">
        <v>1313</v>
      </c>
      <c r="F751" s="25" t="s">
        <v>298</v>
      </c>
      <c r="G751" s="26">
        <v>3</v>
      </c>
      <c r="H751" s="7" t="s">
        <v>299</v>
      </c>
      <c r="I751" s="7" t="s">
        <v>292</v>
      </c>
      <c r="J751" s="1">
        <v>4</v>
      </c>
      <c r="K751" s="1">
        <v>5</v>
      </c>
      <c r="L751" s="67">
        <f t="shared" si="23"/>
        <v>0</v>
      </c>
    </row>
    <row r="752" spans="1:12" x14ac:dyDescent="0.2">
      <c r="A752">
        <v>751</v>
      </c>
      <c r="B752" s="7" t="s">
        <v>356</v>
      </c>
      <c r="C752" t="s">
        <v>1311</v>
      </c>
      <c r="D752" s="65" t="str">
        <f t="shared" si="22"/>
        <v>Y</v>
      </c>
      <c r="E752" t="s">
        <v>1313</v>
      </c>
      <c r="F752" s="25" t="s">
        <v>298</v>
      </c>
      <c r="G752" s="26">
        <v>3</v>
      </c>
      <c r="H752" s="7" t="s">
        <v>298</v>
      </c>
      <c r="I752" s="7" t="s">
        <v>296</v>
      </c>
      <c r="J752" s="1">
        <v>3</v>
      </c>
      <c r="K752" s="1">
        <v>6</v>
      </c>
      <c r="L752" s="67">
        <f t="shared" si="23"/>
        <v>1</v>
      </c>
    </row>
    <row r="753" spans="1:12" x14ac:dyDescent="0.2">
      <c r="A753">
        <v>752</v>
      </c>
      <c r="B753" s="7" t="s">
        <v>372</v>
      </c>
      <c r="C753" t="s">
        <v>1311</v>
      </c>
      <c r="D753" s="65" t="str">
        <f t="shared" si="22"/>
        <v>Y</v>
      </c>
      <c r="E753" t="s">
        <v>1313</v>
      </c>
      <c r="F753" s="25" t="s">
        <v>298</v>
      </c>
      <c r="G753" s="26">
        <v>3</v>
      </c>
      <c r="H753" s="7" t="s">
        <v>298</v>
      </c>
      <c r="I753" s="7" t="s">
        <v>292</v>
      </c>
      <c r="J753" s="1">
        <v>3</v>
      </c>
      <c r="K753" s="1">
        <v>5</v>
      </c>
      <c r="L753" s="67">
        <f t="shared" si="23"/>
        <v>1</v>
      </c>
    </row>
    <row r="754" spans="1:12" x14ac:dyDescent="0.2">
      <c r="A754">
        <v>753</v>
      </c>
      <c r="B754" s="7" t="s">
        <v>356</v>
      </c>
      <c r="C754" t="s">
        <v>1311</v>
      </c>
      <c r="D754" s="65" t="str">
        <f t="shared" si="22"/>
        <v>Y</v>
      </c>
      <c r="E754" t="s">
        <v>1313</v>
      </c>
      <c r="F754" s="25" t="s">
        <v>298</v>
      </c>
      <c r="G754" s="26">
        <v>3</v>
      </c>
      <c r="H754" s="7" t="s">
        <v>298</v>
      </c>
      <c r="I754" s="7" t="s">
        <v>292</v>
      </c>
      <c r="J754" s="1">
        <v>3</v>
      </c>
      <c r="K754" s="1">
        <v>5</v>
      </c>
      <c r="L754" s="67">
        <f t="shared" si="23"/>
        <v>1</v>
      </c>
    </row>
    <row r="755" spans="1:12" x14ac:dyDescent="0.2">
      <c r="A755">
        <v>754</v>
      </c>
      <c r="B755" s="7" t="s">
        <v>356</v>
      </c>
      <c r="C755" t="s">
        <v>1311</v>
      </c>
      <c r="D755" s="65" t="str">
        <f t="shared" si="22"/>
        <v>Y</v>
      </c>
      <c r="E755" t="s">
        <v>1313</v>
      </c>
      <c r="F755" s="25" t="s">
        <v>298</v>
      </c>
      <c r="G755" s="26">
        <v>3</v>
      </c>
      <c r="H755" s="7" t="s">
        <v>298</v>
      </c>
      <c r="I755" s="7" t="s">
        <v>296</v>
      </c>
      <c r="J755" s="1">
        <v>3</v>
      </c>
      <c r="K755" s="1">
        <v>6</v>
      </c>
      <c r="L755" s="67">
        <f t="shared" si="23"/>
        <v>1</v>
      </c>
    </row>
    <row r="756" spans="1:12" x14ac:dyDescent="0.2">
      <c r="A756">
        <v>755</v>
      </c>
      <c r="B756" s="7" t="s">
        <v>372</v>
      </c>
      <c r="C756" t="s">
        <v>1311</v>
      </c>
      <c r="D756" s="65" t="str">
        <f t="shared" si="22"/>
        <v>Y</v>
      </c>
      <c r="E756" t="s">
        <v>1313</v>
      </c>
      <c r="F756" s="25" t="s">
        <v>298</v>
      </c>
      <c r="G756" s="26">
        <v>3</v>
      </c>
      <c r="H756" s="7" t="s">
        <v>298</v>
      </c>
      <c r="I756" s="7" t="s">
        <v>296</v>
      </c>
      <c r="J756" s="1">
        <v>3</v>
      </c>
      <c r="K756" s="1">
        <v>6</v>
      </c>
      <c r="L756" s="67">
        <f t="shared" si="23"/>
        <v>1</v>
      </c>
    </row>
    <row r="757" spans="1:12" x14ac:dyDescent="0.2">
      <c r="A757">
        <v>756</v>
      </c>
      <c r="B757" s="7" t="s">
        <v>372</v>
      </c>
      <c r="C757" t="s">
        <v>1311</v>
      </c>
      <c r="D757" s="65" t="str">
        <f t="shared" si="22"/>
        <v>Y</v>
      </c>
      <c r="E757" t="s">
        <v>1313</v>
      </c>
      <c r="F757" s="25" t="s">
        <v>298</v>
      </c>
      <c r="G757" s="26">
        <v>3</v>
      </c>
      <c r="H757" s="7" t="s">
        <v>298</v>
      </c>
      <c r="I757" s="7" t="s">
        <v>296</v>
      </c>
      <c r="J757" s="1">
        <v>3</v>
      </c>
      <c r="K757" s="1">
        <v>6</v>
      </c>
      <c r="L757" s="67">
        <f t="shared" si="23"/>
        <v>1</v>
      </c>
    </row>
    <row r="758" spans="1:12" x14ac:dyDescent="0.2">
      <c r="A758">
        <v>757</v>
      </c>
      <c r="B758" s="7" t="s">
        <v>356</v>
      </c>
      <c r="C758" t="s">
        <v>1311</v>
      </c>
      <c r="D758" s="65" t="str">
        <f t="shared" si="22"/>
        <v>Y</v>
      </c>
      <c r="E758" t="s">
        <v>1313</v>
      </c>
      <c r="F758" s="25" t="s">
        <v>298</v>
      </c>
      <c r="G758" s="26">
        <v>3</v>
      </c>
      <c r="H758" s="7" t="s">
        <v>298</v>
      </c>
      <c r="I758" s="7" t="s">
        <v>294</v>
      </c>
      <c r="J758" s="1">
        <v>3</v>
      </c>
      <c r="K758" s="1">
        <v>7</v>
      </c>
      <c r="L758" s="67">
        <f t="shared" si="23"/>
        <v>1</v>
      </c>
    </row>
    <row r="759" spans="1:12" x14ac:dyDescent="0.2">
      <c r="A759">
        <v>758</v>
      </c>
      <c r="B759" s="7" t="s">
        <v>372</v>
      </c>
      <c r="C759" t="s">
        <v>1311</v>
      </c>
      <c r="D759" s="65" t="str">
        <f t="shared" si="22"/>
        <v>Y</v>
      </c>
      <c r="E759" t="s">
        <v>1313</v>
      </c>
      <c r="F759" s="25" t="s">
        <v>298</v>
      </c>
      <c r="G759" s="26">
        <v>3</v>
      </c>
      <c r="H759" s="7" t="s">
        <v>293</v>
      </c>
      <c r="I759" s="7" t="s">
        <v>292</v>
      </c>
      <c r="J759" s="1">
        <v>2</v>
      </c>
      <c r="K759" s="1">
        <v>5</v>
      </c>
      <c r="L759" s="67">
        <f t="shared" si="23"/>
        <v>0</v>
      </c>
    </row>
    <row r="760" spans="1:12" x14ac:dyDescent="0.2">
      <c r="A760">
        <v>759</v>
      </c>
      <c r="B760" s="7" t="s">
        <v>356</v>
      </c>
      <c r="C760" t="s">
        <v>1311</v>
      </c>
      <c r="D760" s="65" t="str">
        <f t="shared" si="22"/>
        <v>Y</v>
      </c>
      <c r="E760" t="s">
        <v>1313</v>
      </c>
      <c r="F760" s="25" t="s">
        <v>298</v>
      </c>
      <c r="G760" s="26">
        <v>3</v>
      </c>
      <c r="H760" s="7" t="s">
        <v>298</v>
      </c>
      <c r="I760" s="7" t="s">
        <v>296</v>
      </c>
      <c r="J760" s="1">
        <v>3</v>
      </c>
      <c r="K760" s="1">
        <v>6</v>
      </c>
      <c r="L760" s="67">
        <f t="shared" si="23"/>
        <v>1</v>
      </c>
    </row>
    <row r="761" spans="1:12" x14ac:dyDescent="0.2">
      <c r="A761">
        <v>760</v>
      </c>
      <c r="B761" s="7" t="s">
        <v>372</v>
      </c>
      <c r="C761" t="s">
        <v>1311</v>
      </c>
      <c r="D761" s="65" t="str">
        <f t="shared" si="22"/>
        <v>Y</v>
      </c>
      <c r="E761" t="s">
        <v>1313</v>
      </c>
      <c r="F761" s="25" t="s">
        <v>298</v>
      </c>
      <c r="G761" s="26">
        <v>3</v>
      </c>
      <c r="H761" s="7" t="s">
        <v>293</v>
      </c>
      <c r="I761" s="7" t="s">
        <v>292</v>
      </c>
      <c r="J761" s="1">
        <v>2</v>
      </c>
      <c r="K761" s="1">
        <v>5</v>
      </c>
      <c r="L761" s="67">
        <f t="shared" si="23"/>
        <v>0</v>
      </c>
    </row>
    <row r="762" spans="1:12" x14ac:dyDescent="0.2">
      <c r="A762">
        <v>761</v>
      </c>
      <c r="B762" s="7" t="s">
        <v>372</v>
      </c>
      <c r="C762" t="s">
        <v>1311</v>
      </c>
      <c r="D762" s="65" t="str">
        <f t="shared" si="22"/>
        <v>Y</v>
      </c>
      <c r="E762" t="s">
        <v>1313</v>
      </c>
      <c r="F762" s="25" t="s">
        <v>298</v>
      </c>
      <c r="G762" s="26">
        <v>3</v>
      </c>
      <c r="H762" s="7" t="s">
        <v>298</v>
      </c>
      <c r="I762" s="7" t="s">
        <v>296</v>
      </c>
      <c r="J762" s="1">
        <v>3</v>
      </c>
      <c r="K762" s="1">
        <v>6</v>
      </c>
      <c r="L762" s="67">
        <f t="shared" si="23"/>
        <v>1</v>
      </c>
    </row>
    <row r="763" spans="1:12" x14ac:dyDescent="0.2">
      <c r="A763">
        <v>762</v>
      </c>
      <c r="B763" s="7" t="s">
        <v>356</v>
      </c>
      <c r="C763" t="s">
        <v>1311</v>
      </c>
      <c r="D763" s="65" t="str">
        <f t="shared" si="22"/>
        <v>Y</v>
      </c>
      <c r="E763" t="s">
        <v>1313</v>
      </c>
      <c r="F763" s="25" t="s">
        <v>298</v>
      </c>
      <c r="G763" s="26">
        <v>3</v>
      </c>
      <c r="H763" s="7" t="s">
        <v>298</v>
      </c>
      <c r="I763" s="7" t="s">
        <v>292</v>
      </c>
      <c r="J763" s="1">
        <v>3</v>
      </c>
      <c r="K763" s="1">
        <v>5</v>
      </c>
      <c r="L763" s="67">
        <f t="shared" si="23"/>
        <v>1</v>
      </c>
    </row>
    <row r="764" spans="1:12" x14ac:dyDescent="0.2">
      <c r="A764">
        <v>763</v>
      </c>
      <c r="B764" s="7" t="s">
        <v>372</v>
      </c>
      <c r="C764" t="s">
        <v>1311</v>
      </c>
      <c r="D764" s="65" t="str">
        <f t="shared" si="22"/>
        <v>Y</v>
      </c>
      <c r="E764" t="s">
        <v>1313</v>
      </c>
      <c r="F764" s="25" t="s">
        <v>298</v>
      </c>
      <c r="G764" s="26">
        <v>3</v>
      </c>
      <c r="H764" s="7" t="s">
        <v>298</v>
      </c>
      <c r="I764" s="7" t="s">
        <v>292</v>
      </c>
      <c r="J764" s="1">
        <v>3</v>
      </c>
      <c r="K764" s="1">
        <v>5</v>
      </c>
      <c r="L764" s="67">
        <f t="shared" si="23"/>
        <v>1</v>
      </c>
    </row>
    <row r="765" spans="1:12" x14ac:dyDescent="0.2">
      <c r="A765">
        <v>764</v>
      </c>
      <c r="B765" s="7" t="s">
        <v>356</v>
      </c>
      <c r="C765" t="s">
        <v>1311</v>
      </c>
      <c r="D765" s="65" t="str">
        <f t="shared" si="22"/>
        <v>Y</v>
      </c>
      <c r="E765" t="s">
        <v>1313</v>
      </c>
      <c r="F765" s="25" t="s">
        <v>298</v>
      </c>
      <c r="G765" s="26">
        <v>3</v>
      </c>
      <c r="H765" s="7" t="s">
        <v>298</v>
      </c>
      <c r="I765" s="7" t="s">
        <v>296</v>
      </c>
      <c r="J765" s="1">
        <v>3</v>
      </c>
      <c r="K765" s="1">
        <v>6</v>
      </c>
      <c r="L765" s="67">
        <f t="shared" si="23"/>
        <v>1</v>
      </c>
    </row>
    <row r="766" spans="1:12" x14ac:dyDescent="0.2">
      <c r="A766">
        <v>765</v>
      </c>
      <c r="B766" s="7" t="s">
        <v>356</v>
      </c>
      <c r="C766" t="s">
        <v>1311</v>
      </c>
      <c r="D766" s="65" t="str">
        <f t="shared" si="22"/>
        <v>Y</v>
      </c>
      <c r="E766" t="s">
        <v>1313</v>
      </c>
      <c r="F766" s="25" t="s">
        <v>298</v>
      </c>
      <c r="G766" s="26">
        <v>3</v>
      </c>
      <c r="H766" s="7" t="s">
        <v>298</v>
      </c>
      <c r="I766" s="7" t="s">
        <v>296</v>
      </c>
      <c r="J766" s="1">
        <v>3</v>
      </c>
      <c r="K766" s="1">
        <v>6</v>
      </c>
      <c r="L766" s="67">
        <f t="shared" si="23"/>
        <v>1</v>
      </c>
    </row>
    <row r="767" spans="1:12" x14ac:dyDescent="0.2">
      <c r="A767">
        <v>766</v>
      </c>
      <c r="B767" s="7" t="s">
        <v>372</v>
      </c>
      <c r="C767" t="s">
        <v>1311</v>
      </c>
      <c r="D767" s="65" t="str">
        <f t="shared" si="22"/>
        <v>Y</v>
      </c>
      <c r="E767" t="s">
        <v>1313</v>
      </c>
      <c r="F767" s="25" t="s">
        <v>298</v>
      </c>
      <c r="G767" s="26">
        <v>3</v>
      </c>
      <c r="H767" s="7" t="s">
        <v>295</v>
      </c>
      <c r="I767" s="7" t="s">
        <v>297</v>
      </c>
      <c r="J767" s="1">
        <v>5</v>
      </c>
      <c r="K767" s="1">
        <v>4</v>
      </c>
      <c r="L767" s="67">
        <f t="shared" si="23"/>
        <v>0</v>
      </c>
    </row>
    <row r="768" spans="1:12" x14ac:dyDescent="0.2">
      <c r="A768">
        <v>767</v>
      </c>
      <c r="B768" s="7" t="s">
        <v>356</v>
      </c>
      <c r="C768" t="s">
        <v>1311</v>
      </c>
      <c r="D768" s="65" t="str">
        <f t="shared" si="22"/>
        <v>Y</v>
      </c>
      <c r="E768" t="s">
        <v>1313</v>
      </c>
      <c r="F768" s="25" t="s">
        <v>298</v>
      </c>
      <c r="G768" s="26">
        <v>3</v>
      </c>
      <c r="H768" s="7" t="s">
        <v>298</v>
      </c>
      <c r="I768" s="7" t="s">
        <v>330</v>
      </c>
      <c r="J768" s="1">
        <v>3</v>
      </c>
      <c r="K768" s="1">
        <v>3</v>
      </c>
      <c r="L768" s="67">
        <f t="shared" si="23"/>
        <v>1</v>
      </c>
    </row>
    <row r="769" spans="1:12" x14ac:dyDescent="0.2">
      <c r="A769">
        <v>768</v>
      </c>
      <c r="B769" s="7" t="s">
        <v>372</v>
      </c>
      <c r="C769" t="s">
        <v>1311</v>
      </c>
      <c r="D769" s="65" t="str">
        <f t="shared" si="22"/>
        <v>Y</v>
      </c>
      <c r="E769" t="s">
        <v>1313</v>
      </c>
      <c r="F769" s="25" t="s">
        <v>298</v>
      </c>
      <c r="G769" s="26">
        <v>3</v>
      </c>
      <c r="H769" s="7" t="s">
        <v>298</v>
      </c>
      <c r="I769" s="7" t="s">
        <v>297</v>
      </c>
      <c r="J769" s="1">
        <v>3</v>
      </c>
      <c r="K769" s="1">
        <v>4</v>
      </c>
      <c r="L769" s="67">
        <f t="shared" si="23"/>
        <v>1</v>
      </c>
    </row>
    <row r="770" spans="1:12" x14ac:dyDescent="0.2">
      <c r="A770">
        <v>769</v>
      </c>
      <c r="B770" s="7" t="s">
        <v>356</v>
      </c>
      <c r="C770" t="s">
        <v>1311</v>
      </c>
      <c r="D770" s="65" t="str">
        <f t="shared" si="22"/>
        <v>Y</v>
      </c>
      <c r="E770" t="s">
        <v>1313</v>
      </c>
      <c r="F770" s="25" t="s">
        <v>298</v>
      </c>
      <c r="G770" s="26">
        <v>3</v>
      </c>
      <c r="H770" s="7" t="s">
        <v>295</v>
      </c>
      <c r="I770" s="7" t="s">
        <v>292</v>
      </c>
      <c r="J770" s="1">
        <v>5</v>
      </c>
      <c r="K770" s="1">
        <v>5</v>
      </c>
      <c r="L770" s="67">
        <f t="shared" si="23"/>
        <v>0</v>
      </c>
    </row>
    <row r="771" spans="1:12" x14ac:dyDescent="0.2">
      <c r="A771">
        <v>770</v>
      </c>
      <c r="B771" s="7" t="s">
        <v>372</v>
      </c>
      <c r="C771" t="s">
        <v>1311</v>
      </c>
      <c r="D771" s="65" t="str">
        <f t="shared" ref="D771:D834" si="24">IF($E771="iso", "N", IF(OR($E771="non", $E771="emd", $E771="dyn"), "Y", "ERROR"))</f>
        <v>Y</v>
      </c>
      <c r="E771" t="s">
        <v>1313</v>
      </c>
      <c r="F771" s="25" t="s">
        <v>298</v>
      </c>
      <c r="G771" s="26">
        <v>3</v>
      </c>
      <c r="H771" s="7" t="s">
        <v>299</v>
      </c>
      <c r="I771" s="7" t="s">
        <v>297</v>
      </c>
      <c r="J771" s="1">
        <v>4</v>
      </c>
      <c r="K771" s="1">
        <v>4</v>
      </c>
      <c r="L771" s="67">
        <f t="shared" ref="L771:L834" si="25">IF(G771=J771, 1, 0)</f>
        <v>0</v>
      </c>
    </row>
    <row r="772" spans="1:12" x14ac:dyDescent="0.2">
      <c r="A772">
        <v>771</v>
      </c>
      <c r="B772" s="7" t="s">
        <v>356</v>
      </c>
      <c r="C772" t="s">
        <v>1311</v>
      </c>
      <c r="D772" s="65" t="str">
        <f t="shared" si="24"/>
        <v>Y</v>
      </c>
      <c r="E772" t="s">
        <v>1313</v>
      </c>
      <c r="F772" s="25" t="s">
        <v>298</v>
      </c>
      <c r="G772" s="26">
        <v>3</v>
      </c>
      <c r="H772" s="7" t="s">
        <v>298</v>
      </c>
      <c r="I772" s="7" t="s">
        <v>296</v>
      </c>
      <c r="J772" s="1">
        <v>3</v>
      </c>
      <c r="K772" s="1">
        <v>6</v>
      </c>
      <c r="L772" s="67">
        <f t="shared" si="25"/>
        <v>1</v>
      </c>
    </row>
    <row r="773" spans="1:12" x14ac:dyDescent="0.2">
      <c r="A773">
        <v>772</v>
      </c>
      <c r="B773" s="7" t="s">
        <v>372</v>
      </c>
      <c r="C773" t="s">
        <v>1311</v>
      </c>
      <c r="D773" s="65" t="str">
        <f t="shared" si="24"/>
        <v>Y</v>
      </c>
      <c r="E773" t="s">
        <v>1313</v>
      </c>
      <c r="F773" s="25" t="s">
        <v>298</v>
      </c>
      <c r="G773" s="26">
        <v>3</v>
      </c>
      <c r="H773" s="7" t="s">
        <v>293</v>
      </c>
      <c r="I773" s="7" t="s">
        <v>294</v>
      </c>
      <c r="J773" s="1">
        <v>2</v>
      </c>
      <c r="K773" s="1">
        <v>7</v>
      </c>
      <c r="L773" s="67">
        <f t="shared" si="25"/>
        <v>0</v>
      </c>
    </row>
    <row r="774" spans="1:12" x14ac:dyDescent="0.2">
      <c r="A774">
        <v>773</v>
      </c>
      <c r="B774" s="7" t="s">
        <v>372</v>
      </c>
      <c r="C774" t="s">
        <v>1311</v>
      </c>
      <c r="D774" s="65" t="str">
        <f t="shared" si="24"/>
        <v>Y</v>
      </c>
      <c r="E774" t="s">
        <v>1313</v>
      </c>
      <c r="F774" s="25" t="s">
        <v>298</v>
      </c>
      <c r="G774" s="26">
        <v>3</v>
      </c>
      <c r="H774" s="7" t="s">
        <v>298</v>
      </c>
      <c r="I774" s="7" t="s">
        <v>294</v>
      </c>
      <c r="J774" s="1">
        <v>3</v>
      </c>
      <c r="K774" s="1">
        <v>7</v>
      </c>
      <c r="L774" s="67">
        <f t="shared" si="25"/>
        <v>1</v>
      </c>
    </row>
    <row r="775" spans="1:12" x14ac:dyDescent="0.2">
      <c r="A775">
        <v>774</v>
      </c>
      <c r="B775" s="7" t="s">
        <v>356</v>
      </c>
      <c r="C775" t="s">
        <v>1311</v>
      </c>
      <c r="D775" s="65" t="str">
        <f t="shared" si="24"/>
        <v>Y</v>
      </c>
      <c r="E775" t="s">
        <v>1313</v>
      </c>
      <c r="F775" s="25" t="s">
        <v>298</v>
      </c>
      <c r="G775" s="26">
        <v>3</v>
      </c>
      <c r="H775" s="7" t="s">
        <v>298</v>
      </c>
      <c r="I775" s="7" t="s">
        <v>296</v>
      </c>
      <c r="J775" s="1">
        <v>3</v>
      </c>
      <c r="K775" s="1">
        <v>6</v>
      </c>
      <c r="L775" s="67">
        <f t="shared" si="25"/>
        <v>1</v>
      </c>
    </row>
    <row r="776" spans="1:12" x14ac:dyDescent="0.2">
      <c r="A776">
        <v>775</v>
      </c>
      <c r="B776" s="7" t="s">
        <v>356</v>
      </c>
      <c r="C776" t="s">
        <v>1311</v>
      </c>
      <c r="D776" s="65" t="str">
        <f t="shared" si="24"/>
        <v>Y</v>
      </c>
      <c r="E776" t="s">
        <v>1313</v>
      </c>
      <c r="F776" s="25" t="s">
        <v>298</v>
      </c>
      <c r="G776" s="26">
        <v>3</v>
      </c>
      <c r="H776" s="7" t="s">
        <v>298</v>
      </c>
      <c r="I776" s="7" t="s">
        <v>292</v>
      </c>
      <c r="J776" s="1">
        <v>3</v>
      </c>
      <c r="K776" s="1">
        <v>5</v>
      </c>
      <c r="L776" s="67">
        <f t="shared" si="25"/>
        <v>1</v>
      </c>
    </row>
    <row r="777" spans="1:12" x14ac:dyDescent="0.2">
      <c r="A777">
        <v>776</v>
      </c>
      <c r="B777" s="7" t="s">
        <v>372</v>
      </c>
      <c r="C777" t="s">
        <v>1311</v>
      </c>
      <c r="D777" s="65" t="str">
        <f t="shared" si="24"/>
        <v>Y</v>
      </c>
      <c r="E777" t="s">
        <v>1313</v>
      </c>
      <c r="F777" s="25" t="s">
        <v>298</v>
      </c>
      <c r="G777" s="26">
        <v>3</v>
      </c>
      <c r="H777" s="7" t="s">
        <v>298</v>
      </c>
      <c r="I777" s="7" t="s">
        <v>294</v>
      </c>
      <c r="J777" s="1">
        <v>3</v>
      </c>
      <c r="K777" s="1">
        <v>7</v>
      </c>
      <c r="L777" s="67">
        <f t="shared" si="25"/>
        <v>1</v>
      </c>
    </row>
    <row r="778" spans="1:12" x14ac:dyDescent="0.2">
      <c r="A778">
        <v>777</v>
      </c>
      <c r="B778" s="7" t="s">
        <v>372</v>
      </c>
      <c r="C778" t="s">
        <v>1311</v>
      </c>
      <c r="D778" s="65" t="str">
        <f t="shared" si="24"/>
        <v>Y</v>
      </c>
      <c r="E778" t="s">
        <v>1313</v>
      </c>
      <c r="F778" s="25" t="s">
        <v>298</v>
      </c>
      <c r="G778" s="26">
        <v>3</v>
      </c>
      <c r="H778" s="7" t="s">
        <v>298</v>
      </c>
      <c r="I778" s="7" t="s">
        <v>296</v>
      </c>
      <c r="J778" s="1">
        <v>3</v>
      </c>
      <c r="K778" s="1">
        <v>6</v>
      </c>
      <c r="L778" s="67">
        <f t="shared" si="25"/>
        <v>1</v>
      </c>
    </row>
    <row r="779" spans="1:12" x14ac:dyDescent="0.2">
      <c r="A779">
        <v>778</v>
      </c>
      <c r="B779" s="7" t="s">
        <v>356</v>
      </c>
      <c r="C779" t="s">
        <v>1311</v>
      </c>
      <c r="D779" s="65" t="str">
        <f t="shared" si="24"/>
        <v>Y</v>
      </c>
      <c r="E779" t="s">
        <v>1313</v>
      </c>
      <c r="F779" s="25" t="s">
        <v>298</v>
      </c>
      <c r="G779" s="26">
        <v>3</v>
      </c>
      <c r="H779" s="7" t="s">
        <v>298</v>
      </c>
      <c r="I779" s="7" t="s">
        <v>296</v>
      </c>
      <c r="J779" s="1">
        <v>3</v>
      </c>
      <c r="K779" s="1">
        <v>6</v>
      </c>
      <c r="L779" s="67">
        <f t="shared" si="25"/>
        <v>1</v>
      </c>
    </row>
    <row r="780" spans="1:12" x14ac:dyDescent="0.2">
      <c r="A780">
        <v>779</v>
      </c>
      <c r="B780" s="7" t="s">
        <v>372</v>
      </c>
      <c r="C780" t="s">
        <v>1311</v>
      </c>
      <c r="D780" s="65" t="str">
        <f t="shared" si="24"/>
        <v>Y</v>
      </c>
      <c r="E780" t="s">
        <v>1313</v>
      </c>
      <c r="F780" s="25" t="s">
        <v>298</v>
      </c>
      <c r="G780" s="26">
        <v>3</v>
      </c>
      <c r="H780" s="7" t="s">
        <v>298</v>
      </c>
      <c r="I780" s="7" t="s">
        <v>296</v>
      </c>
      <c r="J780" s="1">
        <v>3</v>
      </c>
      <c r="K780" s="1">
        <v>6</v>
      </c>
      <c r="L780" s="67">
        <f t="shared" si="25"/>
        <v>1</v>
      </c>
    </row>
    <row r="781" spans="1:12" x14ac:dyDescent="0.2">
      <c r="A781">
        <v>780</v>
      </c>
      <c r="B781" s="7" t="s">
        <v>356</v>
      </c>
      <c r="C781" t="s">
        <v>1311</v>
      </c>
      <c r="D781" s="65" t="str">
        <f t="shared" si="24"/>
        <v>Y</v>
      </c>
      <c r="E781" t="s">
        <v>1313</v>
      </c>
      <c r="F781" s="25" t="s">
        <v>298</v>
      </c>
      <c r="G781" s="26">
        <v>3</v>
      </c>
      <c r="H781" s="7" t="s">
        <v>298</v>
      </c>
      <c r="I781" s="7" t="s">
        <v>296</v>
      </c>
      <c r="J781" s="1">
        <v>3</v>
      </c>
      <c r="K781" s="1">
        <v>6</v>
      </c>
      <c r="L781" s="67">
        <f t="shared" si="25"/>
        <v>1</v>
      </c>
    </row>
    <row r="782" spans="1:12" x14ac:dyDescent="0.2">
      <c r="A782">
        <v>781</v>
      </c>
      <c r="B782" s="7" t="s">
        <v>356</v>
      </c>
      <c r="C782" t="s">
        <v>1311</v>
      </c>
      <c r="D782" s="65" t="str">
        <f t="shared" si="24"/>
        <v>Y</v>
      </c>
      <c r="E782" t="s">
        <v>1313</v>
      </c>
      <c r="F782" s="25" t="s">
        <v>298</v>
      </c>
      <c r="G782" s="26">
        <v>3</v>
      </c>
      <c r="H782" s="7" t="s">
        <v>298</v>
      </c>
      <c r="I782" s="7" t="s">
        <v>292</v>
      </c>
      <c r="J782" s="1">
        <v>3</v>
      </c>
      <c r="K782" s="1">
        <v>5</v>
      </c>
      <c r="L782" s="67">
        <f t="shared" si="25"/>
        <v>1</v>
      </c>
    </row>
    <row r="783" spans="1:12" x14ac:dyDescent="0.2">
      <c r="A783">
        <v>782</v>
      </c>
      <c r="B783" s="7" t="s">
        <v>372</v>
      </c>
      <c r="C783" t="s">
        <v>1311</v>
      </c>
      <c r="D783" s="65" t="str">
        <f t="shared" si="24"/>
        <v>Y</v>
      </c>
      <c r="E783" t="s">
        <v>1313</v>
      </c>
      <c r="F783" s="25" t="s">
        <v>298</v>
      </c>
      <c r="G783" s="26">
        <v>3</v>
      </c>
      <c r="H783" s="7" t="s">
        <v>298</v>
      </c>
      <c r="I783" s="7" t="s">
        <v>292</v>
      </c>
      <c r="J783" s="1">
        <v>3</v>
      </c>
      <c r="K783" s="1">
        <v>5</v>
      </c>
      <c r="L783" s="67">
        <f t="shared" si="25"/>
        <v>1</v>
      </c>
    </row>
    <row r="784" spans="1:12" x14ac:dyDescent="0.2">
      <c r="A784">
        <v>783</v>
      </c>
      <c r="B784" s="7" t="s">
        <v>372</v>
      </c>
      <c r="C784" t="s">
        <v>1311</v>
      </c>
      <c r="D784" s="65" t="str">
        <f t="shared" si="24"/>
        <v>Y</v>
      </c>
      <c r="E784" t="s">
        <v>1313</v>
      </c>
      <c r="F784" s="25" t="s">
        <v>298</v>
      </c>
      <c r="G784" s="26">
        <v>3</v>
      </c>
      <c r="H784" s="7" t="s">
        <v>291</v>
      </c>
      <c r="I784" s="7" t="s">
        <v>297</v>
      </c>
      <c r="J784" s="1">
        <v>1</v>
      </c>
      <c r="K784" s="1">
        <v>4</v>
      </c>
      <c r="L784" s="67">
        <f t="shared" si="25"/>
        <v>0</v>
      </c>
    </row>
    <row r="785" spans="1:12" x14ac:dyDescent="0.2">
      <c r="A785">
        <v>784</v>
      </c>
      <c r="B785" s="7" t="s">
        <v>356</v>
      </c>
      <c r="C785" t="s">
        <v>1311</v>
      </c>
      <c r="D785" s="65" t="str">
        <f t="shared" si="24"/>
        <v>Y</v>
      </c>
      <c r="E785" t="s">
        <v>1313</v>
      </c>
      <c r="F785" s="25" t="s">
        <v>298</v>
      </c>
      <c r="G785" s="26">
        <v>3</v>
      </c>
      <c r="H785" s="7" t="s">
        <v>298</v>
      </c>
      <c r="I785" s="7" t="s">
        <v>297</v>
      </c>
      <c r="J785" s="1">
        <v>3</v>
      </c>
      <c r="K785" s="1">
        <v>4</v>
      </c>
      <c r="L785" s="67">
        <f t="shared" si="25"/>
        <v>1</v>
      </c>
    </row>
    <row r="786" spans="1:12" x14ac:dyDescent="0.2">
      <c r="A786">
        <v>785</v>
      </c>
      <c r="B786" s="7" t="s">
        <v>356</v>
      </c>
      <c r="C786" t="s">
        <v>1311</v>
      </c>
      <c r="D786" s="65" t="str">
        <f t="shared" si="24"/>
        <v>Y</v>
      </c>
      <c r="E786" t="s">
        <v>1313</v>
      </c>
      <c r="F786" s="25" t="s">
        <v>298</v>
      </c>
      <c r="G786" s="26">
        <v>3</v>
      </c>
      <c r="H786" s="7" t="s">
        <v>298</v>
      </c>
      <c r="I786" s="7" t="s">
        <v>296</v>
      </c>
      <c r="J786" s="1">
        <v>3</v>
      </c>
      <c r="K786" s="1">
        <v>6</v>
      </c>
      <c r="L786" s="67">
        <f t="shared" si="25"/>
        <v>1</v>
      </c>
    </row>
    <row r="787" spans="1:12" x14ac:dyDescent="0.2">
      <c r="A787">
        <v>786</v>
      </c>
      <c r="B787" s="7" t="s">
        <v>372</v>
      </c>
      <c r="C787" t="s">
        <v>1311</v>
      </c>
      <c r="D787" s="65" t="str">
        <f t="shared" si="24"/>
        <v>Y</v>
      </c>
      <c r="E787" t="s">
        <v>1313</v>
      </c>
      <c r="F787" s="25" t="s">
        <v>298</v>
      </c>
      <c r="G787" s="26">
        <v>3</v>
      </c>
      <c r="H787" s="7" t="s">
        <v>298</v>
      </c>
      <c r="I787" s="7" t="s">
        <v>292</v>
      </c>
      <c r="J787" s="1">
        <v>3</v>
      </c>
      <c r="K787" s="1">
        <v>5</v>
      </c>
      <c r="L787" s="67">
        <f t="shared" si="25"/>
        <v>1</v>
      </c>
    </row>
    <row r="788" spans="1:12" x14ac:dyDescent="0.2">
      <c r="A788">
        <v>787</v>
      </c>
      <c r="B788" s="7" t="s">
        <v>356</v>
      </c>
      <c r="C788" t="s">
        <v>1311</v>
      </c>
      <c r="D788" s="65" t="str">
        <f t="shared" si="24"/>
        <v>Y</v>
      </c>
      <c r="E788" t="s">
        <v>1313</v>
      </c>
      <c r="F788" s="25" t="s">
        <v>298</v>
      </c>
      <c r="G788" s="26">
        <v>3</v>
      </c>
      <c r="H788" s="7" t="s">
        <v>298</v>
      </c>
      <c r="I788" s="7" t="s">
        <v>292</v>
      </c>
      <c r="J788" s="1">
        <v>3</v>
      </c>
      <c r="K788" s="1">
        <v>5</v>
      </c>
      <c r="L788" s="67">
        <f t="shared" si="25"/>
        <v>1</v>
      </c>
    </row>
    <row r="789" spans="1:12" x14ac:dyDescent="0.2">
      <c r="A789">
        <v>788</v>
      </c>
      <c r="B789" s="7" t="s">
        <v>372</v>
      </c>
      <c r="C789" t="s">
        <v>1311</v>
      </c>
      <c r="D789" s="65" t="str">
        <f t="shared" si="24"/>
        <v>Y</v>
      </c>
      <c r="E789" t="s">
        <v>1313</v>
      </c>
      <c r="F789" s="25" t="s">
        <v>298</v>
      </c>
      <c r="G789" s="26">
        <v>3</v>
      </c>
      <c r="H789" s="7" t="s">
        <v>295</v>
      </c>
      <c r="I789" s="7" t="s">
        <v>296</v>
      </c>
      <c r="J789" s="1">
        <v>5</v>
      </c>
      <c r="K789" s="1">
        <v>6</v>
      </c>
      <c r="L789" s="67">
        <f t="shared" si="25"/>
        <v>0</v>
      </c>
    </row>
    <row r="790" spans="1:12" x14ac:dyDescent="0.2">
      <c r="A790">
        <v>789</v>
      </c>
      <c r="B790" s="7" t="s">
        <v>356</v>
      </c>
      <c r="C790" t="s">
        <v>1311</v>
      </c>
      <c r="D790" s="65" t="str">
        <f t="shared" si="24"/>
        <v>Y</v>
      </c>
      <c r="E790" t="s">
        <v>1313</v>
      </c>
      <c r="F790" s="25" t="s">
        <v>298</v>
      </c>
      <c r="G790" s="26">
        <v>3</v>
      </c>
      <c r="H790" s="7" t="s">
        <v>298</v>
      </c>
      <c r="I790" s="7" t="s">
        <v>296</v>
      </c>
      <c r="J790" s="1">
        <v>3</v>
      </c>
      <c r="K790" s="1">
        <v>6</v>
      </c>
      <c r="L790" s="67">
        <f t="shared" si="25"/>
        <v>1</v>
      </c>
    </row>
    <row r="791" spans="1:12" x14ac:dyDescent="0.2">
      <c r="A791">
        <v>790</v>
      </c>
      <c r="B791" s="7" t="s">
        <v>372</v>
      </c>
      <c r="C791" t="s">
        <v>1311</v>
      </c>
      <c r="D791" s="65" t="str">
        <f t="shared" si="24"/>
        <v>Y</v>
      </c>
      <c r="E791" t="s">
        <v>1313</v>
      </c>
      <c r="F791" s="25" t="s">
        <v>298</v>
      </c>
      <c r="G791" s="26">
        <v>3</v>
      </c>
      <c r="H791" s="7" t="s">
        <v>298</v>
      </c>
      <c r="I791" s="7" t="s">
        <v>292</v>
      </c>
      <c r="J791" s="1">
        <v>3</v>
      </c>
      <c r="K791" s="1">
        <v>5</v>
      </c>
      <c r="L791" s="67">
        <f t="shared" si="25"/>
        <v>1</v>
      </c>
    </row>
    <row r="792" spans="1:12" x14ac:dyDescent="0.2">
      <c r="A792">
        <v>791</v>
      </c>
      <c r="B792" s="7" t="s">
        <v>356</v>
      </c>
      <c r="C792" t="s">
        <v>1311</v>
      </c>
      <c r="D792" s="65" t="str">
        <f t="shared" si="24"/>
        <v>Y</v>
      </c>
      <c r="E792" t="s">
        <v>1314</v>
      </c>
      <c r="F792" s="7" t="s">
        <v>291</v>
      </c>
      <c r="G792" s="1">
        <v>1</v>
      </c>
      <c r="H792" s="7" t="s">
        <v>291</v>
      </c>
      <c r="I792" s="7" t="s">
        <v>296</v>
      </c>
      <c r="J792" s="1">
        <v>1</v>
      </c>
      <c r="K792" s="1">
        <v>6</v>
      </c>
      <c r="L792" s="67">
        <f t="shared" si="25"/>
        <v>1</v>
      </c>
    </row>
    <row r="793" spans="1:12" x14ac:dyDescent="0.2">
      <c r="A793">
        <v>792</v>
      </c>
      <c r="B793" s="7" t="s">
        <v>372</v>
      </c>
      <c r="C793" t="s">
        <v>1311</v>
      </c>
      <c r="D793" s="65" t="str">
        <f t="shared" si="24"/>
        <v>Y</v>
      </c>
      <c r="E793" t="s">
        <v>1314</v>
      </c>
      <c r="F793" s="7" t="s">
        <v>291</v>
      </c>
      <c r="G793" s="1">
        <v>1</v>
      </c>
      <c r="H793" s="7" t="s">
        <v>291</v>
      </c>
      <c r="I793" s="7" t="s">
        <v>297</v>
      </c>
      <c r="J793" s="1">
        <v>1</v>
      </c>
      <c r="K793" s="1">
        <v>4</v>
      </c>
      <c r="L793" s="67">
        <f t="shared" si="25"/>
        <v>1</v>
      </c>
    </row>
    <row r="794" spans="1:12" x14ac:dyDescent="0.2">
      <c r="A794">
        <v>793</v>
      </c>
      <c r="B794" s="7" t="s">
        <v>372</v>
      </c>
      <c r="C794" t="s">
        <v>1311</v>
      </c>
      <c r="D794" s="65" t="str">
        <f t="shared" si="24"/>
        <v>Y</v>
      </c>
      <c r="E794" t="s">
        <v>1314</v>
      </c>
      <c r="F794" s="7" t="s">
        <v>291</v>
      </c>
      <c r="G794" s="1">
        <v>1</v>
      </c>
      <c r="H794" s="7" t="s">
        <v>291</v>
      </c>
      <c r="I794" s="7" t="s">
        <v>296</v>
      </c>
      <c r="J794" s="1">
        <v>1</v>
      </c>
      <c r="K794" s="1">
        <v>6</v>
      </c>
      <c r="L794" s="67">
        <f t="shared" si="25"/>
        <v>1</v>
      </c>
    </row>
    <row r="795" spans="1:12" x14ac:dyDescent="0.2">
      <c r="A795">
        <v>794</v>
      </c>
      <c r="B795" s="7" t="s">
        <v>356</v>
      </c>
      <c r="C795" t="s">
        <v>1311</v>
      </c>
      <c r="D795" s="65" t="str">
        <f t="shared" si="24"/>
        <v>Y</v>
      </c>
      <c r="E795" t="s">
        <v>1314</v>
      </c>
      <c r="F795" s="7" t="s">
        <v>291</v>
      </c>
      <c r="G795" s="1">
        <v>1</v>
      </c>
      <c r="H795" s="7" t="s">
        <v>291</v>
      </c>
      <c r="I795" s="7" t="s">
        <v>292</v>
      </c>
      <c r="J795" s="1">
        <v>1</v>
      </c>
      <c r="K795" s="1">
        <v>5</v>
      </c>
      <c r="L795" s="67">
        <f t="shared" si="25"/>
        <v>1</v>
      </c>
    </row>
    <row r="796" spans="1:12" x14ac:dyDescent="0.2">
      <c r="A796">
        <v>795</v>
      </c>
      <c r="B796" s="7" t="s">
        <v>372</v>
      </c>
      <c r="C796" t="s">
        <v>1311</v>
      </c>
      <c r="D796" s="65" t="str">
        <f t="shared" si="24"/>
        <v>Y</v>
      </c>
      <c r="E796" t="s">
        <v>1314</v>
      </c>
      <c r="F796" s="7" t="s">
        <v>291</v>
      </c>
      <c r="G796" s="1">
        <v>1</v>
      </c>
      <c r="H796" s="7" t="s">
        <v>291</v>
      </c>
      <c r="I796" s="7" t="s">
        <v>292</v>
      </c>
      <c r="J796" s="1">
        <v>1</v>
      </c>
      <c r="K796" s="1">
        <v>5</v>
      </c>
      <c r="L796" s="67">
        <f t="shared" si="25"/>
        <v>1</v>
      </c>
    </row>
    <row r="797" spans="1:12" x14ac:dyDescent="0.2">
      <c r="A797">
        <v>796</v>
      </c>
      <c r="B797" s="7" t="s">
        <v>356</v>
      </c>
      <c r="C797" t="s">
        <v>1311</v>
      </c>
      <c r="D797" s="65" t="str">
        <f t="shared" si="24"/>
        <v>Y</v>
      </c>
      <c r="E797" t="s">
        <v>1314</v>
      </c>
      <c r="F797" s="7" t="s">
        <v>291</v>
      </c>
      <c r="G797" s="1">
        <v>1</v>
      </c>
      <c r="H797" s="7" t="s">
        <v>291</v>
      </c>
      <c r="I797" s="7" t="s">
        <v>292</v>
      </c>
      <c r="J797" s="1">
        <v>1</v>
      </c>
      <c r="K797" s="1">
        <v>5</v>
      </c>
      <c r="L797" s="67">
        <f t="shared" si="25"/>
        <v>1</v>
      </c>
    </row>
    <row r="798" spans="1:12" x14ac:dyDescent="0.2">
      <c r="A798">
        <v>797</v>
      </c>
      <c r="B798" s="7" t="s">
        <v>372</v>
      </c>
      <c r="C798" t="s">
        <v>1311</v>
      </c>
      <c r="D798" s="65" t="str">
        <f t="shared" si="24"/>
        <v>Y</v>
      </c>
      <c r="E798" t="s">
        <v>1314</v>
      </c>
      <c r="F798" s="7" t="s">
        <v>291</v>
      </c>
      <c r="G798" s="1">
        <v>1</v>
      </c>
      <c r="H798" s="7" t="s">
        <v>291</v>
      </c>
      <c r="I798" s="7" t="s">
        <v>296</v>
      </c>
      <c r="J798" s="1">
        <v>1</v>
      </c>
      <c r="K798" s="1">
        <v>6</v>
      </c>
      <c r="L798" s="67">
        <f t="shared" si="25"/>
        <v>1</v>
      </c>
    </row>
    <row r="799" spans="1:12" x14ac:dyDescent="0.2">
      <c r="A799">
        <v>798</v>
      </c>
      <c r="B799" s="7" t="s">
        <v>356</v>
      </c>
      <c r="C799" t="s">
        <v>1311</v>
      </c>
      <c r="D799" s="65" t="str">
        <f t="shared" si="24"/>
        <v>Y</v>
      </c>
      <c r="E799" t="s">
        <v>1314</v>
      </c>
      <c r="F799" s="7" t="s">
        <v>291</v>
      </c>
      <c r="G799" s="1">
        <v>1</v>
      </c>
      <c r="H799" s="7" t="s">
        <v>291</v>
      </c>
      <c r="I799" s="7" t="s">
        <v>296</v>
      </c>
      <c r="J799" s="1">
        <v>1</v>
      </c>
      <c r="K799" s="1">
        <v>6</v>
      </c>
      <c r="L799" s="67">
        <f t="shared" si="25"/>
        <v>1</v>
      </c>
    </row>
    <row r="800" spans="1:12" x14ac:dyDescent="0.2">
      <c r="A800">
        <v>799</v>
      </c>
      <c r="B800" s="7" t="s">
        <v>372</v>
      </c>
      <c r="C800" t="s">
        <v>1311</v>
      </c>
      <c r="D800" s="65" t="str">
        <f t="shared" si="24"/>
        <v>Y</v>
      </c>
      <c r="E800" t="s">
        <v>1314</v>
      </c>
      <c r="F800" s="7" t="s">
        <v>291</v>
      </c>
      <c r="G800" s="1">
        <v>1</v>
      </c>
      <c r="H800" s="7" t="s">
        <v>291</v>
      </c>
      <c r="I800" s="7" t="s">
        <v>296</v>
      </c>
      <c r="J800" s="1">
        <v>1</v>
      </c>
      <c r="K800" s="1">
        <v>6</v>
      </c>
      <c r="L800" s="67">
        <f t="shared" si="25"/>
        <v>1</v>
      </c>
    </row>
    <row r="801" spans="1:12" x14ac:dyDescent="0.2">
      <c r="A801">
        <v>800</v>
      </c>
      <c r="B801" s="7" t="s">
        <v>356</v>
      </c>
      <c r="C801" t="s">
        <v>1311</v>
      </c>
      <c r="D801" s="65" t="str">
        <f t="shared" si="24"/>
        <v>Y</v>
      </c>
      <c r="E801" t="s">
        <v>1314</v>
      </c>
      <c r="F801" s="7" t="s">
        <v>291</v>
      </c>
      <c r="G801" s="1">
        <v>1</v>
      </c>
      <c r="H801" s="7" t="s">
        <v>291</v>
      </c>
      <c r="I801" s="7" t="s">
        <v>297</v>
      </c>
      <c r="J801" s="1">
        <v>1</v>
      </c>
      <c r="K801" s="1">
        <v>4</v>
      </c>
      <c r="L801" s="67">
        <f t="shared" si="25"/>
        <v>1</v>
      </c>
    </row>
    <row r="802" spans="1:12" x14ac:dyDescent="0.2">
      <c r="A802">
        <v>801</v>
      </c>
      <c r="B802" s="7" t="s">
        <v>356</v>
      </c>
      <c r="C802" t="s">
        <v>1311</v>
      </c>
      <c r="D802" s="65" t="str">
        <f t="shared" si="24"/>
        <v>Y</v>
      </c>
      <c r="E802" t="s">
        <v>1314</v>
      </c>
      <c r="F802" s="7" t="s">
        <v>291</v>
      </c>
      <c r="G802" s="1">
        <v>1</v>
      </c>
      <c r="H802" s="7" t="s">
        <v>291</v>
      </c>
      <c r="I802" s="7" t="s">
        <v>296</v>
      </c>
      <c r="J802" s="1">
        <v>1</v>
      </c>
      <c r="K802" s="1">
        <v>6</v>
      </c>
      <c r="L802" s="67">
        <f t="shared" si="25"/>
        <v>1</v>
      </c>
    </row>
    <row r="803" spans="1:12" x14ac:dyDescent="0.2">
      <c r="A803">
        <v>802</v>
      </c>
      <c r="B803" s="7" t="s">
        <v>372</v>
      </c>
      <c r="C803" t="s">
        <v>1311</v>
      </c>
      <c r="D803" s="65" t="str">
        <f t="shared" si="24"/>
        <v>Y</v>
      </c>
      <c r="E803" t="s">
        <v>1314</v>
      </c>
      <c r="F803" s="7" t="s">
        <v>291</v>
      </c>
      <c r="G803" s="1">
        <v>1</v>
      </c>
      <c r="H803" s="7" t="s">
        <v>291</v>
      </c>
      <c r="I803" s="7" t="s">
        <v>294</v>
      </c>
      <c r="J803" s="1">
        <v>1</v>
      </c>
      <c r="K803" s="1">
        <v>7</v>
      </c>
      <c r="L803" s="67">
        <f t="shared" si="25"/>
        <v>1</v>
      </c>
    </row>
    <row r="804" spans="1:12" x14ac:dyDescent="0.2">
      <c r="A804">
        <v>803</v>
      </c>
      <c r="B804" s="7" t="s">
        <v>356</v>
      </c>
      <c r="C804" t="s">
        <v>1311</v>
      </c>
      <c r="D804" s="65" t="str">
        <f t="shared" si="24"/>
        <v>Y</v>
      </c>
      <c r="E804" t="s">
        <v>1314</v>
      </c>
      <c r="F804" s="7" t="s">
        <v>291</v>
      </c>
      <c r="G804" s="1">
        <v>1</v>
      </c>
      <c r="H804" s="7" t="s">
        <v>291</v>
      </c>
      <c r="I804" s="7" t="s">
        <v>297</v>
      </c>
      <c r="J804" s="1">
        <v>1</v>
      </c>
      <c r="K804" s="1">
        <v>4</v>
      </c>
      <c r="L804" s="67">
        <f t="shared" si="25"/>
        <v>1</v>
      </c>
    </row>
    <row r="805" spans="1:12" x14ac:dyDescent="0.2">
      <c r="A805">
        <v>804</v>
      </c>
      <c r="B805" s="7" t="s">
        <v>372</v>
      </c>
      <c r="C805" t="s">
        <v>1311</v>
      </c>
      <c r="D805" s="65" t="str">
        <f t="shared" si="24"/>
        <v>Y</v>
      </c>
      <c r="E805" t="s">
        <v>1314</v>
      </c>
      <c r="F805" s="7" t="s">
        <v>291</v>
      </c>
      <c r="G805" s="1">
        <v>1</v>
      </c>
      <c r="H805" s="7" t="s">
        <v>291</v>
      </c>
      <c r="I805" s="7" t="s">
        <v>296</v>
      </c>
      <c r="J805" s="1">
        <v>1</v>
      </c>
      <c r="K805" s="1">
        <v>6</v>
      </c>
      <c r="L805" s="67">
        <f t="shared" si="25"/>
        <v>1</v>
      </c>
    </row>
    <row r="806" spans="1:12" x14ac:dyDescent="0.2">
      <c r="A806">
        <v>805</v>
      </c>
      <c r="B806" s="7" t="s">
        <v>356</v>
      </c>
      <c r="C806" t="s">
        <v>1311</v>
      </c>
      <c r="D806" s="65" t="str">
        <f t="shared" si="24"/>
        <v>Y</v>
      </c>
      <c r="E806" t="s">
        <v>1314</v>
      </c>
      <c r="F806" s="7" t="s">
        <v>291</v>
      </c>
      <c r="G806" s="1">
        <v>1</v>
      </c>
      <c r="H806" s="7" t="s">
        <v>291</v>
      </c>
      <c r="I806" s="7" t="s">
        <v>294</v>
      </c>
      <c r="J806" s="1">
        <v>1</v>
      </c>
      <c r="K806" s="1">
        <v>7</v>
      </c>
      <c r="L806" s="67">
        <f t="shared" si="25"/>
        <v>1</v>
      </c>
    </row>
    <row r="807" spans="1:12" x14ac:dyDescent="0.2">
      <c r="A807">
        <v>806</v>
      </c>
      <c r="B807" s="7" t="s">
        <v>372</v>
      </c>
      <c r="C807" t="s">
        <v>1311</v>
      </c>
      <c r="D807" s="65" t="str">
        <f t="shared" si="24"/>
        <v>Y</v>
      </c>
      <c r="E807" t="s">
        <v>1314</v>
      </c>
      <c r="F807" s="7" t="s">
        <v>291</v>
      </c>
      <c r="G807" s="1">
        <v>1</v>
      </c>
      <c r="H807" s="7" t="s">
        <v>298</v>
      </c>
      <c r="I807" s="7" t="s">
        <v>292</v>
      </c>
      <c r="J807" s="1">
        <v>3</v>
      </c>
      <c r="K807" s="1">
        <v>5</v>
      </c>
      <c r="L807" s="67">
        <f t="shared" si="25"/>
        <v>0</v>
      </c>
    </row>
    <row r="808" spans="1:12" x14ac:dyDescent="0.2">
      <c r="A808">
        <v>807</v>
      </c>
      <c r="B808" s="7" t="s">
        <v>372</v>
      </c>
      <c r="C808" t="s">
        <v>1311</v>
      </c>
      <c r="D808" s="65" t="str">
        <f t="shared" si="24"/>
        <v>Y</v>
      </c>
      <c r="E808" t="s">
        <v>1314</v>
      </c>
      <c r="F808" s="7" t="s">
        <v>291</v>
      </c>
      <c r="G808" s="1">
        <v>1</v>
      </c>
      <c r="H808" s="7" t="s">
        <v>291</v>
      </c>
      <c r="I808" s="7" t="s">
        <v>292</v>
      </c>
      <c r="J808" s="1">
        <v>1</v>
      </c>
      <c r="K808" s="1">
        <v>5</v>
      </c>
      <c r="L808" s="67">
        <f t="shared" si="25"/>
        <v>1</v>
      </c>
    </row>
    <row r="809" spans="1:12" x14ac:dyDescent="0.2">
      <c r="A809">
        <v>808</v>
      </c>
      <c r="B809" s="7" t="s">
        <v>356</v>
      </c>
      <c r="C809" t="s">
        <v>1311</v>
      </c>
      <c r="D809" s="65" t="str">
        <f t="shared" si="24"/>
        <v>Y</v>
      </c>
      <c r="E809" t="s">
        <v>1314</v>
      </c>
      <c r="F809" s="7" t="s">
        <v>291</v>
      </c>
      <c r="G809" s="1">
        <v>1</v>
      </c>
      <c r="H809" s="7" t="s">
        <v>291</v>
      </c>
      <c r="I809" s="7" t="s">
        <v>292</v>
      </c>
      <c r="J809" s="1">
        <v>1</v>
      </c>
      <c r="K809" s="1">
        <v>5</v>
      </c>
      <c r="L809" s="67">
        <f t="shared" si="25"/>
        <v>1</v>
      </c>
    </row>
    <row r="810" spans="1:12" x14ac:dyDescent="0.2">
      <c r="A810">
        <v>809</v>
      </c>
      <c r="B810" s="7" t="s">
        <v>356</v>
      </c>
      <c r="C810" t="s">
        <v>1311</v>
      </c>
      <c r="D810" s="65" t="str">
        <f t="shared" si="24"/>
        <v>Y</v>
      </c>
      <c r="E810" t="s">
        <v>1314</v>
      </c>
      <c r="F810" s="7" t="s">
        <v>291</v>
      </c>
      <c r="G810" s="1">
        <v>1</v>
      </c>
      <c r="H810" s="7" t="s">
        <v>291</v>
      </c>
      <c r="I810" s="7" t="s">
        <v>294</v>
      </c>
      <c r="J810" s="1">
        <v>1</v>
      </c>
      <c r="K810" s="1">
        <v>7</v>
      </c>
      <c r="L810" s="67">
        <f t="shared" si="25"/>
        <v>1</v>
      </c>
    </row>
    <row r="811" spans="1:12" x14ac:dyDescent="0.2">
      <c r="A811">
        <v>810</v>
      </c>
      <c r="B811" s="7" t="s">
        <v>372</v>
      </c>
      <c r="C811" t="s">
        <v>1311</v>
      </c>
      <c r="D811" s="65" t="str">
        <f t="shared" si="24"/>
        <v>Y</v>
      </c>
      <c r="E811" t="s">
        <v>1314</v>
      </c>
      <c r="F811" s="7" t="s">
        <v>291</v>
      </c>
      <c r="G811" s="1">
        <v>1</v>
      </c>
      <c r="H811" s="7" t="s">
        <v>291</v>
      </c>
      <c r="I811" s="7" t="s">
        <v>297</v>
      </c>
      <c r="J811" s="1">
        <v>1</v>
      </c>
      <c r="K811" s="1">
        <v>4</v>
      </c>
      <c r="L811" s="67">
        <f t="shared" si="25"/>
        <v>1</v>
      </c>
    </row>
    <row r="812" spans="1:12" x14ac:dyDescent="0.2">
      <c r="A812">
        <v>811</v>
      </c>
      <c r="B812" s="7" t="s">
        <v>356</v>
      </c>
      <c r="C812" t="s">
        <v>1311</v>
      </c>
      <c r="D812" s="65" t="str">
        <f t="shared" si="24"/>
        <v>Y</v>
      </c>
      <c r="E812" t="s">
        <v>1314</v>
      </c>
      <c r="F812" s="7" t="s">
        <v>291</v>
      </c>
      <c r="G812" s="1">
        <v>1</v>
      </c>
      <c r="H812" s="7" t="s">
        <v>291</v>
      </c>
      <c r="I812" s="7" t="s">
        <v>292</v>
      </c>
      <c r="J812" s="1">
        <v>1</v>
      </c>
      <c r="K812" s="1">
        <v>5</v>
      </c>
      <c r="L812" s="67">
        <f t="shared" si="25"/>
        <v>1</v>
      </c>
    </row>
    <row r="813" spans="1:12" x14ac:dyDescent="0.2">
      <c r="A813">
        <v>812</v>
      </c>
      <c r="B813" s="7" t="s">
        <v>356</v>
      </c>
      <c r="C813" t="s">
        <v>1311</v>
      </c>
      <c r="D813" s="65" t="str">
        <f t="shared" si="24"/>
        <v>Y</v>
      </c>
      <c r="E813" t="s">
        <v>1314</v>
      </c>
      <c r="F813" s="7" t="s">
        <v>291</v>
      </c>
      <c r="G813" s="1">
        <v>1</v>
      </c>
      <c r="H813" s="7" t="s">
        <v>291</v>
      </c>
      <c r="I813" s="7" t="s">
        <v>292</v>
      </c>
      <c r="J813" s="1">
        <v>1</v>
      </c>
      <c r="K813" s="1">
        <v>5</v>
      </c>
      <c r="L813" s="67">
        <f t="shared" si="25"/>
        <v>1</v>
      </c>
    </row>
    <row r="814" spans="1:12" x14ac:dyDescent="0.2">
      <c r="A814">
        <v>813</v>
      </c>
      <c r="B814" s="7" t="s">
        <v>372</v>
      </c>
      <c r="C814" t="s">
        <v>1311</v>
      </c>
      <c r="D814" s="65" t="str">
        <f t="shared" si="24"/>
        <v>Y</v>
      </c>
      <c r="E814" t="s">
        <v>1314</v>
      </c>
      <c r="F814" s="7" t="s">
        <v>291</v>
      </c>
      <c r="G814" s="1">
        <v>1</v>
      </c>
      <c r="H814" s="7" t="s">
        <v>282</v>
      </c>
      <c r="I814" s="7" t="s">
        <v>296</v>
      </c>
      <c r="J814" s="4" t="s">
        <v>282</v>
      </c>
      <c r="K814" s="1">
        <v>6</v>
      </c>
      <c r="L814" s="67">
        <f t="shared" si="25"/>
        <v>0</v>
      </c>
    </row>
    <row r="815" spans="1:12" x14ac:dyDescent="0.2">
      <c r="A815">
        <v>814</v>
      </c>
      <c r="B815" s="7" t="s">
        <v>372</v>
      </c>
      <c r="C815" t="s">
        <v>1311</v>
      </c>
      <c r="D815" s="65" t="str">
        <f t="shared" si="24"/>
        <v>Y</v>
      </c>
      <c r="E815" t="s">
        <v>1314</v>
      </c>
      <c r="F815" s="7" t="s">
        <v>291</v>
      </c>
      <c r="G815" s="1">
        <v>1</v>
      </c>
      <c r="H815" s="7" t="s">
        <v>295</v>
      </c>
      <c r="I815" s="7" t="s">
        <v>296</v>
      </c>
      <c r="J815" s="1">
        <v>5</v>
      </c>
      <c r="K815" s="1">
        <v>6</v>
      </c>
      <c r="L815" s="67">
        <f t="shared" si="25"/>
        <v>0</v>
      </c>
    </row>
    <row r="816" spans="1:12" x14ac:dyDescent="0.2">
      <c r="A816">
        <v>815</v>
      </c>
      <c r="B816" s="7" t="s">
        <v>356</v>
      </c>
      <c r="C816" t="s">
        <v>1311</v>
      </c>
      <c r="D816" s="65" t="str">
        <f t="shared" si="24"/>
        <v>Y</v>
      </c>
      <c r="E816" t="s">
        <v>1314</v>
      </c>
      <c r="F816" s="7" t="s">
        <v>291</v>
      </c>
      <c r="G816" s="1">
        <v>1</v>
      </c>
      <c r="H816" s="7" t="s">
        <v>291</v>
      </c>
      <c r="I816" s="7" t="s">
        <v>296</v>
      </c>
      <c r="J816" s="1">
        <v>1</v>
      </c>
      <c r="K816" s="1">
        <v>6</v>
      </c>
      <c r="L816" s="67">
        <f t="shared" si="25"/>
        <v>1</v>
      </c>
    </row>
    <row r="817" spans="1:12" x14ac:dyDescent="0.2">
      <c r="A817">
        <v>816</v>
      </c>
      <c r="B817" s="7" t="s">
        <v>356</v>
      </c>
      <c r="C817" t="s">
        <v>1311</v>
      </c>
      <c r="D817" s="65" t="str">
        <f t="shared" si="24"/>
        <v>Y</v>
      </c>
      <c r="E817" t="s">
        <v>1314</v>
      </c>
      <c r="F817" s="7" t="s">
        <v>291</v>
      </c>
      <c r="G817" s="1">
        <v>1</v>
      </c>
      <c r="H817" s="7" t="s">
        <v>291</v>
      </c>
      <c r="I817" s="7" t="s">
        <v>296</v>
      </c>
      <c r="J817" s="1">
        <v>1</v>
      </c>
      <c r="K817" s="1">
        <v>6</v>
      </c>
      <c r="L817" s="67">
        <f t="shared" si="25"/>
        <v>1</v>
      </c>
    </row>
    <row r="818" spans="1:12" x14ac:dyDescent="0.2">
      <c r="A818">
        <v>817</v>
      </c>
      <c r="B818" s="7" t="s">
        <v>372</v>
      </c>
      <c r="C818" t="s">
        <v>1311</v>
      </c>
      <c r="D818" s="65" t="str">
        <f t="shared" si="24"/>
        <v>Y</v>
      </c>
      <c r="E818" t="s">
        <v>1314</v>
      </c>
      <c r="F818" s="7" t="s">
        <v>291</v>
      </c>
      <c r="G818" s="1">
        <v>1</v>
      </c>
      <c r="H818" s="7" t="s">
        <v>291</v>
      </c>
      <c r="I818" s="7" t="s">
        <v>292</v>
      </c>
      <c r="J818" s="1">
        <v>1</v>
      </c>
      <c r="K818" s="1">
        <v>5</v>
      </c>
      <c r="L818" s="67">
        <f t="shared" si="25"/>
        <v>1</v>
      </c>
    </row>
    <row r="819" spans="1:12" x14ac:dyDescent="0.2">
      <c r="A819">
        <v>818</v>
      </c>
      <c r="B819" s="7" t="s">
        <v>356</v>
      </c>
      <c r="C819" t="s">
        <v>1311</v>
      </c>
      <c r="D819" s="65" t="str">
        <f t="shared" si="24"/>
        <v>Y</v>
      </c>
      <c r="E819" t="s">
        <v>1314</v>
      </c>
      <c r="F819" s="7" t="s">
        <v>291</v>
      </c>
      <c r="G819" s="1">
        <v>1</v>
      </c>
      <c r="H819" s="7" t="s">
        <v>291</v>
      </c>
      <c r="I819" s="7" t="s">
        <v>292</v>
      </c>
      <c r="J819" s="1">
        <v>1</v>
      </c>
      <c r="K819" s="1">
        <v>5</v>
      </c>
      <c r="L819" s="67">
        <f t="shared" si="25"/>
        <v>1</v>
      </c>
    </row>
    <row r="820" spans="1:12" x14ac:dyDescent="0.2">
      <c r="A820">
        <v>819</v>
      </c>
      <c r="B820" s="7" t="s">
        <v>372</v>
      </c>
      <c r="C820" t="s">
        <v>1311</v>
      </c>
      <c r="D820" s="65" t="str">
        <f t="shared" si="24"/>
        <v>Y</v>
      </c>
      <c r="E820" t="s">
        <v>1314</v>
      </c>
      <c r="F820" s="7" t="s">
        <v>291</v>
      </c>
      <c r="G820" s="1">
        <v>1</v>
      </c>
      <c r="H820" s="7" t="s">
        <v>291</v>
      </c>
      <c r="I820" s="7" t="s">
        <v>297</v>
      </c>
      <c r="J820" s="1">
        <v>1</v>
      </c>
      <c r="K820" s="1">
        <v>4</v>
      </c>
      <c r="L820" s="67">
        <f t="shared" si="25"/>
        <v>1</v>
      </c>
    </row>
    <row r="821" spans="1:12" x14ac:dyDescent="0.2">
      <c r="A821">
        <v>820</v>
      </c>
      <c r="B821" s="7" t="s">
        <v>356</v>
      </c>
      <c r="C821" t="s">
        <v>1311</v>
      </c>
      <c r="D821" s="65" t="str">
        <f t="shared" si="24"/>
        <v>Y</v>
      </c>
      <c r="E821" t="s">
        <v>1314</v>
      </c>
      <c r="F821" s="7" t="s">
        <v>291</v>
      </c>
      <c r="G821" s="1">
        <v>1</v>
      </c>
      <c r="H821" s="7" t="s">
        <v>291</v>
      </c>
      <c r="I821" s="7" t="s">
        <v>292</v>
      </c>
      <c r="J821" s="1">
        <v>1</v>
      </c>
      <c r="K821" s="1">
        <v>5</v>
      </c>
      <c r="L821" s="67">
        <f t="shared" si="25"/>
        <v>1</v>
      </c>
    </row>
    <row r="822" spans="1:12" x14ac:dyDescent="0.2">
      <c r="A822">
        <v>821</v>
      </c>
      <c r="B822" s="7" t="s">
        <v>372</v>
      </c>
      <c r="C822" t="s">
        <v>1311</v>
      </c>
      <c r="D822" s="65" t="str">
        <f t="shared" si="24"/>
        <v>Y</v>
      </c>
      <c r="E822" t="s">
        <v>1314</v>
      </c>
      <c r="F822" s="7" t="s">
        <v>291</v>
      </c>
      <c r="G822" s="1">
        <v>1</v>
      </c>
      <c r="H822" s="7" t="s">
        <v>291</v>
      </c>
      <c r="I822" s="7" t="s">
        <v>296</v>
      </c>
      <c r="J822" s="1">
        <v>1</v>
      </c>
      <c r="K822" s="1">
        <v>6</v>
      </c>
      <c r="L822" s="67">
        <f t="shared" si="25"/>
        <v>1</v>
      </c>
    </row>
    <row r="823" spans="1:12" x14ac:dyDescent="0.2">
      <c r="A823">
        <v>822</v>
      </c>
      <c r="B823" s="7" t="s">
        <v>356</v>
      </c>
      <c r="C823" t="s">
        <v>1311</v>
      </c>
      <c r="D823" s="65" t="str">
        <f t="shared" si="24"/>
        <v>Y</v>
      </c>
      <c r="E823" t="s">
        <v>1314</v>
      </c>
      <c r="F823" s="7" t="s">
        <v>291</v>
      </c>
      <c r="G823" s="1">
        <v>1</v>
      </c>
      <c r="H823" s="7" t="s">
        <v>291</v>
      </c>
      <c r="I823" s="7" t="s">
        <v>297</v>
      </c>
      <c r="J823" s="1">
        <v>1</v>
      </c>
      <c r="K823" s="1">
        <v>4</v>
      </c>
      <c r="L823" s="67">
        <f t="shared" si="25"/>
        <v>1</v>
      </c>
    </row>
    <row r="824" spans="1:12" x14ac:dyDescent="0.2">
      <c r="A824">
        <v>823</v>
      </c>
      <c r="B824" s="7" t="s">
        <v>356</v>
      </c>
      <c r="C824" t="s">
        <v>1311</v>
      </c>
      <c r="D824" s="65" t="str">
        <f t="shared" si="24"/>
        <v>Y</v>
      </c>
      <c r="E824" t="s">
        <v>1314</v>
      </c>
      <c r="F824" s="7" t="s">
        <v>291</v>
      </c>
      <c r="G824" s="1">
        <v>1</v>
      </c>
      <c r="H824" s="7" t="s">
        <v>291</v>
      </c>
      <c r="I824" s="7" t="s">
        <v>294</v>
      </c>
      <c r="J824" s="1">
        <v>1</v>
      </c>
      <c r="K824" s="1">
        <v>7</v>
      </c>
      <c r="L824" s="67">
        <f t="shared" si="25"/>
        <v>1</v>
      </c>
    </row>
    <row r="825" spans="1:12" x14ac:dyDescent="0.2">
      <c r="A825">
        <v>824</v>
      </c>
      <c r="B825" s="7" t="s">
        <v>372</v>
      </c>
      <c r="C825" t="s">
        <v>1311</v>
      </c>
      <c r="D825" s="65" t="str">
        <f t="shared" si="24"/>
        <v>Y</v>
      </c>
      <c r="E825" t="s">
        <v>1314</v>
      </c>
      <c r="F825" s="7" t="s">
        <v>291</v>
      </c>
      <c r="G825" s="1">
        <v>1</v>
      </c>
      <c r="H825" s="7" t="s">
        <v>291</v>
      </c>
      <c r="I825" s="7" t="s">
        <v>296</v>
      </c>
      <c r="J825" s="1">
        <v>1</v>
      </c>
      <c r="K825" s="1">
        <v>6</v>
      </c>
      <c r="L825" s="67">
        <f t="shared" si="25"/>
        <v>1</v>
      </c>
    </row>
    <row r="826" spans="1:12" x14ac:dyDescent="0.2">
      <c r="A826">
        <v>825</v>
      </c>
      <c r="B826" s="7" t="s">
        <v>372</v>
      </c>
      <c r="C826" t="s">
        <v>1311</v>
      </c>
      <c r="D826" s="65" t="str">
        <f t="shared" si="24"/>
        <v>Y</v>
      </c>
      <c r="E826" t="s">
        <v>1314</v>
      </c>
      <c r="F826" s="7" t="s">
        <v>291</v>
      </c>
      <c r="G826" s="1">
        <v>1</v>
      </c>
      <c r="H826" s="7" t="s">
        <v>291</v>
      </c>
      <c r="I826" s="7" t="s">
        <v>292</v>
      </c>
      <c r="J826" s="1">
        <v>1</v>
      </c>
      <c r="K826" s="1">
        <v>5</v>
      </c>
      <c r="L826" s="67">
        <f t="shared" si="25"/>
        <v>1</v>
      </c>
    </row>
    <row r="827" spans="1:12" x14ac:dyDescent="0.2">
      <c r="A827">
        <v>826</v>
      </c>
      <c r="B827" s="7" t="s">
        <v>356</v>
      </c>
      <c r="C827" t="s">
        <v>1311</v>
      </c>
      <c r="D827" s="65" t="str">
        <f t="shared" si="24"/>
        <v>Y</v>
      </c>
      <c r="E827" t="s">
        <v>1314</v>
      </c>
      <c r="F827" s="7" t="s">
        <v>291</v>
      </c>
      <c r="G827" s="1">
        <v>1</v>
      </c>
      <c r="H827" s="7" t="s">
        <v>291</v>
      </c>
      <c r="I827" s="7" t="s">
        <v>292</v>
      </c>
      <c r="J827" s="1">
        <v>1</v>
      </c>
      <c r="K827" s="1">
        <v>5</v>
      </c>
      <c r="L827" s="67">
        <f t="shared" si="25"/>
        <v>1</v>
      </c>
    </row>
    <row r="828" spans="1:12" x14ac:dyDescent="0.2">
      <c r="A828">
        <v>827</v>
      </c>
      <c r="B828" s="7" t="s">
        <v>372</v>
      </c>
      <c r="C828" t="s">
        <v>1311</v>
      </c>
      <c r="D828" s="65" t="str">
        <f t="shared" si="24"/>
        <v>Y</v>
      </c>
      <c r="E828" t="s">
        <v>1314</v>
      </c>
      <c r="F828" s="7" t="s">
        <v>291</v>
      </c>
      <c r="G828" s="1">
        <v>1</v>
      </c>
      <c r="H828" s="7" t="s">
        <v>291</v>
      </c>
      <c r="I828" s="7" t="s">
        <v>296</v>
      </c>
      <c r="J828" s="1">
        <v>1</v>
      </c>
      <c r="K828" s="1">
        <v>6</v>
      </c>
      <c r="L828" s="67">
        <f t="shared" si="25"/>
        <v>1</v>
      </c>
    </row>
    <row r="829" spans="1:12" x14ac:dyDescent="0.2">
      <c r="A829">
        <v>828</v>
      </c>
      <c r="B829" s="7" t="s">
        <v>372</v>
      </c>
      <c r="C829" t="s">
        <v>1311</v>
      </c>
      <c r="D829" s="65" t="str">
        <f t="shared" si="24"/>
        <v>Y</v>
      </c>
      <c r="E829" t="s">
        <v>1314</v>
      </c>
      <c r="F829" s="7" t="s">
        <v>291</v>
      </c>
      <c r="G829" s="1">
        <v>1</v>
      </c>
      <c r="H829" s="7" t="s">
        <v>291</v>
      </c>
      <c r="I829" s="7" t="s">
        <v>296</v>
      </c>
      <c r="J829" s="1">
        <v>1</v>
      </c>
      <c r="K829" s="1">
        <v>6</v>
      </c>
      <c r="L829" s="67">
        <f t="shared" si="25"/>
        <v>1</v>
      </c>
    </row>
    <row r="830" spans="1:12" x14ac:dyDescent="0.2">
      <c r="A830">
        <v>829</v>
      </c>
      <c r="B830" s="7" t="s">
        <v>372</v>
      </c>
      <c r="C830" t="s">
        <v>1311</v>
      </c>
      <c r="D830" s="65" t="str">
        <f t="shared" si="24"/>
        <v>Y</v>
      </c>
      <c r="E830" t="s">
        <v>1314</v>
      </c>
      <c r="F830" s="7" t="s">
        <v>291</v>
      </c>
      <c r="G830" s="1">
        <v>1</v>
      </c>
      <c r="H830" s="7" t="s">
        <v>291</v>
      </c>
      <c r="I830" s="7" t="s">
        <v>292</v>
      </c>
      <c r="J830" s="1">
        <v>1</v>
      </c>
      <c r="K830" s="1">
        <v>5</v>
      </c>
      <c r="L830" s="67">
        <f t="shared" si="25"/>
        <v>1</v>
      </c>
    </row>
    <row r="831" spans="1:12" x14ac:dyDescent="0.2">
      <c r="A831">
        <v>830</v>
      </c>
      <c r="B831" s="7" t="s">
        <v>356</v>
      </c>
      <c r="C831" t="s">
        <v>1311</v>
      </c>
      <c r="D831" s="65" t="str">
        <f t="shared" si="24"/>
        <v>Y</v>
      </c>
      <c r="E831" t="s">
        <v>1314</v>
      </c>
      <c r="F831" s="7" t="s">
        <v>291</v>
      </c>
      <c r="G831" s="1">
        <v>1</v>
      </c>
      <c r="H831" s="7" t="s">
        <v>291</v>
      </c>
      <c r="I831" s="7" t="s">
        <v>296</v>
      </c>
      <c r="J831" s="1">
        <v>1</v>
      </c>
      <c r="K831" s="1">
        <v>6</v>
      </c>
      <c r="L831" s="67">
        <f t="shared" si="25"/>
        <v>1</v>
      </c>
    </row>
    <row r="832" spans="1:12" x14ac:dyDescent="0.2">
      <c r="A832">
        <v>831</v>
      </c>
      <c r="B832" s="7" t="s">
        <v>372</v>
      </c>
      <c r="C832" t="s">
        <v>1311</v>
      </c>
      <c r="D832" s="65" t="str">
        <f t="shared" si="24"/>
        <v>Y</v>
      </c>
      <c r="E832" t="s">
        <v>1314</v>
      </c>
      <c r="F832" s="7" t="s">
        <v>291</v>
      </c>
      <c r="G832" s="1">
        <v>1</v>
      </c>
      <c r="H832" s="7" t="s">
        <v>291</v>
      </c>
      <c r="I832" s="7" t="s">
        <v>292</v>
      </c>
      <c r="J832" s="1">
        <v>1</v>
      </c>
      <c r="K832" s="1">
        <v>5</v>
      </c>
      <c r="L832" s="67">
        <f t="shared" si="25"/>
        <v>1</v>
      </c>
    </row>
    <row r="833" spans="1:12" x14ac:dyDescent="0.2">
      <c r="A833">
        <v>832</v>
      </c>
      <c r="B833" s="7" t="s">
        <v>356</v>
      </c>
      <c r="C833" t="s">
        <v>1311</v>
      </c>
      <c r="D833" s="65" t="str">
        <f t="shared" si="24"/>
        <v>Y</v>
      </c>
      <c r="E833" t="s">
        <v>1314</v>
      </c>
      <c r="F833" s="7" t="s">
        <v>291</v>
      </c>
      <c r="G833" s="1">
        <v>1</v>
      </c>
      <c r="H833" s="7" t="s">
        <v>291</v>
      </c>
      <c r="I833" s="7" t="s">
        <v>292</v>
      </c>
      <c r="J833" s="1">
        <v>1</v>
      </c>
      <c r="K833" s="1">
        <v>5</v>
      </c>
      <c r="L833" s="67">
        <f t="shared" si="25"/>
        <v>1</v>
      </c>
    </row>
    <row r="834" spans="1:12" x14ac:dyDescent="0.2">
      <c r="A834">
        <v>833</v>
      </c>
      <c r="B834" s="7" t="s">
        <v>356</v>
      </c>
      <c r="C834" t="s">
        <v>1311</v>
      </c>
      <c r="D834" s="65" t="str">
        <f t="shared" si="24"/>
        <v>Y</v>
      </c>
      <c r="E834" t="s">
        <v>1314</v>
      </c>
      <c r="F834" s="7" t="s">
        <v>291</v>
      </c>
      <c r="G834" s="1">
        <v>1</v>
      </c>
      <c r="H834" s="7" t="s">
        <v>291</v>
      </c>
      <c r="I834" s="7" t="s">
        <v>296</v>
      </c>
      <c r="J834" s="1">
        <v>1</v>
      </c>
      <c r="K834" s="1">
        <v>6</v>
      </c>
      <c r="L834" s="67">
        <f t="shared" si="25"/>
        <v>1</v>
      </c>
    </row>
    <row r="835" spans="1:12" x14ac:dyDescent="0.2">
      <c r="A835">
        <v>834</v>
      </c>
      <c r="B835" s="7" t="s">
        <v>372</v>
      </c>
      <c r="C835" t="s">
        <v>1311</v>
      </c>
      <c r="D835" s="65" t="str">
        <f t="shared" ref="D835:D898" si="26">IF($E835="iso", "N", IF(OR($E835="non", $E835="emd", $E835="dyn"), "Y", "ERROR"))</f>
        <v>Y</v>
      </c>
      <c r="E835" t="s">
        <v>1314</v>
      </c>
      <c r="F835" s="7" t="s">
        <v>291</v>
      </c>
      <c r="G835" s="1">
        <v>1</v>
      </c>
      <c r="H835" s="7" t="s">
        <v>282</v>
      </c>
      <c r="I835" s="7" t="s">
        <v>296</v>
      </c>
      <c r="J835" s="4" t="s">
        <v>282</v>
      </c>
      <c r="K835" s="1">
        <v>6</v>
      </c>
      <c r="L835" s="67">
        <f t="shared" ref="L835:L898" si="27">IF(G835=J835, 1, 0)</f>
        <v>0</v>
      </c>
    </row>
    <row r="836" spans="1:12" x14ac:dyDescent="0.2">
      <c r="A836">
        <v>835</v>
      </c>
      <c r="B836" s="7" t="s">
        <v>372</v>
      </c>
      <c r="C836" t="s">
        <v>1311</v>
      </c>
      <c r="D836" s="65" t="str">
        <f t="shared" si="26"/>
        <v>Y</v>
      </c>
      <c r="E836" t="s">
        <v>1314</v>
      </c>
      <c r="F836" s="7" t="s">
        <v>291</v>
      </c>
      <c r="G836" s="1">
        <v>1</v>
      </c>
      <c r="H836" s="7" t="s">
        <v>291</v>
      </c>
      <c r="I836" s="7" t="s">
        <v>297</v>
      </c>
      <c r="J836" s="1">
        <v>1</v>
      </c>
      <c r="K836" s="1">
        <v>4</v>
      </c>
      <c r="L836" s="67">
        <f t="shared" si="27"/>
        <v>1</v>
      </c>
    </row>
    <row r="837" spans="1:12" x14ac:dyDescent="0.2">
      <c r="A837">
        <v>836</v>
      </c>
      <c r="B837" s="7" t="s">
        <v>356</v>
      </c>
      <c r="C837" t="s">
        <v>1311</v>
      </c>
      <c r="D837" s="65" t="str">
        <f t="shared" si="26"/>
        <v>Y</v>
      </c>
      <c r="E837" t="s">
        <v>1314</v>
      </c>
      <c r="F837" s="7" t="s">
        <v>291</v>
      </c>
      <c r="G837" s="1">
        <v>1</v>
      </c>
      <c r="H837" s="7" t="s">
        <v>291</v>
      </c>
      <c r="I837" s="7" t="s">
        <v>296</v>
      </c>
      <c r="J837" s="1">
        <v>1</v>
      </c>
      <c r="K837" s="1">
        <v>6</v>
      </c>
      <c r="L837" s="67">
        <f t="shared" si="27"/>
        <v>1</v>
      </c>
    </row>
    <row r="838" spans="1:12" x14ac:dyDescent="0.2">
      <c r="A838">
        <v>837</v>
      </c>
      <c r="B838" s="7" t="s">
        <v>372</v>
      </c>
      <c r="C838" t="s">
        <v>1311</v>
      </c>
      <c r="D838" s="65" t="str">
        <f t="shared" si="26"/>
        <v>Y</v>
      </c>
      <c r="E838" t="s">
        <v>1314</v>
      </c>
      <c r="F838" s="7" t="s">
        <v>291</v>
      </c>
      <c r="G838" s="1">
        <v>1</v>
      </c>
      <c r="H838" s="7" t="s">
        <v>291</v>
      </c>
      <c r="I838" s="7" t="s">
        <v>296</v>
      </c>
      <c r="J838" s="1">
        <v>1</v>
      </c>
      <c r="K838" s="1">
        <v>6</v>
      </c>
      <c r="L838" s="67">
        <f t="shared" si="27"/>
        <v>1</v>
      </c>
    </row>
    <row r="839" spans="1:12" x14ac:dyDescent="0.2">
      <c r="A839">
        <v>838</v>
      </c>
      <c r="B839" s="7" t="s">
        <v>356</v>
      </c>
      <c r="C839" t="s">
        <v>1311</v>
      </c>
      <c r="D839" s="65" t="str">
        <f t="shared" si="26"/>
        <v>Y</v>
      </c>
      <c r="E839" t="s">
        <v>1314</v>
      </c>
      <c r="F839" s="7" t="s">
        <v>291</v>
      </c>
      <c r="G839" s="1">
        <v>1</v>
      </c>
      <c r="H839" s="7" t="s">
        <v>291</v>
      </c>
      <c r="I839" s="7" t="s">
        <v>296</v>
      </c>
      <c r="J839" s="1">
        <v>1</v>
      </c>
      <c r="K839" s="1">
        <v>6</v>
      </c>
      <c r="L839" s="67">
        <f t="shared" si="27"/>
        <v>1</v>
      </c>
    </row>
    <row r="840" spans="1:12" x14ac:dyDescent="0.2">
      <c r="A840">
        <v>839</v>
      </c>
      <c r="B840" s="7" t="s">
        <v>372</v>
      </c>
      <c r="C840" t="s">
        <v>1311</v>
      </c>
      <c r="D840" s="65" t="str">
        <f t="shared" si="26"/>
        <v>Y</v>
      </c>
      <c r="E840" t="s">
        <v>1314</v>
      </c>
      <c r="F840" s="7" t="s">
        <v>291</v>
      </c>
      <c r="G840" s="1">
        <v>1</v>
      </c>
      <c r="H840" s="7" t="s">
        <v>291</v>
      </c>
      <c r="I840" s="7" t="s">
        <v>296</v>
      </c>
      <c r="J840" s="1">
        <v>1</v>
      </c>
      <c r="K840" s="1">
        <v>6</v>
      </c>
      <c r="L840" s="67">
        <f t="shared" si="27"/>
        <v>1</v>
      </c>
    </row>
    <row r="841" spans="1:12" x14ac:dyDescent="0.2">
      <c r="A841">
        <v>840</v>
      </c>
      <c r="B841" s="7" t="s">
        <v>372</v>
      </c>
      <c r="C841" t="s">
        <v>1311</v>
      </c>
      <c r="D841" s="65" t="str">
        <f t="shared" si="26"/>
        <v>Y</v>
      </c>
      <c r="E841" t="s">
        <v>1314</v>
      </c>
      <c r="F841" s="7" t="s">
        <v>291</v>
      </c>
      <c r="G841" s="1">
        <v>1</v>
      </c>
      <c r="H841" s="7" t="s">
        <v>291</v>
      </c>
      <c r="I841" s="7" t="s">
        <v>292</v>
      </c>
      <c r="J841" s="1">
        <v>1</v>
      </c>
      <c r="K841" s="1">
        <v>5</v>
      </c>
      <c r="L841" s="67">
        <f t="shared" si="27"/>
        <v>1</v>
      </c>
    </row>
    <row r="842" spans="1:12" x14ac:dyDescent="0.2">
      <c r="A842">
        <v>841</v>
      </c>
      <c r="B842" s="7" t="s">
        <v>356</v>
      </c>
      <c r="C842" t="s">
        <v>1311</v>
      </c>
      <c r="D842" s="65" t="str">
        <f t="shared" si="26"/>
        <v>Y</v>
      </c>
      <c r="E842" t="s">
        <v>1314</v>
      </c>
      <c r="F842" s="7" t="s">
        <v>291</v>
      </c>
      <c r="G842" s="1">
        <v>1</v>
      </c>
      <c r="H842" s="7" t="s">
        <v>291</v>
      </c>
      <c r="I842" s="7" t="s">
        <v>296</v>
      </c>
      <c r="J842" s="1">
        <v>1</v>
      </c>
      <c r="K842" s="1">
        <v>6</v>
      </c>
      <c r="L842" s="67">
        <f t="shared" si="27"/>
        <v>1</v>
      </c>
    </row>
    <row r="843" spans="1:12" x14ac:dyDescent="0.2">
      <c r="A843">
        <v>842</v>
      </c>
      <c r="B843" s="7" t="s">
        <v>372</v>
      </c>
      <c r="C843" t="s">
        <v>1311</v>
      </c>
      <c r="D843" s="65" t="str">
        <f t="shared" si="26"/>
        <v>Y</v>
      </c>
      <c r="E843" t="s">
        <v>1314</v>
      </c>
      <c r="F843" s="7" t="s">
        <v>291</v>
      </c>
      <c r="G843" s="1">
        <v>1</v>
      </c>
      <c r="H843" s="7" t="s">
        <v>291</v>
      </c>
      <c r="I843" s="7" t="s">
        <v>292</v>
      </c>
      <c r="J843" s="1">
        <v>1</v>
      </c>
      <c r="K843" s="1">
        <v>5</v>
      </c>
      <c r="L843" s="67">
        <f t="shared" si="27"/>
        <v>1</v>
      </c>
    </row>
    <row r="844" spans="1:12" x14ac:dyDescent="0.2">
      <c r="A844">
        <v>843</v>
      </c>
      <c r="B844" s="7" t="s">
        <v>356</v>
      </c>
      <c r="C844" t="s">
        <v>1311</v>
      </c>
      <c r="D844" s="65" t="str">
        <f t="shared" si="26"/>
        <v>Y</v>
      </c>
      <c r="E844" t="s">
        <v>1314</v>
      </c>
      <c r="F844" s="7" t="s">
        <v>291</v>
      </c>
      <c r="G844" s="1">
        <v>1</v>
      </c>
      <c r="H844" s="7" t="s">
        <v>291</v>
      </c>
      <c r="I844" s="7" t="s">
        <v>296</v>
      </c>
      <c r="J844" s="1">
        <v>1</v>
      </c>
      <c r="K844" s="1">
        <v>6</v>
      </c>
      <c r="L844" s="67">
        <f t="shared" si="27"/>
        <v>1</v>
      </c>
    </row>
    <row r="845" spans="1:12" x14ac:dyDescent="0.2">
      <c r="A845">
        <v>844</v>
      </c>
      <c r="B845" s="7" t="s">
        <v>356</v>
      </c>
      <c r="C845" t="s">
        <v>1311</v>
      </c>
      <c r="D845" s="65" t="str">
        <f t="shared" si="26"/>
        <v>Y</v>
      </c>
      <c r="E845" t="s">
        <v>1314</v>
      </c>
      <c r="F845" s="7" t="s">
        <v>291</v>
      </c>
      <c r="G845" s="1">
        <v>1</v>
      </c>
      <c r="H845" s="7" t="s">
        <v>293</v>
      </c>
      <c r="I845" s="7" t="s">
        <v>296</v>
      </c>
      <c r="J845" s="1">
        <v>2</v>
      </c>
      <c r="K845" s="1">
        <v>6</v>
      </c>
      <c r="L845" s="67">
        <f t="shared" si="27"/>
        <v>0</v>
      </c>
    </row>
    <row r="846" spans="1:12" x14ac:dyDescent="0.2">
      <c r="A846">
        <v>845</v>
      </c>
      <c r="B846" s="7" t="s">
        <v>372</v>
      </c>
      <c r="C846" t="s">
        <v>1311</v>
      </c>
      <c r="D846" s="65" t="str">
        <f t="shared" si="26"/>
        <v>Y</v>
      </c>
      <c r="E846" t="s">
        <v>1314</v>
      </c>
      <c r="F846" s="7" t="s">
        <v>291</v>
      </c>
      <c r="G846" s="1">
        <v>1</v>
      </c>
      <c r="H846" s="7" t="s">
        <v>291</v>
      </c>
      <c r="I846" s="7" t="s">
        <v>292</v>
      </c>
      <c r="J846" s="1">
        <v>1</v>
      </c>
      <c r="K846" s="1">
        <v>5</v>
      </c>
      <c r="L846" s="67">
        <f t="shared" si="27"/>
        <v>1</v>
      </c>
    </row>
    <row r="847" spans="1:12" x14ac:dyDescent="0.2">
      <c r="A847">
        <v>846</v>
      </c>
      <c r="B847" s="7" t="s">
        <v>356</v>
      </c>
      <c r="C847" t="s">
        <v>1311</v>
      </c>
      <c r="D847" s="65" t="str">
        <f t="shared" si="26"/>
        <v>Y</v>
      </c>
      <c r="E847" t="s">
        <v>1314</v>
      </c>
      <c r="F847" s="7" t="s">
        <v>291</v>
      </c>
      <c r="G847" s="1">
        <v>1</v>
      </c>
      <c r="H847" s="7" t="s">
        <v>291</v>
      </c>
      <c r="I847" s="7" t="s">
        <v>297</v>
      </c>
      <c r="J847" s="1">
        <v>1</v>
      </c>
      <c r="K847" s="1">
        <v>4</v>
      </c>
      <c r="L847" s="67">
        <f t="shared" si="27"/>
        <v>1</v>
      </c>
    </row>
    <row r="848" spans="1:12" x14ac:dyDescent="0.2">
      <c r="A848">
        <v>847</v>
      </c>
      <c r="B848" s="7" t="s">
        <v>372</v>
      </c>
      <c r="C848" t="s">
        <v>1311</v>
      </c>
      <c r="D848" s="65" t="str">
        <f t="shared" si="26"/>
        <v>Y</v>
      </c>
      <c r="E848" t="s">
        <v>1314</v>
      </c>
      <c r="F848" s="7" t="s">
        <v>291</v>
      </c>
      <c r="G848" s="1">
        <v>1</v>
      </c>
      <c r="H848" s="7" t="s">
        <v>291</v>
      </c>
      <c r="I848" s="7" t="s">
        <v>292</v>
      </c>
      <c r="J848" s="1">
        <v>1</v>
      </c>
      <c r="K848" s="1">
        <v>5</v>
      </c>
      <c r="L848" s="67">
        <f t="shared" si="27"/>
        <v>1</v>
      </c>
    </row>
    <row r="849" spans="1:12" x14ac:dyDescent="0.2">
      <c r="A849">
        <v>848</v>
      </c>
      <c r="B849" s="7" t="s">
        <v>356</v>
      </c>
      <c r="C849" t="s">
        <v>1311</v>
      </c>
      <c r="D849" s="65" t="str">
        <f t="shared" si="26"/>
        <v>Y</v>
      </c>
      <c r="E849" t="s">
        <v>1314</v>
      </c>
      <c r="F849" s="7" t="s">
        <v>291</v>
      </c>
      <c r="G849" s="1">
        <v>1</v>
      </c>
      <c r="H849" s="7" t="s">
        <v>291</v>
      </c>
      <c r="I849" s="7" t="s">
        <v>296</v>
      </c>
      <c r="J849" s="1">
        <v>1</v>
      </c>
      <c r="K849" s="1">
        <v>6</v>
      </c>
      <c r="L849" s="67">
        <f t="shared" si="27"/>
        <v>1</v>
      </c>
    </row>
    <row r="850" spans="1:12" x14ac:dyDescent="0.2">
      <c r="A850">
        <v>849</v>
      </c>
      <c r="B850" s="7" t="s">
        <v>372</v>
      </c>
      <c r="C850" t="s">
        <v>1311</v>
      </c>
      <c r="D850" s="65" t="str">
        <f t="shared" si="26"/>
        <v>Y</v>
      </c>
      <c r="E850" t="s">
        <v>1314</v>
      </c>
      <c r="F850" s="7" t="s">
        <v>291</v>
      </c>
      <c r="G850" s="1">
        <v>1</v>
      </c>
      <c r="H850" s="7" t="s">
        <v>291</v>
      </c>
      <c r="I850" s="7" t="s">
        <v>292</v>
      </c>
      <c r="J850" s="1">
        <v>1</v>
      </c>
      <c r="K850" s="1">
        <v>5</v>
      </c>
      <c r="L850" s="67">
        <f t="shared" si="27"/>
        <v>1</v>
      </c>
    </row>
    <row r="851" spans="1:12" x14ac:dyDescent="0.2">
      <c r="A851">
        <v>850</v>
      </c>
      <c r="B851" s="7" t="s">
        <v>356</v>
      </c>
      <c r="C851" t="s">
        <v>1311</v>
      </c>
      <c r="D851" s="65" t="str">
        <f t="shared" si="26"/>
        <v>Y</v>
      </c>
      <c r="E851" t="s">
        <v>1314</v>
      </c>
      <c r="F851" s="7" t="s">
        <v>291</v>
      </c>
      <c r="G851" s="1">
        <v>1</v>
      </c>
      <c r="H851" s="7" t="s">
        <v>291</v>
      </c>
      <c r="I851" s="7" t="s">
        <v>296</v>
      </c>
      <c r="J851" s="1">
        <v>1</v>
      </c>
      <c r="K851" s="1">
        <v>6</v>
      </c>
      <c r="L851" s="67">
        <f t="shared" si="27"/>
        <v>1</v>
      </c>
    </row>
    <row r="852" spans="1:12" x14ac:dyDescent="0.2">
      <c r="A852">
        <v>851</v>
      </c>
      <c r="B852" s="7" t="s">
        <v>372</v>
      </c>
      <c r="C852" t="s">
        <v>1311</v>
      </c>
      <c r="D852" s="65" t="str">
        <f t="shared" si="26"/>
        <v>Y</v>
      </c>
      <c r="E852" t="s">
        <v>1314</v>
      </c>
      <c r="F852" s="7" t="s">
        <v>291</v>
      </c>
      <c r="G852" s="1">
        <v>1</v>
      </c>
      <c r="H852" s="7" t="s">
        <v>291</v>
      </c>
      <c r="I852" s="7" t="s">
        <v>292</v>
      </c>
      <c r="J852" s="1">
        <v>1</v>
      </c>
      <c r="K852" s="1">
        <v>5</v>
      </c>
      <c r="L852" s="67">
        <f t="shared" si="27"/>
        <v>1</v>
      </c>
    </row>
    <row r="853" spans="1:12" x14ac:dyDescent="0.2">
      <c r="A853">
        <v>852</v>
      </c>
      <c r="B853" s="7" t="s">
        <v>372</v>
      </c>
      <c r="C853" t="s">
        <v>1311</v>
      </c>
      <c r="D853" s="65" t="str">
        <f t="shared" si="26"/>
        <v>Y</v>
      </c>
      <c r="E853" t="s">
        <v>1314</v>
      </c>
      <c r="F853" s="7" t="s">
        <v>291</v>
      </c>
      <c r="G853" s="1">
        <v>1</v>
      </c>
      <c r="H853" s="7" t="s">
        <v>291</v>
      </c>
      <c r="I853" s="7" t="s">
        <v>296</v>
      </c>
      <c r="J853" s="1">
        <v>1</v>
      </c>
      <c r="K853" s="1">
        <v>6</v>
      </c>
      <c r="L853" s="67">
        <f t="shared" si="27"/>
        <v>1</v>
      </c>
    </row>
    <row r="854" spans="1:12" x14ac:dyDescent="0.2">
      <c r="A854">
        <v>853</v>
      </c>
      <c r="B854" s="7" t="s">
        <v>356</v>
      </c>
      <c r="C854" t="s">
        <v>1311</v>
      </c>
      <c r="D854" s="65" t="str">
        <f t="shared" si="26"/>
        <v>Y</v>
      </c>
      <c r="E854" t="s">
        <v>1314</v>
      </c>
      <c r="F854" s="7" t="s">
        <v>291</v>
      </c>
      <c r="G854" s="1">
        <v>1</v>
      </c>
      <c r="H854" s="7" t="s">
        <v>291</v>
      </c>
      <c r="I854" s="7" t="s">
        <v>296</v>
      </c>
      <c r="J854" s="1">
        <v>1</v>
      </c>
      <c r="K854" s="1">
        <v>6</v>
      </c>
      <c r="L854" s="67">
        <f t="shared" si="27"/>
        <v>1</v>
      </c>
    </row>
    <row r="855" spans="1:12" x14ac:dyDescent="0.2">
      <c r="A855">
        <v>854</v>
      </c>
      <c r="B855" s="7" t="s">
        <v>356</v>
      </c>
      <c r="C855" t="s">
        <v>1311</v>
      </c>
      <c r="D855" s="65" t="str">
        <f t="shared" si="26"/>
        <v>Y</v>
      </c>
      <c r="E855" t="s">
        <v>1314</v>
      </c>
      <c r="F855" s="7" t="s">
        <v>291</v>
      </c>
      <c r="G855" s="1">
        <v>1</v>
      </c>
      <c r="H855" s="7" t="s">
        <v>291</v>
      </c>
      <c r="I855" s="7" t="s">
        <v>296</v>
      </c>
      <c r="J855" s="1">
        <v>1</v>
      </c>
      <c r="K855" s="1">
        <v>6</v>
      </c>
      <c r="L855" s="67">
        <f t="shared" si="27"/>
        <v>1</v>
      </c>
    </row>
    <row r="856" spans="1:12" x14ac:dyDescent="0.2">
      <c r="A856">
        <v>855</v>
      </c>
      <c r="B856" s="7" t="s">
        <v>372</v>
      </c>
      <c r="C856" t="s">
        <v>1311</v>
      </c>
      <c r="D856" s="65" t="str">
        <f t="shared" si="26"/>
        <v>Y</v>
      </c>
      <c r="E856" t="s">
        <v>1314</v>
      </c>
      <c r="F856" s="7" t="s">
        <v>291</v>
      </c>
      <c r="G856" s="1">
        <v>1</v>
      </c>
      <c r="H856" s="7" t="s">
        <v>291</v>
      </c>
      <c r="I856" s="7" t="s">
        <v>294</v>
      </c>
      <c r="J856" s="1">
        <v>1</v>
      </c>
      <c r="K856" s="1">
        <v>7</v>
      </c>
      <c r="L856" s="67">
        <f t="shared" si="27"/>
        <v>1</v>
      </c>
    </row>
    <row r="857" spans="1:12" x14ac:dyDescent="0.2">
      <c r="A857">
        <v>856</v>
      </c>
      <c r="B857" s="7" t="s">
        <v>372</v>
      </c>
      <c r="C857" t="s">
        <v>1311</v>
      </c>
      <c r="D857" s="65" t="str">
        <f t="shared" si="26"/>
        <v>Y</v>
      </c>
      <c r="E857" t="s">
        <v>1314</v>
      </c>
      <c r="F857" s="7" t="s">
        <v>291</v>
      </c>
      <c r="G857" s="1">
        <v>1</v>
      </c>
      <c r="H857" s="7" t="s">
        <v>291</v>
      </c>
      <c r="I857" s="7" t="s">
        <v>294</v>
      </c>
      <c r="J857" s="1">
        <v>1</v>
      </c>
      <c r="K857" s="1">
        <v>7</v>
      </c>
      <c r="L857" s="67">
        <f t="shared" si="27"/>
        <v>1</v>
      </c>
    </row>
    <row r="858" spans="1:12" x14ac:dyDescent="0.2">
      <c r="A858">
        <v>857</v>
      </c>
      <c r="B858" s="7" t="s">
        <v>356</v>
      </c>
      <c r="C858" t="s">
        <v>1311</v>
      </c>
      <c r="D858" s="65" t="str">
        <f t="shared" si="26"/>
        <v>Y</v>
      </c>
      <c r="E858" t="s">
        <v>1314</v>
      </c>
      <c r="F858" s="7" t="s">
        <v>291</v>
      </c>
      <c r="G858" s="1">
        <v>1</v>
      </c>
      <c r="H858" s="7" t="s">
        <v>291</v>
      </c>
      <c r="I858" s="7" t="s">
        <v>294</v>
      </c>
      <c r="J858" s="1">
        <v>1</v>
      </c>
      <c r="K858" s="1">
        <v>7</v>
      </c>
      <c r="L858" s="67">
        <f t="shared" si="27"/>
        <v>1</v>
      </c>
    </row>
    <row r="859" spans="1:12" x14ac:dyDescent="0.2">
      <c r="A859">
        <v>858</v>
      </c>
      <c r="B859" s="7" t="s">
        <v>372</v>
      </c>
      <c r="C859" t="s">
        <v>1311</v>
      </c>
      <c r="D859" s="65" t="str">
        <f t="shared" si="26"/>
        <v>Y</v>
      </c>
      <c r="E859" t="s">
        <v>1314</v>
      </c>
      <c r="F859" s="7" t="s">
        <v>291</v>
      </c>
      <c r="G859" s="1">
        <v>1</v>
      </c>
      <c r="H859" s="7" t="s">
        <v>291</v>
      </c>
      <c r="I859" s="7" t="s">
        <v>296</v>
      </c>
      <c r="J859" s="1">
        <v>1</v>
      </c>
      <c r="K859" s="1">
        <v>6</v>
      </c>
      <c r="L859" s="67">
        <f t="shared" si="27"/>
        <v>1</v>
      </c>
    </row>
    <row r="860" spans="1:12" x14ac:dyDescent="0.2">
      <c r="A860">
        <v>859</v>
      </c>
      <c r="B860" s="7" t="s">
        <v>356</v>
      </c>
      <c r="C860" t="s">
        <v>1311</v>
      </c>
      <c r="D860" s="65" t="str">
        <f t="shared" si="26"/>
        <v>Y</v>
      </c>
      <c r="E860" t="s">
        <v>1314</v>
      </c>
      <c r="F860" s="7" t="s">
        <v>291</v>
      </c>
      <c r="G860" s="1">
        <v>1</v>
      </c>
      <c r="H860" s="7" t="s">
        <v>291</v>
      </c>
      <c r="I860" s="7" t="s">
        <v>296</v>
      </c>
      <c r="J860" s="1">
        <v>1</v>
      </c>
      <c r="K860" s="1">
        <v>6</v>
      </c>
      <c r="L860" s="67">
        <f t="shared" si="27"/>
        <v>1</v>
      </c>
    </row>
    <row r="861" spans="1:12" x14ac:dyDescent="0.2">
      <c r="A861">
        <v>860</v>
      </c>
      <c r="B861" s="7" t="s">
        <v>356</v>
      </c>
      <c r="C861" t="s">
        <v>1311</v>
      </c>
      <c r="D861" s="65" t="str">
        <f t="shared" si="26"/>
        <v>Y</v>
      </c>
      <c r="E861" t="s">
        <v>1314</v>
      </c>
      <c r="F861" s="7" t="s">
        <v>291</v>
      </c>
      <c r="G861" s="1">
        <v>1</v>
      </c>
      <c r="H861" s="7" t="s">
        <v>291</v>
      </c>
      <c r="I861" s="7" t="s">
        <v>292</v>
      </c>
      <c r="J861" s="1">
        <v>1</v>
      </c>
      <c r="K861" s="1">
        <v>5</v>
      </c>
      <c r="L861" s="67">
        <f t="shared" si="27"/>
        <v>1</v>
      </c>
    </row>
    <row r="862" spans="1:12" x14ac:dyDescent="0.2">
      <c r="A862">
        <v>861</v>
      </c>
      <c r="B862" s="7" t="s">
        <v>372</v>
      </c>
      <c r="C862" t="s">
        <v>1311</v>
      </c>
      <c r="D862" s="65" t="str">
        <f t="shared" si="26"/>
        <v>Y</v>
      </c>
      <c r="E862" t="s">
        <v>1314</v>
      </c>
      <c r="F862" s="7" t="s">
        <v>291</v>
      </c>
      <c r="G862" s="1">
        <v>1</v>
      </c>
      <c r="H862" s="7" t="s">
        <v>298</v>
      </c>
      <c r="I862" s="7" t="s">
        <v>296</v>
      </c>
      <c r="J862" s="1">
        <v>3</v>
      </c>
      <c r="K862" s="1">
        <v>6</v>
      </c>
      <c r="L862" s="67">
        <f t="shared" si="27"/>
        <v>0</v>
      </c>
    </row>
    <row r="863" spans="1:12" x14ac:dyDescent="0.2">
      <c r="A863">
        <v>862</v>
      </c>
      <c r="B863" s="7" t="s">
        <v>372</v>
      </c>
      <c r="C863" t="s">
        <v>1311</v>
      </c>
      <c r="D863" s="65" t="str">
        <f t="shared" si="26"/>
        <v>Y</v>
      </c>
      <c r="E863" t="s">
        <v>1314</v>
      </c>
      <c r="F863" s="7" t="s">
        <v>291</v>
      </c>
      <c r="G863" s="1">
        <v>1</v>
      </c>
      <c r="H863" s="7" t="s">
        <v>291</v>
      </c>
      <c r="I863" s="7" t="s">
        <v>296</v>
      </c>
      <c r="J863" s="1">
        <v>1</v>
      </c>
      <c r="K863" s="1">
        <v>6</v>
      </c>
      <c r="L863" s="67">
        <f t="shared" si="27"/>
        <v>1</v>
      </c>
    </row>
    <row r="864" spans="1:12" x14ac:dyDescent="0.2">
      <c r="A864">
        <v>863</v>
      </c>
      <c r="B864" s="7" t="s">
        <v>356</v>
      </c>
      <c r="C864" t="s">
        <v>1311</v>
      </c>
      <c r="D864" s="65" t="str">
        <f t="shared" si="26"/>
        <v>Y</v>
      </c>
      <c r="E864" t="s">
        <v>1314</v>
      </c>
      <c r="F864" s="7" t="s">
        <v>291</v>
      </c>
      <c r="G864" s="1">
        <v>1</v>
      </c>
      <c r="H864" s="7" t="s">
        <v>291</v>
      </c>
      <c r="I864" s="7" t="s">
        <v>292</v>
      </c>
      <c r="J864" s="1">
        <v>1</v>
      </c>
      <c r="K864" s="1">
        <v>5</v>
      </c>
      <c r="L864" s="67">
        <f t="shared" si="27"/>
        <v>1</v>
      </c>
    </row>
    <row r="865" spans="1:12" x14ac:dyDescent="0.2">
      <c r="A865">
        <v>864</v>
      </c>
      <c r="B865" s="7" t="s">
        <v>356</v>
      </c>
      <c r="C865" t="s">
        <v>1311</v>
      </c>
      <c r="D865" s="65" t="str">
        <f t="shared" si="26"/>
        <v>Y</v>
      </c>
      <c r="E865" t="s">
        <v>1314</v>
      </c>
      <c r="F865" s="7" t="s">
        <v>291</v>
      </c>
      <c r="G865" s="1">
        <v>1</v>
      </c>
      <c r="H865" s="7" t="s">
        <v>293</v>
      </c>
      <c r="I865" s="7" t="s">
        <v>292</v>
      </c>
      <c r="J865" s="1">
        <v>2</v>
      </c>
      <c r="K865" s="1">
        <v>5</v>
      </c>
      <c r="L865" s="67">
        <f t="shared" si="27"/>
        <v>0</v>
      </c>
    </row>
    <row r="866" spans="1:12" x14ac:dyDescent="0.2">
      <c r="A866">
        <v>865</v>
      </c>
      <c r="B866" s="7" t="s">
        <v>372</v>
      </c>
      <c r="C866" t="s">
        <v>1311</v>
      </c>
      <c r="D866" s="65" t="str">
        <f t="shared" si="26"/>
        <v>Y</v>
      </c>
      <c r="E866" t="s">
        <v>1314</v>
      </c>
      <c r="F866" s="7" t="s">
        <v>291</v>
      </c>
      <c r="G866" s="1">
        <v>1</v>
      </c>
      <c r="H866" s="7" t="s">
        <v>291</v>
      </c>
      <c r="I866" s="7" t="s">
        <v>297</v>
      </c>
      <c r="J866" s="1">
        <v>1</v>
      </c>
      <c r="K866" s="1">
        <v>4</v>
      </c>
      <c r="L866" s="67">
        <f t="shared" si="27"/>
        <v>1</v>
      </c>
    </row>
    <row r="867" spans="1:12" x14ac:dyDescent="0.2">
      <c r="A867">
        <v>866</v>
      </c>
      <c r="B867" s="7" t="s">
        <v>356</v>
      </c>
      <c r="C867" t="s">
        <v>1311</v>
      </c>
      <c r="D867" s="65" t="str">
        <f t="shared" si="26"/>
        <v>Y</v>
      </c>
      <c r="E867" t="s">
        <v>1314</v>
      </c>
      <c r="F867" s="7" t="s">
        <v>291</v>
      </c>
      <c r="G867" s="1">
        <v>1</v>
      </c>
      <c r="H867" s="7" t="s">
        <v>291</v>
      </c>
      <c r="I867" s="7" t="s">
        <v>296</v>
      </c>
      <c r="J867" s="1">
        <v>1</v>
      </c>
      <c r="K867" s="1">
        <v>6</v>
      </c>
      <c r="L867" s="67">
        <f t="shared" si="27"/>
        <v>1</v>
      </c>
    </row>
    <row r="868" spans="1:12" x14ac:dyDescent="0.2">
      <c r="A868">
        <v>867</v>
      </c>
      <c r="B868" s="7" t="s">
        <v>372</v>
      </c>
      <c r="C868" t="s">
        <v>1311</v>
      </c>
      <c r="D868" s="65" t="str">
        <f t="shared" si="26"/>
        <v>Y</v>
      </c>
      <c r="E868" t="s">
        <v>1314</v>
      </c>
      <c r="F868" s="7" t="s">
        <v>291</v>
      </c>
      <c r="G868" s="1">
        <v>1</v>
      </c>
      <c r="H868" s="7" t="s">
        <v>298</v>
      </c>
      <c r="I868" s="7" t="s">
        <v>292</v>
      </c>
      <c r="J868" s="1">
        <v>3</v>
      </c>
      <c r="K868" s="1">
        <v>5</v>
      </c>
      <c r="L868" s="67">
        <f t="shared" si="27"/>
        <v>0</v>
      </c>
    </row>
    <row r="869" spans="1:12" x14ac:dyDescent="0.2">
      <c r="A869">
        <v>868</v>
      </c>
      <c r="B869" s="7" t="s">
        <v>356</v>
      </c>
      <c r="C869" t="s">
        <v>1311</v>
      </c>
      <c r="D869" s="65" t="str">
        <f t="shared" si="26"/>
        <v>Y</v>
      </c>
      <c r="E869" t="s">
        <v>1314</v>
      </c>
      <c r="F869" s="7" t="s">
        <v>291</v>
      </c>
      <c r="G869" s="1">
        <v>1</v>
      </c>
      <c r="H869" s="7" t="s">
        <v>291</v>
      </c>
      <c r="I869" s="7" t="s">
        <v>296</v>
      </c>
      <c r="J869" s="1">
        <v>1</v>
      </c>
      <c r="K869" s="1">
        <v>6</v>
      </c>
      <c r="L869" s="67">
        <f t="shared" si="27"/>
        <v>1</v>
      </c>
    </row>
    <row r="870" spans="1:12" x14ac:dyDescent="0.2">
      <c r="A870">
        <v>869</v>
      </c>
      <c r="B870" s="7" t="s">
        <v>372</v>
      </c>
      <c r="C870" t="s">
        <v>1311</v>
      </c>
      <c r="D870" s="65" t="str">
        <f t="shared" si="26"/>
        <v>Y</v>
      </c>
      <c r="E870" t="s">
        <v>1314</v>
      </c>
      <c r="F870" s="7" t="s">
        <v>291</v>
      </c>
      <c r="G870" s="1">
        <v>1</v>
      </c>
      <c r="H870" s="7" t="s">
        <v>291</v>
      </c>
      <c r="I870" s="7" t="s">
        <v>292</v>
      </c>
      <c r="J870" s="1">
        <v>1</v>
      </c>
      <c r="K870" s="1">
        <v>5</v>
      </c>
      <c r="L870" s="67">
        <f t="shared" si="27"/>
        <v>1</v>
      </c>
    </row>
    <row r="871" spans="1:12" x14ac:dyDescent="0.2">
      <c r="A871">
        <v>870</v>
      </c>
      <c r="B871" s="7" t="s">
        <v>356</v>
      </c>
      <c r="C871" t="s">
        <v>1311</v>
      </c>
      <c r="D871" s="65" t="str">
        <f t="shared" si="26"/>
        <v>Y</v>
      </c>
      <c r="E871" t="s">
        <v>1314</v>
      </c>
      <c r="F871" s="25" t="s">
        <v>293</v>
      </c>
      <c r="G871" s="26">
        <v>2</v>
      </c>
      <c r="H871" s="7" t="s">
        <v>293</v>
      </c>
      <c r="I871" s="7" t="s">
        <v>294</v>
      </c>
      <c r="J871" s="1">
        <v>2</v>
      </c>
      <c r="K871" s="1">
        <v>7</v>
      </c>
      <c r="L871" s="67">
        <f t="shared" si="27"/>
        <v>1</v>
      </c>
    </row>
    <row r="872" spans="1:12" x14ac:dyDescent="0.2">
      <c r="A872">
        <v>871</v>
      </c>
      <c r="B872" s="7" t="s">
        <v>372</v>
      </c>
      <c r="C872" t="s">
        <v>1311</v>
      </c>
      <c r="D872" s="65" t="str">
        <f t="shared" si="26"/>
        <v>Y</v>
      </c>
      <c r="E872" t="s">
        <v>1314</v>
      </c>
      <c r="F872" s="25" t="s">
        <v>293</v>
      </c>
      <c r="G872" s="26">
        <v>2</v>
      </c>
      <c r="H872" s="7" t="s">
        <v>293</v>
      </c>
      <c r="I872" s="7" t="s">
        <v>296</v>
      </c>
      <c r="J872" s="1">
        <v>2</v>
      </c>
      <c r="K872" s="1">
        <v>6</v>
      </c>
      <c r="L872" s="67">
        <f t="shared" si="27"/>
        <v>1</v>
      </c>
    </row>
    <row r="873" spans="1:12" x14ac:dyDescent="0.2">
      <c r="A873">
        <v>872</v>
      </c>
      <c r="B873" s="7" t="s">
        <v>372</v>
      </c>
      <c r="C873" t="s">
        <v>1311</v>
      </c>
      <c r="D873" s="65" t="str">
        <f t="shared" si="26"/>
        <v>Y</v>
      </c>
      <c r="E873" t="s">
        <v>1314</v>
      </c>
      <c r="F873" s="25" t="s">
        <v>293</v>
      </c>
      <c r="G873" s="26">
        <v>2</v>
      </c>
      <c r="H873" s="7" t="s">
        <v>293</v>
      </c>
      <c r="I873" s="7" t="s">
        <v>296</v>
      </c>
      <c r="J873" s="1">
        <v>2</v>
      </c>
      <c r="K873" s="1">
        <v>6</v>
      </c>
      <c r="L873" s="67">
        <f t="shared" si="27"/>
        <v>1</v>
      </c>
    </row>
    <row r="874" spans="1:12" x14ac:dyDescent="0.2">
      <c r="A874">
        <v>873</v>
      </c>
      <c r="B874" s="7" t="s">
        <v>356</v>
      </c>
      <c r="C874" t="s">
        <v>1311</v>
      </c>
      <c r="D874" s="65" t="str">
        <f t="shared" si="26"/>
        <v>Y</v>
      </c>
      <c r="E874" t="s">
        <v>1314</v>
      </c>
      <c r="F874" s="25" t="s">
        <v>293</v>
      </c>
      <c r="G874" s="26">
        <v>2</v>
      </c>
      <c r="H874" s="7" t="s">
        <v>299</v>
      </c>
      <c r="I874" s="7" t="s">
        <v>292</v>
      </c>
      <c r="J874" s="1">
        <v>4</v>
      </c>
      <c r="K874" s="1">
        <v>5</v>
      </c>
      <c r="L874" s="67">
        <f t="shared" si="27"/>
        <v>0</v>
      </c>
    </row>
    <row r="875" spans="1:12" x14ac:dyDescent="0.2">
      <c r="A875">
        <v>874</v>
      </c>
      <c r="B875" s="7" t="s">
        <v>372</v>
      </c>
      <c r="C875" t="s">
        <v>1311</v>
      </c>
      <c r="D875" s="65" t="str">
        <f t="shared" si="26"/>
        <v>Y</v>
      </c>
      <c r="E875" t="s">
        <v>1314</v>
      </c>
      <c r="F875" s="25" t="s">
        <v>293</v>
      </c>
      <c r="G875" s="26">
        <v>2</v>
      </c>
      <c r="H875" s="7" t="s">
        <v>293</v>
      </c>
      <c r="I875" s="7" t="s">
        <v>292</v>
      </c>
      <c r="J875" s="1">
        <v>2</v>
      </c>
      <c r="K875" s="1">
        <v>5</v>
      </c>
      <c r="L875" s="67">
        <f t="shared" si="27"/>
        <v>1</v>
      </c>
    </row>
    <row r="876" spans="1:12" x14ac:dyDescent="0.2">
      <c r="A876">
        <v>875</v>
      </c>
      <c r="B876" s="7" t="s">
        <v>356</v>
      </c>
      <c r="C876" t="s">
        <v>1311</v>
      </c>
      <c r="D876" s="65" t="str">
        <f t="shared" si="26"/>
        <v>Y</v>
      </c>
      <c r="E876" t="s">
        <v>1314</v>
      </c>
      <c r="F876" s="25" t="s">
        <v>293</v>
      </c>
      <c r="G876" s="26">
        <v>2</v>
      </c>
      <c r="H876" s="7" t="s">
        <v>299</v>
      </c>
      <c r="I876" s="7" t="s">
        <v>292</v>
      </c>
      <c r="J876" s="1">
        <v>4</v>
      </c>
      <c r="K876" s="1">
        <v>5</v>
      </c>
      <c r="L876" s="67">
        <f t="shared" si="27"/>
        <v>0</v>
      </c>
    </row>
    <row r="877" spans="1:12" x14ac:dyDescent="0.2">
      <c r="A877">
        <v>876</v>
      </c>
      <c r="B877" s="7" t="s">
        <v>372</v>
      </c>
      <c r="C877" t="s">
        <v>1311</v>
      </c>
      <c r="D877" s="65" t="str">
        <f t="shared" si="26"/>
        <v>Y</v>
      </c>
      <c r="E877" t="s">
        <v>1314</v>
      </c>
      <c r="F877" s="25" t="s">
        <v>293</v>
      </c>
      <c r="G877" s="26">
        <v>2</v>
      </c>
      <c r="H877" s="7" t="s">
        <v>293</v>
      </c>
      <c r="I877" s="7" t="s">
        <v>296</v>
      </c>
      <c r="J877" s="1">
        <v>2</v>
      </c>
      <c r="K877" s="1">
        <v>6</v>
      </c>
      <c r="L877" s="67">
        <f t="shared" si="27"/>
        <v>1</v>
      </c>
    </row>
    <row r="878" spans="1:12" x14ac:dyDescent="0.2">
      <c r="A878">
        <v>877</v>
      </c>
      <c r="B878" s="7" t="s">
        <v>356</v>
      </c>
      <c r="C878" t="s">
        <v>1311</v>
      </c>
      <c r="D878" s="65" t="str">
        <f t="shared" si="26"/>
        <v>Y</v>
      </c>
      <c r="E878" t="s">
        <v>1314</v>
      </c>
      <c r="F878" s="25" t="s">
        <v>293</v>
      </c>
      <c r="G878" s="26">
        <v>2</v>
      </c>
      <c r="H878" s="7" t="s">
        <v>299</v>
      </c>
      <c r="I878" s="7" t="s">
        <v>296</v>
      </c>
      <c r="J878" s="1">
        <v>4</v>
      </c>
      <c r="K878" s="1">
        <v>6</v>
      </c>
      <c r="L878" s="67">
        <f t="shared" si="27"/>
        <v>0</v>
      </c>
    </row>
    <row r="879" spans="1:12" x14ac:dyDescent="0.2">
      <c r="A879">
        <v>878</v>
      </c>
      <c r="B879" s="7" t="s">
        <v>372</v>
      </c>
      <c r="C879" t="s">
        <v>1311</v>
      </c>
      <c r="D879" s="65" t="str">
        <f t="shared" si="26"/>
        <v>Y</v>
      </c>
      <c r="E879" t="s">
        <v>1314</v>
      </c>
      <c r="F879" s="25" t="s">
        <v>293</v>
      </c>
      <c r="G879" s="26">
        <v>2</v>
      </c>
      <c r="H879" s="7" t="s">
        <v>293</v>
      </c>
      <c r="I879" s="7" t="s">
        <v>296</v>
      </c>
      <c r="J879" s="1">
        <v>2</v>
      </c>
      <c r="K879" s="1">
        <v>6</v>
      </c>
      <c r="L879" s="67">
        <f t="shared" si="27"/>
        <v>1</v>
      </c>
    </row>
    <row r="880" spans="1:12" x14ac:dyDescent="0.2">
      <c r="A880">
        <v>879</v>
      </c>
      <c r="B880" s="7" t="s">
        <v>356</v>
      </c>
      <c r="C880" t="s">
        <v>1311</v>
      </c>
      <c r="D880" s="65" t="str">
        <f t="shared" si="26"/>
        <v>Y</v>
      </c>
      <c r="E880" t="s">
        <v>1314</v>
      </c>
      <c r="F880" s="25" t="s">
        <v>293</v>
      </c>
      <c r="G880" s="26">
        <v>2</v>
      </c>
      <c r="H880" s="7" t="s">
        <v>293</v>
      </c>
      <c r="I880" s="7" t="s">
        <v>292</v>
      </c>
      <c r="J880" s="1">
        <v>2</v>
      </c>
      <c r="K880" s="1">
        <v>5</v>
      </c>
      <c r="L880" s="67">
        <f t="shared" si="27"/>
        <v>1</v>
      </c>
    </row>
    <row r="881" spans="1:12" x14ac:dyDescent="0.2">
      <c r="A881">
        <v>880</v>
      </c>
      <c r="B881" s="7" t="s">
        <v>356</v>
      </c>
      <c r="C881" t="s">
        <v>1311</v>
      </c>
      <c r="D881" s="65" t="str">
        <f t="shared" si="26"/>
        <v>Y</v>
      </c>
      <c r="E881" t="s">
        <v>1314</v>
      </c>
      <c r="F881" s="25" t="s">
        <v>293</v>
      </c>
      <c r="G881" s="26">
        <v>2</v>
      </c>
      <c r="H881" s="7" t="s">
        <v>293</v>
      </c>
      <c r="I881" s="7" t="s">
        <v>296</v>
      </c>
      <c r="J881" s="1">
        <v>2</v>
      </c>
      <c r="K881" s="1">
        <v>6</v>
      </c>
      <c r="L881" s="67">
        <f t="shared" si="27"/>
        <v>1</v>
      </c>
    </row>
    <row r="882" spans="1:12" x14ac:dyDescent="0.2">
      <c r="A882">
        <v>881</v>
      </c>
      <c r="B882" s="7" t="s">
        <v>372</v>
      </c>
      <c r="C882" t="s">
        <v>1311</v>
      </c>
      <c r="D882" s="65" t="str">
        <f t="shared" si="26"/>
        <v>Y</v>
      </c>
      <c r="E882" t="s">
        <v>1314</v>
      </c>
      <c r="F882" s="25" t="s">
        <v>293</v>
      </c>
      <c r="G882" s="26">
        <v>2</v>
      </c>
      <c r="H882" s="7" t="s">
        <v>293</v>
      </c>
      <c r="I882" s="7" t="s">
        <v>296</v>
      </c>
      <c r="J882" s="1">
        <v>2</v>
      </c>
      <c r="K882" s="1">
        <v>6</v>
      </c>
      <c r="L882" s="67">
        <f t="shared" si="27"/>
        <v>1</v>
      </c>
    </row>
    <row r="883" spans="1:12" x14ac:dyDescent="0.2">
      <c r="A883">
        <v>882</v>
      </c>
      <c r="B883" s="7" t="s">
        <v>356</v>
      </c>
      <c r="C883" t="s">
        <v>1311</v>
      </c>
      <c r="D883" s="65" t="str">
        <f t="shared" si="26"/>
        <v>Y</v>
      </c>
      <c r="E883" t="s">
        <v>1314</v>
      </c>
      <c r="F883" s="25" t="s">
        <v>293</v>
      </c>
      <c r="G883" s="26">
        <v>2</v>
      </c>
      <c r="H883" s="7" t="s">
        <v>293</v>
      </c>
      <c r="I883" s="7" t="s">
        <v>296</v>
      </c>
      <c r="J883" s="1">
        <v>2</v>
      </c>
      <c r="K883" s="1">
        <v>6</v>
      </c>
      <c r="L883" s="67">
        <f t="shared" si="27"/>
        <v>1</v>
      </c>
    </row>
    <row r="884" spans="1:12" x14ac:dyDescent="0.2">
      <c r="A884">
        <v>883</v>
      </c>
      <c r="B884" s="7" t="s">
        <v>372</v>
      </c>
      <c r="C884" t="s">
        <v>1311</v>
      </c>
      <c r="D884" s="65" t="str">
        <f t="shared" si="26"/>
        <v>Y</v>
      </c>
      <c r="E884" t="s">
        <v>1314</v>
      </c>
      <c r="F884" s="25" t="s">
        <v>293</v>
      </c>
      <c r="G884" s="26">
        <v>2</v>
      </c>
      <c r="H884" s="7" t="s">
        <v>293</v>
      </c>
      <c r="I884" s="7" t="s">
        <v>294</v>
      </c>
      <c r="J884" s="1">
        <v>2</v>
      </c>
      <c r="K884" s="1">
        <v>7</v>
      </c>
      <c r="L884" s="67">
        <f t="shared" si="27"/>
        <v>1</v>
      </c>
    </row>
    <row r="885" spans="1:12" x14ac:dyDescent="0.2">
      <c r="A885">
        <v>884</v>
      </c>
      <c r="B885" s="7" t="s">
        <v>356</v>
      </c>
      <c r="C885" t="s">
        <v>1311</v>
      </c>
      <c r="D885" s="65" t="str">
        <f t="shared" si="26"/>
        <v>Y</v>
      </c>
      <c r="E885" t="s">
        <v>1314</v>
      </c>
      <c r="F885" s="25" t="s">
        <v>293</v>
      </c>
      <c r="G885" s="26">
        <v>2</v>
      </c>
      <c r="H885" s="7" t="s">
        <v>293</v>
      </c>
      <c r="I885" s="7" t="s">
        <v>292</v>
      </c>
      <c r="J885" s="1">
        <v>2</v>
      </c>
      <c r="K885" s="1">
        <v>5</v>
      </c>
      <c r="L885" s="67">
        <f t="shared" si="27"/>
        <v>1</v>
      </c>
    </row>
    <row r="886" spans="1:12" x14ac:dyDescent="0.2">
      <c r="A886">
        <v>885</v>
      </c>
      <c r="B886" s="7" t="s">
        <v>372</v>
      </c>
      <c r="C886" t="s">
        <v>1311</v>
      </c>
      <c r="D886" s="65" t="str">
        <f t="shared" si="26"/>
        <v>Y</v>
      </c>
      <c r="E886" t="s">
        <v>1314</v>
      </c>
      <c r="F886" s="25" t="s">
        <v>293</v>
      </c>
      <c r="G886" s="26">
        <v>2</v>
      </c>
      <c r="H886" s="7" t="s">
        <v>293</v>
      </c>
      <c r="I886" s="7" t="s">
        <v>296</v>
      </c>
      <c r="J886" s="1">
        <v>2</v>
      </c>
      <c r="K886" s="1">
        <v>6</v>
      </c>
      <c r="L886" s="67">
        <f t="shared" si="27"/>
        <v>1</v>
      </c>
    </row>
    <row r="887" spans="1:12" x14ac:dyDescent="0.2">
      <c r="A887">
        <v>886</v>
      </c>
      <c r="B887" s="7" t="s">
        <v>372</v>
      </c>
      <c r="C887" t="s">
        <v>1311</v>
      </c>
      <c r="D887" s="65" t="str">
        <f t="shared" si="26"/>
        <v>Y</v>
      </c>
      <c r="E887" t="s">
        <v>1314</v>
      </c>
      <c r="F887" s="25" t="s">
        <v>293</v>
      </c>
      <c r="G887" s="26">
        <v>2</v>
      </c>
      <c r="H887" s="7" t="s">
        <v>293</v>
      </c>
      <c r="I887" s="7" t="s">
        <v>294</v>
      </c>
      <c r="J887" s="1">
        <v>2</v>
      </c>
      <c r="K887" s="1">
        <v>7</v>
      </c>
      <c r="L887" s="67">
        <f t="shared" si="27"/>
        <v>1</v>
      </c>
    </row>
    <row r="888" spans="1:12" x14ac:dyDescent="0.2">
      <c r="A888">
        <v>887</v>
      </c>
      <c r="B888" s="7" t="s">
        <v>356</v>
      </c>
      <c r="C888" t="s">
        <v>1311</v>
      </c>
      <c r="D888" s="65" t="str">
        <f t="shared" si="26"/>
        <v>Y</v>
      </c>
      <c r="E888" t="s">
        <v>1314</v>
      </c>
      <c r="F888" s="25" t="s">
        <v>293</v>
      </c>
      <c r="G888" s="26">
        <v>2</v>
      </c>
      <c r="H888" s="7" t="s">
        <v>293</v>
      </c>
      <c r="I888" s="7" t="s">
        <v>296</v>
      </c>
      <c r="J888" s="1">
        <v>2</v>
      </c>
      <c r="K888" s="1">
        <v>6</v>
      </c>
      <c r="L888" s="67">
        <f t="shared" si="27"/>
        <v>1</v>
      </c>
    </row>
    <row r="889" spans="1:12" x14ac:dyDescent="0.2">
      <c r="A889">
        <v>888</v>
      </c>
      <c r="B889" s="7" t="s">
        <v>356</v>
      </c>
      <c r="C889" t="s">
        <v>1311</v>
      </c>
      <c r="D889" s="65" t="str">
        <f t="shared" si="26"/>
        <v>Y</v>
      </c>
      <c r="E889" t="s">
        <v>1314</v>
      </c>
      <c r="F889" s="25" t="s">
        <v>293</v>
      </c>
      <c r="G889" s="26">
        <v>2</v>
      </c>
      <c r="H889" s="7" t="s">
        <v>293</v>
      </c>
      <c r="I889" s="7" t="s">
        <v>292</v>
      </c>
      <c r="J889" s="1">
        <v>2</v>
      </c>
      <c r="K889" s="1">
        <v>5</v>
      </c>
      <c r="L889" s="67">
        <f t="shared" si="27"/>
        <v>1</v>
      </c>
    </row>
    <row r="890" spans="1:12" x14ac:dyDescent="0.2">
      <c r="A890">
        <v>889</v>
      </c>
      <c r="B890" s="7" t="s">
        <v>372</v>
      </c>
      <c r="C890" t="s">
        <v>1311</v>
      </c>
      <c r="D890" s="65" t="str">
        <f t="shared" si="26"/>
        <v>Y</v>
      </c>
      <c r="E890" t="s">
        <v>1314</v>
      </c>
      <c r="F890" s="25" t="s">
        <v>293</v>
      </c>
      <c r="G890" s="26">
        <v>2</v>
      </c>
      <c r="H890" s="7" t="s">
        <v>293</v>
      </c>
      <c r="I890" s="7" t="s">
        <v>296</v>
      </c>
      <c r="J890" s="1">
        <v>2</v>
      </c>
      <c r="K890" s="1">
        <v>6</v>
      </c>
      <c r="L890" s="67">
        <f t="shared" si="27"/>
        <v>1</v>
      </c>
    </row>
    <row r="891" spans="1:12" x14ac:dyDescent="0.2">
      <c r="A891">
        <v>890</v>
      </c>
      <c r="B891" s="7" t="s">
        <v>356</v>
      </c>
      <c r="C891" t="s">
        <v>1311</v>
      </c>
      <c r="D891" s="65" t="str">
        <f t="shared" si="26"/>
        <v>Y</v>
      </c>
      <c r="E891" t="s">
        <v>1314</v>
      </c>
      <c r="F891" s="25" t="s">
        <v>293</v>
      </c>
      <c r="G891" s="26">
        <v>2</v>
      </c>
      <c r="H891" s="7" t="s">
        <v>293</v>
      </c>
      <c r="I891" s="7" t="s">
        <v>296</v>
      </c>
      <c r="J891" s="1">
        <v>2</v>
      </c>
      <c r="K891" s="1">
        <v>6</v>
      </c>
      <c r="L891" s="67">
        <f t="shared" si="27"/>
        <v>1</v>
      </c>
    </row>
    <row r="892" spans="1:12" x14ac:dyDescent="0.2">
      <c r="A892">
        <v>891</v>
      </c>
      <c r="B892" s="7" t="s">
        <v>356</v>
      </c>
      <c r="C892" t="s">
        <v>1311</v>
      </c>
      <c r="D892" s="65" t="str">
        <f t="shared" si="26"/>
        <v>Y</v>
      </c>
      <c r="E892" t="s">
        <v>1314</v>
      </c>
      <c r="F892" s="25" t="s">
        <v>293</v>
      </c>
      <c r="G892" s="26">
        <v>2</v>
      </c>
      <c r="H892" s="7" t="s">
        <v>299</v>
      </c>
      <c r="I892" s="7" t="s">
        <v>292</v>
      </c>
      <c r="J892" s="1">
        <v>4</v>
      </c>
      <c r="K892" s="1">
        <v>5</v>
      </c>
      <c r="L892" s="67">
        <f t="shared" si="27"/>
        <v>0</v>
      </c>
    </row>
    <row r="893" spans="1:12" x14ac:dyDescent="0.2">
      <c r="A893">
        <v>892</v>
      </c>
      <c r="B893" s="7" t="s">
        <v>372</v>
      </c>
      <c r="C893" t="s">
        <v>1311</v>
      </c>
      <c r="D893" s="65" t="str">
        <f t="shared" si="26"/>
        <v>Y</v>
      </c>
      <c r="E893" t="s">
        <v>1314</v>
      </c>
      <c r="F893" s="25" t="s">
        <v>293</v>
      </c>
      <c r="G893" s="26">
        <v>2</v>
      </c>
      <c r="H893" s="7" t="s">
        <v>293</v>
      </c>
      <c r="I893" s="7" t="s">
        <v>296</v>
      </c>
      <c r="J893" s="1">
        <v>2</v>
      </c>
      <c r="K893" s="1">
        <v>6</v>
      </c>
      <c r="L893" s="67">
        <f t="shared" si="27"/>
        <v>1</v>
      </c>
    </row>
    <row r="894" spans="1:12" x14ac:dyDescent="0.2">
      <c r="A894">
        <v>893</v>
      </c>
      <c r="B894" s="7" t="s">
        <v>372</v>
      </c>
      <c r="C894" t="s">
        <v>1311</v>
      </c>
      <c r="D894" s="65" t="str">
        <f t="shared" si="26"/>
        <v>Y</v>
      </c>
      <c r="E894" t="s">
        <v>1314</v>
      </c>
      <c r="F894" s="25" t="s">
        <v>293</v>
      </c>
      <c r="G894" s="26">
        <v>2</v>
      </c>
      <c r="H894" s="7" t="s">
        <v>293</v>
      </c>
      <c r="I894" s="7" t="s">
        <v>292</v>
      </c>
      <c r="J894" s="1">
        <v>2</v>
      </c>
      <c r="K894" s="1">
        <v>5</v>
      </c>
      <c r="L894" s="67">
        <f t="shared" si="27"/>
        <v>1</v>
      </c>
    </row>
    <row r="895" spans="1:12" x14ac:dyDescent="0.2">
      <c r="A895">
        <v>894</v>
      </c>
      <c r="B895" s="7" t="s">
        <v>356</v>
      </c>
      <c r="C895" t="s">
        <v>1311</v>
      </c>
      <c r="D895" s="65" t="str">
        <f t="shared" si="26"/>
        <v>Y</v>
      </c>
      <c r="E895" t="s">
        <v>1314</v>
      </c>
      <c r="F895" s="25" t="s">
        <v>293</v>
      </c>
      <c r="G895" s="26">
        <v>2</v>
      </c>
      <c r="H895" s="7" t="s">
        <v>291</v>
      </c>
      <c r="I895" s="7" t="s">
        <v>297</v>
      </c>
      <c r="J895" s="1">
        <v>1</v>
      </c>
      <c r="K895" s="1">
        <v>4</v>
      </c>
      <c r="L895" s="67">
        <f t="shared" si="27"/>
        <v>0</v>
      </c>
    </row>
    <row r="896" spans="1:12" x14ac:dyDescent="0.2">
      <c r="A896">
        <v>895</v>
      </c>
      <c r="B896" s="7" t="s">
        <v>356</v>
      </c>
      <c r="C896" t="s">
        <v>1311</v>
      </c>
      <c r="D896" s="65" t="str">
        <f t="shared" si="26"/>
        <v>Y</v>
      </c>
      <c r="E896" t="s">
        <v>1314</v>
      </c>
      <c r="F896" s="25" t="s">
        <v>293</v>
      </c>
      <c r="G896" s="26">
        <v>2</v>
      </c>
      <c r="H896" s="7" t="s">
        <v>293</v>
      </c>
      <c r="I896" s="7" t="s">
        <v>292</v>
      </c>
      <c r="J896" s="1">
        <v>2</v>
      </c>
      <c r="K896" s="1">
        <v>5</v>
      </c>
      <c r="L896" s="67">
        <f t="shared" si="27"/>
        <v>1</v>
      </c>
    </row>
    <row r="897" spans="1:12" x14ac:dyDescent="0.2">
      <c r="A897">
        <v>896</v>
      </c>
      <c r="B897" s="7" t="s">
        <v>372</v>
      </c>
      <c r="C897" t="s">
        <v>1311</v>
      </c>
      <c r="D897" s="65" t="str">
        <f t="shared" si="26"/>
        <v>Y</v>
      </c>
      <c r="E897" t="s">
        <v>1314</v>
      </c>
      <c r="F897" s="25" t="s">
        <v>293</v>
      </c>
      <c r="G897" s="26">
        <v>2</v>
      </c>
      <c r="H897" s="7" t="s">
        <v>299</v>
      </c>
      <c r="I897" s="7" t="s">
        <v>294</v>
      </c>
      <c r="J897" s="1">
        <v>4</v>
      </c>
      <c r="K897" s="1">
        <v>7</v>
      </c>
      <c r="L897" s="67">
        <f t="shared" si="27"/>
        <v>0</v>
      </c>
    </row>
    <row r="898" spans="1:12" x14ac:dyDescent="0.2">
      <c r="A898">
        <v>897</v>
      </c>
      <c r="B898" s="7" t="s">
        <v>356</v>
      </c>
      <c r="C898" t="s">
        <v>1311</v>
      </c>
      <c r="D898" s="65" t="str">
        <f t="shared" si="26"/>
        <v>Y</v>
      </c>
      <c r="E898" t="s">
        <v>1314</v>
      </c>
      <c r="F898" s="25" t="s">
        <v>293</v>
      </c>
      <c r="G898" s="26">
        <v>2</v>
      </c>
      <c r="H898" s="7" t="s">
        <v>293</v>
      </c>
      <c r="I898" s="7" t="s">
        <v>296</v>
      </c>
      <c r="J898" s="1">
        <v>2</v>
      </c>
      <c r="K898" s="1">
        <v>6</v>
      </c>
      <c r="L898" s="67">
        <f t="shared" si="27"/>
        <v>1</v>
      </c>
    </row>
    <row r="899" spans="1:12" x14ac:dyDescent="0.2">
      <c r="A899">
        <v>898</v>
      </c>
      <c r="B899" s="7" t="s">
        <v>372</v>
      </c>
      <c r="C899" t="s">
        <v>1311</v>
      </c>
      <c r="D899" s="65" t="str">
        <f t="shared" ref="D899:D962" si="28">IF($E899="iso", "N", IF(OR($E899="non", $E899="emd", $E899="dyn"), "Y", "ERROR"))</f>
        <v>Y</v>
      </c>
      <c r="E899" t="s">
        <v>1314</v>
      </c>
      <c r="F899" s="25" t="s">
        <v>293</v>
      </c>
      <c r="G899" s="26">
        <v>2</v>
      </c>
      <c r="H899" s="7" t="s">
        <v>293</v>
      </c>
      <c r="I899" s="7" t="s">
        <v>296</v>
      </c>
      <c r="J899" s="1">
        <v>2</v>
      </c>
      <c r="K899" s="1">
        <v>6</v>
      </c>
      <c r="L899" s="67">
        <f t="shared" ref="L899:L962" si="29">IF(G899=J899, 1, 0)</f>
        <v>1</v>
      </c>
    </row>
    <row r="900" spans="1:12" x14ac:dyDescent="0.2">
      <c r="A900">
        <v>899</v>
      </c>
      <c r="B900" s="7" t="s">
        <v>356</v>
      </c>
      <c r="C900" t="s">
        <v>1311</v>
      </c>
      <c r="D900" s="65" t="str">
        <f t="shared" si="28"/>
        <v>Y</v>
      </c>
      <c r="E900" t="s">
        <v>1314</v>
      </c>
      <c r="F900" s="25" t="s">
        <v>293</v>
      </c>
      <c r="G900" s="26">
        <v>2</v>
      </c>
      <c r="H900" s="7" t="s">
        <v>293</v>
      </c>
      <c r="I900" s="7" t="s">
        <v>296</v>
      </c>
      <c r="J900" s="1">
        <v>2</v>
      </c>
      <c r="K900" s="1">
        <v>6</v>
      </c>
      <c r="L900" s="67">
        <f t="shared" si="29"/>
        <v>1</v>
      </c>
    </row>
    <row r="901" spans="1:12" x14ac:dyDescent="0.2">
      <c r="A901">
        <v>900</v>
      </c>
      <c r="B901" s="7" t="s">
        <v>372</v>
      </c>
      <c r="C901" t="s">
        <v>1311</v>
      </c>
      <c r="D901" s="65" t="str">
        <f t="shared" si="28"/>
        <v>Y</v>
      </c>
      <c r="E901" t="s">
        <v>1314</v>
      </c>
      <c r="F901" s="25" t="s">
        <v>293</v>
      </c>
      <c r="G901" s="26">
        <v>2</v>
      </c>
      <c r="H901" s="7" t="s">
        <v>293</v>
      </c>
      <c r="I901" s="7" t="s">
        <v>292</v>
      </c>
      <c r="J901" s="1">
        <v>2</v>
      </c>
      <c r="K901" s="1">
        <v>5</v>
      </c>
      <c r="L901" s="67">
        <f t="shared" si="29"/>
        <v>1</v>
      </c>
    </row>
    <row r="902" spans="1:12" x14ac:dyDescent="0.2">
      <c r="A902">
        <v>901</v>
      </c>
      <c r="B902" s="7" t="s">
        <v>356</v>
      </c>
      <c r="C902" t="s">
        <v>1311</v>
      </c>
      <c r="D902" s="65" t="str">
        <f t="shared" si="28"/>
        <v>Y</v>
      </c>
      <c r="E902" t="s">
        <v>1314</v>
      </c>
      <c r="F902" s="25" t="s">
        <v>293</v>
      </c>
      <c r="G902" s="26">
        <v>2</v>
      </c>
      <c r="H902" s="7" t="s">
        <v>293</v>
      </c>
      <c r="I902" s="7" t="s">
        <v>292</v>
      </c>
      <c r="J902" s="1">
        <v>2</v>
      </c>
      <c r="K902" s="1">
        <v>5</v>
      </c>
      <c r="L902" s="67">
        <f t="shared" si="29"/>
        <v>1</v>
      </c>
    </row>
    <row r="903" spans="1:12" x14ac:dyDescent="0.2">
      <c r="A903">
        <v>902</v>
      </c>
      <c r="B903" s="7" t="s">
        <v>356</v>
      </c>
      <c r="C903" t="s">
        <v>1311</v>
      </c>
      <c r="D903" s="65" t="str">
        <f t="shared" si="28"/>
        <v>Y</v>
      </c>
      <c r="E903" t="s">
        <v>1314</v>
      </c>
      <c r="F903" s="25" t="s">
        <v>293</v>
      </c>
      <c r="G903" s="26">
        <v>2</v>
      </c>
      <c r="H903" s="7" t="s">
        <v>293</v>
      </c>
      <c r="I903" s="7" t="s">
        <v>294</v>
      </c>
      <c r="J903" s="1">
        <v>2</v>
      </c>
      <c r="K903" s="1">
        <v>7</v>
      </c>
      <c r="L903" s="67">
        <f t="shared" si="29"/>
        <v>1</v>
      </c>
    </row>
    <row r="904" spans="1:12" x14ac:dyDescent="0.2">
      <c r="A904">
        <v>903</v>
      </c>
      <c r="B904" s="7" t="s">
        <v>372</v>
      </c>
      <c r="C904" t="s">
        <v>1311</v>
      </c>
      <c r="D904" s="65" t="str">
        <f t="shared" si="28"/>
        <v>Y</v>
      </c>
      <c r="E904" t="s">
        <v>1314</v>
      </c>
      <c r="F904" s="25" t="s">
        <v>293</v>
      </c>
      <c r="G904" s="26">
        <v>2</v>
      </c>
      <c r="H904" s="7" t="s">
        <v>293</v>
      </c>
      <c r="I904" s="7" t="s">
        <v>294</v>
      </c>
      <c r="J904" s="1">
        <v>2</v>
      </c>
      <c r="K904" s="1">
        <v>7</v>
      </c>
      <c r="L904" s="67">
        <f t="shared" si="29"/>
        <v>1</v>
      </c>
    </row>
    <row r="905" spans="1:12" x14ac:dyDescent="0.2">
      <c r="A905">
        <v>904</v>
      </c>
      <c r="B905" s="7" t="s">
        <v>372</v>
      </c>
      <c r="C905" t="s">
        <v>1311</v>
      </c>
      <c r="D905" s="65" t="str">
        <f t="shared" si="28"/>
        <v>Y</v>
      </c>
      <c r="E905" t="s">
        <v>1314</v>
      </c>
      <c r="F905" s="25" t="s">
        <v>293</v>
      </c>
      <c r="G905" s="26">
        <v>2</v>
      </c>
      <c r="H905" s="7" t="s">
        <v>293</v>
      </c>
      <c r="I905" s="7" t="s">
        <v>296</v>
      </c>
      <c r="J905" s="1">
        <v>2</v>
      </c>
      <c r="K905" s="1">
        <v>6</v>
      </c>
      <c r="L905" s="67">
        <f t="shared" si="29"/>
        <v>1</v>
      </c>
    </row>
    <row r="906" spans="1:12" x14ac:dyDescent="0.2">
      <c r="A906">
        <v>905</v>
      </c>
      <c r="B906" s="7" t="s">
        <v>356</v>
      </c>
      <c r="C906" t="s">
        <v>1311</v>
      </c>
      <c r="D906" s="65" t="str">
        <f t="shared" si="28"/>
        <v>Y</v>
      </c>
      <c r="E906" t="s">
        <v>1314</v>
      </c>
      <c r="F906" s="25" t="s">
        <v>293</v>
      </c>
      <c r="G906" s="26">
        <v>2</v>
      </c>
      <c r="H906" s="7" t="s">
        <v>293</v>
      </c>
      <c r="I906" s="7" t="s">
        <v>296</v>
      </c>
      <c r="J906" s="1">
        <v>2</v>
      </c>
      <c r="K906" s="1">
        <v>6</v>
      </c>
      <c r="L906" s="67">
        <f t="shared" si="29"/>
        <v>1</v>
      </c>
    </row>
    <row r="907" spans="1:12" x14ac:dyDescent="0.2">
      <c r="A907">
        <v>906</v>
      </c>
      <c r="B907" s="7" t="s">
        <v>372</v>
      </c>
      <c r="C907" t="s">
        <v>1311</v>
      </c>
      <c r="D907" s="65" t="str">
        <f t="shared" si="28"/>
        <v>Y</v>
      </c>
      <c r="E907" t="s">
        <v>1314</v>
      </c>
      <c r="F907" s="25" t="s">
        <v>293</v>
      </c>
      <c r="G907" s="26">
        <v>2</v>
      </c>
      <c r="H907" s="7" t="s">
        <v>293</v>
      </c>
      <c r="I907" s="7" t="s">
        <v>292</v>
      </c>
      <c r="J907" s="1">
        <v>2</v>
      </c>
      <c r="K907" s="1">
        <v>5</v>
      </c>
      <c r="L907" s="67">
        <f t="shared" si="29"/>
        <v>1</v>
      </c>
    </row>
    <row r="908" spans="1:12" x14ac:dyDescent="0.2">
      <c r="A908">
        <v>907</v>
      </c>
      <c r="B908" s="7" t="s">
        <v>372</v>
      </c>
      <c r="C908" t="s">
        <v>1311</v>
      </c>
      <c r="D908" s="65" t="str">
        <f t="shared" si="28"/>
        <v>Y</v>
      </c>
      <c r="E908" t="s">
        <v>1314</v>
      </c>
      <c r="F908" s="25" t="s">
        <v>293</v>
      </c>
      <c r="G908" s="26">
        <v>2</v>
      </c>
      <c r="H908" s="7" t="s">
        <v>293</v>
      </c>
      <c r="I908" s="7" t="s">
        <v>296</v>
      </c>
      <c r="J908" s="1">
        <v>2</v>
      </c>
      <c r="K908" s="1">
        <v>6</v>
      </c>
      <c r="L908" s="67">
        <f t="shared" si="29"/>
        <v>1</v>
      </c>
    </row>
    <row r="909" spans="1:12" x14ac:dyDescent="0.2">
      <c r="A909">
        <v>908</v>
      </c>
      <c r="B909" s="7" t="s">
        <v>372</v>
      </c>
      <c r="C909" t="s">
        <v>1311</v>
      </c>
      <c r="D909" s="65" t="str">
        <f t="shared" si="28"/>
        <v>Y</v>
      </c>
      <c r="E909" t="s">
        <v>1314</v>
      </c>
      <c r="F909" s="25" t="s">
        <v>293</v>
      </c>
      <c r="G909" s="26">
        <v>2</v>
      </c>
      <c r="H909" s="7" t="s">
        <v>293</v>
      </c>
      <c r="I909" s="7" t="s">
        <v>297</v>
      </c>
      <c r="J909" s="1">
        <v>2</v>
      </c>
      <c r="K909" s="1">
        <v>4</v>
      </c>
      <c r="L909" s="67">
        <f t="shared" si="29"/>
        <v>1</v>
      </c>
    </row>
    <row r="910" spans="1:12" x14ac:dyDescent="0.2">
      <c r="A910">
        <v>909</v>
      </c>
      <c r="B910" s="7" t="s">
        <v>356</v>
      </c>
      <c r="C910" t="s">
        <v>1311</v>
      </c>
      <c r="D910" s="65" t="str">
        <f t="shared" si="28"/>
        <v>Y</v>
      </c>
      <c r="E910" t="s">
        <v>1314</v>
      </c>
      <c r="F910" s="25" t="s">
        <v>293</v>
      </c>
      <c r="G910" s="26">
        <v>2</v>
      </c>
      <c r="H910" s="7" t="s">
        <v>293</v>
      </c>
      <c r="I910" s="7" t="s">
        <v>296</v>
      </c>
      <c r="J910" s="1">
        <v>2</v>
      </c>
      <c r="K910" s="1">
        <v>6</v>
      </c>
      <c r="L910" s="67">
        <f t="shared" si="29"/>
        <v>1</v>
      </c>
    </row>
    <row r="911" spans="1:12" x14ac:dyDescent="0.2">
      <c r="A911">
        <v>910</v>
      </c>
      <c r="B911" s="7" t="s">
        <v>372</v>
      </c>
      <c r="C911" t="s">
        <v>1311</v>
      </c>
      <c r="D911" s="65" t="str">
        <f t="shared" si="28"/>
        <v>Y</v>
      </c>
      <c r="E911" t="s">
        <v>1314</v>
      </c>
      <c r="F911" s="25" t="s">
        <v>293</v>
      </c>
      <c r="G911" s="26">
        <v>2</v>
      </c>
      <c r="H911" s="7" t="s">
        <v>293</v>
      </c>
      <c r="I911" s="7" t="s">
        <v>297</v>
      </c>
      <c r="J911" s="1">
        <v>2</v>
      </c>
      <c r="K911" s="1">
        <v>4</v>
      </c>
      <c r="L911" s="67">
        <f t="shared" si="29"/>
        <v>1</v>
      </c>
    </row>
    <row r="912" spans="1:12" x14ac:dyDescent="0.2">
      <c r="A912">
        <v>911</v>
      </c>
      <c r="B912" s="7" t="s">
        <v>356</v>
      </c>
      <c r="C912" t="s">
        <v>1311</v>
      </c>
      <c r="D912" s="65" t="str">
        <f t="shared" si="28"/>
        <v>Y</v>
      </c>
      <c r="E912" t="s">
        <v>1314</v>
      </c>
      <c r="F912" s="25" t="s">
        <v>293</v>
      </c>
      <c r="G912" s="26">
        <v>2</v>
      </c>
      <c r="H912" s="7" t="s">
        <v>293</v>
      </c>
      <c r="I912" s="7" t="s">
        <v>292</v>
      </c>
      <c r="J912" s="1">
        <v>2</v>
      </c>
      <c r="K912" s="1">
        <v>5</v>
      </c>
      <c r="L912" s="67">
        <f t="shared" si="29"/>
        <v>1</v>
      </c>
    </row>
    <row r="913" spans="1:12" x14ac:dyDescent="0.2">
      <c r="A913">
        <v>912</v>
      </c>
      <c r="B913" s="7" t="s">
        <v>356</v>
      </c>
      <c r="C913" t="s">
        <v>1311</v>
      </c>
      <c r="D913" s="65" t="str">
        <f t="shared" si="28"/>
        <v>Y</v>
      </c>
      <c r="E913" t="s">
        <v>1314</v>
      </c>
      <c r="F913" s="25" t="s">
        <v>293</v>
      </c>
      <c r="G913" s="26">
        <v>2</v>
      </c>
      <c r="H913" s="7" t="s">
        <v>293</v>
      </c>
      <c r="I913" s="7" t="s">
        <v>296</v>
      </c>
      <c r="J913" s="1">
        <v>2</v>
      </c>
      <c r="K913" s="1">
        <v>6</v>
      </c>
      <c r="L913" s="67">
        <f t="shared" si="29"/>
        <v>1</v>
      </c>
    </row>
    <row r="914" spans="1:12" x14ac:dyDescent="0.2">
      <c r="A914">
        <v>913</v>
      </c>
      <c r="B914" s="7" t="s">
        <v>372</v>
      </c>
      <c r="C914" t="s">
        <v>1311</v>
      </c>
      <c r="D914" s="65" t="str">
        <f t="shared" si="28"/>
        <v>Y</v>
      </c>
      <c r="E914" t="s">
        <v>1314</v>
      </c>
      <c r="F914" s="25" t="s">
        <v>293</v>
      </c>
      <c r="G914" s="26">
        <v>2</v>
      </c>
      <c r="H914" s="7" t="s">
        <v>299</v>
      </c>
      <c r="I914" s="7" t="s">
        <v>292</v>
      </c>
      <c r="J914" s="1">
        <v>4</v>
      </c>
      <c r="K914" s="1">
        <v>5</v>
      </c>
      <c r="L914" s="67">
        <f t="shared" si="29"/>
        <v>0</v>
      </c>
    </row>
    <row r="915" spans="1:12" x14ac:dyDescent="0.2">
      <c r="A915">
        <v>914</v>
      </c>
      <c r="B915" s="7" t="s">
        <v>372</v>
      </c>
      <c r="C915" t="s">
        <v>1311</v>
      </c>
      <c r="D915" s="65" t="str">
        <f t="shared" si="28"/>
        <v>Y</v>
      </c>
      <c r="E915" t="s">
        <v>1314</v>
      </c>
      <c r="F915" s="25" t="s">
        <v>293</v>
      </c>
      <c r="G915" s="26">
        <v>2</v>
      </c>
      <c r="H915" s="7" t="s">
        <v>299</v>
      </c>
      <c r="I915" s="7" t="s">
        <v>297</v>
      </c>
      <c r="J915" s="1">
        <v>4</v>
      </c>
      <c r="K915" s="1">
        <v>4</v>
      </c>
      <c r="L915" s="67">
        <f t="shared" si="29"/>
        <v>0</v>
      </c>
    </row>
    <row r="916" spans="1:12" x14ac:dyDescent="0.2">
      <c r="A916">
        <v>915</v>
      </c>
      <c r="B916" s="7" t="s">
        <v>356</v>
      </c>
      <c r="C916" t="s">
        <v>1311</v>
      </c>
      <c r="D916" s="65" t="str">
        <f t="shared" si="28"/>
        <v>Y</v>
      </c>
      <c r="E916" t="s">
        <v>1314</v>
      </c>
      <c r="F916" s="25" t="s">
        <v>293</v>
      </c>
      <c r="G916" s="26">
        <v>2</v>
      </c>
      <c r="H916" s="7" t="s">
        <v>293</v>
      </c>
      <c r="I916" s="7" t="s">
        <v>294</v>
      </c>
      <c r="J916" s="1">
        <v>2</v>
      </c>
      <c r="K916" s="1">
        <v>7</v>
      </c>
      <c r="L916" s="67">
        <f t="shared" si="29"/>
        <v>1</v>
      </c>
    </row>
    <row r="917" spans="1:12" x14ac:dyDescent="0.2">
      <c r="A917">
        <v>916</v>
      </c>
      <c r="B917" s="7" t="s">
        <v>372</v>
      </c>
      <c r="C917" t="s">
        <v>1311</v>
      </c>
      <c r="D917" s="65" t="str">
        <f t="shared" si="28"/>
        <v>Y</v>
      </c>
      <c r="E917" t="s">
        <v>1314</v>
      </c>
      <c r="F917" s="25" t="s">
        <v>293</v>
      </c>
      <c r="G917" s="26">
        <v>2</v>
      </c>
      <c r="H917" s="7" t="s">
        <v>293</v>
      </c>
      <c r="I917" s="7" t="s">
        <v>292</v>
      </c>
      <c r="J917" s="1">
        <v>2</v>
      </c>
      <c r="K917" s="1">
        <v>5</v>
      </c>
      <c r="L917" s="67">
        <f t="shared" si="29"/>
        <v>1</v>
      </c>
    </row>
    <row r="918" spans="1:12" x14ac:dyDescent="0.2">
      <c r="A918">
        <v>917</v>
      </c>
      <c r="B918" s="7" t="s">
        <v>356</v>
      </c>
      <c r="C918" t="s">
        <v>1311</v>
      </c>
      <c r="D918" s="65" t="str">
        <f t="shared" si="28"/>
        <v>Y</v>
      </c>
      <c r="E918" t="s">
        <v>1314</v>
      </c>
      <c r="F918" s="25" t="s">
        <v>293</v>
      </c>
      <c r="G918" s="26">
        <v>2</v>
      </c>
      <c r="H918" s="7" t="s">
        <v>293</v>
      </c>
      <c r="I918" s="7" t="s">
        <v>296</v>
      </c>
      <c r="J918" s="1">
        <v>2</v>
      </c>
      <c r="K918" s="1">
        <v>6</v>
      </c>
      <c r="L918" s="67">
        <f t="shared" si="29"/>
        <v>1</v>
      </c>
    </row>
    <row r="919" spans="1:12" x14ac:dyDescent="0.2">
      <c r="A919">
        <v>918</v>
      </c>
      <c r="B919" s="7" t="s">
        <v>372</v>
      </c>
      <c r="C919" t="s">
        <v>1311</v>
      </c>
      <c r="D919" s="65" t="str">
        <f t="shared" si="28"/>
        <v>Y</v>
      </c>
      <c r="E919" t="s">
        <v>1314</v>
      </c>
      <c r="F919" s="25" t="s">
        <v>293</v>
      </c>
      <c r="G919" s="26">
        <v>2</v>
      </c>
      <c r="H919" s="7" t="s">
        <v>299</v>
      </c>
      <c r="I919" s="7" t="s">
        <v>294</v>
      </c>
      <c r="J919" s="1">
        <v>4</v>
      </c>
      <c r="K919" s="1">
        <v>7</v>
      </c>
      <c r="L919" s="67">
        <f t="shared" si="29"/>
        <v>0</v>
      </c>
    </row>
    <row r="920" spans="1:12" x14ac:dyDescent="0.2">
      <c r="A920">
        <v>919</v>
      </c>
      <c r="B920" s="7" t="s">
        <v>372</v>
      </c>
      <c r="C920" t="s">
        <v>1311</v>
      </c>
      <c r="D920" s="65" t="str">
        <f t="shared" si="28"/>
        <v>Y</v>
      </c>
      <c r="E920" t="s">
        <v>1314</v>
      </c>
      <c r="F920" s="25" t="s">
        <v>293</v>
      </c>
      <c r="G920" s="26">
        <v>2</v>
      </c>
      <c r="H920" s="7" t="s">
        <v>293</v>
      </c>
      <c r="I920" s="7" t="s">
        <v>294</v>
      </c>
      <c r="J920" s="1">
        <v>2</v>
      </c>
      <c r="K920" s="1">
        <v>7</v>
      </c>
      <c r="L920" s="67">
        <f t="shared" si="29"/>
        <v>1</v>
      </c>
    </row>
    <row r="921" spans="1:12" x14ac:dyDescent="0.2">
      <c r="A921">
        <v>920</v>
      </c>
      <c r="B921" s="7" t="s">
        <v>356</v>
      </c>
      <c r="C921" t="s">
        <v>1311</v>
      </c>
      <c r="D921" s="65" t="str">
        <f t="shared" si="28"/>
        <v>Y</v>
      </c>
      <c r="E921" t="s">
        <v>1314</v>
      </c>
      <c r="F921" s="25" t="s">
        <v>293</v>
      </c>
      <c r="G921" s="26">
        <v>2</v>
      </c>
      <c r="H921" s="7" t="s">
        <v>293</v>
      </c>
      <c r="I921" s="7" t="s">
        <v>292</v>
      </c>
      <c r="J921" s="1">
        <v>2</v>
      </c>
      <c r="K921" s="1">
        <v>5</v>
      </c>
      <c r="L921" s="67">
        <f t="shared" si="29"/>
        <v>1</v>
      </c>
    </row>
    <row r="922" spans="1:12" x14ac:dyDescent="0.2">
      <c r="A922">
        <v>921</v>
      </c>
      <c r="B922" s="7" t="s">
        <v>372</v>
      </c>
      <c r="C922" t="s">
        <v>1311</v>
      </c>
      <c r="D922" s="65" t="str">
        <f t="shared" si="28"/>
        <v>Y</v>
      </c>
      <c r="E922" t="s">
        <v>1314</v>
      </c>
      <c r="F922" s="25" t="s">
        <v>293</v>
      </c>
      <c r="G922" s="26">
        <v>2</v>
      </c>
      <c r="H922" s="7" t="s">
        <v>293</v>
      </c>
      <c r="I922" s="7" t="s">
        <v>292</v>
      </c>
      <c r="J922" s="1">
        <v>2</v>
      </c>
      <c r="K922" s="1">
        <v>5</v>
      </c>
      <c r="L922" s="67">
        <f t="shared" si="29"/>
        <v>1</v>
      </c>
    </row>
    <row r="923" spans="1:12" x14ac:dyDescent="0.2">
      <c r="A923">
        <v>922</v>
      </c>
      <c r="B923" s="7" t="s">
        <v>356</v>
      </c>
      <c r="C923" t="s">
        <v>1311</v>
      </c>
      <c r="D923" s="65" t="str">
        <f t="shared" si="28"/>
        <v>Y</v>
      </c>
      <c r="E923" t="s">
        <v>1314</v>
      </c>
      <c r="F923" s="25" t="s">
        <v>293</v>
      </c>
      <c r="G923" s="26">
        <v>2</v>
      </c>
      <c r="H923" s="7" t="s">
        <v>293</v>
      </c>
      <c r="I923" s="7" t="s">
        <v>294</v>
      </c>
      <c r="J923" s="1">
        <v>2</v>
      </c>
      <c r="K923" s="1">
        <v>7</v>
      </c>
      <c r="L923" s="67">
        <f t="shared" si="29"/>
        <v>1</v>
      </c>
    </row>
    <row r="924" spans="1:12" x14ac:dyDescent="0.2">
      <c r="A924">
        <v>923</v>
      </c>
      <c r="B924" s="7" t="s">
        <v>356</v>
      </c>
      <c r="C924" t="s">
        <v>1311</v>
      </c>
      <c r="D924" s="65" t="str">
        <f t="shared" si="28"/>
        <v>Y</v>
      </c>
      <c r="E924" t="s">
        <v>1314</v>
      </c>
      <c r="F924" s="25" t="s">
        <v>293</v>
      </c>
      <c r="G924" s="26">
        <v>2</v>
      </c>
      <c r="H924" s="7" t="s">
        <v>293</v>
      </c>
      <c r="I924" s="7" t="s">
        <v>294</v>
      </c>
      <c r="J924" s="1">
        <v>2</v>
      </c>
      <c r="K924" s="1">
        <v>7</v>
      </c>
      <c r="L924" s="67">
        <f t="shared" si="29"/>
        <v>1</v>
      </c>
    </row>
    <row r="925" spans="1:12" x14ac:dyDescent="0.2">
      <c r="A925">
        <v>924</v>
      </c>
      <c r="B925" s="7" t="s">
        <v>372</v>
      </c>
      <c r="C925" t="s">
        <v>1311</v>
      </c>
      <c r="D925" s="65" t="str">
        <f t="shared" si="28"/>
        <v>Y</v>
      </c>
      <c r="E925" t="s">
        <v>1314</v>
      </c>
      <c r="F925" s="25" t="s">
        <v>293</v>
      </c>
      <c r="G925" s="26">
        <v>2</v>
      </c>
      <c r="H925" s="7" t="s">
        <v>293</v>
      </c>
      <c r="I925" s="7" t="s">
        <v>292</v>
      </c>
      <c r="J925" s="1">
        <v>2</v>
      </c>
      <c r="K925" s="1">
        <v>5</v>
      </c>
      <c r="L925" s="67">
        <f t="shared" si="29"/>
        <v>1</v>
      </c>
    </row>
    <row r="926" spans="1:12" x14ac:dyDescent="0.2">
      <c r="A926">
        <v>925</v>
      </c>
      <c r="B926" s="7" t="s">
        <v>356</v>
      </c>
      <c r="C926" t="s">
        <v>1311</v>
      </c>
      <c r="D926" s="65" t="str">
        <f t="shared" si="28"/>
        <v>Y</v>
      </c>
      <c r="E926" t="s">
        <v>1314</v>
      </c>
      <c r="F926" s="25" t="s">
        <v>293</v>
      </c>
      <c r="G926" s="26">
        <v>2</v>
      </c>
      <c r="H926" s="7" t="s">
        <v>293</v>
      </c>
      <c r="I926" s="7" t="s">
        <v>296</v>
      </c>
      <c r="J926" s="1">
        <v>2</v>
      </c>
      <c r="K926" s="1">
        <v>6</v>
      </c>
      <c r="L926" s="67">
        <f t="shared" si="29"/>
        <v>1</v>
      </c>
    </row>
    <row r="927" spans="1:12" x14ac:dyDescent="0.2">
      <c r="A927">
        <v>926</v>
      </c>
      <c r="B927" s="7" t="s">
        <v>372</v>
      </c>
      <c r="C927" t="s">
        <v>1311</v>
      </c>
      <c r="D927" s="65" t="str">
        <f t="shared" si="28"/>
        <v>Y</v>
      </c>
      <c r="E927" t="s">
        <v>1314</v>
      </c>
      <c r="F927" s="25" t="s">
        <v>293</v>
      </c>
      <c r="G927" s="26">
        <v>2</v>
      </c>
      <c r="H927" s="7" t="s">
        <v>293</v>
      </c>
      <c r="I927" s="7" t="s">
        <v>296</v>
      </c>
      <c r="J927" s="1">
        <v>2</v>
      </c>
      <c r="K927" s="1">
        <v>6</v>
      </c>
      <c r="L927" s="67">
        <f t="shared" si="29"/>
        <v>1</v>
      </c>
    </row>
    <row r="928" spans="1:12" x14ac:dyDescent="0.2">
      <c r="A928">
        <v>927</v>
      </c>
      <c r="B928" s="7" t="s">
        <v>356</v>
      </c>
      <c r="C928" t="s">
        <v>1311</v>
      </c>
      <c r="D928" s="65" t="str">
        <f t="shared" si="28"/>
        <v>Y</v>
      </c>
      <c r="E928" t="s">
        <v>1314</v>
      </c>
      <c r="F928" s="25" t="s">
        <v>293</v>
      </c>
      <c r="G928" s="26">
        <v>2</v>
      </c>
      <c r="H928" s="7" t="s">
        <v>299</v>
      </c>
      <c r="I928" s="7" t="s">
        <v>292</v>
      </c>
      <c r="J928" s="1">
        <v>4</v>
      </c>
      <c r="K928" s="1">
        <v>5</v>
      </c>
      <c r="L928" s="67">
        <f t="shared" si="29"/>
        <v>0</v>
      </c>
    </row>
    <row r="929" spans="1:12" x14ac:dyDescent="0.2">
      <c r="A929">
        <v>928</v>
      </c>
      <c r="B929" s="7" t="s">
        <v>372</v>
      </c>
      <c r="C929" t="s">
        <v>1311</v>
      </c>
      <c r="D929" s="65" t="str">
        <f t="shared" si="28"/>
        <v>Y</v>
      </c>
      <c r="E929" t="s">
        <v>1314</v>
      </c>
      <c r="F929" s="25" t="s">
        <v>293</v>
      </c>
      <c r="G929" s="26">
        <v>2</v>
      </c>
      <c r="H929" s="7" t="s">
        <v>299</v>
      </c>
      <c r="I929" s="7" t="s">
        <v>294</v>
      </c>
      <c r="J929" s="1">
        <v>4</v>
      </c>
      <c r="K929" s="1">
        <v>7</v>
      </c>
      <c r="L929" s="67">
        <f t="shared" si="29"/>
        <v>0</v>
      </c>
    </row>
    <row r="930" spans="1:12" x14ac:dyDescent="0.2">
      <c r="A930">
        <v>929</v>
      </c>
      <c r="B930" s="7" t="s">
        <v>356</v>
      </c>
      <c r="C930" t="s">
        <v>1311</v>
      </c>
      <c r="D930" s="65" t="str">
        <f t="shared" si="28"/>
        <v>Y</v>
      </c>
      <c r="E930" t="s">
        <v>1314</v>
      </c>
      <c r="F930" s="25" t="s">
        <v>293</v>
      </c>
      <c r="G930" s="26">
        <v>2</v>
      </c>
      <c r="H930" s="7" t="s">
        <v>293</v>
      </c>
      <c r="I930" s="7" t="s">
        <v>297</v>
      </c>
      <c r="J930" s="1">
        <v>2</v>
      </c>
      <c r="K930" s="1">
        <v>4</v>
      </c>
      <c r="L930" s="67">
        <f t="shared" si="29"/>
        <v>1</v>
      </c>
    </row>
    <row r="931" spans="1:12" x14ac:dyDescent="0.2">
      <c r="A931">
        <v>930</v>
      </c>
      <c r="B931" s="7" t="s">
        <v>372</v>
      </c>
      <c r="C931" t="s">
        <v>1311</v>
      </c>
      <c r="D931" s="65" t="str">
        <f t="shared" si="28"/>
        <v>Y</v>
      </c>
      <c r="E931" t="s">
        <v>1314</v>
      </c>
      <c r="F931" s="25" t="s">
        <v>293</v>
      </c>
      <c r="G931" s="26">
        <v>2</v>
      </c>
      <c r="H931" s="7" t="s">
        <v>293</v>
      </c>
      <c r="I931" s="7" t="s">
        <v>292</v>
      </c>
      <c r="J931" s="1">
        <v>2</v>
      </c>
      <c r="K931" s="1">
        <v>5</v>
      </c>
      <c r="L931" s="67">
        <f t="shared" si="29"/>
        <v>1</v>
      </c>
    </row>
    <row r="932" spans="1:12" x14ac:dyDescent="0.2">
      <c r="A932">
        <v>931</v>
      </c>
      <c r="B932" s="7" t="s">
        <v>372</v>
      </c>
      <c r="C932" t="s">
        <v>1311</v>
      </c>
      <c r="D932" s="65" t="str">
        <f t="shared" si="28"/>
        <v>Y</v>
      </c>
      <c r="E932" t="s">
        <v>1314</v>
      </c>
      <c r="F932" s="25" t="s">
        <v>293</v>
      </c>
      <c r="G932" s="26">
        <v>2</v>
      </c>
      <c r="H932" s="7" t="s">
        <v>299</v>
      </c>
      <c r="I932" s="7" t="s">
        <v>294</v>
      </c>
      <c r="J932" s="1">
        <v>4</v>
      </c>
      <c r="K932" s="1">
        <v>7</v>
      </c>
      <c r="L932" s="67">
        <f t="shared" si="29"/>
        <v>0</v>
      </c>
    </row>
    <row r="933" spans="1:12" x14ac:dyDescent="0.2">
      <c r="A933">
        <v>932</v>
      </c>
      <c r="B933" s="7" t="s">
        <v>356</v>
      </c>
      <c r="C933" t="s">
        <v>1311</v>
      </c>
      <c r="D933" s="65" t="str">
        <f t="shared" si="28"/>
        <v>Y</v>
      </c>
      <c r="E933" t="s">
        <v>1314</v>
      </c>
      <c r="F933" s="25" t="s">
        <v>293</v>
      </c>
      <c r="G933" s="26">
        <v>2</v>
      </c>
      <c r="H933" s="7" t="s">
        <v>293</v>
      </c>
      <c r="I933" s="7" t="s">
        <v>296</v>
      </c>
      <c r="J933" s="1">
        <v>2</v>
      </c>
      <c r="K933" s="1">
        <v>6</v>
      </c>
      <c r="L933" s="67">
        <f t="shared" si="29"/>
        <v>1</v>
      </c>
    </row>
    <row r="934" spans="1:12" x14ac:dyDescent="0.2">
      <c r="A934">
        <v>933</v>
      </c>
      <c r="B934" s="7" t="s">
        <v>356</v>
      </c>
      <c r="C934" t="s">
        <v>1311</v>
      </c>
      <c r="D934" s="65" t="str">
        <f t="shared" si="28"/>
        <v>Y</v>
      </c>
      <c r="E934" t="s">
        <v>1314</v>
      </c>
      <c r="F934" s="25" t="s">
        <v>293</v>
      </c>
      <c r="G934" s="26">
        <v>2</v>
      </c>
      <c r="H934" s="7" t="s">
        <v>299</v>
      </c>
      <c r="I934" s="7" t="s">
        <v>292</v>
      </c>
      <c r="J934" s="1">
        <v>4</v>
      </c>
      <c r="K934" s="1">
        <v>5</v>
      </c>
      <c r="L934" s="67">
        <f t="shared" si="29"/>
        <v>0</v>
      </c>
    </row>
    <row r="935" spans="1:12" x14ac:dyDescent="0.2">
      <c r="A935">
        <v>934</v>
      </c>
      <c r="B935" s="7" t="s">
        <v>372</v>
      </c>
      <c r="C935" t="s">
        <v>1311</v>
      </c>
      <c r="D935" s="65" t="str">
        <f t="shared" si="28"/>
        <v>Y</v>
      </c>
      <c r="E935" t="s">
        <v>1314</v>
      </c>
      <c r="F935" s="25" t="s">
        <v>293</v>
      </c>
      <c r="G935" s="26">
        <v>2</v>
      </c>
      <c r="H935" s="7" t="s">
        <v>299</v>
      </c>
      <c r="I935" s="7" t="s">
        <v>296</v>
      </c>
      <c r="J935" s="1">
        <v>4</v>
      </c>
      <c r="K935" s="1">
        <v>6</v>
      </c>
      <c r="L935" s="67">
        <f t="shared" si="29"/>
        <v>0</v>
      </c>
    </row>
    <row r="936" spans="1:12" x14ac:dyDescent="0.2">
      <c r="A936">
        <v>935</v>
      </c>
      <c r="B936" s="7" t="s">
        <v>372</v>
      </c>
      <c r="C936" t="s">
        <v>1311</v>
      </c>
      <c r="D936" s="65" t="str">
        <f t="shared" si="28"/>
        <v>Y</v>
      </c>
      <c r="E936" t="s">
        <v>1314</v>
      </c>
      <c r="F936" s="25" t="s">
        <v>293</v>
      </c>
      <c r="G936" s="26">
        <v>2</v>
      </c>
      <c r="H936" s="7" t="s">
        <v>293</v>
      </c>
      <c r="I936" s="7" t="s">
        <v>294</v>
      </c>
      <c r="J936" s="1">
        <v>2</v>
      </c>
      <c r="K936" s="1">
        <v>7</v>
      </c>
      <c r="L936" s="67">
        <f t="shared" si="29"/>
        <v>1</v>
      </c>
    </row>
    <row r="937" spans="1:12" x14ac:dyDescent="0.2">
      <c r="A937">
        <v>936</v>
      </c>
      <c r="B937" s="7" t="s">
        <v>356</v>
      </c>
      <c r="C937" t="s">
        <v>1311</v>
      </c>
      <c r="D937" s="65" t="str">
        <f t="shared" si="28"/>
        <v>Y</v>
      </c>
      <c r="E937" t="s">
        <v>1314</v>
      </c>
      <c r="F937" s="25" t="s">
        <v>293</v>
      </c>
      <c r="G937" s="26">
        <v>2</v>
      </c>
      <c r="H937" s="7" t="s">
        <v>293</v>
      </c>
      <c r="I937" s="7" t="s">
        <v>292</v>
      </c>
      <c r="J937" s="1">
        <v>2</v>
      </c>
      <c r="K937" s="1">
        <v>5</v>
      </c>
      <c r="L937" s="67">
        <f t="shared" si="29"/>
        <v>1</v>
      </c>
    </row>
    <row r="938" spans="1:12" x14ac:dyDescent="0.2">
      <c r="A938">
        <v>937</v>
      </c>
      <c r="B938" s="7" t="s">
        <v>372</v>
      </c>
      <c r="C938" t="s">
        <v>1311</v>
      </c>
      <c r="D938" s="65" t="str">
        <f t="shared" si="28"/>
        <v>Y</v>
      </c>
      <c r="E938" t="s">
        <v>1314</v>
      </c>
      <c r="F938" s="25" t="s">
        <v>293</v>
      </c>
      <c r="G938" s="26">
        <v>2</v>
      </c>
      <c r="H938" s="7" t="s">
        <v>293</v>
      </c>
      <c r="I938" s="7" t="s">
        <v>294</v>
      </c>
      <c r="J938" s="1">
        <v>2</v>
      </c>
      <c r="K938" s="1">
        <v>7</v>
      </c>
      <c r="L938" s="67">
        <f t="shared" si="29"/>
        <v>1</v>
      </c>
    </row>
    <row r="939" spans="1:12" x14ac:dyDescent="0.2">
      <c r="A939">
        <v>938</v>
      </c>
      <c r="B939" s="7" t="s">
        <v>356</v>
      </c>
      <c r="C939" t="s">
        <v>1311</v>
      </c>
      <c r="D939" s="65" t="str">
        <f t="shared" si="28"/>
        <v>Y</v>
      </c>
      <c r="E939" t="s">
        <v>1314</v>
      </c>
      <c r="F939" s="25" t="s">
        <v>293</v>
      </c>
      <c r="G939" s="26">
        <v>2</v>
      </c>
      <c r="H939" s="7" t="s">
        <v>293</v>
      </c>
      <c r="I939" s="7" t="s">
        <v>296</v>
      </c>
      <c r="J939" s="1">
        <v>2</v>
      </c>
      <c r="K939" s="1">
        <v>6</v>
      </c>
      <c r="L939" s="67">
        <f t="shared" si="29"/>
        <v>1</v>
      </c>
    </row>
    <row r="940" spans="1:12" x14ac:dyDescent="0.2">
      <c r="A940">
        <v>939</v>
      </c>
      <c r="B940" s="7" t="s">
        <v>356</v>
      </c>
      <c r="C940" t="s">
        <v>1311</v>
      </c>
      <c r="D940" s="65" t="str">
        <f t="shared" si="28"/>
        <v>Y</v>
      </c>
      <c r="E940" t="s">
        <v>1314</v>
      </c>
      <c r="F940" s="25" t="s">
        <v>293</v>
      </c>
      <c r="G940" s="26">
        <v>2</v>
      </c>
      <c r="H940" s="7" t="s">
        <v>293</v>
      </c>
      <c r="I940" s="7" t="s">
        <v>296</v>
      </c>
      <c r="J940" s="1">
        <v>2</v>
      </c>
      <c r="K940" s="1">
        <v>6</v>
      </c>
      <c r="L940" s="67">
        <f t="shared" si="29"/>
        <v>1</v>
      </c>
    </row>
    <row r="941" spans="1:12" x14ac:dyDescent="0.2">
      <c r="A941">
        <v>940</v>
      </c>
      <c r="B941" s="7" t="s">
        <v>372</v>
      </c>
      <c r="C941" t="s">
        <v>1311</v>
      </c>
      <c r="D941" s="65" t="str">
        <f t="shared" si="28"/>
        <v>Y</v>
      </c>
      <c r="E941" t="s">
        <v>1314</v>
      </c>
      <c r="F941" s="25" t="s">
        <v>293</v>
      </c>
      <c r="G941" s="26">
        <v>2</v>
      </c>
      <c r="H941" s="7" t="s">
        <v>293</v>
      </c>
      <c r="I941" s="7" t="s">
        <v>297</v>
      </c>
      <c r="J941" s="1">
        <v>2</v>
      </c>
      <c r="K941" s="1">
        <v>4</v>
      </c>
      <c r="L941" s="67">
        <f t="shared" si="29"/>
        <v>1</v>
      </c>
    </row>
    <row r="942" spans="1:12" x14ac:dyDescent="0.2">
      <c r="A942">
        <v>941</v>
      </c>
      <c r="B942" s="7" t="s">
        <v>372</v>
      </c>
      <c r="C942" t="s">
        <v>1311</v>
      </c>
      <c r="D942" s="65" t="str">
        <f t="shared" si="28"/>
        <v>Y</v>
      </c>
      <c r="E942" t="s">
        <v>1314</v>
      </c>
      <c r="F942" s="25" t="s">
        <v>293</v>
      </c>
      <c r="G942" s="26">
        <v>2</v>
      </c>
      <c r="H942" s="7" t="s">
        <v>293</v>
      </c>
      <c r="I942" s="7" t="s">
        <v>294</v>
      </c>
      <c r="J942" s="1">
        <v>2</v>
      </c>
      <c r="K942" s="1">
        <v>7</v>
      </c>
      <c r="L942" s="67">
        <f t="shared" si="29"/>
        <v>1</v>
      </c>
    </row>
    <row r="943" spans="1:12" x14ac:dyDescent="0.2">
      <c r="A943">
        <v>942</v>
      </c>
      <c r="B943" s="7" t="s">
        <v>356</v>
      </c>
      <c r="C943" t="s">
        <v>1311</v>
      </c>
      <c r="D943" s="65" t="str">
        <f t="shared" si="28"/>
        <v>Y</v>
      </c>
      <c r="E943" t="s">
        <v>1314</v>
      </c>
      <c r="F943" s="25" t="s">
        <v>293</v>
      </c>
      <c r="G943" s="26">
        <v>2</v>
      </c>
      <c r="H943" s="7" t="s">
        <v>293</v>
      </c>
      <c r="I943" s="7" t="s">
        <v>296</v>
      </c>
      <c r="J943" s="1">
        <v>2</v>
      </c>
      <c r="K943" s="1">
        <v>6</v>
      </c>
      <c r="L943" s="67">
        <f t="shared" si="29"/>
        <v>1</v>
      </c>
    </row>
    <row r="944" spans="1:12" x14ac:dyDescent="0.2">
      <c r="A944">
        <v>943</v>
      </c>
      <c r="B944" s="7" t="s">
        <v>356</v>
      </c>
      <c r="C944" t="s">
        <v>1311</v>
      </c>
      <c r="D944" s="65" t="str">
        <f t="shared" si="28"/>
        <v>Y</v>
      </c>
      <c r="E944" t="s">
        <v>1314</v>
      </c>
      <c r="F944" s="25" t="s">
        <v>293</v>
      </c>
      <c r="G944" s="26">
        <v>2</v>
      </c>
      <c r="H944" s="7" t="s">
        <v>293</v>
      </c>
      <c r="I944" s="7" t="s">
        <v>296</v>
      </c>
      <c r="J944" s="1">
        <v>2</v>
      </c>
      <c r="K944" s="1">
        <v>6</v>
      </c>
      <c r="L944" s="67">
        <f t="shared" si="29"/>
        <v>1</v>
      </c>
    </row>
    <row r="945" spans="1:12" x14ac:dyDescent="0.2">
      <c r="A945">
        <v>944</v>
      </c>
      <c r="B945" s="7" t="s">
        <v>372</v>
      </c>
      <c r="C945" t="s">
        <v>1311</v>
      </c>
      <c r="D945" s="65" t="str">
        <f t="shared" si="28"/>
        <v>Y</v>
      </c>
      <c r="E945" t="s">
        <v>1314</v>
      </c>
      <c r="F945" s="25" t="s">
        <v>293</v>
      </c>
      <c r="G945" s="26">
        <v>2</v>
      </c>
      <c r="H945" s="7" t="s">
        <v>293</v>
      </c>
      <c r="I945" s="7" t="s">
        <v>292</v>
      </c>
      <c r="J945" s="1">
        <v>2</v>
      </c>
      <c r="K945" s="1">
        <v>5</v>
      </c>
      <c r="L945" s="67">
        <f t="shared" si="29"/>
        <v>1</v>
      </c>
    </row>
    <row r="946" spans="1:12" x14ac:dyDescent="0.2">
      <c r="A946">
        <v>945</v>
      </c>
      <c r="B946" s="7" t="s">
        <v>356</v>
      </c>
      <c r="C946" t="s">
        <v>1311</v>
      </c>
      <c r="D946" s="65" t="str">
        <f t="shared" si="28"/>
        <v>Y</v>
      </c>
      <c r="E946" t="s">
        <v>1314</v>
      </c>
      <c r="F946" s="25" t="s">
        <v>293</v>
      </c>
      <c r="G946" s="26">
        <v>2</v>
      </c>
      <c r="H946" s="7" t="s">
        <v>293</v>
      </c>
      <c r="I946" s="7" t="s">
        <v>297</v>
      </c>
      <c r="J946" s="1">
        <v>2</v>
      </c>
      <c r="K946" s="1">
        <v>4</v>
      </c>
      <c r="L946" s="67">
        <f t="shared" si="29"/>
        <v>1</v>
      </c>
    </row>
    <row r="947" spans="1:12" x14ac:dyDescent="0.2">
      <c r="A947">
        <v>946</v>
      </c>
      <c r="B947" s="7" t="s">
        <v>372</v>
      </c>
      <c r="C947" t="s">
        <v>1311</v>
      </c>
      <c r="D947" s="65" t="str">
        <f t="shared" si="28"/>
        <v>Y</v>
      </c>
      <c r="E947" t="s">
        <v>1314</v>
      </c>
      <c r="F947" s="25" t="s">
        <v>293</v>
      </c>
      <c r="G947" s="26">
        <v>2</v>
      </c>
      <c r="H947" s="7" t="s">
        <v>293</v>
      </c>
      <c r="I947" s="7" t="s">
        <v>292</v>
      </c>
      <c r="J947" s="1">
        <v>2</v>
      </c>
      <c r="K947" s="1">
        <v>5</v>
      </c>
      <c r="L947" s="67">
        <f t="shared" si="29"/>
        <v>1</v>
      </c>
    </row>
    <row r="948" spans="1:12" x14ac:dyDescent="0.2">
      <c r="A948">
        <v>947</v>
      </c>
      <c r="B948" s="7" t="s">
        <v>356</v>
      </c>
      <c r="C948" t="s">
        <v>1311</v>
      </c>
      <c r="D948" s="65" t="str">
        <f t="shared" si="28"/>
        <v>Y</v>
      </c>
      <c r="E948" t="s">
        <v>1314</v>
      </c>
      <c r="F948" s="25" t="s">
        <v>293</v>
      </c>
      <c r="G948" s="26">
        <v>2</v>
      </c>
      <c r="H948" s="7" t="s">
        <v>293</v>
      </c>
      <c r="I948" s="7" t="s">
        <v>296</v>
      </c>
      <c r="J948" s="1">
        <v>2</v>
      </c>
      <c r="K948" s="1">
        <v>6</v>
      </c>
      <c r="L948" s="67">
        <f t="shared" si="29"/>
        <v>1</v>
      </c>
    </row>
    <row r="949" spans="1:12" x14ac:dyDescent="0.2">
      <c r="A949">
        <v>948</v>
      </c>
      <c r="B949" s="7" t="s">
        <v>372</v>
      </c>
      <c r="C949" t="s">
        <v>1311</v>
      </c>
      <c r="D949" s="65" t="str">
        <f t="shared" si="28"/>
        <v>Y</v>
      </c>
      <c r="E949" t="s">
        <v>1314</v>
      </c>
      <c r="F949" s="25" t="s">
        <v>293</v>
      </c>
      <c r="G949" s="26">
        <v>2</v>
      </c>
      <c r="H949" s="7" t="s">
        <v>299</v>
      </c>
      <c r="I949" s="7" t="s">
        <v>292</v>
      </c>
      <c r="J949" s="1">
        <v>4</v>
      </c>
      <c r="K949" s="1">
        <v>5</v>
      </c>
      <c r="L949" s="67">
        <f t="shared" si="29"/>
        <v>0</v>
      </c>
    </row>
    <row r="950" spans="1:12" x14ac:dyDescent="0.2">
      <c r="A950">
        <v>949</v>
      </c>
      <c r="B950" s="7" t="s">
        <v>356</v>
      </c>
      <c r="C950" t="s">
        <v>1311</v>
      </c>
      <c r="D950" s="65" t="str">
        <f t="shared" si="28"/>
        <v>Y</v>
      </c>
      <c r="E950" t="s">
        <v>1314</v>
      </c>
      <c r="F950" s="25" t="s">
        <v>299</v>
      </c>
      <c r="G950" s="26">
        <v>4</v>
      </c>
      <c r="H950" s="7" t="s">
        <v>291</v>
      </c>
      <c r="I950" s="7" t="s">
        <v>292</v>
      </c>
      <c r="J950" s="1">
        <v>1</v>
      </c>
      <c r="K950" s="1">
        <v>5</v>
      </c>
      <c r="L950" s="67">
        <f t="shared" si="29"/>
        <v>0</v>
      </c>
    </row>
    <row r="951" spans="1:12" x14ac:dyDescent="0.2">
      <c r="A951">
        <v>950</v>
      </c>
      <c r="B951" s="7" t="s">
        <v>372</v>
      </c>
      <c r="C951" t="s">
        <v>1311</v>
      </c>
      <c r="D951" s="65" t="str">
        <f t="shared" si="28"/>
        <v>Y</v>
      </c>
      <c r="E951" t="s">
        <v>1314</v>
      </c>
      <c r="F951" s="25" t="s">
        <v>299</v>
      </c>
      <c r="G951" s="26">
        <v>4</v>
      </c>
      <c r="H951" s="7" t="s">
        <v>282</v>
      </c>
      <c r="I951" s="7" t="s">
        <v>292</v>
      </c>
      <c r="J951" s="4" t="s">
        <v>282</v>
      </c>
      <c r="K951" s="1">
        <v>5</v>
      </c>
      <c r="L951" s="67">
        <f t="shared" si="29"/>
        <v>0</v>
      </c>
    </row>
    <row r="952" spans="1:12" x14ac:dyDescent="0.2">
      <c r="A952">
        <v>951</v>
      </c>
      <c r="B952" s="7" t="s">
        <v>372</v>
      </c>
      <c r="C952" t="s">
        <v>1311</v>
      </c>
      <c r="D952" s="65" t="str">
        <f t="shared" si="28"/>
        <v>Y</v>
      </c>
      <c r="E952" t="s">
        <v>1314</v>
      </c>
      <c r="F952" s="25" t="s">
        <v>299</v>
      </c>
      <c r="G952" s="26">
        <v>4</v>
      </c>
      <c r="H952" s="7" t="s">
        <v>293</v>
      </c>
      <c r="I952" s="7" t="s">
        <v>292</v>
      </c>
      <c r="J952" s="1">
        <v>2</v>
      </c>
      <c r="K952" s="1">
        <v>5</v>
      </c>
      <c r="L952" s="67">
        <f t="shared" si="29"/>
        <v>0</v>
      </c>
    </row>
    <row r="953" spans="1:12" x14ac:dyDescent="0.2">
      <c r="A953">
        <v>952</v>
      </c>
      <c r="B953" s="7" t="s">
        <v>356</v>
      </c>
      <c r="C953" t="s">
        <v>1311</v>
      </c>
      <c r="D953" s="65" t="str">
        <f t="shared" si="28"/>
        <v>Y</v>
      </c>
      <c r="E953" t="s">
        <v>1314</v>
      </c>
      <c r="F953" s="25" t="s">
        <v>299</v>
      </c>
      <c r="G953" s="26">
        <v>4</v>
      </c>
      <c r="H953" s="7" t="s">
        <v>291</v>
      </c>
      <c r="I953" s="7" t="s">
        <v>292</v>
      </c>
      <c r="J953" s="1">
        <v>1</v>
      </c>
      <c r="K953" s="1">
        <v>5</v>
      </c>
      <c r="L953" s="67">
        <f t="shared" si="29"/>
        <v>0</v>
      </c>
    </row>
    <row r="954" spans="1:12" x14ac:dyDescent="0.2">
      <c r="A954">
        <v>953</v>
      </c>
      <c r="B954" s="7" t="s">
        <v>372</v>
      </c>
      <c r="C954" t="s">
        <v>1311</v>
      </c>
      <c r="D954" s="65" t="str">
        <f t="shared" si="28"/>
        <v>Y</v>
      </c>
      <c r="E954" t="s">
        <v>1314</v>
      </c>
      <c r="F954" s="25" t="s">
        <v>299</v>
      </c>
      <c r="G954" s="26">
        <v>4</v>
      </c>
      <c r="H954" s="7" t="s">
        <v>291</v>
      </c>
      <c r="I954" s="7" t="s">
        <v>292</v>
      </c>
      <c r="J954" s="1">
        <v>1</v>
      </c>
      <c r="K954" s="1">
        <v>5</v>
      </c>
      <c r="L954" s="67">
        <f t="shared" si="29"/>
        <v>0</v>
      </c>
    </row>
    <row r="955" spans="1:12" x14ac:dyDescent="0.2">
      <c r="A955">
        <v>954</v>
      </c>
      <c r="B955" s="7" t="s">
        <v>356</v>
      </c>
      <c r="C955" t="s">
        <v>1311</v>
      </c>
      <c r="D955" s="65" t="str">
        <f t="shared" si="28"/>
        <v>Y</v>
      </c>
      <c r="E955" t="s">
        <v>1314</v>
      </c>
      <c r="F955" s="25" t="s">
        <v>299</v>
      </c>
      <c r="G955" s="26">
        <v>4</v>
      </c>
      <c r="H955" s="7" t="s">
        <v>291</v>
      </c>
      <c r="I955" s="7" t="s">
        <v>297</v>
      </c>
      <c r="J955" s="1">
        <v>1</v>
      </c>
      <c r="K955" s="1">
        <v>4</v>
      </c>
      <c r="L955" s="67">
        <f t="shared" si="29"/>
        <v>0</v>
      </c>
    </row>
    <row r="956" spans="1:12" x14ac:dyDescent="0.2">
      <c r="A956">
        <v>955</v>
      </c>
      <c r="B956" s="7" t="s">
        <v>372</v>
      </c>
      <c r="C956" t="s">
        <v>1311</v>
      </c>
      <c r="D956" s="65" t="str">
        <f t="shared" si="28"/>
        <v>Y</v>
      </c>
      <c r="E956" t="s">
        <v>1314</v>
      </c>
      <c r="F956" s="25" t="s">
        <v>299</v>
      </c>
      <c r="G956" s="26">
        <v>4</v>
      </c>
      <c r="H956" s="7" t="s">
        <v>291</v>
      </c>
      <c r="I956" s="7" t="s">
        <v>292</v>
      </c>
      <c r="J956" s="1">
        <v>1</v>
      </c>
      <c r="K956" s="1">
        <v>5</v>
      </c>
      <c r="L956" s="67">
        <f t="shared" si="29"/>
        <v>0</v>
      </c>
    </row>
    <row r="957" spans="1:12" x14ac:dyDescent="0.2">
      <c r="A957">
        <v>956</v>
      </c>
      <c r="B957" s="7" t="s">
        <v>356</v>
      </c>
      <c r="C957" t="s">
        <v>1311</v>
      </c>
      <c r="D957" s="65" t="str">
        <f t="shared" si="28"/>
        <v>Y</v>
      </c>
      <c r="E957" t="s">
        <v>1314</v>
      </c>
      <c r="F957" s="25" t="s">
        <v>299</v>
      </c>
      <c r="G957" s="26">
        <v>4</v>
      </c>
      <c r="H957" s="7" t="s">
        <v>282</v>
      </c>
      <c r="I957" s="7" t="s">
        <v>292</v>
      </c>
      <c r="J957" s="4" t="s">
        <v>282</v>
      </c>
      <c r="K957" s="1">
        <v>5</v>
      </c>
      <c r="L957" s="67">
        <f t="shared" si="29"/>
        <v>0</v>
      </c>
    </row>
    <row r="958" spans="1:12" x14ac:dyDescent="0.2">
      <c r="A958">
        <v>957</v>
      </c>
      <c r="B958" s="7" t="s">
        <v>372</v>
      </c>
      <c r="C958" t="s">
        <v>1311</v>
      </c>
      <c r="D958" s="65" t="str">
        <f t="shared" si="28"/>
        <v>Y</v>
      </c>
      <c r="E958" t="s">
        <v>1314</v>
      </c>
      <c r="F958" s="25" t="s">
        <v>299</v>
      </c>
      <c r="G958" s="26">
        <v>4</v>
      </c>
      <c r="H958" s="7" t="s">
        <v>291</v>
      </c>
      <c r="I958" s="7" t="s">
        <v>296</v>
      </c>
      <c r="J958" s="1">
        <v>1</v>
      </c>
      <c r="K958" s="1">
        <v>6</v>
      </c>
      <c r="L958" s="67">
        <f t="shared" si="29"/>
        <v>0</v>
      </c>
    </row>
    <row r="959" spans="1:12" x14ac:dyDescent="0.2">
      <c r="A959">
        <v>958</v>
      </c>
      <c r="B959" s="7" t="s">
        <v>356</v>
      </c>
      <c r="C959" t="s">
        <v>1311</v>
      </c>
      <c r="D959" s="65" t="str">
        <f t="shared" si="28"/>
        <v>Y</v>
      </c>
      <c r="E959" t="s">
        <v>1314</v>
      </c>
      <c r="F959" s="25" t="s">
        <v>299</v>
      </c>
      <c r="G959" s="26">
        <v>4</v>
      </c>
      <c r="H959" s="7" t="s">
        <v>291</v>
      </c>
      <c r="I959" s="7" t="s">
        <v>297</v>
      </c>
      <c r="J959" s="1">
        <v>1</v>
      </c>
      <c r="K959" s="1">
        <v>4</v>
      </c>
      <c r="L959" s="67">
        <f t="shared" si="29"/>
        <v>0</v>
      </c>
    </row>
    <row r="960" spans="1:12" x14ac:dyDescent="0.2">
      <c r="A960">
        <v>959</v>
      </c>
      <c r="B960" s="7" t="s">
        <v>356</v>
      </c>
      <c r="C960" t="s">
        <v>1311</v>
      </c>
      <c r="D960" s="65" t="str">
        <f t="shared" si="28"/>
        <v>Y</v>
      </c>
      <c r="E960" t="s">
        <v>1314</v>
      </c>
      <c r="F960" s="25" t="s">
        <v>299</v>
      </c>
      <c r="G960" s="26">
        <v>4</v>
      </c>
      <c r="H960" s="7" t="s">
        <v>291</v>
      </c>
      <c r="I960" s="7" t="s">
        <v>296</v>
      </c>
      <c r="J960" s="1">
        <v>1</v>
      </c>
      <c r="K960" s="1">
        <v>6</v>
      </c>
      <c r="L960" s="67">
        <f t="shared" si="29"/>
        <v>0</v>
      </c>
    </row>
    <row r="961" spans="1:12" x14ac:dyDescent="0.2">
      <c r="A961">
        <v>960</v>
      </c>
      <c r="B961" s="7" t="s">
        <v>372</v>
      </c>
      <c r="C961" t="s">
        <v>1311</v>
      </c>
      <c r="D961" s="65" t="str">
        <f t="shared" si="28"/>
        <v>Y</v>
      </c>
      <c r="E961" t="s">
        <v>1314</v>
      </c>
      <c r="F961" s="25" t="s">
        <v>299</v>
      </c>
      <c r="G961" s="26">
        <v>4</v>
      </c>
      <c r="H961" s="7" t="s">
        <v>291</v>
      </c>
      <c r="I961" s="7" t="s">
        <v>292</v>
      </c>
      <c r="J961" s="1">
        <v>1</v>
      </c>
      <c r="K961" s="1">
        <v>5</v>
      </c>
      <c r="L961" s="67">
        <f t="shared" si="29"/>
        <v>0</v>
      </c>
    </row>
    <row r="962" spans="1:12" x14ac:dyDescent="0.2">
      <c r="A962">
        <v>961</v>
      </c>
      <c r="B962" s="7" t="s">
        <v>356</v>
      </c>
      <c r="C962" t="s">
        <v>1311</v>
      </c>
      <c r="D962" s="65" t="str">
        <f t="shared" si="28"/>
        <v>Y</v>
      </c>
      <c r="E962" t="s">
        <v>1314</v>
      </c>
      <c r="F962" s="25" t="s">
        <v>299</v>
      </c>
      <c r="G962" s="26">
        <v>4</v>
      </c>
      <c r="H962" s="7" t="s">
        <v>298</v>
      </c>
      <c r="I962" s="7" t="s">
        <v>292</v>
      </c>
      <c r="J962" s="1">
        <v>3</v>
      </c>
      <c r="K962" s="1">
        <v>5</v>
      </c>
      <c r="L962" s="67">
        <f t="shared" si="29"/>
        <v>0</v>
      </c>
    </row>
    <row r="963" spans="1:12" x14ac:dyDescent="0.2">
      <c r="A963">
        <v>962</v>
      </c>
      <c r="B963" s="7" t="s">
        <v>372</v>
      </c>
      <c r="C963" t="s">
        <v>1311</v>
      </c>
      <c r="D963" s="65" t="str">
        <f t="shared" ref="D963:D1026" si="30">IF($E963="iso", "N", IF(OR($E963="non", $E963="emd", $E963="dyn"), "Y", "ERROR"))</f>
        <v>Y</v>
      </c>
      <c r="E963" t="s">
        <v>1314</v>
      </c>
      <c r="F963" s="25" t="s">
        <v>299</v>
      </c>
      <c r="G963" s="26">
        <v>4</v>
      </c>
      <c r="H963" s="7" t="s">
        <v>282</v>
      </c>
      <c r="I963" s="7" t="s">
        <v>297</v>
      </c>
      <c r="J963" s="4" t="s">
        <v>282</v>
      </c>
      <c r="K963" s="1">
        <v>4</v>
      </c>
      <c r="L963" s="67">
        <f t="shared" ref="L963:L1026" si="31">IF(G963=J963, 1, 0)</f>
        <v>0</v>
      </c>
    </row>
    <row r="964" spans="1:12" x14ac:dyDescent="0.2">
      <c r="A964">
        <v>963</v>
      </c>
      <c r="B964" s="7" t="s">
        <v>356</v>
      </c>
      <c r="C964" t="s">
        <v>1311</v>
      </c>
      <c r="D964" s="65" t="str">
        <f t="shared" si="30"/>
        <v>Y</v>
      </c>
      <c r="E964" t="s">
        <v>1314</v>
      </c>
      <c r="F964" s="25" t="s">
        <v>299</v>
      </c>
      <c r="G964" s="26">
        <v>4</v>
      </c>
      <c r="H964" s="7" t="s">
        <v>293</v>
      </c>
      <c r="I964" s="7" t="s">
        <v>294</v>
      </c>
      <c r="J964" s="1">
        <v>2</v>
      </c>
      <c r="K964" s="1">
        <v>7</v>
      </c>
      <c r="L964" s="67">
        <f t="shared" si="31"/>
        <v>0</v>
      </c>
    </row>
    <row r="965" spans="1:12" x14ac:dyDescent="0.2">
      <c r="A965">
        <v>964</v>
      </c>
      <c r="B965" s="7" t="s">
        <v>372</v>
      </c>
      <c r="C965" t="s">
        <v>1311</v>
      </c>
      <c r="D965" s="65" t="str">
        <f t="shared" si="30"/>
        <v>Y</v>
      </c>
      <c r="E965" t="s">
        <v>1314</v>
      </c>
      <c r="F965" s="25" t="s">
        <v>299</v>
      </c>
      <c r="G965" s="26">
        <v>4</v>
      </c>
      <c r="H965" s="7" t="s">
        <v>282</v>
      </c>
      <c r="I965" s="7" t="s">
        <v>292</v>
      </c>
      <c r="J965" s="4" t="s">
        <v>282</v>
      </c>
      <c r="K965" s="1">
        <v>5</v>
      </c>
      <c r="L965" s="67">
        <f t="shared" si="31"/>
        <v>0</v>
      </c>
    </row>
    <row r="966" spans="1:12" x14ac:dyDescent="0.2">
      <c r="A966">
        <v>965</v>
      </c>
      <c r="B966" s="7" t="s">
        <v>372</v>
      </c>
      <c r="C966" t="s">
        <v>1311</v>
      </c>
      <c r="D966" s="65" t="str">
        <f t="shared" si="30"/>
        <v>Y</v>
      </c>
      <c r="E966" t="s">
        <v>1314</v>
      </c>
      <c r="F966" s="25" t="s">
        <v>299</v>
      </c>
      <c r="G966" s="26">
        <v>4</v>
      </c>
      <c r="H966" s="7" t="s">
        <v>298</v>
      </c>
      <c r="I966" s="7" t="s">
        <v>297</v>
      </c>
      <c r="J966" s="1">
        <v>3</v>
      </c>
      <c r="K966" s="1">
        <v>4</v>
      </c>
      <c r="L966" s="67">
        <f t="shared" si="31"/>
        <v>0</v>
      </c>
    </row>
    <row r="967" spans="1:12" x14ac:dyDescent="0.2">
      <c r="A967">
        <v>966</v>
      </c>
      <c r="B967" s="7" t="s">
        <v>356</v>
      </c>
      <c r="C967" t="s">
        <v>1311</v>
      </c>
      <c r="D967" s="65" t="str">
        <f t="shared" si="30"/>
        <v>Y</v>
      </c>
      <c r="E967" t="s">
        <v>1314</v>
      </c>
      <c r="F967" s="25" t="s">
        <v>299</v>
      </c>
      <c r="G967" s="26">
        <v>4</v>
      </c>
      <c r="H967" s="7" t="s">
        <v>291</v>
      </c>
      <c r="I967" s="7" t="s">
        <v>292</v>
      </c>
      <c r="J967" s="1">
        <v>1</v>
      </c>
      <c r="K967" s="1">
        <v>5</v>
      </c>
      <c r="L967" s="67">
        <f t="shared" si="31"/>
        <v>0</v>
      </c>
    </row>
    <row r="968" spans="1:12" x14ac:dyDescent="0.2">
      <c r="A968">
        <v>967</v>
      </c>
      <c r="B968" s="7" t="s">
        <v>356</v>
      </c>
      <c r="C968" t="s">
        <v>1311</v>
      </c>
      <c r="D968" s="65" t="str">
        <f t="shared" si="30"/>
        <v>Y</v>
      </c>
      <c r="E968" t="s">
        <v>1314</v>
      </c>
      <c r="F968" s="25" t="s">
        <v>299</v>
      </c>
      <c r="G968" s="26">
        <v>4</v>
      </c>
      <c r="H968" s="7" t="s">
        <v>291</v>
      </c>
      <c r="I968" s="7" t="s">
        <v>296</v>
      </c>
      <c r="J968" s="1">
        <v>1</v>
      </c>
      <c r="K968" s="1">
        <v>6</v>
      </c>
      <c r="L968" s="67">
        <f t="shared" si="31"/>
        <v>0</v>
      </c>
    </row>
    <row r="969" spans="1:12" x14ac:dyDescent="0.2">
      <c r="A969">
        <v>968</v>
      </c>
      <c r="B969" s="7" t="s">
        <v>372</v>
      </c>
      <c r="C969" t="s">
        <v>1311</v>
      </c>
      <c r="D969" s="65" t="str">
        <f t="shared" si="30"/>
        <v>Y</v>
      </c>
      <c r="E969" t="s">
        <v>1314</v>
      </c>
      <c r="F969" s="25" t="s">
        <v>299</v>
      </c>
      <c r="G969" s="26">
        <v>4</v>
      </c>
      <c r="H969" s="7" t="s">
        <v>299</v>
      </c>
      <c r="I969" s="7" t="s">
        <v>297</v>
      </c>
      <c r="J969" s="1">
        <v>4</v>
      </c>
      <c r="K969" s="1">
        <v>4</v>
      </c>
      <c r="L969" s="67">
        <f t="shared" si="31"/>
        <v>1</v>
      </c>
    </row>
    <row r="970" spans="1:12" x14ac:dyDescent="0.2">
      <c r="A970">
        <v>969</v>
      </c>
      <c r="B970" s="7" t="s">
        <v>356</v>
      </c>
      <c r="C970" t="s">
        <v>1311</v>
      </c>
      <c r="D970" s="65" t="str">
        <f t="shared" si="30"/>
        <v>Y</v>
      </c>
      <c r="E970" t="s">
        <v>1314</v>
      </c>
      <c r="F970" s="25" t="s">
        <v>299</v>
      </c>
      <c r="G970" s="26">
        <v>4</v>
      </c>
      <c r="H970" s="7" t="s">
        <v>291</v>
      </c>
      <c r="I970" s="7" t="s">
        <v>292</v>
      </c>
      <c r="J970" s="1">
        <v>1</v>
      </c>
      <c r="K970" s="1">
        <v>5</v>
      </c>
      <c r="L970" s="67">
        <f t="shared" si="31"/>
        <v>0</v>
      </c>
    </row>
    <row r="971" spans="1:12" x14ac:dyDescent="0.2">
      <c r="A971">
        <v>970</v>
      </c>
      <c r="B971" s="7" t="s">
        <v>356</v>
      </c>
      <c r="C971" t="s">
        <v>1311</v>
      </c>
      <c r="D971" s="65" t="str">
        <f t="shared" si="30"/>
        <v>Y</v>
      </c>
      <c r="E971" t="s">
        <v>1314</v>
      </c>
      <c r="F971" s="25" t="s">
        <v>299</v>
      </c>
      <c r="G971" s="26">
        <v>4</v>
      </c>
      <c r="H971" s="7" t="s">
        <v>299</v>
      </c>
      <c r="I971" s="7" t="s">
        <v>292</v>
      </c>
      <c r="J971" s="1">
        <v>4</v>
      </c>
      <c r="K971" s="1">
        <v>5</v>
      </c>
      <c r="L971" s="67">
        <f t="shared" si="31"/>
        <v>1</v>
      </c>
    </row>
    <row r="972" spans="1:12" x14ac:dyDescent="0.2">
      <c r="A972">
        <v>971</v>
      </c>
      <c r="B972" s="7" t="s">
        <v>372</v>
      </c>
      <c r="C972" t="s">
        <v>1311</v>
      </c>
      <c r="D972" s="65" t="str">
        <f t="shared" si="30"/>
        <v>Y</v>
      </c>
      <c r="E972" t="s">
        <v>1314</v>
      </c>
      <c r="F972" s="25" t="s">
        <v>299</v>
      </c>
      <c r="G972" s="26">
        <v>4</v>
      </c>
      <c r="H972" s="7" t="s">
        <v>293</v>
      </c>
      <c r="I972" s="7" t="s">
        <v>292</v>
      </c>
      <c r="J972" s="1">
        <v>2</v>
      </c>
      <c r="K972" s="1">
        <v>5</v>
      </c>
      <c r="L972" s="67">
        <f t="shared" si="31"/>
        <v>0</v>
      </c>
    </row>
    <row r="973" spans="1:12" x14ac:dyDescent="0.2">
      <c r="A973">
        <v>972</v>
      </c>
      <c r="B973" s="7" t="s">
        <v>372</v>
      </c>
      <c r="C973" t="s">
        <v>1311</v>
      </c>
      <c r="D973" s="65" t="str">
        <f t="shared" si="30"/>
        <v>Y</v>
      </c>
      <c r="E973" t="s">
        <v>1314</v>
      </c>
      <c r="F973" s="25" t="s">
        <v>299</v>
      </c>
      <c r="G973" s="26">
        <v>4</v>
      </c>
      <c r="H973" s="7" t="s">
        <v>299</v>
      </c>
      <c r="I973" s="7" t="s">
        <v>296</v>
      </c>
      <c r="J973" s="1">
        <v>4</v>
      </c>
      <c r="K973" s="1">
        <v>6</v>
      </c>
      <c r="L973" s="67">
        <f t="shared" si="31"/>
        <v>1</v>
      </c>
    </row>
    <row r="974" spans="1:12" x14ac:dyDescent="0.2">
      <c r="A974">
        <v>973</v>
      </c>
      <c r="B974" s="7" t="s">
        <v>356</v>
      </c>
      <c r="C974" t="s">
        <v>1311</v>
      </c>
      <c r="D974" s="65" t="str">
        <f t="shared" si="30"/>
        <v>Y</v>
      </c>
      <c r="E974" t="s">
        <v>1314</v>
      </c>
      <c r="F974" s="25" t="s">
        <v>299</v>
      </c>
      <c r="G974" s="26">
        <v>4</v>
      </c>
      <c r="H974" s="7" t="s">
        <v>295</v>
      </c>
      <c r="I974" s="7" t="s">
        <v>296</v>
      </c>
      <c r="J974" s="1">
        <v>5</v>
      </c>
      <c r="K974" s="1">
        <v>6</v>
      </c>
      <c r="L974" s="67">
        <f t="shared" si="31"/>
        <v>0</v>
      </c>
    </row>
    <row r="975" spans="1:12" x14ac:dyDescent="0.2">
      <c r="A975">
        <v>974</v>
      </c>
      <c r="B975" s="7" t="s">
        <v>356</v>
      </c>
      <c r="C975" t="s">
        <v>1311</v>
      </c>
      <c r="D975" s="65" t="str">
        <f t="shared" si="30"/>
        <v>Y</v>
      </c>
      <c r="E975" t="s">
        <v>1314</v>
      </c>
      <c r="F975" s="25" t="s">
        <v>299</v>
      </c>
      <c r="G975" s="26">
        <v>4</v>
      </c>
      <c r="H975" s="7" t="s">
        <v>299</v>
      </c>
      <c r="I975" s="7" t="s">
        <v>297</v>
      </c>
      <c r="J975" s="1">
        <v>4</v>
      </c>
      <c r="K975" s="1">
        <v>4</v>
      </c>
      <c r="L975" s="67">
        <f t="shared" si="31"/>
        <v>1</v>
      </c>
    </row>
    <row r="976" spans="1:12" x14ac:dyDescent="0.2">
      <c r="A976">
        <v>975</v>
      </c>
      <c r="B976" s="7" t="s">
        <v>372</v>
      </c>
      <c r="C976" t="s">
        <v>1311</v>
      </c>
      <c r="D976" s="65" t="str">
        <f t="shared" si="30"/>
        <v>Y</v>
      </c>
      <c r="E976" t="s">
        <v>1314</v>
      </c>
      <c r="F976" s="25" t="s">
        <v>299</v>
      </c>
      <c r="G976" s="26">
        <v>4</v>
      </c>
      <c r="H976" s="7" t="s">
        <v>291</v>
      </c>
      <c r="I976" s="7" t="s">
        <v>330</v>
      </c>
      <c r="J976" s="1">
        <v>1</v>
      </c>
      <c r="K976" s="1">
        <v>3</v>
      </c>
      <c r="L976" s="67">
        <f t="shared" si="31"/>
        <v>0</v>
      </c>
    </row>
    <row r="977" spans="1:12" x14ac:dyDescent="0.2">
      <c r="A977">
        <v>976</v>
      </c>
      <c r="B977" s="7" t="s">
        <v>356</v>
      </c>
      <c r="C977" t="s">
        <v>1311</v>
      </c>
      <c r="D977" s="65" t="str">
        <f t="shared" si="30"/>
        <v>Y</v>
      </c>
      <c r="E977" t="s">
        <v>1314</v>
      </c>
      <c r="F977" s="25" t="s">
        <v>299</v>
      </c>
      <c r="G977" s="26">
        <v>4</v>
      </c>
      <c r="H977" s="7" t="s">
        <v>291</v>
      </c>
      <c r="I977" s="7" t="s">
        <v>296</v>
      </c>
      <c r="J977" s="1">
        <v>1</v>
      </c>
      <c r="K977" s="1">
        <v>6</v>
      </c>
      <c r="L977" s="67">
        <f t="shared" si="31"/>
        <v>0</v>
      </c>
    </row>
    <row r="978" spans="1:12" x14ac:dyDescent="0.2">
      <c r="A978">
        <v>977</v>
      </c>
      <c r="B978" s="7" t="s">
        <v>372</v>
      </c>
      <c r="C978" t="s">
        <v>1311</v>
      </c>
      <c r="D978" s="65" t="str">
        <f t="shared" si="30"/>
        <v>Y</v>
      </c>
      <c r="E978" t="s">
        <v>1314</v>
      </c>
      <c r="F978" s="25" t="s">
        <v>299</v>
      </c>
      <c r="G978" s="26">
        <v>4</v>
      </c>
      <c r="H978" s="7" t="s">
        <v>282</v>
      </c>
      <c r="I978" s="7" t="s">
        <v>330</v>
      </c>
      <c r="J978" s="4" t="s">
        <v>282</v>
      </c>
      <c r="K978" s="1">
        <v>3</v>
      </c>
      <c r="L978" s="67">
        <f t="shared" si="31"/>
        <v>0</v>
      </c>
    </row>
    <row r="979" spans="1:12" x14ac:dyDescent="0.2">
      <c r="A979">
        <v>978</v>
      </c>
      <c r="B979" s="7" t="s">
        <v>356</v>
      </c>
      <c r="C979" t="s">
        <v>1311</v>
      </c>
      <c r="D979" s="65" t="str">
        <f t="shared" si="30"/>
        <v>Y</v>
      </c>
      <c r="E979" t="s">
        <v>1314</v>
      </c>
      <c r="F979" s="25" t="s">
        <v>299</v>
      </c>
      <c r="G979" s="26">
        <v>4</v>
      </c>
      <c r="H979" s="7" t="s">
        <v>282</v>
      </c>
      <c r="I979" s="7" t="s">
        <v>330</v>
      </c>
      <c r="J979" s="4" t="s">
        <v>282</v>
      </c>
      <c r="K979" s="1">
        <v>3</v>
      </c>
      <c r="L979" s="67">
        <f t="shared" si="31"/>
        <v>0</v>
      </c>
    </row>
    <row r="980" spans="1:12" x14ac:dyDescent="0.2">
      <c r="A980">
        <v>979</v>
      </c>
      <c r="B980" s="7" t="s">
        <v>372</v>
      </c>
      <c r="C980" t="s">
        <v>1311</v>
      </c>
      <c r="D980" s="65" t="str">
        <f t="shared" si="30"/>
        <v>Y</v>
      </c>
      <c r="E980" t="s">
        <v>1314</v>
      </c>
      <c r="F980" s="25" t="s">
        <v>299</v>
      </c>
      <c r="G980" s="26">
        <v>4</v>
      </c>
      <c r="H980" s="7" t="s">
        <v>299</v>
      </c>
      <c r="I980" s="7" t="s">
        <v>292</v>
      </c>
      <c r="J980" s="1">
        <v>4</v>
      </c>
      <c r="K980" s="1">
        <v>5</v>
      </c>
      <c r="L980" s="67">
        <f t="shared" si="31"/>
        <v>1</v>
      </c>
    </row>
    <row r="981" spans="1:12" x14ac:dyDescent="0.2">
      <c r="A981">
        <v>980</v>
      </c>
      <c r="B981" s="7" t="s">
        <v>356</v>
      </c>
      <c r="C981" t="s">
        <v>1311</v>
      </c>
      <c r="D981" s="65" t="str">
        <f t="shared" si="30"/>
        <v>Y</v>
      </c>
      <c r="E981" t="s">
        <v>1314</v>
      </c>
      <c r="F981" s="25" t="s">
        <v>299</v>
      </c>
      <c r="G981" s="26">
        <v>4</v>
      </c>
      <c r="H981" s="7" t="s">
        <v>291</v>
      </c>
      <c r="I981" s="7" t="s">
        <v>296</v>
      </c>
      <c r="J981" s="1">
        <v>1</v>
      </c>
      <c r="K981" s="1">
        <v>6</v>
      </c>
      <c r="L981" s="67">
        <f t="shared" si="31"/>
        <v>0</v>
      </c>
    </row>
    <row r="982" spans="1:12" x14ac:dyDescent="0.2">
      <c r="A982">
        <v>981</v>
      </c>
      <c r="B982" s="7" t="s">
        <v>356</v>
      </c>
      <c r="C982" t="s">
        <v>1311</v>
      </c>
      <c r="D982" s="65" t="str">
        <f t="shared" si="30"/>
        <v>Y</v>
      </c>
      <c r="E982" t="s">
        <v>1314</v>
      </c>
      <c r="F982" s="25" t="s">
        <v>299</v>
      </c>
      <c r="G982" s="26">
        <v>4</v>
      </c>
      <c r="H982" s="7" t="s">
        <v>299</v>
      </c>
      <c r="I982" s="7" t="s">
        <v>292</v>
      </c>
      <c r="J982" s="1">
        <v>4</v>
      </c>
      <c r="K982" s="1">
        <v>5</v>
      </c>
      <c r="L982" s="67">
        <f t="shared" si="31"/>
        <v>1</v>
      </c>
    </row>
    <row r="983" spans="1:12" x14ac:dyDescent="0.2">
      <c r="A983">
        <v>982</v>
      </c>
      <c r="B983" s="7" t="s">
        <v>372</v>
      </c>
      <c r="C983" t="s">
        <v>1311</v>
      </c>
      <c r="D983" s="65" t="str">
        <f t="shared" si="30"/>
        <v>Y</v>
      </c>
      <c r="E983" t="s">
        <v>1314</v>
      </c>
      <c r="F983" s="25" t="s">
        <v>299</v>
      </c>
      <c r="G983" s="26">
        <v>4</v>
      </c>
      <c r="H983" s="7" t="s">
        <v>291</v>
      </c>
      <c r="I983" s="7" t="s">
        <v>292</v>
      </c>
      <c r="J983" s="1">
        <v>1</v>
      </c>
      <c r="K983" s="1">
        <v>5</v>
      </c>
      <c r="L983" s="67">
        <f t="shared" si="31"/>
        <v>0</v>
      </c>
    </row>
    <row r="984" spans="1:12" x14ac:dyDescent="0.2">
      <c r="A984">
        <v>983</v>
      </c>
      <c r="B984" s="7" t="s">
        <v>372</v>
      </c>
      <c r="C984" t="s">
        <v>1311</v>
      </c>
      <c r="D984" s="65" t="str">
        <f t="shared" si="30"/>
        <v>Y</v>
      </c>
      <c r="E984" t="s">
        <v>1314</v>
      </c>
      <c r="F984" s="25" t="s">
        <v>299</v>
      </c>
      <c r="G984" s="26">
        <v>4</v>
      </c>
      <c r="H984" s="7" t="s">
        <v>291</v>
      </c>
      <c r="I984" s="7" t="s">
        <v>292</v>
      </c>
      <c r="J984" s="1">
        <v>1</v>
      </c>
      <c r="K984" s="1">
        <v>5</v>
      </c>
      <c r="L984" s="67">
        <f t="shared" si="31"/>
        <v>0</v>
      </c>
    </row>
    <row r="985" spans="1:12" x14ac:dyDescent="0.2">
      <c r="A985">
        <v>984</v>
      </c>
      <c r="B985" s="7" t="s">
        <v>356</v>
      </c>
      <c r="C985" t="s">
        <v>1311</v>
      </c>
      <c r="D985" s="65" t="str">
        <f t="shared" si="30"/>
        <v>Y</v>
      </c>
      <c r="E985" t="s">
        <v>1314</v>
      </c>
      <c r="F985" s="25" t="s">
        <v>299</v>
      </c>
      <c r="G985" s="26">
        <v>4</v>
      </c>
      <c r="H985" s="7" t="s">
        <v>291</v>
      </c>
      <c r="I985" s="7" t="s">
        <v>292</v>
      </c>
      <c r="J985" s="1">
        <v>1</v>
      </c>
      <c r="K985" s="1">
        <v>5</v>
      </c>
      <c r="L985" s="67">
        <f t="shared" si="31"/>
        <v>0</v>
      </c>
    </row>
    <row r="986" spans="1:12" x14ac:dyDescent="0.2">
      <c r="A986">
        <v>985</v>
      </c>
      <c r="B986" s="7" t="s">
        <v>372</v>
      </c>
      <c r="C986" t="s">
        <v>1311</v>
      </c>
      <c r="D986" s="65" t="str">
        <f t="shared" si="30"/>
        <v>Y</v>
      </c>
      <c r="E986" t="s">
        <v>1314</v>
      </c>
      <c r="F986" s="25" t="s">
        <v>299</v>
      </c>
      <c r="G986" s="26">
        <v>4</v>
      </c>
      <c r="H986" s="7" t="s">
        <v>299</v>
      </c>
      <c r="I986" s="7" t="s">
        <v>292</v>
      </c>
      <c r="J986" s="1">
        <v>4</v>
      </c>
      <c r="K986" s="1">
        <v>5</v>
      </c>
      <c r="L986" s="67">
        <f t="shared" si="31"/>
        <v>1</v>
      </c>
    </row>
    <row r="987" spans="1:12" x14ac:dyDescent="0.2">
      <c r="A987">
        <v>986</v>
      </c>
      <c r="B987" s="7" t="s">
        <v>372</v>
      </c>
      <c r="C987" t="s">
        <v>1311</v>
      </c>
      <c r="D987" s="65" t="str">
        <f t="shared" si="30"/>
        <v>Y</v>
      </c>
      <c r="E987" t="s">
        <v>1314</v>
      </c>
      <c r="F987" s="25" t="s">
        <v>299</v>
      </c>
      <c r="G987" s="26">
        <v>4</v>
      </c>
      <c r="H987" s="7" t="s">
        <v>293</v>
      </c>
      <c r="I987" s="7" t="s">
        <v>330</v>
      </c>
      <c r="J987" s="1">
        <v>2</v>
      </c>
      <c r="K987" s="1">
        <v>3</v>
      </c>
      <c r="L987" s="67">
        <f t="shared" si="31"/>
        <v>0</v>
      </c>
    </row>
    <row r="988" spans="1:12" x14ac:dyDescent="0.2">
      <c r="A988">
        <v>987</v>
      </c>
      <c r="B988" s="7" t="s">
        <v>372</v>
      </c>
      <c r="C988" t="s">
        <v>1311</v>
      </c>
      <c r="D988" s="65" t="str">
        <f t="shared" si="30"/>
        <v>Y</v>
      </c>
      <c r="E988" t="s">
        <v>1314</v>
      </c>
      <c r="F988" s="25" t="s">
        <v>299</v>
      </c>
      <c r="G988" s="26">
        <v>4</v>
      </c>
      <c r="H988" s="7" t="s">
        <v>291</v>
      </c>
      <c r="I988" s="7" t="s">
        <v>297</v>
      </c>
      <c r="J988" s="1">
        <v>1</v>
      </c>
      <c r="K988" s="1">
        <v>4</v>
      </c>
      <c r="L988" s="67">
        <f t="shared" si="31"/>
        <v>0</v>
      </c>
    </row>
    <row r="989" spans="1:12" x14ac:dyDescent="0.2">
      <c r="A989">
        <v>988</v>
      </c>
      <c r="B989" s="7" t="s">
        <v>356</v>
      </c>
      <c r="C989" t="s">
        <v>1311</v>
      </c>
      <c r="D989" s="65" t="str">
        <f t="shared" si="30"/>
        <v>Y</v>
      </c>
      <c r="E989" t="s">
        <v>1314</v>
      </c>
      <c r="F989" s="25" t="s">
        <v>299</v>
      </c>
      <c r="G989" s="26">
        <v>4</v>
      </c>
      <c r="H989" s="7" t="s">
        <v>291</v>
      </c>
      <c r="I989" s="7" t="s">
        <v>292</v>
      </c>
      <c r="J989" s="1">
        <v>1</v>
      </c>
      <c r="K989" s="1">
        <v>5</v>
      </c>
      <c r="L989" s="67">
        <f t="shared" si="31"/>
        <v>0</v>
      </c>
    </row>
    <row r="990" spans="1:12" x14ac:dyDescent="0.2">
      <c r="A990">
        <v>989</v>
      </c>
      <c r="B990" s="7" t="s">
        <v>372</v>
      </c>
      <c r="C990" t="s">
        <v>1311</v>
      </c>
      <c r="D990" s="65" t="str">
        <f t="shared" si="30"/>
        <v>Y</v>
      </c>
      <c r="E990" t="s">
        <v>1314</v>
      </c>
      <c r="F990" s="25" t="s">
        <v>299</v>
      </c>
      <c r="G990" s="26">
        <v>4</v>
      </c>
      <c r="H990" s="7" t="s">
        <v>291</v>
      </c>
      <c r="I990" s="7" t="s">
        <v>297</v>
      </c>
      <c r="J990" s="1">
        <v>1</v>
      </c>
      <c r="K990" s="1">
        <v>4</v>
      </c>
      <c r="L990" s="67">
        <f t="shared" si="31"/>
        <v>0</v>
      </c>
    </row>
    <row r="991" spans="1:12" x14ac:dyDescent="0.2">
      <c r="A991">
        <v>990</v>
      </c>
      <c r="B991" s="7" t="s">
        <v>356</v>
      </c>
      <c r="C991" t="s">
        <v>1311</v>
      </c>
      <c r="D991" s="65" t="str">
        <f t="shared" si="30"/>
        <v>Y</v>
      </c>
      <c r="E991" t="s">
        <v>1314</v>
      </c>
      <c r="F991" s="25" t="s">
        <v>299</v>
      </c>
      <c r="G991" s="26">
        <v>4</v>
      </c>
      <c r="H991" s="7" t="s">
        <v>298</v>
      </c>
      <c r="I991" s="7" t="s">
        <v>297</v>
      </c>
      <c r="J991" s="1">
        <v>3</v>
      </c>
      <c r="K991" s="1">
        <v>4</v>
      </c>
      <c r="L991" s="67">
        <f t="shared" si="31"/>
        <v>0</v>
      </c>
    </row>
    <row r="992" spans="1:12" x14ac:dyDescent="0.2">
      <c r="A992">
        <v>991</v>
      </c>
      <c r="B992" s="7" t="s">
        <v>356</v>
      </c>
      <c r="C992" t="s">
        <v>1311</v>
      </c>
      <c r="D992" s="65" t="str">
        <f t="shared" si="30"/>
        <v>Y</v>
      </c>
      <c r="E992" t="s">
        <v>1314</v>
      </c>
      <c r="F992" s="25" t="s">
        <v>299</v>
      </c>
      <c r="G992" s="26">
        <v>4</v>
      </c>
      <c r="H992" s="7" t="s">
        <v>291</v>
      </c>
      <c r="I992" s="7" t="s">
        <v>292</v>
      </c>
      <c r="J992" s="1">
        <v>1</v>
      </c>
      <c r="K992" s="1">
        <v>5</v>
      </c>
      <c r="L992" s="67">
        <f t="shared" si="31"/>
        <v>0</v>
      </c>
    </row>
    <row r="993" spans="1:12" x14ac:dyDescent="0.2">
      <c r="A993">
        <v>992</v>
      </c>
      <c r="B993" s="7" t="s">
        <v>372</v>
      </c>
      <c r="C993" t="s">
        <v>1311</v>
      </c>
      <c r="D993" s="65" t="str">
        <f t="shared" si="30"/>
        <v>Y</v>
      </c>
      <c r="E993" t="s">
        <v>1314</v>
      </c>
      <c r="F993" s="25" t="s">
        <v>299</v>
      </c>
      <c r="G993" s="26">
        <v>4</v>
      </c>
      <c r="H993" s="7" t="s">
        <v>299</v>
      </c>
      <c r="I993" s="7" t="s">
        <v>296</v>
      </c>
      <c r="J993" s="1">
        <v>4</v>
      </c>
      <c r="K993" s="1">
        <v>6</v>
      </c>
      <c r="L993" s="67">
        <f t="shared" si="31"/>
        <v>1</v>
      </c>
    </row>
    <row r="994" spans="1:12" x14ac:dyDescent="0.2">
      <c r="A994">
        <v>993</v>
      </c>
      <c r="B994" s="7" t="s">
        <v>372</v>
      </c>
      <c r="C994" t="s">
        <v>1311</v>
      </c>
      <c r="D994" s="65" t="str">
        <f t="shared" si="30"/>
        <v>Y</v>
      </c>
      <c r="E994" t="s">
        <v>1314</v>
      </c>
      <c r="F994" s="25" t="s">
        <v>299</v>
      </c>
      <c r="G994" s="26">
        <v>4</v>
      </c>
      <c r="H994" s="7" t="s">
        <v>291</v>
      </c>
      <c r="I994" s="7" t="s">
        <v>292</v>
      </c>
      <c r="J994" s="1">
        <v>1</v>
      </c>
      <c r="K994" s="1">
        <v>5</v>
      </c>
      <c r="L994" s="67">
        <f t="shared" si="31"/>
        <v>0</v>
      </c>
    </row>
    <row r="995" spans="1:12" x14ac:dyDescent="0.2">
      <c r="A995">
        <v>994</v>
      </c>
      <c r="B995" s="7" t="s">
        <v>356</v>
      </c>
      <c r="C995" t="s">
        <v>1311</v>
      </c>
      <c r="D995" s="65" t="str">
        <f t="shared" si="30"/>
        <v>Y</v>
      </c>
      <c r="E995" t="s">
        <v>1314</v>
      </c>
      <c r="F995" s="25" t="s">
        <v>299</v>
      </c>
      <c r="G995" s="26">
        <v>4</v>
      </c>
      <c r="H995" s="7" t="s">
        <v>291</v>
      </c>
      <c r="I995" s="7" t="s">
        <v>292</v>
      </c>
      <c r="J995" s="1">
        <v>1</v>
      </c>
      <c r="K995" s="1">
        <v>5</v>
      </c>
      <c r="L995" s="67">
        <f t="shared" si="31"/>
        <v>0</v>
      </c>
    </row>
    <row r="996" spans="1:12" x14ac:dyDescent="0.2">
      <c r="A996">
        <v>995</v>
      </c>
      <c r="B996" s="7" t="s">
        <v>372</v>
      </c>
      <c r="C996" t="s">
        <v>1311</v>
      </c>
      <c r="D996" s="65" t="str">
        <f t="shared" si="30"/>
        <v>Y</v>
      </c>
      <c r="E996" t="s">
        <v>1314</v>
      </c>
      <c r="F996" s="25" t="s">
        <v>299</v>
      </c>
      <c r="G996" s="26">
        <v>4</v>
      </c>
      <c r="H996" s="7" t="s">
        <v>291</v>
      </c>
      <c r="I996" s="7" t="s">
        <v>296</v>
      </c>
      <c r="J996" s="1">
        <v>1</v>
      </c>
      <c r="K996" s="1">
        <v>6</v>
      </c>
      <c r="L996" s="67">
        <f t="shared" si="31"/>
        <v>0</v>
      </c>
    </row>
    <row r="997" spans="1:12" x14ac:dyDescent="0.2">
      <c r="A997">
        <v>996</v>
      </c>
      <c r="B997" s="7" t="s">
        <v>356</v>
      </c>
      <c r="C997" t="s">
        <v>1311</v>
      </c>
      <c r="D997" s="65" t="str">
        <f t="shared" si="30"/>
        <v>Y</v>
      </c>
      <c r="E997" t="s">
        <v>1314</v>
      </c>
      <c r="F997" s="25" t="s">
        <v>299</v>
      </c>
      <c r="G997" s="26">
        <v>4</v>
      </c>
      <c r="H997" s="7" t="s">
        <v>295</v>
      </c>
      <c r="I997" s="7" t="s">
        <v>297</v>
      </c>
      <c r="J997" s="1">
        <v>5</v>
      </c>
      <c r="K997" s="1">
        <v>4</v>
      </c>
      <c r="L997" s="67">
        <f t="shared" si="31"/>
        <v>0</v>
      </c>
    </row>
    <row r="998" spans="1:12" x14ac:dyDescent="0.2">
      <c r="A998">
        <v>997</v>
      </c>
      <c r="B998" s="7" t="s">
        <v>372</v>
      </c>
      <c r="C998" t="s">
        <v>1311</v>
      </c>
      <c r="D998" s="65" t="str">
        <f t="shared" si="30"/>
        <v>Y</v>
      </c>
      <c r="E998" t="s">
        <v>1314</v>
      </c>
      <c r="F998" s="25" t="s">
        <v>299</v>
      </c>
      <c r="G998" s="26">
        <v>4</v>
      </c>
      <c r="H998" s="7" t="s">
        <v>291</v>
      </c>
      <c r="I998" s="7" t="s">
        <v>297</v>
      </c>
      <c r="J998" s="1">
        <v>1</v>
      </c>
      <c r="K998" s="1">
        <v>4</v>
      </c>
      <c r="L998" s="67">
        <f t="shared" si="31"/>
        <v>0</v>
      </c>
    </row>
    <row r="999" spans="1:12" x14ac:dyDescent="0.2">
      <c r="A999">
        <v>998</v>
      </c>
      <c r="B999" s="7" t="s">
        <v>372</v>
      </c>
      <c r="C999" t="s">
        <v>1311</v>
      </c>
      <c r="D999" s="65" t="str">
        <f t="shared" si="30"/>
        <v>Y</v>
      </c>
      <c r="E999" t="s">
        <v>1314</v>
      </c>
      <c r="F999" s="25" t="s">
        <v>299</v>
      </c>
      <c r="G999" s="26">
        <v>4</v>
      </c>
      <c r="H999" s="7" t="s">
        <v>293</v>
      </c>
      <c r="I999" s="7" t="s">
        <v>292</v>
      </c>
      <c r="J999" s="1">
        <v>2</v>
      </c>
      <c r="K999" s="1">
        <v>5</v>
      </c>
      <c r="L999" s="67">
        <f t="shared" si="31"/>
        <v>0</v>
      </c>
    </row>
    <row r="1000" spans="1:12" x14ac:dyDescent="0.2">
      <c r="A1000">
        <v>999</v>
      </c>
      <c r="B1000" s="7" t="s">
        <v>356</v>
      </c>
      <c r="C1000" t="s">
        <v>1311</v>
      </c>
      <c r="D1000" s="65" t="str">
        <f t="shared" si="30"/>
        <v>Y</v>
      </c>
      <c r="E1000" t="s">
        <v>1314</v>
      </c>
      <c r="F1000" s="25" t="s">
        <v>299</v>
      </c>
      <c r="G1000" s="26">
        <v>4</v>
      </c>
      <c r="H1000" s="7" t="s">
        <v>291</v>
      </c>
      <c r="I1000" s="7" t="s">
        <v>296</v>
      </c>
      <c r="J1000" s="1">
        <v>1</v>
      </c>
      <c r="K1000" s="1">
        <v>6</v>
      </c>
      <c r="L1000" s="67">
        <f t="shared" si="31"/>
        <v>0</v>
      </c>
    </row>
    <row r="1001" spans="1:12" x14ac:dyDescent="0.2">
      <c r="A1001">
        <v>1000</v>
      </c>
      <c r="B1001" s="7" t="s">
        <v>372</v>
      </c>
      <c r="C1001" t="s">
        <v>1311</v>
      </c>
      <c r="D1001" s="65" t="str">
        <f t="shared" si="30"/>
        <v>Y</v>
      </c>
      <c r="E1001" t="s">
        <v>1314</v>
      </c>
      <c r="F1001" s="25" t="s">
        <v>299</v>
      </c>
      <c r="G1001" s="26">
        <v>4</v>
      </c>
      <c r="H1001" s="7" t="s">
        <v>291</v>
      </c>
      <c r="I1001" s="7" t="s">
        <v>292</v>
      </c>
      <c r="J1001" s="1">
        <v>1</v>
      </c>
      <c r="K1001" s="1">
        <v>5</v>
      </c>
      <c r="L1001" s="67">
        <f t="shared" si="31"/>
        <v>0</v>
      </c>
    </row>
    <row r="1002" spans="1:12" x14ac:dyDescent="0.2">
      <c r="A1002">
        <v>1001</v>
      </c>
      <c r="B1002" s="7" t="s">
        <v>356</v>
      </c>
      <c r="C1002" t="s">
        <v>1311</v>
      </c>
      <c r="D1002" s="65" t="str">
        <f t="shared" si="30"/>
        <v>Y</v>
      </c>
      <c r="E1002" t="s">
        <v>1314</v>
      </c>
      <c r="F1002" s="25" t="s">
        <v>299</v>
      </c>
      <c r="G1002" s="26">
        <v>4</v>
      </c>
      <c r="H1002" s="7" t="s">
        <v>291</v>
      </c>
      <c r="I1002" s="7" t="s">
        <v>292</v>
      </c>
      <c r="J1002" s="1">
        <v>1</v>
      </c>
      <c r="K1002" s="1">
        <v>5</v>
      </c>
      <c r="L1002" s="67">
        <f t="shared" si="31"/>
        <v>0</v>
      </c>
    </row>
    <row r="1003" spans="1:12" x14ac:dyDescent="0.2">
      <c r="A1003">
        <v>1002</v>
      </c>
      <c r="B1003" s="7" t="s">
        <v>356</v>
      </c>
      <c r="C1003" t="s">
        <v>1311</v>
      </c>
      <c r="D1003" s="65" t="str">
        <f t="shared" si="30"/>
        <v>Y</v>
      </c>
      <c r="E1003" t="s">
        <v>1314</v>
      </c>
      <c r="F1003" s="25" t="s">
        <v>299</v>
      </c>
      <c r="G1003" s="26">
        <v>4</v>
      </c>
      <c r="H1003" s="7" t="s">
        <v>293</v>
      </c>
      <c r="I1003" s="7" t="s">
        <v>296</v>
      </c>
      <c r="J1003" s="1">
        <v>2</v>
      </c>
      <c r="K1003" s="1">
        <v>6</v>
      </c>
      <c r="L1003" s="67">
        <f t="shared" si="31"/>
        <v>0</v>
      </c>
    </row>
    <row r="1004" spans="1:12" x14ac:dyDescent="0.2">
      <c r="A1004">
        <v>1003</v>
      </c>
      <c r="B1004" s="7" t="s">
        <v>372</v>
      </c>
      <c r="C1004" t="s">
        <v>1311</v>
      </c>
      <c r="D1004" s="65" t="str">
        <f t="shared" si="30"/>
        <v>Y</v>
      </c>
      <c r="E1004" t="s">
        <v>1314</v>
      </c>
      <c r="F1004" s="25" t="s">
        <v>299</v>
      </c>
      <c r="G1004" s="26">
        <v>4</v>
      </c>
      <c r="H1004" s="7" t="s">
        <v>291</v>
      </c>
      <c r="I1004" s="7" t="s">
        <v>292</v>
      </c>
      <c r="J1004" s="1">
        <v>1</v>
      </c>
      <c r="K1004" s="1">
        <v>5</v>
      </c>
      <c r="L1004" s="67">
        <f t="shared" si="31"/>
        <v>0</v>
      </c>
    </row>
    <row r="1005" spans="1:12" x14ac:dyDescent="0.2">
      <c r="A1005">
        <v>1004</v>
      </c>
      <c r="B1005" s="7" t="s">
        <v>356</v>
      </c>
      <c r="C1005" t="s">
        <v>1311</v>
      </c>
      <c r="D1005" s="65" t="str">
        <f t="shared" si="30"/>
        <v>Y</v>
      </c>
      <c r="E1005" t="s">
        <v>1314</v>
      </c>
      <c r="F1005" s="25" t="s">
        <v>299</v>
      </c>
      <c r="G1005" s="26">
        <v>4</v>
      </c>
      <c r="H1005" s="7" t="s">
        <v>291</v>
      </c>
      <c r="I1005" s="7" t="s">
        <v>297</v>
      </c>
      <c r="J1005" s="1">
        <v>1</v>
      </c>
      <c r="K1005" s="1">
        <v>4</v>
      </c>
      <c r="L1005" s="67">
        <f t="shared" si="31"/>
        <v>0</v>
      </c>
    </row>
    <row r="1006" spans="1:12" x14ac:dyDescent="0.2">
      <c r="A1006">
        <v>1005</v>
      </c>
      <c r="B1006" s="7" t="s">
        <v>372</v>
      </c>
      <c r="C1006" t="s">
        <v>1311</v>
      </c>
      <c r="D1006" s="65" t="str">
        <f t="shared" si="30"/>
        <v>Y</v>
      </c>
      <c r="E1006" t="s">
        <v>1314</v>
      </c>
      <c r="F1006" s="25" t="s">
        <v>299</v>
      </c>
      <c r="G1006" s="26">
        <v>4</v>
      </c>
      <c r="H1006" s="7" t="s">
        <v>282</v>
      </c>
      <c r="I1006" s="7" t="s">
        <v>330</v>
      </c>
      <c r="J1006" s="4" t="s">
        <v>282</v>
      </c>
      <c r="K1006" s="1">
        <v>3</v>
      </c>
      <c r="L1006" s="67">
        <f t="shared" si="31"/>
        <v>0</v>
      </c>
    </row>
    <row r="1007" spans="1:12" x14ac:dyDescent="0.2">
      <c r="A1007">
        <v>1006</v>
      </c>
      <c r="B1007" s="7" t="s">
        <v>356</v>
      </c>
      <c r="C1007" t="s">
        <v>1311</v>
      </c>
      <c r="D1007" s="65" t="str">
        <f t="shared" si="30"/>
        <v>Y</v>
      </c>
      <c r="E1007" t="s">
        <v>1314</v>
      </c>
      <c r="F1007" s="25" t="s">
        <v>299</v>
      </c>
      <c r="G1007" s="26">
        <v>4</v>
      </c>
      <c r="H1007" s="7" t="s">
        <v>291</v>
      </c>
      <c r="I1007" s="7" t="s">
        <v>292</v>
      </c>
      <c r="J1007" s="1">
        <v>1</v>
      </c>
      <c r="K1007" s="1">
        <v>5</v>
      </c>
      <c r="L1007" s="67">
        <f t="shared" si="31"/>
        <v>0</v>
      </c>
    </row>
    <row r="1008" spans="1:12" x14ac:dyDescent="0.2">
      <c r="A1008">
        <v>1007</v>
      </c>
      <c r="B1008" s="7" t="s">
        <v>372</v>
      </c>
      <c r="C1008" t="s">
        <v>1311</v>
      </c>
      <c r="D1008" s="65" t="str">
        <f t="shared" si="30"/>
        <v>Y</v>
      </c>
      <c r="E1008" t="s">
        <v>1314</v>
      </c>
      <c r="F1008" s="25" t="s">
        <v>299</v>
      </c>
      <c r="G1008" s="26">
        <v>4</v>
      </c>
      <c r="H1008" s="7" t="s">
        <v>291</v>
      </c>
      <c r="I1008" s="7" t="s">
        <v>294</v>
      </c>
      <c r="J1008" s="1">
        <v>1</v>
      </c>
      <c r="K1008" s="1">
        <v>7</v>
      </c>
      <c r="L1008" s="67">
        <f t="shared" si="31"/>
        <v>0</v>
      </c>
    </row>
    <row r="1009" spans="1:12" x14ac:dyDescent="0.2">
      <c r="A1009">
        <v>1008</v>
      </c>
      <c r="B1009" s="7" t="s">
        <v>356</v>
      </c>
      <c r="C1009" t="s">
        <v>1311</v>
      </c>
      <c r="D1009" s="65" t="str">
        <f t="shared" si="30"/>
        <v>Y</v>
      </c>
      <c r="E1009" t="s">
        <v>1314</v>
      </c>
      <c r="F1009" s="25" t="s">
        <v>299</v>
      </c>
      <c r="G1009" s="26">
        <v>4</v>
      </c>
      <c r="H1009" s="7" t="s">
        <v>291</v>
      </c>
      <c r="I1009" s="7" t="s">
        <v>296</v>
      </c>
      <c r="J1009" s="1">
        <v>1</v>
      </c>
      <c r="K1009" s="1">
        <v>6</v>
      </c>
      <c r="L1009" s="67">
        <f t="shared" si="31"/>
        <v>0</v>
      </c>
    </row>
    <row r="1010" spans="1:12" x14ac:dyDescent="0.2">
      <c r="A1010">
        <v>1009</v>
      </c>
      <c r="B1010" s="7" t="s">
        <v>372</v>
      </c>
      <c r="C1010" t="s">
        <v>1311</v>
      </c>
      <c r="D1010" s="65" t="str">
        <f t="shared" si="30"/>
        <v>Y</v>
      </c>
      <c r="E1010" t="s">
        <v>1314</v>
      </c>
      <c r="F1010" s="25" t="s">
        <v>299</v>
      </c>
      <c r="G1010" s="26">
        <v>4</v>
      </c>
      <c r="H1010" s="7" t="s">
        <v>282</v>
      </c>
      <c r="I1010" s="7" t="s">
        <v>294</v>
      </c>
      <c r="J1010" s="4" t="s">
        <v>282</v>
      </c>
      <c r="K1010" s="1">
        <v>7</v>
      </c>
      <c r="L1010" s="67">
        <f t="shared" si="31"/>
        <v>0</v>
      </c>
    </row>
    <row r="1011" spans="1:12" x14ac:dyDescent="0.2">
      <c r="A1011">
        <v>1010</v>
      </c>
      <c r="B1011" s="7" t="s">
        <v>372</v>
      </c>
      <c r="C1011" t="s">
        <v>1311</v>
      </c>
      <c r="D1011" s="65" t="str">
        <f t="shared" si="30"/>
        <v>Y</v>
      </c>
      <c r="E1011" t="s">
        <v>1314</v>
      </c>
      <c r="F1011" s="25" t="s">
        <v>299</v>
      </c>
      <c r="G1011" s="26">
        <v>4</v>
      </c>
      <c r="H1011" s="7" t="s">
        <v>293</v>
      </c>
      <c r="I1011" s="7" t="s">
        <v>294</v>
      </c>
      <c r="J1011" s="1">
        <v>2</v>
      </c>
      <c r="K1011" s="1">
        <v>7</v>
      </c>
      <c r="L1011" s="67">
        <f t="shared" si="31"/>
        <v>0</v>
      </c>
    </row>
    <row r="1012" spans="1:12" x14ac:dyDescent="0.2">
      <c r="A1012">
        <v>1011</v>
      </c>
      <c r="B1012" s="7" t="s">
        <v>356</v>
      </c>
      <c r="C1012" t="s">
        <v>1311</v>
      </c>
      <c r="D1012" s="65" t="str">
        <f t="shared" si="30"/>
        <v>Y</v>
      </c>
      <c r="E1012" t="s">
        <v>1314</v>
      </c>
      <c r="F1012" s="25" t="s">
        <v>299</v>
      </c>
      <c r="G1012" s="26">
        <v>4</v>
      </c>
      <c r="H1012" s="7" t="s">
        <v>282</v>
      </c>
      <c r="I1012" s="7" t="s">
        <v>297</v>
      </c>
      <c r="J1012" s="4" t="s">
        <v>282</v>
      </c>
      <c r="K1012" s="1">
        <v>4</v>
      </c>
      <c r="L1012" s="67">
        <f t="shared" si="31"/>
        <v>0</v>
      </c>
    </row>
    <row r="1013" spans="1:12" x14ac:dyDescent="0.2">
      <c r="A1013">
        <v>1012</v>
      </c>
      <c r="B1013" s="7" t="s">
        <v>356</v>
      </c>
      <c r="C1013" t="s">
        <v>1311</v>
      </c>
      <c r="D1013" s="65" t="str">
        <f t="shared" si="30"/>
        <v>Y</v>
      </c>
      <c r="E1013" t="s">
        <v>1314</v>
      </c>
      <c r="F1013" s="25" t="s">
        <v>299</v>
      </c>
      <c r="G1013" s="26">
        <v>4</v>
      </c>
      <c r="H1013" s="7" t="s">
        <v>298</v>
      </c>
      <c r="I1013" s="7" t="s">
        <v>330</v>
      </c>
      <c r="J1013" s="1">
        <v>3</v>
      </c>
      <c r="K1013" s="1">
        <v>3</v>
      </c>
      <c r="L1013" s="67">
        <f t="shared" si="31"/>
        <v>0</v>
      </c>
    </row>
    <row r="1014" spans="1:12" x14ac:dyDescent="0.2">
      <c r="A1014">
        <v>1013</v>
      </c>
      <c r="B1014" s="7" t="s">
        <v>372</v>
      </c>
      <c r="C1014" t="s">
        <v>1311</v>
      </c>
      <c r="D1014" s="65" t="str">
        <f t="shared" si="30"/>
        <v>Y</v>
      </c>
      <c r="E1014" t="s">
        <v>1314</v>
      </c>
      <c r="F1014" s="25" t="s">
        <v>299</v>
      </c>
      <c r="G1014" s="26">
        <v>4</v>
      </c>
      <c r="H1014" s="7" t="s">
        <v>291</v>
      </c>
      <c r="I1014" s="7" t="s">
        <v>296</v>
      </c>
      <c r="J1014" s="1">
        <v>1</v>
      </c>
      <c r="K1014" s="1">
        <v>6</v>
      </c>
      <c r="L1014" s="67">
        <f t="shared" si="31"/>
        <v>0</v>
      </c>
    </row>
    <row r="1015" spans="1:12" x14ac:dyDescent="0.2">
      <c r="A1015">
        <v>1014</v>
      </c>
      <c r="B1015" s="7" t="s">
        <v>372</v>
      </c>
      <c r="C1015" t="s">
        <v>1311</v>
      </c>
      <c r="D1015" s="65" t="str">
        <f t="shared" si="30"/>
        <v>Y</v>
      </c>
      <c r="E1015" t="s">
        <v>1314</v>
      </c>
      <c r="F1015" s="25" t="s">
        <v>299</v>
      </c>
      <c r="G1015" s="26">
        <v>4</v>
      </c>
      <c r="H1015" s="7" t="s">
        <v>295</v>
      </c>
      <c r="I1015" s="7" t="s">
        <v>292</v>
      </c>
      <c r="J1015" s="1">
        <v>5</v>
      </c>
      <c r="K1015" s="1">
        <v>5</v>
      </c>
      <c r="L1015" s="67">
        <f t="shared" si="31"/>
        <v>0</v>
      </c>
    </row>
    <row r="1016" spans="1:12" x14ac:dyDescent="0.2">
      <c r="A1016">
        <v>1015</v>
      </c>
      <c r="B1016" s="7" t="s">
        <v>356</v>
      </c>
      <c r="C1016" t="s">
        <v>1311</v>
      </c>
      <c r="D1016" s="65" t="str">
        <f t="shared" si="30"/>
        <v>Y</v>
      </c>
      <c r="E1016" t="s">
        <v>1314</v>
      </c>
      <c r="F1016" s="25" t="s">
        <v>299</v>
      </c>
      <c r="G1016" s="26">
        <v>4</v>
      </c>
      <c r="H1016" s="7" t="s">
        <v>291</v>
      </c>
      <c r="I1016" s="7" t="s">
        <v>297</v>
      </c>
      <c r="J1016" s="1">
        <v>1</v>
      </c>
      <c r="K1016" s="1">
        <v>4</v>
      </c>
      <c r="L1016" s="67">
        <f t="shared" si="31"/>
        <v>0</v>
      </c>
    </row>
    <row r="1017" spans="1:12" x14ac:dyDescent="0.2">
      <c r="A1017">
        <v>1016</v>
      </c>
      <c r="B1017" s="7" t="s">
        <v>372</v>
      </c>
      <c r="C1017" t="s">
        <v>1311</v>
      </c>
      <c r="D1017" s="65" t="str">
        <f t="shared" si="30"/>
        <v>Y</v>
      </c>
      <c r="E1017" t="s">
        <v>1314</v>
      </c>
      <c r="F1017" s="25" t="s">
        <v>299</v>
      </c>
      <c r="G1017" s="26">
        <v>4</v>
      </c>
      <c r="H1017" s="7" t="s">
        <v>299</v>
      </c>
      <c r="I1017" s="7" t="s">
        <v>292</v>
      </c>
      <c r="J1017" s="1">
        <v>4</v>
      </c>
      <c r="K1017" s="1">
        <v>5</v>
      </c>
      <c r="L1017" s="67">
        <f t="shared" si="31"/>
        <v>1</v>
      </c>
    </row>
    <row r="1018" spans="1:12" x14ac:dyDescent="0.2">
      <c r="A1018">
        <v>1017</v>
      </c>
      <c r="B1018" s="7" t="s">
        <v>356</v>
      </c>
      <c r="C1018" t="s">
        <v>1311</v>
      </c>
      <c r="D1018" s="65" t="str">
        <f t="shared" si="30"/>
        <v>Y</v>
      </c>
      <c r="E1018" t="s">
        <v>1314</v>
      </c>
      <c r="F1018" s="25" t="s">
        <v>299</v>
      </c>
      <c r="G1018" s="26">
        <v>4</v>
      </c>
      <c r="H1018" s="7" t="s">
        <v>291</v>
      </c>
      <c r="I1018" s="7" t="s">
        <v>296</v>
      </c>
      <c r="J1018" s="1">
        <v>1</v>
      </c>
      <c r="K1018" s="1">
        <v>6</v>
      </c>
      <c r="L1018" s="67">
        <f t="shared" si="31"/>
        <v>0</v>
      </c>
    </row>
    <row r="1019" spans="1:12" x14ac:dyDescent="0.2">
      <c r="A1019">
        <v>1018</v>
      </c>
      <c r="B1019" s="7" t="s">
        <v>356</v>
      </c>
      <c r="C1019" t="s">
        <v>1311</v>
      </c>
      <c r="D1019" s="65" t="str">
        <f t="shared" si="30"/>
        <v>Y</v>
      </c>
      <c r="E1019" t="s">
        <v>1314</v>
      </c>
      <c r="F1019" s="25" t="s">
        <v>299</v>
      </c>
      <c r="G1019" s="26">
        <v>4</v>
      </c>
      <c r="H1019" s="7" t="s">
        <v>298</v>
      </c>
      <c r="I1019" s="7" t="s">
        <v>292</v>
      </c>
      <c r="J1019" s="1">
        <v>3</v>
      </c>
      <c r="K1019" s="1">
        <v>5</v>
      </c>
      <c r="L1019" s="67">
        <f t="shared" si="31"/>
        <v>0</v>
      </c>
    </row>
    <row r="1020" spans="1:12" x14ac:dyDescent="0.2">
      <c r="A1020">
        <v>1019</v>
      </c>
      <c r="B1020" s="7" t="s">
        <v>372</v>
      </c>
      <c r="C1020" t="s">
        <v>1311</v>
      </c>
      <c r="D1020" s="65" t="str">
        <f t="shared" si="30"/>
        <v>Y</v>
      </c>
      <c r="E1020" t="s">
        <v>1314</v>
      </c>
      <c r="F1020" s="25" t="s">
        <v>299</v>
      </c>
      <c r="G1020" s="26">
        <v>4</v>
      </c>
      <c r="H1020" s="7" t="s">
        <v>291</v>
      </c>
      <c r="I1020" s="7" t="s">
        <v>296</v>
      </c>
      <c r="J1020" s="1">
        <v>1</v>
      </c>
      <c r="K1020" s="1">
        <v>6</v>
      </c>
      <c r="L1020" s="67">
        <f t="shared" si="31"/>
        <v>0</v>
      </c>
    </row>
    <row r="1021" spans="1:12" x14ac:dyDescent="0.2">
      <c r="A1021">
        <v>1020</v>
      </c>
      <c r="B1021" s="7" t="s">
        <v>372</v>
      </c>
      <c r="C1021" t="s">
        <v>1311</v>
      </c>
      <c r="D1021" s="65" t="str">
        <f t="shared" si="30"/>
        <v>Y</v>
      </c>
      <c r="E1021" t="s">
        <v>1314</v>
      </c>
      <c r="F1021" s="25" t="s">
        <v>299</v>
      </c>
      <c r="G1021" s="26">
        <v>4</v>
      </c>
      <c r="H1021" s="7" t="s">
        <v>298</v>
      </c>
      <c r="I1021" s="7" t="s">
        <v>292</v>
      </c>
      <c r="J1021" s="1">
        <v>3</v>
      </c>
      <c r="K1021" s="1">
        <v>5</v>
      </c>
      <c r="L1021" s="67">
        <f t="shared" si="31"/>
        <v>0</v>
      </c>
    </row>
    <row r="1022" spans="1:12" x14ac:dyDescent="0.2">
      <c r="A1022">
        <v>1021</v>
      </c>
      <c r="B1022" s="7" t="s">
        <v>356</v>
      </c>
      <c r="C1022" t="s">
        <v>1311</v>
      </c>
      <c r="D1022" s="65" t="str">
        <f t="shared" si="30"/>
        <v>Y</v>
      </c>
      <c r="E1022" t="s">
        <v>1314</v>
      </c>
      <c r="F1022" s="25" t="s">
        <v>299</v>
      </c>
      <c r="G1022" s="26">
        <v>4</v>
      </c>
      <c r="H1022" s="7" t="s">
        <v>293</v>
      </c>
      <c r="I1022" s="7" t="s">
        <v>292</v>
      </c>
      <c r="J1022" s="1">
        <v>2</v>
      </c>
      <c r="K1022" s="1">
        <v>5</v>
      </c>
      <c r="L1022" s="67">
        <f t="shared" si="31"/>
        <v>0</v>
      </c>
    </row>
    <row r="1023" spans="1:12" x14ac:dyDescent="0.2">
      <c r="A1023">
        <v>1022</v>
      </c>
      <c r="B1023" s="7" t="s">
        <v>356</v>
      </c>
      <c r="C1023" t="s">
        <v>1311</v>
      </c>
      <c r="D1023" s="65" t="str">
        <f t="shared" si="30"/>
        <v>Y</v>
      </c>
      <c r="E1023" t="s">
        <v>1314</v>
      </c>
      <c r="F1023" s="25" t="s">
        <v>299</v>
      </c>
      <c r="G1023" s="26">
        <v>4</v>
      </c>
      <c r="H1023" s="7" t="s">
        <v>282</v>
      </c>
      <c r="I1023" s="7" t="s">
        <v>292</v>
      </c>
      <c r="J1023" s="4" t="s">
        <v>282</v>
      </c>
      <c r="K1023" s="1">
        <v>5</v>
      </c>
      <c r="L1023" s="67">
        <f t="shared" si="31"/>
        <v>0</v>
      </c>
    </row>
    <row r="1024" spans="1:12" x14ac:dyDescent="0.2">
      <c r="A1024">
        <v>1023</v>
      </c>
      <c r="B1024" s="7" t="s">
        <v>372</v>
      </c>
      <c r="C1024" t="s">
        <v>1311</v>
      </c>
      <c r="D1024" s="65" t="str">
        <f t="shared" si="30"/>
        <v>Y</v>
      </c>
      <c r="E1024" t="s">
        <v>1314</v>
      </c>
      <c r="F1024" s="25" t="s">
        <v>299</v>
      </c>
      <c r="G1024" s="26">
        <v>4</v>
      </c>
      <c r="H1024" s="7" t="s">
        <v>299</v>
      </c>
      <c r="I1024" s="7" t="s">
        <v>330</v>
      </c>
      <c r="J1024" s="1">
        <v>4</v>
      </c>
      <c r="K1024" s="1">
        <v>3</v>
      </c>
      <c r="L1024" s="67">
        <f t="shared" si="31"/>
        <v>1</v>
      </c>
    </row>
    <row r="1025" spans="1:12" x14ac:dyDescent="0.2">
      <c r="A1025">
        <v>1024</v>
      </c>
      <c r="B1025" s="7" t="s">
        <v>356</v>
      </c>
      <c r="C1025" t="s">
        <v>1311</v>
      </c>
      <c r="D1025" s="65" t="str">
        <f t="shared" si="30"/>
        <v>Y</v>
      </c>
      <c r="E1025" t="s">
        <v>1314</v>
      </c>
      <c r="F1025" s="25" t="s">
        <v>299</v>
      </c>
      <c r="G1025" s="26">
        <v>4</v>
      </c>
      <c r="H1025" s="7" t="s">
        <v>298</v>
      </c>
      <c r="I1025" s="7" t="s">
        <v>330</v>
      </c>
      <c r="J1025" s="1">
        <v>3</v>
      </c>
      <c r="K1025" s="1">
        <v>3</v>
      </c>
      <c r="L1025" s="67">
        <f t="shared" si="31"/>
        <v>0</v>
      </c>
    </row>
    <row r="1026" spans="1:12" x14ac:dyDescent="0.2">
      <c r="A1026">
        <v>1025</v>
      </c>
      <c r="B1026" s="7" t="s">
        <v>372</v>
      </c>
      <c r="C1026" t="s">
        <v>1311</v>
      </c>
      <c r="D1026" s="65" t="str">
        <f t="shared" si="30"/>
        <v>Y</v>
      </c>
      <c r="E1026" t="s">
        <v>1314</v>
      </c>
      <c r="F1026" s="25" t="s">
        <v>299</v>
      </c>
      <c r="G1026" s="26">
        <v>4</v>
      </c>
      <c r="H1026" s="7" t="s">
        <v>293</v>
      </c>
      <c r="I1026" s="7" t="s">
        <v>296</v>
      </c>
      <c r="J1026" s="1">
        <v>2</v>
      </c>
      <c r="K1026" s="1">
        <v>6</v>
      </c>
      <c r="L1026" s="67">
        <f t="shared" si="31"/>
        <v>0</v>
      </c>
    </row>
    <row r="1027" spans="1:12" x14ac:dyDescent="0.2">
      <c r="A1027">
        <v>1026</v>
      </c>
      <c r="B1027" s="7" t="s">
        <v>356</v>
      </c>
      <c r="C1027" t="s">
        <v>1311</v>
      </c>
      <c r="D1027" s="65" t="str">
        <f t="shared" ref="D1027:D1090" si="32">IF($E1027="iso", "N", IF(OR($E1027="non", $E1027="emd", $E1027="dyn"), "Y", "ERROR"))</f>
        <v>Y</v>
      </c>
      <c r="E1027" t="s">
        <v>1314</v>
      </c>
      <c r="F1027" s="25" t="s">
        <v>299</v>
      </c>
      <c r="G1027" s="26">
        <v>4</v>
      </c>
      <c r="H1027" s="7" t="s">
        <v>299</v>
      </c>
      <c r="I1027" s="7" t="s">
        <v>292</v>
      </c>
      <c r="J1027" s="1">
        <v>4</v>
      </c>
      <c r="K1027" s="1">
        <v>5</v>
      </c>
      <c r="L1027" s="67">
        <f t="shared" ref="L1027:L1090" si="33">IF(G1027=J1027, 1, 0)</f>
        <v>1</v>
      </c>
    </row>
    <row r="1028" spans="1:12" x14ac:dyDescent="0.2">
      <c r="A1028">
        <v>1027</v>
      </c>
      <c r="B1028" s="7" t="s">
        <v>372</v>
      </c>
      <c r="C1028" t="s">
        <v>1311</v>
      </c>
      <c r="D1028" s="65" t="str">
        <f t="shared" si="32"/>
        <v>Y</v>
      </c>
      <c r="E1028" t="s">
        <v>1314</v>
      </c>
      <c r="F1028" s="25" t="s">
        <v>299</v>
      </c>
      <c r="G1028" s="26">
        <v>4</v>
      </c>
      <c r="H1028" s="7" t="s">
        <v>299</v>
      </c>
      <c r="I1028" s="7" t="s">
        <v>297</v>
      </c>
      <c r="J1028" s="1">
        <v>4</v>
      </c>
      <c r="K1028" s="1">
        <v>4</v>
      </c>
      <c r="L1028" s="67">
        <f t="shared" si="33"/>
        <v>1</v>
      </c>
    </row>
    <row r="1029" spans="1:12" x14ac:dyDescent="0.2">
      <c r="A1029">
        <v>1028</v>
      </c>
      <c r="B1029" s="7" t="s">
        <v>356</v>
      </c>
      <c r="C1029" t="s">
        <v>1311</v>
      </c>
      <c r="D1029" s="65" t="str">
        <f t="shared" si="32"/>
        <v>Y</v>
      </c>
      <c r="E1029" t="s">
        <v>1314</v>
      </c>
      <c r="F1029" s="25" t="s">
        <v>295</v>
      </c>
      <c r="G1029" s="26">
        <v>5</v>
      </c>
      <c r="H1029" s="7" t="s">
        <v>295</v>
      </c>
      <c r="I1029" s="7" t="s">
        <v>296</v>
      </c>
      <c r="J1029" s="1">
        <v>5</v>
      </c>
      <c r="K1029" s="1">
        <v>6</v>
      </c>
      <c r="L1029" s="67">
        <f t="shared" si="33"/>
        <v>1</v>
      </c>
    </row>
    <row r="1030" spans="1:12" x14ac:dyDescent="0.2">
      <c r="A1030">
        <v>1029</v>
      </c>
      <c r="B1030" s="7" t="s">
        <v>372</v>
      </c>
      <c r="C1030" t="s">
        <v>1311</v>
      </c>
      <c r="D1030" s="65" t="str">
        <f t="shared" si="32"/>
        <v>Y</v>
      </c>
      <c r="E1030" t="s">
        <v>1314</v>
      </c>
      <c r="F1030" s="25" t="s">
        <v>295</v>
      </c>
      <c r="G1030" s="26">
        <v>5</v>
      </c>
      <c r="H1030" s="7" t="s">
        <v>299</v>
      </c>
      <c r="I1030" s="7" t="s">
        <v>292</v>
      </c>
      <c r="J1030" s="1">
        <v>4</v>
      </c>
      <c r="K1030" s="1">
        <v>5</v>
      </c>
      <c r="L1030" s="67">
        <f t="shared" si="33"/>
        <v>0</v>
      </c>
    </row>
    <row r="1031" spans="1:12" x14ac:dyDescent="0.2">
      <c r="A1031">
        <v>1030</v>
      </c>
      <c r="B1031" s="7" t="s">
        <v>372</v>
      </c>
      <c r="C1031" t="s">
        <v>1311</v>
      </c>
      <c r="D1031" s="65" t="str">
        <f t="shared" si="32"/>
        <v>Y</v>
      </c>
      <c r="E1031" t="s">
        <v>1314</v>
      </c>
      <c r="F1031" s="25" t="s">
        <v>295</v>
      </c>
      <c r="G1031" s="26">
        <v>5</v>
      </c>
      <c r="H1031" s="7" t="s">
        <v>298</v>
      </c>
      <c r="I1031" s="7" t="s">
        <v>292</v>
      </c>
      <c r="J1031" s="1">
        <v>3</v>
      </c>
      <c r="K1031" s="1">
        <v>5</v>
      </c>
      <c r="L1031" s="67">
        <f t="shared" si="33"/>
        <v>0</v>
      </c>
    </row>
    <row r="1032" spans="1:12" x14ac:dyDescent="0.2">
      <c r="A1032">
        <v>1031</v>
      </c>
      <c r="B1032" s="7" t="s">
        <v>356</v>
      </c>
      <c r="C1032" t="s">
        <v>1311</v>
      </c>
      <c r="D1032" s="65" t="str">
        <f t="shared" si="32"/>
        <v>Y</v>
      </c>
      <c r="E1032" t="s">
        <v>1314</v>
      </c>
      <c r="F1032" s="25" t="s">
        <v>295</v>
      </c>
      <c r="G1032" s="26">
        <v>5</v>
      </c>
      <c r="H1032" s="7" t="s">
        <v>295</v>
      </c>
      <c r="I1032" s="7" t="s">
        <v>292</v>
      </c>
      <c r="J1032" s="1">
        <v>5</v>
      </c>
      <c r="K1032" s="1">
        <v>5</v>
      </c>
      <c r="L1032" s="67">
        <f t="shared" si="33"/>
        <v>1</v>
      </c>
    </row>
    <row r="1033" spans="1:12" x14ac:dyDescent="0.2">
      <c r="A1033">
        <v>1032</v>
      </c>
      <c r="B1033" s="7" t="s">
        <v>372</v>
      </c>
      <c r="C1033" t="s">
        <v>1311</v>
      </c>
      <c r="D1033" s="65" t="str">
        <f t="shared" si="32"/>
        <v>Y</v>
      </c>
      <c r="E1033" t="s">
        <v>1314</v>
      </c>
      <c r="F1033" s="25" t="s">
        <v>295</v>
      </c>
      <c r="G1033" s="26">
        <v>5</v>
      </c>
      <c r="H1033" s="7" t="s">
        <v>295</v>
      </c>
      <c r="I1033" s="7" t="s">
        <v>296</v>
      </c>
      <c r="J1033" s="1">
        <v>5</v>
      </c>
      <c r="K1033" s="1">
        <v>6</v>
      </c>
      <c r="L1033" s="67">
        <f t="shared" si="33"/>
        <v>1</v>
      </c>
    </row>
    <row r="1034" spans="1:12" x14ac:dyDescent="0.2">
      <c r="A1034">
        <v>1033</v>
      </c>
      <c r="B1034" s="7" t="s">
        <v>356</v>
      </c>
      <c r="C1034" t="s">
        <v>1311</v>
      </c>
      <c r="D1034" s="65" t="str">
        <f t="shared" si="32"/>
        <v>Y</v>
      </c>
      <c r="E1034" t="s">
        <v>1314</v>
      </c>
      <c r="F1034" s="25" t="s">
        <v>295</v>
      </c>
      <c r="G1034" s="26">
        <v>5</v>
      </c>
      <c r="H1034" s="7" t="s">
        <v>291</v>
      </c>
      <c r="I1034" s="7" t="s">
        <v>297</v>
      </c>
      <c r="J1034" s="1">
        <v>1</v>
      </c>
      <c r="K1034" s="1">
        <v>4</v>
      </c>
      <c r="L1034" s="67">
        <f t="shared" si="33"/>
        <v>0</v>
      </c>
    </row>
    <row r="1035" spans="1:12" x14ac:dyDescent="0.2">
      <c r="A1035">
        <v>1034</v>
      </c>
      <c r="B1035" s="7" t="s">
        <v>372</v>
      </c>
      <c r="C1035" t="s">
        <v>1311</v>
      </c>
      <c r="D1035" s="65" t="str">
        <f t="shared" si="32"/>
        <v>Y</v>
      </c>
      <c r="E1035" t="s">
        <v>1314</v>
      </c>
      <c r="F1035" s="25" t="s">
        <v>295</v>
      </c>
      <c r="G1035" s="26">
        <v>5</v>
      </c>
      <c r="H1035" s="7" t="s">
        <v>298</v>
      </c>
      <c r="I1035" s="7" t="s">
        <v>296</v>
      </c>
      <c r="J1035" s="1">
        <v>3</v>
      </c>
      <c r="K1035" s="1">
        <v>6</v>
      </c>
      <c r="L1035" s="67">
        <f t="shared" si="33"/>
        <v>0</v>
      </c>
    </row>
    <row r="1036" spans="1:12" x14ac:dyDescent="0.2">
      <c r="A1036">
        <v>1035</v>
      </c>
      <c r="B1036" s="7" t="s">
        <v>356</v>
      </c>
      <c r="C1036" t="s">
        <v>1311</v>
      </c>
      <c r="D1036" s="65" t="str">
        <f t="shared" si="32"/>
        <v>Y</v>
      </c>
      <c r="E1036" t="s">
        <v>1314</v>
      </c>
      <c r="F1036" s="25" t="s">
        <v>295</v>
      </c>
      <c r="G1036" s="26">
        <v>5</v>
      </c>
      <c r="H1036" s="7" t="s">
        <v>291</v>
      </c>
      <c r="I1036" s="7" t="s">
        <v>292</v>
      </c>
      <c r="J1036" s="1">
        <v>1</v>
      </c>
      <c r="K1036" s="1">
        <v>5</v>
      </c>
      <c r="L1036" s="67">
        <f t="shared" si="33"/>
        <v>0</v>
      </c>
    </row>
    <row r="1037" spans="1:12" x14ac:dyDescent="0.2">
      <c r="A1037">
        <v>1036</v>
      </c>
      <c r="B1037" s="7" t="s">
        <v>372</v>
      </c>
      <c r="C1037" t="s">
        <v>1311</v>
      </c>
      <c r="D1037" s="65" t="str">
        <f t="shared" si="32"/>
        <v>Y</v>
      </c>
      <c r="E1037" t="s">
        <v>1314</v>
      </c>
      <c r="F1037" s="25" t="s">
        <v>295</v>
      </c>
      <c r="G1037" s="26">
        <v>5</v>
      </c>
      <c r="H1037" s="7" t="s">
        <v>295</v>
      </c>
      <c r="I1037" s="7" t="s">
        <v>297</v>
      </c>
      <c r="J1037" s="1">
        <v>5</v>
      </c>
      <c r="K1037" s="1">
        <v>4</v>
      </c>
      <c r="L1037" s="67">
        <f t="shared" si="33"/>
        <v>1</v>
      </c>
    </row>
    <row r="1038" spans="1:12" x14ac:dyDescent="0.2">
      <c r="A1038">
        <v>1037</v>
      </c>
      <c r="B1038" s="7" t="s">
        <v>356</v>
      </c>
      <c r="C1038" t="s">
        <v>1311</v>
      </c>
      <c r="D1038" s="65" t="str">
        <f t="shared" si="32"/>
        <v>Y</v>
      </c>
      <c r="E1038" t="s">
        <v>1314</v>
      </c>
      <c r="F1038" s="25" t="s">
        <v>295</v>
      </c>
      <c r="G1038" s="26">
        <v>5</v>
      </c>
      <c r="H1038" s="7" t="s">
        <v>291</v>
      </c>
      <c r="I1038" s="7" t="s">
        <v>297</v>
      </c>
      <c r="J1038" s="1">
        <v>1</v>
      </c>
      <c r="K1038" s="1">
        <v>4</v>
      </c>
      <c r="L1038" s="67">
        <f t="shared" si="33"/>
        <v>0</v>
      </c>
    </row>
    <row r="1039" spans="1:12" x14ac:dyDescent="0.2">
      <c r="A1039">
        <v>1038</v>
      </c>
      <c r="B1039" s="7" t="s">
        <v>356</v>
      </c>
      <c r="C1039" t="s">
        <v>1311</v>
      </c>
      <c r="D1039" s="65" t="str">
        <f t="shared" si="32"/>
        <v>Y</v>
      </c>
      <c r="E1039" t="s">
        <v>1314</v>
      </c>
      <c r="F1039" s="25" t="s">
        <v>295</v>
      </c>
      <c r="G1039" s="26">
        <v>5</v>
      </c>
      <c r="H1039" s="7" t="s">
        <v>299</v>
      </c>
      <c r="I1039" s="7" t="s">
        <v>296</v>
      </c>
      <c r="J1039" s="1">
        <v>4</v>
      </c>
      <c r="K1039" s="1">
        <v>6</v>
      </c>
      <c r="L1039" s="67">
        <f t="shared" si="33"/>
        <v>0</v>
      </c>
    </row>
    <row r="1040" spans="1:12" x14ac:dyDescent="0.2">
      <c r="A1040">
        <v>1039</v>
      </c>
      <c r="B1040" s="7" t="s">
        <v>372</v>
      </c>
      <c r="C1040" t="s">
        <v>1311</v>
      </c>
      <c r="D1040" s="65" t="str">
        <f t="shared" si="32"/>
        <v>Y</v>
      </c>
      <c r="E1040" t="s">
        <v>1314</v>
      </c>
      <c r="F1040" s="25" t="s">
        <v>295</v>
      </c>
      <c r="G1040" s="26">
        <v>5</v>
      </c>
      <c r="H1040" s="7" t="s">
        <v>295</v>
      </c>
      <c r="I1040" s="7" t="s">
        <v>292</v>
      </c>
      <c r="J1040" s="1">
        <v>5</v>
      </c>
      <c r="K1040" s="1">
        <v>5</v>
      </c>
      <c r="L1040" s="67">
        <f t="shared" si="33"/>
        <v>1</v>
      </c>
    </row>
    <row r="1041" spans="1:12" x14ac:dyDescent="0.2">
      <c r="A1041">
        <v>1040</v>
      </c>
      <c r="B1041" s="7" t="s">
        <v>356</v>
      </c>
      <c r="C1041" t="s">
        <v>1311</v>
      </c>
      <c r="D1041" s="65" t="str">
        <f t="shared" si="32"/>
        <v>Y</v>
      </c>
      <c r="E1041" t="s">
        <v>1314</v>
      </c>
      <c r="F1041" s="25" t="s">
        <v>295</v>
      </c>
      <c r="G1041" s="26">
        <v>5</v>
      </c>
      <c r="H1041" s="7" t="s">
        <v>298</v>
      </c>
      <c r="I1041" s="7" t="s">
        <v>292</v>
      </c>
      <c r="J1041" s="1">
        <v>3</v>
      </c>
      <c r="K1041" s="1">
        <v>5</v>
      </c>
      <c r="L1041" s="67">
        <f t="shared" si="33"/>
        <v>0</v>
      </c>
    </row>
    <row r="1042" spans="1:12" x14ac:dyDescent="0.2">
      <c r="A1042">
        <v>1041</v>
      </c>
      <c r="B1042" s="7" t="s">
        <v>372</v>
      </c>
      <c r="C1042" t="s">
        <v>1311</v>
      </c>
      <c r="D1042" s="65" t="str">
        <f t="shared" si="32"/>
        <v>Y</v>
      </c>
      <c r="E1042" t="s">
        <v>1314</v>
      </c>
      <c r="F1042" s="25" t="s">
        <v>295</v>
      </c>
      <c r="G1042" s="26">
        <v>5</v>
      </c>
      <c r="H1042" s="7" t="s">
        <v>298</v>
      </c>
      <c r="I1042" s="7" t="s">
        <v>292</v>
      </c>
      <c r="J1042" s="1">
        <v>3</v>
      </c>
      <c r="K1042" s="1">
        <v>5</v>
      </c>
      <c r="L1042" s="67">
        <f t="shared" si="33"/>
        <v>0</v>
      </c>
    </row>
    <row r="1043" spans="1:12" x14ac:dyDescent="0.2">
      <c r="A1043">
        <v>1042</v>
      </c>
      <c r="B1043" s="7" t="s">
        <v>356</v>
      </c>
      <c r="C1043" t="s">
        <v>1311</v>
      </c>
      <c r="D1043" s="65" t="str">
        <f t="shared" si="32"/>
        <v>Y</v>
      </c>
      <c r="E1043" t="s">
        <v>1314</v>
      </c>
      <c r="F1043" s="25" t="s">
        <v>295</v>
      </c>
      <c r="G1043" s="26">
        <v>5</v>
      </c>
      <c r="H1043" s="7" t="s">
        <v>295</v>
      </c>
      <c r="I1043" s="7" t="s">
        <v>296</v>
      </c>
      <c r="J1043" s="1">
        <v>5</v>
      </c>
      <c r="K1043" s="1">
        <v>6</v>
      </c>
      <c r="L1043" s="67">
        <f t="shared" si="33"/>
        <v>1</v>
      </c>
    </row>
    <row r="1044" spans="1:12" x14ac:dyDescent="0.2">
      <c r="A1044">
        <v>1043</v>
      </c>
      <c r="B1044" s="7" t="s">
        <v>372</v>
      </c>
      <c r="C1044" t="s">
        <v>1311</v>
      </c>
      <c r="D1044" s="65" t="str">
        <f t="shared" si="32"/>
        <v>Y</v>
      </c>
      <c r="E1044" t="s">
        <v>1314</v>
      </c>
      <c r="F1044" s="25" t="s">
        <v>295</v>
      </c>
      <c r="G1044" s="26">
        <v>5</v>
      </c>
      <c r="H1044" s="7" t="s">
        <v>291</v>
      </c>
      <c r="I1044" s="7" t="s">
        <v>296</v>
      </c>
      <c r="J1044" s="1">
        <v>1</v>
      </c>
      <c r="K1044" s="1">
        <v>6</v>
      </c>
      <c r="L1044" s="67">
        <f t="shared" si="33"/>
        <v>0</v>
      </c>
    </row>
    <row r="1045" spans="1:12" x14ac:dyDescent="0.2">
      <c r="A1045">
        <v>1044</v>
      </c>
      <c r="B1045" s="7" t="s">
        <v>372</v>
      </c>
      <c r="C1045" t="s">
        <v>1311</v>
      </c>
      <c r="D1045" s="65" t="str">
        <f t="shared" si="32"/>
        <v>Y</v>
      </c>
      <c r="E1045" t="s">
        <v>1314</v>
      </c>
      <c r="F1045" s="25" t="s">
        <v>295</v>
      </c>
      <c r="G1045" s="26">
        <v>5</v>
      </c>
      <c r="H1045" s="7" t="s">
        <v>298</v>
      </c>
      <c r="I1045" s="7" t="s">
        <v>297</v>
      </c>
      <c r="J1045" s="1">
        <v>3</v>
      </c>
      <c r="K1045" s="1">
        <v>4</v>
      </c>
      <c r="L1045" s="67">
        <f t="shared" si="33"/>
        <v>0</v>
      </c>
    </row>
    <row r="1046" spans="1:12" x14ac:dyDescent="0.2">
      <c r="A1046">
        <v>1045</v>
      </c>
      <c r="B1046" s="7" t="s">
        <v>356</v>
      </c>
      <c r="C1046" t="s">
        <v>1311</v>
      </c>
      <c r="D1046" s="65" t="str">
        <f t="shared" si="32"/>
        <v>Y</v>
      </c>
      <c r="E1046" t="s">
        <v>1314</v>
      </c>
      <c r="F1046" s="25" t="s">
        <v>295</v>
      </c>
      <c r="G1046" s="26">
        <v>5</v>
      </c>
      <c r="H1046" s="7" t="s">
        <v>299</v>
      </c>
      <c r="I1046" s="7" t="s">
        <v>296</v>
      </c>
      <c r="J1046" s="1">
        <v>4</v>
      </c>
      <c r="K1046" s="1">
        <v>6</v>
      </c>
      <c r="L1046" s="67">
        <f t="shared" si="33"/>
        <v>0</v>
      </c>
    </row>
    <row r="1047" spans="1:12" x14ac:dyDescent="0.2">
      <c r="A1047">
        <v>1046</v>
      </c>
      <c r="B1047" s="7" t="s">
        <v>356</v>
      </c>
      <c r="C1047" t="s">
        <v>1311</v>
      </c>
      <c r="D1047" s="65" t="str">
        <f t="shared" si="32"/>
        <v>Y</v>
      </c>
      <c r="E1047" t="s">
        <v>1314</v>
      </c>
      <c r="F1047" s="25" t="s">
        <v>295</v>
      </c>
      <c r="G1047" s="26">
        <v>5</v>
      </c>
      <c r="H1047" s="7" t="s">
        <v>295</v>
      </c>
      <c r="I1047" s="7" t="s">
        <v>292</v>
      </c>
      <c r="J1047" s="1">
        <v>5</v>
      </c>
      <c r="K1047" s="1">
        <v>5</v>
      </c>
      <c r="L1047" s="67">
        <f t="shared" si="33"/>
        <v>1</v>
      </c>
    </row>
    <row r="1048" spans="1:12" x14ac:dyDescent="0.2">
      <c r="A1048">
        <v>1047</v>
      </c>
      <c r="B1048" s="7" t="s">
        <v>372</v>
      </c>
      <c r="C1048" t="s">
        <v>1311</v>
      </c>
      <c r="D1048" s="65" t="str">
        <f t="shared" si="32"/>
        <v>Y</v>
      </c>
      <c r="E1048" t="s">
        <v>1314</v>
      </c>
      <c r="F1048" s="25" t="s">
        <v>295</v>
      </c>
      <c r="G1048" s="26">
        <v>5</v>
      </c>
      <c r="H1048" s="7" t="s">
        <v>298</v>
      </c>
      <c r="I1048" s="7" t="s">
        <v>297</v>
      </c>
      <c r="J1048" s="1">
        <v>3</v>
      </c>
      <c r="K1048" s="1">
        <v>4</v>
      </c>
      <c r="L1048" s="67">
        <f t="shared" si="33"/>
        <v>0</v>
      </c>
    </row>
    <row r="1049" spans="1:12" x14ac:dyDescent="0.2">
      <c r="A1049">
        <v>1048</v>
      </c>
      <c r="B1049" s="7" t="s">
        <v>356</v>
      </c>
      <c r="C1049" t="s">
        <v>1311</v>
      </c>
      <c r="D1049" s="65" t="str">
        <f t="shared" si="32"/>
        <v>Y</v>
      </c>
      <c r="E1049" t="s">
        <v>1314</v>
      </c>
      <c r="F1049" s="25" t="s">
        <v>295</v>
      </c>
      <c r="G1049" s="26">
        <v>5</v>
      </c>
      <c r="H1049" s="7" t="s">
        <v>295</v>
      </c>
      <c r="I1049" s="7" t="s">
        <v>292</v>
      </c>
      <c r="J1049" s="1">
        <v>5</v>
      </c>
      <c r="K1049" s="1">
        <v>5</v>
      </c>
      <c r="L1049" s="67">
        <f t="shared" si="33"/>
        <v>1</v>
      </c>
    </row>
    <row r="1050" spans="1:12" x14ac:dyDescent="0.2">
      <c r="A1050">
        <v>1049</v>
      </c>
      <c r="B1050" s="7" t="s">
        <v>356</v>
      </c>
      <c r="C1050" t="s">
        <v>1311</v>
      </c>
      <c r="D1050" s="65" t="str">
        <f t="shared" si="32"/>
        <v>Y</v>
      </c>
      <c r="E1050" t="s">
        <v>1314</v>
      </c>
      <c r="F1050" s="25" t="s">
        <v>295</v>
      </c>
      <c r="G1050" s="26">
        <v>5</v>
      </c>
      <c r="H1050" s="7" t="s">
        <v>298</v>
      </c>
      <c r="I1050" s="7" t="s">
        <v>292</v>
      </c>
      <c r="J1050" s="1">
        <v>3</v>
      </c>
      <c r="K1050" s="1">
        <v>5</v>
      </c>
      <c r="L1050" s="67">
        <f t="shared" si="33"/>
        <v>0</v>
      </c>
    </row>
    <row r="1051" spans="1:12" x14ac:dyDescent="0.2">
      <c r="A1051">
        <v>1050</v>
      </c>
      <c r="B1051" s="7" t="s">
        <v>372</v>
      </c>
      <c r="C1051" t="s">
        <v>1311</v>
      </c>
      <c r="D1051" s="65" t="str">
        <f t="shared" si="32"/>
        <v>Y</v>
      </c>
      <c r="E1051" t="s">
        <v>1314</v>
      </c>
      <c r="F1051" s="25" t="s">
        <v>295</v>
      </c>
      <c r="G1051" s="26">
        <v>5</v>
      </c>
      <c r="H1051" s="7" t="s">
        <v>299</v>
      </c>
      <c r="I1051" s="7" t="s">
        <v>296</v>
      </c>
      <c r="J1051" s="1">
        <v>4</v>
      </c>
      <c r="K1051" s="1">
        <v>6</v>
      </c>
      <c r="L1051" s="67">
        <f t="shared" si="33"/>
        <v>0</v>
      </c>
    </row>
    <row r="1052" spans="1:12" x14ac:dyDescent="0.2">
      <c r="A1052">
        <v>1051</v>
      </c>
      <c r="B1052" s="7" t="s">
        <v>372</v>
      </c>
      <c r="C1052" t="s">
        <v>1311</v>
      </c>
      <c r="D1052" s="65" t="str">
        <f t="shared" si="32"/>
        <v>Y</v>
      </c>
      <c r="E1052" t="s">
        <v>1314</v>
      </c>
      <c r="F1052" s="25" t="s">
        <v>295</v>
      </c>
      <c r="G1052" s="26">
        <v>5</v>
      </c>
      <c r="H1052" s="7" t="s">
        <v>298</v>
      </c>
      <c r="I1052" s="7" t="s">
        <v>296</v>
      </c>
      <c r="J1052" s="1">
        <v>3</v>
      </c>
      <c r="K1052" s="1">
        <v>6</v>
      </c>
      <c r="L1052" s="67">
        <f t="shared" si="33"/>
        <v>0</v>
      </c>
    </row>
    <row r="1053" spans="1:12" x14ac:dyDescent="0.2">
      <c r="A1053">
        <v>1052</v>
      </c>
      <c r="B1053" s="7" t="s">
        <v>356</v>
      </c>
      <c r="C1053" t="s">
        <v>1311</v>
      </c>
      <c r="D1053" s="65" t="str">
        <f t="shared" si="32"/>
        <v>Y</v>
      </c>
      <c r="E1053" t="s">
        <v>1314</v>
      </c>
      <c r="F1053" s="25" t="s">
        <v>295</v>
      </c>
      <c r="G1053" s="26">
        <v>5</v>
      </c>
      <c r="H1053" s="7" t="s">
        <v>298</v>
      </c>
      <c r="I1053" s="7" t="s">
        <v>296</v>
      </c>
      <c r="J1053" s="1">
        <v>3</v>
      </c>
      <c r="K1053" s="1">
        <v>6</v>
      </c>
      <c r="L1053" s="67">
        <f t="shared" si="33"/>
        <v>0</v>
      </c>
    </row>
    <row r="1054" spans="1:12" x14ac:dyDescent="0.2">
      <c r="A1054">
        <v>1053</v>
      </c>
      <c r="B1054" s="7" t="s">
        <v>356</v>
      </c>
      <c r="C1054" t="s">
        <v>1311</v>
      </c>
      <c r="D1054" s="65" t="str">
        <f t="shared" si="32"/>
        <v>Y</v>
      </c>
      <c r="E1054" t="s">
        <v>1314</v>
      </c>
      <c r="F1054" s="25" t="s">
        <v>295</v>
      </c>
      <c r="G1054" s="26">
        <v>5</v>
      </c>
      <c r="H1054" s="7" t="s">
        <v>295</v>
      </c>
      <c r="I1054" s="7" t="s">
        <v>296</v>
      </c>
      <c r="J1054" s="1">
        <v>5</v>
      </c>
      <c r="K1054" s="1">
        <v>6</v>
      </c>
      <c r="L1054" s="67">
        <f t="shared" si="33"/>
        <v>1</v>
      </c>
    </row>
    <row r="1055" spans="1:12" x14ac:dyDescent="0.2">
      <c r="A1055">
        <v>1054</v>
      </c>
      <c r="B1055" s="7" t="s">
        <v>372</v>
      </c>
      <c r="C1055" t="s">
        <v>1311</v>
      </c>
      <c r="D1055" s="65" t="str">
        <f t="shared" si="32"/>
        <v>Y</v>
      </c>
      <c r="E1055" t="s">
        <v>1314</v>
      </c>
      <c r="F1055" s="25" t="s">
        <v>295</v>
      </c>
      <c r="G1055" s="26">
        <v>5</v>
      </c>
      <c r="H1055" s="7" t="s">
        <v>291</v>
      </c>
      <c r="I1055" s="7" t="s">
        <v>292</v>
      </c>
      <c r="J1055" s="1">
        <v>1</v>
      </c>
      <c r="K1055" s="1">
        <v>5</v>
      </c>
      <c r="L1055" s="67">
        <f t="shared" si="33"/>
        <v>0</v>
      </c>
    </row>
    <row r="1056" spans="1:12" x14ac:dyDescent="0.2">
      <c r="A1056">
        <v>1055</v>
      </c>
      <c r="B1056" s="7" t="s">
        <v>356</v>
      </c>
      <c r="C1056" t="s">
        <v>1311</v>
      </c>
      <c r="D1056" s="65" t="str">
        <f t="shared" si="32"/>
        <v>Y</v>
      </c>
      <c r="E1056" t="s">
        <v>1314</v>
      </c>
      <c r="F1056" s="25" t="s">
        <v>295</v>
      </c>
      <c r="G1056" s="26">
        <v>5</v>
      </c>
      <c r="H1056" s="7" t="s">
        <v>295</v>
      </c>
      <c r="I1056" s="7" t="s">
        <v>296</v>
      </c>
      <c r="J1056" s="1">
        <v>5</v>
      </c>
      <c r="K1056" s="1">
        <v>6</v>
      </c>
      <c r="L1056" s="67">
        <f t="shared" si="33"/>
        <v>1</v>
      </c>
    </row>
    <row r="1057" spans="1:12" x14ac:dyDescent="0.2">
      <c r="A1057">
        <v>1056</v>
      </c>
      <c r="B1057" s="7" t="s">
        <v>372</v>
      </c>
      <c r="C1057" t="s">
        <v>1311</v>
      </c>
      <c r="D1057" s="65" t="str">
        <f t="shared" si="32"/>
        <v>Y</v>
      </c>
      <c r="E1057" t="s">
        <v>1314</v>
      </c>
      <c r="F1057" s="25" t="s">
        <v>295</v>
      </c>
      <c r="G1057" s="26">
        <v>5</v>
      </c>
      <c r="H1057" s="7" t="s">
        <v>299</v>
      </c>
      <c r="I1057" s="7" t="s">
        <v>292</v>
      </c>
      <c r="J1057" s="1">
        <v>4</v>
      </c>
      <c r="K1057" s="1">
        <v>5</v>
      </c>
      <c r="L1057" s="67">
        <f t="shared" si="33"/>
        <v>0</v>
      </c>
    </row>
    <row r="1058" spans="1:12" x14ac:dyDescent="0.2">
      <c r="A1058">
        <v>1057</v>
      </c>
      <c r="B1058" s="7" t="s">
        <v>356</v>
      </c>
      <c r="C1058" t="s">
        <v>1311</v>
      </c>
      <c r="D1058" s="65" t="str">
        <f t="shared" si="32"/>
        <v>Y</v>
      </c>
      <c r="E1058" t="s">
        <v>1314</v>
      </c>
      <c r="F1058" s="25" t="s">
        <v>295</v>
      </c>
      <c r="G1058" s="26">
        <v>5</v>
      </c>
      <c r="H1058" s="7" t="s">
        <v>298</v>
      </c>
      <c r="I1058" s="7" t="s">
        <v>297</v>
      </c>
      <c r="J1058" s="1">
        <v>3</v>
      </c>
      <c r="K1058" s="1">
        <v>4</v>
      </c>
      <c r="L1058" s="67">
        <f t="shared" si="33"/>
        <v>0</v>
      </c>
    </row>
    <row r="1059" spans="1:12" x14ac:dyDescent="0.2">
      <c r="A1059">
        <v>1058</v>
      </c>
      <c r="B1059" s="7" t="s">
        <v>372</v>
      </c>
      <c r="C1059" t="s">
        <v>1311</v>
      </c>
      <c r="D1059" s="65" t="str">
        <f t="shared" si="32"/>
        <v>Y</v>
      </c>
      <c r="E1059" t="s">
        <v>1314</v>
      </c>
      <c r="F1059" s="25" t="s">
        <v>295</v>
      </c>
      <c r="G1059" s="26">
        <v>5</v>
      </c>
      <c r="H1059" s="7" t="s">
        <v>299</v>
      </c>
      <c r="I1059" s="7" t="s">
        <v>296</v>
      </c>
      <c r="J1059" s="1">
        <v>4</v>
      </c>
      <c r="K1059" s="1">
        <v>6</v>
      </c>
      <c r="L1059" s="67">
        <f t="shared" si="33"/>
        <v>0</v>
      </c>
    </row>
    <row r="1060" spans="1:12" x14ac:dyDescent="0.2">
      <c r="A1060">
        <v>1059</v>
      </c>
      <c r="B1060" s="7" t="s">
        <v>356</v>
      </c>
      <c r="C1060" t="s">
        <v>1311</v>
      </c>
      <c r="D1060" s="65" t="str">
        <f t="shared" si="32"/>
        <v>Y</v>
      </c>
      <c r="E1060" t="s">
        <v>1314</v>
      </c>
      <c r="F1060" s="25" t="s">
        <v>295</v>
      </c>
      <c r="G1060" s="26">
        <v>5</v>
      </c>
      <c r="H1060" s="7" t="s">
        <v>295</v>
      </c>
      <c r="I1060" s="7" t="s">
        <v>297</v>
      </c>
      <c r="J1060" s="1">
        <v>5</v>
      </c>
      <c r="K1060" s="1">
        <v>4</v>
      </c>
      <c r="L1060" s="67">
        <f t="shared" si="33"/>
        <v>1</v>
      </c>
    </row>
    <row r="1061" spans="1:12" x14ac:dyDescent="0.2">
      <c r="A1061">
        <v>1060</v>
      </c>
      <c r="B1061" s="7" t="s">
        <v>356</v>
      </c>
      <c r="C1061" t="s">
        <v>1311</v>
      </c>
      <c r="D1061" s="65" t="str">
        <f t="shared" si="32"/>
        <v>Y</v>
      </c>
      <c r="E1061" t="s">
        <v>1314</v>
      </c>
      <c r="F1061" s="25" t="s">
        <v>295</v>
      </c>
      <c r="G1061" s="26">
        <v>5</v>
      </c>
      <c r="H1061" s="7" t="s">
        <v>295</v>
      </c>
      <c r="I1061" s="7" t="s">
        <v>296</v>
      </c>
      <c r="J1061" s="1">
        <v>5</v>
      </c>
      <c r="K1061" s="1">
        <v>6</v>
      </c>
      <c r="L1061" s="67">
        <f t="shared" si="33"/>
        <v>1</v>
      </c>
    </row>
    <row r="1062" spans="1:12" x14ac:dyDescent="0.2">
      <c r="A1062">
        <v>1061</v>
      </c>
      <c r="B1062" s="7" t="s">
        <v>372</v>
      </c>
      <c r="C1062" t="s">
        <v>1311</v>
      </c>
      <c r="D1062" s="65" t="str">
        <f t="shared" si="32"/>
        <v>Y</v>
      </c>
      <c r="E1062" t="s">
        <v>1314</v>
      </c>
      <c r="F1062" s="25" t="s">
        <v>295</v>
      </c>
      <c r="G1062" s="26">
        <v>5</v>
      </c>
      <c r="H1062" s="7" t="s">
        <v>299</v>
      </c>
      <c r="I1062" s="7" t="s">
        <v>294</v>
      </c>
      <c r="J1062" s="1">
        <v>4</v>
      </c>
      <c r="K1062" s="1">
        <v>7</v>
      </c>
      <c r="L1062" s="67">
        <f t="shared" si="33"/>
        <v>0</v>
      </c>
    </row>
    <row r="1063" spans="1:12" x14ac:dyDescent="0.2">
      <c r="A1063">
        <v>1062</v>
      </c>
      <c r="B1063" s="7" t="s">
        <v>372</v>
      </c>
      <c r="C1063" t="s">
        <v>1311</v>
      </c>
      <c r="D1063" s="65" t="str">
        <f t="shared" si="32"/>
        <v>Y</v>
      </c>
      <c r="E1063" t="s">
        <v>1314</v>
      </c>
      <c r="F1063" s="25" t="s">
        <v>295</v>
      </c>
      <c r="G1063" s="26">
        <v>5</v>
      </c>
      <c r="H1063" s="7" t="s">
        <v>298</v>
      </c>
      <c r="I1063" s="7" t="s">
        <v>292</v>
      </c>
      <c r="J1063" s="1">
        <v>3</v>
      </c>
      <c r="K1063" s="1">
        <v>5</v>
      </c>
      <c r="L1063" s="67">
        <f t="shared" si="33"/>
        <v>0</v>
      </c>
    </row>
    <row r="1064" spans="1:12" x14ac:dyDescent="0.2">
      <c r="A1064">
        <v>1063</v>
      </c>
      <c r="B1064" s="7" t="s">
        <v>356</v>
      </c>
      <c r="C1064" t="s">
        <v>1311</v>
      </c>
      <c r="D1064" s="65" t="str">
        <f t="shared" si="32"/>
        <v>Y</v>
      </c>
      <c r="E1064" t="s">
        <v>1314</v>
      </c>
      <c r="F1064" s="25" t="s">
        <v>295</v>
      </c>
      <c r="G1064" s="26">
        <v>5</v>
      </c>
      <c r="H1064" s="7" t="s">
        <v>295</v>
      </c>
      <c r="I1064" s="7" t="s">
        <v>292</v>
      </c>
      <c r="J1064" s="1">
        <v>5</v>
      </c>
      <c r="K1064" s="1">
        <v>5</v>
      </c>
      <c r="L1064" s="67">
        <f t="shared" si="33"/>
        <v>1</v>
      </c>
    </row>
    <row r="1065" spans="1:12" x14ac:dyDescent="0.2">
      <c r="A1065">
        <v>1064</v>
      </c>
      <c r="B1065" s="7" t="s">
        <v>372</v>
      </c>
      <c r="C1065" t="s">
        <v>1311</v>
      </c>
      <c r="D1065" s="65" t="str">
        <f t="shared" si="32"/>
        <v>Y</v>
      </c>
      <c r="E1065" t="s">
        <v>1314</v>
      </c>
      <c r="F1065" s="25" t="s">
        <v>295</v>
      </c>
      <c r="G1065" s="26">
        <v>5</v>
      </c>
      <c r="H1065" s="7" t="s">
        <v>295</v>
      </c>
      <c r="I1065" s="7" t="s">
        <v>297</v>
      </c>
      <c r="J1065" s="1">
        <v>5</v>
      </c>
      <c r="K1065" s="1">
        <v>4</v>
      </c>
      <c r="L1065" s="67">
        <f t="shared" si="33"/>
        <v>1</v>
      </c>
    </row>
    <row r="1066" spans="1:12" x14ac:dyDescent="0.2">
      <c r="A1066">
        <v>1065</v>
      </c>
      <c r="B1066" s="7" t="s">
        <v>372</v>
      </c>
      <c r="C1066" t="s">
        <v>1311</v>
      </c>
      <c r="D1066" s="65" t="str">
        <f t="shared" si="32"/>
        <v>Y</v>
      </c>
      <c r="E1066" t="s">
        <v>1314</v>
      </c>
      <c r="F1066" s="25" t="s">
        <v>295</v>
      </c>
      <c r="G1066" s="26">
        <v>5</v>
      </c>
      <c r="H1066" s="7" t="s">
        <v>298</v>
      </c>
      <c r="I1066" s="7" t="s">
        <v>330</v>
      </c>
      <c r="J1066" s="1">
        <v>3</v>
      </c>
      <c r="K1066" s="1">
        <v>3</v>
      </c>
      <c r="L1066" s="67">
        <f t="shared" si="33"/>
        <v>0</v>
      </c>
    </row>
    <row r="1067" spans="1:12" x14ac:dyDescent="0.2">
      <c r="A1067">
        <v>1066</v>
      </c>
      <c r="B1067" s="7" t="s">
        <v>372</v>
      </c>
      <c r="C1067" t="s">
        <v>1311</v>
      </c>
      <c r="D1067" s="65" t="str">
        <f t="shared" si="32"/>
        <v>Y</v>
      </c>
      <c r="E1067" t="s">
        <v>1314</v>
      </c>
      <c r="F1067" s="25" t="s">
        <v>295</v>
      </c>
      <c r="G1067" s="26">
        <v>5</v>
      </c>
      <c r="H1067" s="7" t="s">
        <v>295</v>
      </c>
      <c r="I1067" s="7" t="s">
        <v>297</v>
      </c>
      <c r="J1067" s="1">
        <v>5</v>
      </c>
      <c r="K1067" s="1">
        <v>4</v>
      </c>
      <c r="L1067" s="67">
        <f t="shared" si="33"/>
        <v>1</v>
      </c>
    </row>
    <row r="1068" spans="1:12" x14ac:dyDescent="0.2">
      <c r="A1068">
        <v>1067</v>
      </c>
      <c r="B1068" s="7" t="s">
        <v>356</v>
      </c>
      <c r="C1068" t="s">
        <v>1311</v>
      </c>
      <c r="D1068" s="65" t="str">
        <f t="shared" si="32"/>
        <v>Y</v>
      </c>
      <c r="E1068" t="s">
        <v>1314</v>
      </c>
      <c r="F1068" s="25" t="s">
        <v>295</v>
      </c>
      <c r="G1068" s="26">
        <v>5</v>
      </c>
      <c r="H1068" s="7" t="s">
        <v>299</v>
      </c>
      <c r="I1068" s="7" t="s">
        <v>292</v>
      </c>
      <c r="J1068" s="1">
        <v>4</v>
      </c>
      <c r="K1068" s="1">
        <v>5</v>
      </c>
      <c r="L1068" s="67">
        <f t="shared" si="33"/>
        <v>0</v>
      </c>
    </row>
    <row r="1069" spans="1:12" x14ac:dyDescent="0.2">
      <c r="A1069">
        <v>1068</v>
      </c>
      <c r="B1069" s="7" t="s">
        <v>372</v>
      </c>
      <c r="C1069" t="s">
        <v>1311</v>
      </c>
      <c r="D1069" s="65" t="str">
        <f t="shared" si="32"/>
        <v>Y</v>
      </c>
      <c r="E1069" t="s">
        <v>1314</v>
      </c>
      <c r="F1069" s="25" t="s">
        <v>295</v>
      </c>
      <c r="G1069" s="26">
        <v>5</v>
      </c>
      <c r="H1069" s="7" t="s">
        <v>291</v>
      </c>
      <c r="I1069" s="7" t="s">
        <v>292</v>
      </c>
      <c r="J1069" s="1">
        <v>1</v>
      </c>
      <c r="K1069" s="1">
        <v>5</v>
      </c>
      <c r="L1069" s="67">
        <f t="shared" si="33"/>
        <v>0</v>
      </c>
    </row>
    <row r="1070" spans="1:12" x14ac:dyDescent="0.2">
      <c r="A1070">
        <v>1069</v>
      </c>
      <c r="B1070" s="7" t="s">
        <v>356</v>
      </c>
      <c r="C1070" t="s">
        <v>1311</v>
      </c>
      <c r="D1070" s="65" t="str">
        <f t="shared" si="32"/>
        <v>Y</v>
      </c>
      <c r="E1070" t="s">
        <v>1314</v>
      </c>
      <c r="F1070" s="25" t="s">
        <v>295</v>
      </c>
      <c r="G1070" s="26">
        <v>5</v>
      </c>
      <c r="H1070" s="7" t="s">
        <v>295</v>
      </c>
      <c r="I1070" s="7" t="s">
        <v>292</v>
      </c>
      <c r="J1070" s="1">
        <v>5</v>
      </c>
      <c r="K1070" s="1">
        <v>5</v>
      </c>
      <c r="L1070" s="67">
        <f t="shared" si="33"/>
        <v>1</v>
      </c>
    </row>
    <row r="1071" spans="1:12" x14ac:dyDescent="0.2">
      <c r="A1071">
        <v>1070</v>
      </c>
      <c r="B1071" s="7" t="s">
        <v>356</v>
      </c>
      <c r="C1071" t="s">
        <v>1311</v>
      </c>
      <c r="D1071" s="65" t="str">
        <f t="shared" si="32"/>
        <v>Y</v>
      </c>
      <c r="E1071" t="s">
        <v>1314</v>
      </c>
      <c r="F1071" s="25" t="s">
        <v>295</v>
      </c>
      <c r="G1071" s="26">
        <v>5</v>
      </c>
      <c r="H1071" s="7" t="s">
        <v>295</v>
      </c>
      <c r="I1071" s="7" t="s">
        <v>292</v>
      </c>
      <c r="J1071" s="1">
        <v>5</v>
      </c>
      <c r="K1071" s="1">
        <v>5</v>
      </c>
      <c r="L1071" s="67">
        <f t="shared" si="33"/>
        <v>1</v>
      </c>
    </row>
    <row r="1072" spans="1:12" x14ac:dyDescent="0.2">
      <c r="A1072">
        <v>1071</v>
      </c>
      <c r="B1072" s="7" t="s">
        <v>372</v>
      </c>
      <c r="C1072" t="s">
        <v>1311</v>
      </c>
      <c r="D1072" s="65" t="str">
        <f t="shared" si="32"/>
        <v>Y</v>
      </c>
      <c r="E1072" t="s">
        <v>1314</v>
      </c>
      <c r="F1072" s="25" t="s">
        <v>295</v>
      </c>
      <c r="G1072" s="26">
        <v>5</v>
      </c>
      <c r="H1072" s="7" t="s">
        <v>295</v>
      </c>
      <c r="I1072" s="7" t="s">
        <v>296</v>
      </c>
      <c r="J1072" s="1">
        <v>5</v>
      </c>
      <c r="K1072" s="1">
        <v>6</v>
      </c>
      <c r="L1072" s="67">
        <f t="shared" si="33"/>
        <v>1</v>
      </c>
    </row>
    <row r="1073" spans="1:12" x14ac:dyDescent="0.2">
      <c r="A1073">
        <v>1072</v>
      </c>
      <c r="B1073" s="7" t="s">
        <v>372</v>
      </c>
      <c r="C1073" t="s">
        <v>1311</v>
      </c>
      <c r="D1073" s="65" t="str">
        <f t="shared" si="32"/>
        <v>Y</v>
      </c>
      <c r="E1073" t="s">
        <v>1314</v>
      </c>
      <c r="F1073" s="25" t="s">
        <v>295</v>
      </c>
      <c r="G1073" s="26">
        <v>5</v>
      </c>
      <c r="H1073" s="7" t="s">
        <v>295</v>
      </c>
      <c r="I1073" s="7" t="s">
        <v>292</v>
      </c>
      <c r="J1073" s="1">
        <v>5</v>
      </c>
      <c r="K1073" s="1">
        <v>5</v>
      </c>
      <c r="L1073" s="67">
        <f t="shared" si="33"/>
        <v>1</v>
      </c>
    </row>
    <row r="1074" spans="1:12" x14ac:dyDescent="0.2">
      <c r="A1074">
        <v>1073</v>
      </c>
      <c r="B1074" s="7" t="s">
        <v>356</v>
      </c>
      <c r="C1074" t="s">
        <v>1311</v>
      </c>
      <c r="D1074" s="65" t="str">
        <f t="shared" si="32"/>
        <v>Y</v>
      </c>
      <c r="E1074" t="s">
        <v>1314</v>
      </c>
      <c r="F1074" s="25" t="s">
        <v>295</v>
      </c>
      <c r="G1074" s="26">
        <v>5</v>
      </c>
      <c r="H1074" s="7" t="s">
        <v>298</v>
      </c>
      <c r="I1074" s="7" t="s">
        <v>296</v>
      </c>
      <c r="J1074" s="1">
        <v>3</v>
      </c>
      <c r="K1074" s="1">
        <v>6</v>
      </c>
      <c r="L1074" s="67">
        <f t="shared" si="33"/>
        <v>0</v>
      </c>
    </row>
    <row r="1075" spans="1:12" x14ac:dyDescent="0.2">
      <c r="A1075">
        <v>1074</v>
      </c>
      <c r="B1075" s="7" t="s">
        <v>372</v>
      </c>
      <c r="C1075" t="s">
        <v>1311</v>
      </c>
      <c r="D1075" s="65" t="str">
        <f t="shared" si="32"/>
        <v>Y</v>
      </c>
      <c r="E1075" t="s">
        <v>1314</v>
      </c>
      <c r="F1075" s="25" t="s">
        <v>295</v>
      </c>
      <c r="G1075" s="26">
        <v>5</v>
      </c>
      <c r="H1075" s="7" t="s">
        <v>295</v>
      </c>
      <c r="I1075" s="7" t="s">
        <v>296</v>
      </c>
      <c r="J1075" s="1">
        <v>5</v>
      </c>
      <c r="K1075" s="1">
        <v>6</v>
      </c>
      <c r="L1075" s="67">
        <f t="shared" si="33"/>
        <v>1</v>
      </c>
    </row>
    <row r="1076" spans="1:12" x14ac:dyDescent="0.2">
      <c r="A1076">
        <v>1075</v>
      </c>
      <c r="B1076" s="7" t="s">
        <v>356</v>
      </c>
      <c r="C1076" t="s">
        <v>1311</v>
      </c>
      <c r="D1076" s="65" t="str">
        <f t="shared" si="32"/>
        <v>Y</v>
      </c>
      <c r="E1076" t="s">
        <v>1314</v>
      </c>
      <c r="F1076" s="25" t="s">
        <v>295</v>
      </c>
      <c r="G1076" s="26">
        <v>5</v>
      </c>
      <c r="H1076" s="7" t="s">
        <v>298</v>
      </c>
      <c r="I1076" s="7" t="s">
        <v>296</v>
      </c>
      <c r="J1076" s="1">
        <v>3</v>
      </c>
      <c r="K1076" s="1">
        <v>6</v>
      </c>
      <c r="L1076" s="67">
        <f t="shared" si="33"/>
        <v>0</v>
      </c>
    </row>
    <row r="1077" spans="1:12" x14ac:dyDescent="0.2">
      <c r="A1077">
        <v>1076</v>
      </c>
      <c r="B1077" s="7" t="s">
        <v>372</v>
      </c>
      <c r="C1077" t="s">
        <v>1311</v>
      </c>
      <c r="D1077" s="65" t="str">
        <f t="shared" si="32"/>
        <v>Y</v>
      </c>
      <c r="E1077" t="s">
        <v>1314</v>
      </c>
      <c r="F1077" s="25" t="s">
        <v>295</v>
      </c>
      <c r="G1077" s="26">
        <v>5</v>
      </c>
      <c r="H1077" s="7" t="s">
        <v>295</v>
      </c>
      <c r="I1077" s="7" t="s">
        <v>296</v>
      </c>
      <c r="J1077" s="1">
        <v>5</v>
      </c>
      <c r="K1077" s="1">
        <v>6</v>
      </c>
      <c r="L1077" s="67">
        <f t="shared" si="33"/>
        <v>1</v>
      </c>
    </row>
    <row r="1078" spans="1:12" x14ac:dyDescent="0.2">
      <c r="A1078">
        <v>1077</v>
      </c>
      <c r="B1078" s="7" t="s">
        <v>372</v>
      </c>
      <c r="C1078" t="s">
        <v>1311</v>
      </c>
      <c r="D1078" s="65" t="str">
        <f t="shared" si="32"/>
        <v>Y</v>
      </c>
      <c r="E1078" t="s">
        <v>1314</v>
      </c>
      <c r="F1078" s="25" t="s">
        <v>295</v>
      </c>
      <c r="G1078" s="26">
        <v>5</v>
      </c>
      <c r="H1078" s="7" t="s">
        <v>295</v>
      </c>
      <c r="I1078" s="7" t="s">
        <v>296</v>
      </c>
      <c r="J1078" s="1">
        <v>5</v>
      </c>
      <c r="K1078" s="1">
        <v>6</v>
      </c>
      <c r="L1078" s="67">
        <f t="shared" si="33"/>
        <v>1</v>
      </c>
    </row>
    <row r="1079" spans="1:12" x14ac:dyDescent="0.2">
      <c r="A1079">
        <v>1078</v>
      </c>
      <c r="B1079" s="7" t="s">
        <v>356</v>
      </c>
      <c r="C1079" t="s">
        <v>1311</v>
      </c>
      <c r="D1079" s="65" t="str">
        <f t="shared" si="32"/>
        <v>Y</v>
      </c>
      <c r="E1079" t="s">
        <v>1314</v>
      </c>
      <c r="F1079" s="25" t="s">
        <v>295</v>
      </c>
      <c r="G1079" s="26">
        <v>5</v>
      </c>
      <c r="H1079" s="7" t="s">
        <v>298</v>
      </c>
      <c r="I1079" s="7" t="s">
        <v>292</v>
      </c>
      <c r="J1079" s="1">
        <v>3</v>
      </c>
      <c r="K1079" s="1">
        <v>5</v>
      </c>
      <c r="L1079" s="67">
        <f t="shared" si="33"/>
        <v>0</v>
      </c>
    </row>
    <row r="1080" spans="1:12" x14ac:dyDescent="0.2">
      <c r="A1080">
        <v>1079</v>
      </c>
      <c r="B1080" s="7" t="s">
        <v>372</v>
      </c>
      <c r="C1080" t="s">
        <v>1311</v>
      </c>
      <c r="D1080" s="65" t="str">
        <f t="shared" si="32"/>
        <v>Y</v>
      </c>
      <c r="E1080" t="s">
        <v>1314</v>
      </c>
      <c r="F1080" s="25" t="s">
        <v>295</v>
      </c>
      <c r="G1080" s="26">
        <v>5</v>
      </c>
      <c r="H1080" s="7" t="s">
        <v>295</v>
      </c>
      <c r="I1080" s="7" t="s">
        <v>292</v>
      </c>
      <c r="J1080" s="1">
        <v>5</v>
      </c>
      <c r="K1080" s="1">
        <v>5</v>
      </c>
      <c r="L1080" s="67">
        <f t="shared" si="33"/>
        <v>1</v>
      </c>
    </row>
    <row r="1081" spans="1:12" x14ac:dyDescent="0.2">
      <c r="A1081">
        <v>1080</v>
      </c>
      <c r="B1081" s="7" t="s">
        <v>356</v>
      </c>
      <c r="C1081" t="s">
        <v>1311</v>
      </c>
      <c r="D1081" s="65" t="str">
        <f t="shared" si="32"/>
        <v>Y</v>
      </c>
      <c r="E1081" t="s">
        <v>1314</v>
      </c>
      <c r="F1081" s="25" t="s">
        <v>295</v>
      </c>
      <c r="G1081" s="26">
        <v>5</v>
      </c>
      <c r="H1081" s="7" t="s">
        <v>295</v>
      </c>
      <c r="I1081" s="7" t="s">
        <v>296</v>
      </c>
      <c r="J1081" s="1">
        <v>5</v>
      </c>
      <c r="K1081" s="1">
        <v>6</v>
      </c>
      <c r="L1081" s="67">
        <f t="shared" si="33"/>
        <v>1</v>
      </c>
    </row>
    <row r="1082" spans="1:12" x14ac:dyDescent="0.2">
      <c r="A1082">
        <v>1081</v>
      </c>
      <c r="B1082" s="7" t="s">
        <v>356</v>
      </c>
      <c r="C1082" t="s">
        <v>1311</v>
      </c>
      <c r="D1082" s="65" t="str">
        <f t="shared" si="32"/>
        <v>Y</v>
      </c>
      <c r="E1082" t="s">
        <v>1314</v>
      </c>
      <c r="F1082" s="25" t="s">
        <v>295</v>
      </c>
      <c r="G1082" s="26">
        <v>5</v>
      </c>
      <c r="H1082" s="7" t="s">
        <v>295</v>
      </c>
      <c r="I1082" s="7" t="s">
        <v>296</v>
      </c>
      <c r="J1082" s="1">
        <v>5</v>
      </c>
      <c r="K1082" s="1">
        <v>6</v>
      </c>
      <c r="L1082" s="67">
        <f t="shared" si="33"/>
        <v>1</v>
      </c>
    </row>
    <row r="1083" spans="1:12" x14ac:dyDescent="0.2">
      <c r="A1083">
        <v>1082</v>
      </c>
      <c r="B1083" s="7" t="s">
        <v>372</v>
      </c>
      <c r="C1083" t="s">
        <v>1311</v>
      </c>
      <c r="D1083" s="65" t="str">
        <f t="shared" si="32"/>
        <v>Y</v>
      </c>
      <c r="E1083" t="s">
        <v>1314</v>
      </c>
      <c r="F1083" s="25" t="s">
        <v>295</v>
      </c>
      <c r="G1083" s="26">
        <v>5</v>
      </c>
      <c r="H1083" s="7" t="s">
        <v>295</v>
      </c>
      <c r="I1083" s="7" t="s">
        <v>292</v>
      </c>
      <c r="J1083" s="1">
        <v>5</v>
      </c>
      <c r="K1083" s="1">
        <v>5</v>
      </c>
      <c r="L1083" s="67">
        <f t="shared" si="33"/>
        <v>1</v>
      </c>
    </row>
    <row r="1084" spans="1:12" x14ac:dyDescent="0.2">
      <c r="A1084">
        <v>1083</v>
      </c>
      <c r="B1084" s="7" t="s">
        <v>356</v>
      </c>
      <c r="C1084" t="s">
        <v>1311</v>
      </c>
      <c r="D1084" s="65" t="str">
        <f t="shared" si="32"/>
        <v>Y</v>
      </c>
      <c r="E1084" t="s">
        <v>1314</v>
      </c>
      <c r="F1084" s="25" t="s">
        <v>295</v>
      </c>
      <c r="G1084" s="26">
        <v>5</v>
      </c>
      <c r="H1084" s="7" t="s">
        <v>298</v>
      </c>
      <c r="I1084" s="7" t="s">
        <v>297</v>
      </c>
      <c r="J1084" s="1">
        <v>3</v>
      </c>
      <c r="K1084" s="1">
        <v>4</v>
      </c>
      <c r="L1084" s="67">
        <f t="shared" si="33"/>
        <v>0</v>
      </c>
    </row>
    <row r="1085" spans="1:12" x14ac:dyDescent="0.2">
      <c r="A1085">
        <v>1084</v>
      </c>
      <c r="B1085" s="7" t="s">
        <v>372</v>
      </c>
      <c r="C1085" t="s">
        <v>1311</v>
      </c>
      <c r="D1085" s="65" t="str">
        <f t="shared" si="32"/>
        <v>Y</v>
      </c>
      <c r="E1085" t="s">
        <v>1314</v>
      </c>
      <c r="F1085" s="25" t="s">
        <v>295</v>
      </c>
      <c r="G1085" s="26">
        <v>5</v>
      </c>
      <c r="H1085" s="7" t="s">
        <v>299</v>
      </c>
      <c r="I1085" s="7" t="s">
        <v>292</v>
      </c>
      <c r="J1085" s="1">
        <v>4</v>
      </c>
      <c r="K1085" s="1">
        <v>5</v>
      </c>
      <c r="L1085" s="67">
        <f t="shared" si="33"/>
        <v>0</v>
      </c>
    </row>
    <row r="1086" spans="1:12" x14ac:dyDescent="0.2">
      <c r="A1086">
        <v>1085</v>
      </c>
      <c r="B1086" s="7" t="s">
        <v>356</v>
      </c>
      <c r="C1086" t="s">
        <v>1311</v>
      </c>
      <c r="D1086" s="65" t="str">
        <f t="shared" si="32"/>
        <v>Y</v>
      </c>
      <c r="E1086" t="s">
        <v>1314</v>
      </c>
      <c r="F1086" s="25" t="s">
        <v>295</v>
      </c>
      <c r="G1086" s="26">
        <v>5</v>
      </c>
      <c r="H1086" s="7" t="s">
        <v>295</v>
      </c>
      <c r="I1086" s="7" t="s">
        <v>292</v>
      </c>
      <c r="J1086" s="1">
        <v>5</v>
      </c>
      <c r="K1086" s="1">
        <v>5</v>
      </c>
      <c r="L1086" s="67">
        <f t="shared" si="33"/>
        <v>1</v>
      </c>
    </row>
    <row r="1087" spans="1:12" x14ac:dyDescent="0.2">
      <c r="A1087">
        <v>1086</v>
      </c>
      <c r="B1087" s="7" t="s">
        <v>372</v>
      </c>
      <c r="C1087" t="s">
        <v>1311</v>
      </c>
      <c r="D1087" s="65" t="str">
        <f t="shared" si="32"/>
        <v>Y</v>
      </c>
      <c r="E1087" t="s">
        <v>1314</v>
      </c>
      <c r="F1087" s="25" t="s">
        <v>295</v>
      </c>
      <c r="G1087" s="26">
        <v>5</v>
      </c>
      <c r="H1087" s="7" t="s">
        <v>295</v>
      </c>
      <c r="I1087" s="7" t="s">
        <v>294</v>
      </c>
      <c r="J1087" s="1">
        <v>5</v>
      </c>
      <c r="K1087" s="1">
        <v>7</v>
      </c>
      <c r="L1087" s="67">
        <f t="shared" si="33"/>
        <v>1</v>
      </c>
    </row>
    <row r="1088" spans="1:12" x14ac:dyDescent="0.2">
      <c r="A1088">
        <v>1087</v>
      </c>
      <c r="B1088" s="7" t="s">
        <v>356</v>
      </c>
      <c r="C1088" t="s">
        <v>1311</v>
      </c>
      <c r="D1088" s="65" t="str">
        <f t="shared" si="32"/>
        <v>Y</v>
      </c>
      <c r="E1088" t="s">
        <v>1314</v>
      </c>
      <c r="F1088" s="25" t="s">
        <v>295</v>
      </c>
      <c r="G1088" s="26">
        <v>5</v>
      </c>
      <c r="H1088" s="7" t="s">
        <v>298</v>
      </c>
      <c r="I1088" s="7" t="s">
        <v>296</v>
      </c>
      <c r="J1088" s="1">
        <v>3</v>
      </c>
      <c r="K1088" s="1">
        <v>6</v>
      </c>
      <c r="L1088" s="67">
        <f t="shared" si="33"/>
        <v>0</v>
      </c>
    </row>
    <row r="1089" spans="1:12" x14ac:dyDescent="0.2">
      <c r="A1089">
        <v>1088</v>
      </c>
      <c r="B1089" s="7" t="s">
        <v>372</v>
      </c>
      <c r="C1089" t="s">
        <v>1311</v>
      </c>
      <c r="D1089" s="65" t="str">
        <f t="shared" si="32"/>
        <v>Y</v>
      </c>
      <c r="E1089" t="s">
        <v>1314</v>
      </c>
      <c r="F1089" s="25" t="s">
        <v>295</v>
      </c>
      <c r="G1089" s="26">
        <v>5</v>
      </c>
      <c r="H1089" s="7" t="s">
        <v>298</v>
      </c>
      <c r="I1089" s="7" t="s">
        <v>292</v>
      </c>
      <c r="J1089" s="1">
        <v>3</v>
      </c>
      <c r="K1089" s="1">
        <v>5</v>
      </c>
      <c r="L1089" s="67">
        <f t="shared" si="33"/>
        <v>0</v>
      </c>
    </row>
    <row r="1090" spans="1:12" x14ac:dyDescent="0.2">
      <c r="A1090">
        <v>1089</v>
      </c>
      <c r="B1090" s="7" t="s">
        <v>372</v>
      </c>
      <c r="C1090" t="s">
        <v>1311</v>
      </c>
      <c r="D1090" s="65" t="str">
        <f t="shared" si="32"/>
        <v>Y</v>
      </c>
      <c r="E1090" t="s">
        <v>1314</v>
      </c>
      <c r="F1090" s="25" t="s">
        <v>295</v>
      </c>
      <c r="G1090" s="26">
        <v>5</v>
      </c>
      <c r="H1090" s="7" t="s">
        <v>295</v>
      </c>
      <c r="I1090" s="7" t="s">
        <v>294</v>
      </c>
      <c r="J1090" s="1">
        <v>5</v>
      </c>
      <c r="K1090" s="1">
        <v>7</v>
      </c>
      <c r="L1090" s="67">
        <f t="shared" si="33"/>
        <v>1</v>
      </c>
    </row>
    <row r="1091" spans="1:12" x14ac:dyDescent="0.2">
      <c r="A1091">
        <v>1090</v>
      </c>
      <c r="B1091" s="7" t="s">
        <v>356</v>
      </c>
      <c r="C1091" t="s">
        <v>1311</v>
      </c>
      <c r="D1091" s="65" t="str">
        <f t="shared" ref="D1091:D1154" si="34">IF($E1091="iso", "N", IF(OR($E1091="non", $E1091="emd", $E1091="dyn"), "Y", "ERROR"))</f>
        <v>Y</v>
      </c>
      <c r="E1091" t="s">
        <v>1314</v>
      </c>
      <c r="F1091" s="25" t="s">
        <v>295</v>
      </c>
      <c r="G1091" s="26">
        <v>5</v>
      </c>
      <c r="H1091" s="7" t="s">
        <v>295</v>
      </c>
      <c r="I1091" s="7" t="s">
        <v>292</v>
      </c>
      <c r="J1091" s="1">
        <v>5</v>
      </c>
      <c r="K1091" s="1">
        <v>5</v>
      </c>
      <c r="L1091" s="67">
        <f t="shared" ref="L1091:L1154" si="35">IF(G1091=J1091, 1, 0)</f>
        <v>1</v>
      </c>
    </row>
    <row r="1092" spans="1:12" x14ac:dyDescent="0.2">
      <c r="A1092">
        <v>1091</v>
      </c>
      <c r="B1092" s="7" t="s">
        <v>356</v>
      </c>
      <c r="C1092" t="s">
        <v>1311</v>
      </c>
      <c r="D1092" s="65" t="str">
        <f t="shared" si="34"/>
        <v>Y</v>
      </c>
      <c r="E1092" t="s">
        <v>1314</v>
      </c>
      <c r="F1092" s="25" t="s">
        <v>295</v>
      </c>
      <c r="G1092" s="26">
        <v>5</v>
      </c>
      <c r="H1092" s="7" t="s">
        <v>295</v>
      </c>
      <c r="I1092" s="7" t="s">
        <v>296</v>
      </c>
      <c r="J1092" s="1">
        <v>5</v>
      </c>
      <c r="K1092" s="1">
        <v>6</v>
      </c>
      <c r="L1092" s="67">
        <f t="shared" si="35"/>
        <v>1</v>
      </c>
    </row>
    <row r="1093" spans="1:12" x14ac:dyDescent="0.2">
      <c r="A1093">
        <v>1092</v>
      </c>
      <c r="B1093" s="7" t="s">
        <v>372</v>
      </c>
      <c r="C1093" t="s">
        <v>1311</v>
      </c>
      <c r="D1093" s="65" t="str">
        <f t="shared" si="34"/>
        <v>Y</v>
      </c>
      <c r="E1093" t="s">
        <v>1314</v>
      </c>
      <c r="F1093" s="25" t="s">
        <v>295</v>
      </c>
      <c r="G1093" s="26">
        <v>5</v>
      </c>
      <c r="H1093" s="7" t="s">
        <v>295</v>
      </c>
      <c r="I1093" s="7" t="s">
        <v>294</v>
      </c>
      <c r="J1093" s="1">
        <v>5</v>
      </c>
      <c r="K1093" s="1">
        <v>7</v>
      </c>
      <c r="L1093" s="67">
        <f t="shared" si="35"/>
        <v>1</v>
      </c>
    </row>
    <row r="1094" spans="1:12" x14ac:dyDescent="0.2">
      <c r="A1094">
        <v>1093</v>
      </c>
      <c r="B1094" s="7" t="s">
        <v>372</v>
      </c>
      <c r="C1094" t="s">
        <v>1311</v>
      </c>
      <c r="D1094" s="65" t="str">
        <f t="shared" si="34"/>
        <v>Y</v>
      </c>
      <c r="E1094" t="s">
        <v>1314</v>
      </c>
      <c r="F1094" s="25" t="s">
        <v>295</v>
      </c>
      <c r="G1094" s="26">
        <v>5</v>
      </c>
      <c r="H1094" s="7" t="s">
        <v>298</v>
      </c>
      <c r="I1094" s="7" t="s">
        <v>296</v>
      </c>
      <c r="J1094" s="1">
        <v>3</v>
      </c>
      <c r="K1094" s="1">
        <v>6</v>
      </c>
      <c r="L1094" s="67">
        <f t="shared" si="35"/>
        <v>0</v>
      </c>
    </row>
    <row r="1095" spans="1:12" x14ac:dyDescent="0.2">
      <c r="A1095">
        <v>1094</v>
      </c>
      <c r="B1095" s="7" t="s">
        <v>356</v>
      </c>
      <c r="C1095" t="s">
        <v>1311</v>
      </c>
      <c r="D1095" s="65" t="str">
        <f t="shared" si="34"/>
        <v>Y</v>
      </c>
      <c r="E1095" t="s">
        <v>1314</v>
      </c>
      <c r="F1095" s="25" t="s">
        <v>295</v>
      </c>
      <c r="G1095" s="26">
        <v>5</v>
      </c>
      <c r="H1095" s="7" t="s">
        <v>298</v>
      </c>
      <c r="I1095" s="7" t="s">
        <v>296</v>
      </c>
      <c r="J1095" s="1">
        <v>3</v>
      </c>
      <c r="K1095" s="1">
        <v>6</v>
      </c>
      <c r="L1095" s="67">
        <f t="shared" si="35"/>
        <v>0</v>
      </c>
    </row>
    <row r="1096" spans="1:12" x14ac:dyDescent="0.2">
      <c r="A1096">
        <v>1095</v>
      </c>
      <c r="B1096" s="7" t="s">
        <v>372</v>
      </c>
      <c r="C1096" t="s">
        <v>1311</v>
      </c>
      <c r="D1096" s="65" t="str">
        <f t="shared" si="34"/>
        <v>Y</v>
      </c>
      <c r="E1096" t="s">
        <v>1314</v>
      </c>
      <c r="F1096" s="25" t="s">
        <v>295</v>
      </c>
      <c r="G1096" s="26">
        <v>5</v>
      </c>
      <c r="H1096" s="7" t="s">
        <v>298</v>
      </c>
      <c r="I1096" s="7" t="s">
        <v>292</v>
      </c>
      <c r="J1096" s="1">
        <v>3</v>
      </c>
      <c r="K1096" s="1">
        <v>5</v>
      </c>
      <c r="L1096" s="67">
        <f t="shared" si="35"/>
        <v>0</v>
      </c>
    </row>
    <row r="1097" spans="1:12" x14ac:dyDescent="0.2">
      <c r="A1097">
        <v>1096</v>
      </c>
      <c r="B1097" s="7" t="s">
        <v>356</v>
      </c>
      <c r="C1097" t="s">
        <v>1311</v>
      </c>
      <c r="D1097" s="65" t="str">
        <f t="shared" si="34"/>
        <v>Y</v>
      </c>
      <c r="E1097" t="s">
        <v>1314</v>
      </c>
      <c r="F1097" s="25" t="s">
        <v>295</v>
      </c>
      <c r="G1097" s="26">
        <v>5</v>
      </c>
      <c r="H1097" s="7" t="s">
        <v>295</v>
      </c>
      <c r="I1097" s="7" t="s">
        <v>296</v>
      </c>
      <c r="J1097" s="1">
        <v>5</v>
      </c>
      <c r="K1097" s="1">
        <v>6</v>
      </c>
      <c r="L1097" s="67">
        <f t="shared" si="35"/>
        <v>1</v>
      </c>
    </row>
    <row r="1098" spans="1:12" x14ac:dyDescent="0.2">
      <c r="A1098">
        <v>1097</v>
      </c>
      <c r="B1098" s="7" t="s">
        <v>356</v>
      </c>
      <c r="C1098" t="s">
        <v>1311</v>
      </c>
      <c r="D1098" s="65" t="str">
        <f t="shared" si="34"/>
        <v>Y</v>
      </c>
      <c r="E1098" t="s">
        <v>1314</v>
      </c>
      <c r="F1098" s="25" t="s">
        <v>295</v>
      </c>
      <c r="G1098" s="26">
        <v>5</v>
      </c>
      <c r="H1098" s="7" t="s">
        <v>295</v>
      </c>
      <c r="I1098" s="7" t="s">
        <v>292</v>
      </c>
      <c r="J1098" s="1">
        <v>5</v>
      </c>
      <c r="K1098" s="1">
        <v>5</v>
      </c>
      <c r="L1098" s="67">
        <f t="shared" si="35"/>
        <v>1</v>
      </c>
    </row>
    <row r="1099" spans="1:12" x14ac:dyDescent="0.2">
      <c r="A1099">
        <v>1098</v>
      </c>
      <c r="B1099" s="7" t="s">
        <v>372</v>
      </c>
      <c r="C1099" t="s">
        <v>1311</v>
      </c>
      <c r="D1099" s="65" t="str">
        <f t="shared" si="34"/>
        <v>Y</v>
      </c>
      <c r="E1099" t="s">
        <v>1314</v>
      </c>
      <c r="F1099" s="25" t="s">
        <v>295</v>
      </c>
      <c r="G1099" s="26">
        <v>5</v>
      </c>
      <c r="H1099" s="7" t="s">
        <v>298</v>
      </c>
      <c r="I1099" s="7" t="s">
        <v>296</v>
      </c>
      <c r="J1099" s="1">
        <v>3</v>
      </c>
      <c r="K1099" s="1">
        <v>6</v>
      </c>
      <c r="L1099" s="67">
        <f t="shared" si="35"/>
        <v>0</v>
      </c>
    </row>
    <row r="1100" spans="1:12" x14ac:dyDescent="0.2">
      <c r="A1100">
        <v>1099</v>
      </c>
      <c r="B1100" s="7" t="s">
        <v>372</v>
      </c>
      <c r="C1100" t="s">
        <v>1311</v>
      </c>
      <c r="D1100" s="65" t="str">
        <f t="shared" si="34"/>
        <v>Y</v>
      </c>
      <c r="E1100" t="s">
        <v>1314</v>
      </c>
      <c r="F1100" s="25" t="s">
        <v>295</v>
      </c>
      <c r="G1100" s="26">
        <v>5</v>
      </c>
      <c r="H1100" s="7" t="s">
        <v>295</v>
      </c>
      <c r="I1100" s="7" t="s">
        <v>292</v>
      </c>
      <c r="J1100" s="1">
        <v>5</v>
      </c>
      <c r="K1100" s="1">
        <v>5</v>
      </c>
      <c r="L1100" s="67">
        <f t="shared" si="35"/>
        <v>1</v>
      </c>
    </row>
    <row r="1101" spans="1:12" x14ac:dyDescent="0.2">
      <c r="A1101">
        <v>1100</v>
      </c>
      <c r="B1101" s="7" t="s">
        <v>356</v>
      </c>
      <c r="C1101" t="s">
        <v>1311</v>
      </c>
      <c r="D1101" s="65" t="str">
        <f t="shared" si="34"/>
        <v>Y</v>
      </c>
      <c r="E1101" t="s">
        <v>1314</v>
      </c>
      <c r="F1101" s="25" t="s">
        <v>295</v>
      </c>
      <c r="G1101" s="26">
        <v>5</v>
      </c>
      <c r="H1101" s="7" t="s">
        <v>295</v>
      </c>
      <c r="I1101" s="7" t="s">
        <v>292</v>
      </c>
      <c r="J1101" s="1">
        <v>5</v>
      </c>
      <c r="K1101" s="1">
        <v>5</v>
      </c>
      <c r="L1101" s="67">
        <f t="shared" si="35"/>
        <v>1</v>
      </c>
    </row>
    <row r="1102" spans="1:12" x14ac:dyDescent="0.2">
      <c r="A1102">
        <v>1101</v>
      </c>
      <c r="B1102" s="7" t="s">
        <v>356</v>
      </c>
      <c r="C1102" t="s">
        <v>1311</v>
      </c>
      <c r="D1102" s="65" t="str">
        <f t="shared" si="34"/>
        <v>Y</v>
      </c>
      <c r="E1102" t="s">
        <v>1314</v>
      </c>
      <c r="F1102" s="25" t="s">
        <v>295</v>
      </c>
      <c r="G1102" s="26">
        <v>5</v>
      </c>
      <c r="H1102" s="7" t="s">
        <v>295</v>
      </c>
      <c r="I1102" s="7" t="s">
        <v>297</v>
      </c>
      <c r="J1102" s="1">
        <v>5</v>
      </c>
      <c r="K1102" s="1">
        <v>4</v>
      </c>
      <c r="L1102" s="67">
        <f t="shared" si="35"/>
        <v>1</v>
      </c>
    </row>
    <row r="1103" spans="1:12" x14ac:dyDescent="0.2">
      <c r="A1103">
        <v>1102</v>
      </c>
      <c r="B1103" s="7" t="s">
        <v>372</v>
      </c>
      <c r="C1103" t="s">
        <v>1311</v>
      </c>
      <c r="D1103" s="65" t="str">
        <f t="shared" si="34"/>
        <v>Y</v>
      </c>
      <c r="E1103" t="s">
        <v>1314</v>
      </c>
      <c r="F1103" s="25" t="s">
        <v>295</v>
      </c>
      <c r="G1103" s="26">
        <v>5</v>
      </c>
      <c r="H1103" s="7" t="s">
        <v>299</v>
      </c>
      <c r="I1103" s="7" t="s">
        <v>297</v>
      </c>
      <c r="J1103" s="1">
        <v>4</v>
      </c>
      <c r="K1103" s="1">
        <v>4</v>
      </c>
      <c r="L1103" s="67">
        <f t="shared" si="35"/>
        <v>0</v>
      </c>
    </row>
    <row r="1104" spans="1:12" x14ac:dyDescent="0.2">
      <c r="A1104">
        <v>1103</v>
      </c>
      <c r="B1104" s="7" t="s">
        <v>356</v>
      </c>
      <c r="C1104" t="s">
        <v>1311</v>
      </c>
      <c r="D1104" s="65" t="str">
        <f t="shared" si="34"/>
        <v>Y</v>
      </c>
      <c r="E1104" t="s">
        <v>1314</v>
      </c>
      <c r="F1104" s="25" t="s">
        <v>295</v>
      </c>
      <c r="G1104" s="26">
        <v>5</v>
      </c>
      <c r="H1104" s="7" t="s">
        <v>295</v>
      </c>
      <c r="I1104" s="7" t="s">
        <v>292</v>
      </c>
      <c r="J1104" s="1">
        <v>5</v>
      </c>
      <c r="K1104" s="1">
        <v>5</v>
      </c>
      <c r="L1104" s="67">
        <f t="shared" si="35"/>
        <v>1</v>
      </c>
    </row>
    <row r="1105" spans="1:12" x14ac:dyDescent="0.2">
      <c r="A1105">
        <v>1104</v>
      </c>
      <c r="B1105" s="7" t="s">
        <v>372</v>
      </c>
      <c r="C1105" t="s">
        <v>1311</v>
      </c>
      <c r="D1105" s="65" t="str">
        <f t="shared" si="34"/>
        <v>Y</v>
      </c>
      <c r="E1105" t="s">
        <v>1314</v>
      </c>
      <c r="F1105" s="25" t="s">
        <v>295</v>
      </c>
      <c r="G1105" s="26">
        <v>5</v>
      </c>
      <c r="H1105" s="7" t="s">
        <v>298</v>
      </c>
      <c r="I1105" s="7" t="s">
        <v>296</v>
      </c>
      <c r="J1105" s="1">
        <v>3</v>
      </c>
      <c r="K1105" s="1">
        <v>6</v>
      </c>
      <c r="L1105" s="67">
        <f t="shared" si="35"/>
        <v>0</v>
      </c>
    </row>
    <row r="1106" spans="1:12" x14ac:dyDescent="0.2">
      <c r="A1106">
        <v>1105</v>
      </c>
      <c r="B1106" s="7" t="s">
        <v>356</v>
      </c>
      <c r="C1106" t="s">
        <v>1311</v>
      </c>
      <c r="D1106" s="65" t="str">
        <f t="shared" si="34"/>
        <v>Y</v>
      </c>
      <c r="E1106" t="s">
        <v>1314</v>
      </c>
      <c r="F1106" s="25" t="s">
        <v>295</v>
      </c>
      <c r="G1106" s="26">
        <v>5</v>
      </c>
      <c r="H1106" s="7" t="s">
        <v>295</v>
      </c>
      <c r="I1106" s="7" t="s">
        <v>296</v>
      </c>
      <c r="J1106" s="1">
        <v>5</v>
      </c>
      <c r="K1106" s="1">
        <v>6</v>
      </c>
      <c r="L1106" s="67">
        <f t="shared" si="35"/>
        <v>1</v>
      </c>
    </row>
    <row r="1107" spans="1:12" x14ac:dyDescent="0.2">
      <c r="A1107">
        <v>1106</v>
      </c>
      <c r="B1107" s="7" t="s">
        <v>372</v>
      </c>
      <c r="C1107" t="s">
        <v>1311</v>
      </c>
      <c r="D1107" s="65" t="str">
        <f t="shared" si="34"/>
        <v>Y</v>
      </c>
      <c r="E1107" t="s">
        <v>1314</v>
      </c>
      <c r="F1107" s="25" t="s">
        <v>295</v>
      </c>
      <c r="G1107" s="26">
        <v>5</v>
      </c>
      <c r="H1107" s="7" t="s">
        <v>295</v>
      </c>
      <c r="I1107" s="7" t="s">
        <v>292</v>
      </c>
      <c r="J1107" s="1">
        <v>5</v>
      </c>
      <c r="K1107" s="1">
        <v>5</v>
      </c>
      <c r="L1107" s="67">
        <f t="shared" si="35"/>
        <v>1</v>
      </c>
    </row>
    <row r="1108" spans="1:12" x14ac:dyDescent="0.2">
      <c r="A1108">
        <v>1107</v>
      </c>
      <c r="B1108" s="7" t="s">
        <v>356</v>
      </c>
      <c r="C1108" t="s">
        <v>1311</v>
      </c>
      <c r="D1108" s="65" t="str">
        <f t="shared" si="34"/>
        <v>Y</v>
      </c>
      <c r="E1108" t="s">
        <v>1314</v>
      </c>
      <c r="F1108" s="25" t="s">
        <v>298</v>
      </c>
      <c r="G1108" s="26">
        <v>3</v>
      </c>
      <c r="H1108" s="7" t="s">
        <v>298</v>
      </c>
      <c r="I1108" s="7" t="s">
        <v>296</v>
      </c>
      <c r="J1108" s="1">
        <v>3</v>
      </c>
      <c r="K1108" s="1">
        <v>6</v>
      </c>
      <c r="L1108" s="67">
        <f t="shared" si="35"/>
        <v>1</v>
      </c>
    </row>
    <row r="1109" spans="1:12" x14ac:dyDescent="0.2">
      <c r="A1109">
        <v>1108</v>
      </c>
      <c r="B1109" s="7" t="s">
        <v>372</v>
      </c>
      <c r="C1109" t="s">
        <v>1311</v>
      </c>
      <c r="D1109" s="65" t="str">
        <f t="shared" si="34"/>
        <v>Y</v>
      </c>
      <c r="E1109" t="s">
        <v>1314</v>
      </c>
      <c r="F1109" s="25" t="s">
        <v>298</v>
      </c>
      <c r="G1109" s="26">
        <v>3</v>
      </c>
      <c r="H1109" s="7" t="s">
        <v>298</v>
      </c>
      <c r="I1109" s="7" t="s">
        <v>292</v>
      </c>
      <c r="J1109" s="1">
        <v>3</v>
      </c>
      <c r="K1109" s="1">
        <v>5</v>
      </c>
      <c r="L1109" s="67">
        <f t="shared" si="35"/>
        <v>1</v>
      </c>
    </row>
    <row r="1110" spans="1:12" x14ac:dyDescent="0.2">
      <c r="A1110">
        <v>1109</v>
      </c>
      <c r="B1110" s="7" t="s">
        <v>372</v>
      </c>
      <c r="C1110" t="s">
        <v>1311</v>
      </c>
      <c r="D1110" s="65" t="str">
        <f t="shared" si="34"/>
        <v>Y</v>
      </c>
      <c r="E1110" t="s">
        <v>1314</v>
      </c>
      <c r="F1110" s="25" t="s">
        <v>298</v>
      </c>
      <c r="G1110" s="26">
        <v>3</v>
      </c>
      <c r="H1110" s="7" t="s">
        <v>298</v>
      </c>
      <c r="I1110" s="7" t="s">
        <v>292</v>
      </c>
      <c r="J1110" s="1">
        <v>3</v>
      </c>
      <c r="K1110" s="1">
        <v>5</v>
      </c>
      <c r="L1110" s="67">
        <f t="shared" si="35"/>
        <v>1</v>
      </c>
    </row>
    <row r="1111" spans="1:12" x14ac:dyDescent="0.2">
      <c r="A1111">
        <v>1110</v>
      </c>
      <c r="B1111" s="7" t="s">
        <v>356</v>
      </c>
      <c r="C1111" t="s">
        <v>1311</v>
      </c>
      <c r="D1111" s="65" t="str">
        <f t="shared" si="34"/>
        <v>Y</v>
      </c>
      <c r="E1111" t="s">
        <v>1314</v>
      </c>
      <c r="F1111" s="25" t="s">
        <v>298</v>
      </c>
      <c r="G1111" s="26">
        <v>3</v>
      </c>
      <c r="H1111" s="7" t="s">
        <v>291</v>
      </c>
      <c r="I1111" s="7" t="s">
        <v>292</v>
      </c>
      <c r="J1111" s="1">
        <v>1</v>
      </c>
      <c r="K1111" s="1">
        <v>5</v>
      </c>
      <c r="L1111" s="67">
        <f t="shared" si="35"/>
        <v>0</v>
      </c>
    </row>
    <row r="1112" spans="1:12" x14ac:dyDescent="0.2">
      <c r="A1112">
        <v>1111</v>
      </c>
      <c r="B1112" s="7" t="s">
        <v>372</v>
      </c>
      <c r="C1112" t="s">
        <v>1311</v>
      </c>
      <c r="D1112" s="65" t="str">
        <f t="shared" si="34"/>
        <v>Y</v>
      </c>
      <c r="E1112" t="s">
        <v>1314</v>
      </c>
      <c r="F1112" s="25" t="s">
        <v>298</v>
      </c>
      <c r="G1112" s="26">
        <v>3</v>
      </c>
      <c r="H1112" s="7" t="s">
        <v>298</v>
      </c>
      <c r="I1112" s="7" t="s">
        <v>292</v>
      </c>
      <c r="J1112" s="1">
        <v>3</v>
      </c>
      <c r="K1112" s="1">
        <v>5</v>
      </c>
      <c r="L1112" s="67">
        <f t="shared" si="35"/>
        <v>1</v>
      </c>
    </row>
    <row r="1113" spans="1:12" x14ac:dyDescent="0.2">
      <c r="A1113">
        <v>1112</v>
      </c>
      <c r="B1113" s="7" t="s">
        <v>356</v>
      </c>
      <c r="C1113" t="s">
        <v>1311</v>
      </c>
      <c r="D1113" s="65" t="str">
        <f t="shared" si="34"/>
        <v>Y</v>
      </c>
      <c r="E1113" t="s">
        <v>1314</v>
      </c>
      <c r="F1113" s="25" t="s">
        <v>298</v>
      </c>
      <c r="G1113" s="26">
        <v>3</v>
      </c>
      <c r="H1113" s="7" t="s">
        <v>298</v>
      </c>
      <c r="I1113" s="7" t="s">
        <v>292</v>
      </c>
      <c r="J1113" s="1">
        <v>3</v>
      </c>
      <c r="K1113" s="1">
        <v>5</v>
      </c>
      <c r="L1113" s="67">
        <f t="shared" si="35"/>
        <v>1</v>
      </c>
    </row>
    <row r="1114" spans="1:12" x14ac:dyDescent="0.2">
      <c r="A1114">
        <v>1113</v>
      </c>
      <c r="B1114" s="7" t="s">
        <v>372</v>
      </c>
      <c r="C1114" t="s">
        <v>1311</v>
      </c>
      <c r="D1114" s="65" t="str">
        <f t="shared" si="34"/>
        <v>Y</v>
      </c>
      <c r="E1114" t="s">
        <v>1314</v>
      </c>
      <c r="F1114" s="25" t="s">
        <v>298</v>
      </c>
      <c r="G1114" s="26">
        <v>3</v>
      </c>
      <c r="H1114" s="7" t="s">
        <v>291</v>
      </c>
      <c r="I1114" s="7" t="s">
        <v>296</v>
      </c>
      <c r="J1114" s="1">
        <v>1</v>
      </c>
      <c r="K1114" s="1">
        <v>6</v>
      </c>
      <c r="L1114" s="67">
        <f t="shared" si="35"/>
        <v>0</v>
      </c>
    </row>
    <row r="1115" spans="1:12" x14ac:dyDescent="0.2">
      <c r="A1115">
        <v>1114</v>
      </c>
      <c r="B1115" s="7" t="s">
        <v>356</v>
      </c>
      <c r="C1115" t="s">
        <v>1311</v>
      </c>
      <c r="D1115" s="65" t="str">
        <f t="shared" si="34"/>
        <v>Y</v>
      </c>
      <c r="E1115" t="s">
        <v>1314</v>
      </c>
      <c r="F1115" s="25" t="s">
        <v>298</v>
      </c>
      <c r="G1115" s="26">
        <v>3</v>
      </c>
      <c r="H1115" s="7" t="s">
        <v>299</v>
      </c>
      <c r="I1115" s="7" t="s">
        <v>292</v>
      </c>
      <c r="J1115" s="1">
        <v>4</v>
      </c>
      <c r="K1115" s="1">
        <v>5</v>
      </c>
      <c r="L1115" s="67">
        <f t="shared" si="35"/>
        <v>0</v>
      </c>
    </row>
    <row r="1116" spans="1:12" x14ac:dyDescent="0.2">
      <c r="A1116">
        <v>1115</v>
      </c>
      <c r="B1116" s="7" t="s">
        <v>372</v>
      </c>
      <c r="C1116" t="s">
        <v>1311</v>
      </c>
      <c r="D1116" s="65" t="str">
        <f t="shared" si="34"/>
        <v>Y</v>
      </c>
      <c r="E1116" t="s">
        <v>1314</v>
      </c>
      <c r="F1116" s="25" t="s">
        <v>298</v>
      </c>
      <c r="G1116" s="26">
        <v>3</v>
      </c>
      <c r="H1116" s="7" t="s">
        <v>298</v>
      </c>
      <c r="I1116" s="7" t="s">
        <v>296</v>
      </c>
      <c r="J1116" s="1">
        <v>3</v>
      </c>
      <c r="K1116" s="1">
        <v>6</v>
      </c>
      <c r="L1116" s="67">
        <f t="shared" si="35"/>
        <v>1</v>
      </c>
    </row>
    <row r="1117" spans="1:12" x14ac:dyDescent="0.2">
      <c r="A1117">
        <v>1116</v>
      </c>
      <c r="B1117" s="7" t="s">
        <v>356</v>
      </c>
      <c r="C1117" t="s">
        <v>1311</v>
      </c>
      <c r="D1117" s="65" t="str">
        <f t="shared" si="34"/>
        <v>Y</v>
      </c>
      <c r="E1117" t="s">
        <v>1314</v>
      </c>
      <c r="F1117" s="25" t="s">
        <v>298</v>
      </c>
      <c r="G1117" s="26">
        <v>3</v>
      </c>
      <c r="H1117" s="7" t="s">
        <v>291</v>
      </c>
      <c r="I1117" s="7" t="s">
        <v>297</v>
      </c>
      <c r="J1117" s="1">
        <v>1</v>
      </c>
      <c r="K1117" s="1">
        <v>4</v>
      </c>
      <c r="L1117" s="67">
        <f t="shared" si="35"/>
        <v>0</v>
      </c>
    </row>
    <row r="1118" spans="1:12" x14ac:dyDescent="0.2">
      <c r="A1118">
        <v>1117</v>
      </c>
      <c r="B1118" s="7" t="s">
        <v>356</v>
      </c>
      <c r="C1118" t="s">
        <v>1311</v>
      </c>
      <c r="D1118" s="65" t="str">
        <f t="shared" si="34"/>
        <v>Y</v>
      </c>
      <c r="E1118" t="s">
        <v>1314</v>
      </c>
      <c r="F1118" s="25" t="s">
        <v>298</v>
      </c>
      <c r="G1118" s="26">
        <v>3</v>
      </c>
      <c r="H1118" s="7" t="s">
        <v>298</v>
      </c>
      <c r="I1118" s="7" t="s">
        <v>296</v>
      </c>
      <c r="J1118" s="1">
        <v>3</v>
      </c>
      <c r="K1118" s="1">
        <v>6</v>
      </c>
      <c r="L1118" s="67">
        <f t="shared" si="35"/>
        <v>1</v>
      </c>
    </row>
    <row r="1119" spans="1:12" x14ac:dyDescent="0.2">
      <c r="A1119">
        <v>1118</v>
      </c>
      <c r="B1119" s="7" t="s">
        <v>372</v>
      </c>
      <c r="C1119" t="s">
        <v>1311</v>
      </c>
      <c r="D1119" s="65" t="str">
        <f t="shared" si="34"/>
        <v>Y</v>
      </c>
      <c r="E1119" t="s">
        <v>1314</v>
      </c>
      <c r="F1119" s="25" t="s">
        <v>298</v>
      </c>
      <c r="G1119" s="26">
        <v>3</v>
      </c>
      <c r="H1119" s="7" t="s">
        <v>298</v>
      </c>
      <c r="I1119" s="7" t="s">
        <v>296</v>
      </c>
      <c r="J1119" s="1">
        <v>3</v>
      </c>
      <c r="K1119" s="1">
        <v>6</v>
      </c>
      <c r="L1119" s="67">
        <f t="shared" si="35"/>
        <v>1</v>
      </c>
    </row>
    <row r="1120" spans="1:12" x14ac:dyDescent="0.2">
      <c r="A1120">
        <v>1119</v>
      </c>
      <c r="B1120" s="7" t="s">
        <v>356</v>
      </c>
      <c r="C1120" t="s">
        <v>1311</v>
      </c>
      <c r="D1120" s="65" t="str">
        <f t="shared" si="34"/>
        <v>Y</v>
      </c>
      <c r="E1120" t="s">
        <v>1314</v>
      </c>
      <c r="F1120" s="25" t="s">
        <v>298</v>
      </c>
      <c r="G1120" s="26">
        <v>3</v>
      </c>
      <c r="H1120" s="7" t="s">
        <v>291</v>
      </c>
      <c r="I1120" s="7" t="s">
        <v>296</v>
      </c>
      <c r="J1120" s="1">
        <v>1</v>
      </c>
      <c r="K1120" s="1">
        <v>6</v>
      </c>
      <c r="L1120" s="67">
        <f t="shared" si="35"/>
        <v>0</v>
      </c>
    </row>
    <row r="1121" spans="1:12" x14ac:dyDescent="0.2">
      <c r="A1121">
        <v>1120</v>
      </c>
      <c r="B1121" s="7" t="s">
        <v>372</v>
      </c>
      <c r="C1121" t="s">
        <v>1311</v>
      </c>
      <c r="D1121" s="65" t="str">
        <f t="shared" si="34"/>
        <v>Y</v>
      </c>
      <c r="E1121" t="s">
        <v>1314</v>
      </c>
      <c r="F1121" s="25" t="s">
        <v>298</v>
      </c>
      <c r="G1121" s="26">
        <v>3</v>
      </c>
      <c r="H1121" s="7" t="s">
        <v>298</v>
      </c>
      <c r="I1121" s="7" t="s">
        <v>296</v>
      </c>
      <c r="J1121" s="1">
        <v>3</v>
      </c>
      <c r="K1121" s="1">
        <v>6</v>
      </c>
      <c r="L1121" s="67">
        <f t="shared" si="35"/>
        <v>1</v>
      </c>
    </row>
    <row r="1122" spans="1:12" x14ac:dyDescent="0.2">
      <c r="A1122">
        <v>1121</v>
      </c>
      <c r="B1122" s="7" t="s">
        <v>356</v>
      </c>
      <c r="C1122" t="s">
        <v>1311</v>
      </c>
      <c r="D1122" s="65" t="str">
        <f t="shared" si="34"/>
        <v>Y</v>
      </c>
      <c r="E1122" t="s">
        <v>1314</v>
      </c>
      <c r="F1122" s="25" t="s">
        <v>298</v>
      </c>
      <c r="G1122" s="26">
        <v>3</v>
      </c>
      <c r="H1122" s="7" t="s">
        <v>298</v>
      </c>
      <c r="I1122" s="7" t="s">
        <v>294</v>
      </c>
      <c r="J1122" s="1">
        <v>3</v>
      </c>
      <c r="K1122" s="1">
        <v>7</v>
      </c>
      <c r="L1122" s="67">
        <f t="shared" si="35"/>
        <v>1</v>
      </c>
    </row>
    <row r="1123" spans="1:12" x14ac:dyDescent="0.2">
      <c r="A1123">
        <v>1122</v>
      </c>
      <c r="B1123" s="7" t="s">
        <v>372</v>
      </c>
      <c r="C1123" t="s">
        <v>1311</v>
      </c>
      <c r="D1123" s="65" t="str">
        <f t="shared" si="34"/>
        <v>Y</v>
      </c>
      <c r="E1123" t="s">
        <v>1314</v>
      </c>
      <c r="F1123" s="25" t="s">
        <v>298</v>
      </c>
      <c r="G1123" s="26">
        <v>3</v>
      </c>
      <c r="H1123" s="7" t="s">
        <v>298</v>
      </c>
      <c r="I1123" s="7" t="s">
        <v>296</v>
      </c>
      <c r="J1123" s="1">
        <v>3</v>
      </c>
      <c r="K1123" s="1">
        <v>6</v>
      </c>
      <c r="L1123" s="67">
        <f t="shared" si="35"/>
        <v>1</v>
      </c>
    </row>
    <row r="1124" spans="1:12" x14ac:dyDescent="0.2">
      <c r="A1124">
        <v>1123</v>
      </c>
      <c r="B1124" s="7" t="s">
        <v>372</v>
      </c>
      <c r="C1124" t="s">
        <v>1311</v>
      </c>
      <c r="D1124" s="65" t="str">
        <f t="shared" si="34"/>
        <v>Y</v>
      </c>
      <c r="E1124" t="s">
        <v>1314</v>
      </c>
      <c r="F1124" s="25" t="s">
        <v>298</v>
      </c>
      <c r="G1124" s="26">
        <v>3</v>
      </c>
      <c r="H1124" s="7" t="s">
        <v>291</v>
      </c>
      <c r="I1124" s="7" t="s">
        <v>294</v>
      </c>
      <c r="J1124" s="1">
        <v>1</v>
      </c>
      <c r="K1124" s="1">
        <v>7</v>
      </c>
      <c r="L1124" s="67">
        <f t="shared" si="35"/>
        <v>0</v>
      </c>
    </row>
    <row r="1125" spans="1:12" x14ac:dyDescent="0.2">
      <c r="A1125">
        <v>1124</v>
      </c>
      <c r="B1125" s="7" t="s">
        <v>356</v>
      </c>
      <c r="C1125" t="s">
        <v>1311</v>
      </c>
      <c r="D1125" s="65" t="str">
        <f t="shared" si="34"/>
        <v>Y</v>
      </c>
      <c r="E1125" t="s">
        <v>1314</v>
      </c>
      <c r="F1125" s="25" t="s">
        <v>298</v>
      </c>
      <c r="G1125" s="26">
        <v>3</v>
      </c>
      <c r="H1125" s="7" t="s">
        <v>291</v>
      </c>
      <c r="I1125" s="7" t="s">
        <v>296</v>
      </c>
      <c r="J1125" s="1">
        <v>1</v>
      </c>
      <c r="K1125" s="1">
        <v>6</v>
      </c>
      <c r="L1125" s="67">
        <f t="shared" si="35"/>
        <v>0</v>
      </c>
    </row>
    <row r="1126" spans="1:12" x14ac:dyDescent="0.2">
      <c r="A1126">
        <v>1125</v>
      </c>
      <c r="B1126" s="7" t="s">
        <v>356</v>
      </c>
      <c r="C1126" t="s">
        <v>1311</v>
      </c>
      <c r="D1126" s="65" t="str">
        <f t="shared" si="34"/>
        <v>Y</v>
      </c>
      <c r="E1126" t="s">
        <v>1314</v>
      </c>
      <c r="F1126" s="25" t="s">
        <v>298</v>
      </c>
      <c r="G1126" s="26">
        <v>3</v>
      </c>
      <c r="H1126" s="7" t="s">
        <v>298</v>
      </c>
      <c r="I1126" s="7" t="s">
        <v>296</v>
      </c>
      <c r="J1126" s="1">
        <v>3</v>
      </c>
      <c r="K1126" s="1">
        <v>6</v>
      </c>
      <c r="L1126" s="67">
        <f t="shared" si="35"/>
        <v>1</v>
      </c>
    </row>
    <row r="1127" spans="1:12" x14ac:dyDescent="0.2">
      <c r="A1127">
        <v>1126</v>
      </c>
      <c r="B1127" s="7" t="s">
        <v>372</v>
      </c>
      <c r="C1127" t="s">
        <v>1311</v>
      </c>
      <c r="D1127" s="65" t="str">
        <f t="shared" si="34"/>
        <v>Y</v>
      </c>
      <c r="E1127" t="s">
        <v>1314</v>
      </c>
      <c r="F1127" s="25" t="s">
        <v>298</v>
      </c>
      <c r="G1127" s="26">
        <v>3</v>
      </c>
      <c r="H1127" s="7" t="s">
        <v>291</v>
      </c>
      <c r="I1127" s="7" t="s">
        <v>297</v>
      </c>
      <c r="J1127" s="1">
        <v>1</v>
      </c>
      <c r="K1127" s="1">
        <v>4</v>
      </c>
      <c r="L1127" s="67">
        <f t="shared" si="35"/>
        <v>0</v>
      </c>
    </row>
    <row r="1128" spans="1:12" x14ac:dyDescent="0.2">
      <c r="A1128">
        <v>1127</v>
      </c>
      <c r="B1128" s="7" t="s">
        <v>356</v>
      </c>
      <c r="C1128" t="s">
        <v>1311</v>
      </c>
      <c r="D1128" s="65" t="str">
        <f t="shared" si="34"/>
        <v>Y</v>
      </c>
      <c r="E1128" t="s">
        <v>1314</v>
      </c>
      <c r="F1128" s="25" t="s">
        <v>298</v>
      </c>
      <c r="G1128" s="26">
        <v>3</v>
      </c>
      <c r="H1128" s="7" t="s">
        <v>299</v>
      </c>
      <c r="I1128" s="7" t="s">
        <v>292</v>
      </c>
      <c r="J1128" s="1">
        <v>4</v>
      </c>
      <c r="K1128" s="1">
        <v>5</v>
      </c>
      <c r="L1128" s="67">
        <f t="shared" si="35"/>
        <v>0</v>
      </c>
    </row>
    <row r="1129" spans="1:12" x14ac:dyDescent="0.2">
      <c r="A1129">
        <v>1128</v>
      </c>
      <c r="B1129" s="7" t="s">
        <v>356</v>
      </c>
      <c r="C1129" t="s">
        <v>1311</v>
      </c>
      <c r="D1129" s="65" t="str">
        <f t="shared" si="34"/>
        <v>Y</v>
      </c>
      <c r="E1129" t="s">
        <v>1314</v>
      </c>
      <c r="F1129" s="25" t="s">
        <v>298</v>
      </c>
      <c r="G1129" s="26">
        <v>3</v>
      </c>
      <c r="H1129" s="7" t="s">
        <v>298</v>
      </c>
      <c r="I1129" s="7" t="s">
        <v>296</v>
      </c>
      <c r="J1129" s="1">
        <v>3</v>
      </c>
      <c r="K1129" s="1">
        <v>6</v>
      </c>
      <c r="L1129" s="67">
        <f t="shared" si="35"/>
        <v>1</v>
      </c>
    </row>
    <row r="1130" spans="1:12" x14ac:dyDescent="0.2">
      <c r="A1130">
        <v>1129</v>
      </c>
      <c r="B1130" s="7" t="s">
        <v>372</v>
      </c>
      <c r="C1130" t="s">
        <v>1311</v>
      </c>
      <c r="D1130" s="65" t="str">
        <f t="shared" si="34"/>
        <v>Y</v>
      </c>
      <c r="E1130" t="s">
        <v>1314</v>
      </c>
      <c r="F1130" s="25" t="s">
        <v>298</v>
      </c>
      <c r="G1130" s="26">
        <v>3</v>
      </c>
      <c r="H1130" s="7" t="s">
        <v>291</v>
      </c>
      <c r="I1130" s="7" t="s">
        <v>294</v>
      </c>
      <c r="J1130" s="1">
        <v>1</v>
      </c>
      <c r="K1130" s="1">
        <v>7</v>
      </c>
      <c r="L1130" s="67">
        <f t="shared" si="35"/>
        <v>0</v>
      </c>
    </row>
    <row r="1131" spans="1:12" x14ac:dyDescent="0.2">
      <c r="A1131">
        <v>1130</v>
      </c>
      <c r="B1131" s="7" t="s">
        <v>372</v>
      </c>
      <c r="C1131" t="s">
        <v>1311</v>
      </c>
      <c r="D1131" s="65" t="str">
        <f t="shared" si="34"/>
        <v>Y</v>
      </c>
      <c r="E1131" t="s">
        <v>1314</v>
      </c>
      <c r="F1131" s="25" t="s">
        <v>298</v>
      </c>
      <c r="G1131" s="26">
        <v>3</v>
      </c>
      <c r="H1131" s="7" t="s">
        <v>291</v>
      </c>
      <c r="I1131" s="7" t="s">
        <v>296</v>
      </c>
      <c r="J1131" s="1">
        <v>1</v>
      </c>
      <c r="K1131" s="1">
        <v>6</v>
      </c>
      <c r="L1131" s="67">
        <f t="shared" si="35"/>
        <v>0</v>
      </c>
    </row>
    <row r="1132" spans="1:12" x14ac:dyDescent="0.2">
      <c r="A1132">
        <v>1131</v>
      </c>
      <c r="B1132" s="7" t="s">
        <v>356</v>
      </c>
      <c r="C1132" t="s">
        <v>1311</v>
      </c>
      <c r="D1132" s="65" t="str">
        <f t="shared" si="34"/>
        <v>Y</v>
      </c>
      <c r="E1132" t="s">
        <v>1314</v>
      </c>
      <c r="F1132" s="25" t="s">
        <v>298</v>
      </c>
      <c r="G1132" s="26">
        <v>3</v>
      </c>
      <c r="H1132" s="7" t="s">
        <v>298</v>
      </c>
      <c r="I1132" s="7" t="s">
        <v>296</v>
      </c>
      <c r="J1132" s="1">
        <v>3</v>
      </c>
      <c r="K1132" s="1">
        <v>6</v>
      </c>
      <c r="L1132" s="67">
        <f t="shared" si="35"/>
        <v>1</v>
      </c>
    </row>
    <row r="1133" spans="1:12" x14ac:dyDescent="0.2">
      <c r="A1133">
        <v>1132</v>
      </c>
      <c r="B1133" s="7" t="s">
        <v>356</v>
      </c>
      <c r="C1133" t="s">
        <v>1311</v>
      </c>
      <c r="D1133" s="65" t="str">
        <f t="shared" si="34"/>
        <v>Y</v>
      </c>
      <c r="E1133" t="s">
        <v>1314</v>
      </c>
      <c r="F1133" s="25" t="s">
        <v>298</v>
      </c>
      <c r="G1133" s="26">
        <v>3</v>
      </c>
      <c r="H1133" s="7" t="s">
        <v>298</v>
      </c>
      <c r="I1133" s="7" t="s">
        <v>296</v>
      </c>
      <c r="J1133" s="1">
        <v>3</v>
      </c>
      <c r="K1133" s="1">
        <v>6</v>
      </c>
      <c r="L1133" s="67">
        <f t="shared" si="35"/>
        <v>1</v>
      </c>
    </row>
    <row r="1134" spans="1:12" x14ac:dyDescent="0.2">
      <c r="A1134">
        <v>1133</v>
      </c>
      <c r="B1134" s="7" t="s">
        <v>372</v>
      </c>
      <c r="C1134" t="s">
        <v>1311</v>
      </c>
      <c r="D1134" s="65" t="str">
        <f t="shared" si="34"/>
        <v>Y</v>
      </c>
      <c r="E1134" t="s">
        <v>1314</v>
      </c>
      <c r="F1134" s="25" t="s">
        <v>298</v>
      </c>
      <c r="G1134" s="26">
        <v>3</v>
      </c>
      <c r="H1134" s="7" t="s">
        <v>298</v>
      </c>
      <c r="I1134" s="7" t="s">
        <v>296</v>
      </c>
      <c r="J1134" s="1">
        <v>3</v>
      </c>
      <c r="K1134" s="1">
        <v>6</v>
      </c>
      <c r="L1134" s="67">
        <f t="shared" si="35"/>
        <v>1</v>
      </c>
    </row>
    <row r="1135" spans="1:12" x14ac:dyDescent="0.2">
      <c r="A1135">
        <v>1134</v>
      </c>
      <c r="B1135" s="7" t="s">
        <v>356</v>
      </c>
      <c r="C1135" t="s">
        <v>1311</v>
      </c>
      <c r="D1135" s="65" t="str">
        <f t="shared" si="34"/>
        <v>Y</v>
      </c>
      <c r="E1135" t="s">
        <v>1314</v>
      </c>
      <c r="F1135" s="25" t="s">
        <v>298</v>
      </c>
      <c r="G1135" s="26">
        <v>3</v>
      </c>
      <c r="H1135" s="7" t="s">
        <v>298</v>
      </c>
      <c r="I1135" s="7" t="s">
        <v>292</v>
      </c>
      <c r="J1135" s="1">
        <v>3</v>
      </c>
      <c r="K1135" s="1">
        <v>5</v>
      </c>
      <c r="L1135" s="67">
        <f t="shared" si="35"/>
        <v>1</v>
      </c>
    </row>
    <row r="1136" spans="1:12" x14ac:dyDescent="0.2">
      <c r="A1136">
        <v>1135</v>
      </c>
      <c r="B1136" s="7" t="s">
        <v>372</v>
      </c>
      <c r="C1136" t="s">
        <v>1311</v>
      </c>
      <c r="D1136" s="65" t="str">
        <f t="shared" si="34"/>
        <v>Y</v>
      </c>
      <c r="E1136" t="s">
        <v>1314</v>
      </c>
      <c r="F1136" s="25" t="s">
        <v>298</v>
      </c>
      <c r="G1136" s="26">
        <v>3</v>
      </c>
      <c r="H1136" s="7" t="s">
        <v>298</v>
      </c>
      <c r="I1136" s="7" t="s">
        <v>292</v>
      </c>
      <c r="J1136" s="1">
        <v>3</v>
      </c>
      <c r="K1136" s="1">
        <v>5</v>
      </c>
      <c r="L1136" s="67">
        <f t="shared" si="35"/>
        <v>1</v>
      </c>
    </row>
    <row r="1137" spans="1:12" x14ac:dyDescent="0.2">
      <c r="A1137">
        <v>1136</v>
      </c>
      <c r="B1137" s="7" t="s">
        <v>356</v>
      </c>
      <c r="C1137" t="s">
        <v>1311</v>
      </c>
      <c r="D1137" s="65" t="str">
        <f t="shared" si="34"/>
        <v>Y</v>
      </c>
      <c r="E1137" t="s">
        <v>1314</v>
      </c>
      <c r="F1137" s="25" t="s">
        <v>298</v>
      </c>
      <c r="G1137" s="26">
        <v>3</v>
      </c>
      <c r="H1137" s="7" t="s">
        <v>291</v>
      </c>
      <c r="I1137" s="7" t="s">
        <v>292</v>
      </c>
      <c r="J1137" s="1">
        <v>1</v>
      </c>
      <c r="K1137" s="1">
        <v>5</v>
      </c>
      <c r="L1137" s="67">
        <f t="shared" si="35"/>
        <v>0</v>
      </c>
    </row>
    <row r="1138" spans="1:12" x14ac:dyDescent="0.2">
      <c r="A1138">
        <v>1137</v>
      </c>
      <c r="B1138" s="7" t="s">
        <v>372</v>
      </c>
      <c r="C1138" t="s">
        <v>1311</v>
      </c>
      <c r="D1138" s="65" t="str">
        <f t="shared" si="34"/>
        <v>Y</v>
      </c>
      <c r="E1138" t="s">
        <v>1314</v>
      </c>
      <c r="F1138" s="25" t="s">
        <v>298</v>
      </c>
      <c r="G1138" s="26">
        <v>3</v>
      </c>
      <c r="H1138" s="7" t="s">
        <v>298</v>
      </c>
      <c r="I1138" s="7" t="s">
        <v>297</v>
      </c>
      <c r="J1138" s="1">
        <v>3</v>
      </c>
      <c r="K1138" s="1">
        <v>4</v>
      </c>
      <c r="L1138" s="67">
        <f t="shared" si="35"/>
        <v>1</v>
      </c>
    </row>
    <row r="1139" spans="1:12" x14ac:dyDescent="0.2">
      <c r="A1139">
        <v>1138</v>
      </c>
      <c r="B1139" s="7" t="s">
        <v>356</v>
      </c>
      <c r="C1139" t="s">
        <v>1311</v>
      </c>
      <c r="D1139" s="65" t="str">
        <f t="shared" si="34"/>
        <v>Y</v>
      </c>
      <c r="E1139" t="s">
        <v>1314</v>
      </c>
      <c r="F1139" s="25" t="s">
        <v>298</v>
      </c>
      <c r="G1139" s="26">
        <v>3</v>
      </c>
      <c r="H1139" s="7" t="s">
        <v>298</v>
      </c>
      <c r="I1139" s="7" t="s">
        <v>297</v>
      </c>
      <c r="J1139" s="1">
        <v>3</v>
      </c>
      <c r="K1139" s="1">
        <v>4</v>
      </c>
      <c r="L1139" s="67">
        <f t="shared" si="35"/>
        <v>1</v>
      </c>
    </row>
    <row r="1140" spans="1:12" x14ac:dyDescent="0.2">
      <c r="A1140">
        <v>1139</v>
      </c>
      <c r="B1140" s="7" t="s">
        <v>356</v>
      </c>
      <c r="C1140" t="s">
        <v>1311</v>
      </c>
      <c r="D1140" s="65" t="str">
        <f t="shared" si="34"/>
        <v>Y</v>
      </c>
      <c r="E1140" t="s">
        <v>1314</v>
      </c>
      <c r="F1140" s="25" t="s">
        <v>298</v>
      </c>
      <c r="G1140" s="26">
        <v>3</v>
      </c>
      <c r="H1140" s="7" t="s">
        <v>298</v>
      </c>
      <c r="I1140" s="7" t="s">
        <v>296</v>
      </c>
      <c r="J1140" s="1">
        <v>3</v>
      </c>
      <c r="K1140" s="1">
        <v>6</v>
      </c>
      <c r="L1140" s="67">
        <f t="shared" si="35"/>
        <v>1</v>
      </c>
    </row>
    <row r="1141" spans="1:12" x14ac:dyDescent="0.2">
      <c r="A1141">
        <v>1140</v>
      </c>
      <c r="B1141" s="7" t="s">
        <v>372</v>
      </c>
      <c r="C1141" t="s">
        <v>1311</v>
      </c>
      <c r="D1141" s="65" t="str">
        <f t="shared" si="34"/>
        <v>Y</v>
      </c>
      <c r="E1141" t="s">
        <v>1314</v>
      </c>
      <c r="F1141" s="25" t="s">
        <v>298</v>
      </c>
      <c r="G1141" s="26">
        <v>3</v>
      </c>
      <c r="H1141" s="7" t="s">
        <v>298</v>
      </c>
      <c r="I1141" s="7" t="s">
        <v>292</v>
      </c>
      <c r="J1141" s="1">
        <v>3</v>
      </c>
      <c r="K1141" s="1">
        <v>5</v>
      </c>
      <c r="L1141" s="67">
        <f t="shared" si="35"/>
        <v>1</v>
      </c>
    </row>
    <row r="1142" spans="1:12" x14ac:dyDescent="0.2">
      <c r="A1142">
        <v>1141</v>
      </c>
      <c r="B1142" s="7" t="s">
        <v>372</v>
      </c>
      <c r="C1142" t="s">
        <v>1311</v>
      </c>
      <c r="D1142" s="65" t="str">
        <f t="shared" si="34"/>
        <v>Y</v>
      </c>
      <c r="E1142" t="s">
        <v>1314</v>
      </c>
      <c r="F1142" s="25" t="s">
        <v>298</v>
      </c>
      <c r="G1142" s="26">
        <v>3</v>
      </c>
      <c r="H1142" s="7" t="s">
        <v>298</v>
      </c>
      <c r="I1142" s="7" t="s">
        <v>292</v>
      </c>
      <c r="J1142" s="1">
        <v>3</v>
      </c>
      <c r="K1142" s="1">
        <v>5</v>
      </c>
      <c r="L1142" s="67">
        <f t="shared" si="35"/>
        <v>1</v>
      </c>
    </row>
    <row r="1143" spans="1:12" x14ac:dyDescent="0.2">
      <c r="A1143">
        <v>1142</v>
      </c>
      <c r="B1143" s="7" t="s">
        <v>356</v>
      </c>
      <c r="C1143" t="s">
        <v>1311</v>
      </c>
      <c r="D1143" s="65" t="str">
        <f t="shared" si="34"/>
        <v>Y</v>
      </c>
      <c r="E1143" t="s">
        <v>1314</v>
      </c>
      <c r="F1143" s="25" t="s">
        <v>298</v>
      </c>
      <c r="G1143" s="26">
        <v>3</v>
      </c>
      <c r="H1143" s="7" t="s">
        <v>298</v>
      </c>
      <c r="I1143" s="7" t="s">
        <v>292</v>
      </c>
      <c r="J1143" s="1">
        <v>3</v>
      </c>
      <c r="K1143" s="1">
        <v>5</v>
      </c>
      <c r="L1143" s="67">
        <f t="shared" si="35"/>
        <v>1</v>
      </c>
    </row>
    <row r="1144" spans="1:12" x14ac:dyDescent="0.2">
      <c r="A1144">
        <v>1143</v>
      </c>
      <c r="B1144" s="7" t="s">
        <v>372</v>
      </c>
      <c r="C1144" t="s">
        <v>1311</v>
      </c>
      <c r="D1144" s="65" t="str">
        <f t="shared" si="34"/>
        <v>Y</v>
      </c>
      <c r="E1144" t="s">
        <v>1314</v>
      </c>
      <c r="F1144" s="25" t="s">
        <v>298</v>
      </c>
      <c r="G1144" s="26">
        <v>3</v>
      </c>
      <c r="H1144" s="7" t="s">
        <v>298</v>
      </c>
      <c r="I1144" s="7" t="s">
        <v>296</v>
      </c>
      <c r="J1144" s="1">
        <v>3</v>
      </c>
      <c r="K1144" s="1">
        <v>6</v>
      </c>
      <c r="L1144" s="67">
        <f t="shared" si="35"/>
        <v>1</v>
      </c>
    </row>
    <row r="1145" spans="1:12" x14ac:dyDescent="0.2">
      <c r="A1145">
        <v>1144</v>
      </c>
      <c r="B1145" s="7" t="s">
        <v>372</v>
      </c>
      <c r="C1145" t="s">
        <v>1311</v>
      </c>
      <c r="D1145" s="65" t="str">
        <f t="shared" si="34"/>
        <v>Y</v>
      </c>
      <c r="E1145" t="s">
        <v>1314</v>
      </c>
      <c r="F1145" s="25" t="s">
        <v>298</v>
      </c>
      <c r="G1145" s="26">
        <v>3</v>
      </c>
      <c r="H1145" s="7" t="s">
        <v>298</v>
      </c>
      <c r="I1145" s="7" t="s">
        <v>292</v>
      </c>
      <c r="J1145" s="1">
        <v>3</v>
      </c>
      <c r="K1145" s="1">
        <v>5</v>
      </c>
      <c r="L1145" s="67">
        <f t="shared" si="35"/>
        <v>1</v>
      </c>
    </row>
    <row r="1146" spans="1:12" x14ac:dyDescent="0.2">
      <c r="A1146">
        <v>1145</v>
      </c>
      <c r="B1146" s="7" t="s">
        <v>372</v>
      </c>
      <c r="C1146" t="s">
        <v>1311</v>
      </c>
      <c r="D1146" s="65" t="str">
        <f t="shared" si="34"/>
        <v>Y</v>
      </c>
      <c r="E1146" t="s">
        <v>1314</v>
      </c>
      <c r="F1146" s="25" t="s">
        <v>298</v>
      </c>
      <c r="G1146" s="26">
        <v>3</v>
      </c>
      <c r="H1146" s="7" t="s">
        <v>299</v>
      </c>
      <c r="I1146" s="7" t="s">
        <v>297</v>
      </c>
      <c r="J1146" s="1">
        <v>4</v>
      </c>
      <c r="K1146" s="1">
        <v>4</v>
      </c>
      <c r="L1146" s="67">
        <f t="shared" si="35"/>
        <v>0</v>
      </c>
    </row>
    <row r="1147" spans="1:12" x14ac:dyDescent="0.2">
      <c r="A1147">
        <v>1146</v>
      </c>
      <c r="B1147" s="7" t="s">
        <v>356</v>
      </c>
      <c r="C1147" t="s">
        <v>1311</v>
      </c>
      <c r="D1147" s="65" t="str">
        <f t="shared" si="34"/>
        <v>Y</v>
      </c>
      <c r="E1147" t="s">
        <v>1314</v>
      </c>
      <c r="F1147" s="25" t="s">
        <v>298</v>
      </c>
      <c r="G1147" s="26">
        <v>3</v>
      </c>
      <c r="H1147" s="7" t="s">
        <v>298</v>
      </c>
      <c r="I1147" s="7" t="s">
        <v>294</v>
      </c>
      <c r="J1147" s="1">
        <v>3</v>
      </c>
      <c r="K1147" s="1">
        <v>7</v>
      </c>
      <c r="L1147" s="67">
        <f t="shared" si="35"/>
        <v>1</v>
      </c>
    </row>
    <row r="1148" spans="1:12" x14ac:dyDescent="0.2">
      <c r="A1148">
        <v>1147</v>
      </c>
      <c r="B1148" s="7" t="s">
        <v>372</v>
      </c>
      <c r="C1148" t="s">
        <v>1311</v>
      </c>
      <c r="D1148" s="65" t="str">
        <f t="shared" si="34"/>
        <v>Y</v>
      </c>
      <c r="E1148" t="s">
        <v>1314</v>
      </c>
      <c r="F1148" s="25" t="s">
        <v>298</v>
      </c>
      <c r="G1148" s="26">
        <v>3</v>
      </c>
      <c r="H1148" s="7" t="s">
        <v>298</v>
      </c>
      <c r="I1148" s="7" t="s">
        <v>292</v>
      </c>
      <c r="J1148" s="1">
        <v>3</v>
      </c>
      <c r="K1148" s="1">
        <v>5</v>
      </c>
      <c r="L1148" s="67">
        <f t="shared" si="35"/>
        <v>1</v>
      </c>
    </row>
    <row r="1149" spans="1:12" x14ac:dyDescent="0.2">
      <c r="A1149">
        <v>1148</v>
      </c>
      <c r="B1149" s="7" t="s">
        <v>356</v>
      </c>
      <c r="C1149" t="s">
        <v>1311</v>
      </c>
      <c r="D1149" s="65" t="str">
        <f t="shared" si="34"/>
        <v>Y</v>
      </c>
      <c r="E1149" t="s">
        <v>1314</v>
      </c>
      <c r="F1149" s="25" t="s">
        <v>298</v>
      </c>
      <c r="G1149" s="26">
        <v>3</v>
      </c>
      <c r="H1149" s="7" t="s">
        <v>291</v>
      </c>
      <c r="I1149" s="7" t="s">
        <v>292</v>
      </c>
      <c r="J1149" s="1">
        <v>1</v>
      </c>
      <c r="K1149" s="1">
        <v>5</v>
      </c>
      <c r="L1149" s="67">
        <f t="shared" si="35"/>
        <v>0</v>
      </c>
    </row>
    <row r="1150" spans="1:12" x14ac:dyDescent="0.2">
      <c r="A1150">
        <v>1149</v>
      </c>
      <c r="B1150" s="7" t="s">
        <v>356</v>
      </c>
      <c r="C1150" t="s">
        <v>1311</v>
      </c>
      <c r="D1150" s="65" t="str">
        <f t="shared" si="34"/>
        <v>Y</v>
      </c>
      <c r="E1150" t="s">
        <v>1314</v>
      </c>
      <c r="F1150" s="25" t="s">
        <v>298</v>
      </c>
      <c r="G1150" s="26">
        <v>3</v>
      </c>
      <c r="H1150" s="7" t="s">
        <v>291</v>
      </c>
      <c r="I1150" s="7" t="s">
        <v>296</v>
      </c>
      <c r="J1150" s="1">
        <v>1</v>
      </c>
      <c r="K1150" s="1">
        <v>6</v>
      </c>
      <c r="L1150" s="67">
        <f t="shared" si="35"/>
        <v>0</v>
      </c>
    </row>
    <row r="1151" spans="1:12" x14ac:dyDescent="0.2">
      <c r="A1151">
        <v>1150</v>
      </c>
      <c r="B1151" s="7" t="s">
        <v>372</v>
      </c>
      <c r="C1151" t="s">
        <v>1311</v>
      </c>
      <c r="D1151" s="65" t="str">
        <f t="shared" si="34"/>
        <v>Y</v>
      </c>
      <c r="E1151" t="s">
        <v>1314</v>
      </c>
      <c r="F1151" s="25" t="s">
        <v>298</v>
      </c>
      <c r="G1151" s="26">
        <v>3</v>
      </c>
      <c r="H1151" s="7" t="s">
        <v>298</v>
      </c>
      <c r="I1151" s="7" t="s">
        <v>294</v>
      </c>
      <c r="J1151" s="1">
        <v>3</v>
      </c>
      <c r="K1151" s="1">
        <v>7</v>
      </c>
      <c r="L1151" s="67">
        <f t="shared" si="35"/>
        <v>1</v>
      </c>
    </row>
    <row r="1152" spans="1:12" x14ac:dyDescent="0.2">
      <c r="A1152">
        <v>1151</v>
      </c>
      <c r="B1152" s="7" t="s">
        <v>372</v>
      </c>
      <c r="C1152" t="s">
        <v>1311</v>
      </c>
      <c r="D1152" s="65" t="str">
        <f t="shared" si="34"/>
        <v>Y</v>
      </c>
      <c r="E1152" t="s">
        <v>1314</v>
      </c>
      <c r="F1152" s="25" t="s">
        <v>298</v>
      </c>
      <c r="G1152" s="26">
        <v>3</v>
      </c>
      <c r="H1152" s="7" t="s">
        <v>298</v>
      </c>
      <c r="I1152" s="7" t="s">
        <v>296</v>
      </c>
      <c r="J1152" s="1">
        <v>3</v>
      </c>
      <c r="K1152" s="1">
        <v>6</v>
      </c>
      <c r="L1152" s="67">
        <f t="shared" si="35"/>
        <v>1</v>
      </c>
    </row>
    <row r="1153" spans="1:12" x14ac:dyDescent="0.2">
      <c r="A1153">
        <v>1152</v>
      </c>
      <c r="B1153" s="7" t="s">
        <v>356</v>
      </c>
      <c r="C1153" t="s">
        <v>1311</v>
      </c>
      <c r="D1153" s="65" t="str">
        <f t="shared" si="34"/>
        <v>Y</v>
      </c>
      <c r="E1153" t="s">
        <v>1314</v>
      </c>
      <c r="F1153" s="25" t="s">
        <v>298</v>
      </c>
      <c r="G1153" s="26">
        <v>3</v>
      </c>
      <c r="H1153" s="7" t="s">
        <v>298</v>
      </c>
      <c r="I1153" s="7" t="s">
        <v>294</v>
      </c>
      <c r="J1153" s="1">
        <v>3</v>
      </c>
      <c r="K1153" s="1">
        <v>7</v>
      </c>
      <c r="L1153" s="67">
        <f t="shared" si="35"/>
        <v>1</v>
      </c>
    </row>
    <row r="1154" spans="1:12" x14ac:dyDescent="0.2">
      <c r="A1154">
        <v>1153</v>
      </c>
      <c r="B1154" s="7" t="s">
        <v>372</v>
      </c>
      <c r="C1154" t="s">
        <v>1311</v>
      </c>
      <c r="D1154" s="65" t="str">
        <f t="shared" si="34"/>
        <v>Y</v>
      </c>
      <c r="E1154" t="s">
        <v>1314</v>
      </c>
      <c r="F1154" s="25" t="s">
        <v>298</v>
      </c>
      <c r="G1154" s="26">
        <v>3</v>
      </c>
      <c r="H1154" s="7" t="s">
        <v>291</v>
      </c>
      <c r="I1154" s="7" t="s">
        <v>296</v>
      </c>
      <c r="J1154" s="1">
        <v>1</v>
      </c>
      <c r="K1154" s="1">
        <v>6</v>
      </c>
      <c r="L1154" s="67">
        <f t="shared" si="35"/>
        <v>0</v>
      </c>
    </row>
    <row r="1155" spans="1:12" x14ac:dyDescent="0.2">
      <c r="A1155">
        <v>1154</v>
      </c>
      <c r="B1155" s="7" t="s">
        <v>356</v>
      </c>
      <c r="C1155" t="s">
        <v>1311</v>
      </c>
      <c r="D1155" s="65" t="str">
        <f t="shared" ref="D1155:D1218" si="36">IF($E1155="iso", "N", IF(OR($E1155="non", $E1155="emd", $E1155="dyn"), "Y", "ERROR"))</f>
        <v>Y</v>
      </c>
      <c r="E1155" t="s">
        <v>1314</v>
      </c>
      <c r="F1155" s="25" t="s">
        <v>298</v>
      </c>
      <c r="G1155" s="26">
        <v>3</v>
      </c>
      <c r="H1155" s="7" t="s">
        <v>291</v>
      </c>
      <c r="I1155" s="7" t="s">
        <v>292</v>
      </c>
      <c r="J1155" s="1">
        <v>1</v>
      </c>
      <c r="K1155" s="1">
        <v>5</v>
      </c>
      <c r="L1155" s="67">
        <f t="shared" ref="L1155:L1218" si="37">IF(G1155=J1155, 1, 0)</f>
        <v>0</v>
      </c>
    </row>
    <row r="1156" spans="1:12" x14ac:dyDescent="0.2">
      <c r="A1156">
        <v>1155</v>
      </c>
      <c r="B1156" s="7" t="s">
        <v>372</v>
      </c>
      <c r="C1156" t="s">
        <v>1311</v>
      </c>
      <c r="D1156" s="65" t="str">
        <f t="shared" si="36"/>
        <v>Y</v>
      </c>
      <c r="E1156" t="s">
        <v>1314</v>
      </c>
      <c r="F1156" s="25" t="s">
        <v>298</v>
      </c>
      <c r="G1156" s="26">
        <v>3</v>
      </c>
      <c r="H1156" s="7" t="s">
        <v>298</v>
      </c>
      <c r="I1156" s="7" t="s">
        <v>292</v>
      </c>
      <c r="J1156" s="1">
        <v>3</v>
      </c>
      <c r="K1156" s="1">
        <v>5</v>
      </c>
      <c r="L1156" s="67">
        <f t="shared" si="37"/>
        <v>1</v>
      </c>
    </row>
    <row r="1157" spans="1:12" x14ac:dyDescent="0.2">
      <c r="A1157">
        <v>1156</v>
      </c>
      <c r="B1157" s="7" t="s">
        <v>372</v>
      </c>
      <c r="C1157" t="s">
        <v>1311</v>
      </c>
      <c r="D1157" s="65" t="str">
        <f t="shared" si="36"/>
        <v>Y</v>
      </c>
      <c r="E1157" t="s">
        <v>1314</v>
      </c>
      <c r="F1157" s="25" t="s">
        <v>298</v>
      </c>
      <c r="G1157" s="26">
        <v>3</v>
      </c>
      <c r="H1157" s="7" t="s">
        <v>298</v>
      </c>
      <c r="I1157" s="7" t="s">
        <v>296</v>
      </c>
      <c r="J1157" s="1">
        <v>3</v>
      </c>
      <c r="K1157" s="1">
        <v>6</v>
      </c>
      <c r="L1157" s="67">
        <f t="shared" si="37"/>
        <v>1</v>
      </c>
    </row>
    <row r="1158" spans="1:12" x14ac:dyDescent="0.2">
      <c r="A1158">
        <v>1157</v>
      </c>
      <c r="B1158" s="7" t="s">
        <v>356</v>
      </c>
      <c r="C1158" t="s">
        <v>1311</v>
      </c>
      <c r="D1158" s="65" t="str">
        <f t="shared" si="36"/>
        <v>Y</v>
      </c>
      <c r="E1158" t="s">
        <v>1314</v>
      </c>
      <c r="F1158" s="25" t="s">
        <v>298</v>
      </c>
      <c r="G1158" s="26">
        <v>3</v>
      </c>
      <c r="H1158" s="7" t="s">
        <v>291</v>
      </c>
      <c r="I1158" s="7" t="s">
        <v>292</v>
      </c>
      <c r="J1158" s="1">
        <v>1</v>
      </c>
      <c r="K1158" s="1">
        <v>5</v>
      </c>
      <c r="L1158" s="67">
        <f t="shared" si="37"/>
        <v>0</v>
      </c>
    </row>
    <row r="1159" spans="1:12" x14ac:dyDescent="0.2">
      <c r="A1159">
        <v>1158</v>
      </c>
      <c r="B1159" s="7" t="s">
        <v>372</v>
      </c>
      <c r="C1159" t="s">
        <v>1311</v>
      </c>
      <c r="D1159" s="65" t="str">
        <f t="shared" si="36"/>
        <v>Y</v>
      </c>
      <c r="E1159" t="s">
        <v>1314</v>
      </c>
      <c r="F1159" s="25" t="s">
        <v>298</v>
      </c>
      <c r="G1159" s="26">
        <v>3</v>
      </c>
      <c r="H1159" s="7" t="s">
        <v>291</v>
      </c>
      <c r="I1159" s="7" t="s">
        <v>296</v>
      </c>
      <c r="J1159" s="1">
        <v>1</v>
      </c>
      <c r="K1159" s="1">
        <v>6</v>
      </c>
      <c r="L1159" s="67">
        <f t="shared" si="37"/>
        <v>0</v>
      </c>
    </row>
    <row r="1160" spans="1:12" x14ac:dyDescent="0.2">
      <c r="A1160">
        <v>1159</v>
      </c>
      <c r="B1160" s="7" t="s">
        <v>356</v>
      </c>
      <c r="C1160" t="s">
        <v>1311</v>
      </c>
      <c r="D1160" s="65" t="str">
        <f t="shared" si="36"/>
        <v>Y</v>
      </c>
      <c r="E1160" t="s">
        <v>1314</v>
      </c>
      <c r="F1160" s="25" t="s">
        <v>298</v>
      </c>
      <c r="G1160" s="26">
        <v>3</v>
      </c>
      <c r="H1160" s="7" t="s">
        <v>298</v>
      </c>
      <c r="I1160" s="7" t="s">
        <v>292</v>
      </c>
      <c r="J1160" s="1">
        <v>3</v>
      </c>
      <c r="K1160" s="1">
        <v>5</v>
      </c>
      <c r="L1160" s="67">
        <f t="shared" si="37"/>
        <v>1</v>
      </c>
    </row>
    <row r="1161" spans="1:12" x14ac:dyDescent="0.2">
      <c r="A1161">
        <v>1160</v>
      </c>
      <c r="B1161" s="7" t="s">
        <v>356</v>
      </c>
      <c r="C1161" t="s">
        <v>1311</v>
      </c>
      <c r="D1161" s="65" t="str">
        <f t="shared" si="36"/>
        <v>Y</v>
      </c>
      <c r="E1161" t="s">
        <v>1314</v>
      </c>
      <c r="F1161" s="25" t="s">
        <v>298</v>
      </c>
      <c r="G1161" s="26">
        <v>3</v>
      </c>
      <c r="H1161" s="7" t="s">
        <v>298</v>
      </c>
      <c r="I1161" s="7" t="s">
        <v>296</v>
      </c>
      <c r="J1161" s="1">
        <v>3</v>
      </c>
      <c r="K1161" s="1">
        <v>6</v>
      </c>
      <c r="L1161" s="67">
        <f t="shared" si="37"/>
        <v>1</v>
      </c>
    </row>
    <row r="1162" spans="1:12" x14ac:dyDescent="0.2">
      <c r="A1162">
        <v>1161</v>
      </c>
      <c r="B1162" s="7" t="s">
        <v>372</v>
      </c>
      <c r="C1162" t="s">
        <v>1311</v>
      </c>
      <c r="D1162" s="65" t="str">
        <f t="shared" si="36"/>
        <v>Y</v>
      </c>
      <c r="E1162" t="s">
        <v>1314</v>
      </c>
      <c r="F1162" s="25" t="s">
        <v>298</v>
      </c>
      <c r="G1162" s="26">
        <v>3</v>
      </c>
      <c r="H1162" s="7" t="s">
        <v>298</v>
      </c>
      <c r="I1162" s="7" t="s">
        <v>292</v>
      </c>
      <c r="J1162" s="1">
        <v>3</v>
      </c>
      <c r="K1162" s="1">
        <v>5</v>
      </c>
      <c r="L1162" s="67">
        <f t="shared" si="37"/>
        <v>1</v>
      </c>
    </row>
    <row r="1163" spans="1:12" x14ac:dyDescent="0.2">
      <c r="A1163">
        <v>1162</v>
      </c>
      <c r="B1163" s="7" t="s">
        <v>356</v>
      </c>
      <c r="C1163" t="s">
        <v>1311</v>
      </c>
      <c r="D1163" s="65" t="str">
        <f t="shared" si="36"/>
        <v>Y</v>
      </c>
      <c r="E1163" t="s">
        <v>1314</v>
      </c>
      <c r="F1163" s="25" t="s">
        <v>298</v>
      </c>
      <c r="G1163" s="26">
        <v>3</v>
      </c>
      <c r="H1163" s="7" t="s">
        <v>299</v>
      </c>
      <c r="I1163" s="7" t="s">
        <v>297</v>
      </c>
      <c r="J1163" s="1">
        <v>4</v>
      </c>
      <c r="K1163" s="1">
        <v>4</v>
      </c>
      <c r="L1163" s="67">
        <f t="shared" si="37"/>
        <v>0</v>
      </c>
    </row>
    <row r="1164" spans="1:12" x14ac:dyDescent="0.2">
      <c r="A1164">
        <v>1163</v>
      </c>
      <c r="B1164" s="7" t="s">
        <v>372</v>
      </c>
      <c r="C1164" t="s">
        <v>1311</v>
      </c>
      <c r="D1164" s="65" t="str">
        <f t="shared" si="36"/>
        <v>Y</v>
      </c>
      <c r="E1164" t="s">
        <v>1314</v>
      </c>
      <c r="F1164" s="25" t="s">
        <v>298</v>
      </c>
      <c r="G1164" s="26">
        <v>3</v>
      </c>
      <c r="H1164" s="7" t="s">
        <v>291</v>
      </c>
      <c r="I1164" s="7" t="s">
        <v>297</v>
      </c>
      <c r="J1164" s="1">
        <v>1</v>
      </c>
      <c r="K1164" s="1">
        <v>4</v>
      </c>
      <c r="L1164" s="67">
        <f t="shared" si="37"/>
        <v>0</v>
      </c>
    </row>
    <row r="1165" spans="1:12" x14ac:dyDescent="0.2">
      <c r="A1165">
        <v>1164</v>
      </c>
      <c r="B1165" s="7" t="s">
        <v>356</v>
      </c>
      <c r="C1165" t="s">
        <v>1311</v>
      </c>
      <c r="D1165" s="65" t="str">
        <f t="shared" si="36"/>
        <v>Y</v>
      </c>
      <c r="E1165" t="s">
        <v>1314</v>
      </c>
      <c r="F1165" s="25" t="s">
        <v>298</v>
      </c>
      <c r="G1165" s="26">
        <v>3</v>
      </c>
      <c r="H1165" s="7" t="s">
        <v>298</v>
      </c>
      <c r="I1165" s="7" t="s">
        <v>292</v>
      </c>
      <c r="J1165" s="1">
        <v>3</v>
      </c>
      <c r="K1165" s="1">
        <v>5</v>
      </c>
      <c r="L1165" s="67">
        <f t="shared" si="37"/>
        <v>1</v>
      </c>
    </row>
    <row r="1166" spans="1:12" x14ac:dyDescent="0.2">
      <c r="A1166">
        <v>1165</v>
      </c>
      <c r="B1166" s="7" t="s">
        <v>372</v>
      </c>
      <c r="C1166" t="s">
        <v>1311</v>
      </c>
      <c r="D1166" s="65" t="str">
        <f t="shared" si="36"/>
        <v>Y</v>
      </c>
      <c r="E1166" t="s">
        <v>1314</v>
      </c>
      <c r="F1166" s="25" t="s">
        <v>298</v>
      </c>
      <c r="G1166" s="26">
        <v>3</v>
      </c>
      <c r="H1166" s="7" t="s">
        <v>291</v>
      </c>
      <c r="I1166" s="7" t="s">
        <v>294</v>
      </c>
      <c r="J1166" s="1">
        <v>1</v>
      </c>
      <c r="K1166" s="1">
        <v>7</v>
      </c>
      <c r="L1166" s="67">
        <f t="shared" si="37"/>
        <v>0</v>
      </c>
    </row>
    <row r="1167" spans="1:12" x14ac:dyDescent="0.2">
      <c r="A1167">
        <v>1166</v>
      </c>
      <c r="B1167" s="7" t="s">
        <v>356</v>
      </c>
      <c r="C1167" t="s">
        <v>1311</v>
      </c>
      <c r="D1167" s="65" t="str">
        <f t="shared" si="36"/>
        <v>Y</v>
      </c>
      <c r="E1167" t="s">
        <v>1314</v>
      </c>
      <c r="F1167" s="25" t="s">
        <v>298</v>
      </c>
      <c r="G1167" s="26">
        <v>3</v>
      </c>
      <c r="H1167" s="7" t="s">
        <v>298</v>
      </c>
      <c r="I1167" s="7" t="s">
        <v>296</v>
      </c>
      <c r="J1167" s="1">
        <v>3</v>
      </c>
      <c r="K1167" s="1">
        <v>6</v>
      </c>
      <c r="L1167" s="67">
        <f t="shared" si="37"/>
        <v>1</v>
      </c>
    </row>
    <row r="1168" spans="1:12" x14ac:dyDescent="0.2">
      <c r="A1168">
        <v>1167</v>
      </c>
      <c r="B1168" s="7" t="s">
        <v>372</v>
      </c>
      <c r="C1168" t="s">
        <v>1311</v>
      </c>
      <c r="D1168" s="65" t="str">
        <f t="shared" si="36"/>
        <v>Y</v>
      </c>
      <c r="E1168" t="s">
        <v>1314</v>
      </c>
      <c r="F1168" s="25" t="s">
        <v>298</v>
      </c>
      <c r="G1168" s="26">
        <v>3</v>
      </c>
      <c r="H1168" s="7" t="s">
        <v>291</v>
      </c>
      <c r="I1168" s="7" t="s">
        <v>292</v>
      </c>
      <c r="J1168" s="1">
        <v>1</v>
      </c>
      <c r="K1168" s="1">
        <v>5</v>
      </c>
      <c r="L1168" s="67">
        <f t="shared" si="37"/>
        <v>0</v>
      </c>
    </row>
    <row r="1169" spans="1:12" x14ac:dyDescent="0.2">
      <c r="A1169">
        <v>1168</v>
      </c>
      <c r="B1169" s="7" t="s">
        <v>372</v>
      </c>
      <c r="C1169" t="s">
        <v>1311</v>
      </c>
      <c r="D1169" s="65" t="str">
        <f t="shared" si="36"/>
        <v>Y</v>
      </c>
      <c r="E1169" t="s">
        <v>1314</v>
      </c>
      <c r="F1169" s="25" t="s">
        <v>298</v>
      </c>
      <c r="G1169" s="26">
        <v>3</v>
      </c>
      <c r="H1169" s="7" t="s">
        <v>298</v>
      </c>
      <c r="I1169" s="7" t="s">
        <v>294</v>
      </c>
      <c r="J1169" s="1">
        <v>3</v>
      </c>
      <c r="K1169" s="1">
        <v>7</v>
      </c>
      <c r="L1169" s="67">
        <f t="shared" si="37"/>
        <v>1</v>
      </c>
    </row>
    <row r="1170" spans="1:12" x14ac:dyDescent="0.2">
      <c r="A1170">
        <v>1169</v>
      </c>
      <c r="B1170" s="7" t="s">
        <v>356</v>
      </c>
      <c r="C1170" t="s">
        <v>1311</v>
      </c>
      <c r="D1170" s="65" t="str">
        <f t="shared" si="36"/>
        <v>Y</v>
      </c>
      <c r="E1170" t="s">
        <v>1314</v>
      </c>
      <c r="F1170" s="25" t="s">
        <v>298</v>
      </c>
      <c r="G1170" s="26">
        <v>3</v>
      </c>
      <c r="H1170" s="7" t="s">
        <v>298</v>
      </c>
      <c r="I1170" s="7" t="s">
        <v>296</v>
      </c>
      <c r="J1170" s="1">
        <v>3</v>
      </c>
      <c r="K1170" s="1">
        <v>6</v>
      </c>
      <c r="L1170" s="67">
        <f t="shared" si="37"/>
        <v>1</v>
      </c>
    </row>
    <row r="1171" spans="1:12" x14ac:dyDescent="0.2">
      <c r="A1171">
        <v>1170</v>
      </c>
      <c r="B1171" s="7" t="s">
        <v>356</v>
      </c>
      <c r="C1171" t="s">
        <v>1311</v>
      </c>
      <c r="D1171" s="65" t="str">
        <f t="shared" si="36"/>
        <v>Y</v>
      </c>
      <c r="E1171" t="s">
        <v>1314</v>
      </c>
      <c r="F1171" s="25" t="s">
        <v>298</v>
      </c>
      <c r="G1171" s="26">
        <v>3</v>
      </c>
      <c r="H1171" s="7" t="s">
        <v>291</v>
      </c>
      <c r="I1171" s="7" t="s">
        <v>296</v>
      </c>
      <c r="J1171" s="1">
        <v>1</v>
      </c>
      <c r="K1171" s="1">
        <v>6</v>
      </c>
      <c r="L1171" s="67">
        <f t="shared" si="37"/>
        <v>0</v>
      </c>
    </row>
    <row r="1172" spans="1:12" x14ac:dyDescent="0.2">
      <c r="A1172">
        <v>1171</v>
      </c>
      <c r="B1172" s="7" t="s">
        <v>372</v>
      </c>
      <c r="C1172" t="s">
        <v>1311</v>
      </c>
      <c r="D1172" s="65" t="str">
        <f t="shared" si="36"/>
        <v>Y</v>
      </c>
      <c r="E1172" t="s">
        <v>1314</v>
      </c>
      <c r="F1172" s="25" t="s">
        <v>298</v>
      </c>
      <c r="G1172" s="26">
        <v>3</v>
      </c>
      <c r="H1172" s="7" t="s">
        <v>295</v>
      </c>
      <c r="I1172" s="7" t="s">
        <v>296</v>
      </c>
      <c r="J1172" s="1">
        <v>5</v>
      </c>
      <c r="K1172" s="1">
        <v>6</v>
      </c>
      <c r="L1172" s="67">
        <f t="shared" si="37"/>
        <v>0</v>
      </c>
    </row>
    <row r="1173" spans="1:12" x14ac:dyDescent="0.2">
      <c r="A1173">
        <v>1172</v>
      </c>
      <c r="B1173" s="7" t="s">
        <v>372</v>
      </c>
      <c r="C1173" t="s">
        <v>1311</v>
      </c>
      <c r="D1173" s="65" t="str">
        <f t="shared" si="36"/>
        <v>Y</v>
      </c>
      <c r="E1173" t="s">
        <v>1314</v>
      </c>
      <c r="F1173" s="25" t="s">
        <v>298</v>
      </c>
      <c r="G1173" s="26">
        <v>3</v>
      </c>
      <c r="H1173" s="7" t="s">
        <v>291</v>
      </c>
      <c r="I1173" s="7" t="s">
        <v>296</v>
      </c>
      <c r="J1173" s="1">
        <v>1</v>
      </c>
      <c r="K1173" s="1">
        <v>6</v>
      </c>
      <c r="L1173" s="67">
        <f t="shared" si="37"/>
        <v>0</v>
      </c>
    </row>
    <row r="1174" spans="1:12" x14ac:dyDescent="0.2">
      <c r="A1174">
        <v>1173</v>
      </c>
      <c r="B1174" s="7" t="s">
        <v>356</v>
      </c>
      <c r="C1174" t="s">
        <v>1311</v>
      </c>
      <c r="D1174" s="65" t="str">
        <f t="shared" si="36"/>
        <v>Y</v>
      </c>
      <c r="E1174" t="s">
        <v>1314</v>
      </c>
      <c r="F1174" s="25" t="s">
        <v>298</v>
      </c>
      <c r="G1174" s="26">
        <v>3</v>
      </c>
      <c r="H1174" s="7" t="s">
        <v>298</v>
      </c>
      <c r="I1174" s="7" t="s">
        <v>296</v>
      </c>
      <c r="J1174" s="1">
        <v>3</v>
      </c>
      <c r="K1174" s="1">
        <v>6</v>
      </c>
      <c r="L1174" s="67">
        <f t="shared" si="37"/>
        <v>1</v>
      </c>
    </row>
    <row r="1175" spans="1:12" x14ac:dyDescent="0.2">
      <c r="A1175">
        <v>1174</v>
      </c>
      <c r="B1175" s="7" t="s">
        <v>372</v>
      </c>
      <c r="C1175" t="s">
        <v>1311</v>
      </c>
      <c r="D1175" s="65" t="str">
        <f t="shared" si="36"/>
        <v>Y</v>
      </c>
      <c r="E1175" t="s">
        <v>1314</v>
      </c>
      <c r="F1175" s="25" t="s">
        <v>298</v>
      </c>
      <c r="G1175" s="26">
        <v>3</v>
      </c>
      <c r="H1175" s="7" t="s">
        <v>298</v>
      </c>
      <c r="I1175" s="7" t="s">
        <v>296</v>
      </c>
      <c r="J1175" s="1">
        <v>3</v>
      </c>
      <c r="K1175" s="1">
        <v>6</v>
      </c>
      <c r="L1175" s="67">
        <f t="shared" si="37"/>
        <v>1</v>
      </c>
    </row>
    <row r="1176" spans="1:12" x14ac:dyDescent="0.2">
      <c r="A1176">
        <v>1175</v>
      </c>
      <c r="B1176" s="7" t="s">
        <v>356</v>
      </c>
      <c r="C1176" t="s">
        <v>1311</v>
      </c>
      <c r="D1176" s="65" t="str">
        <f t="shared" si="36"/>
        <v>Y</v>
      </c>
      <c r="E1176" t="s">
        <v>1314</v>
      </c>
      <c r="F1176" s="25" t="s">
        <v>298</v>
      </c>
      <c r="G1176" s="26">
        <v>3</v>
      </c>
      <c r="H1176" s="7" t="s">
        <v>298</v>
      </c>
      <c r="I1176" s="7" t="s">
        <v>292</v>
      </c>
      <c r="J1176" s="1">
        <v>3</v>
      </c>
      <c r="K1176" s="1">
        <v>5</v>
      </c>
      <c r="L1176" s="67">
        <f t="shared" si="37"/>
        <v>1</v>
      </c>
    </row>
    <row r="1177" spans="1:12" x14ac:dyDescent="0.2">
      <c r="A1177">
        <v>1176</v>
      </c>
      <c r="B1177" s="7" t="s">
        <v>356</v>
      </c>
      <c r="C1177" t="s">
        <v>1311</v>
      </c>
      <c r="D1177" s="65" t="str">
        <f t="shared" si="36"/>
        <v>Y</v>
      </c>
      <c r="E1177" t="s">
        <v>1314</v>
      </c>
      <c r="F1177" s="25" t="s">
        <v>298</v>
      </c>
      <c r="G1177" s="26">
        <v>3</v>
      </c>
      <c r="H1177" s="7" t="s">
        <v>291</v>
      </c>
      <c r="I1177" s="7" t="s">
        <v>296</v>
      </c>
      <c r="J1177" s="1">
        <v>1</v>
      </c>
      <c r="K1177" s="1">
        <v>6</v>
      </c>
      <c r="L1177" s="67">
        <f t="shared" si="37"/>
        <v>0</v>
      </c>
    </row>
    <row r="1178" spans="1:12" x14ac:dyDescent="0.2">
      <c r="A1178">
        <v>1177</v>
      </c>
      <c r="B1178" s="7" t="s">
        <v>372</v>
      </c>
      <c r="C1178" t="s">
        <v>1311</v>
      </c>
      <c r="D1178" s="65" t="str">
        <f t="shared" si="36"/>
        <v>Y</v>
      </c>
      <c r="E1178" t="s">
        <v>1314</v>
      </c>
      <c r="F1178" s="25" t="s">
        <v>298</v>
      </c>
      <c r="G1178" s="26">
        <v>3</v>
      </c>
      <c r="H1178" s="7" t="s">
        <v>291</v>
      </c>
      <c r="I1178" s="7" t="s">
        <v>296</v>
      </c>
      <c r="J1178" s="1">
        <v>1</v>
      </c>
      <c r="K1178" s="1">
        <v>6</v>
      </c>
      <c r="L1178" s="67">
        <f t="shared" si="37"/>
        <v>0</v>
      </c>
    </row>
    <row r="1179" spans="1:12" x14ac:dyDescent="0.2">
      <c r="A1179">
        <v>1178</v>
      </c>
      <c r="B1179" s="7" t="s">
        <v>372</v>
      </c>
      <c r="C1179" t="s">
        <v>1311</v>
      </c>
      <c r="D1179" s="65" t="str">
        <f t="shared" si="36"/>
        <v>Y</v>
      </c>
      <c r="E1179" t="s">
        <v>1314</v>
      </c>
      <c r="F1179" s="25" t="s">
        <v>298</v>
      </c>
      <c r="G1179" s="26">
        <v>3</v>
      </c>
      <c r="H1179" s="7" t="s">
        <v>291</v>
      </c>
      <c r="I1179" s="7" t="s">
        <v>294</v>
      </c>
      <c r="J1179" s="1">
        <v>1</v>
      </c>
      <c r="K1179" s="1">
        <v>7</v>
      </c>
      <c r="L1179" s="67">
        <f t="shared" si="37"/>
        <v>0</v>
      </c>
    </row>
    <row r="1180" spans="1:12" x14ac:dyDescent="0.2">
      <c r="A1180">
        <v>1179</v>
      </c>
      <c r="B1180" s="7" t="s">
        <v>356</v>
      </c>
      <c r="C1180" t="s">
        <v>1311</v>
      </c>
      <c r="D1180" s="65" t="str">
        <f t="shared" si="36"/>
        <v>Y</v>
      </c>
      <c r="E1180" t="s">
        <v>1314</v>
      </c>
      <c r="F1180" s="25" t="s">
        <v>298</v>
      </c>
      <c r="G1180" s="26">
        <v>3</v>
      </c>
      <c r="H1180" s="7" t="s">
        <v>298</v>
      </c>
      <c r="I1180" s="7" t="s">
        <v>296</v>
      </c>
      <c r="J1180" s="1">
        <v>3</v>
      </c>
      <c r="K1180" s="1">
        <v>6</v>
      </c>
      <c r="L1180" s="67">
        <f t="shared" si="37"/>
        <v>1</v>
      </c>
    </row>
    <row r="1181" spans="1:12" x14ac:dyDescent="0.2">
      <c r="A1181">
        <v>1180</v>
      </c>
      <c r="B1181" s="7" t="s">
        <v>356</v>
      </c>
      <c r="C1181" t="s">
        <v>1311</v>
      </c>
      <c r="D1181" s="65" t="str">
        <f t="shared" si="36"/>
        <v>Y</v>
      </c>
      <c r="E1181" t="s">
        <v>1314</v>
      </c>
      <c r="F1181" s="25" t="s">
        <v>298</v>
      </c>
      <c r="G1181" s="26">
        <v>3</v>
      </c>
      <c r="H1181" s="7" t="s">
        <v>298</v>
      </c>
      <c r="I1181" s="7" t="s">
        <v>297</v>
      </c>
      <c r="J1181" s="1">
        <v>3</v>
      </c>
      <c r="K1181" s="1">
        <v>4</v>
      </c>
      <c r="L1181" s="67">
        <f t="shared" si="37"/>
        <v>1</v>
      </c>
    </row>
    <row r="1182" spans="1:12" x14ac:dyDescent="0.2">
      <c r="A1182">
        <v>1181</v>
      </c>
      <c r="B1182" s="7" t="s">
        <v>372</v>
      </c>
      <c r="C1182" t="s">
        <v>1311</v>
      </c>
      <c r="D1182" s="65" t="str">
        <f t="shared" si="36"/>
        <v>Y</v>
      </c>
      <c r="E1182" t="s">
        <v>1314</v>
      </c>
      <c r="F1182" s="25" t="s">
        <v>298</v>
      </c>
      <c r="G1182" s="26">
        <v>3</v>
      </c>
      <c r="H1182" s="7" t="s">
        <v>291</v>
      </c>
      <c r="I1182" s="7" t="s">
        <v>297</v>
      </c>
      <c r="J1182" s="1">
        <v>1</v>
      </c>
      <c r="K1182" s="1">
        <v>4</v>
      </c>
      <c r="L1182" s="67">
        <f t="shared" si="37"/>
        <v>0</v>
      </c>
    </row>
    <row r="1183" spans="1:12" x14ac:dyDescent="0.2">
      <c r="A1183">
        <v>1182</v>
      </c>
      <c r="B1183" s="7" t="s">
        <v>356</v>
      </c>
      <c r="C1183" t="s">
        <v>1311</v>
      </c>
      <c r="D1183" s="65" t="str">
        <f t="shared" si="36"/>
        <v>Y</v>
      </c>
      <c r="E1183" t="s">
        <v>1314</v>
      </c>
      <c r="F1183" s="25" t="s">
        <v>298</v>
      </c>
      <c r="G1183" s="26">
        <v>3</v>
      </c>
      <c r="H1183" s="7" t="s">
        <v>298</v>
      </c>
      <c r="I1183" s="7" t="s">
        <v>330</v>
      </c>
      <c r="J1183" s="1">
        <v>3</v>
      </c>
      <c r="K1183" s="1">
        <v>3</v>
      </c>
      <c r="L1183" s="67">
        <f t="shared" si="37"/>
        <v>1</v>
      </c>
    </row>
    <row r="1184" spans="1:12" x14ac:dyDescent="0.2">
      <c r="A1184">
        <v>1183</v>
      </c>
      <c r="B1184" s="7" t="s">
        <v>372</v>
      </c>
      <c r="C1184" t="s">
        <v>1311</v>
      </c>
      <c r="D1184" s="65" t="str">
        <f t="shared" si="36"/>
        <v>Y</v>
      </c>
      <c r="E1184" t="s">
        <v>1314</v>
      </c>
      <c r="F1184" s="25" t="s">
        <v>298</v>
      </c>
      <c r="G1184" s="26">
        <v>3</v>
      </c>
      <c r="H1184" s="7" t="s">
        <v>291</v>
      </c>
      <c r="I1184" s="7" t="s">
        <v>296</v>
      </c>
      <c r="J1184" s="1">
        <v>1</v>
      </c>
      <c r="K1184" s="1">
        <v>6</v>
      </c>
      <c r="L1184" s="67">
        <f t="shared" si="37"/>
        <v>0</v>
      </c>
    </row>
    <row r="1185" spans="1:12" x14ac:dyDescent="0.2">
      <c r="A1185">
        <v>1184</v>
      </c>
      <c r="B1185" s="7" t="s">
        <v>356</v>
      </c>
      <c r="C1185" t="s">
        <v>1311</v>
      </c>
      <c r="D1185" s="65" t="str">
        <f t="shared" si="36"/>
        <v>Y</v>
      </c>
      <c r="E1185" t="s">
        <v>1314</v>
      </c>
      <c r="F1185" s="25" t="s">
        <v>298</v>
      </c>
      <c r="G1185" s="26">
        <v>3</v>
      </c>
      <c r="H1185" s="7" t="s">
        <v>298</v>
      </c>
      <c r="I1185" s="7" t="s">
        <v>296</v>
      </c>
      <c r="J1185" s="1">
        <v>3</v>
      </c>
      <c r="K1185" s="1">
        <v>6</v>
      </c>
      <c r="L1185" s="67">
        <f t="shared" si="37"/>
        <v>1</v>
      </c>
    </row>
    <row r="1186" spans="1:12" x14ac:dyDescent="0.2">
      <c r="A1186">
        <v>1185</v>
      </c>
      <c r="B1186" s="7" t="s">
        <v>372</v>
      </c>
      <c r="C1186" t="s">
        <v>1311</v>
      </c>
      <c r="D1186" s="65" t="str">
        <f t="shared" si="36"/>
        <v>Y</v>
      </c>
      <c r="E1186" t="s">
        <v>1314</v>
      </c>
      <c r="F1186" s="25" t="s">
        <v>298</v>
      </c>
      <c r="G1186" s="26">
        <v>3</v>
      </c>
      <c r="H1186" s="7" t="s">
        <v>298</v>
      </c>
      <c r="I1186" s="7" t="s">
        <v>297</v>
      </c>
      <c r="J1186" s="1">
        <v>3</v>
      </c>
      <c r="K1186" s="1">
        <v>4</v>
      </c>
      <c r="L1186" s="67">
        <f t="shared" si="37"/>
        <v>1</v>
      </c>
    </row>
    <row r="1187" spans="1:12" x14ac:dyDescent="0.2">
      <c r="A1187">
        <v>1186</v>
      </c>
      <c r="B1187" s="7" t="s">
        <v>356</v>
      </c>
      <c r="C1187" t="s">
        <v>1311</v>
      </c>
      <c r="D1187" s="65" t="str">
        <f t="shared" si="36"/>
        <v>Y</v>
      </c>
      <c r="E1187" t="s">
        <v>1315</v>
      </c>
      <c r="F1187" s="7" t="s">
        <v>291</v>
      </c>
      <c r="G1187" s="1">
        <v>1</v>
      </c>
      <c r="H1187" s="7" t="s">
        <v>291</v>
      </c>
      <c r="I1187" s="7" t="s">
        <v>296</v>
      </c>
      <c r="J1187" s="1">
        <v>1</v>
      </c>
      <c r="K1187" s="1">
        <v>6</v>
      </c>
      <c r="L1187" s="67">
        <f t="shared" si="37"/>
        <v>1</v>
      </c>
    </row>
    <row r="1188" spans="1:12" x14ac:dyDescent="0.2">
      <c r="A1188">
        <v>1187</v>
      </c>
      <c r="B1188" s="7" t="s">
        <v>372</v>
      </c>
      <c r="C1188" t="s">
        <v>1311</v>
      </c>
      <c r="D1188" s="65" t="str">
        <f t="shared" si="36"/>
        <v>Y</v>
      </c>
      <c r="E1188" t="s">
        <v>1315</v>
      </c>
      <c r="F1188" s="7" t="s">
        <v>291</v>
      </c>
      <c r="G1188" s="1">
        <v>1</v>
      </c>
      <c r="H1188" s="7" t="s">
        <v>291</v>
      </c>
      <c r="I1188" s="7" t="s">
        <v>292</v>
      </c>
      <c r="J1188" s="1">
        <v>1</v>
      </c>
      <c r="K1188" s="1">
        <v>5</v>
      </c>
      <c r="L1188" s="67">
        <f t="shared" si="37"/>
        <v>1</v>
      </c>
    </row>
    <row r="1189" spans="1:12" x14ac:dyDescent="0.2">
      <c r="A1189">
        <v>1188</v>
      </c>
      <c r="B1189" s="7" t="s">
        <v>372</v>
      </c>
      <c r="C1189" t="s">
        <v>1311</v>
      </c>
      <c r="D1189" s="65" t="str">
        <f t="shared" si="36"/>
        <v>Y</v>
      </c>
      <c r="E1189" t="s">
        <v>1315</v>
      </c>
      <c r="F1189" s="7" t="s">
        <v>291</v>
      </c>
      <c r="G1189" s="1">
        <v>1</v>
      </c>
      <c r="H1189" s="7" t="s">
        <v>291</v>
      </c>
      <c r="I1189" s="7" t="s">
        <v>296</v>
      </c>
      <c r="J1189" s="1">
        <v>1</v>
      </c>
      <c r="K1189" s="1">
        <v>6</v>
      </c>
      <c r="L1189" s="67">
        <f t="shared" si="37"/>
        <v>1</v>
      </c>
    </row>
    <row r="1190" spans="1:12" x14ac:dyDescent="0.2">
      <c r="A1190">
        <v>1189</v>
      </c>
      <c r="B1190" s="7" t="s">
        <v>356</v>
      </c>
      <c r="C1190" t="s">
        <v>1311</v>
      </c>
      <c r="D1190" s="65" t="str">
        <f t="shared" si="36"/>
        <v>Y</v>
      </c>
      <c r="E1190" t="s">
        <v>1315</v>
      </c>
      <c r="F1190" s="7" t="s">
        <v>291</v>
      </c>
      <c r="G1190" s="1">
        <v>1</v>
      </c>
      <c r="H1190" s="7" t="s">
        <v>291</v>
      </c>
      <c r="I1190" s="7" t="s">
        <v>292</v>
      </c>
      <c r="J1190" s="1">
        <v>1</v>
      </c>
      <c r="K1190" s="1">
        <v>5</v>
      </c>
      <c r="L1190" s="67">
        <f t="shared" si="37"/>
        <v>1</v>
      </c>
    </row>
    <row r="1191" spans="1:12" x14ac:dyDescent="0.2">
      <c r="A1191">
        <v>1190</v>
      </c>
      <c r="B1191" s="7" t="s">
        <v>372</v>
      </c>
      <c r="C1191" t="s">
        <v>1311</v>
      </c>
      <c r="D1191" s="65" t="str">
        <f t="shared" si="36"/>
        <v>Y</v>
      </c>
      <c r="E1191" t="s">
        <v>1315</v>
      </c>
      <c r="F1191" s="7" t="s">
        <v>291</v>
      </c>
      <c r="G1191" s="1">
        <v>1</v>
      </c>
      <c r="H1191" s="7" t="s">
        <v>291</v>
      </c>
      <c r="I1191" s="7" t="s">
        <v>292</v>
      </c>
      <c r="J1191" s="1">
        <v>1</v>
      </c>
      <c r="K1191" s="1">
        <v>5</v>
      </c>
      <c r="L1191" s="67">
        <f t="shared" si="37"/>
        <v>1</v>
      </c>
    </row>
    <row r="1192" spans="1:12" x14ac:dyDescent="0.2">
      <c r="A1192">
        <v>1191</v>
      </c>
      <c r="B1192" s="7" t="s">
        <v>356</v>
      </c>
      <c r="C1192" t="s">
        <v>1311</v>
      </c>
      <c r="D1192" s="65" t="str">
        <f t="shared" si="36"/>
        <v>Y</v>
      </c>
      <c r="E1192" t="s">
        <v>1315</v>
      </c>
      <c r="F1192" s="7" t="s">
        <v>291</v>
      </c>
      <c r="G1192" s="1">
        <v>1</v>
      </c>
      <c r="H1192" s="7" t="s">
        <v>291</v>
      </c>
      <c r="I1192" s="7" t="s">
        <v>292</v>
      </c>
      <c r="J1192" s="1">
        <v>1</v>
      </c>
      <c r="K1192" s="1">
        <v>5</v>
      </c>
      <c r="L1192" s="67">
        <f t="shared" si="37"/>
        <v>1</v>
      </c>
    </row>
    <row r="1193" spans="1:12" x14ac:dyDescent="0.2">
      <c r="A1193">
        <v>1192</v>
      </c>
      <c r="B1193" s="7" t="s">
        <v>372</v>
      </c>
      <c r="C1193" t="s">
        <v>1311</v>
      </c>
      <c r="D1193" s="65" t="str">
        <f t="shared" si="36"/>
        <v>Y</v>
      </c>
      <c r="E1193" t="s">
        <v>1315</v>
      </c>
      <c r="F1193" s="7" t="s">
        <v>291</v>
      </c>
      <c r="G1193" s="1">
        <v>1</v>
      </c>
      <c r="H1193" s="7" t="s">
        <v>291</v>
      </c>
      <c r="I1193" s="7" t="s">
        <v>294</v>
      </c>
      <c r="J1193" s="1">
        <v>1</v>
      </c>
      <c r="K1193" s="1">
        <v>7</v>
      </c>
      <c r="L1193" s="67">
        <f t="shared" si="37"/>
        <v>1</v>
      </c>
    </row>
    <row r="1194" spans="1:12" x14ac:dyDescent="0.2">
      <c r="A1194">
        <v>1193</v>
      </c>
      <c r="B1194" s="7" t="s">
        <v>356</v>
      </c>
      <c r="C1194" t="s">
        <v>1311</v>
      </c>
      <c r="D1194" s="65" t="str">
        <f t="shared" si="36"/>
        <v>Y</v>
      </c>
      <c r="E1194" t="s">
        <v>1315</v>
      </c>
      <c r="F1194" s="7" t="s">
        <v>291</v>
      </c>
      <c r="G1194" s="1">
        <v>1</v>
      </c>
      <c r="H1194" s="7" t="s">
        <v>291</v>
      </c>
      <c r="I1194" s="7" t="s">
        <v>296</v>
      </c>
      <c r="J1194" s="1">
        <v>1</v>
      </c>
      <c r="K1194" s="1">
        <v>6</v>
      </c>
      <c r="L1194" s="67">
        <f t="shared" si="37"/>
        <v>1</v>
      </c>
    </row>
    <row r="1195" spans="1:12" x14ac:dyDescent="0.2">
      <c r="A1195">
        <v>1194</v>
      </c>
      <c r="B1195" s="7" t="s">
        <v>372</v>
      </c>
      <c r="C1195" t="s">
        <v>1311</v>
      </c>
      <c r="D1195" s="65" t="str">
        <f t="shared" si="36"/>
        <v>Y</v>
      </c>
      <c r="E1195" t="s">
        <v>1315</v>
      </c>
      <c r="F1195" s="7" t="s">
        <v>291</v>
      </c>
      <c r="G1195" s="1">
        <v>1</v>
      </c>
      <c r="H1195" s="7" t="s">
        <v>291</v>
      </c>
      <c r="I1195" s="7" t="s">
        <v>296</v>
      </c>
      <c r="J1195" s="1">
        <v>1</v>
      </c>
      <c r="K1195" s="1">
        <v>6</v>
      </c>
      <c r="L1195" s="67">
        <f t="shared" si="37"/>
        <v>1</v>
      </c>
    </row>
    <row r="1196" spans="1:12" x14ac:dyDescent="0.2">
      <c r="A1196">
        <v>1195</v>
      </c>
      <c r="B1196" s="7" t="s">
        <v>356</v>
      </c>
      <c r="C1196" t="s">
        <v>1311</v>
      </c>
      <c r="D1196" s="65" t="str">
        <f t="shared" si="36"/>
        <v>Y</v>
      </c>
      <c r="E1196" t="s">
        <v>1315</v>
      </c>
      <c r="F1196" s="7" t="s">
        <v>291</v>
      </c>
      <c r="G1196" s="1">
        <v>1</v>
      </c>
      <c r="H1196" s="7" t="s">
        <v>291</v>
      </c>
      <c r="I1196" s="7" t="s">
        <v>297</v>
      </c>
      <c r="J1196" s="1">
        <v>1</v>
      </c>
      <c r="K1196" s="1">
        <v>4</v>
      </c>
      <c r="L1196" s="67">
        <f t="shared" si="37"/>
        <v>1</v>
      </c>
    </row>
    <row r="1197" spans="1:12" x14ac:dyDescent="0.2">
      <c r="A1197">
        <v>1196</v>
      </c>
      <c r="B1197" s="7" t="s">
        <v>356</v>
      </c>
      <c r="C1197" t="s">
        <v>1311</v>
      </c>
      <c r="D1197" s="65" t="str">
        <f t="shared" si="36"/>
        <v>Y</v>
      </c>
      <c r="E1197" t="s">
        <v>1315</v>
      </c>
      <c r="F1197" s="7" t="s">
        <v>291</v>
      </c>
      <c r="G1197" s="1">
        <v>1</v>
      </c>
      <c r="H1197" s="7" t="s">
        <v>291</v>
      </c>
      <c r="I1197" s="7" t="s">
        <v>296</v>
      </c>
      <c r="J1197" s="1">
        <v>1</v>
      </c>
      <c r="K1197" s="1">
        <v>6</v>
      </c>
      <c r="L1197" s="67">
        <f t="shared" si="37"/>
        <v>1</v>
      </c>
    </row>
    <row r="1198" spans="1:12" x14ac:dyDescent="0.2">
      <c r="A1198">
        <v>1197</v>
      </c>
      <c r="B1198" s="7" t="s">
        <v>372</v>
      </c>
      <c r="C1198" t="s">
        <v>1311</v>
      </c>
      <c r="D1198" s="65" t="str">
        <f t="shared" si="36"/>
        <v>Y</v>
      </c>
      <c r="E1198" t="s">
        <v>1315</v>
      </c>
      <c r="F1198" s="7" t="s">
        <v>291</v>
      </c>
      <c r="G1198" s="1">
        <v>1</v>
      </c>
      <c r="H1198" s="7" t="s">
        <v>291</v>
      </c>
      <c r="I1198" s="7" t="s">
        <v>292</v>
      </c>
      <c r="J1198" s="1">
        <v>1</v>
      </c>
      <c r="K1198" s="1">
        <v>5</v>
      </c>
      <c r="L1198" s="67">
        <f t="shared" si="37"/>
        <v>1</v>
      </c>
    </row>
    <row r="1199" spans="1:12" x14ac:dyDescent="0.2">
      <c r="A1199">
        <v>1198</v>
      </c>
      <c r="B1199" s="7" t="s">
        <v>356</v>
      </c>
      <c r="C1199" t="s">
        <v>1311</v>
      </c>
      <c r="D1199" s="65" t="str">
        <f t="shared" si="36"/>
        <v>Y</v>
      </c>
      <c r="E1199" t="s">
        <v>1315</v>
      </c>
      <c r="F1199" s="7" t="s">
        <v>291</v>
      </c>
      <c r="G1199" s="1">
        <v>1</v>
      </c>
      <c r="H1199" s="7" t="s">
        <v>298</v>
      </c>
      <c r="I1199" s="7" t="s">
        <v>292</v>
      </c>
      <c r="J1199" s="1">
        <v>3</v>
      </c>
      <c r="K1199" s="1">
        <v>5</v>
      </c>
      <c r="L1199" s="67">
        <f t="shared" si="37"/>
        <v>0</v>
      </c>
    </row>
    <row r="1200" spans="1:12" x14ac:dyDescent="0.2">
      <c r="A1200">
        <v>1199</v>
      </c>
      <c r="B1200" s="7" t="s">
        <v>372</v>
      </c>
      <c r="C1200" t="s">
        <v>1311</v>
      </c>
      <c r="D1200" s="65" t="str">
        <f t="shared" si="36"/>
        <v>Y</v>
      </c>
      <c r="E1200" t="s">
        <v>1315</v>
      </c>
      <c r="F1200" s="7" t="s">
        <v>291</v>
      </c>
      <c r="G1200" s="1">
        <v>1</v>
      </c>
      <c r="H1200" s="7" t="s">
        <v>291</v>
      </c>
      <c r="I1200" s="7" t="s">
        <v>292</v>
      </c>
      <c r="J1200" s="1">
        <v>1</v>
      </c>
      <c r="K1200" s="1">
        <v>5</v>
      </c>
      <c r="L1200" s="67">
        <f t="shared" si="37"/>
        <v>1</v>
      </c>
    </row>
    <row r="1201" spans="1:12" x14ac:dyDescent="0.2">
      <c r="A1201">
        <v>1200</v>
      </c>
      <c r="B1201" s="7" t="s">
        <v>356</v>
      </c>
      <c r="C1201" t="s">
        <v>1311</v>
      </c>
      <c r="D1201" s="65" t="str">
        <f t="shared" si="36"/>
        <v>Y</v>
      </c>
      <c r="E1201" t="s">
        <v>1315</v>
      </c>
      <c r="F1201" s="7" t="s">
        <v>291</v>
      </c>
      <c r="G1201" s="1">
        <v>1</v>
      </c>
      <c r="H1201" s="7" t="s">
        <v>291</v>
      </c>
      <c r="I1201" s="7" t="s">
        <v>294</v>
      </c>
      <c r="J1201" s="1">
        <v>1</v>
      </c>
      <c r="K1201" s="1">
        <v>7</v>
      </c>
      <c r="L1201" s="67">
        <f t="shared" si="37"/>
        <v>1</v>
      </c>
    </row>
    <row r="1202" spans="1:12" x14ac:dyDescent="0.2">
      <c r="A1202">
        <v>1201</v>
      </c>
      <c r="B1202" s="7" t="s">
        <v>372</v>
      </c>
      <c r="C1202" t="s">
        <v>1311</v>
      </c>
      <c r="D1202" s="65" t="str">
        <f t="shared" si="36"/>
        <v>Y</v>
      </c>
      <c r="E1202" t="s">
        <v>1315</v>
      </c>
      <c r="F1202" s="7" t="s">
        <v>291</v>
      </c>
      <c r="G1202" s="1">
        <v>1</v>
      </c>
      <c r="H1202" s="7" t="s">
        <v>298</v>
      </c>
      <c r="I1202" s="7" t="s">
        <v>292</v>
      </c>
      <c r="J1202" s="1">
        <v>3</v>
      </c>
      <c r="K1202" s="1">
        <v>5</v>
      </c>
      <c r="L1202" s="67">
        <f t="shared" si="37"/>
        <v>0</v>
      </c>
    </row>
    <row r="1203" spans="1:12" x14ac:dyDescent="0.2">
      <c r="A1203">
        <v>1202</v>
      </c>
      <c r="B1203" s="7" t="s">
        <v>372</v>
      </c>
      <c r="C1203" t="s">
        <v>1311</v>
      </c>
      <c r="D1203" s="65" t="str">
        <f t="shared" si="36"/>
        <v>Y</v>
      </c>
      <c r="E1203" t="s">
        <v>1315</v>
      </c>
      <c r="F1203" s="7" t="s">
        <v>291</v>
      </c>
      <c r="G1203" s="1">
        <v>1</v>
      </c>
      <c r="H1203" s="7" t="s">
        <v>295</v>
      </c>
      <c r="I1203" s="7" t="s">
        <v>297</v>
      </c>
      <c r="J1203" s="1">
        <v>5</v>
      </c>
      <c r="K1203" s="1">
        <v>4</v>
      </c>
      <c r="L1203" s="67">
        <f t="shared" si="37"/>
        <v>0</v>
      </c>
    </row>
    <row r="1204" spans="1:12" x14ac:dyDescent="0.2">
      <c r="A1204">
        <v>1203</v>
      </c>
      <c r="B1204" s="7" t="s">
        <v>356</v>
      </c>
      <c r="C1204" t="s">
        <v>1311</v>
      </c>
      <c r="D1204" s="65" t="str">
        <f t="shared" si="36"/>
        <v>Y</v>
      </c>
      <c r="E1204" t="s">
        <v>1315</v>
      </c>
      <c r="F1204" s="7" t="s">
        <v>291</v>
      </c>
      <c r="G1204" s="1">
        <v>1</v>
      </c>
      <c r="H1204" s="7" t="s">
        <v>291</v>
      </c>
      <c r="I1204" s="7" t="s">
        <v>292</v>
      </c>
      <c r="J1204" s="1">
        <v>1</v>
      </c>
      <c r="K1204" s="1">
        <v>5</v>
      </c>
      <c r="L1204" s="67">
        <f t="shared" si="37"/>
        <v>1</v>
      </c>
    </row>
    <row r="1205" spans="1:12" x14ac:dyDescent="0.2">
      <c r="A1205">
        <v>1204</v>
      </c>
      <c r="B1205" s="7" t="s">
        <v>356</v>
      </c>
      <c r="C1205" t="s">
        <v>1311</v>
      </c>
      <c r="D1205" s="65" t="str">
        <f t="shared" si="36"/>
        <v>Y</v>
      </c>
      <c r="E1205" t="s">
        <v>1315</v>
      </c>
      <c r="F1205" s="7" t="s">
        <v>291</v>
      </c>
      <c r="G1205" s="1">
        <v>1</v>
      </c>
      <c r="H1205" s="7" t="s">
        <v>291</v>
      </c>
      <c r="I1205" s="7" t="s">
        <v>294</v>
      </c>
      <c r="J1205" s="1">
        <v>1</v>
      </c>
      <c r="K1205" s="1">
        <v>7</v>
      </c>
      <c r="L1205" s="67">
        <f t="shared" si="37"/>
        <v>1</v>
      </c>
    </row>
    <row r="1206" spans="1:12" x14ac:dyDescent="0.2">
      <c r="A1206">
        <v>1205</v>
      </c>
      <c r="B1206" s="7" t="s">
        <v>372</v>
      </c>
      <c r="C1206" t="s">
        <v>1311</v>
      </c>
      <c r="D1206" s="65" t="str">
        <f t="shared" si="36"/>
        <v>Y</v>
      </c>
      <c r="E1206" t="s">
        <v>1315</v>
      </c>
      <c r="F1206" s="7" t="s">
        <v>291</v>
      </c>
      <c r="G1206" s="1">
        <v>1</v>
      </c>
      <c r="H1206" s="7" t="s">
        <v>291</v>
      </c>
      <c r="I1206" s="7" t="s">
        <v>297</v>
      </c>
      <c r="J1206" s="1">
        <v>1</v>
      </c>
      <c r="K1206" s="1">
        <v>4</v>
      </c>
      <c r="L1206" s="67">
        <f t="shared" si="37"/>
        <v>1</v>
      </c>
    </row>
    <row r="1207" spans="1:12" x14ac:dyDescent="0.2">
      <c r="A1207">
        <v>1206</v>
      </c>
      <c r="B1207" s="7" t="s">
        <v>356</v>
      </c>
      <c r="C1207" t="s">
        <v>1311</v>
      </c>
      <c r="D1207" s="65" t="str">
        <f t="shared" si="36"/>
        <v>Y</v>
      </c>
      <c r="E1207" t="s">
        <v>1315</v>
      </c>
      <c r="F1207" s="7" t="s">
        <v>291</v>
      </c>
      <c r="G1207" s="1">
        <v>1</v>
      </c>
      <c r="H1207" s="7" t="s">
        <v>291</v>
      </c>
      <c r="I1207" s="7" t="s">
        <v>292</v>
      </c>
      <c r="J1207" s="1">
        <v>1</v>
      </c>
      <c r="K1207" s="1">
        <v>5</v>
      </c>
      <c r="L1207" s="67">
        <f t="shared" si="37"/>
        <v>1</v>
      </c>
    </row>
    <row r="1208" spans="1:12" x14ac:dyDescent="0.2">
      <c r="A1208">
        <v>1207</v>
      </c>
      <c r="B1208" s="7" t="s">
        <v>356</v>
      </c>
      <c r="C1208" t="s">
        <v>1311</v>
      </c>
      <c r="D1208" s="65" t="str">
        <f t="shared" si="36"/>
        <v>Y</v>
      </c>
      <c r="E1208" t="s">
        <v>1315</v>
      </c>
      <c r="F1208" s="7" t="s">
        <v>291</v>
      </c>
      <c r="G1208" s="1">
        <v>1</v>
      </c>
      <c r="H1208" s="7" t="s">
        <v>291</v>
      </c>
      <c r="I1208" s="7" t="s">
        <v>330</v>
      </c>
      <c r="J1208" s="1">
        <v>1</v>
      </c>
      <c r="K1208" s="1">
        <v>3</v>
      </c>
      <c r="L1208" s="67">
        <f t="shared" si="37"/>
        <v>1</v>
      </c>
    </row>
    <row r="1209" spans="1:12" x14ac:dyDescent="0.2">
      <c r="A1209">
        <v>1208</v>
      </c>
      <c r="B1209" s="7" t="s">
        <v>372</v>
      </c>
      <c r="C1209" t="s">
        <v>1311</v>
      </c>
      <c r="D1209" s="65" t="str">
        <f t="shared" si="36"/>
        <v>Y</v>
      </c>
      <c r="E1209" t="s">
        <v>1315</v>
      </c>
      <c r="F1209" s="7" t="s">
        <v>291</v>
      </c>
      <c r="G1209" s="1">
        <v>1</v>
      </c>
      <c r="H1209" s="7" t="s">
        <v>282</v>
      </c>
      <c r="I1209" s="7" t="s">
        <v>294</v>
      </c>
      <c r="J1209" s="4" t="s">
        <v>282</v>
      </c>
      <c r="K1209" s="1">
        <v>7</v>
      </c>
      <c r="L1209" s="67">
        <f t="shared" si="37"/>
        <v>0</v>
      </c>
    </row>
    <row r="1210" spans="1:12" x14ac:dyDescent="0.2">
      <c r="A1210">
        <v>1209</v>
      </c>
      <c r="B1210" s="7" t="s">
        <v>372</v>
      </c>
      <c r="C1210" t="s">
        <v>1311</v>
      </c>
      <c r="D1210" s="65" t="str">
        <f t="shared" si="36"/>
        <v>Y</v>
      </c>
      <c r="E1210" t="s">
        <v>1315</v>
      </c>
      <c r="F1210" s="7" t="s">
        <v>291</v>
      </c>
      <c r="G1210" s="1">
        <v>1</v>
      </c>
      <c r="H1210" s="7" t="s">
        <v>295</v>
      </c>
      <c r="I1210" s="7" t="s">
        <v>292</v>
      </c>
      <c r="J1210" s="1">
        <v>5</v>
      </c>
      <c r="K1210" s="1">
        <v>5</v>
      </c>
      <c r="L1210" s="67">
        <f t="shared" si="37"/>
        <v>0</v>
      </c>
    </row>
    <row r="1211" spans="1:12" x14ac:dyDescent="0.2">
      <c r="A1211">
        <v>1210</v>
      </c>
      <c r="B1211" s="7" t="s">
        <v>356</v>
      </c>
      <c r="C1211" t="s">
        <v>1311</v>
      </c>
      <c r="D1211" s="65" t="str">
        <f t="shared" si="36"/>
        <v>Y</v>
      </c>
      <c r="E1211" t="s">
        <v>1315</v>
      </c>
      <c r="F1211" s="7" t="s">
        <v>291</v>
      </c>
      <c r="G1211" s="1">
        <v>1</v>
      </c>
      <c r="H1211" s="7" t="s">
        <v>291</v>
      </c>
      <c r="I1211" s="7" t="s">
        <v>292</v>
      </c>
      <c r="J1211" s="1">
        <v>1</v>
      </c>
      <c r="K1211" s="1">
        <v>5</v>
      </c>
      <c r="L1211" s="67">
        <f t="shared" si="37"/>
        <v>1</v>
      </c>
    </row>
    <row r="1212" spans="1:12" x14ac:dyDescent="0.2">
      <c r="A1212">
        <v>1211</v>
      </c>
      <c r="B1212" s="7" t="s">
        <v>356</v>
      </c>
      <c r="C1212" t="s">
        <v>1311</v>
      </c>
      <c r="D1212" s="65" t="str">
        <f t="shared" si="36"/>
        <v>Y</v>
      </c>
      <c r="E1212" t="s">
        <v>1315</v>
      </c>
      <c r="F1212" s="7" t="s">
        <v>291</v>
      </c>
      <c r="G1212" s="1">
        <v>1</v>
      </c>
      <c r="H1212" s="7" t="s">
        <v>291</v>
      </c>
      <c r="I1212" s="7" t="s">
        <v>296</v>
      </c>
      <c r="J1212" s="1">
        <v>1</v>
      </c>
      <c r="K1212" s="1">
        <v>6</v>
      </c>
      <c r="L1212" s="67">
        <f t="shared" si="37"/>
        <v>1</v>
      </c>
    </row>
    <row r="1213" spans="1:12" x14ac:dyDescent="0.2">
      <c r="A1213">
        <v>1212</v>
      </c>
      <c r="B1213" s="7" t="s">
        <v>372</v>
      </c>
      <c r="C1213" t="s">
        <v>1311</v>
      </c>
      <c r="D1213" s="65" t="str">
        <f t="shared" si="36"/>
        <v>Y</v>
      </c>
      <c r="E1213" t="s">
        <v>1315</v>
      </c>
      <c r="F1213" s="7" t="s">
        <v>291</v>
      </c>
      <c r="G1213" s="1">
        <v>1</v>
      </c>
      <c r="H1213" s="7" t="s">
        <v>291</v>
      </c>
      <c r="I1213" s="7" t="s">
        <v>296</v>
      </c>
      <c r="J1213" s="1">
        <v>1</v>
      </c>
      <c r="K1213" s="1">
        <v>6</v>
      </c>
      <c r="L1213" s="67">
        <f t="shared" si="37"/>
        <v>1</v>
      </c>
    </row>
    <row r="1214" spans="1:12" x14ac:dyDescent="0.2">
      <c r="A1214">
        <v>1213</v>
      </c>
      <c r="B1214" s="7" t="s">
        <v>356</v>
      </c>
      <c r="C1214" t="s">
        <v>1311</v>
      </c>
      <c r="D1214" s="65" t="str">
        <f t="shared" si="36"/>
        <v>Y</v>
      </c>
      <c r="E1214" t="s">
        <v>1315</v>
      </c>
      <c r="F1214" s="7" t="s">
        <v>291</v>
      </c>
      <c r="G1214" s="1">
        <v>1</v>
      </c>
      <c r="H1214" s="7" t="s">
        <v>291</v>
      </c>
      <c r="I1214" s="7" t="s">
        <v>296</v>
      </c>
      <c r="J1214" s="1">
        <v>1</v>
      </c>
      <c r="K1214" s="1">
        <v>6</v>
      </c>
      <c r="L1214" s="67">
        <f t="shared" si="37"/>
        <v>1</v>
      </c>
    </row>
    <row r="1215" spans="1:12" x14ac:dyDescent="0.2">
      <c r="A1215">
        <v>1214</v>
      </c>
      <c r="B1215" s="7" t="s">
        <v>372</v>
      </c>
      <c r="C1215" t="s">
        <v>1311</v>
      </c>
      <c r="D1215" s="65" t="str">
        <f t="shared" si="36"/>
        <v>Y</v>
      </c>
      <c r="E1215" t="s">
        <v>1315</v>
      </c>
      <c r="F1215" s="7" t="s">
        <v>291</v>
      </c>
      <c r="G1215" s="1">
        <v>1</v>
      </c>
      <c r="H1215" s="7" t="s">
        <v>291</v>
      </c>
      <c r="I1215" s="7" t="s">
        <v>330</v>
      </c>
      <c r="J1215" s="1">
        <v>1</v>
      </c>
      <c r="K1215" s="1">
        <v>3</v>
      </c>
      <c r="L1215" s="67">
        <f t="shared" si="37"/>
        <v>1</v>
      </c>
    </row>
    <row r="1216" spans="1:12" x14ac:dyDescent="0.2">
      <c r="A1216">
        <v>1215</v>
      </c>
      <c r="B1216" s="7" t="s">
        <v>356</v>
      </c>
      <c r="C1216" t="s">
        <v>1311</v>
      </c>
      <c r="D1216" s="65" t="str">
        <f t="shared" si="36"/>
        <v>Y</v>
      </c>
      <c r="E1216" t="s">
        <v>1315</v>
      </c>
      <c r="F1216" s="7" t="s">
        <v>291</v>
      </c>
      <c r="G1216" s="1">
        <v>1</v>
      </c>
      <c r="H1216" s="7" t="s">
        <v>291</v>
      </c>
      <c r="I1216" s="7" t="s">
        <v>292</v>
      </c>
      <c r="J1216" s="1">
        <v>1</v>
      </c>
      <c r="K1216" s="1">
        <v>5</v>
      </c>
      <c r="L1216" s="67">
        <f t="shared" si="37"/>
        <v>1</v>
      </c>
    </row>
    <row r="1217" spans="1:12" x14ac:dyDescent="0.2">
      <c r="A1217">
        <v>1216</v>
      </c>
      <c r="B1217" s="7" t="s">
        <v>372</v>
      </c>
      <c r="C1217" t="s">
        <v>1311</v>
      </c>
      <c r="D1217" s="65" t="str">
        <f t="shared" si="36"/>
        <v>Y</v>
      </c>
      <c r="E1217" t="s">
        <v>1315</v>
      </c>
      <c r="F1217" s="7" t="s">
        <v>291</v>
      </c>
      <c r="G1217" s="1">
        <v>1</v>
      </c>
      <c r="H1217" s="7" t="s">
        <v>291</v>
      </c>
      <c r="I1217" s="7" t="s">
        <v>296</v>
      </c>
      <c r="J1217" s="1">
        <v>1</v>
      </c>
      <c r="K1217" s="1">
        <v>6</v>
      </c>
      <c r="L1217" s="67">
        <f t="shared" si="37"/>
        <v>1</v>
      </c>
    </row>
    <row r="1218" spans="1:12" x14ac:dyDescent="0.2">
      <c r="A1218">
        <v>1217</v>
      </c>
      <c r="B1218" s="7" t="s">
        <v>356</v>
      </c>
      <c r="C1218" t="s">
        <v>1311</v>
      </c>
      <c r="D1218" s="65" t="str">
        <f t="shared" si="36"/>
        <v>Y</v>
      </c>
      <c r="E1218" t="s">
        <v>1315</v>
      </c>
      <c r="F1218" s="7" t="s">
        <v>291</v>
      </c>
      <c r="G1218" s="1">
        <v>1</v>
      </c>
      <c r="H1218" s="7" t="s">
        <v>291</v>
      </c>
      <c r="I1218" s="7" t="s">
        <v>292</v>
      </c>
      <c r="J1218" s="1">
        <v>1</v>
      </c>
      <c r="K1218" s="1">
        <v>5</v>
      </c>
      <c r="L1218" s="67">
        <f t="shared" si="37"/>
        <v>1</v>
      </c>
    </row>
    <row r="1219" spans="1:12" x14ac:dyDescent="0.2">
      <c r="A1219">
        <v>1218</v>
      </c>
      <c r="B1219" s="7" t="s">
        <v>356</v>
      </c>
      <c r="C1219" t="s">
        <v>1311</v>
      </c>
      <c r="D1219" s="65" t="str">
        <f t="shared" ref="D1219:D1282" si="38">IF($E1219="iso", "N", IF(OR($E1219="non", $E1219="emd", $E1219="dyn"), "Y", "ERROR"))</f>
        <v>Y</v>
      </c>
      <c r="E1219" t="s">
        <v>1315</v>
      </c>
      <c r="F1219" s="7" t="s">
        <v>291</v>
      </c>
      <c r="G1219" s="1">
        <v>1</v>
      </c>
      <c r="H1219" s="7" t="s">
        <v>291</v>
      </c>
      <c r="I1219" s="7" t="s">
        <v>294</v>
      </c>
      <c r="J1219" s="1">
        <v>1</v>
      </c>
      <c r="K1219" s="1">
        <v>7</v>
      </c>
      <c r="L1219" s="67">
        <f t="shared" ref="L1219:L1282" si="39">IF(G1219=J1219, 1, 0)</f>
        <v>1</v>
      </c>
    </row>
    <row r="1220" spans="1:12" x14ac:dyDescent="0.2">
      <c r="A1220">
        <v>1219</v>
      </c>
      <c r="B1220" s="7" t="s">
        <v>372</v>
      </c>
      <c r="C1220" t="s">
        <v>1311</v>
      </c>
      <c r="D1220" s="65" t="str">
        <f t="shared" si="38"/>
        <v>Y</v>
      </c>
      <c r="E1220" t="s">
        <v>1315</v>
      </c>
      <c r="F1220" s="7" t="s">
        <v>291</v>
      </c>
      <c r="G1220" s="1">
        <v>1</v>
      </c>
      <c r="H1220" s="7" t="s">
        <v>291</v>
      </c>
      <c r="I1220" s="7" t="s">
        <v>296</v>
      </c>
      <c r="J1220" s="1">
        <v>1</v>
      </c>
      <c r="K1220" s="1">
        <v>6</v>
      </c>
      <c r="L1220" s="67">
        <f t="shared" si="39"/>
        <v>1</v>
      </c>
    </row>
    <row r="1221" spans="1:12" x14ac:dyDescent="0.2">
      <c r="A1221">
        <v>1220</v>
      </c>
      <c r="B1221" s="7" t="s">
        <v>372</v>
      </c>
      <c r="C1221" t="s">
        <v>1311</v>
      </c>
      <c r="D1221" s="65" t="str">
        <f t="shared" si="38"/>
        <v>Y</v>
      </c>
      <c r="E1221" t="s">
        <v>1315</v>
      </c>
      <c r="F1221" s="7" t="s">
        <v>291</v>
      </c>
      <c r="G1221" s="1">
        <v>1</v>
      </c>
      <c r="H1221" s="7" t="s">
        <v>291</v>
      </c>
      <c r="I1221" s="7" t="s">
        <v>296</v>
      </c>
      <c r="J1221" s="1">
        <v>1</v>
      </c>
      <c r="K1221" s="1">
        <v>6</v>
      </c>
      <c r="L1221" s="67">
        <f t="shared" si="39"/>
        <v>1</v>
      </c>
    </row>
    <row r="1222" spans="1:12" x14ac:dyDescent="0.2">
      <c r="A1222">
        <v>1221</v>
      </c>
      <c r="B1222" s="7" t="s">
        <v>356</v>
      </c>
      <c r="C1222" t="s">
        <v>1311</v>
      </c>
      <c r="D1222" s="65" t="str">
        <f t="shared" si="38"/>
        <v>Y</v>
      </c>
      <c r="E1222" t="s">
        <v>1315</v>
      </c>
      <c r="F1222" s="7" t="s">
        <v>291</v>
      </c>
      <c r="G1222" s="1">
        <v>1</v>
      </c>
      <c r="H1222" s="7" t="s">
        <v>291</v>
      </c>
      <c r="I1222" s="7" t="s">
        <v>292</v>
      </c>
      <c r="J1222" s="1">
        <v>1</v>
      </c>
      <c r="K1222" s="1">
        <v>5</v>
      </c>
      <c r="L1222" s="67">
        <f t="shared" si="39"/>
        <v>1</v>
      </c>
    </row>
    <row r="1223" spans="1:12" x14ac:dyDescent="0.2">
      <c r="A1223">
        <v>1222</v>
      </c>
      <c r="B1223" s="7" t="s">
        <v>372</v>
      </c>
      <c r="C1223" t="s">
        <v>1311</v>
      </c>
      <c r="D1223" s="65" t="str">
        <f t="shared" si="38"/>
        <v>Y</v>
      </c>
      <c r="E1223" t="s">
        <v>1315</v>
      </c>
      <c r="F1223" s="7" t="s">
        <v>291</v>
      </c>
      <c r="G1223" s="1">
        <v>1</v>
      </c>
      <c r="H1223" s="7" t="s">
        <v>291</v>
      </c>
      <c r="I1223" s="7" t="s">
        <v>292</v>
      </c>
      <c r="J1223" s="1">
        <v>1</v>
      </c>
      <c r="K1223" s="1">
        <v>5</v>
      </c>
      <c r="L1223" s="67">
        <f t="shared" si="39"/>
        <v>1</v>
      </c>
    </row>
    <row r="1224" spans="1:12" x14ac:dyDescent="0.2">
      <c r="A1224">
        <v>1223</v>
      </c>
      <c r="B1224" s="7" t="s">
        <v>372</v>
      </c>
      <c r="C1224" t="s">
        <v>1311</v>
      </c>
      <c r="D1224" s="65" t="str">
        <f t="shared" si="38"/>
        <v>Y</v>
      </c>
      <c r="E1224" t="s">
        <v>1315</v>
      </c>
      <c r="F1224" s="7" t="s">
        <v>291</v>
      </c>
      <c r="G1224" s="1">
        <v>1</v>
      </c>
      <c r="H1224" s="7" t="s">
        <v>291</v>
      </c>
      <c r="I1224" s="7" t="s">
        <v>297</v>
      </c>
      <c r="J1224" s="1">
        <v>1</v>
      </c>
      <c r="K1224" s="1">
        <v>4</v>
      </c>
      <c r="L1224" s="67">
        <f t="shared" si="39"/>
        <v>1</v>
      </c>
    </row>
    <row r="1225" spans="1:12" x14ac:dyDescent="0.2">
      <c r="A1225">
        <v>1224</v>
      </c>
      <c r="B1225" s="7" t="s">
        <v>372</v>
      </c>
      <c r="C1225" t="s">
        <v>1311</v>
      </c>
      <c r="D1225" s="65" t="str">
        <f t="shared" si="38"/>
        <v>Y</v>
      </c>
      <c r="E1225" t="s">
        <v>1315</v>
      </c>
      <c r="F1225" s="7" t="s">
        <v>291</v>
      </c>
      <c r="G1225" s="1">
        <v>1</v>
      </c>
      <c r="H1225" s="7" t="s">
        <v>291</v>
      </c>
      <c r="I1225" s="7" t="s">
        <v>297</v>
      </c>
      <c r="J1225" s="1">
        <v>1</v>
      </c>
      <c r="K1225" s="1">
        <v>4</v>
      </c>
      <c r="L1225" s="67">
        <f t="shared" si="39"/>
        <v>1</v>
      </c>
    </row>
    <row r="1226" spans="1:12" x14ac:dyDescent="0.2">
      <c r="A1226">
        <v>1225</v>
      </c>
      <c r="B1226" s="7" t="s">
        <v>356</v>
      </c>
      <c r="C1226" t="s">
        <v>1311</v>
      </c>
      <c r="D1226" s="65" t="str">
        <f t="shared" si="38"/>
        <v>Y</v>
      </c>
      <c r="E1226" t="s">
        <v>1315</v>
      </c>
      <c r="F1226" s="7" t="s">
        <v>291</v>
      </c>
      <c r="G1226" s="1">
        <v>1</v>
      </c>
      <c r="H1226" s="7" t="s">
        <v>291</v>
      </c>
      <c r="I1226" s="7" t="s">
        <v>296</v>
      </c>
      <c r="J1226" s="1">
        <v>1</v>
      </c>
      <c r="K1226" s="1">
        <v>6</v>
      </c>
      <c r="L1226" s="67">
        <f t="shared" si="39"/>
        <v>1</v>
      </c>
    </row>
    <row r="1227" spans="1:12" x14ac:dyDescent="0.2">
      <c r="A1227">
        <v>1226</v>
      </c>
      <c r="B1227" s="7" t="s">
        <v>372</v>
      </c>
      <c r="C1227" t="s">
        <v>1311</v>
      </c>
      <c r="D1227" s="65" t="str">
        <f t="shared" si="38"/>
        <v>Y</v>
      </c>
      <c r="E1227" t="s">
        <v>1315</v>
      </c>
      <c r="F1227" s="7" t="s">
        <v>291</v>
      </c>
      <c r="G1227" s="1">
        <v>1</v>
      </c>
      <c r="H1227" s="7" t="s">
        <v>291</v>
      </c>
      <c r="I1227" s="7" t="s">
        <v>292</v>
      </c>
      <c r="J1227" s="1">
        <v>1</v>
      </c>
      <c r="K1227" s="1">
        <v>5</v>
      </c>
      <c r="L1227" s="67">
        <f t="shared" si="39"/>
        <v>1</v>
      </c>
    </row>
    <row r="1228" spans="1:12" x14ac:dyDescent="0.2">
      <c r="A1228">
        <v>1227</v>
      </c>
      <c r="B1228" s="7" t="s">
        <v>356</v>
      </c>
      <c r="C1228" t="s">
        <v>1311</v>
      </c>
      <c r="D1228" s="65" t="str">
        <f t="shared" si="38"/>
        <v>Y</v>
      </c>
      <c r="E1228" t="s">
        <v>1315</v>
      </c>
      <c r="F1228" s="7" t="s">
        <v>291</v>
      </c>
      <c r="G1228" s="1">
        <v>1</v>
      </c>
      <c r="H1228" s="7" t="s">
        <v>291</v>
      </c>
      <c r="I1228" s="7" t="s">
        <v>292</v>
      </c>
      <c r="J1228" s="1">
        <v>1</v>
      </c>
      <c r="K1228" s="1">
        <v>5</v>
      </c>
      <c r="L1228" s="67">
        <f t="shared" si="39"/>
        <v>1</v>
      </c>
    </row>
    <row r="1229" spans="1:12" x14ac:dyDescent="0.2">
      <c r="A1229">
        <v>1228</v>
      </c>
      <c r="B1229" s="7" t="s">
        <v>356</v>
      </c>
      <c r="C1229" t="s">
        <v>1311</v>
      </c>
      <c r="D1229" s="65" t="str">
        <f t="shared" si="38"/>
        <v>Y</v>
      </c>
      <c r="E1229" t="s">
        <v>1315</v>
      </c>
      <c r="F1229" s="7" t="s">
        <v>291</v>
      </c>
      <c r="G1229" s="1">
        <v>1</v>
      </c>
      <c r="H1229" s="7" t="s">
        <v>291</v>
      </c>
      <c r="I1229" s="7" t="s">
        <v>296</v>
      </c>
      <c r="J1229" s="1">
        <v>1</v>
      </c>
      <c r="K1229" s="1">
        <v>6</v>
      </c>
      <c r="L1229" s="67">
        <f t="shared" si="39"/>
        <v>1</v>
      </c>
    </row>
    <row r="1230" spans="1:12" x14ac:dyDescent="0.2">
      <c r="A1230">
        <v>1229</v>
      </c>
      <c r="B1230" s="7" t="s">
        <v>372</v>
      </c>
      <c r="C1230" t="s">
        <v>1311</v>
      </c>
      <c r="D1230" s="65" t="str">
        <f t="shared" si="38"/>
        <v>Y</v>
      </c>
      <c r="E1230" t="s">
        <v>1315</v>
      </c>
      <c r="F1230" s="7" t="s">
        <v>291</v>
      </c>
      <c r="G1230" s="1">
        <v>1</v>
      </c>
      <c r="H1230" s="7" t="s">
        <v>282</v>
      </c>
      <c r="I1230" s="7" t="s">
        <v>294</v>
      </c>
      <c r="J1230" s="4" t="s">
        <v>282</v>
      </c>
      <c r="K1230" s="1">
        <v>7</v>
      </c>
      <c r="L1230" s="67">
        <f t="shared" si="39"/>
        <v>0</v>
      </c>
    </row>
    <row r="1231" spans="1:12" x14ac:dyDescent="0.2">
      <c r="A1231">
        <v>1230</v>
      </c>
      <c r="B1231" s="7" t="s">
        <v>372</v>
      </c>
      <c r="C1231" t="s">
        <v>1311</v>
      </c>
      <c r="D1231" s="65" t="str">
        <f t="shared" si="38"/>
        <v>Y</v>
      </c>
      <c r="E1231" t="s">
        <v>1315</v>
      </c>
      <c r="F1231" s="7" t="s">
        <v>291</v>
      </c>
      <c r="G1231" s="1">
        <v>1</v>
      </c>
      <c r="H1231" s="7" t="s">
        <v>291</v>
      </c>
      <c r="I1231" s="7" t="s">
        <v>296</v>
      </c>
      <c r="J1231" s="1">
        <v>1</v>
      </c>
      <c r="K1231" s="1">
        <v>6</v>
      </c>
      <c r="L1231" s="67">
        <f t="shared" si="39"/>
        <v>1</v>
      </c>
    </row>
    <row r="1232" spans="1:12" x14ac:dyDescent="0.2">
      <c r="A1232">
        <v>1231</v>
      </c>
      <c r="B1232" s="7" t="s">
        <v>356</v>
      </c>
      <c r="C1232" t="s">
        <v>1311</v>
      </c>
      <c r="D1232" s="65" t="str">
        <f t="shared" si="38"/>
        <v>Y</v>
      </c>
      <c r="E1232" t="s">
        <v>1315</v>
      </c>
      <c r="F1232" s="7" t="s">
        <v>291</v>
      </c>
      <c r="G1232" s="1">
        <v>1</v>
      </c>
      <c r="H1232" s="7" t="s">
        <v>291</v>
      </c>
      <c r="I1232" s="7" t="s">
        <v>296</v>
      </c>
      <c r="J1232" s="1">
        <v>1</v>
      </c>
      <c r="K1232" s="1">
        <v>6</v>
      </c>
      <c r="L1232" s="67">
        <f t="shared" si="39"/>
        <v>1</v>
      </c>
    </row>
    <row r="1233" spans="1:12" x14ac:dyDescent="0.2">
      <c r="A1233">
        <v>1232</v>
      </c>
      <c r="B1233" s="7" t="s">
        <v>372</v>
      </c>
      <c r="C1233" t="s">
        <v>1311</v>
      </c>
      <c r="D1233" s="65" t="str">
        <f t="shared" si="38"/>
        <v>Y</v>
      </c>
      <c r="E1233" t="s">
        <v>1315</v>
      </c>
      <c r="F1233" s="7" t="s">
        <v>291</v>
      </c>
      <c r="G1233" s="1">
        <v>1</v>
      </c>
      <c r="H1233" s="7" t="s">
        <v>291</v>
      </c>
      <c r="I1233" s="7" t="s">
        <v>296</v>
      </c>
      <c r="J1233" s="1">
        <v>1</v>
      </c>
      <c r="K1233" s="1">
        <v>6</v>
      </c>
      <c r="L1233" s="67">
        <f t="shared" si="39"/>
        <v>1</v>
      </c>
    </row>
    <row r="1234" spans="1:12" x14ac:dyDescent="0.2">
      <c r="A1234">
        <v>1233</v>
      </c>
      <c r="B1234" s="7" t="s">
        <v>356</v>
      </c>
      <c r="C1234" t="s">
        <v>1311</v>
      </c>
      <c r="D1234" s="65" t="str">
        <f t="shared" si="38"/>
        <v>Y</v>
      </c>
      <c r="E1234" t="s">
        <v>1315</v>
      </c>
      <c r="F1234" s="7" t="s">
        <v>291</v>
      </c>
      <c r="G1234" s="1">
        <v>1</v>
      </c>
      <c r="H1234" s="7" t="s">
        <v>291</v>
      </c>
      <c r="I1234" s="7" t="s">
        <v>292</v>
      </c>
      <c r="J1234" s="1">
        <v>1</v>
      </c>
      <c r="K1234" s="1">
        <v>5</v>
      </c>
      <c r="L1234" s="67">
        <f t="shared" si="39"/>
        <v>1</v>
      </c>
    </row>
    <row r="1235" spans="1:12" x14ac:dyDescent="0.2">
      <c r="A1235">
        <v>1234</v>
      </c>
      <c r="B1235" s="7" t="s">
        <v>372</v>
      </c>
      <c r="C1235" t="s">
        <v>1311</v>
      </c>
      <c r="D1235" s="65" t="str">
        <f t="shared" si="38"/>
        <v>Y</v>
      </c>
      <c r="E1235" t="s">
        <v>1315</v>
      </c>
      <c r="F1235" s="7" t="s">
        <v>291</v>
      </c>
      <c r="G1235" s="1">
        <v>1</v>
      </c>
      <c r="H1235" s="7" t="s">
        <v>291</v>
      </c>
      <c r="I1235" s="7" t="s">
        <v>296</v>
      </c>
      <c r="J1235" s="1">
        <v>1</v>
      </c>
      <c r="K1235" s="1">
        <v>6</v>
      </c>
      <c r="L1235" s="67">
        <f t="shared" si="39"/>
        <v>1</v>
      </c>
    </row>
    <row r="1236" spans="1:12" x14ac:dyDescent="0.2">
      <c r="A1236">
        <v>1235</v>
      </c>
      <c r="B1236" s="7" t="s">
        <v>372</v>
      </c>
      <c r="C1236" t="s">
        <v>1311</v>
      </c>
      <c r="D1236" s="65" t="str">
        <f t="shared" si="38"/>
        <v>Y</v>
      </c>
      <c r="E1236" t="s">
        <v>1315</v>
      </c>
      <c r="F1236" s="7" t="s">
        <v>291</v>
      </c>
      <c r="G1236" s="1">
        <v>1</v>
      </c>
      <c r="H1236" s="7" t="s">
        <v>291</v>
      </c>
      <c r="I1236" s="7" t="s">
        <v>292</v>
      </c>
      <c r="J1236" s="1">
        <v>1</v>
      </c>
      <c r="K1236" s="1">
        <v>5</v>
      </c>
      <c r="L1236" s="67">
        <f t="shared" si="39"/>
        <v>1</v>
      </c>
    </row>
    <row r="1237" spans="1:12" x14ac:dyDescent="0.2">
      <c r="A1237">
        <v>1236</v>
      </c>
      <c r="B1237" s="7" t="s">
        <v>356</v>
      </c>
      <c r="C1237" t="s">
        <v>1311</v>
      </c>
      <c r="D1237" s="65" t="str">
        <f t="shared" si="38"/>
        <v>Y</v>
      </c>
      <c r="E1237" t="s">
        <v>1315</v>
      </c>
      <c r="F1237" s="7" t="s">
        <v>291</v>
      </c>
      <c r="G1237" s="1">
        <v>1</v>
      </c>
      <c r="H1237" s="7" t="s">
        <v>291</v>
      </c>
      <c r="I1237" s="7" t="s">
        <v>292</v>
      </c>
      <c r="J1237" s="1">
        <v>1</v>
      </c>
      <c r="K1237" s="1">
        <v>5</v>
      </c>
      <c r="L1237" s="67">
        <f t="shared" si="39"/>
        <v>1</v>
      </c>
    </row>
    <row r="1238" spans="1:12" x14ac:dyDescent="0.2">
      <c r="A1238">
        <v>1237</v>
      </c>
      <c r="B1238" s="7" t="s">
        <v>372</v>
      </c>
      <c r="C1238" t="s">
        <v>1311</v>
      </c>
      <c r="D1238" s="65" t="str">
        <f t="shared" si="38"/>
        <v>Y</v>
      </c>
      <c r="E1238" t="s">
        <v>1315</v>
      </c>
      <c r="F1238" s="7" t="s">
        <v>291</v>
      </c>
      <c r="G1238" s="1">
        <v>1</v>
      </c>
      <c r="H1238" s="7" t="s">
        <v>291</v>
      </c>
      <c r="I1238" s="7" t="s">
        <v>292</v>
      </c>
      <c r="J1238" s="1">
        <v>1</v>
      </c>
      <c r="K1238" s="1">
        <v>5</v>
      </c>
      <c r="L1238" s="67">
        <f t="shared" si="39"/>
        <v>1</v>
      </c>
    </row>
    <row r="1239" spans="1:12" x14ac:dyDescent="0.2">
      <c r="A1239">
        <v>1238</v>
      </c>
      <c r="B1239" s="7" t="s">
        <v>356</v>
      </c>
      <c r="C1239" t="s">
        <v>1311</v>
      </c>
      <c r="D1239" s="65" t="str">
        <f t="shared" si="38"/>
        <v>Y</v>
      </c>
      <c r="E1239" t="s">
        <v>1315</v>
      </c>
      <c r="F1239" s="7" t="s">
        <v>291</v>
      </c>
      <c r="G1239" s="1">
        <v>1</v>
      </c>
      <c r="H1239" s="7" t="s">
        <v>291</v>
      </c>
      <c r="I1239" s="7" t="s">
        <v>296</v>
      </c>
      <c r="J1239" s="1">
        <v>1</v>
      </c>
      <c r="K1239" s="1">
        <v>6</v>
      </c>
      <c r="L1239" s="67">
        <f t="shared" si="39"/>
        <v>1</v>
      </c>
    </row>
    <row r="1240" spans="1:12" x14ac:dyDescent="0.2">
      <c r="A1240">
        <v>1239</v>
      </c>
      <c r="B1240" s="7" t="s">
        <v>356</v>
      </c>
      <c r="C1240" t="s">
        <v>1311</v>
      </c>
      <c r="D1240" s="65" t="str">
        <f t="shared" si="38"/>
        <v>Y</v>
      </c>
      <c r="E1240" t="s">
        <v>1315</v>
      </c>
      <c r="F1240" s="7" t="s">
        <v>291</v>
      </c>
      <c r="G1240" s="1">
        <v>1</v>
      </c>
      <c r="H1240" s="7" t="s">
        <v>291</v>
      </c>
      <c r="I1240" s="7" t="s">
        <v>297</v>
      </c>
      <c r="J1240" s="1">
        <v>1</v>
      </c>
      <c r="K1240" s="1">
        <v>4</v>
      </c>
      <c r="L1240" s="67">
        <f t="shared" si="39"/>
        <v>1</v>
      </c>
    </row>
    <row r="1241" spans="1:12" x14ac:dyDescent="0.2">
      <c r="A1241">
        <v>1240</v>
      </c>
      <c r="B1241" s="7" t="s">
        <v>372</v>
      </c>
      <c r="C1241" t="s">
        <v>1311</v>
      </c>
      <c r="D1241" s="65" t="str">
        <f t="shared" si="38"/>
        <v>Y</v>
      </c>
      <c r="E1241" t="s">
        <v>1315</v>
      </c>
      <c r="F1241" s="7" t="s">
        <v>291</v>
      </c>
      <c r="G1241" s="1">
        <v>1</v>
      </c>
      <c r="H1241" s="7" t="s">
        <v>291</v>
      </c>
      <c r="I1241" s="7" t="s">
        <v>292</v>
      </c>
      <c r="J1241" s="1">
        <v>1</v>
      </c>
      <c r="K1241" s="1">
        <v>5</v>
      </c>
      <c r="L1241" s="67">
        <f t="shared" si="39"/>
        <v>1</v>
      </c>
    </row>
    <row r="1242" spans="1:12" x14ac:dyDescent="0.2">
      <c r="A1242">
        <v>1241</v>
      </c>
      <c r="B1242" s="7" t="s">
        <v>356</v>
      </c>
      <c r="C1242" t="s">
        <v>1311</v>
      </c>
      <c r="D1242" s="65" t="str">
        <f t="shared" si="38"/>
        <v>Y</v>
      </c>
      <c r="E1242" t="s">
        <v>1315</v>
      </c>
      <c r="F1242" s="7" t="s">
        <v>291</v>
      </c>
      <c r="G1242" s="1">
        <v>1</v>
      </c>
      <c r="H1242" s="7" t="s">
        <v>291</v>
      </c>
      <c r="I1242" s="7" t="s">
        <v>292</v>
      </c>
      <c r="J1242" s="1">
        <v>1</v>
      </c>
      <c r="K1242" s="1">
        <v>5</v>
      </c>
      <c r="L1242" s="67">
        <f t="shared" si="39"/>
        <v>1</v>
      </c>
    </row>
    <row r="1243" spans="1:12" x14ac:dyDescent="0.2">
      <c r="A1243">
        <v>1242</v>
      </c>
      <c r="B1243" s="7" t="s">
        <v>372</v>
      </c>
      <c r="C1243" t="s">
        <v>1311</v>
      </c>
      <c r="D1243" s="65" t="str">
        <f t="shared" si="38"/>
        <v>Y</v>
      </c>
      <c r="E1243" t="s">
        <v>1315</v>
      </c>
      <c r="F1243" s="7" t="s">
        <v>291</v>
      </c>
      <c r="G1243" s="1">
        <v>1</v>
      </c>
      <c r="H1243" s="7" t="s">
        <v>291</v>
      </c>
      <c r="I1243" s="7" t="s">
        <v>296</v>
      </c>
      <c r="J1243" s="1">
        <v>1</v>
      </c>
      <c r="K1243" s="1">
        <v>6</v>
      </c>
      <c r="L1243" s="67">
        <f t="shared" si="39"/>
        <v>1</v>
      </c>
    </row>
    <row r="1244" spans="1:12" x14ac:dyDescent="0.2">
      <c r="A1244">
        <v>1243</v>
      </c>
      <c r="B1244" s="7" t="s">
        <v>356</v>
      </c>
      <c r="C1244" t="s">
        <v>1311</v>
      </c>
      <c r="D1244" s="65" t="str">
        <f t="shared" si="38"/>
        <v>Y</v>
      </c>
      <c r="E1244" t="s">
        <v>1315</v>
      </c>
      <c r="F1244" s="7" t="s">
        <v>291</v>
      </c>
      <c r="G1244" s="1">
        <v>1</v>
      </c>
      <c r="H1244" s="7" t="s">
        <v>291</v>
      </c>
      <c r="I1244" s="7" t="s">
        <v>296</v>
      </c>
      <c r="J1244" s="1">
        <v>1</v>
      </c>
      <c r="K1244" s="1">
        <v>6</v>
      </c>
      <c r="L1244" s="67">
        <f t="shared" si="39"/>
        <v>1</v>
      </c>
    </row>
    <row r="1245" spans="1:12" x14ac:dyDescent="0.2">
      <c r="A1245">
        <v>1244</v>
      </c>
      <c r="B1245" s="7" t="s">
        <v>372</v>
      </c>
      <c r="C1245" t="s">
        <v>1311</v>
      </c>
      <c r="D1245" s="65" t="str">
        <f t="shared" si="38"/>
        <v>Y</v>
      </c>
      <c r="E1245" t="s">
        <v>1315</v>
      </c>
      <c r="F1245" s="7" t="s">
        <v>291</v>
      </c>
      <c r="G1245" s="1">
        <v>1</v>
      </c>
      <c r="H1245" s="7" t="s">
        <v>291</v>
      </c>
      <c r="I1245" s="7" t="s">
        <v>292</v>
      </c>
      <c r="J1245" s="1">
        <v>1</v>
      </c>
      <c r="K1245" s="1">
        <v>5</v>
      </c>
      <c r="L1245" s="67">
        <f t="shared" si="39"/>
        <v>1</v>
      </c>
    </row>
    <row r="1246" spans="1:12" x14ac:dyDescent="0.2">
      <c r="A1246">
        <v>1245</v>
      </c>
      <c r="B1246" s="7" t="s">
        <v>356</v>
      </c>
      <c r="C1246" t="s">
        <v>1311</v>
      </c>
      <c r="D1246" s="65" t="str">
        <f t="shared" si="38"/>
        <v>Y</v>
      </c>
      <c r="E1246" t="s">
        <v>1315</v>
      </c>
      <c r="F1246" s="7" t="s">
        <v>291</v>
      </c>
      <c r="G1246" s="1">
        <v>1</v>
      </c>
      <c r="H1246" s="7" t="s">
        <v>291</v>
      </c>
      <c r="I1246" s="7" t="s">
        <v>292</v>
      </c>
      <c r="J1246" s="1">
        <v>1</v>
      </c>
      <c r="K1246" s="1">
        <v>5</v>
      </c>
      <c r="L1246" s="67">
        <f t="shared" si="39"/>
        <v>1</v>
      </c>
    </row>
    <row r="1247" spans="1:12" x14ac:dyDescent="0.2">
      <c r="A1247">
        <v>1246</v>
      </c>
      <c r="B1247" s="7" t="s">
        <v>372</v>
      </c>
      <c r="C1247" t="s">
        <v>1311</v>
      </c>
      <c r="D1247" s="65" t="str">
        <f t="shared" si="38"/>
        <v>Y</v>
      </c>
      <c r="E1247" t="s">
        <v>1315</v>
      </c>
      <c r="F1247" s="7" t="s">
        <v>291</v>
      </c>
      <c r="G1247" s="1">
        <v>1</v>
      </c>
      <c r="H1247" s="7" t="s">
        <v>295</v>
      </c>
      <c r="I1247" s="7" t="s">
        <v>292</v>
      </c>
      <c r="J1247" s="1">
        <v>5</v>
      </c>
      <c r="K1247" s="1">
        <v>5</v>
      </c>
      <c r="L1247" s="67">
        <f t="shared" si="39"/>
        <v>0</v>
      </c>
    </row>
    <row r="1248" spans="1:12" x14ac:dyDescent="0.2">
      <c r="A1248">
        <v>1247</v>
      </c>
      <c r="B1248" s="7" t="s">
        <v>372</v>
      </c>
      <c r="C1248" t="s">
        <v>1311</v>
      </c>
      <c r="D1248" s="65" t="str">
        <f t="shared" si="38"/>
        <v>Y</v>
      </c>
      <c r="E1248" t="s">
        <v>1315</v>
      </c>
      <c r="F1248" s="7" t="s">
        <v>291</v>
      </c>
      <c r="G1248" s="1">
        <v>1</v>
      </c>
      <c r="H1248" s="7" t="s">
        <v>291</v>
      </c>
      <c r="I1248" s="7" t="s">
        <v>296</v>
      </c>
      <c r="J1248" s="1">
        <v>1</v>
      </c>
      <c r="K1248" s="1">
        <v>6</v>
      </c>
      <c r="L1248" s="67">
        <f t="shared" si="39"/>
        <v>1</v>
      </c>
    </row>
    <row r="1249" spans="1:12" x14ac:dyDescent="0.2">
      <c r="A1249">
        <v>1248</v>
      </c>
      <c r="B1249" s="7" t="s">
        <v>356</v>
      </c>
      <c r="C1249" t="s">
        <v>1311</v>
      </c>
      <c r="D1249" s="65" t="str">
        <f t="shared" si="38"/>
        <v>Y</v>
      </c>
      <c r="E1249" t="s">
        <v>1315</v>
      </c>
      <c r="F1249" s="7" t="s">
        <v>291</v>
      </c>
      <c r="G1249" s="1">
        <v>1</v>
      </c>
      <c r="H1249" s="7" t="s">
        <v>291</v>
      </c>
      <c r="I1249" s="7" t="s">
        <v>296</v>
      </c>
      <c r="J1249" s="1">
        <v>1</v>
      </c>
      <c r="K1249" s="1">
        <v>6</v>
      </c>
      <c r="L1249" s="67">
        <f t="shared" si="39"/>
        <v>1</v>
      </c>
    </row>
    <row r="1250" spans="1:12" x14ac:dyDescent="0.2">
      <c r="A1250">
        <v>1249</v>
      </c>
      <c r="B1250" s="7" t="s">
        <v>356</v>
      </c>
      <c r="C1250" t="s">
        <v>1311</v>
      </c>
      <c r="D1250" s="65" t="str">
        <f t="shared" si="38"/>
        <v>Y</v>
      </c>
      <c r="E1250" t="s">
        <v>1315</v>
      </c>
      <c r="F1250" s="7" t="s">
        <v>291</v>
      </c>
      <c r="G1250" s="1">
        <v>1</v>
      </c>
      <c r="H1250" s="7" t="s">
        <v>291</v>
      </c>
      <c r="I1250" s="7" t="s">
        <v>292</v>
      </c>
      <c r="J1250" s="1">
        <v>1</v>
      </c>
      <c r="K1250" s="1">
        <v>5</v>
      </c>
      <c r="L1250" s="67">
        <f t="shared" si="39"/>
        <v>1</v>
      </c>
    </row>
    <row r="1251" spans="1:12" x14ac:dyDescent="0.2">
      <c r="A1251">
        <v>1250</v>
      </c>
      <c r="B1251" s="7" t="s">
        <v>372</v>
      </c>
      <c r="C1251" t="s">
        <v>1311</v>
      </c>
      <c r="D1251" s="65" t="str">
        <f t="shared" si="38"/>
        <v>Y</v>
      </c>
      <c r="E1251" t="s">
        <v>1315</v>
      </c>
      <c r="F1251" s="7" t="s">
        <v>291</v>
      </c>
      <c r="G1251" s="1">
        <v>1</v>
      </c>
      <c r="H1251" s="7" t="s">
        <v>291</v>
      </c>
      <c r="I1251" s="7" t="s">
        <v>294</v>
      </c>
      <c r="J1251" s="1">
        <v>1</v>
      </c>
      <c r="K1251" s="1">
        <v>7</v>
      </c>
      <c r="L1251" s="67">
        <f t="shared" si="39"/>
        <v>1</v>
      </c>
    </row>
    <row r="1252" spans="1:12" x14ac:dyDescent="0.2">
      <c r="A1252">
        <v>1251</v>
      </c>
      <c r="B1252" s="7" t="s">
        <v>372</v>
      </c>
      <c r="C1252" t="s">
        <v>1311</v>
      </c>
      <c r="D1252" s="65" t="str">
        <f t="shared" si="38"/>
        <v>Y</v>
      </c>
      <c r="E1252" t="s">
        <v>1315</v>
      </c>
      <c r="F1252" s="7" t="s">
        <v>291</v>
      </c>
      <c r="G1252" s="1">
        <v>1</v>
      </c>
      <c r="H1252" s="7" t="s">
        <v>291</v>
      </c>
      <c r="I1252" s="7" t="s">
        <v>296</v>
      </c>
      <c r="J1252" s="1">
        <v>1</v>
      </c>
      <c r="K1252" s="1">
        <v>6</v>
      </c>
      <c r="L1252" s="67">
        <f t="shared" si="39"/>
        <v>1</v>
      </c>
    </row>
    <row r="1253" spans="1:12" x14ac:dyDescent="0.2">
      <c r="A1253">
        <v>1252</v>
      </c>
      <c r="B1253" s="7" t="s">
        <v>356</v>
      </c>
      <c r="C1253" t="s">
        <v>1311</v>
      </c>
      <c r="D1253" s="65" t="str">
        <f t="shared" si="38"/>
        <v>Y</v>
      </c>
      <c r="E1253" t="s">
        <v>1315</v>
      </c>
      <c r="F1253" s="7" t="s">
        <v>291</v>
      </c>
      <c r="G1253" s="1">
        <v>1</v>
      </c>
      <c r="H1253" s="7" t="s">
        <v>291</v>
      </c>
      <c r="I1253" s="7" t="s">
        <v>294</v>
      </c>
      <c r="J1253" s="1">
        <v>1</v>
      </c>
      <c r="K1253" s="1">
        <v>7</v>
      </c>
      <c r="L1253" s="67">
        <f t="shared" si="39"/>
        <v>1</v>
      </c>
    </row>
    <row r="1254" spans="1:12" x14ac:dyDescent="0.2">
      <c r="A1254">
        <v>1253</v>
      </c>
      <c r="B1254" s="7" t="s">
        <v>372</v>
      </c>
      <c r="C1254" t="s">
        <v>1311</v>
      </c>
      <c r="D1254" s="65" t="str">
        <f t="shared" si="38"/>
        <v>Y</v>
      </c>
      <c r="E1254" t="s">
        <v>1315</v>
      </c>
      <c r="F1254" s="7" t="s">
        <v>291</v>
      </c>
      <c r="G1254" s="1">
        <v>1</v>
      </c>
      <c r="H1254" s="7" t="s">
        <v>291</v>
      </c>
      <c r="I1254" s="7" t="s">
        <v>296</v>
      </c>
      <c r="J1254" s="1">
        <v>1</v>
      </c>
      <c r="K1254" s="1">
        <v>6</v>
      </c>
      <c r="L1254" s="67">
        <f t="shared" si="39"/>
        <v>1</v>
      </c>
    </row>
    <row r="1255" spans="1:12" x14ac:dyDescent="0.2">
      <c r="A1255">
        <v>1254</v>
      </c>
      <c r="B1255" s="7" t="s">
        <v>356</v>
      </c>
      <c r="C1255" t="s">
        <v>1311</v>
      </c>
      <c r="D1255" s="65" t="str">
        <f t="shared" si="38"/>
        <v>Y</v>
      </c>
      <c r="E1255" t="s">
        <v>1315</v>
      </c>
      <c r="F1255" s="7" t="s">
        <v>291</v>
      </c>
      <c r="G1255" s="1">
        <v>1</v>
      </c>
      <c r="H1255" s="7" t="s">
        <v>291</v>
      </c>
      <c r="I1255" s="7" t="s">
        <v>296</v>
      </c>
      <c r="J1255" s="1">
        <v>1</v>
      </c>
      <c r="K1255" s="1">
        <v>6</v>
      </c>
      <c r="L1255" s="67">
        <f t="shared" si="39"/>
        <v>1</v>
      </c>
    </row>
    <row r="1256" spans="1:12" x14ac:dyDescent="0.2">
      <c r="A1256">
        <v>1255</v>
      </c>
      <c r="B1256" s="7" t="s">
        <v>356</v>
      </c>
      <c r="C1256" t="s">
        <v>1311</v>
      </c>
      <c r="D1256" s="65" t="str">
        <f t="shared" si="38"/>
        <v>Y</v>
      </c>
      <c r="E1256" t="s">
        <v>1315</v>
      </c>
      <c r="F1256" s="7" t="s">
        <v>291</v>
      </c>
      <c r="G1256" s="1">
        <v>1</v>
      </c>
      <c r="H1256" s="7" t="s">
        <v>298</v>
      </c>
      <c r="I1256" s="7" t="s">
        <v>292</v>
      </c>
      <c r="J1256" s="1">
        <v>3</v>
      </c>
      <c r="K1256" s="1">
        <v>5</v>
      </c>
      <c r="L1256" s="67">
        <f t="shared" si="39"/>
        <v>0</v>
      </c>
    </row>
    <row r="1257" spans="1:12" x14ac:dyDescent="0.2">
      <c r="A1257">
        <v>1256</v>
      </c>
      <c r="B1257" s="7" t="s">
        <v>372</v>
      </c>
      <c r="C1257" t="s">
        <v>1311</v>
      </c>
      <c r="D1257" s="65" t="str">
        <f t="shared" si="38"/>
        <v>Y</v>
      </c>
      <c r="E1257" t="s">
        <v>1315</v>
      </c>
      <c r="F1257" s="7" t="s">
        <v>291</v>
      </c>
      <c r="G1257" s="1">
        <v>1</v>
      </c>
      <c r="H1257" s="7" t="s">
        <v>291</v>
      </c>
      <c r="I1257" s="7" t="s">
        <v>296</v>
      </c>
      <c r="J1257" s="1">
        <v>1</v>
      </c>
      <c r="K1257" s="1">
        <v>6</v>
      </c>
      <c r="L1257" s="67">
        <f t="shared" si="39"/>
        <v>1</v>
      </c>
    </row>
    <row r="1258" spans="1:12" x14ac:dyDescent="0.2">
      <c r="A1258">
        <v>1257</v>
      </c>
      <c r="B1258" s="7" t="s">
        <v>372</v>
      </c>
      <c r="C1258" t="s">
        <v>1311</v>
      </c>
      <c r="D1258" s="65" t="str">
        <f t="shared" si="38"/>
        <v>Y</v>
      </c>
      <c r="E1258" t="s">
        <v>1315</v>
      </c>
      <c r="F1258" s="7" t="s">
        <v>291</v>
      </c>
      <c r="G1258" s="1">
        <v>1</v>
      </c>
      <c r="H1258" s="7" t="s">
        <v>298</v>
      </c>
      <c r="I1258" s="7" t="s">
        <v>297</v>
      </c>
      <c r="J1258" s="1">
        <v>3</v>
      </c>
      <c r="K1258" s="1">
        <v>4</v>
      </c>
      <c r="L1258" s="67">
        <f t="shared" si="39"/>
        <v>0</v>
      </c>
    </row>
    <row r="1259" spans="1:12" x14ac:dyDescent="0.2">
      <c r="A1259">
        <v>1258</v>
      </c>
      <c r="B1259" s="7" t="s">
        <v>356</v>
      </c>
      <c r="C1259" t="s">
        <v>1311</v>
      </c>
      <c r="D1259" s="65" t="str">
        <f t="shared" si="38"/>
        <v>Y</v>
      </c>
      <c r="E1259" t="s">
        <v>1315</v>
      </c>
      <c r="F1259" s="7" t="s">
        <v>291</v>
      </c>
      <c r="G1259" s="1">
        <v>1</v>
      </c>
      <c r="H1259" s="7" t="s">
        <v>291</v>
      </c>
      <c r="I1259" s="7" t="s">
        <v>292</v>
      </c>
      <c r="J1259" s="1">
        <v>1</v>
      </c>
      <c r="K1259" s="1">
        <v>5</v>
      </c>
      <c r="L1259" s="67">
        <f t="shared" si="39"/>
        <v>1</v>
      </c>
    </row>
    <row r="1260" spans="1:12" x14ac:dyDescent="0.2">
      <c r="A1260">
        <v>1259</v>
      </c>
      <c r="B1260" s="7" t="s">
        <v>356</v>
      </c>
      <c r="C1260" t="s">
        <v>1311</v>
      </c>
      <c r="D1260" s="65" t="str">
        <f t="shared" si="38"/>
        <v>Y</v>
      </c>
      <c r="E1260" t="s">
        <v>1315</v>
      </c>
      <c r="F1260" s="7" t="s">
        <v>291</v>
      </c>
      <c r="G1260" s="1">
        <v>1</v>
      </c>
      <c r="H1260" s="7" t="s">
        <v>282</v>
      </c>
      <c r="I1260" s="7" t="s">
        <v>297</v>
      </c>
      <c r="J1260" s="4" t="s">
        <v>282</v>
      </c>
      <c r="K1260" s="1">
        <v>4</v>
      </c>
      <c r="L1260" s="67">
        <f t="shared" si="39"/>
        <v>0</v>
      </c>
    </row>
    <row r="1261" spans="1:12" x14ac:dyDescent="0.2">
      <c r="A1261">
        <v>1260</v>
      </c>
      <c r="B1261" s="7" t="s">
        <v>372</v>
      </c>
      <c r="C1261" t="s">
        <v>1311</v>
      </c>
      <c r="D1261" s="65" t="str">
        <f t="shared" si="38"/>
        <v>Y</v>
      </c>
      <c r="E1261" t="s">
        <v>1315</v>
      </c>
      <c r="F1261" s="7" t="s">
        <v>291</v>
      </c>
      <c r="G1261" s="1">
        <v>1</v>
      </c>
      <c r="H1261" s="7" t="s">
        <v>291</v>
      </c>
      <c r="I1261" s="7" t="s">
        <v>297</v>
      </c>
      <c r="J1261" s="1">
        <v>1</v>
      </c>
      <c r="K1261" s="1">
        <v>4</v>
      </c>
      <c r="L1261" s="67">
        <f t="shared" si="39"/>
        <v>1</v>
      </c>
    </row>
    <row r="1262" spans="1:12" x14ac:dyDescent="0.2">
      <c r="A1262">
        <v>1261</v>
      </c>
      <c r="B1262" s="7" t="s">
        <v>356</v>
      </c>
      <c r="C1262" t="s">
        <v>1311</v>
      </c>
      <c r="D1262" s="65" t="str">
        <f t="shared" si="38"/>
        <v>Y</v>
      </c>
      <c r="E1262" t="s">
        <v>1315</v>
      </c>
      <c r="F1262" s="7" t="s">
        <v>291</v>
      </c>
      <c r="G1262" s="1">
        <v>1</v>
      </c>
      <c r="H1262" s="7" t="s">
        <v>291</v>
      </c>
      <c r="I1262" s="7" t="s">
        <v>296</v>
      </c>
      <c r="J1262" s="1">
        <v>1</v>
      </c>
      <c r="K1262" s="1">
        <v>6</v>
      </c>
      <c r="L1262" s="67">
        <f t="shared" si="39"/>
        <v>1</v>
      </c>
    </row>
    <row r="1263" spans="1:12" x14ac:dyDescent="0.2">
      <c r="A1263">
        <v>1262</v>
      </c>
      <c r="B1263" s="7" t="s">
        <v>372</v>
      </c>
      <c r="C1263" t="s">
        <v>1311</v>
      </c>
      <c r="D1263" s="65" t="str">
        <f t="shared" si="38"/>
        <v>Y</v>
      </c>
      <c r="E1263" t="s">
        <v>1315</v>
      </c>
      <c r="F1263" s="7" t="s">
        <v>291</v>
      </c>
      <c r="G1263" s="1">
        <v>1</v>
      </c>
      <c r="H1263" s="7" t="s">
        <v>299</v>
      </c>
      <c r="I1263" s="7" t="s">
        <v>296</v>
      </c>
      <c r="J1263" s="1">
        <v>4</v>
      </c>
      <c r="K1263" s="1">
        <v>6</v>
      </c>
      <c r="L1263" s="67">
        <f t="shared" si="39"/>
        <v>0</v>
      </c>
    </row>
    <row r="1264" spans="1:12" x14ac:dyDescent="0.2">
      <c r="A1264">
        <v>1263</v>
      </c>
      <c r="B1264" s="7" t="s">
        <v>356</v>
      </c>
      <c r="C1264" t="s">
        <v>1311</v>
      </c>
      <c r="D1264" s="65" t="str">
        <f t="shared" si="38"/>
        <v>Y</v>
      </c>
      <c r="E1264" t="s">
        <v>1315</v>
      </c>
      <c r="F1264" s="7" t="s">
        <v>291</v>
      </c>
      <c r="G1264" s="1">
        <v>1</v>
      </c>
      <c r="H1264" s="7" t="s">
        <v>291</v>
      </c>
      <c r="I1264" s="7" t="s">
        <v>292</v>
      </c>
      <c r="J1264" s="1">
        <v>1</v>
      </c>
      <c r="K1264" s="1">
        <v>5</v>
      </c>
      <c r="L1264" s="67">
        <f t="shared" si="39"/>
        <v>1</v>
      </c>
    </row>
    <row r="1265" spans="1:12" x14ac:dyDescent="0.2">
      <c r="A1265">
        <v>1264</v>
      </c>
      <c r="B1265" s="7" t="s">
        <v>372</v>
      </c>
      <c r="C1265" t="s">
        <v>1311</v>
      </c>
      <c r="D1265" s="65" t="str">
        <f t="shared" si="38"/>
        <v>Y</v>
      </c>
      <c r="E1265" t="s">
        <v>1315</v>
      </c>
      <c r="F1265" s="7" t="s">
        <v>291</v>
      </c>
      <c r="G1265" s="1">
        <v>1</v>
      </c>
      <c r="H1265" s="7" t="s">
        <v>291</v>
      </c>
      <c r="I1265" s="7" t="s">
        <v>292</v>
      </c>
      <c r="J1265" s="1">
        <v>1</v>
      </c>
      <c r="K1265" s="1">
        <v>5</v>
      </c>
      <c r="L1265" s="67">
        <f t="shared" si="39"/>
        <v>1</v>
      </c>
    </row>
    <row r="1266" spans="1:12" x14ac:dyDescent="0.2">
      <c r="A1266">
        <v>1265</v>
      </c>
      <c r="B1266" s="7" t="s">
        <v>356</v>
      </c>
      <c r="C1266" t="s">
        <v>1311</v>
      </c>
      <c r="D1266" s="65" t="str">
        <f t="shared" si="38"/>
        <v>Y</v>
      </c>
      <c r="E1266" t="s">
        <v>1315</v>
      </c>
      <c r="F1266" s="25" t="s">
        <v>293</v>
      </c>
      <c r="G1266" s="26">
        <v>2</v>
      </c>
      <c r="H1266" s="7" t="s">
        <v>293</v>
      </c>
      <c r="I1266" s="7" t="s">
        <v>296</v>
      </c>
      <c r="J1266" s="1">
        <v>2</v>
      </c>
      <c r="K1266" s="1">
        <v>6</v>
      </c>
      <c r="L1266" s="67">
        <f t="shared" si="39"/>
        <v>1</v>
      </c>
    </row>
    <row r="1267" spans="1:12" x14ac:dyDescent="0.2">
      <c r="A1267">
        <v>1266</v>
      </c>
      <c r="B1267" s="7" t="s">
        <v>372</v>
      </c>
      <c r="C1267" t="s">
        <v>1311</v>
      </c>
      <c r="D1267" s="65" t="str">
        <f t="shared" si="38"/>
        <v>Y</v>
      </c>
      <c r="E1267" t="s">
        <v>1315</v>
      </c>
      <c r="F1267" s="25" t="s">
        <v>293</v>
      </c>
      <c r="G1267" s="26">
        <v>2</v>
      </c>
      <c r="H1267" s="7" t="s">
        <v>293</v>
      </c>
      <c r="I1267" s="7" t="s">
        <v>296</v>
      </c>
      <c r="J1267" s="1">
        <v>2</v>
      </c>
      <c r="K1267" s="1">
        <v>6</v>
      </c>
      <c r="L1267" s="67">
        <f t="shared" si="39"/>
        <v>1</v>
      </c>
    </row>
    <row r="1268" spans="1:12" x14ac:dyDescent="0.2">
      <c r="A1268">
        <v>1267</v>
      </c>
      <c r="B1268" s="7" t="s">
        <v>372</v>
      </c>
      <c r="C1268" t="s">
        <v>1311</v>
      </c>
      <c r="D1268" s="65" t="str">
        <f t="shared" si="38"/>
        <v>Y</v>
      </c>
      <c r="E1268" t="s">
        <v>1315</v>
      </c>
      <c r="F1268" s="25" t="s">
        <v>293</v>
      </c>
      <c r="G1268" s="26">
        <v>2</v>
      </c>
      <c r="H1268" s="7" t="s">
        <v>293</v>
      </c>
      <c r="I1268" s="7" t="s">
        <v>296</v>
      </c>
      <c r="J1268" s="1">
        <v>2</v>
      </c>
      <c r="K1268" s="1">
        <v>6</v>
      </c>
      <c r="L1268" s="67">
        <f t="shared" si="39"/>
        <v>1</v>
      </c>
    </row>
    <row r="1269" spans="1:12" x14ac:dyDescent="0.2">
      <c r="A1269">
        <v>1268</v>
      </c>
      <c r="B1269" s="7" t="s">
        <v>356</v>
      </c>
      <c r="C1269" t="s">
        <v>1311</v>
      </c>
      <c r="D1269" s="65" t="str">
        <f t="shared" si="38"/>
        <v>Y</v>
      </c>
      <c r="E1269" t="s">
        <v>1315</v>
      </c>
      <c r="F1269" s="25" t="s">
        <v>293</v>
      </c>
      <c r="G1269" s="26">
        <v>2</v>
      </c>
      <c r="H1269" s="7" t="s">
        <v>299</v>
      </c>
      <c r="I1269" s="7" t="s">
        <v>292</v>
      </c>
      <c r="J1269" s="1">
        <v>4</v>
      </c>
      <c r="K1269" s="1">
        <v>5</v>
      </c>
      <c r="L1269" s="67">
        <f t="shared" si="39"/>
        <v>0</v>
      </c>
    </row>
    <row r="1270" spans="1:12" x14ac:dyDescent="0.2">
      <c r="A1270">
        <v>1269</v>
      </c>
      <c r="B1270" s="7" t="s">
        <v>372</v>
      </c>
      <c r="C1270" t="s">
        <v>1311</v>
      </c>
      <c r="D1270" s="65" t="str">
        <f t="shared" si="38"/>
        <v>Y</v>
      </c>
      <c r="E1270" t="s">
        <v>1315</v>
      </c>
      <c r="F1270" s="25" t="s">
        <v>293</v>
      </c>
      <c r="G1270" s="26">
        <v>2</v>
      </c>
      <c r="H1270" s="7" t="s">
        <v>293</v>
      </c>
      <c r="I1270" s="7" t="s">
        <v>296</v>
      </c>
      <c r="J1270" s="1">
        <v>2</v>
      </c>
      <c r="K1270" s="1">
        <v>6</v>
      </c>
      <c r="L1270" s="67">
        <f t="shared" si="39"/>
        <v>1</v>
      </c>
    </row>
    <row r="1271" spans="1:12" x14ac:dyDescent="0.2">
      <c r="A1271">
        <v>1270</v>
      </c>
      <c r="B1271" s="7" t="s">
        <v>356</v>
      </c>
      <c r="C1271" t="s">
        <v>1311</v>
      </c>
      <c r="D1271" s="65" t="str">
        <f t="shared" si="38"/>
        <v>Y</v>
      </c>
      <c r="E1271" t="s">
        <v>1315</v>
      </c>
      <c r="F1271" s="25" t="s">
        <v>293</v>
      </c>
      <c r="G1271" s="26">
        <v>2</v>
      </c>
      <c r="H1271" s="7" t="s">
        <v>293</v>
      </c>
      <c r="I1271" s="7" t="s">
        <v>297</v>
      </c>
      <c r="J1271" s="1">
        <v>2</v>
      </c>
      <c r="K1271" s="1">
        <v>4</v>
      </c>
      <c r="L1271" s="67">
        <f t="shared" si="39"/>
        <v>1</v>
      </c>
    </row>
    <row r="1272" spans="1:12" x14ac:dyDescent="0.2">
      <c r="A1272">
        <v>1271</v>
      </c>
      <c r="B1272" s="7" t="s">
        <v>372</v>
      </c>
      <c r="C1272" t="s">
        <v>1311</v>
      </c>
      <c r="D1272" s="65" t="str">
        <f t="shared" si="38"/>
        <v>Y</v>
      </c>
      <c r="E1272" t="s">
        <v>1315</v>
      </c>
      <c r="F1272" s="25" t="s">
        <v>293</v>
      </c>
      <c r="G1272" s="26">
        <v>2</v>
      </c>
      <c r="H1272" s="7" t="s">
        <v>293</v>
      </c>
      <c r="I1272" s="7" t="s">
        <v>296</v>
      </c>
      <c r="J1272" s="1">
        <v>2</v>
      </c>
      <c r="K1272" s="1">
        <v>6</v>
      </c>
      <c r="L1272" s="67">
        <f t="shared" si="39"/>
        <v>1</v>
      </c>
    </row>
    <row r="1273" spans="1:12" x14ac:dyDescent="0.2">
      <c r="A1273">
        <v>1272</v>
      </c>
      <c r="B1273" s="7" t="s">
        <v>356</v>
      </c>
      <c r="C1273" t="s">
        <v>1311</v>
      </c>
      <c r="D1273" s="65" t="str">
        <f t="shared" si="38"/>
        <v>Y</v>
      </c>
      <c r="E1273" t="s">
        <v>1315</v>
      </c>
      <c r="F1273" s="25" t="s">
        <v>293</v>
      </c>
      <c r="G1273" s="26">
        <v>2</v>
      </c>
      <c r="H1273" s="7" t="s">
        <v>293</v>
      </c>
      <c r="I1273" s="7" t="s">
        <v>296</v>
      </c>
      <c r="J1273" s="1">
        <v>2</v>
      </c>
      <c r="K1273" s="1">
        <v>6</v>
      </c>
      <c r="L1273" s="67">
        <f t="shared" si="39"/>
        <v>1</v>
      </c>
    </row>
    <row r="1274" spans="1:12" x14ac:dyDescent="0.2">
      <c r="A1274">
        <v>1273</v>
      </c>
      <c r="B1274" s="7" t="s">
        <v>372</v>
      </c>
      <c r="C1274" t="s">
        <v>1311</v>
      </c>
      <c r="D1274" s="65" t="str">
        <f t="shared" si="38"/>
        <v>Y</v>
      </c>
      <c r="E1274" t="s">
        <v>1315</v>
      </c>
      <c r="F1274" s="25" t="s">
        <v>293</v>
      </c>
      <c r="G1274" s="26">
        <v>2</v>
      </c>
      <c r="H1274" s="7" t="s">
        <v>293</v>
      </c>
      <c r="I1274" s="7" t="s">
        <v>296</v>
      </c>
      <c r="J1274" s="1">
        <v>2</v>
      </c>
      <c r="K1274" s="1">
        <v>6</v>
      </c>
      <c r="L1274" s="67">
        <f t="shared" si="39"/>
        <v>1</v>
      </c>
    </row>
    <row r="1275" spans="1:12" x14ac:dyDescent="0.2">
      <c r="A1275">
        <v>1274</v>
      </c>
      <c r="B1275" s="7" t="s">
        <v>356</v>
      </c>
      <c r="C1275" t="s">
        <v>1311</v>
      </c>
      <c r="D1275" s="65" t="str">
        <f t="shared" si="38"/>
        <v>Y</v>
      </c>
      <c r="E1275" t="s">
        <v>1315</v>
      </c>
      <c r="F1275" s="25" t="s">
        <v>293</v>
      </c>
      <c r="G1275" s="26">
        <v>2</v>
      </c>
      <c r="H1275" s="7" t="s">
        <v>293</v>
      </c>
      <c r="I1275" s="7" t="s">
        <v>297</v>
      </c>
      <c r="J1275" s="1">
        <v>2</v>
      </c>
      <c r="K1275" s="1">
        <v>4</v>
      </c>
      <c r="L1275" s="67">
        <f t="shared" si="39"/>
        <v>1</v>
      </c>
    </row>
    <row r="1276" spans="1:12" x14ac:dyDescent="0.2">
      <c r="A1276">
        <v>1275</v>
      </c>
      <c r="B1276" s="7" t="s">
        <v>356</v>
      </c>
      <c r="C1276" t="s">
        <v>1311</v>
      </c>
      <c r="D1276" s="65" t="str">
        <f t="shared" si="38"/>
        <v>Y</v>
      </c>
      <c r="E1276" t="s">
        <v>1315</v>
      </c>
      <c r="F1276" s="25" t="s">
        <v>293</v>
      </c>
      <c r="G1276" s="26">
        <v>2</v>
      </c>
      <c r="H1276" s="7" t="s">
        <v>293</v>
      </c>
      <c r="I1276" s="7" t="s">
        <v>296</v>
      </c>
      <c r="J1276" s="1">
        <v>2</v>
      </c>
      <c r="K1276" s="1">
        <v>6</v>
      </c>
      <c r="L1276" s="67">
        <f t="shared" si="39"/>
        <v>1</v>
      </c>
    </row>
    <row r="1277" spans="1:12" x14ac:dyDescent="0.2">
      <c r="A1277">
        <v>1276</v>
      </c>
      <c r="B1277" s="7" t="s">
        <v>372</v>
      </c>
      <c r="C1277" t="s">
        <v>1311</v>
      </c>
      <c r="D1277" s="65" t="str">
        <f t="shared" si="38"/>
        <v>Y</v>
      </c>
      <c r="E1277" t="s">
        <v>1315</v>
      </c>
      <c r="F1277" s="25" t="s">
        <v>293</v>
      </c>
      <c r="G1277" s="26">
        <v>2</v>
      </c>
      <c r="H1277" s="7" t="s">
        <v>293</v>
      </c>
      <c r="I1277" s="7" t="s">
        <v>292</v>
      </c>
      <c r="J1277" s="1">
        <v>2</v>
      </c>
      <c r="K1277" s="1">
        <v>5</v>
      </c>
      <c r="L1277" s="67">
        <f t="shared" si="39"/>
        <v>1</v>
      </c>
    </row>
    <row r="1278" spans="1:12" x14ac:dyDescent="0.2">
      <c r="A1278">
        <v>1277</v>
      </c>
      <c r="B1278" s="7" t="s">
        <v>356</v>
      </c>
      <c r="C1278" t="s">
        <v>1311</v>
      </c>
      <c r="D1278" s="65" t="str">
        <f t="shared" si="38"/>
        <v>Y</v>
      </c>
      <c r="E1278" t="s">
        <v>1315</v>
      </c>
      <c r="F1278" s="25" t="s">
        <v>293</v>
      </c>
      <c r="G1278" s="26">
        <v>2</v>
      </c>
      <c r="H1278" s="7" t="s">
        <v>299</v>
      </c>
      <c r="I1278" s="7" t="s">
        <v>294</v>
      </c>
      <c r="J1278" s="1">
        <v>4</v>
      </c>
      <c r="K1278" s="1">
        <v>7</v>
      </c>
      <c r="L1278" s="67">
        <f t="shared" si="39"/>
        <v>0</v>
      </c>
    </row>
    <row r="1279" spans="1:12" x14ac:dyDescent="0.2">
      <c r="A1279">
        <v>1278</v>
      </c>
      <c r="B1279" s="7" t="s">
        <v>372</v>
      </c>
      <c r="C1279" t="s">
        <v>1311</v>
      </c>
      <c r="D1279" s="65" t="str">
        <f t="shared" si="38"/>
        <v>Y</v>
      </c>
      <c r="E1279" t="s">
        <v>1315</v>
      </c>
      <c r="F1279" s="25" t="s">
        <v>293</v>
      </c>
      <c r="G1279" s="26">
        <v>2</v>
      </c>
      <c r="H1279" s="7" t="s">
        <v>293</v>
      </c>
      <c r="I1279" s="7" t="s">
        <v>294</v>
      </c>
      <c r="J1279" s="1">
        <v>2</v>
      </c>
      <c r="K1279" s="1">
        <v>7</v>
      </c>
      <c r="L1279" s="67">
        <f t="shared" si="39"/>
        <v>1</v>
      </c>
    </row>
    <row r="1280" spans="1:12" x14ac:dyDescent="0.2">
      <c r="A1280">
        <v>1279</v>
      </c>
      <c r="B1280" s="7" t="s">
        <v>356</v>
      </c>
      <c r="C1280" t="s">
        <v>1311</v>
      </c>
      <c r="D1280" s="65" t="str">
        <f t="shared" si="38"/>
        <v>Y</v>
      </c>
      <c r="E1280" t="s">
        <v>1315</v>
      </c>
      <c r="F1280" s="25" t="s">
        <v>293</v>
      </c>
      <c r="G1280" s="26">
        <v>2</v>
      </c>
      <c r="H1280" s="7" t="s">
        <v>293</v>
      </c>
      <c r="I1280" s="7" t="s">
        <v>294</v>
      </c>
      <c r="J1280" s="1">
        <v>2</v>
      </c>
      <c r="K1280" s="1">
        <v>7</v>
      </c>
      <c r="L1280" s="67">
        <f t="shared" si="39"/>
        <v>1</v>
      </c>
    </row>
    <row r="1281" spans="1:12" x14ac:dyDescent="0.2">
      <c r="A1281">
        <v>1280</v>
      </c>
      <c r="B1281" s="7" t="s">
        <v>372</v>
      </c>
      <c r="C1281" t="s">
        <v>1311</v>
      </c>
      <c r="D1281" s="65" t="str">
        <f t="shared" si="38"/>
        <v>Y</v>
      </c>
      <c r="E1281" t="s">
        <v>1315</v>
      </c>
      <c r="F1281" s="25" t="s">
        <v>293</v>
      </c>
      <c r="G1281" s="26">
        <v>2</v>
      </c>
      <c r="H1281" s="7" t="s">
        <v>299</v>
      </c>
      <c r="I1281" s="7" t="s">
        <v>292</v>
      </c>
      <c r="J1281" s="1">
        <v>4</v>
      </c>
      <c r="K1281" s="1">
        <v>5</v>
      </c>
      <c r="L1281" s="67">
        <f t="shared" si="39"/>
        <v>0</v>
      </c>
    </row>
    <row r="1282" spans="1:12" x14ac:dyDescent="0.2">
      <c r="A1282">
        <v>1281</v>
      </c>
      <c r="B1282" s="7" t="s">
        <v>372</v>
      </c>
      <c r="C1282" t="s">
        <v>1311</v>
      </c>
      <c r="D1282" s="65" t="str">
        <f t="shared" si="38"/>
        <v>Y</v>
      </c>
      <c r="E1282" t="s">
        <v>1315</v>
      </c>
      <c r="F1282" s="25" t="s">
        <v>293</v>
      </c>
      <c r="G1282" s="26">
        <v>2</v>
      </c>
      <c r="H1282" s="7" t="s">
        <v>293</v>
      </c>
      <c r="I1282" s="7" t="s">
        <v>294</v>
      </c>
      <c r="J1282" s="1">
        <v>2</v>
      </c>
      <c r="K1282" s="1">
        <v>7</v>
      </c>
      <c r="L1282" s="67">
        <f t="shared" si="39"/>
        <v>1</v>
      </c>
    </row>
    <row r="1283" spans="1:12" x14ac:dyDescent="0.2">
      <c r="A1283">
        <v>1282</v>
      </c>
      <c r="B1283" s="7" t="s">
        <v>356</v>
      </c>
      <c r="C1283" t="s">
        <v>1311</v>
      </c>
      <c r="D1283" s="65" t="str">
        <f t="shared" ref="D1283:D1346" si="40">IF($E1283="iso", "N", IF(OR($E1283="non", $E1283="emd", $E1283="dyn"), "Y", "ERROR"))</f>
        <v>Y</v>
      </c>
      <c r="E1283" t="s">
        <v>1315</v>
      </c>
      <c r="F1283" s="25" t="s">
        <v>293</v>
      </c>
      <c r="G1283" s="26">
        <v>2</v>
      </c>
      <c r="H1283" s="7" t="s">
        <v>293</v>
      </c>
      <c r="I1283" s="7" t="s">
        <v>296</v>
      </c>
      <c r="J1283" s="1">
        <v>2</v>
      </c>
      <c r="K1283" s="1">
        <v>6</v>
      </c>
      <c r="L1283" s="67">
        <f t="shared" ref="L1283:L1346" si="41">IF(G1283=J1283, 1, 0)</f>
        <v>1</v>
      </c>
    </row>
    <row r="1284" spans="1:12" x14ac:dyDescent="0.2">
      <c r="A1284">
        <v>1283</v>
      </c>
      <c r="B1284" s="7" t="s">
        <v>356</v>
      </c>
      <c r="C1284" t="s">
        <v>1311</v>
      </c>
      <c r="D1284" s="65" t="str">
        <f t="shared" si="40"/>
        <v>Y</v>
      </c>
      <c r="E1284" t="s">
        <v>1315</v>
      </c>
      <c r="F1284" s="25" t="s">
        <v>293</v>
      </c>
      <c r="G1284" s="26">
        <v>2</v>
      </c>
      <c r="H1284" s="7" t="s">
        <v>299</v>
      </c>
      <c r="I1284" s="7" t="s">
        <v>292</v>
      </c>
      <c r="J1284" s="1">
        <v>4</v>
      </c>
      <c r="K1284" s="1">
        <v>5</v>
      </c>
      <c r="L1284" s="67">
        <f t="shared" si="41"/>
        <v>0</v>
      </c>
    </row>
    <row r="1285" spans="1:12" x14ac:dyDescent="0.2">
      <c r="A1285">
        <v>1284</v>
      </c>
      <c r="B1285" s="7" t="s">
        <v>372</v>
      </c>
      <c r="C1285" t="s">
        <v>1311</v>
      </c>
      <c r="D1285" s="65" t="str">
        <f t="shared" si="40"/>
        <v>Y</v>
      </c>
      <c r="E1285" t="s">
        <v>1315</v>
      </c>
      <c r="F1285" s="25" t="s">
        <v>293</v>
      </c>
      <c r="G1285" s="26">
        <v>2</v>
      </c>
      <c r="H1285" s="7" t="s">
        <v>293</v>
      </c>
      <c r="I1285" s="7" t="s">
        <v>292</v>
      </c>
      <c r="J1285" s="1">
        <v>2</v>
      </c>
      <c r="K1285" s="1">
        <v>5</v>
      </c>
      <c r="L1285" s="67">
        <f t="shared" si="41"/>
        <v>1</v>
      </c>
    </row>
    <row r="1286" spans="1:12" x14ac:dyDescent="0.2">
      <c r="A1286">
        <v>1285</v>
      </c>
      <c r="B1286" s="7" t="s">
        <v>356</v>
      </c>
      <c r="C1286" t="s">
        <v>1311</v>
      </c>
      <c r="D1286" s="65" t="str">
        <f t="shared" si="40"/>
        <v>Y</v>
      </c>
      <c r="E1286" t="s">
        <v>1315</v>
      </c>
      <c r="F1286" s="25" t="s">
        <v>293</v>
      </c>
      <c r="G1286" s="26">
        <v>2</v>
      </c>
      <c r="H1286" s="7" t="s">
        <v>293</v>
      </c>
      <c r="I1286" s="7" t="s">
        <v>296</v>
      </c>
      <c r="J1286" s="1">
        <v>2</v>
      </c>
      <c r="K1286" s="1">
        <v>6</v>
      </c>
      <c r="L1286" s="67">
        <f t="shared" si="41"/>
        <v>1</v>
      </c>
    </row>
    <row r="1287" spans="1:12" x14ac:dyDescent="0.2">
      <c r="A1287">
        <v>1286</v>
      </c>
      <c r="B1287" s="7" t="s">
        <v>356</v>
      </c>
      <c r="C1287" t="s">
        <v>1311</v>
      </c>
      <c r="D1287" s="65" t="str">
        <f t="shared" si="40"/>
        <v>Y</v>
      </c>
      <c r="E1287" t="s">
        <v>1315</v>
      </c>
      <c r="F1287" s="25" t="s">
        <v>293</v>
      </c>
      <c r="G1287" s="26">
        <v>2</v>
      </c>
      <c r="H1287" s="7" t="s">
        <v>299</v>
      </c>
      <c r="I1287" s="7" t="s">
        <v>292</v>
      </c>
      <c r="J1287" s="1">
        <v>4</v>
      </c>
      <c r="K1287" s="1">
        <v>5</v>
      </c>
      <c r="L1287" s="67">
        <f t="shared" si="41"/>
        <v>0</v>
      </c>
    </row>
    <row r="1288" spans="1:12" x14ac:dyDescent="0.2">
      <c r="A1288">
        <v>1287</v>
      </c>
      <c r="B1288" s="7" t="s">
        <v>372</v>
      </c>
      <c r="C1288" t="s">
        <v>1311</v>
      </c>
      <c r="D1288" s="65" t="str">
        <f t="shared" si="40"/>
        <v>Y</v>
      </c>
      <c r="E1288" t="s">
        <v>1315</v>
      </c>
      <c r="F1288" s="25" t="s">
        <v>293</v>
      </c>
      <c r="G1288" s="26">
        <v>2</v>
      </c>
      <c r="H1288" s="7" t="s">
        <v>293</v>
      </c>
      <c r="I1288" s="7" t="s">
        <v>294</v>
      </c>
      <c r="J1288" s="1">
        <v>2</v>
      </c>
      <c r="K1288" s="1">
        <v>7</v>
      </c>
      <c r="L1288" s="67">
        <f t="shared" si="41"/>
        <v>1</v>
      </c>
    </row>
    <row r="1289" spans="1:12" x14ac:dyDescent="0.2">
      <c r="A1289">
        <v>1288</v>
      </c>
      <c r="B1289" s="7" t="s">
        <v>372</v>
      </c>
      <c r="C1289" t="s">
        <v>1311</v>
      </c>
      <c r="D1289" s="65" t="str">
        <f t="shared" si="40"/>
        <v>Y</v>
      </c>
      <c r="E1289" t="s">
        <v>1315</v>
      </c>
      <c r="F1289" s="25" t="s">
        <v>293</v>
      </c>
      <c r="G1289" s="26">
        <v>2</v>
      </c>
      <c r="H1289" s="7" t="s">
        <v>293</v>
      </c>
      <c r="I1289" s="7" t="s">
        <v>296</v>
      </c>
      <c r="J1289" s="1">
        <v>2</v>
      </c>
      <c r="K1289" s="1">
        <v>6</v>
      </c>
      <c r="L1289" s="67">
        <f t="shared" si="41"/>
        <v>1</v>
      </c>
    </row>
    <row r="1290" spans="1:12" x14ac:dyDescent="0.2">
      <c r="A1290">
        <v>1289</v>
      </c>
      <c r="B1290" s="7" t="s">
        <v>356</v>
      </c>
      <c r="C1290" t="s">
        <v>1311</v>
      </c>
      <c r="D1290" s="65" t="str">
        <f t="shared" si="40"/>
        <v>Y</v>
      </c>
      <c r="E1290" t="s">
        <v>1315</v>
      </c>
      <c r="F1290" s="25" t="s">
        <v>293</v>
      </c>
      <c r="G1290" s="26">
        <v>2</v>
      </c>
      <c r="H1290" s="7" t="s">
        <v>299</v>
      </c>
      <c r="I1290" s="7" t="s">
        <v>292</v>
      </c>
      <c r="J1290" s="1">
        <v>4</v>
      </c>
      <c r="K1290" s="1">
        <v>5</v>
      </c>
      <c r="L1290" s="67">
        <f t="shared" si="41"/>
        <v>0</v>
      </c>
    </row>
    <row r="1291" spans="1:12" x14ac:dyDescent="0.2">
      <c r="A1291">
        <v>1290</v>
      </c>
      <c r="B1291" s="7" t="s">
        <v>356</v>
      </c>
      <c r="C1291" t="s">
        <v>1311</v>
      </c>
      <c r="D1291" s="65" t="str">
        <f t="shared" si="40"/>
        <v>Y</v>
      </c>
      <c r="E1291" t="s">
        <v>1315</v>
      </c>
      <c r="F1291" s="25" t="s">
        <v>293</v>
      </c>
      <c r="G1291" s="26">
        <v>2</v>
      </c>
      <c r="H1291" s="7" t="s">
        <v>293</v>
      </c>
      <c r="I1291" s="7" t="s">
        <v>292</v>
      </c>
      <c r="J1291" s="1">
        <v>2</v>
      </c>
      <c r="K1291" s="1">
        <v>5</v>
      </c>
      <c r="L1291" s="67">
        <f t="shared" si="41"/>
        <v>1</v>
      </c>
    </row>
    <row r="1292" spans="1:12" x14ac:dyDescent="0.2">
      <c r="A1292">
        <v>1291</v>
      </c>
      <c r="B1292" s="7" t="s">
        <v>372</v>
      </c>
      <c r="C1292" t="s">
        <v>1311</v>
      </c>
      <c r="D1292" s="65" t="str">
        <f t="shared" si="40"/>
        <v>Y</v>
      </c>
      <c r="E1292" t="s">
        <v>1315</v>
      </c>
      <c r="F1292" s="25" t="s">
        <v>293</v>
      </c>
      <c r="G1292" s="26">
        <v>2</v>
      </c>
      <c r="H1292" s="7" t="s">
        <v>299</v>
      </c>
      <c r="I1292" s="7" t="s">
        <v>294</v>
      </c>
      <c r="J1292" s="1">
        <v>4</v>
      </c>
      <c r="K1292" s="1">
        <v>7</v>
      </c>
      <c r="L1292" s="67">
        <f t="shared" si="41"/>
        <v>0</v>
      </c>
    </row>
    <row r="1293" spans="1:12" x14ac:dyDescent="0.2">
      <c r="A1293">
        <v>1292</v>
      </c>
      <c r="B1293" s="7" t="s">
        <v>356</v>
      </c>
      <c r="C1293" t="s">
        <v>1311</v>
      </c>
      <c r="D1293" s="65" t="str">
        <f t="shared" si="40"/>
        <v>Y</v>
      </c>
      <c r="E1293" t="s">
        <v>1315</v>
      </c>
      <c r="F1293" s="25" t="s">
        <v>293</v>
      </c>
      <c r="G1293" s="26">
        <v>2</v>
      </c>
      <c r="H1293" s="7" t="s">
        <v>293</v>
      </c>
      <c r="I1293" s="7" t="s">
        <v>292</v>
      </c>
      <c r="J1293" s="1">
        <v>2</v>
      </c>
      <c r="K1293" s="1">
        <v>5</v>
      </c>
      <c r="L1293" s="67">
        <f t="shared" si="41"/>
        <v>1</v>
      </c>
    </row>
    <row r="1294" spans="1:12" x14ac:dyDescent="0.2">
      <c r="A1294">
        <v>1293</v>
      </c>
      <c r="B1294" s="7" t="s">
        <v>372</v>
      </c>
      <c r="C1294" t="s">
        <v>1311</v>
      </c>
      <c r="D1294" s="65" t="str">
        <f t="shared" si="40"/>
        <v>Y</v>
      </c>
      <c r="E1294" t="s">
        <v>1315</v>
      </c>
      <c r="F1294" s="25" t="s">
        <v>293</v>
      </c>
      <c r="G1294" s="26">
        <v>2</v>
      </c>
      <c r="H1294" s="7" t="s">
        <v>293</v>
      </c>
      <c r="I1294" s="7" t="s">
        <v>296</v>
      </c>
      <c r="J1294" s="1">
        <v>2</v>
      </c>
      <c r="K1294" s="1">
        <v>6</v>
      </c>
      <c r="L1294" s="67">
        <f t="shared" si="41"/>
        <v>1</v>
      </c>
    </row>
    <row r="1295" spans="1:12" x14ac:dyDescent="0.2">
      <c r="A1295">
        <v>1294</v>
      </c>
      <c r="B1295" s="7" t="s">
        <v>356</v>
      </c>
      <c r="C1295" t="s">
        <v>1311</v>
      </c>
      <c r="D1295" s="65" t="str">
        <f t="shared" si="40"/>
        <v>Y</v>
      </c>
      <c r="E1295" t="s">
        <v>1315</v>
      </c>
      <c r="F1295" s="25" t="s">
        <v>293</v>
      </c>
      <c r="G1295" s="26">
        <v>2</v>
      </c>
      <c r="H1295" s="7" t="s">
        <v>293</v>
      </c>
      <c r="I1295" s="7" t="s">
        <v>296</v>
      </c>
      <c r="J1295" s="1">
        <v>2</v>
      </c>
      <c r="K1295" s="1">
        <v>6</v>
      </c>
      <c r="L1295" s="67">
        <f t="shared" si="41"/>
        <v>1</v>
      </c>
    </row>
    <row r="1296" spans="1:12" x14ac:dyDescent="0.2">
      <c r="A1296">
        <v>1295</v>
      </c>
      <c r="B1296" s="7" t="s">
        <v>372</v>
      </c>
      <c r="C1296" t="s">
        <v>1311</v>
      </c>
      <c r="D1296" s="65" t="str">
        <f t="shared" si="40"/>
        <v>Y</v>
      </c>
      <c r="E1296" t="s">
        <v>1315</v>
      </c>
      <c r="F1296" s="25" t="s">
        <v>293</v>
      </c>
      <c r="G1296" s="26">
        <v>2</v>
      </c>
      <c r="H1296" s="7" t="s">
        <v>293</v>
      </c>
      <c r="I1296" s="7" t="s">
        <v>296</v>
      </c>
      <c r="J1296" s="1">
        <v>2</v>
      </c>
      <c r="K1296" s="1">
        <v>6</v>
      </c>
      <c r="L1296" s="67">
        <f t="shared" si="41"/>
        <v>1</v>
      </c>
    </row>
    <row r="1297" spans="1:12" x14ac:dyDescent="0.2">
      <c r="A1297">
        <v>1296</v>
      </c>
      <c r="B1297" s="7" t="s">
        <v>356</v>
      </c>
      <c r="C1297" t="s">
        <v>1311</v>
      </c>
      <c r="D1297" s="65" t="str">
        <f t="shared" si="40"/>
        <v>Y</v>
      </c>
      <c r="E1297" t="s">
        <v>1315</v>
      </c>
      <c r="F1297" s="25" t="s">
        <v>293</v>
      </c>
      <c r="G1297" s="26">
        <v>2</v>
      </c>
      <c r="H1297" s="7" t="s">
        <v>293</v>
      </c>
      <c r="I1297" s="7" t="s">
        <v>296</v>
      </c>
      <c r="J1297" s="1">
        <v>2</v>
      </c>
      <c r="K1297" s="1">
        <v>6</v>
      </c>
      <c r="L1297" s="67">
        <f t="shared" si="41"/>
        <v>1</v>
      </c>
    </row>
    <row r="1298" spans="1:12" x14ac:dyDescent="0.2">
      <c r="A1298">
        <v>1297</v>
      </c>
      <c r="B1298" s="7" t="s">
        <v>356</v>
      </c>
      <c r="C1298" t="s">
        <v>1311</v>
      </c>
      <c r="D1298" s="65" t="str">
        <f t="shared" si="40"/>
        <v>Y</v>
      </c>
      <c r="E1298" t="s">
        <v>1315</v>
      </c>
      <c r="F1298" s="25" t="s">
        <v>293</v>
      </c>
      <c r="G1298" s="26">
        <v>2</v>
      </c>
      <c r="H1298" s="7" t="s">
        <v>293</v>
      </c>
      <c r="I1298" s="7" t="s">
        <v>294</v>
      </c>
      <c r="J1298" s="1">
        <v>2</v>
      </c>
      <c r="K1298" s="1">
        <v>7</v>
      </c>
      <c r="L1298" s="67">
        <f t="shared" si="41"/>
        <v>1</v>
      </c>
    </row>
    <row r="1299" spans="1:12" x14ac:dyDescent="0.2">
      <c r="A1299">
        <v>1298</v>
      </c>
      <c r="B1299" s="7" t="s">
        <v>372</v>
      </c>
      <c r="C1299" t="s">
        <v>1311</v>
      </c>
      <c r="D1299" s="65" t="str">
        <f t="shared" si="40"/>
        <v>Y</v>
      </c>
      <c r="E1299" t="s">
        <v>1315</v>
      </c>
      <c r="F1299" s="25" t="s">
        <v>293</v>
      </c>
      <c r="G1299" s="26">
        <v>2</v>
      </c>
      <c r="H1299" s="7" t="s">
        <v>293</v>
      </c>
      <c r="I1299" s="7" t="s">
        <v>296</v>
      </c>
      <c r="J1299" s="1">
        <v>2</v>
      </c>
      <c r="K1299" s="1">
        <v>6</v>
      </c>
      <c r="L1299" s="67">
        <f t="shared" si="41"/>
        <v>1</v>
      </c>
    </row>
    <row r="1300" spans="1:12" x14ac:dyDescent="0.2">
      <c r="A1300">
        <v>1299</v>
      </c>
      <c r="B1300" s="7" t="s">
        <v>372</v>
      </c>
      <c r="C1300" t="s">
        <v>1311</v>
      </c>
      <c r="D1300" s="65" t="str">
        <f t="shared" si="40"/>
        <v>Y</v>
      </c>
      <c r="E1300" t="s">
        <v>1315</v>
      </c>
      <c r="F1300" s="25" t="s">
        <v>293</v>
      </c>
      <c r="G1300" s="26">
        <v>2</v>
      </c>
      <c r="H1300" s="7" t="s">
        <v>293</v>
      </c>
      <c r="I1300" s="7" t="s">
        <v>292</v>
      </c>
      <c r="J1300" s="1">
        <v>2</v>
      </c>
      <c r="K1300" s="1">
        <v>5</v>
      </c>
      <c r="L1300" s="67">
        <f t="shared" si="41"/>
        <v>1</v>
      </c>
    </row>
    <row r="1301" spans="1:12" x14ac:dyDescent="0.2">
      <c r="A1301">
        <v>1300</v>
      </c>
      <c r="B1301" s="7" t="s">
        <v>356</v>
      </c>
      <c r="C1301" t="s">
        <v>1311</v>
      </c>
      <c r="D1301" s="65" t="str">
        <f t="shared" si="40"/>
        <v>Y</v>
      </c>
      <c r="E1301" t="s">
        <v>1315</v>
      </c>
      <c r="F1301" s="25" t="s">
        <v>293</v>
      </c>
      <c r="G1301" s="26">
        <v>2</v>
      </c>
      <c r="H1301" s="7" t="s">
        <v>293</v>
      </c>
      <c r="I1301" s="7" t="s">
        <v>296</v>
      </c>
      <c r="J1301" s="1">
        <v>2</v>
      </c>
      <c r="K1301" s="1">
        <v>6</v>
      </c>
      <c r="L1301" s="67">
        <f t="shared" si="41"/>
        <v>1</v>
      </c>
    </row>
    <row r="1302" spans="1:12" x14ac:dyDescent="0.2">
      <c r="A1302">
        <v>1301</v>
      </c>
      <c r="B1302" s="7" t="s">
        <v>372</v>
      </c>
      <c r="C1302" t="s">
        <v>1311</v>
      </c>
      <c r="D1302" s="65" t="str">
        <f t="shared" si="40"/>
        <v>Y</v>
      </c>
      <c r="E1302" t="s">
        <v>1315</v>
      </c>
      <c r="F1302" s="25" t="s">
        <v>293</v>
      </c>
      <c r="G1302" s="26">
        <v>2</v>
      </c>
      <c r="H1302" s="7" t="s">
        <v>293</v>
      </c>
      <c r="I1302" s="7" t="s">
        <v>296</v>
      </c>
      <c r="J1302" s="1">
        <v>2</v>
      </c>
      <c r="K1302" s="1">
        <v>6</v>
      </c>
      <c r="L1302" s="67">
        <f t="shared" si="41"/>
        <v>1</v>
      </c>
    </row>
    <row r="1303" spans="1:12" x14ac:dyDescent="0.2">
      <c r="A1303">
        <v>1302</v>
      </c>
      <c r="B1303" s="7" t="s">
        <v>372</v>
      </c>
      <c r="C1303" t="s">
        <v>1311</v>
      </c>
      <c r="D1303" s="65" t="str">
        <f t="shared" si="40"/>
        <v>Y</v>
      </c>
      <c r="E1303" t="s">
        <v>1315</v>
      </c>
      <c r="F1303" s="25" t="s">
        <v>293</v>
      </c>
      <c r="G1303" s="26">
        <v>2</v>
      </c>
      <c r="H1303" s="7" t="s">
        <v>293</v>
      </c>
      <c r="I1303" s="7" t="s">
        <v>296</v>
      </c>
      <c r="J1303" s="1">
        <v>2</v>
      </c>
      <c r="K1303" s="1">
        <v>6</v>
      </c>
      <c r="L1303" s="67">
        <f t="shared" si="41"/>
        <v>1</v>
      </c>
    </row>
    <row r="1304" spans="1:12" x14ac:dyDescent="0.2">
      <c r="A1304">
        <v>1303</v>
      </c>
      <c r="B1304" s="7" t="s">
        <v>372</v>
      </c>
      <c r="C1304" t="s">
        <v>1311</v>
      </c>
      <c r="D1304" s="65" t="str">
        <f t="shared" si="40"/>
        <v>Y</v>
      </c>
      <c r="E1304" t="s">
        <v>1315</v>
      </c>
      <c r="F1304" s="25" t="s">
        <v>293</v>
      </c>
      <c r="G1304" s="26">
        <v>2</v>
      </c>
      <c r="H1304" s="7" t="s">
        <v>293</v>
      </c>
      <c r="I1304" s="7" t="s">
        <v>297</v>
      </c>
      <c r="J1304" s="1">
        <v>2</v>
      </c>
      <c r="K1304" s="1">
        <v>4</v>
      </c>
      <c r="L1304" s="67">
        <f t="shared" si="41"/>
        <v>1</v>
      </c>
    </row>
    <row r="1305" spans="1:12" x14ac:dyDescent="0.2">
      <c r="A1305">
        <v>1304</v>
      </c>
      <c r="B1305" s="7" t="s">
        <v>356</v>
      </c>
      <c r="C1305" t="s">
        <v>1311</v>
      </c>
      <c r="D1305" s="65" t="str">
        <f t="shared" si="40"/>
        <v>Y</v>
      </c>
      <c r="E1305" t="s">
        <v>1315</v>
      </c>
      <c r="F1305" s="25" t="s">
        <v>293</v>
      </c>
      <c r="G1305" s="26">
        <v>2</v>
      </c>
      <c r="H1305" s="7" t="s">
        <v>293</v>
      </c>
      <c r="I1305" s="7" t="s">
        <v>294</v>
      </c>
      <c r="J1305" s="1">
        <v>2</v>
      </c>
      <c r="K1305" s="1">
        <v>7</v>
      </c>
      <c r="L1305" s="67">
        <f t="shared" si="41"/>
        <v>1</v>
      </c>
    </row>
    <row r="1306" spans="1:12" x14ac:dyDescent="0.2">
      <c r="A1306">
        <v>1305</v>
      </c>
      <c r="B1306" s="7" t="s">
        <v>372</v>
      </c>
      <c r="C1306" t="s">
        <v>1311</v>
      </c>
      <c r="D1306" s="65" t="str">
        <f t="shared" si="40"/>
        <v>Y</v>
      </c>
      <c r="E1306" t="s">
        <v>1315</v>
      </c>
      <c r="F1306" s="25" t="s">
        <v>293</v>
      </c>
      <c r="G1306" s="26">
        <v>2</v>
      </c>
      <c r="H1306" s="7" t="s">
        <v>293</v>
      </c>
      <c r="I1306" s="7" t="s">
        <v>292</v>
      </c>
      <c r="J1306" s="1">
        <v>2</v>
      </c>
      <c r="K1306" s="1">
        <v>5</v>
      </c>
      <c r="L1306" s="67">
        <f t="shared" si="41"/>
        <v>1</v>
      </c>
    </row>
    <row r="1307" spans="1:12" x14ac:dyDescent="0.2">
      <c r="A1307">
        <v>1306</v>
      </c>
      <c r="B1307" s="7" t="s">
        <v>356</v>
      </c>
      <c r="C1307" t="s">
        <v>1311</v>
      </c>
      <c r="D1307" s="65" t="str">
        <f t="shared" si="40"/>
        <v>Y</v>
      </c>
      <c r="E1307" t="s">
        <v>1315</v>
      </c>
      <c r="F1307" s="25" t="s">
        <v>293</v>
      </c>
      <c r="G1307" s="26">
        <v>2</v>
      </c>
      <c r="H1307" s="7" t="s">
        <v>293</v>
      </c>
      <c r="I1307" s="7" t="s">
        <v>292</v>
      </c>
      <c r="J1307" s="1">
        <v>2</v>
      </c>
      <c r="K1307" s="1">
        <v>5</v>
      </c>
      <c r="L1307" s="67">
        <f t="shared" si="41"/>
        <v>1</v>
      </c>
    </row>
    <row r="1308" spans="1:12" x14ac:dyDescent="0.2">
      <c r="A1308">
        <v>1307</v>
      </c>
      <c r="B1308" s="7" t="s">
        <v>356</v>
      </c>
      <c r="C1308" t="s">
        <v>1311</v>
      </c>
      <c r="D1308" s="65" t="str">
        <f t="shared" si="40"/>
        <v>Y</v>
      </c>
      <c r="E1308" t="s">
        <v>1315</v>
      </c>
      <c r="F1308" s="25" t="s">
        <v>293</v>
      </c>
      <c r="G1308" s="26">
        <v>2</v>
      </c>
      <c r="H1308" s="7" t="s">
        <v>293</v>
      </c>
      <c r="I1308" s="7" t="s">
        <v>296</v>
      </c>
      <c r="J1308" s="1">
        <v>2</v>
      </c>
      <c r="K1308" s="1">
        <v>6</v>
      </c>
      <c r="L1308" s="67">
        <f t="shared" si="41"/>
        <v>1</v>
      </c>
    </row>
    <row r="1309" spans="1:12" x14ac:dyDescent="0.2">
      <c r="A1309">
        <v>1308</v>
      </c>
      <c r="B1309" s="7" t="s">
        <v>372</v>
      </c>
      <c r="C1309" t="s">
        <v>1311</v>
      </c>
      <c r="D1309" s="65" t="str">
        <f t="shared" si="40"/>
        <v>Y</v>
      </c>
      <c r="E1309" t="s">
        <v>1315</v>
      </c>
      <c r="F1309" s="25" t="s">
        <v>293</v>
      </c>
      <c r="G1309" s="26">
        <v>2</v>
      </c>
      <c r="H1309" s="7" t="s">
        <v>291</v>
      </c>
      <c r="I1309" s="7" t="s">
        <v>296</v>
      </c>
      <c r="J1309" s="1">
        <v>1</v>
      </c>
      <c r="K1309" s="1">
        <v>6</v>
      </c>
      <c r="L1309" s="67">
        <f t="shared" si="41"/>
        <v>0</v>
      </c>
    </row>
    <row r="1310" spans="1:12" x14ac:dyDescent="0.2">
      <c r="A1310">
        <v>1309</v>
      </c>
      <c r="B1310" s="7" t="s">
        <v>372</v>
      </c>
      <c r="C1310" t="s">
        <v>1311</v>
      </c>
      <c r="D1310" s="65" t="str">
        <f t="shared" si="40"/>
        <v>Y</v>
      </c>
      <c r="E1310" t="s">
        <v>1315</v>
      </c>
      <c r="F1310" s="25" t="s">
        <v>293</v>
      </c>
      <c r="G1310" s="26">
        <v>2</v>
      </c>
      <c r="H1310" s="7" t="s">
        <v>299</v>
      </c>
      <c r="I1310" s="7" t="s">
        <v>296</v>
      </c>
      <c r="J1310" s="1">
        <v>4</v>
      </c>
      <c r="K1310" s="1">
        <v>6</v>
      </c>
      <c r="L1310" s="67">
        <f t="shared" si="41"/>
        <v>0</v>
      </c>
    </row>
    <row r="1311" spans="1:12" x14ac:dyDescent="0.2">
      <c r="A1311">
        <v>1310</v>
      </c>
      <c r="B1311" s="7" t="s">
        <v>356</v>
      </c>
      <c r="C1311" t="s">
        <v>1311</v>
      </c>
      <c r="D1311" s="65" t="str">
        <f t="shared" si="40"/>
        <v>Y</v>
      </c>
      <c r="E1311" t="s">
        <v>1315</v>
      </c>
      <c r="F1311" s="25" t="s">
        <v>293</v>
      </c>
      <c r="G1311" s="26">
        <v>2</v>
      </c>
      <c r="H1311" s="7" t="s">
        <v>293</v>
      </c>
      <c r="I1311" s="7" t="s">
        <v>294</v>
      </c>
      <c r="J1311" s="1">
        <v>2</v>
      </c>
      <c r="K1311" s="1">
        <v>7</v>
      </c>
      <c r="L1311" s="67">
        <f t="shared" si="41"/>
        <v>1</v>
      </c>
    </row>
    <row r="1312" spans="1:12" x14ac:dyDescent="0.2">
      <c r="A1312">
        <v>1311</v>
      </c>
      <c r="B1312" s="7" t="s">
        <v>372</v>
      </c>
      <c r="C1312" t="s">
        <v>1311</v>
      </c>
      <c r="D1312" s="65" t="str">
        <f t="shared" si="40"/>
        <v>Y</v>
      </c>
      <c r="E1312" t="s">
        <v>1315</v>
      </c>
      <c r="F1312" s="25" t="s">
        <v>293</v>
      </c>
      <c r="G1312" s="26">
        <v>2</v>
      </c>
      <c r="H1312" s="7" t="s">
        <v>299</v>
      </c>
      <c r="I1312" s="7" t="s">
        <v>292</v>
      </c>
      <c r="J1312" s="1">
        <v>4</v>
      </c>
      <c r="K1312" s="1">
        <v>5</v>
      </c>
      <c r="L1312" s="67">
        <f t="shared" si="41"/>
        <v>0</v>
      </c>
    </row>
    <row r="1313" spans="1:12" x14ac:dyDescent="0.2">
      <c r="A1313">
        <v>1312</v>
      </c>
      <c r="B1313" s="7" t="s">
        <v>356</v>
      </c>
      <c r="C1313" t="s">
        <v>1311</v>
      </c>
      <c r="D1313" s="65" t="str">
        <f t="shared" si="40"/>
        <v>Y</v>
      </c>
      <c r="E1313" t="s">
        <v>1315</v>
      </c>
      <c r="F1313" s="25" t="s">
        <v>293</v>
      </c>
      <c r="G1313" s="26">
        <v>2</v>
      </c>
      <c r="H1313" s="7" t="s">
        <v>293</v>
      </c>
      <c r="I1313" s="7" t="s">
        <v>296</v>
      </c>
      <c r="J1313" s="1">
        <v>2</v>
      </c>
      <c r="K1313" s="1">
        <v>6</v>
      </c>
      <c r="L1313" s="67">
        <f t="shared" si="41"/>
        <v>1</v>
      </c>
    </row>
    <row r="1314" spans="1:12" x14ac:dyDescent="0.2">
      <c r="A1314">
        <v>1313</v>
      </c>
      <c r="B1314" s="7" t="s">
        <v>372</v>
      </c>
      <c r="C1314" t="s">
        <v>1311</v>
      </c>
      <c r="D1314" s="65" t="str">
        <f t="shared" si="40"/>
        <v>Y</v>
      </c>
      <c r="E1314" t="s">
        <v>1315</v>
      </c>
      <c r="F1314" s="25" t="s">
        <v>293</v>
      </c>
      <c r="G1314" s="26">
        <v>2</v>
      </c>
      <c r="H1314" s="7" t="s">
        <v>299</v>
      </c>
      <c r="I1314" s="7" t="s">
        <v>296</v>
      </c>
      <c r="J1314" s="1">
        <v>4</v>
      </c>
      <c r="K1314" s="1">
        <v>6</v>
      </c>
      <c r="L1314" s="67">
        <f t="shared" si="41"/>
        <v>0</v>
      </c>
    </row>
    <row r="1315" spans="1:12" x14ac:dyDescent="0.2">
      <c r="A1315">
        <v>1314</v>
      </c>
      <c r="B1315" s="7" t="s">
        <v>372</v>
      </c>
      <c r="C1315" t="s">
        <v>1311</v>
      </c>
      <c r="D1315" s="65" t="str">
        <f t="shared" si="40"/>
        <v>Y</v>
      </c>
      <c r="E1315" t="s">
        <v>1315</v>
      </c>
      <c r="F1315" s="25" t="s">
        <v>293</v>
      </c>
      <c r="G1315" s="26">
        <v>2</v>
      </c>
      <c r="H1315" s="7" t="s">
        <v>299</v>
      </c>
      <c r="I1315" s="7" t="s">
        <v>296</v>
      </c>
      <c r="J1315" s="1">
        <v>4</v>
      </c>
      <c r="K1315" s="1">
        <v>6</v>
      </c>
      <c r="L1315" s="67">
        <f t="shared" si="41"/>
        <v>0</v>
      </c>
    </row>
    <row r="1316" spans="1:12" x14ac:dyDescent="0.2">
      <c r="A1316">
        <v>1315</v>
      </c>
      <c r="B1316" s="7" t="s">
        <v>356</v>
      </c>
      <c r="C1316" t="s">
        <v>1311</v>
      </c>
      <c r="D1316" s="65" t="str">
        <f t="shared" si="40"/>
        <v>Y</v>
      </c>
      <c r="E1316" t="s">
        <v>1315</v>
      </c>
      <c r="F1316" s="25" t="s">
        <v>293</v>
      </c>
      <c r="G1316" s="26">
        <v>2</v>
      </c>
      <c r="H1316" s="7" t="s">
        <v>299</v>
      </c>
      <c r="I1316" s="7" t="s">
        <v>296</v>
      </c>
      <c r="J1316" s="1">
        <v>4</v>
      </c>
      <c r="K1316" s="1">
        <v>6</v>
      </c>
      <c r="L1316" s="67">
        <f t="shared" si="41"/>
        <v>0</v>
      </c>
    </row>
    <row r="1317" spans="1:12" x14ac:dyDescent="0.2">
      <c r="A1317">
        <v>1316</v>
      </c>
      <c r="B1317" s="7" t="s">
        <v>372</v>
      </c>
      <c r="C1317" t="s">
        <v>1311</v>
      </c>
      <c r="D1317" s="65" t="str">
        <f t="shared" si="40"/>
        <v>Y</v>
      </c>
      <c r="E1317" t="s">
        <v>1315</v>
      </c>
      <c r="F1317" s="25" t="s">
        <v>293</v>
      </c>
      <c r="G1317" s="26">
        <v>2</v>
      </c>
      <c r="H1317" s="7" t="s">
        <v>293</v>
      </c>
      <c r="I1317" s="7" t="s">
        <v>292</v>
      </c>
      <c r="J1317" s="1">
        <v>2</v>
      </c>
      <c r="K1317" s="1">
        <v>5</v>
      </c>
      <c r="L1317" s="67">
        <f t="shared" si="41"/>
        <v>1</v>
      </c>
    </row>
    <row r="1318" spans="1:12" x14ac:dyDescent="0.2">
      <c r="A1318">
        <v>1317</v>
      </c>
      <c r="B1318" s="7" t="s">
        <v>356</v>
      </c>
      <c r="C1318" t="s">
        <v>1311</v>
      </c>
      <c r="D1318" s="65" t="str">
        <f t="shared" si="40"/>
        <v>Y</v>
      </c>
      <c r="E1318" t="s">
        <v>1315</v>
      </c>
      <c r="F1318" s="25" t="s">
        <v>293</v>
      </c>
      <c r="G1318" s="26">
        <v>2</v>
      </c>
      <c r="H1318" s="7" t="s">
        <v>293</v>
      </c>
      <c r="I1318" s="7" t="s">
        <v>294</v>
      </c>
      <c r="J1318" s="1">
        <v>2</v>
      </c>
      <c r="K1318" s="1">
        <v>7</v>
      </c>
      <c r="L1318" s="67">
        <f t="shared" si="41"/>
        <v>1</v>
      </c>
    </row>
    <row r="1319" spans="1:12" x14ac:dyDescent="0.2">
      <c r="A1319">
        <v>1318</v>
      </c>
      <c r="B1319" s="7" t="s">
        <v>356</v>
      </c>
      <c r="C1319" t="s">
        <v>1311</v>
      </c>
      <c r="D1319" s="65" t="str">
        <f t="shared" si="40"/>
        <v>Y</v>
      </c>
      <c r="E1319" t="s">
        <v>1315</v>
      </c>
      <c r="F1319" s="25" t="s">
        <v>293</v>
      </c>
      <c r="G1319" s="26">
        <v>2</v>
      </c>
      <c r="H1319" s="7" t="s">
        <v>293</v>
      </c>
      <c r="I1319" s="7" t="s">
        <v>296</v>
      </c>
      <c r="J1319" s="1">
        <v>2</v>
      </c>
      <c r="K1319" s="1">
        <v>6</v>
      </c>
      <c r="L1319" s="67">
        <f t="shared" si="41"/>
        <v>1</v>
      </c>
    </row>
    <row r="1320" spans="1:12" x14ac:dyDescent="0.2">
      <c r="A1320">
        <v>1319</v>
      </c>
      <c r="B1320" s="7" t="s">
        <v>372</v>
      </c>
      <c r="C1320" t="s">
        <v>1311</v>
      </c>
      <c r="D1320" s="65" t="str">
        <f t="shared" si="40"/>
        <v>Y</v>
      </c>
      <c r="E1320" t="s">
        <v>1315</v>
      </c>
      <c r="F1320" s="25" t="s">
        <v>293</v>
      </c>
      <c r="G1320" s="26">
        <v>2</v>
      </c>
      <c r="H1320" s="7" t="s">
        <v>293</v>
      </c>
      <c r="I1320" s="7" t="s">
        <v>292</v>
      </c>
      <c r="J1320" s="1">
        <v>2</v>
      </c>
      <c r="K1320" s="1">
        <v>5</v>
      </c>
      <c r="L1320" s="67">
        <f t="shared" si="41"/>
        <v>1</v>
      </c>
    </row>
    <row r="1321" spans="1:12" x14ac:dyDescent="0.2">
      <c r="A1321">
        <v>1320</v>
      </c>
      <c r="B1321" s="7" t="s">
        <v>356</v>
      </c>
      <c r="C1321" t="s">
        <v>1311</v>
      </c>
      <c r="D1321" s="65" t="str">
        <f t="shared" si="40"/>
        <v>Y</v>
      </c>
      <c r="E1321" t="s">
        <v>1315</v>
      </c>
      <c r="F1321" s="25" t="s">
        <v>293</v>
      </c>
      <c r="G1321" s="26">
        <v>2</v>
      </c>
      <c r="H1321" s="7" t="s">
        <v>293</v>
      </c>
      <c r="I1321" s="7" t="s">
        <v>294</v>
      </c>
      <c r="J1321" s="1">
        <v>2</v>
      </c>
      <c r="K1321" s="1">
        <v>7</v>
      </c>
      <c r="L1321" s="67">
        <f t="shared" si="41"/>
        <v>1</v>
      </c>
    </row>
    <row r="1322" spans="1:12" x14ac:dyDescent="0.2">
      <c r="A1322">
        <v>1321</v>
      </c>
      <c r="B1322" s="7" t="s">
        <v>372</v>
      </c>
      <c r="C1322" t="s">
        <v>1311</v>
      </c>
      <c r="D1322" s="65" t="str">
        <f t="shared" si="40"/>
        <v>Y</v>
      </c>
      <c r="E1322" t="s">
        <v>1315</v>
      </c>
      <c r="F1322" s="25" t="s">
        <v>293</v>
      </c>
      <c r="G1322" s="26">
        <v>2</v>
      </c>
      <c r="H1322" s="7" t="s">
        <v>293</v>
      </c>
      <c r="I1322" s="7" t="s">
        <v>296</v>
      </c>
      <c r="J1322" s="1">
        <v>2</v>
      </c>
      <c r="K1322" s="1">
        <v>6</v>
      </c>
      <c r="L1322" s="67">
        <f t="shared" si="41"/>
        <v>1</v>
      </c>
    </row>
    <row r="1323" spans="1:12" x14ac:dyDescent="0.2">
      <c r="A1323">
        <v>1322</v>
      </c>
      <c r="B1323" s="7" t="s">
        <v>356</v>
      </c>
      <c r="C1323" t="s">
        <v>1311</v>
      </c>
      <c r="D1323" s="65" t="str">
        <f t="shared" si="40"/>
        <v>Y</v>
      </c>
      <c r="E1323" t="s">
        <v>1315</v>
      </c>
      <c r="F1323" s="25" t="s">
        <v>293</v>
      </c>
      <c r="G1323" s="26">
        <v>2</v>
      </c>
      <c r="H1323" s="7" t="s">
        <v>299</v>
      </c>
      <c r="I1323" s="7" t="s">
        <v>292</v>
      </c>
      <c r="J1323" s="1">
        <v>4</v>
      </c>
      <c r="K1323" s="1">
        <v>5</v>
      </c>
      <c r="L1323" s="67">
        <f t="shared" si="41"/>
        <v>0</v>
      </c>
    </row>
    <row r="1324" spans="1:12" x14ac:dyDescent="0.2">
      <c r="A1324">
        <v>1323</v>
      </c>
      <c r="B1324" s="7" t="s">
        <v>372</v>
      </c>
      <c r="C1324" t="s">
        <v>1311</v>
      </c>
      <c r="D1324" s="65" t="str">
        <f t="shared" si="40"/>
        <v>Y</v>
      </c>
      <c r="E1324" t="s">
        <v>1315</v>
      </c>
      <c r="F1324" s="25" t="s">
        <v>293</v>
      </c>
      <c r="G1324" s="26">
        <v>2</v>
      </c>
      <c r="H1324" s="7" t="s">
        <v>299</v>
      </c>
      <c r="I1324" s="7" t="s">
        <v>296</v>
      </c>
      <c r="J1324" s="1">
        <v>4</v>
      </c>
      <c r="K1324" s="1">
        <v>6</v>
      </c>
      <c r="L1324" s="67">
        <f t="shared" si="41"/>
        <v>0</v>
      </c>
    </row>
    <row r="1325" spans="1:12" x14ac:dyDescent="0.2">
      <c r="A1325">
        <v>1324</v>
      </c>
      <c r="B1325" s="7" t="s">
        <v>356</v>
      </c>
      <c r="C1325" t="s">
        <v>1311</v>
      </c>
      <c r="D1325" s="65" t="str">
        <f t="shared" si="40"/>
        <v>Y</v>
      </c>
      <c r="E1325" t="s">
        <v>1315</v>
      </c>
      <c r="F1325" s="25" t="s">
        <v>293</v>
      </c>
      <c r="G1325" s="26">
        <v>2</v>
      </c>
      <c r="H1325" s="7" t="s">
        <v>299</v>
      </c>
      <c r="I1325" s="7" t="s">
        <v>292</v>
      </c>
      <c r="J1325" s="1">
        <v>4</v>
      </c>
      <c r="K1325" s="1">
        <v>5</v>
      </c>
      <c r="L1325" s="67">
        <f t="shared" si="41"/>
        <v>0</v>
      </c>
    </row>
    <row r="1326" spans="1:12" x14ac:dyDescent="0.2">
      <c r="A1326">
        <v>1325</v>
      </c>
      <c r="B1326" s="7" t="s">
        <v>372</v>
      </c>
      <c r="C1326" t="s">
        <v>1311</v>
      </c>
      <c r="D1326" s="65" t="str">
        <f t="shared" si="40"/>
        <v>Y</v>
      </c>
      <c r="E1326" t="s">
        <v>1315</v>
      </c>
      <c r="F1326" s="25" t="s">
        <v>293</v>
      </c>
      <c r="G1326" s="26">
        <v>2</v>
      </c>
      <c r="H1326" s="7" t="s">
        <v>299</v>
      </c>
      <c r="I1326" s="7" t="s">
        <v>294</v>
      </c>
      <c r="J1326" s="1">
        <v>4</v>
      </c>
      <c r="K1326" s="1">
        <v>7</v>
      </c>
      <c r="L1326" s="67">
        <f t="shared" si="41"/>
        <v>0</v>
      </c>
    </row>
    <row r="1327" spans="1:12" x14ac:dyDescent="0.2">
      <c r="A1327">
        <v>1326</v>
      </c>
      <c r="B1327" s="7" t="s">
        <v>372</v>
      </c>
      <c r="C1327" t="s">
        <v>1311</v>
      </c>
      <c r="D1327" s="65" t="str">
        <f t="shared" si="40"/>
        <v>Y</v>
      </c>
      <c r="E1327" t="s">
        <v>1315</v>
      </c>
      <c r="F1327" s="25" t="s">
        <v>293</v>
      </c>
      <c r="G1327" s="26">
        <v>2</v>
      </c>
      <c r="H1327" s="7" t="s">
        <v>299</v>
      </c>
      <c r="I1327" s="7" t="s">
        <v>296</v>
      </c>
      <c r="J1327" s="1">
        <v>4</v>
      </c>
      <c r="K1327" s="1">
        <v>6</v>
      </c>
      <c r="L1327" s="67">
        <f t="shared" si="41"/>
        <v>0</v>
      </c>
    </row>
    <row r="1328" spans="1:12" x14ac:dyDescent="0.2">
      <c r="A1328">
        <v>1327</v>
      </c>
      <c r="B1328" s="7" t="s">
        <v>356</v>
      </c>
      <c r="C1328" t="s">
        <v>1311</v>
      </c>
      <c r="D1328" s="65" t="str">
        <f t="shared" si="40"/>
        <v>Y</v>
      </c>
      <c r="E1328" t="s">
        <v>1315</v>
      </c>
      <c r="F1328" s="25" t="s">
        <v>293</v>
      </c>
      <c r="G1328" s="26">
        <v>2</v>
      </c>
      <c r="H1328" s="7" t="s">
        <v>293</v>
      </c>
      <c r="I1328" s="7" t="s">
        <v>294</v>
      </c>
      <c r="J1328" s="1">
        <v>2</v>
      </c>
      <c r="K1328" s="1">
        <v>7</v>
      </c>
      <c r="L1328" s="67">
        <f t="shared" si="41"/>
        <v>1</v>
      </c>
    </row>
    <row r="1329" spans="1:12" x14ac:dyDescent="0.2">
      <c r="A1329">
        <v>1328</v>
      </c>
      <c r="B1329" s="7" t="s">
        <v>356</v>
      </c>
      <c r="C1329" t="s">
        <v>1311</v>
      </c>
      <c r="D1329" s="65" t="str">
        <f t="shared" si="40"/>
        <v>Y</v>
      </c>
      <c r="E1329" t="s">
        <v>1315</v>
      </c>
      <c r="F1329" s="25" t="s">
        <v>293</v>
      </c>
      <c r="G1329" s="26">
        <v>2</v>
      </c>
      <c r="H1329" s="7" t="s">
        <v>293</v>
      </c>
      <c r="I1329" s="7" t="s">
        <v>297</v>
      </c>
      <c r="J1329" s="1">
        <v>2</v>
      </c>
      <c r="K1329" s="1">
        <v>4</v>
      </c>
      <c r="L1329" s="67">
        <f t="shared" si="41"/>
        <v>1</v>
      </c>
    </row>
    <row r="1330" spans="1:12" x14ac:dyDescent="0.2">
      <c r="A1330">
        <v>1329</v>
      </c>
      <c r="B1330" s="7" t="s">
        <v>372</v>
      </c>
      <c r="C1330" t="s">
        <v>1311</v>
      </c>
      <c r="D1330" s="65" t="str">
        <f t="shared" si="40"/>
        <v>Y</v>
      </c>
      <c r="E1330" t="s">
        <v>1315</v>
      </c>
      <c r="F1330" s="25" t="s">
        <v>293</v>
      </c>
      <c r="G1330" s="26">
        <v>2</v>
      </c>
      <c r="H1330" s="7" t="s">
        <v>299</v>
      </c>
      <c r="I1330" s="7" t="s">
        <v>294</v>
      </c>
      <c r="J1330" s="1">
        <v>4</v>
      </c>
      <c r="K1330" s="1">
        <v>7</v>
      </c>
      <c r="L1330" s="67">
        <f t="shared" si="41"/>
        <v>0</v>
      </c>
    </row>
    <row r="1331" spans="1:12" x14ac:dyDescent="0.2">
      <c r="A1331">
        <v>1330</v>
      </c>
      <c r="B1331" s="7" t="s">
        <v>372</v>
      </c>
      <c r="C1331" t="s">
        <v>1311</v>
      </c>
      <c r="D1331" s="65" t="str">
        <f t="shared" si="40"/>
        <v>Y</v>
      </c>
      <c r="E1331" t="s">
        <v>1315</v>
      </c>
      <c r="F1331" s="25" t="s">
        <v>293</v>
      </c>
      <c r="G1331" s="26">
        <v>2</v>
      </c>
      <c r="H1331" s="7" t="s">
        <v>299</v>
      </c>
      <c r="I1331" s="7" t="s">
        <v>292</v>
      </c>
      <c r="J1331" s="1">
        <v>4</v>
      </c>
      <c r="K1331" s="1">
        <v>5</v>
      </c>
      <c r="L1331" s="67">
        <f t="shared" si="41"/>
        <v>0</v>
      </c>
    </row>
    <row r="1332" spans="1:12" x14ac:dyDescent="0.2">
      <c r="A1332">
        <v>1331</v>
      </c>
      <c r="B1332" s="7" t="s">
        <v>356</v>
      </c>
      <c r="C1332" t="s">
        <v>1311</v>
      </c>
      <c r="D1332" s="65" t="str">
        <f t="shared" si="40"/>
        <v>Y</v>
      </c>
      <c r="E1332" t="s">
        <v>1315</v>
      </c>
      <c r="F1332" s="25" t="s">
        <v>293</v>
      </c>
      <c r="G1332" s="26">
        <v>2</v>
      </c>
      <c r="H1332" s="7" t="s">
        <v>299</v>
      </c>
      <c r="I1332" s="7" t="s">
        <v>292</v>
      </c>
      <c r="J1332" s="1">
        <v>4</v>
      </c>
      <c r="K1332" s="1">
        <v>5</v>
      </c>
      <c r="L1332" s="67">
        <f t="shared" si="41"/>
        <v>0</v>
      </c>
    </row>
    <row r="1333" spans="1:12" x14ac:dyDescent="0.2">
      <c r="A1333">
        <v>1332</v>
      </c>
      <c r="B1333" s="7" t="s">
        <v>372</v>
      </c>
      <c r="C1333" t="s">
        <v>1311</v>
      </c>
      <c r="D1333" s="65" t="str">
        <f t="shared" si="40"/>
        <v>Y</v>
      </c>
      <c r="E1333" t="s">
        <v>1315</v>
      </c>
      <c r="F1333" s="25" t="s">
        <v>293</v>
      </c>
      <c r="G1333" s="26">
        <v>2</v>
      </c>
      <c r="H1333" s="7" t="s">
        <v>299</v>
      </c>
      <c r="I1333" s="7" t="s">
        <v>292</v>
      </c>
      <c r="J1333" s="1">
        <v>4</v>
      </c>
      <c r="K1333" s="1">
        <v>5</v>
      </c>
      <c r="L1333" s="67">
        <f t="shared" si="41"/>
        <v>0</v>
      </c>
    </row>
    <row r="1334" spans="1:12" x14ac:dyDescent="0.2">
      <c r="A1334">
        <v>1333</v>
      </c>
      <c r="B1334" s="7" t="s">
        <v>356</v>
      </c>
      <c r="C1334" t="s">
        <v>1311</v>
      </c>
      <c r="D1334" s="65" t="str">
        <f t="shared" si="40"/>
        <v>Y</v>
      </c>
      <c r="E1334" t="s">
        <v>1315</v>
      </c>
      <c r="F1334" s="25" t="s">
        <v>293</v>
      </c>
      <c r="G1334" s="26">
        <v>2</v>
      </c>
      <c r="H1334" s="7" t="s">
        <v>293</v>
      </c>
      <c r="I1334" s="7" t="s">
        <v>296</v>
      </c>
      <c r="J1334" s="1">
        <v>2</v>
      </c>
      <c r="K1334" s="1">
        <v>6</v>
      </c>
      <c r="L1334" s="67">
        <f t="shared" si="41"/>
        <v>1</v>
      </c>
    </row>
    <row r="1335" spans="1:12" x14ac:dyDescent="0.2">
      <c r="A1335">
        <v>1334</v>
      </c>
      <c r="B1335" s="7" t="s">
        <v>356</v>
      </c>
      <c r="C1335" t="s">
        <v>1311</v>
      </c>
      <c r="D1335" s="65" t="str">
        <f t="shared" si="40"/>
        <v>Y</v>
      </c>
      <c r="E1335" t="s">
        <v>1315</v>
      </c>
      <c r="F1335" s="25" t="s">
        <v>293</v>
      </c>
      <c r="G1335" s="26">
        <v>2</v>
      </c>
      <c r="H1335" s="7" t="s">
        <v>293</v>
      </c>
      <c r="I1335" s="7" t="s">
        <v>296</v>
      </c>
      <c r="J1335" s="1">
        <v>2</v>
      </c>
      <c r="K1335" s="1">
        <v>6</v>
      </c>
      <c r="L1335" s="67">
        <f t="shared" si="41"/>
        <v>1</v>
      </c>
    </row>
    <row r="1336" spans="1:12" x14ac:dyDescent="0.2">
      <c r="A1336">
        <v>1335</v>
      </c>
      <c r="B1336" s="7" t="s">
        <v>372</v>
      </c>
      <c r="C1336" t="s">
        <v>1311</v>
      </c>
      <c r="D1336" s="65" t="str">
        <f t="shared" si="40"/>
        <v>Y</v>
      </c>
      <c r="E1336" t="s">
        <v>1315</v>
      </c>
      <c r="F1336" s="25" t="s">
        <v>293</v>
      </c>
      <c r="G1336" s="26">
        <v>2</v>
      </c>
      <c r="H1336" s="7" t="s">
        <v>293</v>
      </c>
      <c r="I1336" s="7" t="s">
        <v>296</v>
      </c>
      <c r="J1336" s="1">
        <v>2</v>
      </c>
      <c r="K1336" s="1">
        <v>6</v>
      </c>
      <c r="L1336" s="67">
        <f t="shared" si="41"/>
        <v>1</v>
      </c>
    </row>
    <row r="1337" spans="1:12" x14ac:dyDescent="0.2">
      <c r="A1337">
        <v>1336</v>
      </c>
      <c r="B1337" s="7" t="s">
        <v>372</v>
      </c>
      <c r="C1337" t="s">
        <v>1311</v>
      </c>
      <c r="D1337" s="65" t="str">
        <f t="shared" si="40"/>
        <v>Y</v>
      </c>
      <c r="E1337" t="s">
        <v>1315</v>
      </c>
      <c r="F1337" s="25" t="s">
        <v>293</v>
      </c>
      <c r="G1337" s="26">
        <v>2</v>
      </c>
      <c r="H1337" s="7" t="s">
        <v>299</v>
      </c>
      <c r="I1337" s="7" t="s">
        <v>296</v>
      </c>
      <c r="J1337" s="1">
        <v>4</v>
      </c>
      <c r="K1337" s="1">
        <v>6</v>
      </c>
      <c r="L1337" s="67">
        <f t="shared" si="41"/>
        <v>0</v>
      </c>
    </row>
    <row r="1338" spans="1:12" x14ac:dyDescent="0.2">
      <c r="A1338">
        <v>1337</v>
      </c>
      <c r="B1338" s="7" t="s">
        <v>356</v>
      </c>
      <c r="C1338" t="s">
        <v>1311</v>
      </c>
      <c r="D1338" s="65" t="str">
        <f t="shared" si="40"/>
        <v>Y</v>
      </c>
      <c r="E1338" t="s">
        <v>1315</v>
      </c>
      <c r="F1338" s="25" t="s">
        <v>293</v>
      </c>
      <c r="G1338" s="26">
        <v>2</v>
      </c>
      <c r="H1338" s="7" t="s">
        <v>293</v>
      </c>
      <c r="I1338" s="7" t="s">
        <v>296</v>
      </c>
      <c r="J1338" s="1">
        <v>2</v>
      </c>
      <c r="K1338" s="1">
        <v>6</v>
      </c>
      <c r="L1338" s="67">
        <f t="shared" si="41"/>
        <v>1</v>
      </c>
    </row>
    <row r="1339" spans="1:12" x14ac:dyDescent="0.2">
      <c r="A1339">
        <v>1338</v>
      </c>
      <c r="B1339" s="7" t="s">
        <v>356</v>
      </c>
      <c r="C1339" t="s">
        <v>1311</v>
      </c>
      <c r="D1339" s="65" t="str">
        <f t="shared" si="40"/>
        <v>Y</v>
      </c>
      <c r="E1339" t="s">
        <v>1315</v>
      </c>
      <c r="F1339" s="25" t="s">
        <v>293</v>
      </c>
      <c r="G1339" s="26">
        <v>2</v>
      </c>
      <c r="H1339" s="7" t="s">
        <v>293</v>
      </c>
      <c r="I1339" s="7" t="s">
        <v>296</v>
      </c>
      <c r="J1339" s="1">
        <v>2</v>
      </c>
      <c r="K1339" s="1">
        <v>6</v>
      </c>
      <c r="L1339" s="67">
        <f t="shared" si="41"/>
        <v>1</v>
      </c>
    </row>
    <row r="1340" spans="1:12" x14ac:dyDescent="0.2">
      <c r="A1340">
        <v>1339</v>
      </c>
      <c r="B1340" s="7" t="s">
        <v>372</v>
      </c>
      <c r="C1340" t="s">
        <v>1311</v>
      </c>
      <c r="D1340" s="65" t="str">
        <f t="shared" si="40"/>
        <v>Y</v>
      </c>
      <c r="E1340" t="s">
        <v>1315</v>
      </c>
      <c r="F1340" s="25" t="s">
        <v>293</v>
      </c>
      <c r="G1340" s="26">
        <v>2</v>
      </c>
      <c r="H1340" s="7" t="s">
        <v>293</v>
      </c>
      <c r="I1340" s="7" t="s">
        <v>297</v>
      </c>
      <c r="J1340" s="1">
        <v>2</v>
      </c>
      <c r="K1340" s="1">
        <v>4</v>
      </c>
      <c r="L1340" s="67">
        <f t="shared" si="41"/>
        <v>1</v>
      </c>
    </row>
    <row r="1341" spans="1:12" x14ac:dyDescent="0.2">
      <c r="A1341">
        <v>1340</v>
      </c>
      <c r="B1341" s="7" t="s">
        <v>356</v>
      </c>
      <c r="C1341" t="s">
        <v>1311</v>
      </c>
      <c r="D1341" s="65" t="str">
        <f t="shared" si="40"/>
        <v>Y</v>
      </c>
      <c r="E1341" t="s">
        <v>1315</v>
      </c>
      <c r="F1341" s="25" t="s">
        <v>293</v>
      </c>
      <c r="G1341" s="26">
        <v>2</v>
      </c>
      <c r="H1341" s="7" t="s">
        <v>293</v>
      </c>
      <c r="I1341" s="7" t="s">
        <v>296</v>
      </c>
      <c r="J1341" s="1">
        <v>2</v>
      </c>
      <c r="K1341" s="1">
        <v>6</v>
      </c>
      <c r="L1341" s="67">
        <f t="shared" si="41"/>
        <v>1</v>
      </c>
    </row>
    <row r="1342" spans="1:12" x14ac:dyDescent="0.2">
      <c r="A1342">
        <v>1341</v>
      </c>
      <c r="B1342" s="7" t="s">
        <v>372</v>
      </c>
      <c r="C1342" t="s">
        <v>1311</v>
      </c>
      <c r="D1342" s="65" t="str">
        <f t="shared" si="40"/>
        <v>Y</v>
      </c>
      <c r="E1342" t="s">
        <v>1315</v>
      </c>
      <c r="F1342" s="25" t="s">
        <v>293</v>
      </c>
      <c r="G1342" s="26">
        <v>2</v>
      </c>
      <c r="H1342" s="7" t="s">
        <v>299</v>
      </c>
      <c r="I1342" s="7" t="s">
        <v>296</v>
      </c>
      <c r="J1342" s="1">
        <v>4</v>
      </c>
      <c r="K1342" s="1">
        <v>6</v>
      </c>
      <c r="L1342" s="67">
        <f t="shared" si="41"/>
        <v>0</v>
      </c>
    </row>
    <row r="1343" spans="1:12" x14ac:dyDescent="0.2">
      <c r="A1343">
        <v>1342</v>
      </c>
      <c r="B1343" s="7" t="s">
        <v>356</v>
      </c>
      <c r="C1343" t="s">
        <v>1311</v>
      </c>
      <c r="D1343" s="65" t="str">
        <f t="shared" si="40"/>
        <v>Y</v>
      </c>
      <c r="E1343" t="s">
        <v>1315</v>
      </c>
      <c r="F1343" s="25" t="s">
        <v>293</v>
      </c>
      <c r="G1343" s="26">
        <v>2</v>
      </c>
      <c r="H1343" s="7" t="s">
        <v>293</v>
      </c>
      <c r="I1343" s="7" t="s">
        <v>296</v>
      </c>
      <c r="J1343" s="1">
        <v>2</v>
      </c>
      <c r="K1343" s="1">
        <v>6</v>
      </c>
      <c r="L1343" s="67">
        <f t="shared" si="41"/>
        <v>1</v>
      </c>
    </row>
    <row r="1344" spans="1:12" x14ac:dyDescent="0.2">
      <c r="A1344">
        <v>1343</v>
      </c>
      <c r="B1344" s="7" t="s">
        <v>372</v>
      </c>
      <c r="C1344" t="s">
        <v>1311</v>
      </c>
      <c r="D1344" s="65" t="str">
        <f t="shared" si="40"/>
        <v>Y</v>
      </c>
      <c r="E1344" t="s">
        <v>1315</v>
      </c>
      <c r="F1344" s="25" t="s">
        <v>293</v>
      </c>
      <c r="G1344" s="26">
        <v>2</v>
      </c>
      <c r="H1344" s="7" t="s">
        <v>299</v>
      </c>
      <c r="I1344" s="7" t="s">
        <v>292</v>
      </c>
      <c r="J1344" s="1">
        <v>4</v>
      </c>
      <c r="K1344" s="1">
        <v>5</v>
      </c>
      <c r="L1344" s="67">
        <f t="shared" si="41"/>
        <v>0</v>
      </c>
    </row>
    <row r="1345" spans="1:12" x14ac:dyDescent="0.2">
      <c r="A1345">
        <v>1344</v>
      </c>
      <c r="B1345" s="7" t="s">
        <v>356</v>
      </c>
      <c r="C1345" t="s">
        <v>1311</v>
      </c>
      <c r="D1345" s="65" t="str">
        <f t="shared" si="40"/>
        <v>Y</v>
      </c>
      <c r="E1345" t="s">
        <v>1315</v>
      </c>
      <c r="F1345" s="25" t="s">
        <v>299</v>
      </c>
      <c r="G1345" s="26">
        <v>4</v>
      </c>
      <c r="H1345" s="7" t="s">
        <v>299</v>
      </c>
      <c r="I1345" s="7" t="s">
        <v>296</v>
      </c>
      <c r="J1345" s="1">
        <v>4</v>
      </c>
      <c r="K1345" s="1">
        <v>6</v>
      </c>
      <c r="L1345" s="67">
        <f t="shared" si="41"/>
        <v>1</v>
      </c>
    </row>
    <row r="1346" spans="1:12" x14ac:dyDescent="0.2">
      <c r="A1346">
        <v>1345</v>
      </c>
      <c r="B1346" s="7" t="s">
        <v>372</v>
      </c>
      <c r="C1346" t="s">
        <v>1311</v>
      </c>
      <c r="D1346" s="65" t="str">
        <f t="shared" si="40"/>
        <v>Y</v>
      </c>
      <c r="E1346" t="s">
        <v>1315</v>
      </c>
      <c r="F1346" s="25" t="s">
        <v>299</v>
      </c>
      <c r="G1346" s="26">
        <v>4</v>
      </c>
      <c r="H1346" s="7" t="s">
        <v>298</v>
      </c>
      <c r="I1346" s="7" t="s">
        <v>292</v>
      </c>
      <c r="J1346" s="1">
        <v>3</v>
      </c>
      <c r="K1346" s="1">
        <v>5</v>
      </c>
      <c r="L1346" s="67">
        <f t="shared" si="41"/>
        <v>0</v>
      </c>
    </row>
    <row r="1347" spans="1:12" x14ac:dyDescent="0.2">
      <c r="A1347">
        <v>1346</v>
      </c>
      <c r="B1347" s="7" t="s">
        <v>372</v>
      </c>
      <c r="C1347" t="s">
        <v>1311</v>
      </c>
      <c r="D1347" s="65" t="str">
        <f t="shared" ref="D1347:D1410" si="42">IF($E1347="iso", "N", IF(OR($E1347="non", $E1347="emd", $E1347="dyn"), "Y", "ERROR"))</f>
        <v>Y</v>
      </c>
      <c r="E1347" t="s">
        <v>1315</v>
      </c>
      <c r="F1347" s="25" t="s">
        <v>299</v>
      </c>
      <c r="G1347" s="26">
        <v>4</v>
      </c>
      <c r="H1347" s="7" t="s">
        <v>299</v>
      </c>
      <c r="I1347" s="7" t="s">
        <v>297</v>
      </c>
      <c r="J1347" s="1">
        <v>4</v>
      </c>
      <c r="K1347" s="1">
        <v>4</v>
      </c>
      <c r="L1347" s="67">
        <f t="shared" ref="L1347:L1410" si="43">IF(G1347=J1347, 1, 0)</f>
        <v>1</v>
      </c>
    </row>
    <row r="1348" spans="1:12" x14ac:dyDescent="0.2">
      <c r="A1348">
        <v>1347</v>
      </c>
      <c r="B1348" s="7" t="s">
        <v>356</v>
      </c>
      <c r="C1348" t="s">
        <v>1311</v>
      </c>
      <c r="D1348" s="65" t="str">
        <f t="shared" si="42"/>
        <v>Y</v>
      </c>
      <c r="E1348" t="s">
        <v>1315</v>
      </c>
      <c r="F1348" s="25" t="s">
        <v>299</v>
      </c>
      <c r="G1348" s="26">
        <v>4</v>
      </c>
      <c r="H1348" s="7" t="s">
        <v>291</v>
      </c>
      <c r="I1348" s="7" t="s">
        <v>292</v>
      </c>
      <c r="J1348" s="1">
        <v>1</v>
      </c>
      <c r="K1348" s="1">
        <v>5</v>
      </c>
      <c r="L1348" s="67">
        <f t="shared" si="43"/>
        <v>0</v>
      </c>
    </row>
    <row r="1349" spans="1:12" x14ac:dyDescent="0.2">
      <c r="A1349">
        <v>1348</v>
      </c>
      <c r="B1349" s="7" t="s">
        <v>372</v>
      </c>
      <c r="C1349" t="s">
        <v>1311</v>
      </c>
      <c r="D1349" s="65" t="str">
        <f t="shared" si="42"/>
        <v>Y</v>
      </c>
      <c r="E1349" t="s">
        <v>1315</v>
      </c>
      <c r="F1349" s="25" t="s">
        <v>299</v>
      </c>
      <c r="G1349" s="26">
        <v>4</v>
      </c>
      <c r="H1349" s="7" t="s">
        <v>299</v>
      </c>
      <c r="I1349" s="7" t="s">
        <v>292</v>
      </c>
      <c r="J1349" s="1">
        <v>4</v>
      </c>
      <c r="K1349" s="1">
        <v>5</v>
      </c>
      <c r="L1349" s="67">
        <f t="shared" si="43"/>
        <v>1</v>
      </c>
    </row>
    <row r="1350" spans="1:12" x14ac:dyDescent="0.2">
      <c r="A1350">
        <v>1349</v>
      </c>
      <c r="B1350" s="7" t="s">
        <v>356</v>
      </c>
      <c r="C1350" t="s">
        <v>1311</v>
      </c>
      <c r="D1350" s="65" t="str">
        <f t="shared" si="42"/>
        <v>Y</v>
      </c>
      <c r="E1350" t="s">
        <v>1315</v>
      </c>
      <c r="F1350" s="25" t="s">
        <v>299</v>
      </c>
      <c r="G1350" s="26">
        <v>4</v>
      </c>
      <c r="H1350" s="7" t="s">
        <v>291</v>
      </c>
      <c r="I1350" s="7" t="s">
        <v>297</v>
      </c>
      <c r="J1350" s="1">
        <v>1</v>
      </c>
      <c r="K1350" s="1">
        <v>4</v>
      </c>
      <c r="L1350" s="67">
        <f t="shared" si="43"/>
        <v>0</v>
      </c>
    </row>
    <row r="1351" spans="1:12" x14ac:dyDescent="0.2">
      <c r="A1351">
        <v>1350</v>
      </c>
      <c r="B1351" s="7" t="s">
        <v>372</v>
      </c>
      <c r="C1351" t="s">
        <v>1311</v>
      </c>
      <c r="D1351" s="65" t="str">
        <f t="shared" si="42"/>
        <v>Y</v>
      </c>
      <c r="E1351" t="s">
        <v>1315</v>
      </c>
      <c r="F1351" s="25" t="s">
        <v>299</v>
      </c>
      <c r="G1351" s="26">
        <v>4</v>
      </c>
      <c r="H1351" s="7" t="s">
        <v>299</v>
      </c>
      <c r="I1351" s="7" t="s">
        <v>296</v>
      </c>
      <c r="J1351" s="1">
        <v>4</v>
      </c>
      <c r="K1351" s="1">
        <v>6</v>
      </c>
      <c r="L1351" s="67">
        <f t="shared" si="43"/>
        <v>1</v>
      </c>
    </row>
    <row r="1352" spans="1:12" x14ac:dyDescent="0.2">
      <c r="A1352">
        <v>1351</v>
      </c>
      <c r="B1352" s="7" t="s">
        <v>356</v>
      </c>
      <c r="C1352" t="s">
        <v>1311</v>
      </c>
      <c r="D1352" s="65" t="str">
        <f t="shared" si="42"/>
        <v>Y</v>
      </c>
      <c r="E1352" t="s">
        <v>1315</v>
      </c>
      <c r="F1352" s="25" t="s">
        <v>299</v>
      </c>
      <c r="G1352" s="26">
        <v>4</v>
      </c>
      <c r="H1352" s="7" t="s">
        <v>299</v>
      </c>
      <c r="I1352" s="7" t="s">
        <v>296</v>
      </c>
      <c r="J1352" s="1">
        <v>4</v>
      </c>
      <c r="K1352" s="1">
        <v>6</v>
      </c>
      <c r="L1352" s="67">
        <f t="shared" si="43"/>
        <v>1</v>
      </c>
    </row>
    <row r="1353" spans="1:12" x14ac:dyDescent="0.2">
      <c r="A1353">
        <v>1352</v>
      </c>
      <c r="B1353" s="7" t="s">
        <v>372</v>
      </c>
      <c r="C1353" t="s">
        <v>1311</v>
      </c>
      <c r="D1353" s="65" t="str">
        <f t="shared" si="42"/>
        <v>Y</v>
      </c>
      <c r="E1353" t="s">
        <v>1315</v>
      </c>
      <c r="F1353" s="25" t="s">
        <v>299</v>
      </c>
      <c r="G1353" s="26">
        <v>4</v>
      </c>
      <c r="H1353" s="7" t="s">
        <v>299</v>
      </c>
      <c r="I1353" s="7" t="s">
        <v>296</v>
      </c>
      <c r="J1353" s="1">
        <v>4</v>
      </c>
      <c r="K1353" s="1">
        <v>6</v>
      </c>
      <c r="L1353" s="67">
        <f t="shared" si="43"/>
        <v>1</v>
      </c>
    </row>
    <row r="1354" spans="1:12" x14ac:dyDescent="0.2">
      <c r="A1354">
        <v>1353</v>
      </c>
      <c r="B1354" s="7" t="s">
        <v>356</v>
      </c>
      <c r="C1354" t="s">
        <v>1311</v>
      </c>
      <c r="D1354" s="65" t="str">
        <f t="shared" si="42"/>
        <v>Y</v>
      </c>
      <c r="E1354" t="s">
        <v>1315</v>
      </c>
      <c r="F1354" s="25" t="s">
        <v>299</v>
      </c>
      <c r="G1354" s="26">
        <v>4</v>
      </c>
      <c r="H1354" s="7" t="s">
        <v>291</v>
      </c>
      <c r="I1354" s="7" t="s">
        <v>297</v>
      </c>
      <c r="J1354" s="1">
        <v>1</v>
      </c>
      <c r="K1354" s="1">
        <v>4</v>
      </c>
      <c r="L1354" s="67">
        <f t="shared" si="43"/>
        <v>0</v>
      </c>
    </row>
    <row r="1355" spans="1:12" x14ac:dyDescent="0.2">
      <c r="A1355">
        <v>1354</v>
      </c>
      <c r="B1355" s="7" t="s">
        <v>356</v>
      </c>
      <c r="C1355" t="s">
        <v>1311</v>
      </c>
      <c r="D1355" s="65" t="str">
        <f t="shared" si="42"/>
        <v>Y</v>
      </c>
      <c r="E1355" t="s">
        <v>1315</v>
      </c>
      <c r="F1355" s="25" t="s">
        <v>299</v>
      </c>
      <c r="G1355" s="26">
        <v>4</v>
      </c>
      <c r="H1355" s="7" t="s">
        <v>299</v>
      </c>
      <c r="I1355" s="7" t="s">
        <v>296</v>
      </c>
      <c r="J1355" s="1">
        <v>4</v>
      </c>
      <c r="K1355" s="1">
        <v>6</v>
      </c>
      <c r="L1355" s="67">
        <f t="shared" si="43"/>
        <v>1</v>
      </c>
    </row>
    <row r="1356" spans="1:12" x14ac:dyDescent="0.2">
      <c r="A1356">
        <v>1355</v>
      </c>
      <c r="B1356" s="7" t="s">
        <v>372</v>
      </c>
      <c r="C1356" t="s">
        <v>1311</v>
      </c>
      <c r="D1356" s="65" t="str">
        <f t="shared" si="42"/>
        <v>Y</v>
      </c>
      <c r="E1356" t="s">
        <v>1315</v>
      </c>
      <c r="F1356" s="25" t="s">
        <v>299</v>
      </c>
      <c r="G1356" s="26">
        <v>4</v>
      </c>
      <c r="H1356" s="7" t="s">
        <v>299</v>
      </c>
      <c r="I1356" s="7" t="s">
        <v>296</v>
      </c>
      <c r="J1356" s="1">
        <v>4</v>
      </c>
      <c r="K1356" s="1">
        <v>6</v>
      </c>
      <c r="L1356" s="67">
        <f t="shared" si="43"/>
        <v>1</v>
      </c>
    </row>
    <row r="1357" spans="1:12" x14ac:dyDescent="0.2">
      <c r="A1357">
        <v>1356</v>
      </c>
      <c r="B1357" s="7" t="s">
        <v>356</v>
      </c>
      <c r="C1357" t="s">
        <v>1311</v>
      </c>
      <c r="D1357" s="65" t="str">
        <f t="shared" si="42"/>
        <v>Y</v>
      </c>
      <c r="E1357" t="s">
        <v>1315</v>
      </c>
      <c r="F1357" s="25" t="s">
        <v>299</v>
      </c>
      <c r="G1357" s="26">
        <v>4</v>
      </c>
      <c r="H1357" s="7" t="s">
        <v>291</v>
      </c>
      <c r="I1357" s="7" t="s">
        <v>296</v>
      </c>
      <c r="J1357" s="1">
        <v>1</v>
      </c>
      <c r="K1357" s="1">
        <v>6</v>
      </c>
      <c r="L1357" s="67">
        <f t="shared" si="43"/>
        <v>0</v>
      </c>
    </row>
    <row r="1358" spans="1:12" x14ac:dyDescent="0.2">
      <c r="A1358">
        <v>1357</v>
      </c>
      <c r="B1358" s="7" t="s">
        <v>372</v>
      </c>
      <c r="C1358" t="s">
        <v>1311</v>
      </c>
      <c r="D1358" s="65" t="str">
        <f t="shared" si="42"/>
        <v>Y</v>
      </c>
      <c r="E1358" t="s">
        <v>1315</v>
      </c>
      <c r="F1358" s="25" t="s">
        <v>299</v>
      </c>
      <c r="G1358" s="26">
        <v>4</v>
      </c>
      <c r="H1358" s="7" t="s">
        <v>299</v>
      </c>
      <c r="I1358" s="7" t="s">
        <v>297</v>
      </c>
      <c r="J1358" s="1">
        <v>4</v>
      </c>
      <c r="K1358" s="1">
        <v>4</v>
      </c>
      <c r="L1358" s="67">
        <f t="shared" si="43"/>
        <v>1</v>
      </c>
    </row>
    <row r="1359" spans="1:12" x14ac:dyDescent="0.2">
      <c r="A1359">
        <v>1358</v>
      </c>
      <c r="B1359" s="7" t="s">
        <v>356</v>
      </c>
      <c r="C1359" t="s">
        <v>1311</v>
      </c>
      <c r="D1359" s="65" t="str">
        <f t="shared" si="42"/>
        <v>Y</v>
      </c>
      <c r="E1359" t="s">
        <v>1315</v>
      </c>
      <c r="F1359" s="25" t="s">
        <v>299</v>
      </c>
      <c r="G1359" s="26">
        <v>4</v>
      </c>
      <c r="H1359" s="7" t="s">
        <v>299</v>
      </c>
      <c r="I1359" s="7" t="s">
        <v>292</v>
      </c>
      <c r="J1359" s="1">
        <v>4</v>
      </c>
      <c r="K1359" s="1">
        <v>5</v>
      </c>
      <c r="L1359" s="67">
        <f t="shared" si="43"/>
        <v>1</v>
      </c>
    </row>
    <row r="1360" spans="1:12" x14ac:dyDescent="0.2">
      <c r="A1360">
        <v>1359</v>
      </c>
      <c r="B1360" s="7" t="s">
        <v>372</v>
      </c>
      <c r="C1360" t="s">
        <v>1311</v>
      </c>
      <c r="D1360" s="65" t="str">
        <f t="shared" si="42"/>
        <v>Y</v>
      </c>
      <c r="E1360" t="s">
        <v>1315</v>
      </c>
      <c r="F1360" s="25" t="s">
        <v>299</v>
      </c>
      <c r="G1360" s="26">
        <v>4</v>
      </c>
      <c r="H1360" s="7" t="s">
        <v>299</v>
      </c>
      <c r="I1360" s="7" t="s">
        <v>292</v>
      </c>
      <c r="J1360" s="1">
        <v>4</v>
      </c>
      <c r="K1360" s="1">
        <v>5</v>
      </c>
      <c r="L1360" s="67">
        <f t="shared" si="43"/>
        <v>1</v>
      </c>
    </row>
    <row r="1361" spans="1:12" x14ac:dyDescent="0.2">
      <c r="A1361">
        <v>1360</v>
      </c>
      <c r="B1361" s="7" t="s">
        <v>372</v>
      </c>
      <c r="C1361" t="s">
        <v>1311</v>
      </c>
      <c r="D1361" s="65" t="str">
        <f t="shared" si="42"/>
        <v>Y</v>
      </c>
      <c r="E1361" t="s">
        <v>1315</v>
      </c>
      <c r="F1361" s="25" t="s">
        <v>299</v>
      </c>
      <c r="G1361" s="26">
        <v>4</v>
      </c>
      <c r="H1361" s="7" t="s">
        <v>299</v>
      </c>
      <c r="I1361" s="7" t="s">
        <v>296</v>
      </c>
      <c r="J1361" s="1">
        <v>4</v>
      </c>
      <c r="K1361" s="1">
        <v>6</v>
      </c>
      <c r="L1361" s="67">
        <f t="shared" si="43"/>
        <v>1</v>
      </c>
    </row>
    <row r="1362" spans="1:12" x14ac:dyDescent="0.2">
      <c r="A1362">
        <v>1361</v>
      </c>
      <c r="B1362" s="7" t="s">
        <v>356</v>
      </c>
      <c r="C1362" t="s">
        <v>1311</v>
      </c>
      <c r="D1362" s="65" t="str">
        <f t="shared" si="42"/>
        <v>Y</v>
      </c>
      <c r="E1362" t="s">
        <v>1315</v>
      </c>
      <c r="F1362" s="25" t="s">
        <v>299</v>
      </c>
      <c r="G1362" s="26">
        <v>4</v>
      </c>
      <c r="H1362" s="7" t="s">
        <v>299</v>
      </c>
      <c r="I1362" s="7" t="s">
        <v>296</v>
      </c>
      <c r="J1362" s="1">
        <v>4</v>
      </c>
      <c r="K1362" s="1">
        <v>6</v>
      </c>
      <c r="L1362" s="67">
        <f t="shared" si="43"/>
        <v>1</v>
      </c>
    </row>
    <row r="1363" spans="1:12" x14ac:dyDescent="0.2">
      <c r="A1363">
        <v>1362</v>
      </c>
      <c r="B1363" s="7" t="s">
        <v>356</v>
      </c>
      <c r="C1363" t="s">
        <v>1311</v>
      </c>
      <c r="D1363" s="65" t="str">
        <f t="shared" si="42"/>
        <v>Y</v>
      </c>
      <c r="E1363" t="s">
        <v>1315</v>
      </c>
      <c r="F1363" s="25" t="s">
        <v>299</v>
      </c>
      <c r="G1363" s="26">
        <v>4</v>
      </c>
      <c r="H1363" s="7" t="s">
        <v>293</v>
      </c>
      <c r="I1363" s="7" t="s">
        <v>297</v>
      </c>
      <c r="J1363" s="1">
        <v>2</v>
      </c>
      <c r="K1363" s="1">
        <v>4</v>
      </c>
      <c r="L1363" s="67">
        <f t="shared" si="43"/>
        <v>0</v>
      </c>
    </row>
    <row r="1364" spans="1:12" x14ac:dyDescent="0.2">
      <c r="A1364">
        <v>1363</v>
      </c>
      <c r="B1364" s="7" t="s">
        <v>372</v>
      </c>
      <c r="C1364" t="s">
        <v>1311</v>
      </c>
      <c r="D1364" s="65" t="str">
        <f t="shared" si="42"/>
        <v>Y</v>
      </c>
      <c r="E1364" t="s">
        <v>1315</v>
      </c>
      <c r="F1364" s="25" t="s">
        <v>299</v>
      </c>
      <c r="G1364" s="26">
        <v>4</v>
      </c>
      <c r="H1364" s="7" t="s">
        <v>298</v>
      </c>
      <c r="I1364" s="7" t="s">
        <v>297</v>
      </c>
      <c r="J1364" s="1">
        <v>3</v>
      </c>
      <c r="K1364" s="1">
        <v>4</v>
      </c>
      <c r="L1364" s="67">
        <f t="shared" si="43"/>
        <v>0</v>
      </c>
    </row>
    <row r="1365" spans="1:12" x14ac:dyDescent="0.2">
      <c r="A1365">
        <v>1364</v>
      </c>
      <c r="B1365" s="7" t="s">
        <v>356</v>
      </c>
      <c r="C1365" t="s">
        <v>1311</v>
      </c>
      <c r="D1365" s="65" t="str">
        <f t="shared" si="42"/>
        <v>Y</v>
      </c>
      <c r="E1365" t="s">
        <v>1315</v>
      </c>
      <c r="F1365" s="25" t="s">
        <v>299</v>
      </c>
      <c r="G1365" s="26">
        <v>4</v>
      </c>
      <c r="H1365" s="7" t="s">
        <v>293</v>
      </c>
      <c r="I1365" s="7" t="s">
        <v>292</v>
      </c>
      <c r="J1365" s="1">
        <v>2</v>
      </c>
      <c r="K1365" s="1">
        <v>5</v>
      </c>
      <c r="L1365" s="67">
        <f t="shared" si="43"/>
        <v>0</v>
      </c>
    </row>
    <row r="1366" spans="1:12" x14ac:dyDescent="0.2">
      <c r="A1366">
        <v>1365</v>
      </c>
      <c r="B1366" s="7" t="s">
        <v>356</v>
      </c>
      <c r="C1366" t="s">
        <v>1311</v>
      </c>
      <c r="D1366" s="65" t="str">
        <f t="shared" si="42"/>
        <v>Y</v>
      </c>
      <c r="E1366" t="s">
        <v>1315</v>
      </c>
      <c r="F1366" s="25" t="s">
        <v>299</v>
      </c>
      <c r="G1366" s="26">
        <v>4</v>
      </c>
      <c r="H1366" s="7" t="s">
        <v>299</v>
      </c>
      <c r="I1366" s="7" t="s">
        <v>292</v>
      </c>
      <c r="J1366" s="1">
        <v>4</v>
      </c>
      <c r="K1366" s="1">
        <v>5</v>
      </c>
      <c r="L1366" s="67">
        <f t="shared" si="43"/>
        <v>1</v>
      </c>
    </row>
    <row r="1367" spans="1:12" x14ac:dyDescent="0.2">
      <c r="A1367">
        <v>1366</v>
      </c>
      <c r="B1367" s="7" t="s">
        <v>372</v>
      </c>
      <c r="C1367" t="s">
        <v>1311</v>
      </c>
      <c r="D1367" s="65" t="str">
        <f t="shared" si="42"/>
        <v>Y</v>
      </c>
      <c r="E1367" t="s">
        <v>1315</v>
      </c>
      <c r="F1367" s="25" t="s">
        <v>299</v>
      </c>
      <c r="G1367" s="26">
        <v>4</v>
      </c>
      <c r="H1367" s="7" t="s">
        <v>299</v>
      </c>
      <c r="I1367" s="7" t="s">
        <v>294</v>
      </c>
      <c r="J1367" s="1">
        <v>4</v>
      </c>
      <c r="K1367" s="1">
        <v>7</v>
      </c>
      <c r="L1367" s="67">
        <f t="shared" si="43"/>
        <v>1</v>
      </c>
    </row>
    <row r="1368" spans="1:12" x14ac:dyDescent="0.2">
      <c r="A1368">
        <v>1367</v>
      </c>
      <c r="B1368" s="7" t="s">
        <v>372</v>
      </c>
      <c r="C1368" t="s">
        <v>1311</v>
      </c>
      <c r="D1368" s="65" t="str">
        <f t="shared" si="42"/>
        <v>Y</v>
      </c>
      <c r="E1368" t="s">
        <v>1315</v>
      </c>
      <c r="F1368" s="25" t="s">
        <v>299</v>
      </c>
      <c r="G1368" s="26">
        <v>4</v>
      </c>
      <c r="H1368" s="7" t="s">
        <v>291</v>
      </c>
      <c r="I1368" s="7" t="s">
        <v>296</v>
      </c>
      <c r="J1368" s="1">
        <v>1</v>
      </c>
      <c r="K1368" s="1">
        <v>6</v>
      </c>
      <c r="L1368" s="67">
        <f t="shared" si="43"/>
        <v>0</v>
      </c>
    </row>
    <row r="1369" spans="1:12" x14ac:dyDescent="0.2">
      <c r="A1369">
        <v>1368</v>
      </c>
      <c r="B1369" s="7" t="s">
        <v>356</v>
      </c>
      <c r="C1369" t="s">
        <v>1311</v>
      </c>
      <c r="D1369" s="65" t="str">
        <f t="shared" si="42"/>
        <v>Y</v>
      </c>
      <c r="E1369" t="s">
        <v>1315</v>
      </c>
      <c r="F1369" s="25" t="s">
        <v>299</v>
      </c>
      <c r="G1369" s="26">
        <v>4</v>
      </c>
      <c r="H1369" s="7" t="s">
        <v>291</v>
      </c>
      <c r="I1369" s="7" t="s">
        <v>296</v>
      </c>
      <c r="J1369" s="1">
        <v>1</v>
      </c>
      <c r="K1369" s="1">
        <v>6</v>
      </c>
      <c r="L1369" s="67">
        <f t="shared" si="43"/>
        <v>0</v>
      </c>
    </row>
    <row r="1370" spans="1:12" x14ac:dyDescent="0.2">
      <c r="A1370">
        <v>1369</v>
      </c>
      <c r="B1370" s="7" t="s">
        <v>356</v>
      </c>
      <c r="C1370" t="s">
        <v>1311</v>
      </c>
      <c r="D1370" s="65" t="str">
        <f t="shared" si="42"/>
        <v>Y</v>
      </c>
      <c r="E1370" t="s">
        <v>1315</v>
      </c>
      <c r="F1370" s="25" t="s">
        <v>299</v>
      </c>
      <c r="G1370" s="26">
        <v>4</v>
      </c>
      <c r="H1370" s="7" t="s">
        <v>299</v>
      </c>
      <c r="I1370" s="7" t="s">
        <v>296</v>
      </c>
      <c r="J1370" s="1">
        <v>4</v>
      </c>
      <c r="K1370" s="1">
        <v>6</v>
      </c>
      <c r="L1370" s="67">
        <f t="shared" si="43"/>
        <v>1</v>
      </c>
    </row>
    <row r="1371" spans="1:12" x14ac:dyDescent="0.2">
      <c r="A1371">
        <v>1370</v>
      </c>
      <c r="B1371" s="7" t="s">
        <v>372</v>
      </c>
      <c r="C1371" t="s">
        <v>1311</v>
      </c>
      <c r="D1371" s="65" t="str">
        <f t="shared" si="42"/>
        <v>Y</v>
      </c>
      <c r="E1371" t="s">
        <v>1315</v>
      </c>
      <c r="F1371" s="25" t="s">
        <v>299</v>
      </c>
      <c r="G1371" s="26">
        <v>4</v>
      </c>
      <c r="H1371" s="7" t="s">
        <v>299</v>
      </c>
      <c r="I1371" s="7" t="s">
        <v>296</v>
      </c>
      <c r="J1371" s="1">
        <v>4</v>
      </c>
      <c r="K1371" s="1">
        <v>6</v>
      </c>
      <c r="L1371" s="67">
        <f t="shared" si="43"/>
        <v>1</v>
      </c>
    </row>
    <row r="1372" spans="1:12" x14ac:dyDescent="0.2">
      <c r="A1372">
        <v>1371</v>
      </c>
      <c r="B1372" s="7" t="s">
        <v>356</v>
      </c>
      <c r="C1372" t="s">
        <v>1311</v>
      </c>
      <c r="D1372" s="65" t="str">
        <f t="shared" si="42"/>
        <v>Y</v>
      </c>
      <c r="E1372" t="s">
        <v>1315</v>
      </c>
      <c r="F1372" s="25" t="s">
        <v>299</v>
      </c>
      <c r="G1372" s="26">
        <v>4</v>
      </c>
      <c r="H1372" s="7" t="s">
        <v>299</v>
      </c>
      <c r="I1372" s="7" t="s">
        <v>292</v>
      </c>
      <c r="J1372" s="1">
        <v>4</v>
      </c>
      <c r="K1372" s="1">
        <v>5</v>
      </c>
      <c r="L1372" s="67">
        <f t="shared" si="43"/>
        <v>1</v>
      </c>
    </row>
    <row r="1373" spans="1:12" x14ac:dyDescent="0.2">
      <c r="A1373">
        <v>1372</v>
      </c>
      <c r="B1373" s="7" t="s">
        <v>372</v>
      </c>
      <c r="C1373" t="s">
        <v>1311</v>
      </c>
      <c r="D1373" s="65" t="str">
        <f t="shared" si="42"/>
        <v>Y</v>
      </c>
      <c r="E1373" t="s">
        <v>1315</v>
      </c>
      <c r="F1373" s="25" t="s">
        <v>299</v>
      </c>
      <c r="G1373" s="26">
        <v>4</v>
      </c>
      <c r="H1373" s="7" t="s">
        <v>291</v>
      </c>
      <c r="I1373" s="7" t="s">
        <v>297</v>
      </c>
      <c r="J1373" s="1">
        <v>1</v>
      </c>
      <c r="K1373" s="1">
        <v>4</v>
      </c>
      <c r="L1373" s="67">
        <f t="shared" si="43"/>
        <v>0</v>
      </c>
    </row>
    <row r="1374" spans="1:12" x14ac:dyDescent="0.2">
      <c r="A1374">
        <v>1373</v>
      </c>
      <c r="B1374" s="7" t="s">
        <v>356</v>
      </c>
      <c r="C1374" t="s">
        <v>1311</v>
      </c>
      <c r="D1374" s="65" t="str">
        <f t="shared" si="42"/>
        <v>Y</v>
      </c>
      <c r="E1374" t="s">
        <v>1315</v>
      </c>
      <c r="F1374" s="25" t="s">
        <v>299</v>
      </c>
      <c r="G1374" s="26">
        <v>4</v>
      </c>
      <c r="H1374" s="7" t="s">
        <v>291</v>
      </c>
      <c r="I1374" s="7" t="s">
        <v>292</v>
      </c>
      <c r="J1374" s="1">
        <v>1</v>
      </c>
      <c r="K1374" s="1">
        <v>5</v>
      </c>
      <c r="L1374" s="67">
        <f t="shared" si="43"/>
        <v>0</v>
      </c>
    </row>
    <row r="1375" spans="1:12" x14ac:dyDescent="0.2">
      <c r="A1375">
        <v>1374</v>
      </c>
      <c r="B1375" s="7" t="s">
        <v>372</v>
      </c>
      <c r="C1375" t="s">
        <v>1311</v>
      </c>
      <c r="D1375" s="65" t="str">
        <f t="shared" si="42"/>
        <v>Y</v>
      </c>
      <c r="E1375" t="s">
        <v>1315</v>
      </c>
      <c r="F1375" s="25" t="s">
        <v>299</v>
      </c>
      <c r="G1375" s="26">
        <v>4</v>
      </c>
      <c r="H1375" s="7" t="s">
        <v>299</v>
      </c>
      <c r="I1375" s="7" t="s">
        <v>296</v>
      </c>
      <c r="J1375" s="1">
        <v>4</v>
      </c>
      <c r="K1375" s="1">
        <v>6</v>
      </c>
      <c r="L1375" s="67">
        <f t="shared" si="43"/>
        <v>1</v>
      </c>
    </row>
    <row r="1376" spans="1:12" x14ac:dyDescent="0.2">
      <c r="A1376">
        <v>1375</v>
      </c>
      <c r="B1376" s="7" t="s">
        <v>356</v>
      </c>
      <c r="C1376" t="s">
        <v>1311</v>
      </c>
      <c r="D1376" s="65" t="str">
        <f t="shared" si="42"/>
        <v>Y</v>
      </c>
      <c r="E1376" t="s">
        <v>1315</v>
      </c>
      <c r="F1376" s="25" t="s">
        <v>299</v>
      </c>
      <c r="G1376" s="26">
        <v>4</v>
      </c>
      <c r="H1376" s="7" t="s">
        <v>291</v>
      </c>
      <c r="I1376" s="7" t="s">
        <v>297</v>
      </c>
      <c r="J1376" s="1">
        <v>1</v>
      </c>
      <c r="K1376" s="1">
        <v>4</v>
      </c>
      <c r="L1376" s="67">
        <f t="shared" si="43"/>
        <v>0</v>
      </c>
    </row>
    <row r="1377" spans="1:12" x14ac:dyDescent="0.2">
      <c r="A1377">
        <v>1376</v>
      </c>
      <c r="B1377" s="7" t="s">
        <v>356</v>
      </c>
      <c r="C1377" t="s">
        <v>1311</v>
      </c>
      <c r="D1377" s="65" t="str">
        <f t="shared" si="42"/>
        <v>Y</v>
      </c>
      <c r="E1377" t="s">
        <v>1315</v>
      </c>
      <c r="F1377" s="25" t="s">
        <v>299</v>
      </c>
      <c r="G1377" s="26">
        <v>4</v>
      </c>
      <c r="H1377" s="7" t="s">
        <v>291</v>
      </c>
      <c r="I1377" s="7" t="s">
        <v>292</v>
      </c>
      <c r="J1377" s="1">
        <v>1</v>
      </c>
      <c r="K1377" s="1">
        <v>5</v>
      </c>
      <c r="L1377" s="67">
        <f t="shared" si="43"/>
        <v>0</v>
      </c>
    </row>
    <row r="1378" spans="1:12" x14ac:dyDescent="0.2">
      <c r="A1378">
        <v>1377</v>
      </c>
      <c r="B1378" s="7" t="s">
        <v>372</v>
      </c>
      <c r="C1378" t="s">
        <v>1311</v>
      </c>
      <c r="D1378" s="65" t="str">
        <f t="shared" si="42"/>
        <v>Y</v>
      </c>
      <c r="E1378" t="s">
        <v>1315</v>
      </c>
      <c r="F1378" s="25" t="s">
        <v>299</v>
      </c>
      <c r="G1378" s="26">
        <v>4</v>
      </c>
      <c r="H1378" s="7" t="s">
        <v>291</v>
      </c>
      <c r="I1378" s="7" t="s">
        <v>294</v>
      </c>
      <c r="J1378" s="1">
        <v>1</v>
      </c>
      <c r="K1378" s="1">
        <v>7</v>
      </c>
      <c r="L1378" s="67">
        <f t="shared" si="43"/>
        <v>0</v>
      </c>
    </row>
    <row r="1379" spans="1:12" x14ac:dyDescent="0.2">
      <c r="A1379">
        <v>1378</v>
      </c>
      <c r="B1379" s="7" t="s">
        <v>372</v>
      </c>
      <c r="C1379" t="s">
        <v>1311</v>
      </c>
      <c r="D1379" s="65" t="str">
        <f t="shared" si="42"/>
        <v>Y</v>
      </c>
      <c r="E1379" t="s">
        <v>1315</v>
      </c>
      <c r="F1379" s="25" t="s">
        <v>299</v>
      </c>
      <c r="G1379" s="26">
        <v>4</v>
      </c>
      <c r="H1379" s="7" t="s">
        <v>299</v>
      </c>
      <c r="I1379" s="7" t="s">
        <v>292</v>
      </c>
      <c r="J1379" s="1">
        <v>4</v>
      </c>
      <c r="K1379" s="1">
        <v>5</v>
      </c>
      <c r="L1379" s="67">
        <f t="shared" si="43"/>
        <v>1</v>
      </c>
    </row>
    <row r="1380" spans="1:12" x14ac:dyDescent="0.2">
      <c r="A1380">
        <v>1379</v>
      </c>
      <c r="B1380" s="7" t="s">
        <v>356</v>
      </c>
      <c r="C1380" t="s">
        <v>1311</v>
      </c>
      <c r="D1380" s="65" t="str">
        <f t="shared" si="42"/>
        <v>Y</v>
      </c>
      <c r="E1380" t="s">
        <v>1315</v>
      </c>
      <c r="F1380" s="25" t="s">
        <v>299</v>
      </c>
      <c r="G1380" s="26">
        <v>4</v>
      </c>
      <c r="H1380" s="7" t="s">
        <v>299</v>
      </c>
      <c r="I1380" s="7" t="s">
        <v>296</v>
      </c>
      <c r="J1380" s="1">
        <v>4</v>
      </c>
      <c r="K1380" s="1">
        <v>6</v>
      </c>
      <c r="L1380" s="67">
        <f t="shared" si="43"/>
        <v>1</v>
      </c>
    </row>
    <row r="1381" spans="1:12" x14ac:dyDescent="0.2">
      <c r="A1381">
        <v>1380</v>
      </c>
      <c r="B1381" s="7" t="s">
        <v>372</v>
      </c>
      <c r="C1381" t="s">
        <v>1311</v>
      </c>
      <c r="D1381" s="65" t="str">
        <f t="shared" si="42"/>
        <v>Y</v>
      </c>
      <c r="E1381" t="s">
        <v>1315</v>
      </c>
      <c r="F1381" s="25" t="s">
        <v>299</v>
      </c>
      <c r="G1381" s="26">
        <v>4</v>
      </c>
      <c r="H1381" s="7" t="s">
        <v>299</v>
      </c>
      <c r="I1381" s="7" t="s">
        <v>296</v>
      </c>
      <c r="J1381" s="1">
        <v>4</v>
      </c>
      <c r="K1381" s="1">
        <v>6</v>
      </c>
      <c r="L1381" s="67">
        <f t="shared" si="43"/>
        <v>1</v>
      </c>
    </row>
    <row r="1382" spans="1:12" x14ac:dyDescent="0.2">
      <c r="A1382">
        <v>1381</v>
      </c>
      <c r="B1382" s="7" t="s">
        <v>372</v>
      </c>
      <c r="C1382" t="s">
        <v>1311</v>
      </c>
      <c r="D1382" s="65" t="str">
        <f t="shared" si="42"/>
        <v>Y</v>
      </c>
      <c r="E1382" t="s">
        <v>1315</v>
      </c>
      <c r="F1382" s="25" t="s">
        <v>299</v>
      </c>
      <c r="G1382" s="26">
        <v>4</v>
      </c>
      <c r="H1382" s="7" t="s">
        <v>299</v>
      </c>
      <c r="I1382" s="7" t="s">
        <v>297</v>
      </c>
      <c r="J1382" s="1">
        <v>4</v>
      </c>
      <c r="K1382" s="1">
        <v>4</v>
      </c>
      <c r="L1382" s="67">
        <f t="shared" si="43"/>
        <v>1</v>
      </c>
    </row>
    <row r="1383" spans="1:12" x14ac:dyDescent="0.2">
      <c r="A1383">
        <v>1382</v>
      </c>
      <c r="B1383" s="7" t="s">
        <v>372</v>
      </c>
      <c r="C1383" t="s">
        <v>1311</v>
      </c>
      <c r="D1383" s="65" t="str">
        <f t="shared" si="42"/>
        <v>Y</v>
      </c>
      <c r="E1383" t="s">
        <v>1315</v>
      </c>
      <c r="F1383" s="25" t="s">
        <v>299</v>
      </c>
      <c r="G1383" s="26">
        <v>4</v>
      </c>
      <c r="H1383" s="7" t="s">
        <v>298</v>
      </c>
      <c r="I1383" s="7" t="s">
        <v>297</v>
      </c>
      <c r="J1383" s="1">
        <v>3</v>
      </c>
      <c r="K1383" s="1">
        <v>4</v>
      </c>
      <c r="L1383" s="67">
        <f t="shared" si="43"/>
        <v>0</v>
      </c>
    </row>
    <row r="1384" spans="1:12" x14ac:dyDescent="0.2">
      <c r="A1384">
        <v>1383</v>
      </c>
      <c r="B1384" s="7" t="s">
        <v>356</v>
      </c>
      <c r="C1384" t="s">
        <v>1311</v>
      </c>
      <c r="D1384" s="65" t="str">
        <f t="shared" si="42"/>
        <v>Y</v>
      </c>
      <c r="E1384" t="s">
        <v>1315</v>
      </c>
      <c r="F1384" s="25" t="s">
        <v>299</v>
      </c>
      <c r="G1384" s="26">
        <v>4</v>
      </c>
      <c r="H1384" s="7" t="s">
        <v>299</v>
      </c>
      <c r="I1384" s="7" t="s">
        <v>292</v>
      </c>
      <c r="J1384" s="1">
        <v>4</v>
      </c>
      <c r="K1384" s="1">
        <v>5</v>
      </c>
      <c r="L1384" s="67">
        <f t="shared" si="43"/>
        <v>1</v>
      </c>
    </row>
    <row r="1385" spans="1:12" x14ac:dyDescent="0.2">
      <c r="A1385">
        <v>1384</v>
      </c>
      <c r="B1385" s="7" t="s">
        <v>372</v>
      </c>
      <c r="C1385" t="s">
        <v>1311</v>
      </c>
      <c r="D1385" s="65" t="str">
        <f t="shared" si="42"/>
        <v>Y</v>
      </c>
      <c r="E1385" t="s">
        <v>1315</v>
      </c>
      <c r="F1385" s="25" t="s">
        <v>299</v>
      </c>
      <c r="G1385" s="26">
        <v>4</v>
      </c>
      <c r="H1385" s="7" t="s">
        <v>299</v>
      </c>
      <c r="I1385" s="7" t="s">
        <v>297</v>
      </c>
      <c r="J1385" s="1">
        <v>4</v>
      </c>
      <c r="K1385" s="1">
        <v>4</v>
      </c>
      <c r="L1385" s="67">
        <f t="shared" si="43"/>
        <v>1</v>
      </c>
    </row>
    <row r="1386" spans="1:12" x14ac:dyDescent="0.2">
      <c r="A1386">
        <v>1385</v>
      </c>
      <c r="B1386" s="7" t="s">
        <v>356</v>
      </c>
      <c r="C1386" t="s">
        <v>1311</v>
      </c>
      <c r="D1386" s="65" t="str">
        <f t="shared" si="42"/>
        <v>Y</v>
      </c>
      <c r="E1386" t="s">
        <v>1315</v>
      </c>
      <c r="F1386" s="25" t="s">
        <v>299</v>
      </c>
      <c r="G1386" s="26">
        <v>4</v>
      </c>
      <c r="H1386" s="7" t="s">
        <v>299</v>
      </c>
      <c r="I1386" s="7" t="s">
        <v>292</v>
      </c>
      <c r="J1386" s="1">
        <v>4</v>
      </c>
      <c r="K1386" s="1">
        <v>5</v>
      </c>
      <c r="L1386" s="67">
        <f t="shared" si="43"/>
        <v>1</v>
      </c>
    </row>
    <row r="1387" spans="1:12" x14ac:dyDescent="0.2">
      <c r="A1387">
        <v>1386</v>
      </c>
      <c r="B1387" s="7" t="s">
        <v>356</v>
      </c>
      <c r="C1387" t="s">
        <v>1311</v>
      </c>
      <c r="D1387" s="65" t="str">
        <f t="shared" si="42"/>
        <v>Y</v>
      </c>
      <c r="E1387" t="s">
        <v>1315</v>
      </c>
      <c r="F1387" s="25" t="s">
        <v>299</v>
      </c>
      <c r="G1387" s="26">
        <v>4</v>
      </c>
      <c r="H1387" s="7" t="s">
        <v>299</v>
      </c>
      <c r="I1387" s="7" t="s">
        <v>292</v>
      </c>
      <c r="J1387" s="1">
        <v>4</v>
      </c>
      <c r="K1387" s="1">
        <v>5</v>
      </c>
      <c r="L1387" s="67">
        <f t="shared" si="43"/>
        <v>1</v>
      </c>
    </row>
    <row r="1388" spans="1:12" x14ac:dyDescent="0.2">
      <c r="A1388">
        <v>1387</v>
      </c>
      <c r="B1388" s="7" t="s">
        <v>372</v>
      </c>
      <c r="C1388" t="s">
        <v>1311</v>
      </c>
      <c r="D1388" s="65" t="str">
        <f t="shared" si="42"/>
        <v>Y</v>
      </c>
      <c r="E1388" t="s">
        <v>1315</v>
      </c>
      <c r="F1388" s="25" t="s">
        <v>299</v>
      </c>
      <c r="G1388" s="26">
        <v>4</v>
      </c>
      <c r="H1388" s="7" t="s">
        <v>291</v>
      </c>
      <c r="I1388" s="7" t="s">
        <v>296</v>
      </c>
      <c r="J1388" s="1">
        <v>1</v>
      </c>
      <c r="K1388" s="1">
        <v>6</v>
      </c>
      <c r="L1388" s="67">
        <f t="shared" si="43"/>
        <v>0</v>
      </c>
    </row>
    <row r="1389" spans="1:12" x14ac:dyDescent="0.2">
      <c r="A1389">
        <v>1388</v>
      </c>
      <c r="B1389" s="7" t="s">
        <v>372</v>
      </c>
      <c r="C1389" t="s">
        <v>1311</v>
      </c>
      <c r="D1389" s="65" t="str">
        <f t="shared" si="42"/>
        <v>Y</v>
      </c>
      <c r="E1389" t="s">
        <v>1315</v>
      </c>
      <c r="F1389" s="25" t="s">
        <v>299</v>
      </c>
      <c r="G1389" s="26">
        <v>4</v>
      </c>
      <c r="H1389" s="7" t="s">
        <v>299</v>
      </c>
      <c r="I1389" s="7" t="s">
        <v>296</v>
      </c>
      <c r="J1389" s="1">
        <v>4</v>
      </c>
      <c r="K1389" s="1">
        <v>6</v>
      </c>
      <c r="L1389" s="67">
        <f t="shared" si="43"/>
        <v>1</v>
      </c>
    </row>
    <row r="1390" spans="1:12" x14ac:dyDescent="0.2">
      <c r="A1390">
        <v>1389</v>
      </c>
      <c r="B1390" s="7" t="s">
        <v>356</v>
      </c>
      <c r="C1390" t="s">
        <v>1311</v>
      </c>
      <c r="D1390" s="65" t="str">
        <f t="shared" si="42"/>
        <v>Y</v>
      </c>
      <c r="E1390" t="s">
        <v>1315</v>
      </c>
      <c r="F1390" s="25" t="s">
        <v>299</v>
      </c>
      <c r="G1390" s="26">
        <v>4</v>
      </c>
      <c r="H1390" s="7" t="s">
        <v>299</v>
      </c>
      <c r="I1390" s="7" t="s">
        <v>294</v>
      </c>
      <c r="J1390" s="1">
        <v>4</v>
      </c>
      <c r="K1390" s="1">
        <v>7</v>
      </c>
      <c r="L1390" s="67">
        <f t="shared" si="43"/>
        <v>1</v>
      </c>
    </row>
    <row r="1391" spans="1:12" x14ac:dyDescent="0.2">
      <c r="A1391">
        <v>1390</v>
      </c>
      <c r="B1391" s="7" t="s">
        <v>372</v>
      </c>
      <c r="C1391" t="s">
        <v>1311</v>
      </c>
      <c r="D1391" s="65" t="str">
        <f t="shared" si="42"/>
        <v>Y</v>
      </c>
      <c r="E1391" t="s">
        <v>1315</v>
      </c>
      <c r="F1391" s="25" t="s">
        <v>299</v>
      </c>
      <c r="G1391" s="26">
        <v>4</v>
      </c>
      <c r="H1391" s="7" t="s">
        <v>282</v>
      </c>
      <c r="I1391" s="7" t="s">
        <v>296</v>
      </c>
      <c r="J1391" s="4" t="s">
        <v>282</v>
      </c>
      <c r="K1391" s="1">
        <v>6</v>
      </c>
      <c r="L1391" s="67">
        <f t="shared" si="43"/>
        <v>0</v>
      </c>
    </row>
    <row r="1392" spans="1:12" x14ac:dyDescent="0.2">
      <c r="A1392">
        <v>1391</v>
      </c>
      <c r="B1392" s="7" t="s">
        <v>356</v>
      </c>
      <c r="C1392" t="s">
        <v>1311</v>
      </c>
      <c r="D1392" s="65" t="str">
        <f t="shared" si="42"/>
        <v>Y</v>
      </c>
      <c r="E1392" t="s">
        <v>1315</v>
      </c>
      <c r="F1392" s="25" t="s">
        <v>299</v>
      </c>
      <c r="G1392" s="26">
        <v>4</v>
      </c>
      <c r="H1392" s="7" t="s">
        <v>299</v>
      </c>
      <c r="I1392" s="7" t="s">
        <v>296</v>
      </c>
      <c r="J1392" s="1">
        <v>4</v>
      </c>
      <c r="K1392" s="1">
        <v>6</v>
      </c>
      <c r="L1392" s="67">
        <f t="shared" si="43"/>
        <v>1</v>
      </c>
    </row>
    <row r="1393" spans="1:12" x14ac:dyDescent="0.2">
      <c r="A1393">
        <v>1392</v>
      </c>
      <c r="B1393" s="7" t="s">
        <v>372</v>
      </c>
      <c r="C1393" t="s">
        <v>1311</v>
      </c>
      <c r="D1393" s="65" t="str">
        <f t="shared" si="42"/>
        <v>Y</v>
      </c>
      <c r="E1393" t="s">
        <v>1315</v>
      </c>
      <c r="F1393" s="25" t="s">
        <v>299</v>
      </c>
      <c r="G1393" s="26">
        <v>4</v>
      </c>
      <c r="H1393" s="7" t="s">
        <v>291</v>
      </c>
      <c r="I1393" s="7" t="s">
        <v>296</v>
      </c>
      <c r="J1393" s="1">
        <v>1</v>
      </c>
      <c r="K1393" s="1">
        <v>6</v>
      </c>
      <c r="L1393" s="67">
        <f t="shared" si="43"/>
        <v>0</v>
      </c>
    </row>
    <row r="1394" spans="1:12" x14ac:dyDescent="0.2">
      <c r="A1394">
        <v>1393</v>
      </c>
      <c r="B1394" s="7" t="s">
        <v>372</v>
      </c>
      <c r="C1394" t="s">
        <v>1311</v>
      </c>
      <c r="D1394" s="65" t="str">
        <f t="shared" si="42"/>
        <v>Y</v>
      </c>
      <c r="E1394" t="s">
        <v>1315</v>
      </c>
      <c r="F1394" s="25" t="s">
        <v>299</v>
      </c>
      <c r="G1394" s="26">
        <v>4</v>
      </c>
      <c r="H1394" s="7" t="s">
        <v>295</v>
      </c>
      <c r="I1394" s="7" t="s">
        <v>292</v>
      </c>
      <c r="J1394" s="1">
        <v>5</v>
      </c>
      <c r="K1394" s="1">
        <v>5</v>
      </c>
      <c r="L1394" s="67">
        <f t="shared" si="43"/>
        <v>0</v>
      </c>
    </row>
    <row r="1395" spans="1:12" x14ac:dyDescent="0.2">
      <c r="A1395">
        <v>1394</v>
      </c>
      <c r="B1395" s="7" t="s">
        <v>356</v>
      </c>
      <c r="C1395" t="s">
        <v>1311</v>
      </c>
      <c r="D1395" s="65" t="str">
        <f t="shared" si="42"/>
        <v>Y</v>
      </c>
      <c r="E1395" t="s">
        <v>1315</v>
      </c>
      <c r="F1395" s="25" t="s">
        <v>299</v>
      </c>
      <c r="G1395" s="26">
        <v>4</v>
      </c>
      <c r="H1395" s="7" t="s">
        <v>299</v>
      </c>
      <c r="I1395" s="7" t="s">
        <v>296</v>
      </c>
      <c r="J1395" s="1">
        <v>4</v>
      </c>
      <c r="K1395" s="1">
        <v>6</v>
      </c>
      <c r="L1395" s="67">
        <f t="shared" si="43"/>
        <v>1</v>
      </c>
    </row>
    <row r="1396" spans="1:12" x14ac:dyDescent="0.2">
      <c r="A1396">
        <v>1395</v>
      </c>
      <c r="B1396" s="7" t="s">
        <v>372</v>
      </c>
      <c r="C1396" t="s">
        <v>1311</v>
      </c>
      <c r="D1396" s="65" t="str">
        <f t="shared" si="42"/>
        <v>Y</v>
      </c>
      <c r="E1396" t="s">
        <v>1315</v>
      </c>
      <c r="F1396" s="25" t="s">
        <v>299</v>
      </c>
      <c r="G1396" s="26">
        <v>4</v>
      </c>
      <c r="H1396" s="7" t="s">
        <v>299</v>
      </c>
      <c r="I1396" s="7" t="s">
        <v>296</v>
      </c>
      <c r="J1396" s="1">
        <v>4</v>
      </c>
      <c r="K1396" s="1">
        <v>6</v>
      </c>
      <c r="L1396" s="67">
        <f t="shared" si="43"/>
        <v>1</v>
      </c>
    </row>
    <row r="1397" spans="1:12" x14ac:dyDescent="0.2">
      <c r="A1397">
        <v>1396</v>
      </c>
      <c r="B1397" s="7" t="s">
        <v>356</v>
      </c>
      <c r="C1397" t="s">
        <v>1311</v>
      </c>
      <c r="D1397" s="65" t="str">
        <f t="shared" si="42"/>
        <v>Y</v>
      </c>
      <c r="E1397" t="s">
        <v>1315</v>
      </c>
      <c r="F1397" s="25" t="s">
        <v>299</v>
      </c>
      <c r="G1397" s="26">
        <v>4</v>
      </c>
      <c r="H1397" s="7" t="s">
        <v>299</v>
      </c>
      <c r="I1397" s="7" t="s">
        <v>292</v>
      </c>
      <c r="J1397" s="1">
        <v>4</v>
      </c>
      <c r="K1397" s="1">
        <v>5</v>
      </c>
      <c r="L1397" s="67">
        <f t="shared" si="43"/>
        <v>1</v>
      </c>
    </row>
    <row r="1398" spans="1:12" x14ac:dyDescent="0.2">
      <c r="A1398">
        <v>1397</v>
      </c>
      <c r="B1398" s="7" t="s">
        <v>356</v>
      </c>
      <c r="C1398" t="s">
        <v>1311</v>
      </c>
      <c r="D1398" s="65" t="str">
        <f t="shared" si="42"/>
        <v>Y</v>
      </c>
      <c r="E1398" t="s">
        <v>1315</v>
      </c>
      <c r="F1398" s="25" t="s">
        <v>299</v>
      </c>
      <c r="G1398" s="26">
        <v>4</v>
      </c>
      <c r="H1398" s="7" t="s">
        <v>299</v>
      </c>
      <c r="I1398" s="7" t="s">
        <v>292</v>
      </c>
      <c r="J1398" s="1">
        <v>4</v>
      </c>
      <c r="K1398" s="1">
        <v>5</v>
      </c>
      <c r="L1398" s="67">
        <f t="shared" si="43"/>
        <v>1</v>
      </c>
    </row>
    <row r="1399" spans="1:12" x14ac:dyDescent="0.2">
      <c r="A1399">
        <v>1398</v>
      </c>
      <c r="B1399" s="7" t="s">
        <v>372</v>
      </c>
      <c r="C1399" t="s">
        <v>1311</v>
      </c>
      <c r="D1399" s="65" t="str">
        <f t="shared" si="42"/>
        <v>Y</v>
      </c>
      <c r="E1399" t="s">
        <v>1315</v>
      </c>
      <c r="F1399" s="25" t="s">
        <v>299</v>
      </c>
      <c r="G1399" s="26">
        <v>4</v>
      </c>
      <c r="H1399" s="7" t="s">
        <v>299</v>
      </c>
      <c r="I1399" s="7" t="s">
        <v>292</v>
      </c>
      <c r="J1399" s="1">
        <v>4</v>
      </c>
      <c r="K1399" s="1">
        <v>5</v>
      </c>
      <c r="L1399" s="67">
        <f t="shared" si="43"/>
        <v>1</v>
      </c>
    </row>
    <row r="1400" spans="1:12" x14ac:dyDescent="0.2">
      <c r="A1400">
        <v>1399</v>
      </c>
      <c r="B1400" s="7" t="s">
        <v>356</v>
      </c>
      <c r="C1400" t="s">
        <v>1311</v>
      </c>
      <c r="D1400" s="65" t="str">
        <f t="shared" si="42"/>
        <v>Y</v>
      </c>
      <c r="E1400" t="s">
        <v>1315</v>
      </c>
      <c r="F1400" s="25" t="s">
        <v>299</v>
      </c>
      <c r="G1400" s="26">
        <v>4</v>
      </c>
      <c r="H1400" s="7" t="s">
        <v>299</v>
      </c>
      <c r="I1400" s="7" t="s">
        <v>292</v>
      </c>
      <c r="J1400" s="1">
        <v>4</v>
      </c>
      <c r="K1400" s="1">
        <v>5</v>
      </c>
      <c r="L1400" s="67">
        <f t="shared" si="43"/>
        <v>1</v>
      </c>
    </row>
    <row r="1401" spans="1:12" x14ac:dyDescent="0.2">
      <c r="A1401">
        <v>1400</v>
      </c>
      <c r="B1401" s="7" t="s">
        <v>372</v>
      </c>
      <c r="C1401" t="s">
        <v>1311</v>
      </c>
      <c r="D1401" s="65" t="str">
        <f t="shared" si="42"/>
        <v>Y</v>
      </c>
      <c r="E1401" t="s">
        <v>1315</v>
      </c>
      <c r="F1401" s="25" t="s">
        <v>299</v>
      </c>
      <c r="G1401" s="26">
        <v>4</v>
      </c>
      <c r="H1401" s="7" t="s">
        <v>299</v>
      </c>
      <c r="I1401" s="7" t="s">
        <v>292</v>
      </c>
      <c r="J1401" s="1">
        <v>4</v>
      </c>
      <c r="K1401" s="1">
        <v>5</v>
      </c>
      <c r="L1401" s="67">
        <f t="shared" si="43"/>
        <v>1</v>
      </c>
    </row>
    <row r="1402" spans="1:12" x14ac:dyDescent="0.2">
      <c r="A1402">
        <v>1401</v>
      </c>
      <c r="B1402" s="7" t="s">
        <v>356</v>
      </c>
      <c r="C1402" t="s">
        <v>1311</v>
      </c>
      <c r="D1402" s="65" t="str">
        <f t="shared" si="42"/>
        <v>Y</v>
      </c>
      <c r="E1402" t="s">
        <v>1315</v>
      </c>
      <c r="F1402" s="25" t="s">
        <v>299</v>
      </c>
      <c r="G1402" s="26">
        <v>4</v>
      </c>
      <c r="H1402" s="7" t="s">
        <v>299</v>
      </c>
      <c r="I1402" s="7" t="s">
        <v>292</v>
      </c>
      <c r="J1402" s="1">
        <v>4</v>
      </c>
      <c r="K1402" s="1">
        <v>5</v>
      </c>
      <c r="L1402" s="67">
        <f t="shared" si="43"/>
        <v>1</v>
      </c>
    </row>
    <row r="1403" spans="1:12" x14ac:dyDescent="0.2">
      <c r="A1403">
        <v>1402</v>
      </c>
      <c r="B1403" s="7" t="s">
        <v>372</v>
      </c>
      <c r="C1403" t="s">
        <v>1311</v>
      </c>
      <c r="D1403" s="65" t="str">
        <f t="shared" si="42"/>
        <v>Y</v>
      </c>
      <c r="E1403" t="s">
        <v>1315</v>
      </c>
      <c r="F1403" s="25" t="s">
        <v>299</v>
      </c>
      <c r="G1403" s="26">
        <v>4</v>
      </c>
      <c r="H1403" s="7" t="s">
        <v>299</v>
      </c>
      <c r="I1403" s="7" t="s">
        <v>292</v>
      </c>
      <c r="J1403" s="1">
        <v>4</v>
      </c>
      <c r="K1403" s="1">
        <v>5</v>
      </c>
      <c r="L1403" s="67">
        <f t="shared" si="43"/>
        <v>1</v>
      </c>
    </row>
    <row r="1404" spans="1:12" x14ac:dyDescent="0.2">
      <c r="A1404">
        <v>1403</v>
      </c>
      <c r="B1404" s="7" t="s">
        <v>356</v>
      </c>
      <c r="C1404" t="s">
        <v>1311</v>
      </c>
      <c r="D1404" s="65" t="str">
        <f t="shared" si="42"/>
        <v>Y</v>
      </c>
      <c r="E1404" t="s">
        <v>1315</v>
      </c>
      <c r="F1404" s="25" t="s">
        <v>299</v>
      </c>
      <c r="G1404" s="26">
        <v>4</v>
      </c>
      <c r="H1404" s="7" t="s">
        <v>291</v>
      </c>
      <c r="I1404" s="7" t="s">
        <v>292</v>
      </c>
      <c r="J1404" s="1">
        <v>1</v>
      </c>
      <c r="K1404" s="1">
        <v>5</v>
      </c>
      <c r="L1404" s="67">
        <f t="shared" si="43"/>
        <v>0</v>
      </c>
    </row>
    <row r="1405" spans="1:12" x14ac:dyDescent="0.2">
      <c r="A1405">
        <v>1404</v>
      </c>
      <c r="B1405" s="7" t="s">
        <v>372</v>
      </c>
      <c r="C1405" t="s">
        <v>1311</v>
      </c>
      <c r="D1405" s="65" t="str">
        <f t="shared" si="42"/>
        <v>Y</v>
      </c>
      <c r="E1405" t="s">
        <v>1315</v>
      </c>
      <c r="F1405" s="25" t="s">
        <v>299</v>
      </c>
      <c r="G1405" s="26">
        <v>4</v>
      </c>
      <c r="H1405" s="7" t="s">
        <v>282</v>
      </c>
      <c r="I1405" s="7" t="s">
        <v>292</v>
      </c>
      <c r="J1405" s="4" t="s">
        <v>282</v>
      </c>
      <c r="K1405" s="1">
        <v>5</v>
      </c>
      <c r="L1405" s="67">
        <f t="shared" si="43"/>
        <v>0</v>
      </c>
    </row>
    <row r="1406" spans="1:12" x14ac:dyDescent="0.2">
      <c r="A1406">
        <v>1405</v>
      </c>
      <c r="B1406" s="7" t="s">
        <v>372</v>
      </c>
      <c r="C1406" t="s">
        <v>1311</v>
      </c>
      <c r="D1406" s="65" t="str">
        <f t="shared" si="42"/>
        <v>Y</v>
      </c>
      <c r="E1406" t="s">
        <v>1315</v>
      </c>
      <c r="F1406" s="25" t="s">
        <v>299</v>
      </c>
      <c r="G1406" s="26">
        <v>4</v>
      </c>
      <c r="H1406" s="7" t="s">
        <v>291</v>
      </c>
      <c r="I1406" s="7" t="s">
        <v>292</v>
      </c>
      <c r="J1406" s="1">
        <v>1</v>
      </c>
      <c r="K1406" s="1">
        <v>5</v>
      </c>
      <c r="L1406" s="67">
        <f t="shared" si="43"/>
        <v>0</v>
      </c>
    </row>
    <row r="1407" spans="1:12" x14ac:dyDescent="0.2">
      <c r="A1407">
        <v>1406</v>
      </c>
      <c r="B1407" s="7" t="s">
        <v>356</v>
      </c>
      <c r="C1407" t="s">
        <v>1311</v>
      </c>
      <c r="D1407" s="65" t="str">
        <f t="shared" si="42"/>
        <v>Y</v>
      </c>
      <c r="E1407" t="s">
        <v>1315</v>
      </c>
      <c r="F1407" s="25" t="s">
        <v>299</v>
      </c>
      <c r="G1407" s="26">
        <v>4</v>
      </c>
      <c r="H1407" s="7" t="s">
        <v>299</v>
      </c>
      <c r="I1407" s="7" t="s">
        <v>297</v>
      </c>
      <c r="J1407" s="1">
        <v>4</v>
      </c>
      <c r="K1407" s="1">
        <v>4</v>
      </c>
      <c r="L1407" s="67">
        <f t="shared" si="43"/>
        <v>1</v>
      </c>
    </row>
    <row r="1408" spans="1:12" x14ac:dyDescent="0.2">
      <c r="A1408">
        <v>1407</v>
      </c>
      <c r="B1408" s="7" t="s">
        <v>356</v>
      </c>
      <c r="C1408" t="s">
        <v>1311</v>
      </c>
      <c r="D1408" s="65" t="str">
        <f t="shared" si="42"/>
        <v>Y</v>
      </c>
      <c r="E1408" t="s">
        <v>1315</v>
      </c>
      <c r="F1408" s="25" t="s">
        <v>299</v>
      </c>
      <c r="G1408" s="26">
        <v>4</v>
      </c>
      <c r="H1408" s="7" t="s">
        <v>293</v>
      </c>
      <c r="I1408" s="7" t="s">
        <v>297</v>
      </c>
      <c r="J1408" s="1">
        <v>2</v>
      </c>
      <c r="K1408" s="1">
        <v>4</v>
      </c>
      <c r="L1408" s="67">
        <f t="shared" si="43"/>
        <v>0</v>
      </c>
    </row>
    <row r="1409" spans="1:12" x14ac:dyDescent="0.2">
      <c r="A1409">
        <v>1408</v>
      </c>
      <c r="B1409" s="7" t="s">
        <v>372</v>
      </c>
      <c r="C1409" t="s">
        <v>1311</v>
      </c>
      <c r="D1409" s="65" t="str">
        <f t="shared" si="42"/>
        <v>Y</v>
      </c>
      <c r="E1409" t="s">
        <v>1315</v>
      </c>
      <c r="F1409" s="25" t="s">
        <v>299</v>
      </c>
      <c r="G1409" s="26">
        <v>4</v>
      </c>
      <c r="H1409" s="7" t="s">
        <v>282</v>
      </c>
      <c r="I1409" s="7" t="s">
        <v>297</v>
      </c>
      <c r="J1409" s="4" t="s">
        <v>282</v>
      </c>
      <c r="K1409" s="1">
        <v>4</v>
      </c>
      <c r="L1409" s="67">
        <f t="shared" si="43"/>
        <v>0</v>
      </c>
    </row>
    <row r="1410" spans="1:12" x14ac:dyDescent="0.2">
      <c r="A1410">
        <v>1409</v>
      </c>
      <c r="B1410" s="7" t="s">
        <v>372</v>
      </c>
      <c r="C1410" t="s">
        <v>1311</v>
      </c>
      <c r="D1410" s="65" t="str">
        <f t="shared" si="42"/>
        <v>Y</v>
      </c>
      <c r="E1410" t="s">
        <v>1315</v>
      </c>
      <c r="F1410" s="25" t="s">
        <v>299</v>
      </c>
      <c r="G1410" s="26">
        <v>4</v>
      </c>
      <c r="H1410" s="7" t="s">
        <v>299</v>
      </c>
      <c r="I1410" s="7" t="s">
        <v>296</v>
      </c>
      <c r="J1410" s="1">
        <v>4</v>
      </c>
      <c r="K1410" s="1">
        <v>6</v>
      </c>
      <c r="L1410" s="67">
        <f t="shared" si="43"/>
        <v>1</v>
      </c>
    </row>
    <row r="1411" spans="1:12" x14ac:dyDescent="0.2">
      <c r="A1411">
        <v>1410</v>
      </c>
      <c r="B1411" s="7" t="s">
        <v>356</v>
      </c>
      <c r="C1411" t="s">
        <v>1311</v>
      </c>
      <c r="D1411" s="65" t="str">
        <f t="shared" ref="D1411:D1474" si="44">IF($E1411="iso", "N", IF(OR($E1411="non", $E1411="emd", $E1411="dyn"), "Y", "ERROR"))</f>
        <v>Y</v>
      </c>
      <c r="E1411" t="s">
        <v>1315</v>
      </c>
      <c r="F1411" s="25" t="s">
        <v>299</v>
      </c>
      <c r="G1411" s="26">
        <v>4</v>
      </c>
      <c r="H1411" s="7" t="s">
        <v>299</v>
      </c>
      <c r="I1411" s="7" t="s">
        <v>292</v>
      </c>
      <c r="J1411" s="1">
        <v>4</v>
      </c>
      <c r="K1411" s="1">
        <v>5</v>
      </c>
      <c r="L1411" s="67">
        <f t="shared" ref="L1411:L1474" si="45">IF(G1411=J1411, 1, 0)</f>
        <v>1</v>
      </c>
    </row>
    <row r="1412" spans="1:12" x14ac:dyDescent="0.2">
      <c r="A1412">
        <v>1411</v>
      </c>
      <c r="B1412" s="7" t="s">
        <v>372</v>
      </c>
      <c r="C1412" t="s">
        <v>1311</v>
      </c>
      <c r="D1412" s="65" t="str">
        <f t="shared" si="44"/>
        <v>Y</v>
      </c>
      <c r="E1412" t="s">
        <v>1315</v>
      </c>
      <c r="F1412" s="25" t="s">
        <v>299</v>
      </c>
      <c r="G1412" s="26">
        <v>4</v>
      </c>
      <c r="H1412" s="7" t="s">
        <v>291</v>
      </c>
      <c r="I1412" s="7" t="s">
        <v>296</v>
      </c>
      <c r="J1412" s="1">
        <v>1</v>
      </c>
      <c r="K1412" s="1">
        <v>6</v>
      </c>
      <c r="L1412" s="67">
        <f t="shared" si="45"/>
        <v>0</v>
      </c>
    </row>
    <row r="1413" spans="1:12" x14ac:dyDescent="0.2">
      <c r="A1413">
        <v>1412</v>
      </c>
      <c r="B1413" s="7" t="s">
        <v>356</v>
      </c>
      <c r="C1413" t="s">
        <v>1311</v>
      </c>
      <c r="D1413" s="65" t="str">
        <f t="shared" si="44"/>
        <v>Y</v>
      </c>
      <c r="E1413" t="s">
        <v>1315</v>
      </c>
      <c r="F1413" s="25" t="s">
        <v>299</v>
      </c>
      <c r="G1413" s="26">
        <v>4</v>
      </c>
      <c r="H1413" s="7" t="s">
        <v>291</v>
      </c>
      <c r="I1413" s="7" t="s">
        <v>296</v>
      </c>
      <c r="J1413" s="1">
        <v>1</v>
      </c>
      <c r="K1413" s="1">
        <v>6</v>
      </c>
      <c r="L1413" s="67">
        <f t="shared" si="45"/>
        <v>0</v>
      </c>
    </row>
    <row r="1414" spans="1:12" x14ac:dyDescent="0.2">
      <c r="A1414">
        <v>1413</v>
      </c>
      <c r="B1414" s="7" t="s">
        <v>356</v>
      </c>
      <c r="C1414" t="s">
        <v>1311</v>
      </c>
      <c r="D1414" s="65" t="str">
        <f t="shared" si="44"/>
        <v>Y</v>
      </c>
      <c r="E1414" t="s">
        <v>1315</v>
      </c>
      <c r="F1414" s="25" t="s">
        <v>299</v>
      </c>
      <c r="G1414" s="26">
        <v>4</v>
      </c>
      <c r="H1414" s="7" t="s">
        <v>299</v>
      </c>
      <c r="I1414" s="7" t="s">
        <v>296</v>
      </c>
      <c r="J1414" s="1">
        <v>4</v>
      </c>
      <c r="K1414" s="1">
        <v>6</v>
      </c>
      <c r="L1414" s="67">
        <f t="shared" si="45"/>
        <v>1</v>
      </c>
    </row>
    <row r="1415" spans="1:12" x14ac:dyDescent="0.2">
      <c r="A1415">
        <v>1414</v>
      </c>
      <c r="B1415" s="7" t="s">
        <v>372</v>
      </c>
      <c r="C1415" t="s">
        <v>1311</v>
      </c>
      <c r="D1415" s="65" t="str">
        <f t="shared" si="44"/>
        <v>Y</v>
      </c>
      <c r="E1415" t="s">
        <v>1315</v>
      </c>
      <c r="F1415" s="25" t="s">
        <v>299</v>
      </c>
      <c r="G1415" s="26">
        <v>4</v>
      </c>
      <c r="H1415" s="7" t="s">
        <v>291</v>
      </c>
      <c r="I1415" s="7" t="s">
        <v>297</v>
      </c>
      <c r="J1415" s="1">
        <v>1</v>
      </c>
      <c r="K1415" s="1">
        <v>4</v>
      </c>
      <c r="L1415" s="67">
        <f t="shared" si="45"/>
        <v>0</v>
      </c>
    </row>
    <row r="1416" spans="1:12" x14ac:dyDescent="0.2">
      <c r="A1416">
        <v>1415</v>
      </c>
      <c r="B1416" s="7" t="s">
        <v>372</v>
      </c>
      <c r="C1416" t="s">
        <v>1311</v>
      </c>
      <c r="D1416" s="65" t="str">
        <f t="shared" si="44"/>
        <v>Y</v>
      </c>
      <c r="E1416" t="s">
        <v>1315</v>
      </c>
      <c r="F1416" s="25" t="s">
        <v>299</v>
      </c>
      <c r="G1416" s="26">
        <v>4</v>
      </c>
      <c r="H1416" s="7" t="s">
        <v>293</v>
      </c>
      <c r="I1416" s="7" t="s">
        <v>296</v>
      </c>
      <c r="J1416" s="1">
        <v>2</v>
      </c>
      <c r="K1416" s="1">
        <v>6</v>
      </c>
      <c r="L1416" s="67">
        <f t="shared" si="45"/>
        <v>0</v>
      </c>
    </row>
    <row r="1417" spans="1:12" x14ac:dyDescent="0.2">
      <c r="A1417">
        <v>1416</v>
      </c>
      <c r="B1417" s="7" t="s">
        <v>356</v>
      </c>
      <c r="C1417" t="s">
        <v>1311</v>
      </c>
      <c r="D1417" s="65" t="str">
        <f t="shared" si="44"/>
        <v>Y</v>
      </c>
      <c r="E1417" t="s">
        <v>1315</v>
      </c>
      <c r="F1417" s="25" t="s">
        <v>299</v>
      </c>
      <c r="G1417" s="26">
        <v>4</v>
      </c>
      <c r="H1417" s="7" t="s">
        <v>291</v>
      </c>
      <c r="I1417" s="7" t="s">
        <v>292</v>
      </c>
      <c r="J1417" s="1">
        <v>1</v>
      </c>
      <c r="K1417" s="1">
        <v>5</v>
      </c>
      <c r="L1417" s="67">
        <f t="shared" si="45"/>
        <v>0</v>
      </c>
    </row>
    <row r="1418" spans="1:12" x14ac:dyDescent="0.2">
      <c r="A1418">
        <v>1417</v>
      </c>
      <c r="B1418" s="7" t="s">
        <v>356</v>
      </c>
      <c r="C1418" t="s">
        <v>1311</v>
      </c>
      <c r="D1418" s="65" t="str">
        <f t="shared" si="44"/>
        <v>Y</v>
      </c>
      <c r="E1418" t="s">
        <v>1315</v>
      </c>
      <c r="F1418" s="25" t="s">
        <v>299</v>
      </c>
      <c r="G1418" s="26">
        <v>4</v>
      </c>
      <c r="H1418" s="7" t="s">
        <v>291</v>
      </c>
      <c r="I1418" s="7" t="s">
        <v>296</v>
      </c>
      <c r="J1418" s="1">
        <v>1</v>
      </c>
      <c r="K1418" s="1">
        <v>6</v>
      </c>
      <c r="L1418" s="67">
        <f t="shared" si="45"/>
        <v>0</v>
      </c>
    </row>
    <row r="1419" spans="1:12" x14ac:dyDescent="0.2">
      <c r="A1419">
        <v>1418</v>
      </c>
      <c r="B1419" s="7" t="s">
        <v>372</v>
      </c>
      <c r="C1419" t="s">
        <v>1311</v>
      </c>
      <c r="D1419" s="65" t="str">
        <f t="shared" si="44"/>
        <v>Y</v>
      </c>
      <c r="E1419" t="s">
        <v>1315</v>
      </c>
      <c r="F1419" s="25" t="s">
        <v>299</v>
      </c>
      <c r="G1419" s="26">
        <v>4</v>
      </c>
      <c r="H1419" s="7" t="s">
        <v>299</v>
      </c>
      <c r="I1419" s="7" t="s">
        <v>292</v>
      </c>
      <c r="J1419" s="1">
        <v>4</v>
      </c>
      <c r="K1419" s="1">
        <v>5</v>
      </c>
      <c r="L1419" s="67">
        <f t="shared" si="45"/>
        <v>1</v>
      </c>
    </row>
    <row r="1420" spans="1:12" x14ac:dyDescent="0.2">
      <c r="A1420">
        <v>1419</v>
      </c>
      <c r="B1420" s="7" t="s">
        <v>356</v>
      </c>
      <c r="C1420" t="s">
        <v>1311</v>
      </c>
      <c r="D1420" s="65" t="str">
        <f t="shared" si="44"/>
        <v>Y</v>
      </c>
      <c r="E1420" t="s">
        <v>1315</v>
      </c>
      <c r="F1420" s="25" t="s">
        <v>299</v>
      </c>
      <c r="G1420" s="26">
        <v>4</v>
      </c>
      <c r="H1420" s="7" t="s">
        <v>298</v>
      </c>
      <c r="I1420" s="7" t="s">
        <v>330</v>
      </c>
      <c r="J1420" s="1">
        <v>3</v>
      </c>
      <c r="K1420" s="1">
        <v>3</v>
      </c>
      <c r="L1420" s="67">
        <f t="shared" si="45"/>
        <v>0</v>
      </c>
    </row>
    <row r="1421" spans="1:12" x14ac:dyDescent="0.2">
      <c r="A1421">
        <v>1420</v>
      </c>
      <c r="B1421" s="7" t="s">
        <v>372</v>
      </c>
      <c r="C1421" t="s">
        <v>1311</v>
      </c>
      <c r="D1421" s="65" t="str">
        <f t="shared" si="44"/>
        <v>Y</v>
      </c>
      <c r="E1421" t="s">
        <v>1315</v>
      </c>
      <c r="F1421" s="25" t="s">
        <v>299</v>
      </c>
      <c r="G1421" s="26">
        <v>4</v>
      </c>
      <c r="H1421" s="7" t="s">
        <v>291</v>
      </c>
      <c r="I1421" s="7" t="s">
        <v>296</v>
      </c>
      <c r="J1421" s="1">
        <v>1</v>
      </c>
      <c r="K1421" s="1">
        <v>6</v>
      </c>
      <c r="L1421" s="67">
        <f t="shared" si="45"/>
        <v>0</v>
      </c>
    </row>
    <row r="1422" spans="1:12" x14ac:dyDescent="0.2">
      <c r="A1422">
        <v>1421</v>
      </c>
      <c r="B1422" s="7" t="s">
        <v>356</v>
      </c>
      <c r="C1422" t="s">
        <v>1311</v>
      </c>
      <c r="D1422" s="65" t="str">
        <f t="shared" si="44"/>
        <v>Y</v>
      </c>
      <c r="E1422" t="s">
        <v>1315</v>
      </c>
      <c r="F1422" s="25" t="s">
        <v>299</v>
      </c>
      <c r="G1422" s="26">
        <v>4</v>
      </c>
      <c r="H1422" s="7" t="s">
        <v>299</v>
      </c>
      <c r="I1422" s="7" t="s">
        <v>296</v>
      </c>
      <c r="J1422" s="1">
        <v>4</v>
      </c>
      <c r="K1422" s="1">
        <v>6</v>
      </c>
      <c r="L1422" s="67">
        <f t="shared" si="45"/>
        <v>1</v>
      </c>
    </row>
    <row r="1423" spans="1:12" x14ac:dyDescent="0.2">
      <c r="A1423">
        <v>1422</v>
      </c>
      <c r="B1423" s="7" t="s">
        <v>372</v>
      </c>
      <c r="C1423" t="s">
        <v>1311</v>
      </c>
      <c r="D1423" s="65" t="str">
        <f t="shared" si="44"/>
        <v>Y</v>
      </c>
      <c r="E1423" t="s">
        <v>1315</v>
      </c>
      <c r="F1423" s="25" t="s">
        <v>299</v>
      </c>
      <c r="G1423" s="26">
        <v>4</v>
      </c>
      <c r="H1423" s="7" t="s">
        <v>299</v>
      </c>
      <c r="I1423" s="7" t="s">
        <v>294</v>
      </c>
      <c r="J1423" s="1">
        <v>4</v>
      </c>
      <c r="K1423" s="1">
        <v>7</v>
      </c>
      <c r="L1423" s="67">
        <f t="shared" si="45"/>
        <v>1</v>
      </c>
    </row>
    <row r="1424" spans="1:12" x14ac:dyDescent="0.2">
      <c r="A1424">
        <v>1423</v>
      </c>
      <c r="B1424" s="7" t="s">
        <v>356</v>
      </c>
      <c r="C1424" t="s">
        <v>1311</v>
      </c>
      <c r="D1424" s="65" t="str">
        <f t="shared" si="44"/>
        <v>Y</v>
      </c>
      <c r="E1424" t="s">
        <v>1315</v>
      </c>
      <c r="F1424" s="25" t="s">
        <v>295</v>
      </c>
      <c r="G1424" s="26">
        <v>5</v>
      </c>
      <c r="H1424" s="7" t="s">
        <v>295</v>
      </c>
      <c r="I1424" s="7" t="s">
        <v>292</v>
      </c>
      <c r="J1424" s="1">
        <v>5</v>
      </c>
      <c r="K1424" s="1">
        <v>5</v>
      </c>
      <c r="L1424" s="67">
        <f t="shared" si="45"/>
        <v>1</v>
      </c>
    </row>
    <row r="1425" spans="1:12" x14ac:dyDescent="0.2">
      <c r="A1425">
        <v>1424</v>
      </c>
      <c r="B1425" s="7" t="s">
        <v>372</v>
      </c>
      <c r="C1425" t="s">
        <v>1311</v>
      </c>
      <c r="D1425" s="65" t="str">
        <f t="shared" si="44"/>
        <v>Y</v>
      </c>
      <c r="E1425" t="s">
        <v>1315</v>
      </c>
      <c r="F1425" s="25" t="s">
        <v>295</v>
      </c>
      <c r="G1425" s="26">
        <v>5</v>
      </c>
      <c r="H1425" s="7" t="s">
        <v>295</v>
      </c>
      <c r="I1425" s="7" t="s">
        <v>296</v>
      </c>
      <c r="J1425" s="1">
        <v>5</v>
      </c>
      <c r="K1425" s="1">
        <v>6</v>
      </c>
      <c r="L1425" s="67">
        <f t="shared" si="45"/>
        <v>1</v>
      </c>
    </row>
    <row r="1426" spans="1:12" x14ac:dyDescent="0.2">
      <c r="A1426">
        <v>1425</v>
      </c>
      <c r="B1426" s="7" t="s">
        <v>372</v>
      </c>
      <c r="C1426" t="s">
        <v>1311</v>
      </c>
      <c r="D1426" s="65" t="str">
        <f t="shared" si="44"/>
        <v>Y</v>
      </c>
      <c r="E1426" t="s">
        <v>1315</v>
      </c>
      <c r="F1426" s="25" t="s">
        <v>295</v>
      </c>
      <c r="G1426" s="26">
        <v>5</v>
      </c>
      <c r="H1426" s="7" t="s">
        <v>295</v>
      </c>
      <c r="I1426" s="7" t="s">
        <v>297</v>
      </c>
      <c r="J1426" s="1">
        <v>5</v>
      </c>
      <c r="K1426" s="1">
        <v>4</v>
      </c>
      <c r="L1426" s="67">
        <f t="shared" si="45"/>
        <v>1</v>
      </c>
    </row>
    <row r="1427" spans="1:12" x14ac:dyDescent="0.2">
      <c r="A1427">
        <v>1426</v>
      </c>
      <c r="B1427" s="7" t="s">
        <v>356</v>
      </c>
      <c r="C1427" t="s">
        <v>1311</v>
      </c>
      <c r="D1427" s="65" t="str">
        <f t="shared" si="44"/>
        <v>Y</v>
      </c>
      <c r="E1427" t="s">
        <v>1315</v>
      </c>
      <c r="F1427" s="25" t="s">
        <v>295</v>
      </c>
      <c r="G1427" s="26">
        <v>5</v>
      </c>
      <c r="H1427" s="7" t="s">
        <v>295</v>
      </c>
      <c r="I1427" s="7" t="s">
        <v>297</v>
      </c>
      <c r="J1427" s="1">
        <v>5</v>
      </c>
      <c r="K1427" s="1">
        <v>4</v>
      </c>
      <c r="L1427" s="67">
        <f t="shared" si="45"/>
        <v>1</v>
      </c>
    </row>
    <row r="1428" spans="1:12" x14ac:dyDescent="0.2">
      <c r="A1428">
        <v>1427</v>
      </c>
      <c r="B1428" s="7" t="s">
        <v>372</v>
      </c>
      <c r="C1428" t="s">
        <v>1311</v>
      </c>
      <c r="D1428" s="65" t="str">
        <f t="shared" si="44"/>
        <v>Y</v>
      </c>
      <c r="E1428" t="s">
        <v>1315</v>
      </c>
      <c r="F1428" s="25" t="s">
        <v>295</v>
      </c>
      <c r="G1428" s="26">
        <v>5</v>
      </c>
      <c r="H1428" s="7" t="s">
        <v>295</v>
      </c>
      <c r="I1428" s="7" t="s">
        <v>292</v>
      </c>
      <c r="J1428" s="1">
        <v>5</v>
      </c>
      <c r="K1428" s="1">
        <v>5</v>
      </c>
      <c r="L1428" s="67">
        <f t="shared" si="45"/>
        <v>1</v>
      </c>
    </row>
    <row r="1429" spans="1:12" x14ac:dyDescent="0.2">
      <c r="A1429">
        <v>1428</v>
      </c>
      <c r="B1429" s="7" t="s">
        <v>356</v>
      </c>
      <c r="C1429" t="s">
        <v>1311</v>
      </c>
      <c r="D1429" s="65" t="str">
        <f t="shared" si="44"/>
        <v>Y</v>
      </c>
      <c r="E1429" t="s">
        <v>1315</v>
      </c>
      <c r="F1429" s="25" t="s">
        <v>295</v>
      </c>
      <c r="G1429" s="26">
        <v>5</v>
      </c>
      <c r="H1429" s="7" t="s">
        <v>291</v>
      </c>
      <c r="I1429" s="7" t="s">
        <v>297</v>
      </c>
      <c r="J1429" s="1">
        <v>1</v>
      </c>
      <c r="K1429" s="1">
        <v>4</v>
      </c>
      <c r="L1429" s="67">
        <f t="shared" si="45"/>
        <v>0</v>
      </c>
    </row>
    <row r="1430" spans="1:12" x14ac:dyDescent="0.2">
      <c r="A1430">
        <v>1429</v>
      </c>
      <c r="B1430" s="7" t="s">
        <v>372</v>
      </c>
      <c r="C1430" t="s">
        <v>1311</v>
      </c>
      <c r="D1430" s="65" t="str">
        <f t="shared" si="44"/>
        <v>Y</v>
      </c>
      <c r="E1430" t="s">
        <v>1315</v>
      </c>
      <c r="F1430" s="25" t="s">
        <v>295</v>
      </c>
      <c r="G1430" s="26">
        <v>5</v>
      </c>
      <c r="H1430" s="7" t="s">
        <v>298</v>
      </c>
      <c r="I1430" s="7" t="s">
        <v>296</v>
      </c>
      <c r="J1430" s="1">
        <v>3</v>
      </c>
      <c r="K1430" s="1">
        <v>6</v>
      </c>
      <c r="L1430" s="67">
        <f t="shared" si="45"/>
        <v>0</v>
      </c>
    </row>
    <row r="1431" spans="1:12" x14ac:dyDescent="0.2">
      <c r="A1431">
        <v>1430</v>
      </c>
      <c r="B1431" s="7" t="s">
        <v>356</v>
      </c>
      <c r="C1431" t="s">
        <v>1311</v>
      </c>
      <c r="D1431" s="65" t="str">
        <f t="shared" si="44"/>
        <v>Y</v>
      </c>
      <c r="E1431" t="s">
        <v>1315</v>
      </c>
      <c r="F1431" s="25" t="s">
        <v>295</v>
      </c>
      <c r="G1431" s="26">
        <v>5</v>
      </c>
      <c r="H1431" s="7" t="s">
        <v>291</v>
      </c>
      <c r="I1431" s="7" t="s">
        <v>296</v>
      </c>
      <c r="J1431" s="1">
        <v>1</v>
      </c>
      <c r="K1431" s="1">
        <v>6</v>
      </c>
      <c r="L1431" s="67">
        <f t="shared" si="45"/>
        <v>0</v>
      </c>
    </row>
    <row r="1432" spans="1:12" x14ac:dyDescent="0.2">
      <c r="A1432">
        <v>1431</v>
      </c>
      <c r="B1432" s="7" t="s">
        <v>372</v>
      </c>
      <c r="C1432" t="s">
        <v>1311</v>
      </c>
      <c r="D1432" s="65" t="str">
        <f t="shared" si="44"/>
        <v>Y</v>
      </c>
      <c r="E1432" t="s">
        <v>1315</v>
      </c>
      <c r="F1432" s="25" t="s">
        <v>295</v>
      </c>
      <c r="G1432" s="26">
        <v>5</v>
      </c>
      <c r="H1432" s="7" t="s">
        <v>295</v>
      </c>
      <c r="I1432" s="7" t="s">
        <v>296</v>
      </c>
      <c r="J1432" s="1">
        <v>5</v>
      </c>
      <c r="K1432" s="1">
        <v>6</v>
      </c>
      <c r="L1432" s="67">
        <f t="shared" si="45"/>
        <v>1</v>
      </c>
    </row>
    <row r="1433" spans="1:12" x14ac:dyDescent="0.2">
      <c r="A1433">
        <v>1432</v>
      </c>
      <c r="B1433" s="7" t="s">
        <v>356</v>
      </c>
      <c r="C1433" t="s">
        <v>1311</v>
      </c>
      <c r="D1433" s="65" t="str">
        <f t="shared" si="44"/>
        <v>Y</v>
      </c>
      <c r="E1433" t="s">
        <v>1315</v>
      </c>
      <c r="F1433" s="25" t="s">
        <v>295</v>
      </c>
      <c r="G1433" s="26">
        <v>5</v>
      </c>
      <c r="H1433" s="7" t="s">
        <v>291</v>
      </c>
      <c r="I1433" s="7" t="s">
        <v>297</v>
      </c>
      <c r="J1433" s="1">
        <v>1</v>
      </c>
      <c r="K1433" s="1">
        <v>4</v>
      </c>
      <c r="L1433" s="67">
        <f t="shared" si="45"/>
        <v>0</v>
      </c>
    </row>
    <row r="1434" spans="1:12" x14ac:dyDescent="0.2">
      <c r="A1434">
        <v>1433</v>
      </c>
      <c r="B1434" s="7" t="s">
        <v>356</v>
      </c>
      <c r="C1434" t="s">
        <v>1311</v>
      </c>
      <c r="D1434" s="65" t="str">
        <f t="shared" si="44"/>
        <v>Y</v>
      </c>
      <c r="E1434" t="s">
        <v>1315</v>
      </c>
      <c r="F1434" s="25" t="s">
        <v>295</v>
      </c>
      <c r="G1434" s="26">
        <v>5</v>
      </c>
      <c r="H1434" s="7" t="s">
        <v>298</v>
      </c>
      <c r="I1434" s="7" t="s">
        <v>294</v>
      </c>
      <c r="J1434" s="1">
        <v>3</v>
      </c>
      <c r="K1434" s="1">
        <v>7</v>
      </c>
      <c r="L1434" s="67">
        <f t="shared" si="45"/>
        <v>0</v>
      </c>
    </row>
    <row r="1435" spans="1:12" x14ac:dyDescent="0.2">
      <c r="A1435">
        <v>1434</v>
      </c>
      <c r="B1435" s="7" t="s">
        <v>372</v>
      </c>
      <c r="C1435" t="s">
        <v>1311</v>
      </c>
      <c r="D1435" s="65" t="str">
        <f t="shared" si="44"/>
        <v>Y</v>
      </c>
      <c r="E1435" t="s">
        <v>1315</v>
      </c>
      <c r="F1435" s="25" t="s">
        <v>295</v>
      </c>
      <c r="G1435" s="26">
        <v>5</v>
      </c>
      <c r="H1435" s="7" t="s">
        <v>295</v>
      </c>
      <c r="I1435" s="7" t="s">
        <v>292</v>
      </c>
      <c r="J1435" s="1">
        <v>5</v>
      </c>
      <c r="K1435" s="1">
        <v>5</v>
      </c>
      <c r="L1435" s="67">
        <f t="shared" si="45"/>
        <v>1</v>
      </c>
    </row>
    <row r="1436" spans="1:12" x14ac:dyDescent="0.2">
      <c r="A1436">
        <v>1435</v>
      </c>
      <c r="B1436" s="7" t="s">
        <v>356</v>
      </c>
      <c r="C1436" t="s">
        <v>1311</v>
      </c>
      <c r="D1436" s="65" t="str">
        <f t="shared" si="44"/>
        <v>Y</v>
      </c>
      <c r="E1436" t="s">
        <v>1315</v>
      </c>
      <c r="F1436" s="25" t="s">
        <v>295</v>
      </c>
      <c r="G1436" s="26">
        <v>5</v>
      </c>
      <c r="H1436" s="7" t="s">
        <v>298</v>
      </c>
      <c r="I1436" s="7" t="s">
        <v>292</v>
      </c>
      <c r="J1436" s="1">
        <v>3</v>
      </c>
      <c r="K1436" s="1">
        <v>5</v>
      </c>
      <c r="L1436" s="67">
        <f t="shared" si="45"/>
        <v>0</v>
      </c>
    </row>
    <row r="1437" spans="1:12" x14ac:dyDescent="0.2">
      <c r="A1437">
        <v>1436</v>
      </c>
      <c r="B1437" s="7" t="s">
        <v>372</v>
      </c>
      <c r="C1437" t="s">
        <v>1311</v>
      </c>
      <c r="D1437" s="65" t="str">
        <f t="shared" si="44"/>
        <v>Y</v>
      </c>
      <c r="E1437" t="s">
        <v>1315</v>
      </c>
      <c r="F1437" s="25" t="s">
        <v>295</v>
      </c>
      <c r="G1437" s="26">
        <v>5</v>
      </c>
      <c r="H1437" s="7" t="s">
        <v>295</v>
      </c>
      <c r="I1437" s="7" t="s">
        <v>292</v>
      </c>
      <c r="J1437" s="1">
        <v>5</v>
      </c>
      <c r="K1437" s="1">
        <v>5</v>
      </c>
      <c r="L1437" s="67">
        <f t="shared" si="45"/>
        <v>1</v>
      </c>
    </row>
    <row r="1438" spans="1:12" x14ac:dyDescent="0.2">
      <c r="A1438">
        <v>1437</v>
      </c>
      <c r="B1438" s="7" t="s">
        <v>356</v>
      </c>
      <c r="C1438" t="s">
        <v>1311</v>
      </c>
      <c r="D1438" s="65" t="str">
        <f t="shared" si="44"/>
        <v>Y</v>
      </c>
      <c r="E1438" t="s">
        <v>1315</v>
      </c>
      <c r="F1438" s="25" t="s">
        <v>295</v>
      </c>
      <c r="G1438" s="26">
        <v>5</v>
      </c>
      <c r="H1438" s="7" t="s">
        <v>295</v>
      </c>
      <c r="I1438" s="7" t="s">
        <v>294</v>
      </c>
      <c r="J1438" s="1">
        <v>5</v>
      </c>
      <c r="K1438" s="1">
        <v>7</v>
      </c>
      <c r="L1438" s="67">
        <f t="shared" si="45"/>
        <v>1</v>
      </c>
    </row>
    <row r="1439" spans="1:12" x14ac:dyDescent="0.2">
      <c r="A1439">
        <v>1438</v>
      </c>
      <c r="B1439" s="7" t="s">
        <v>372</v>
      </c>
      <c r="C1439" t="s">
        <v>1311</v>
      </c>
      <c r="D1439" s="65" t="str">
        <f t="shared" si="44"/>
        <v>Y</v>
      </c>
      <c r="E1439" t="s">
        <v>1315</v>
      </c>
      <c r="F1439" s="25" t="s">
        <v>295</v>
      </c>
      <c r="G1439" s="26">
        <v>5</v>
      </c>
      <c r="H1439" s="7" t="s">
        <v>291</v>
      </c>
      <c r="I1439" s="7" t="s">
        <v>296</v>
      </c>
      <c r="J1439" s="1">
        <v>1</v>
      </c>
      <c r="K1439" s="1">
        <v>6</v>
      </c>
      <c r="L1439" s="67">
        <f t="shared" si="45"/>
        <v>0</v>
      </c>
    </row>
    <row r="1440" spans="1:12" x14ac:dyDescent="0.2">
      <c r="A1440">
        <v>1439</v>
      </c>
      <c r="B1440" s="7" t="s">
        <v>372</v>
      </c>
      <c r="C1440" t="s">
        <v>1311</v>
      </c>
      <c r="D1440" s="65" t="str">
        <f t="shared" si="44"/>
        <v>Y</v>
      </c>
      <c r="E1440" t="s">
        <v>1315</v>
      </c>
      <c r="F1440" s="25" t="s">
        <v>295</v>
      </c>
      <c r="G1440" s="26">
        <v>5</v>
      </c>
      <c r="H1440" s="7" t="s">
        <v>298</v>
      </c>
      <c r="I1440" s="7" t="s">
        <v>297</v>
      </c>
      <c r="J1440" s="1">
        <v>3</v>
      </c>
      <c r="K1440" s="1">
        <v>4</v>
      </c>
      <c r="L1440" s="67">
        <f t="shared" si="45"/>
        <v>0</v>
      </c>
    </row>
    <row r="1441" spans="1:12" x14ac:dyDescent="0.2">
      <c r="A1441">
        <v>1440</v>
      </c>
      <c r="B1441" s="7" t="s">
        <v>356</v>
      </c>
      <c r="C1441" t="s">
        <v>1311</v>
      </c>
      <c r="D1441" s="65" t="str">
        <f t="shared" si="44"/>
        <v>Y</v>
      </c>
      <c r="E1441" t="s">
        <v>1315</v>
      </c>
      <c r="F1441" s="25" t="s">
        <v>295</v>
      </c>
      <c r="G1441" s="26">
        <v>5</v>
      </c>
      <c r="H1441" s="7" t="s">
        <v>298</v>
      </c>
      <c r="I1441" s="7" t="s">
        <v>292</v>
      </c>
      <c r="J1441" s="1">
        <v>3</v>
      </c>
      <c r="K1441" s="1">
        <v>5</v>
      </c>
      <c r="L1441" s="67">
        <f t="shared" si="45"/>
        <v>0</v>
      </c>
    </row>
    <row r="1442" spans="1:12" x14ac:dyDescent="0.2">
      <c r="A1442">
        <v>1441</v>
      </c>
      <c r="B1442" s="7" t="s">
        <v>356</v>
      </c>
      <c r="C1442" t="s">
        <v>1311</v>
      </c>
      <c r="D1442" s="65" t="str">
        <f t="shared" si="44"/>
        <v>Y</v>
      </c>
      <c r="E1442" t="s">
        <v>1315</v>
      </c>
      <c r="F1442" s="25" t="s">
        <v>295</v>
      </c>
      <c r="G1442" s="26">
        <v>5</v>
      </c>
      <c r="H1442" s="7" t="s">
        <v>298</v>
      </c>
      <c r="I1442" s="7" t="s">
        <v>294</v>
      </c>
      <c r="J1442" s="1">
        <v>3</v>
      </c>
      <c r="K1442" s="1">
        <v>7</v>
      </c>
      <c r="L1442" s="67">
        <f t="shared" si="45"/>
        <v>0</v>
      </c>
    </row>
    <row r="1443" spans="1:12" x14ac:dyDescent="0.2">
      <c r="A1443">
        <v>1442</v>
      </c>
      <c r="B1443" s="7" t="s">
        <v>372</v>
      </c>
      <c r="C1443" t="s">
        <v>1311</v>
      </c>
      <c r="D1443" s="65" t="str">
        <f t="shared" si="44"/>
        <v>Y</v>
      </c>
      <c r="E1443" t="s">
        <v>1315</v>
      </c>
      <c r="F1443" s="25" t="s">
        <v>295</v>
      </c>
      <c r="G1443" s="26">
        <v>5</v>
      </c>
      <c r="H1443" s="7" t="s">
        <v>295</v>
      </c>
      <c r="I1443" s="7" t="s">
        <v>297</v>
      </c>
      <c r="J1443" s="1">
        <v>5</v>
      </c>
      <c r="K1443" s="1">
        <v>4</v>
      </c>
      <c r="L1443" s="67">
        <f t="shared" si="45"/>
        <v>1</v>
      </c>
    </row>
    <row r="1444" spans="1:12" x14ac:dyDescent="0.2">
      <c r="A1444">
        <v>1443</v>
      </c>
      <c r="B1444" s="7" t="s">
        <v>356</v>
      </c>
      <c r="C1444" t="s">
        <v>1311</v>
      </c>
      <c r="D1444" s="65" t="str">
        <f t="shared" si="44"/>
        <v>Y</v>
      </c>
      <c r="E1444" t="s">
        <v>1315</v>
      </c>
      <c r="F1444" s="25" t="s">
        <v>295</v>
      </c>
      <c r="G1444" s="26">
        <v>5</v>
      </c>
      <c r="H1444" s="7" t="s">
        <v>298</v>
      </c>
      <c r="I1444" s="7" t="s">
        <v>296</v>
      </c>
      <c r="J1444" s="1">
        <v>3</v>
      </c>
      <c r="K1444" s="1">
        <v>6</v>
      </c>
      <c r="L1444" s="67">
        <f t="shared" si="45"/>
        <v>0</v>
      </c>
    </row>
    <row r="1445" spans="1:12" x14ac:dyDescent="0.2">
      <c r="A1445">
        <v>1444</v>
      </c>
      <c r="B1445" s="7" t="s">
        <v>356</v>
      </c>
      <c r="C1445" t="s">
        <v>1311</v>
      </c>
      <c r="D1445" s="65" t="str">
        <f t="shared" si="44"/>
        <v>Y</v>
      </c>
      <c r="E1445" t="s">
        <v>1315</v>
      </c>
      <c r="F1445" s="25" t="s">
        <v>295</v>
      </c>
      <c r="G1445" s="26">
        <v>5</v>
      </c>
      <c r="H1445" s="7" t="s">
        <v>298</v>
      </c>
      <c r="I1445" s="7" t="s">
        <v>292</v>
      </c>
      <c r="J1445" s="1">
        <v>3</v>
      </c>
      <c r="K1445" s="1">
        <v>5</v>
      </c>
      <c r="L1445" s="67">
        <f t="shared" si="45"/>
        <v>0</v>
      </c>
    </row>
    <row r="1446" spans="1:12" x14ac:dyDescent="0.2">
      <c r="A1446">
        <v>1445</v>
      </c>
      <c r="B1446" s="7" t="s">
        <v>372</v>
      </c>
      <c r="C1446" t="s">
        <v>1311</v>
      </c>
      <c r="D1446" s="65" t="str">
        <f t="shared" si="44"/>
        <v>Y</v>
      </c>
      <c r="E1446" t="s">
        <v>1315</v>
      </c>
      <c r="F1446" s="25" t="s">
        <v>295</v>
      </c>
      <c r="G1446" s="26">
        <v>5</v>
      </c>
      <c r="H1446" s="7" t="s">
        <v>299</v>
      </c>
      <c r="I1446" s="7" t="s">
        <v>296</v>
      </c>
      <c r="J1446" s="1">
        <v>4</v>
      </c>
      <c r="K1446" s="1">
        <v>6</v>
      </c>
      <c r="L1446" s="67">
        <f t="shared" si="45"/>
        <v>0</v>
      </c>
    </row>
    <row r="1447" spans="1:12" x14ac:dyDescent="0.2">
      <c r="A1447">
        <v>1446</v>
      </c>
      <c r="B1447" s="7" t="s">
        <v>372</v>
      </c>
      <c r="C1447" t="s">
        <v>1311</v>
      </c>
      <c r="D1447" s="65" t="str">
        <f t="shared" si="44"/>
        <v>Y</v>
      </c>
      <c r="E1447" t="s">
        <v>1315</v>
      </c>
      <c r="F1447" s="25" t="s">
        <v>295</v>
      </c>
      <c r="G1447" s="26">
        <v>5</v>
      </c>
      <c r="H1447" s="7" t="s">
        <v>298</v>
      </c>
      <c r="I1447" s="7" t="s">
        <v>296</v>
      </c>
      <c r="J1447" s="1">
        <v>3</v>
      </c>
      <c r="K1447" s="1">
        <v>6</v>
      </c>
      <c r="L1447" s="67">
        <f t="shared" si="45"/>
        <v>0</v>
      </c>
    </row>
    <row r="1448" spans="1:12" x14ac:dyDescent="0.2">
      <c r="A1448">
        <v>1447</v>
      </c>
      <c r="B1448" s="7" t="s">
        <v>356</v>
      </c>
      <c r="C1448" t="s">
        <v>1311</v>
      </c>
      <c r="D1448" s="65" t="str">
        <f t="shared" si="44"/>
        <v>Y</v>
      </c>
      <c r="E1448" t="s">
        <v>1315</v>
      </c>
      <c r="F1448" s="25" t="s">
        <v>295</v>
      </c>
      <c r="G1448" s="26">
        <v>5</v>
      </c>
      <c r="H1448" s="7" t="s">
        <v>295</v>
      </c>
      <c r="I1448" s="7" t="s">
        <v>296</v>
      </c>
      <c r="J1448" s="1">
        <v>5</v>
      </c>
      <c r="K1448" s="1">
        <v>6</v>
      </c>
      <c r="L1448" s="67">
        <f t="shared" si="45"/>
        <v>1</v>
      </c>
    </row>
    <row r="1449" spans="1:12" x14ac:dyDescent="0.2">
      <c r="A1449">
        <v>1448</v>
      </c>
      <c r="B1449" s="7" t="s">
        <v>356</v>
      </c>
      <c r="C1449" t="s">
        <v>1311</v>
      </c>
      <c r="D1449" s="65" t="str">
        <f t="shared" si="44"/>
        <v>Y</v>
      </c>
      <c r="E1449" t="s">
        <v>1315</v>
      </c>
      <c r="F1449" s="25" t="s">
        <v>295</v>
      </c>
      <c r="G1449" s="26">
        <v>5</v>
      </c>
      <c r="H1449" s="7" t="s">
        <v>295</v>
      </c>
      <c r="I1449" s="7" t="s">
        <v>296</v>
      </c>
      <c r="J1449" s="1">
        <v>5</v>
      </c>
      <c r="K1449" s="1">
        <v>6</v>
      </c>
      <c r="L1449" s="67">
        <f t="shared" si="45"/>
        <v>1</v>
      </c>
    </row>
    <row r="1450" spans="1:12" x14ac:dyDescent="0.2">
      <c r="A1450">
        <v>1449</v>
      </c>
      <c r="B1450" s="7" t="s">
        <v>372</v>
      </c>
      <c r="C1450" t="s">
        <v>1311</v>
      </c>
      <c r="D1450" s="65" t="str">
        <f t="shared" si="44"/>
        <v>Y</v>
      </c>
      <c r="E1450" t="s">
        <v>1315</v>
      </c>
      <c r="F1450" s="25" t="s">
        <v>295</v>
      </c>
      <c r="G1450" s="26">
        <v>5</v>
      </c>
      <c r="H1450" s="7" t="s">
        <v>291</v>
      </c>
      <c r="I1450" s="7" t="s">
        <v>292</v>
      </c>
      <c r="J1450" s="1">
        <v>1</v>
      </c>
      <c r="K1450" s="1">
        <v>5</v>
      </c>
      <c r="L1450" s="67">
        <f t="shared" si="45"/>
        <v>0</v>
      </c>
    </row>
    <row r="1451" spans="1:12" x14ac:dyDescent="0.2">
      <c r="A1451">
        <v>1450</v>
      </c>
      <c r="B1451" s="7" t="s">
        <v>356</v>
      </c>
      <c r="C1451" t="s">
        <v>1311</v>
      </c>
      <c r="D1451" s="65" t="str">
        <f t="shared" si="44"/>
        <v>Y</v>
      </c>
      <c r="E1451" t="s">
        <v>1315</v>
      </c>
      <c r="F1451" s="25" t="s">
        <v>295</v>
      </c>
      <c r="G1451" s="26">
        <v>5</v>
      </c>
      <c r="H1451" s="7" t="s">
        <v>295</v>
      </c>
      <c r="I1451" s="7" t="s">
        <v>296</v>
      </c>
      <c r="J1451" s="1">
        <v>5</v>
      </c>
      <c r="K1451" s="1">
        <v>6</v>
      </c>
      <c r="L1451" s="67">
        <f t="shared" si="45"/>
        <v>1</v>
      </c>
    </row>
    <row r="1452" spans="1:12" x14ac:dyDescent="0.2">
      <c r="A1452">
        <v>1451</v>
      </c>
      <c r="B1452" s="7" t="s">
        <v>372</v>
      </c>
      <c r="C1452" t="s">
        <v>1311</v>
      </c>
      <c r="D1452" s="65" t="str">
        <f t="shared" si="44"/>
        <v>Y</v>
      </c>
      <c r="E1452" t="s">
        <v>1315</v>
      </c>
      <c r="F1452" s="25" t="s">
        <v>295</v>
      </c>
      <c r="G1452" s="26">
        <v>5</v>
      </c>
      <c r="H1452" s="7" t="s">
        <v>299</v>
      </c>
      <c r="I1452" s="7" t="s">
        <v>292</v>
      </c>
      <c r="J1452" s="1">
        <v>4</v>
      </c>
      <c r="K1452" s="1">
        <v>5</v>
      </c>
      <c r="L1452" s="67">
        <f t="shared" si="45"/>
        <v>0</v>
      </c>
    </row>
    <row r="1453" spans="1:12" x14ac:dyDescent="0.2">
      <c r="A1453">
        <v>1452</v>
      </c>
      <c r="B1453" s="7" t="s">
        <v>356</v>
      </c>
      <c r="C1453" t="s">
        <v>1311</v>
      </c>
      <c r="D1453" s="65" t="str">
        <f t="shared" si="44"/>
        <v>Y</v>
      </c>
      <c r="E1453" t="s">
        <v>1315</v>
      </c>
      <c r="F1453" s="25" t="s">
        <v>295</v>
      </c>
      <c r="G1453" s="26">
        <v>5</v>
      </c>
      <c r="H1453" s="7" t="s">
        <v>298</v>
      </c>
      <c r="I1453" s="7" t="s">
        <v>292</v>
      </c>
      <c r="J1453" s="1">
        <v>3</v>
      </c>
      <c r="K1453" s="1">
        <v>5</v>
      </c>
      <c r="L1453" s="67">
        <f t="shared" si="45"/>
        <v>0</v>
      </c>
    </row>
    <row r="1454" spans="1:12" x14ac:dyDescent="0.2">
      <c r="A1454">
        <v>1453</v>
      </c>
      <c r="B1454" s="7" t="s">
        <v>372</v>
      </c>
      <c r="C1454" t="s">
        <v>1311</v>
      </c>
      <c r="D1454" s="65" t="str">
        <f t="shared" si="44"/>
        <v>Y</v>
      </c>
      <c r="E1454" t="s">
        <v>1315</v>
      </c>
      <c r="F1454" s="25" t="s">
        <v>295</v>
      </c>
      <c r="G1454" s="26">
        <v>5</v>
      </c>
      <c r="H1454" s="7" t="s">
        <v>299</v>
      </c>
      <c r="I1454" s="7" t="s">
        <v>296</v>
      </c>
      <c r="J1454" s="1">
        <v>4</v>
      </c>
      <c r="K1454" s="1">
        <v>6</v>
      </c>
      <c r="L1454" s="67">
        <f t="shared" si="45"/>
        <v>0</v>
      </c>
    </row>
    <row r="1455" spans="1:12" x14ac:dyDescent="0.2">
      <c r="A1455">
        <v>1454</v>
      </c>
      <c r="B1455" s="7" t="s">
        <v>356</v>
      </c>
      <c r="C1455" t="s">
        <v>1311</v>
      </c>
      <c r="D1455" s="65" t="str">
        <f t="shared" si="44"/>
        <v>Y</v>
      </c>
      <c r="E1455" t="s">
        <v>1315</v>
      </c>
      <c r="F1455" s="25" t="s">
        <v>295</v>
      </c>
      <c r="G1455" s="26">
        <v>5</v>
      </c>
      <c r="H1455" s="7" t="s">
        <v>295</v>
      </c>
      <c r="I1455" s="7" t="s">
        <v>297</v>
      </c>
      <c r="J1455" s="1">
        <v>5</v>
      </c>
      <c r="K1455" s="1">
        <v>4</v>
      </c>
      <c r="L1455" s="67">
        <f t="shared" si="45"/>
        <v>1</v>
      </c>
    </row>
    <row r="1456" spans="1:12" x14ac:dyDescent="0.2">
      <c r="A1456">
        <v>1455</v>
      </c>
      <c r="B1456" s="7" t="s">
        <v>356</v>
      </c>
      <c r="C1456" t="s">
        <v>1311</v>
      </c>
      <c r="D1456" s="65" t="str">
        <f t="shared" si="44"/>
        <v>Y</v>
      </c>
      <c r="E1456" t="s">
        <v>1315</v>
      </c>
      <c r="F1456" s="25" t="s">
        <v>295</v>
      </c>
      <c r="G1456" s="26">
        <v>5</v>
      </c>
      <c r="H1456" s="7" t="s">
        <v>295</v>
      </c>
      <c r="I1456" s="7" t="s">
        <v>294</v>
      </c>
      <c r="J1456" s="1">
        <v>5</v>
      </c>
      <c r="K1456" s="1">
        <v>7</v>
      </c>
      <c r="L1456" s="67">
        <f t="shared" si="45"/>
        <v>1</v>
      </c>
    </row>
    <row r="1457" spans="1:12" x14ac:dyDescent="0.2">
      <c r="A1457">
        <v>1456</v>
      </c>
      <c r="B1457" s="7" t="s">
        <v>372</v>
      </c>
      <c r="C1457" t="s">
        <v>1311</v>
      </c>
      <c r="D1457" s="65" t="str">
        <f t="shared" si="44"/>
        <v>Y</v>
      </c>
      <c r="E1457" t="s">
        <v>1315</v>
      </c>
      <c r="F1457" s="25" t="s">
        <v>295</v>
      </c>
      <c r="G1457" s="26">
        <v>5</v>
      </c>
      <c r="H1457" s="7" t="s">
        <v>299</v>
      </c>
      <c r="I1457" s="7" t="s">
        <v>294</v>
      </c>
      <c r="J1457" s="1">
        <v>4</v>
      </c>
      <c r="K1457" s="1">
        <v>7</v>
      </c>
      <c r="L1457" s="67">
        <f t="shared" si="45"/>
        <v>0</v>
      </c>
    </row>
    <row r="1458" spans="1:12" x14ac:dyDescent="0.2">
      <c r="A1458">
        <v>1457</v>
      </c>
      <c r="B1458" s="7" t="s">
        <v>372</v>
      </c>
      <c r="C1458" t="s">
        <v>1311</v>
      </c>
      <c r="D1458" s="65" t="str">
        <f t="shared" si="44"/>
        <v>Y</v>
      </c>
      <c r="E1458" t="s">
        <v>1315</v>
      </c>
      <c r="F1458" s="25" t="s">
        <v>295</v>
      </c>
      <c r="G1458" s="26">
        <v>5</v>
      </c>
      <c r="H1458" s="7" t="s">
        <v>295</v>
      </c>
      <c r="I1458" s="7" t="s">
        <v>296</v>
      </c>
      <c r="J1458" s="1">
        <v>5</v>
      </c>
      <c r="K1458" s="1">
        <v>6</v>
      </c>
      <c r="L1458" s="67">
        <f t="shared" si="45"/>
        <v>1</v>
      </c>
    </row>
    <row r="1459" spans="1:12" x14ac:dyDescent="0.2">
      <c r="A1459">
        <v>1458</v>
      </c>
      <c r="B1459" s="7" t="s">
        <v>356</v>
      </c>
      <c r="C1459" t="s">
        <v>1311</v>
      </c>
      <c r="D1459" s="65" t="str">
        <f t="shared" si="44"/>
        <v>Y</v>
      </c>
      <c r="E1459" t="s">
        <v>1315</v>
      </c>
      <c r="F1459" s="25" t="s">
        <v>295</v>
      </c>
      <c r="G1459" s="26">
        <v>5</v>
      </c>
      <c r="H1459" s="7" t="s">
        <v>298</v>
      </c>
      <c r="I1459" s="7" t="s">
        <v>292</v>
      </c>
      <c r="J1459" s="1">
        <v>3</v>
      </c>
      <c r="K1459" s="1">
        <v>5</v>
      </c>
      <c r="L1459" s="67">
        <f t="shared" si="45"/>
        <v>0</v>
      </c>
    </row>
    <row r="1460" spans="1:12" x14ac:dyDescent="0.2">
      <c r="A1460">
        <v>1459</v>
      </c>
      <c r="B1460" s="7" t="s">
        <v>372</v>
      </c>
      <c r="C1460" t="s">
        <v>1311</v>
      </c>
      <c r="D1460" s="65" t="str">
        <f t="shared" si="44"/>
        <v>Y</v>
      </c>
      <c r="E1460" t="s">
        <v>1315</v>
      </c>
      <c r="F1460" s="25" t="s">
        <v>295</v>
      </c>
      <c r="G1460" s="26">
        <v>5</v>
      </c>
      <c r="H1460" s="7" t="s">
        <v>295</v>
      </c>
      <c r="I1460" s="7" t="s">
        <v>297</v>
      </c>
      <c r="J1460" s="1">
        <v>5</v>
      </c>
      <c r="K1460" s="1">
        <v>4</v>
      </c>
      <c r="L1460" s="67">
        <f t="shared" si="45"/>
        <v>1</v>
      </c>
    </row>
    <row r="1461" spans="1:12" x14ac:dyDescent="0.2">
      <c r="A1461">
        <v>1460</v>
      </c>
      <c r="B1461" s="7" t="s">
        <v>372</v>
      </c>
      <c r="C1461" t="s">
        <v>1311</v>
      </c>
      <c r="D1461" s="65" t="str">
        <f t="shared" si="44"/>
        <v>Y</v>
      </c>
      <c r="E1461" t="s">
        <v>1315</v>
      </c>
      <c r="F1461" s="25" t="s">
        <v>295</v>
      </c>
      <c r="G1461" s="26">
        <v>5</v>
      </c>
      <c r="H1461" s="7" t="s">
        <v>298</v>
      </c>
      <c r="I1461" s="7" t="s">
        <v>297</v>
      </c>
      <c r="J1461" s="1">
        <v>3</v>
      </c>
      <c r="K1461" s="1">
        <v>4</v>
      </c>
      <c r="L1461" s="67">
        <f t="shared" si="45"/>
        <v>0</v>
      </c>
    </row>
    <row r="1462" spans="1:12" x14ac:dyDescent="0.2">
      <c r="A1462">
        <v>1461</v>
      </c>
      <c r="B1462" s="7" t="s">
        <v>372</v>
      </c>
      <c r="C1462" t="s">
        <v>1311</v>
      </c>
      <c r="D1462" s="65" t="str">
        <f t="shared" si="44"/>
        <v>Y</v>
      </c>
      <c r="E1462" t="s">
        <v>1315</v>
      </c>
      <c r="F1462" s="25" t="s">
        <v>295</v>
      </c>
      <c r="G1462" s="26">
        <v>5</v>
      </c>
      <c r="H1462" s="7" t="s">
        <v>298</v>
      </c>
      <c r="I1462" s="7" t="s">
        <v>297</v>
      </c>
      <c r="J1462" s="1">
        <v>3</v>
      </c>
      <c r="K1462" s="1">
        <v>4</v>
      </c>
      <c r="L1462" s="67">
        <f t="shared" si="45"/>
        <v>0</v>
      </c>
    </row>
    <row r="1463" spans="1:12" x14ac:dyDescent="0.2">
      <c r="A1463">
        <v>1462</v>
      </c>
      <c r="B1463" s="7" t="s">
        <v>356</v>
      </c>
      <c r="C1463" t="s">
        <v>1311</v>
      </c>
      <c r="D1463" s="65" t="str">
        <f t="shared" si="44"/>
        <v>Y</v>
      </c>
      <c r="E1463" t="s">
        <v>1315</v>
      </c>
      <c r="F1463" s="25" t="s">
        <v>295</v>
      </c>
      <c r="G1463" s="26">
        <v>5</v>
      </c>
      <c r="H1463" s="7" t="s">
        <v>295</v>
      </c>
      <c r="I1463" s="7" t="s">
        <v>292</v>
      </c>
      <c r="J1463" s="1">
        <v>5</v>
      </c>
      <c r="K1463" s="1">
        <v>5</v>
      </c>
      <c r="L1463" s="67">
        <f t="shared" si="45"/>
        <v>1</v>
      </c>
    </row>
    <row r="1464" spans="1:12" x14ac:dyDescent="0.2">
      <c r="A1464">
        <v>1463</v>
      </c>
      <c r="B1464" s="7" t="s">
        <v>372</v>
      </c>
      <c r="C1464" t="s">
        <v>1311</v>
      </c>
      <c r="D1464" s="65" t="str">
        <f t="shared" si="44"/>
        <v>Y</v>
      </c>
      <c r="E1464" t="s">
        <v>1315</v>
      </c>
      <c r="F1464" s="25" t="s">
        <v>295</v>
      </c>
      <c r="G1464" s="26">
        <v>5</v>
      </c>
      <c r="H1464" s="7" t="s">
        <v>295</v>
      </c>
      <c r="I1464" s="7" t="s">
        <v>292</v>
      </c>
      <c r="J1464" s="1">
        <v>5</v>
      </c>
      <c r="K1464" s="1">
        <v>5</v>
      </c>
      <c r="L1464" s="67">
        <f t="shared" si="45"/>
        <v>1</v>
      </c>
    </row>
    <row r="1465" spans="1:12" x14ac:dyDescent="0.2">
      <c r="A1465">
        <v>1464</v>
      </c>
      <c r="B1465" s="7" t="s">
        <v>356</v>
      </c>
      <c r="C1465" t="s">
        <v>1311</v>
      </c>
      <c r="D1465" s="65" t="str">
        <f t="shared" si="44"/>
        <v>Y</v>
      </c>
      <c r="E1465" t="s">
        <v>1315</v>
      </c>
      <c r="F1465" s="25" t="s">
        <v>295</v>
      </c>
      <c r="G1465" s="26">
        <v>5</v>
      </c>
      <c r="H1465" s="7" t="s">
        <v>295</v>
      </c>
      <c r="I1465" s="7" t="s">
        <v>292</v>
      </c>
      <c r="J1465" s="1">
        <v>5</v>
      </c>
      <c r="K1465" s="1">
        <v>5</v>
      </c>
      <c r="L1465" s="67">
        <f t="shared" si="45"/>
        <v>1</v>
      </c>
    </row>
    <row r="1466" spans="1:12" x14ac:dyDescent="0.2">
      <c r="A1466">
        <v>1465</v>
      </c>
      <c r="B1466" s="7" t="s">
        <v>356</v>
      </c>
      <c r="C1466" t="s">
        <v>1311</v>
      </c>
      <c r="D1466" s="65" t="str">
        <f t="shared" si="44"/>
        <v>Y</v>
      </c>
      <c r="E1466" t="s">
        <v>1315</v>
      </c>
      <c r="F1466" s="25" t="s">
        <v>295</v>
      </c>
      <c r="G1466" s="26">
        <v>5</v>
      </c>
      <c r="H1466" s="7" t="s">
        <v>295</v>
      </c>
      <c r="I1466" s="7" t="s">
        <v>292</v>
      </c>
      <c r="J1466" s="1">
        <v>5</v>
      </c>
      <c r="K1466" s="1">
        <v>5</v>
      </c>
      <c r="L1466" s="67">
        <f t="shared" si="45"/>
        <v>1</v>
      </c>
    </row>
    <row r="1467" spans="1:12" x14ac:dyDescent="0.2">
      <c r="A1467">
        <v>1466</v>
      </c>
      <c r="B1467" s="7" t="s">
        <v>372</v>
      </c>
      <c r="C1467" t="s">
        <v>1311</v>
      </c>
      <c r="D1467" s="65" t="str">
        <f t="shared" si="44"/>
        <v>Y</v>
      </c>
      <c r="E1467" t="s">
        <v>1315</v>
      </c>
      <c r="F1467" s="25" t="s">
        <v>295</v>
      </c>
      <c r="G1467" s="26">
        <v>5</v>
      </c>
      <c r="H1467" s="7" t="s">
        <v>298</v>
      </c>
      <c r="I1467" s="7" t="s">
        <v>296</v>
      </c>
      <c r="J1467" s="1">
        <v>3</v>
      </c>
      <c r="K1467" s="1">
        <v>6</v>
      </c>
      <c r="L1467" s="67">
        <f t="shared" si="45"/>
        <v>0</v>
      </c>
    </row>
    <row r="1468" spans="1:12" x14ac:dyDescent="0.2">
      <c r="A1468">
        <v>1467</v>
      </c>
      <c r="B1468" s="7" t="s">
        <v>372</v>
      </c>
      <c r="C1468" t="s">
        <v>1311</v>
      </c>
      <c r="D1468" s="65" t="str">
        <f t="shared" si="44"/>
        <v>Y</v>
      </c>
      <c r="E1468" t="s">
        <v>1315</v>
      </c>
      <c r="F1468" s="25" t="s">
        <v>295</v>
      </c>
      <c r="G1468" s="26">
        <v>5</v>
      </c>
      <c r="H1468" s="7" t="s">
        <v>295</v>
      </c>
      <c r="I1468" s="7" t="s">
        <v>296</v>
      </c>
      <c r="J1468" s="1">
        <v>5</v>
      </c>
      <c r="K1468" s="1">
        <v>6</v>
      </c>
      <c r="L1468" s="67">
        <f t="shared" si="45"/>
        <v>1</v>
      </c>
    </row>
    <row r="1469" spans="1:12" x14ac:dyDescent="0.2">
      <c r="A1469">
        <v>1468</v>
      </c>
      <c r="B1469" s="7" t="s">
        <v>356</v>
      </c>
      <c r="C1469" t="s">
        <v>1311</v>
      </c>
      <c r="D1469" s="65" t="str">
        <f t="shared" si="44"/>
        <v>Y</v>
      </c>
      <c r="E1469" t="s">
        <v>1315</v>
      </c>
      <c r="F1469" s="25" t="s">
        <v>295</v>
      </c>
      <c r="G1469" s="26">
        <v>5</v>
      </c>
      <c r="H1469" s="7" t="s">
        <v>298</v>
      </c>
      <c r="I1469" s="7" t="s">
        <v>294</v>
      </c>
      <c r="J1469" s="1">
        <v>3</v>
      </c>
      <c r="K1469" s="1">
        <v>7</v>
      </c>
      <c r="L1469" s="67">
        <f t="shared" si="45"/>
        <v>0</v>
      </c>
    </row>
    <row r="1470" spans="1:12" x14ac:dyDescent="0.2">
      <c r="A1470">
        <v>1469</v>
      </c>
      <c r="B1470" s="7" t="s">
        <v>372</v>
      </c>
      <c r="C1470" t="s">
        <v>1311</v>
      </c>
      <c r="D1470" s="65" t="str">
        <f t="shared" si="44"/>
        <v>Y</v>
      </c>
      <c r="E1470" t="s">
        <v>1315</v>
      </c>
      <c r="F1470" s="25" t="s">
        <v>295</v>
      </c>
      <c r="G1470" s="26">
        <v>5</v>
      </c>
      <c r="H1470" s="7" t="s">
        <v>295</v>
      </c>
      <c r="I1470" s="7" t="s">
        <v>292</v>
      </c>
      <c r="J1470" s="1">
        <v>5</v>
      </c>
      <c r="K1470" s="1">
        <v>5</v>
      </c>
      <c r="L1470" s="67">
        <f t="shared" si="45"/>
        <v>1</v>
      </c>
    </row>
    <row r="1471" spans="1:12" x14ac:dyDescent="0.2">
      <c r="A1471">
        <v>1470</v>
      </c>
      <c r="B1471" s="7" t="s">
        <v>356</v>
      </c>
      <c r="C1471" t="s">
        <v>1311</v>
      </c>
      <c r="D1471" s="65" t="str">
        <f t="shared" si="44"/>
        <v>Y</v>
      </c>
      <c r="E1471" t="s">
        <v>1315</v>
      </c>
      <c r="F1471" s="25" t="s">
        <v>295</v>
      </c>
      <c r="G1471" s="26">
        <v>5</v>
      </c>
      <c r="H1471" s="7" t="s">
        <v>298</v>
      </c>
      <c r="I1471" s="7" t="s">
        <v>296</v>
      </c>
      <c r="J1471" s="1">
        <v>3</v>
      </c>
      <c r="K1471" s="1">
        <v>6</v>
      </c>
      <c r="L1471" s="67">
        <f t="shared" si="45"/>
        <v>0</v>
      </c>
    </row>
    <row r="1472" spans="1:12" x14ac:dyDescent="0.2">
      <c r="A1472">
        <v>1471</v>
      </c>
      <c r="B1472" s="7" t="s">
        <v>372</v>
      </c>
      <c r="C1472" t="s">
        <v>1311</v>
      </c>
      <c r="D1472" s="65" t="str">
        <f t="shared" si="44"/>
        <v>Y</v>
      </c>
      <c r="E1472" t="s">
        <v>1315</v>
      </c>
      <c r="F1472" s="25" t="s">
        <v>295</v>
      </c>
      <c r="G1472" s="26">
        <v>5</v>
      </c>
      <c r="H1472" s="7" t="s">
        <v>295</v>
      </c>
      <c r="I1472" s="7" t="s">
        <v>296</v>
      </c>
      <c r="J1472" s="1">
        <v>5</v>
      </c>
      <c r="K1472" s="1">
        <v>6</v>
      </c>
      <c r="L1472" s="67">
        <f t="shared" si="45"/>
        <v>1</v>
      </c>
    </row>
    <row r="1473" spans="1:12" x14ac:dyDescent="0.2">
      <c r="A1473">
        <v>1472</v>
      </c>
      <c r="B1473" s="7" t="s">
        <v>372</v>
      </c>
      <c r="C1473" t="s">
        <v>1311</v>
      </c>
      <c r="D1473" s="65" t="str">
        <f t="shared" si="44"/>
        <v>Y</v>
      </c>
      <c r="E1473" t="s">
        <v>1315</v>
      </c>
      <c r="F1473" s="25" t="s">
        <v>295</v>
      </c>
      <c r="G1473" s="26">
        <v>5</v>
      </c>
      <c r="H1473" s="7" t="s">
        <v>295</v>
      </c>
      <c r="I1473" s="7" t="s">
        <v>296</v>
      </c>
      <c r="J1473" s="1">
        <v>5</v>
      </c>
      <c r="K1473" s="1">
        <v>6</v>
      </c>
      <c r="L1473" s="67">
        <f t="shared" si="45"/>
        <v>1</v>
      </c>
    </row>
    <row r="1474" spans="1:12" x14ac:dyDescent="0.2">
      <c r="A1474">
        <v>1473</v>
      </c>
      <c r="B1474" s="7" t="s">
        <v>356</v>
      </c>
      <c r="C1474" t="s">
        <v>1311</v>
      </c>
      <c r="D1474" s="65" t="str">
        <f t="shared" si="44"/>
        <v>Y</v>
      </c>
      <c r="E1474" t="s">
        <v>1315</v>
      </c>
      <c r="F1474" s="25" t="s">
        <v>295</v>
      </c>
      <c r="G1474" s="26">
        <v>5</v>
      </c>
      <c r="H1474" s="7" t="s">
        <v>295</v>
      </c>
      <c r="I1474" s="7" t="s">
        <v>292</v>
      </c>
      <c r="J1474" s="1">
        <v>5</v>
      </c>
      <c r="K1474" s="1">
        <v>5</v>
      </c>
      <c r="L1474" s="67">
        <f t="shared" si="45"/>
        <v>1</v>
      </c>
    </row>
    <row r="1475" spans="1:12" x14ac:dyDescent="0.2">
      <c r="A1475">
        <v>1474</v>
      </c>
      <c r="B1475" s="7" t="s">
        <v>372</v>
      </c>
      <c r="C1475" t="s">
        <v>1311</v>
      </c>
      <c r="D1475" s="65" t="str">
        <f t="shared" ref="D1475:D1538" si="46">IF($E1475="iso", "N", IF(OR($E1475="non", $E1475="emd", $E1475="dyn"), "Y", "ERROR"))</f>
        <v>Y</v>
      </c>
      <c r="E1475" t="s">
        <v>1315</v>
      </c>
      <c r="F1475" s="25" t="s">
        <v>295</v>
      </c>
      <c r="G1475" s="26">
        <v>5</v>
      </c>
      <c r="H1475" s="7" t="s">
        <v>295</v>
      </c>
      <c r="I1475" s="7" t="s">
        <v>292</v>
      </c>
      <c r="J1475" s="1">
        <v>5</v>
      </c>
      <c r="K1475" s="1">
        <v>5</v>
      </c>
      <c r="L1475" s="67">
        <f t="shared" ref="L1475:L1538" si="47">IF(G1475=J1475, 1, 0)</f>
        <v>1</v>
      </c>
    </row>
    <row r="1476" spans="1:12" x14ac:dyDescent="0.2">
      <c r="A1476">
        <v>1475</v>
      </c>
      <c r="B1476" s="7" t="s">
        <v>356</v>
      </c>
      <c r="C1476" t="s">
        <v>1311</v>
      </c>
      <c r="D1476" s="65" t="str">
        <f t="shared" si="46"/>
        <v>Y</v>
      </c>
      <c r="E1476" t="s">
        <v>1315</v>
      </c>
      <c r="F1476" s="25" t="s">
        <v>295</v>
      </c>
      <c r="G1476" s="26">
        <v>5</v>
      </c>
      <c r="H1476" s="7" t="s">
        <v>295</v>
      </c>
      <c r="I1476" s="7" t="s">
        <v>297</v>
      </c>
      <c r="J1476" s="1">
        <v>5</v>
      </c>
      <c r="K1476" s="1">
        <v>4</v>
      </c>
      <c r="L1476" s="67">
        <f t="shared" si="47"/>
        <v>1</v>
      </c>
    </row>
    <row r="1477" spans="1:12" x14ac:dyDescent="0.2">
      <c r="A1477">
        <v>1476</v>
      </c>
      <c r="B1477" s="7" t="s">
        <v>356</v>
      </c>
      <c r="C1477" t="s">
        <v>1311</v>
      </c>
      <c r="D1477" s="65" t="str">
        <f t="shared" si="46"/>
        <v>Y</v>
      </c>
      <c r="E1477" t="s">
        <v>1315</v>
      </c>
      <c r="F1477" s="25" t="s">
        <v>295</v>
      </c>
      <c r="G1477" s="26">
        <v>5</v>
      </c>
      <c r="H1477" s="7" t="s">
        <v>298</v>
      </c>
      <c r="I1477" s="7" t="s">
        <v>296</v>
      </c>
      <c r="J1477" s="1">
        <v>3</v>
      </c>
      <c r="K1477" s="1">
        <v>6</v>
      </c>
      <c r="L1477" s="67">
        <f t="shared" si="47"/>
        <v>0</v>
      </c>
    </row>
    <row r="1478" spans="1:12" x14ac:dyDescent="0.2">
      <c r="A1478">
        <v>1477</v>
      </c>
      <c r="B1478" s="7" t="s">
        <v>372</v>
      </c>
      <c r="C1478" t="s">
        <v>1311</v>
      </c>
      <c r="D1478" s="65" t="str">
        <f t="shared" si="46"/>
        <v>Y</v>
      </c>
      <c r="E1478" t="s">
        <v>1315</v>
      </c>
      <c r="F1478" s="25" t="s">
        <v>295</v>
      </c>
      <c r="G1478" s="26">
        <v>5</v>
      </c>
      <c r="H1478" s="7" t="s">
        <v>298</v>
      </c>
      <c r="I1478" s="7" t="s">
        <v>292</v>
      </c>
      <c r="J1478" s="1">
        <v>3</v>
      </c>
      <c r="K1478" s="1">
        <v>5</v>
      </c>
      <c r="L1478" s="67">
        <f t="shared" si="47"/>
        <v>0</v>
      </c>
    </row>
    <row r="1479" spans="1:12" x14ac:dyDescent="0.2">
      <c r="A1479">
        <v>1478</v>
      </c>
      <c r="B1479" s="7" t="s">
        <v>356</v>
      </c>
      <c r="C1479" t="s">
        <v>1311</v>
      </c>
      <c r="D1479" s="65" t="str">
        <f t="shared" si="46"/>
        <v>Y</v>
      </c>
      <c r="E1479" t="s">
        <v>1315</v>
      </c>
      <c r="F1479" s="25" t="s">
        <v>295</v>
      </c>
      <c r="G1479" s="26">
        <v>5</v>
      </c>
      <c r="H1479" s="7" t="s">
        <v>298</v>
      </c>
      <c r="I1479" s="7" t="s">
        <v>297</v>
      </c>
      <c r="J1479" s="1">
        <v>3</v>
      </c>
      <c r="K1479" s="1">
        <v>4</v>
      </c>
      <c r="L1479" s="67">
        <f t="shared" si="47"/>
        <v>0</v>
      </c>
    </row>
    <row r="1480" spans="1:12" x14ac:dyDescent="0.2">
      <c r="A1480">
        <v>1479</v>
      </c>
      <c r="B1480" s="7" t="s">
        <v>372</v>
      </c>
      <c r="C1480" t="s">
        <v>1311</v>
      </c>
      <c r="D1480" s="65" t="str">
        <f t="shared" si="46"/>
        <v>Y</v>
      </c>
      <c r="E1480" t="s">
        <v>1315</v>
      </c>
      <c r="F1480" s="25" t="s">
        <v>295</v>
      </c>
      <c r="G1480" s="26">
        <v>5</v>
      </c>
      <c r="H1480" s="7" t="s">
        <v>299</v>
      </c>
      <c r="I1480" s="7" t="s">
        <v>292</v>
      </c>
      <c r="J1480" s="1">
        <v>4</v>
      </c>
      <c r="K1480" s="1">
        <v>5</v>
      </c>
      <c r="L1480" s="67">
        <f t="shared" si="47"/>
        <v>0</v>
      </c>
    </row>
    <row r="1481" spans="1:12" x14ac:dyDescent="0.2">
      <c r="A1481">
        <v>1480</v>
      </c>
      <c r="B1481" s="7" t="s">
        <v>356</v>
      </c>
      <c r="C1481" t="s">
        <v>1311</v>
      </c>
      <c r="D1481" s="65" t="str">
        <f t="shared" si="46"/>
        <v>Y</v>
      </c>
      <c r="E1481" t="s">
        <v>1315</v>
      </c>
      <c r="F1481" s="25" t="s">
        <v>295</v>
      </c>
      <c r="G1481" s="26">
        <v>5</v>
      </c>
      <c r="H1481" s="7" t="s">
        <v>298</v>
      </c>
      <c r="I1481" s="7" t="s">
        <v>296</v>
      </c>
      <c r="J1481" s="1">
        <v>3</v>
      </c>
      <c r="K1481" s="1">
        <v>6</v>
      </c>
      <c r="L1481" s="67">
        <f t="shared" si="47"/>
        <v>0</v>
      </c>
    </row>
    <row r="1482" spans="1:12" x14ac:dyDescent="0.2">
      <c r="A1482">
        <v>1481</v>
      </c>
      <c r="B1482" s="7" t="s">
        <v>372</v>
      </c>
      <c r="C1482" t="s">
        <v>1311</v>
      </c>
      <c r="D1482" s="65" t="str">
        <f t="shared" si="46"/>
        <v>Y</v>
      </c>
      <c r="E1482" t="s">
        <v>1315</v>
      </c>
      <c r="F1482" s="25" t="s">
        <v>295</v>
      </c>
      <c r="G1482" s="26">
        <v>5</v>
      </c>
      <c r="H1482" s="7" t="s">
        <v>295</v>
      </c>
      <c r="I1482" s="7" t="s">
        <v>294</v>
      </c>
      <c r="J1482" s="1">
        <v>5</v>
      </c>
      <c r="K1482" s="1">
        <v>7</v>
      </c>
      <c r="L1482" s="67">
        <f t="shared" si="47"/>
        <v>1</v>
      </c>
    </row>
    <row r="1483" spans="1:12" x14ac:dyDescent="0.2">
      <c r="A1483">
        <v>1482</v>
      </c>
      <c r="B1483" s="7" t="s">
        <v>356</v>
      </c>
      <c r="C1483" t="s">
        <v>1311</v>
      </c>
      <c r="D1483" s="65" t="str">
        <f t="shared" si="46"/>
        <v>Y</v>
      </c>
      <c r="E1483" t="s">
        <v>1315</v>
      </c>
      <c r="F1483" s="25" t="s">
        <v>295</v>
      </c>
      <c r="G1483" s="26">
        <v>5</v>
      </c>
      <c r="H1483" s="7" t="s">
        <v>295</v>
      </c>
      <c r="I1483" s="7" t="s">
        <v>296</v>
      </c>
      <c r="J1483" s="1">
        <v>5</v>
      </c>
      <c r="K1483" s="1">
        <v>6</v>
      </c>
      <c r="L1483" s="67">
        <f t="shared" si="47"/>
        <v>1</v>
      </c>
    </row>
    <row r="1484" spans="1:12" x14ac:dyDescent="0.2">
      <c r="A1484">
        <v>1483</v>
      </c>
      <c r="B1484" s="7" t="s">
        <v>372</v>
      </c>
      <c r="C1484" t="s">
        <v>1311</v>
      </c>
      <c r="D1484" s="65" t="str">
        <f t="shared" si="46"/>
        <v>Y</v>
      </c>
      <c r="E1484" t="s">
        <v>1315</v>
      </c>
      <c r="F1484" s="25" t="s">
        <v>295</v>
      </c>
      <c r="G1484" s="26">
        <v>5</v>
      </c>
      <c r="H1484" s="7" t="s">
        <v>291</v>
      </c>
      <c r="I1484" s="7" t="s">
        <v>296</v>
      </c>
      <c r="J1484" s="1">
        <v>1</v>
      </c>
      <c r="K1484" s="1">
        <v>6</v>
      </c>
      <c r="L1484" s="67">
        <f t="shared" si="47"/>
        <v>0</v>
      </c>
    </row>
    <row r="1485" spans="1:12" x14ac:dyDescent="0.2">
      <c r="A1485">
        <v>1484</v>
      </c>
      <c r="B1485" s="7" t="s">
        <v>372</v>
      </c>
      <c r="C1485" t="s">
        <v>1311</v>
      </c>
      <c r="D1485" s="65" t="str">
        <f t="shared" si="46"/>
        <v>Y</v>
      </c>
      <c r="E1485" t="s">
        <v>1315</v>
      </c>
      <c r="F1485" s="25" t="s">
        <v>295</v>
      </c>
      <c r="G1485" s="26">
        <v>5</v>
      </c>
      <c r="H1485" s="7" t="s">
        <v>298</v>
      </c>
      <c r="I1485" s="7" t="s">
        <v>292</v>
      </c>
      <c r="J1485" s="1">
        <v>3</v>
      </c>
      <c r="K1485" s="1">
        <v>5</v>
      </c>
      <c r="L1485" s="67">
        <f t="shared" si="47"/>
        <v>0</v>
      </c>
    </row>
    <row r="1486" spans="1:12" x14ac:dyDescent="0.2">
      <c r="A1486">
        <v>1485</v>
      </c>
      <c r="B1486" s="7" t="s">
        <v>356</v>
      </c>
      <c r="C1486" t="s">
        <v>1311</v>
      </c>
      <c r="D1486" s="65" t="str">
        <f t="shared" si="46"/>
        <v>Y</v>
      </c>
      <c r="E1486" t="s">
        <v>1315</v>
      </c>
      <c r="F1486" s="25" t="s">
        <v>295</v>
      </c>
      <c r="G1486" s="26">
        <v>5</v>
      </c>
      <c r="H1486" s="7" t="s">
        <v>295</v>
      </c>
      <c r="I1486" s="7" t="s">
        <v>292</v>
      </c>
      <c r="J1486" s="1">
        <v>5</v>
      </c>
      <c r="K1486" s="1">
        <v>5</v>
      </c>
      <c r="L1486" s="67">
        <f t="shared" si="47"/>
        <v>1</v>
      </c>
    </row>
    <row r="1487" spans="1:12" x14ac:dyDescent="0.2">
      <c r="A1487">
        <v>1486</v>
      </c>
      <c r="B1487" s="7" t="s">
        <v>356</v>
      </c>
      <c r="C1487" t="s">
        <v>1311</v>
      </c>
      <c r="D1487" s="65" t="str">
        <f t="shared" si="46"/>
        <v>Y</v>
      </c>
      <c r="E1487" t="s">
        <v>1315</v>
      </c>
      <c r="F1487" s="25" t="s">
        <v>295</v>
      </c>
      <c r="G1487" s="26">
        <v>5</v>
      </c>
      <c r="H1487" s="7" t="s">
        <v>295</v>
      </c>
      <c r="I1487" s="7" t="s">
        <v>296</v>
      </c>
      <c r="J1487" s="1">
        <v>5</v>
      </c>
      <c r="K1487" s="1">
        <v>6</v>
      </c>
      <c r="L1487" s="67">
        <f t="shared" si="47"/>
        <v>1</v>
      </c>
    </row>
    <row r="1488" spans="1:12" x14ac:dyDescent="0.2">
      <c r="A1488">
        <v>1487</v>
      </c>
      <c r="B1488" s="7" t="s">
        <v>372</v>
      </c>
      <c r="C1488" t="s">
        <v>1311</v>
      </c>
      <c r="D1488" s="65" t="str">
        <f t="shared" si="46"/>
        <v>Y</v>
      </c>
      <c r="E1488" t="s">
        <v>1315</v>
      </c>
      <c r="F1488" s="25" t="s">
        <v>295</v>
      </c>
      <c r="G1488" s="26">
        <v>5</v>
      </c>
      <c r="H1488" s="7" t="s">
        <v>295</v>
      </c>
      <c r="I1488" s="7" t="s">
        <v>296</v>
      </c>
      <c r="J1488" s="1">
        <v>5</v>
      </c>
      <c r="K1488" s="1">
        <v>6</v>
      </c>
      <c r="L1488" s="67">
        <f t="shared" si="47"/>
        <v>1</v>
      </c>
    </row>
    <row r="1489" spans="1:12" x14ac:dyDescent="0.2">
      <c r="A1489">
        <v>1488</v>
      </c>
      <c r="B1489" s="7" t="s">
        <v>372</v>
      </c>
      <c r="C1489" t="s">
        <v>1311</v>
      </c>
      <c r="D1489" s="65" t="str">
        <f t="shared" si="46"/>
        <v>Y</v>
      </c>
      <c r="E1489" t="s">
        <v>1315</v>
      </c>
      <c r="F1489" s="25" t="s">
        <v>295</v>
      </c>
      <c r="G1489" s="26">
        <v>5</v>
      </c>
      <c r="H1489" s="7" t="s">
        <v>298</v>
      </c>
      <c r="I1489" s="7" t="s">
        <v>292</v>
      </c>
      <c r="J1489" s="1">
        <v>3</v>
      </c>
      <c r="K1489" s="1">
        <v>5</v>
      </c>
      <c r="L1489" s="67">
        <f t="shared" si="47"/>
        <v>0</v>
      </c>
    </row>
    <row r="1490" spans="1:12" x14ac:dyDescent="0.2">
      <c r="A1490">
        <v>1489</v>
      </c>
      <c r="B1490" s="7" t="s">
        <v>356</v>
      </c>
      <c r="C1490" t="s">
        <v>1311</v>
      </c>
      <c r="D1490" s="65" t="str">
        <f t="shared" si="46"/>
        <v>Y</v>
      </c>
      <c r="E1490" t="s">
        <v>1315</v>
      </c>
      <c r="F1490" s="25" t="s">
        <v>295</v>
      </c>
      <c r="G1490" s="26">
        <v>5</v>
      </c>
      <c r="H1490" s="7" t="s">
        <v>295</v>
      </c>
      <c r="I1490" s="7" t="s">
        <v>292</v>
      </c>
      <c r="J1490" s="1">
        <v>5</v>
      </c>
      <c r="K1490" s="1">
        <v>5</v>
      </c>
      <c r="L1490" s="67">
        <f t="shared" si="47"/>
        <v>1</v>
      </c>
    </row>
    <row r="1491" spans="1:12" x14ac:dyDescent="0.2">
      <c r="A1491">
        <v>1490</v>
      </c>
      <c r="B1491" s="7" t="s">
        <v>372</v>
      </c>
      <c r="C1491" t="s">
        <v>1311</v>
      </c>
      <c r="D1491" s="65" t="str">
        <f t="shared" si="46"/>
        <v>Y</v>
      </c>
      <c r="E1491" t="s">
        <v>1315</v>
      </c>
      <c r="F1491" s="25" t="s">
        <v>295</v>
      </c>
      <c r="G1491" s="26">
        <v>5</v>
      </c>
      <c r="H1491" s="7" t="s">
        <v>291</v>
      </c>
      <c r="I1491" s="7" t="s">
        <v>296</v>
      </c>
      <c r="J1491" s="1">
        <v>1</v>
      </c>
      <c r="K1491" s="1">
        <v>6</v>
      </c>
      <c r="L1491" s="67">
        <f t="shared" si="47"/>
        <v>0</v>
      </c>
    </row>
    <row r="1492" spans="1:12" x14ac:dyDescent="0.2">
      <c r="A1492">
        <v>1491</v>
      </c>
      <c r="B1492" s="7" t="s">
        <v>356</v>
      </c>
      <c r="C1492" t="s">
        <v>1311</v>
      </c>
      <c r="D1492" s="65" t="str">
        <f t="shared" si="46"/>
        <v>Y</v>
      </c>
      <c r="E1492" t="s">
        <v>1315</v>
      </c>
      <c r="F1492" s="25" t="s">
        <v>295</v>
      </c>
      <c r="G1492" s="26">
        <v>5</v>
      </c>
      <c r="H1492" s="7" t="s">
        <v>295</v>
      </c>
      <c r="I1492" s="7" t="s">
        <v>296</v>
      </c>
      <c r="J1492" s="1">
        <v>5</v>
      </c>
      <c r="K1492" s="1">
        <v>6</v>
      </c>
      <c r="L1492" s="67">
        <f t="shared" si="47"/>
        <v>1</v>
      </c>
    </row>
    <row r="1493" spans="1:12" x14ac:dyDescent="0.2">
      <c r="A1493">
        <v>1492</v>
      </c>
      <c r="B1493" s="7" t="s">
        <v>356</v>
      </c>
      <c r="C1493" t="s">
        <v>1311</v>
      </c>
      <c r="D1493" s="65" t="str">
        <f t="shared" si="46"/>
        <v>Y</v>
      </c>
      <c r="E1493" t="s">
        <v>1315</v>
      </c>
      <c r="F1493" s="25" t="s">
        <v>295</v>
      </c>
      <c r="G1493" s="26">
        <v>5</v>
      </c>
      <c r="H1493" s="7" t="s">
        <v>298</v>
      </c>
      <c r="I1493" s="7" t="s">
        <v>292</v>
      </c>
      <c r="J1493" s="1">
        <v>3</v>
      </c>
      <c r="K1493" s="1">
        <v>5</v>
      </c>
      <c r="L1493" s="67">
        <f t="shared" si="47"/>
        <v>0</v>
      </c>
    </row>
    <row r="1494" spans="1:12" x14ac:dyDescent="0.2">
      <c r="A1494">
        <v>1493</v>
      </c>
      <c r="B1494" s="7" t="s">
        <v>372</v>
      </c>
      <c r="C1494" t="s">
        <v>1311</v>
      </c>
      <c r="D1494" s="65" t="str">
        <f t="shared" si="46"/>
        <v>Y</v>
      </c>
      <c r="E1494" t="s">
        <v>1315</v>
      </c>
      <c r="F1494" s="25" t="s">
        <v>295</v>
      </c>
      <c r="G1494" s="26">
        <v>5</v>
      </c>
      <c r="H1494" s="7" t="s">
        <v>298</v>
      </c>
      <c r="I1494" s="7" t="s">
        <v>292</v>
      </c>
      <c r="J1494" s="1">
        <v>3</v>
      </c>
      <c r="K1494" s="1">
        <v>5</v>
      </c>
      <c r="L1494" s="67">
        <f t="shared" si="47"/>
        <v>0</v>
      </c>
    </row>
    <row r="1495" spans="1:12" x14ac:dyDescent="0.2">
      <c r="A1495">
        <v>1494</v>
      </c>
      <c r="B1495" s="7" t="s">
        <v>372</v>
      </c>
      <c r="C1495" t="s">
        <v>1311</v>
      </c>
      <c r="D1495" s="65" t="str">
        <f t="shared" si="46"/>
        <v>Y</v>
      </c>
      <c r="E1495" t="s">
        <v>1315</v>
      </c>
      <c r="F1495" s="25" t="s">
        <v>295</v>
      </c>
      <c r="G1495" s="26">
        <v>5</v>
      </c>
      <c r="H1495" s="7" t="s">
        <v>298</v>
      </c>
      <c r="I1495" s="7" t="s">
        <v>296</v>
      </c>
      <c r="J1495" s="1">
        <v>3</v>
      </c>
      <c r="K1495" s="1">
        <v>6</v>
      </c>
      <c r="L1495" s="67">
        <f t="shared" si="47"/>
        <v>0</v>
      </c>
    </row>
    <row r="1496" spans="1:12" x14ac:dyDescent="0.2">
      <c r="A1496">
        <v>1495</v>
      </c>
      <c r="B1496" s="7" t="s">
        <v>356</v>
      </c>
      <c r="C1496" t="s">
        <v>1311</v>
      </c>
      <c r="D1496" s="65" t="str">
        <f t="shared" si="46"/>
        <v>Y</v>
      </c>
      <c r="E1496" t="s">
        <v>1315</v>
      </c>
      <c r="F1496" s="25" t="s">
        <v>295</v>
      </c>
      <c r="G1496" s="26">
        <v>5</v>
      </c>
      <c r="H1496" s="7" t="s">
        <v>295</v>
      </c>
      <c r="I1496" s="7" t="s">
        <v>296</v>
      </c>
      <c r="J1496" s="1">
        <v>5</v>
      </c>
      <c r="K1496" s="1">
        <v>6</v>
      </c>
      <c r="L1496" s="67">
        <f t="shared" si="47"/>
        <v>1</v>
      </c>
    </row>
    <row r="1497" spans="1:12" x14ac:dyDescent="0.2">
      <c r="A1497">
        <v>1496</v>
      </c>
      <c r="B1497" s="7" t="s">
        <v>356</v>
      </c>
      <c r="C1497" t="s">
        <v>1311</v>
      </c>
      <c r="D1497" s="65" t="str">
        <f t="shared" si="46"/>
        <v>Y</v>
      </c>
      <c r="E1497" t="s">
        <v>1315</v>
      </c>
      <c r="F1497" s="25" t="s">
        <v>295</v>
      </c>
      <c r="G1497" s="26">
        <v>5</v>
      </c>
      <c r="H1497" s="7" t="s">
        <v>295</v>
      </c>
      <c r="I1497" s="7" t="s">
        <v>296</v>
      </c>
      <c r="J1497" s="1">
        <v>5</v>
      </c>
      <c r="K1497" s="1">
        <v>6</v>
      </c>
      <c r="L1497" s="67">
        <f t="shared" si="47"/>
        <v>1</v>
      </c>
    </row>
    <row r="1498" spans="1:12" x14ac:dyDescent="0.2">
      <c r="A1498">
        <v>1497</v>
      </c>
      <c r="B1498" s="7" t="s">
        <v>372</v>
      </c>
      <c r="C1498" t="s">
        <v>1311</v>
      </c>
      <c r="D1498" s="65" t="str">
        <f t="shared" si="46"/>
        <v>Y</v>
      </c>
      <c r="E1498" t="s">
        <v>1315</v>
      </c>
      <c r="F1498" s="25" t="s">
        <v>295</v>
      </c>
      <c r="G1498" s="26">
        <v>5</v>
      </c>
      <c r="H1498" s="7" t="s">
        <v>298</v>
      </c>
      <c r="I1498" s="7" t="s">
        <v>330</v>
      </c>
      <c r="J1498" s="1">
        <v>3</v>
      </c>
      <c r="K1498" s="1">
        <v>3</v>
      </c>
      <c r="L1498" s="67">
        <f t="shared" si="47"/>
        <v>0</v>
      </c>
    </row>
    <row r="1499" spans="1:12" x14ac:dyDescent="0.2">
      <c r="A1499">
        <v>1498</v>
      </c>
      <c r="B1499" s="7" t="s">
        <v>356</v>
      </c>
      <c r="C1499" t="s">
        <v>1311</v>
      </c>
      <c r="D1499" s="65" t="str">
        <f t="shared" si="46"/>
        <v>Y</v>
      </c>
      <c r="E1499" t="s">
        <v>1315</v>
      </c>
      <c r="F1499" s="25" t="s">
        <v>295</v>
      </c>
      <c r="G1499" s="26">
        <v>5</v>
      </c>
      <c r="H1499" s="7" t="s">
        <v>295</v>
      </c>
      <c r="I1499" s="7" t="s">
        <v>292</v>
      </c>
      <c r="J1499" s="1">
        <v>5</v>
      </c>
      <c r="K1499" s="1">
        <v>5</v>
      </c>
      <c r="L1499" s="67">
        <f t="shared" si="47"/>
        <v>1</v>
      </c>
    </row>
    <row r="1500" spans="1:12" x14ac:dyDescent="0.2">
      <c r="A1500">
        <v>1499</v>
      </c>
      <c r="B1500" s="7" t="s">
        <v>372</v>
      </c>
      <c r="C1500" t="s">
        <v>1311</v>
      </c>
      <c r="D1500" s="65" t="str">
        <f t="shared" si="46"/>
        <v>Y</v>
      </c>
      <c r="E1500" t="s">
        <v>1315</v>
      </c>
      <c r="F1500" s="25" t="s">
        <v>295</v>
      </c>
      <c r="G1500" s="26">
        <v>5</v>
      </c>
      <c r="H1500" s="7" t="s">
        <v>298</v>
      </c>
      <c r="I1500" s="7" t="s">
        <v>292</v>
      </c>
      <c r="J1500" s="1">
        <v>3</v>
      </c>
      <c r="K1500" s="1">
        <v>5</v>
      </c>
      <c r="L1500" s="67">
        <f t="shared" si="47"/>
        <v>0</v>
      </c>
    </row>
    <row r="1501" spans="1:12" x14ac:dyDescent="0.2">
      <c r="A1501">
        <v>1500</v>
      </c>
      <c r="B1501" s="7" t="s">
        <v>356</v>
      </c>
      <c r="C1501" t="s">
        <v>1311</v>
      </c>
      <c r="D1501" s="65" t="str">
        <f t="shared" si="46"/>
        <v>Y</v>
      </c>
      <c r="E1501" t="s">
        <v>1315</v>
      </c>
      <c r="F1501" s="25" t="s">
        <v>295</v>
      </c>
      <c r="G1501" s="26">
        <v>5</v>
      </c>
      <c r="H1501" s="7" t="s">
        <v>295</v>
      </c>
      <c r="I1501" s="7" t="s">
        <v>294</v>
      </c>
      <c r="J1501" s="1">
        <v>5</v>
      </c>
      <c r="K1501" s="1">
        <v>7</v>
      </c>
      <c r="L1501" s="67">
        <f t="shared" si="47"/>
        <v>1</v>
      </c>
    </row>
    <row r="1502" spans="1:12" x14ac:dyDescent="0.2">
      <c r="A1502">
        <v>1501</v>
      </c>
      <c r="B1502" s="7" t="s">
        <v>372</v>
      </c>
      <c r="C1502" t="s">
        <v>1311</v>
      </c>
      <c r="D1502" s="65" t="str">
        <f t="shared" si="46"/>
        <v>Y</v>
      </c>
      <c r="E1502" t="s">
        <v>1315</v>
      </c>
      <c r="F1502" s="25" t="s">
        <v>295</v>
      </c>
      <c r="G1502" s="26">
        <v>5</v>
      </c>
      <c r="H1502" s="7" t="s">
        <v>295</v>
      </c>
      <c r="I1502" s="7" t="s">
        <v>297</v>
      </c>
      <c r="J1502" s="1">
        <v>5</v>
      </c>
      <c r="K1502" s="1">
        <v>4</v>
      </c>
      <c r="L1502" s="67">
        <f t="shared" si="47"/>
        <v>1</v>
      </c>
    </row>
    <row r="1503" spans="1:12" x14ac:dyDescent="0.2">
      <c r="A1503">
        <v>1502</v>
      </c>
      <c r="B1503" s="7" t="s">
        <v>356</v>
      </c>
      <c r="C1503" t="s">
        <v>1311</v>
      </c>
      <c r="D1503" s="65" t="str">
        <f t="shared" si="46"/>
        <v>Y</v>
      </c>
      <c r="E1503" t="s">
        <v>1315</v>
      </c>
      <c r="F1503" s="25" t="s">
        <v>298</v>
      </c>
      <c r="G1503" s="26">
        <v>3</v>
      </c>
      <c r="H1503" s="7" t="s">
        <v>298</v>
      </c>
      <c r="I1503" s="7" t="s">
        <v>296</v>
      </c>
      <c r="J1503" s="1">
        <v>3</v>
      </c>
      <c r="K1503" s="1">
        <v>6</v>
      </c>
      <c r="L1503" s="67">
        <f t="shared" si="47"/>
        <v>1</v>
      </c>
    </row>
    <row r="1504" spans="1:12" x14ac:dyDescent="0.2">
      <c r="A1504">
        <v>1503</v>
      </c>
      <c r="B1504" s="7" t="s">
        <v>372</v>
      </c>
      <c r="C1504" t="s">
        <v>1311</v>
      </c>
      <c r="D1504" s="65" t="str">
        <f t="shared" si="46"/>
        <v>Y</v>
      </c>
      <c r="E1504" t="s">
        <v>1315</v>
      </c>
      <c r="F1504" s="25" t="s">
        <v>298</v>
      </c>
      <c r="G1504" s="26">
        <v>3</v>
      </c>
      <c r="H1504" s="7" t="s">
        <v>295</v>
      </c>
      <c r="I1504" s="7" t="s">
        <v>297</v>
      </c>
      <c r="J1504" s="1">
        <v>5</v>
      </c>
      <c r="K1504" s="1">
        <v>4</v>
      </c>
      <c r="L1504" s="67">
        <f t="shared" si="47"/>
        <v>0</v>
      </c>
    </row>
    <row r="1505" spans="1:12" x14ac:dyDescent="0.2">
      <c r="A1505">
        <v>1504</v>
      </c>
      <c r="B1505" s="7" t="s">
        <v>372</v>
      </c>
      <c r="C1505" t="s">
        <v>1311</v>
      </c>
      <c r="D1505" s="65" t="str">
        <f t="shared" si="46"/>
        <v>Y</v>
      </c>
      <c r="E1505" t="s">
        <v>1315</v>
      </c>
      <c r="F1505" s="25" t="s">
        <v>298</v>
      </c>
      <c r="G1505" s="26">
        <v>3</v>
      </c>
      <c r="H1505" s="7" t="s">
        <v>298</v>
      </c>
      <c r="I1505" s="7" t="s">
        <v>292</v>
      </c>
      <c r="J1505" s="1">
        <v>3</v>
      </c>
      <c r="K1505" s="1">
        <v>5</v>
      </c>
      <c r="L1505" s="67">
        <f t="shared" si="47"/>
        <v>1</v>
      </c>
    </row>
    <row r="1506" spans="1:12" x14ac:dyDescent="0.2">
      <c r="A1506">
        <v>1505</v>
      </c>
      <c r="B1506" s="7" t="s">
        <v>356</v>
      </c>
      <c r="C1506" t="s">
        <v>1311</v>
      </c>
      <c r="D1506" s="65" t="str">
        <f t="shared" si="46"/>
        <v>Y</v>
      </c>
      <c r="E1506" t="s">
        <v>1315</v>
      </c>
      <c r="F1506" s="25" t="s">
        <v>298</v>
      </c>
      <c r="G1506" s="26">
        <v>3</v>
      </c>
      <c r="H1506" s="7" t="s">
        <v>291</v>
      </c>
      <c r="I1506" s="7" t="s">
        <v>292</v>
      </c>
      <c r="J1506" s="1">
        <v>1</v>
      </c>
      <c r="K1506" s="1">
        <v>5</v>
      </c>
      <c r="L1506" s="67">
        <f t="shared" si="47"/>
        <v>0</v>
      </c>
    </row>
    <row r="1507" spans="1:12" x14ac:dyDescent="0.2">
      <c r="A1507">
        <v>1506</v>
      </c>
      <c r="B1507" s="7" t="s">
        <v>372</v>
      </c>
      <c r="C1507" t="s">
        <v>1311</v>
      </c>
      <c r="D1507" s="65" t="str">
        <f t="shared" si="46"/>
        <v>Y</v>
      </c>
      <c r="E1507" t="s">
        <v>1315</v>
      </c>
      <c r="F1507" s="25" t="s">
        <v>298</v>
      </c>
      <c r="G1507" s="26">
        <v>3</v>
      </c>
      <c r="H1507" s="7" t="s">
        <v>298</v>
      </c>
      <c r="I1507" s="7" t="s">
        <v>292</v>
      </c>
      <c r="J1507" s="1">
        <v>3</v>
      </c>
      <c r="K1507" s="1">
        <v>5</v>
      </c>
      <c r="L1507" s="67">
        <f t="shared" si="47"/>
        <v>1</v>
      </c>
    </row>
    <row r="1508" spans="1:12" x14ac:dyDescent="0.2">
      <c r="A1508">
        <v>1507</v>
      </c>
      <c r="B1508" s="7" t="s">
        <v>356</v>
      </c>
      <c r="C1508" t="s">
        <v>1311</v>
      </c>
      <c r="D1508" s="65" t="str">
        <f t="shared" si="46"/>
        <v>Y</v>
      </c>
      <c r="E1508" t="s">
        <v>1315</v>
      </c>
      <c r="F1508" s="25" t="s">
        <v>298</v>
      </c>
      <c r="G1508" s="26">
        <v>3</v>
      </c>
      <c r="H1508" s="7" t="s">
        <v>298</v>
      </c>
      <c r="I1508" s="7" t="s">
        <v>292</v>
      </c>
      <c r="J1508" s="1">
        <v>3</v>
      </c>
      <c r="K1508" s="1">
        <v>5</v>
      </c>
      <c r="L1508" s="67">
        <f t="shared" si="47"/>
        <v>1</v>
      </c>
    </row>
    <row r="1509" spans="1:12" x14ac:dyDescent="0.2">
      <c r="A1509">
        <v>1508</v>
      </c>
      <c r="B1509" s="7" t="s">
        <v>372</v>
      </c>
      <c r="C1509" t="s">
        <v>1311</v>
      </c>
      <c r="D1509" s="65" t="str">
        <f t="shared" si="46"/>
        <v>Y</v>
      </c>
      <c r="E1509" t="s">
        <v>1315</v>
      </c>
      <c r="F1509" s="25" t="s">
        <v>298</v>
      </c>
      <c r="G1509" s="26">
        <v>3</v>
      </c>
      <c r="H1509" s="7" t="s">
        <v>291</v>
      </c>
      <c r="I1509" s="7" t="s">
        <v>292</v>
      </c>
      <c r="J1509" s="1">
        <v>1</v>
      </c>
      <c r="K1509" s="1">
        <v>5</v>
      </c>
      <c r="L1509" s="67">
        <f t="shared" si="47"/>
        <v>0</v>
      </c>
    </row>
    <row r="1510" spans="1:12" x14ac:dyDescent="0.2">
      <c r="A1510">
        <v>1509</v>
      </c>
      <c r="B1510" s="7" t="s">
        <v>356</v>
      </c>
      <c r="C1510" t="s">
        <v>1311</v>
      </c>
      <c r="D1510" s="65" t="str">
        <f t="shared" si="46"/>
        <v>Y</v>
      </c>
      <c r="E1510" t="s">
        <v>1315</v>
      </c>
      <c r="F1510" s="25" t="s">
        <v>298</v>
      </c>
      <c r="G1510" s="26">
        <v>3</v>
      </c>
      <c r="H1510" s="7" t="s">
        <v>299</v>
      </c>
      <c r="I1510" s="7" t="s">
        <v>292</v>
      </c>
      <c r="J1510" s="1">
        <v>4</v>
      </c>
      <c r="K1510" s="1">
        <v>5</v>
      </c>
      <c r="L1510" s="67">
        <f t="shared" si="47"/>
        <v>0</v>
      </c>
    </row>
    <row r="1511" spans="1:12" x14ac:dyDescent="0.2">
      <c r="A1511">
        <v>1510</v>
      </c>
      <c r="B1511" s="7" t="s">
        <v>372</v>
      </c>
      <c r="C1511" t="s">
        <v>1311</v>
      </c>
      <c r="D1511" s="65" t="str">
        <f t="shared" si="46"/>
        <v>Y</v>
      </c>
      <c r="E1511" t="s">
        <v>1315</v>
      </c>
      <c r="F1511" s="25" t="s">
        <v>298</v>
      </c>
      <c r="G1511" s="26">
        <v>3</v>
      </c>
      <c r="H1511" s="7" t="s">
        <v>298</v>
      </c>
      <c r="I1511" s="7" t="s">
        <v>296</v>
      </c>
      <c r="J1511" s="1">
        <v>3</v>
      </c>
      <c r="K1511" s="1">
        <v>6</v>
      </c>
      <c r="L1511" s="67">
        <f t="shared" si="47"/>
        <v>1</v>
      </c>
    </row>
    <row r="1512" spans="1:12" x14ac:dyDescent="0.2">
      <c r="A1512">
        <v>1511</v>
      </c>
      <c r="B1512" s="7" t="s">
        <v>356</v>
      </c>
      <c r="C1512" t="s">
        <v>1311</v>
      </c>
      <c r="D1512" s="65" t="str">
        <f t="shared" si="46"/>
        <v>Y</v>
      </c>
      <c r="E1512" t="s">
        <v>1315</v>
      </c>
      <c r="F1512" s="25" t="s">
        <v>298</v>
      </c>
      <c r="G1512" s="26">
        <v>3</v>
      </c>
      <c r="H1512" s="7" t="s">
        <v>291</v>
      </c>
      <c r="I1512" s="7" t="s">
        <v>297</v>
      </c>
      <c r="J1512" s="1">
        <v>1</v>
      </c>
      <c r="K1512" s="1">
        <v>4</v>
      </c>
      <c r="L1512" s="67">
        <f t="shared" si="47"/>
        <v>0</v>
      </c>
    </row>
    <row r="1513" spans="1:12" x14ac:dyDescent="0.2">
      <c r="A1513">
        <v>1512</v>
      </c>
      <c r="B1513" s="7" t="s">
        <v>356</v>
      </c>
      <c r="C1513" t="s">
        <v>1311</v>
      </c>
      <c r="D1513" s="65" t="str">
        <f t="shared" si="46"/>
        <v>Y</v>
      </c>
      <c r="E1513" t="s">
        <v>1315</v>
      </c>
      <c r="F1513" s="25" t="s">
        <v>298</v>
      </c>
      <c r="G1513" s="26">
        <v>3</v>
      </c>
      <c r="H1513" s="7" t="s">
        <v>298</v>
      </c>
      <c r="I1513" s="7" t="s">
        <v>292</v>
      </c>
      <c r="J1513" s="1">
        <v>3</v>
      </c>
      <c r="K1513" s="1">
        <v>5</v>
      </c>
      <c r="L1513" s="67">
        <f t="shared" si="47"/>
        <v>1</v>
      </c>
    </row>
    <row r="1514" spans="1:12" x14ac:dyDescent="0.2">
      <c r="A1514">
        <v>1513</v>
      </c>
      <c r="B1514" s="7" t="s">
        <v>372</v>
      </c>
      <c r="C1514" t="s">
        <v>1311</v>
      </c>
      <c r="D1514" s="65" t="str">
        <f t="shared" si="46"/>
        <v>Y</v>
      </c>
      <c r="E1514" t="s">
        <v>1315</v>
      </c>
      <c r="F1514" s="25" t="s">
        <v>298</v>
      </c>
      <c r="G1514" s="26">
        <v>3</v>
      </c>
      <c r="H1514" s="7" t="s">
        <v>298</v>
      </c>
      <c r="I1514" s="7" t="s">
        <v>296</v>
      </c>
      <c r="J1514" s="1">
        <v>3</v>
      </c>
      <c r="K1514" s="1">
        <v>6</v>
      </c>
      <c r="L1514" s="67">
        <f t="shared" si="47"/>
        <v>1</v>
      </c>
    </row>
    <row r="1515" spans="1:12" x14ac:dyDescent="0.2">
      <c r="A1515">
        <v>1514</v>
      </c>
      <c r="B1515" s="7" t="s">
        <v>356</v>
      </c>
      <c r="C1515" t="s">
        <v>1311</v>
      </c>
      <c r="D1515" s="65" t="str">
        <f t="shared" si="46"/>
        <v>Y</v>
      </c>
      <c r="E1515" t="s">
        <v>1315</v>
      </c>
      <c r="F1515" s="25" t="s">
        <v>298</v>
      </c>
      <c r="G1515" s="26">
        <v>3</v>
      </c>
      <c r="H1515" s="7" t="s">
        <v>298</v>
      </c>
      <c r="I1515" s="7" t="s">
        <v>296</v>
      </c>
      <c r="J1515" s="1">
        <v>3</v>
      </c>
      <c r="K1515" s="1">
        <v>6</v>
      </c>
      <c r="L1515" s="67">
        <f t="shared" si="47"/>
        <v>1</v>
      </c>
    </row>
    <row r="1516" spans="1:12" x14ac:dyDescent="0.2">
      <c r="A1516">
        <v>1515</v>
      </c>
      <c r="B1516" s="7" t="s">
        <v>372</v>
      </c>
      <c r="C1516" t="s">
        <v>1311</v>
      </c>
      <c r="D1516" s="65" t="str">
        <f t="shared" si="46"/>
        <v>Y</v>
      </c>
      <c r="E1516" t="s">
        <v>1315</v>
      </c>
      <c r="F1516" s="25" t="s">
        <v>298</v>
      </c>
      <c r="G1516" s="26">
        <v>3</v>
      </c>
      <c r="H1516" s="7" t="s">
        <v>298</v>
      </c>
      <c r="I1516" s="7" t="s">
        <v>294</v>
      </c>
      <c r="J1516" s="1">
        <v>3</v>
      </c>
      <c r="K1516" s="1">
        <v>7</v>
      </c>
      <c r="L1516" s="67">
        <f t="shared" si="47"/>
        <v>1</v>
      </c>
    </row>
    <row r="1517" spans="1:12" x14ac:dyDescent="0.2">
      <c r="A1517">
        <v>1516</v>
      </c>
      <c r="B1517" s="7" t="s">
        <v>356</v>
      </c>
      <c r="C1517" t="s">
        <v>1311</v>
      </c>
      <c r="D1517" s="65" t="str">
        <f t="shared" si="46"/>
        <v>Y</v>
      </c>
      <c r="E1517" t="s">
        <v>1315</v>
      </c>
      <c r="F1517" s="25" t="s">
        <v>298</v>
      </c>
      <c r="G1517" s="26">
        <v>3</v>
      </c>
      <c r="H1517" s="7" t="s">
        <v>298</v>
      </c>
      <c r="I1517" s="7" t="s">
        <v>294</v>
      </c>
      <c r="J1517" s="1">
        <v>3</v>
      </c>
      <c r="K1517" s="1">
        <v>7</v>
      </c>
      <c r="L1517" s="67">
        <f t="shared" si="47"/>
        <v>1</v>
      </c>
    </row>
    <row r="1518" spans="1:12" x14ac:dyDescent="0.2">
      <c r="A1518">
        <v>1517</v>
      </c>
      <c r="B1518" s="7" t="s">
        <v>372</v>
      </c>
      <c r="C1518" t="s">
        <v>1311</v>
      </c>
      <c r="D1518" s="65" t="str">
        <f t="shared" si="46"/>
        <v>Y</v>
      </c>
      <c r="E1518" t="s">
        <v>1315</v>
      </c>
      <c r="F1518" s="25" t="s">
        <v>298</v>
      </c>
      <c r="G1518" s="26">
        <v>3</v>
      </c>
      <c r="H1518" s="7" t="s">
        <v>298</v>
      </c>
      <c r="I1518" s="7" t="s">
        <v>296</v>
      </c>
      <c r="J1518" s="1">
        <v>3</v>
      </c>
      <c r="K1518" s="1">
        <v>6</v>
      </c>
      <c r="L1518" s="67">
        <f t="shared" si="47"/>
        <v>1</v>
      </c>
    </row>
    <row r="1519" spans="1:12" x14ac:dyDescent="0.2">
      <c r="A1519">
        <v>1518</v>
      </c>
      <c r="B1519" s="7" t="s">
        <v>372</v>
      </c>
      <c r="C1519" t="s">
        <v>1311</v>
      </c>
      <c r="D1519" s="65" t="str">
        <f t="shared" si="46"/>
        <v>Y</v>
      </c>
      <c r="E1519" t="s">
        <v>1315</v>
      </c>
      <c r="F1519" s="25" t="s">
        <v>298</v>
      </c>
      <c r="G1519" s="26">
        <v>3</v>
      </c>
      <c r="H1519" s="7" t="s">
        <v>291</v>
      </c>
      <c r="I1519" s="7" t="s">
        <v>296</v>
      </c>
      <c r="J1519" s="1">
        <v>1</v>
      </c>
      <c r="K1519" s="1">
        <v>6</v>
      </c>
      <c r="L1519" s="67">
        <f t="shared" si="47"/>
        <v>0</v>
      </c>
    </row>
    <row r="1520" spans="1:12" x14ac:dyDescent="0.2">
      <c r="A1520">
        <v>1519</v>
      </c>
      <c r="B1520" s="7" t="s">
        <v>356</v>
      </c>
      <c r="C1520" t="s">
        <v>1311</v>
      </c>
      <c r="D1520" s="65" t="str">
        <f t="shared" si="46"/>
        <v>Y</v>
      </c>
      <c r="E1520" t="s">
        <v>1315</v>
      </c>
      <c r="F1520" s="25" t="s">
        <v>298</v>
      </c>
      <c r="G1520" s="26">
        <v>3</v>
      </c>
      <c r="H1520" s="7" t="s">
        <v>299</v>
      </c>
      <c r="I1520" s="7" t="s">
        <v>296</v>
      </c>
      <c r="J1520" s="1">
        <v>4</v>
      </c>
      <c r="K1520" s="1">
        <v>6</v>
      </c>
      <c r="L1520" s="67">
        <f t="shared" si="47"/>
        <v>0</v>
      </c>
    </row>
    <row r="1521" spans="1:12" x14ac:dyDescent="0.2">
      <c r="A1521">
        <v>1520</v>
      </c>
      <c r="B1521" s="7" t="s">
        <v>356</v>
      </c>
      <c r="C1521" t="s">
        <v>1311</v>
      </c>
      <c r="D1521" s="65" t="str">
        <f t="shared" si="46"/>
        <v>Y</v>
      </c>
      <c r="E1521" t="s">
        <v>1315</v>
      </c>
      <c r="F1521" s="25" t="s">
        <v>298</v>
      </c>
      <c r="G1521" s="26">
        <v>3</v>
      </c>
      <c r="H1521" s="7" t="s">
        <v>298</v>
      </c>
      <c r="I1521" s="7" t="s">
        <v>296</v>
      </c>
      <c r="J1521" s="1">
        <v>3</v>
      </c>
      <c r="K1521" s="1">
        <v>6</v>
      </c>
      <c r="L1521" s="67">
        <f t="shared" si="47"/>
        <v>1</v>
      </c>
    </row>
    <row r="1522" spans="1:12" x14ac:dyDescent="0.2">
      <c r="A1522">
        <v>1521</v>
      </c>
      <c r="B1522" s="7" t="s">
        <v>372</v>
      </c>
      <c r="C1522" t="s">
        <v>1311</v>
      </c>
      <c r="D1522" s="65" t="str">
        <f t="shared" si="46"/>
        <v>Y</v>
      </c>
      <c r="E1522" t="s">
        <v>1315</v>
      </c>
      <c r="F1522" s="25" t="s">
        <v>298</v>
      </c>
      <c r="G1522" s="26">
        <v>3</v>
      </c>
      <c r="H1522" s="7" t="s">
        <v>291</v>
      </c>
      <c r="I1522" s="7" t="s">
        <v>292</v>
      </c>
      <c r="J1522" s="1">
        <v>1</v>
      </c>
      <c r="K1522" s="1">
        <v>5</v>
      </c>
      <c r="L1522" s="67">
        <f t="shared" si="47"/>
        <v>0</v>
      </c>
    </row>
    <row r="1523" spans="1:12" x14ac:dyDescent="0.2">
      <c r="A1523">
        <v>1522</v>
      </c>
      <c r="B1523" s="7" t="s">
        <v>356</v>
      </c>
      <c r="C1523" t="s">
        <v>1311</v>
      </c>
      <c r="D1523" s="65" t="str">
        <f t="shared" si="46"/>
        <v>Y</v>
      </c>
      <c r="E1523" t="s">
        <v>1315</v>
      </c>
      <c r="F1523" s="25" t="s">
        <v>298</v>
      </c>
      <c r="G1523" s="26">
        <v>3</v>
      </c>
      <c r="H1523" s="7" t="s">
        <v>299</v>
      </c>
      <c r="I1523" s="7" t="s">
        <v>292</v>
      </c>
      <c r="J1523" s="1">
        <v>4</v>
      </c>
      <c r="K1523" s="1">
        <v>5</v>
      </c>
      <c r="L1523" s="67">
        <f t="shared" si="47"/>
        <v>0</v>
      </c>
    </row>
    <row r="1524" spans="1:12" x14ac:dyDescent="0.2">
      <c r="A1524">
        <v>1523</v>
      </c>
      <c r="B1524" s="7" t="s">
        <v>356</v>
      </c>
      <c r="C1524" t="s">
        <v>1311</v>
      </c>
      <c r="D1524" s="65" t="str">
        <f t="shared" si="46"/>
        <v>Y</v>
      </c>
      <c r="E1524" t="s">
        <v>1315</v>
      </c>
      <c r="F1524" s="25" t="s">
        <v>298</v>
      </c>
      <c r="G1524" s="26">
        <v>3</v>
      </c>
      <c r="H1524" s="7" t="s">
        <v>298</v>
      </c>
      <c r="I1524" s="7" t="s">
        <v>296</v>
      </c>
      <c r="J1524" s="1">
        <v>3</v>
      </c>
      <c r="K1524" s="1">
        <v>6</v>
      </c>
      <c r="L1524" s="67">
        <f t="shared" si="47"/>
        <v>1</v>
      </c>
    </row>
    <row r="1525" spans="1:12" x14ac:dyDescent="0.2">
      <c r="A1525">
        <v>1524</v>
      </c>
      <c r="B1525" s="7" t="s">
        <v>372</v>
      </c>
      <c r="C1525" t="s">
        <v>1311</v>
      </c>
      <c r="D1525" s="65" t="str">
        <f t="shared" si="46"/>
        <v>Y</v>
      </c>
      <c r="E1525" t="s">
        <v>1315</v>
      </c>
      <c r="F1525" s="25" t="s">
        <v>298</v>
      </c>
      <c r="G1525" s="26">
        <v>3</v>
      </c>
      <c r="H1525" s="7" t="s">
        <v>298</v>
      </c>
      <c r="I1525" s="7" t="s">
        <v>294</v>
      </c>
      <c r="J1525" s="1">
        <v>3</v>
      </c>
      <c r="K1525" s="1">
        <v>7</v>
      </c>
      <c r="L1525" s="67">
        <f t="shared" si="47"/>
        <v>1</v>
      </c>
    </row>
    <row r="1526" spans="1:12" x14ac:dyDescent="0.2">
      <c r="A1526">
        <v>1525</v>
      </c>
      <c r="B1526" s="7" t="s">
        <v>372</v>
      </c>
      <c r="C1526" t="s">
        <v>1311</v>
      </c>
      <c r="D1526" s="65" t="str">
        <f t="shared" si="46"/>
        <v>Y</v>
      </c>
      <c r="E1526" t="s">
        <v>1315</v>
      </c>
      <c r="F1526" s="25" t="s">
        <v>298</v>
      </c>
      <c r="G1526" s="26">
        <v>3</v>
      </c>
      <c r="H1526" s="7" t="s">
        <v>291</v>
      </c>
      <c r="I1526" s="7" t="s">
        <v>296</v>
      </c>
      <c r="J1526" s="1">
        <v>1</v>
      </c>
      <c r="K1526" s="1">
        <v>6</v>
      </c>
      <c r="L1526" s="67">
        <f t="shared" si="47"/>
        <v>0</v>
      </c>
    </row>
    <row r="1527" spans="1:12" x14ac:dyDescent="0.2">
      <c r="A1527">
        <v>1526</v>
      </c>
      <c r="B1527" s="7" t="s">
        <v>356</v>
      </c>
      <c r="C1527" t="s">
        <v>1311</v>
      </c>
      <c r="D1527" s="65" t="str">
        <f t="shared" si="46"/>
        <v>Y</v>
      </c>
      <c r="E1527" t="s">
        <v>1315</v>
      </c>
      <c r="F1527" s="25" t="s">
        <v>298</v>
      </c>
      <c r="G1527" s="26">
        <v>3</v>
      </c>
      <c r="H1527" s="7" t="s">
        <v>298</v>
      </c>
      <c r="I1527" s="7" t="s">
        <v>292</v>
      </c>
      <c r="J1527" s="1">
        <v>3</v>
      </c>
      <c r="K1527" s="1">
        <v>5</v>
      </c>
      <c r="L1527" s="67">
        <f t="shared" si="47"/>
        <v>1</v>
      </c>
    </row>
    <row r="1528" spans="1:12" x14ac:dyDescent="0.2">
      <c r="A1528">
        <v>1527</v>
      </c>
      <c r="B1528" s="7" t="s">
        <v>356</v>
      </c>
      <c r="C1528" t="s">
        <v>1311</v>
      </c>
      <c r="D1528" s="65" t="str">
        <f t="shared" si="46"/>
        <v>Y</v>
      </c>
      <c r="E1528" t="s">
        <v>1315</v>
      </c>
      <c r="F1528" s="25" t="s">
        <v>298</v>
      </c>
      <c r="G1528" s="26">
        <v>3</v>
      </c>
      <c r="H1528" s="7" t="s">
        <v>298</v>
      </c>
      <c r="I1528" s="7" t="s">
        <v>296</v>
      </c>
      <c r="J1528" s="1">
        <v>3</v>
      </c>
      <c r="K1528" s="1">
        <v>6</v>
      </c>
      <c r="L1528" s="67">
        <f t="shared" si="47"/>
        <v>1</v>
      </c>
    </row>
    <row r="1529" spans="1:12" x14ac:dyDescent="0.2">
      <c r="A1529">
        <v>1528</v>
      </c>
      <c r="B1529" s="7" t="s">
        <v>372</v>
      </c>
      <c r="C1529" t="s">
        <v>1311</v>
      </c>
      <c r="D1529" s="65" t="str">
        <f t="shared" si="46"/>
        <v>Y</v>
      </c>
      <c r="E1529" t="s">
        <v>1315</v>
      </c>
      <c r="F1529" s="25" t="s">
        <v>298</v>
      </c>
      <c r="G1529" s="26">
        <v>3</v>
      </c>
      <c r="H1529" s="7" t="s">
        <v>298</v>
      </c>
      <c r="I1529" s="7" t="s">
        <v>292</v>
      </c>
      <c r="J1529" s="1">
        <v>3</v>
      </c>
      <c r="K1529" s="1">
        <v>5</v>
      </c>
      <c r="L1529" s="67">
        <f t="shared" si="47"/>
        <v>1</v>
      </c>
    </row>
    <row r="1530" spans="1:12" x14ac:dyDescent="0.2">
      <c r="A1530">
        <v>1529</v>
      </c>
      <c r="B1530" s="7" t="s">
        <v>356</v>
      </c>
      <c r="C1530" t="s">
        <v>1311</v>
      </c>
      <c r="D1530" s="65" t="str">
        <f t="shared" si="46"/>
        <v>Y</v>
      </c>
      <c r="E1530" t="s">
        <v>1315</v>
      </c>
      <c r="F1530" s="25" t="s">
        <v>298</v>
      </c>
      <c r="G1530" s="26">
        <v>3</v>
      </c>
      <c r="H1530" s="7" t="s">
        <v>298</v>
      </c>
      <c r="I1530" s="7" t="s">
        <v>296</v>
      </c>
      <c r="J1530" s="1">
        <v>3</v>
      </c>
      <c r="K1530" s="1">
        <v>6</v>
      </c>
      <c r="L1530" s="67">
        <f t="shared" si="47"/>
        <v>1</v>
      </c>
    </row>
    <row r="1531" spans="1:12" x14ac:dyDescent="0.2">
      <c r="A1531">
        <v>1530</v>
      </c>
      <c r="B1531" s="7" t="s">
        <v>372</v>
      </c>
      <c r="C1531" t="s">
        <v>1311</v>
      </c>
      <c r="D1531" s="65" t="str">
        <f t="shared" si="46"/>
        <v>Y</v>
      </c>
      <c r="E1531" t="s">
        <v>1315</v>
      </c>
      <c r="F1531" s="25" t="s">
        <v>298</v>
      </c>
      <c r="G1531" s="26">
        <v>3</v>
      </c>
      <c r="H1531" s="7" t="s">
        <v>291</v>
      </c>
      <c r="I1531" s="7" t="s">
        <v>297</v>
      </c>
      <c r="J1531" s="1">
        <v>1</v>
      </c>
      <c r="K1531" s="1">
        <v>4</v>
      </c>
      <c r="L1531" s="67">
        <f t="shared" si="47"/>
        <v>0</v>
      </c>
    </row>
    <row r="1532" spans="1:12" x14ac:dyDescent="0.2">
      <c r="A1532">
        <v>1531</v>
      </c>
      <c r="B1532" s="7" t="s">
        <v>356</v>
      </c>
      <c r="C1532" t="s">
        <v>1311</v>
      </c>
      <c r="D1532" s="65" t="str">
        <f t="shared" si="46"/>
        <v>Y</v>
      </c>
      <c r="E1532" t="s">
        <v>1315</v>
      </c>
      <c r="F1532" s="25" t="s">
        <v>298</v>
      </c>
      <c r="G1532" s="26">
        <v>3</v>
      </c>
      <c r="H1532" s="7" t="s">
        <v>291</v>
      </c>
      <c r="I1532" s="7" t="s">
        <v>296</v>
      </c>
      <c r="J1532" s="1">
        <v>1</v>
      </c>
      <c r="K1532" s="1">
        <v>6</v>
      </c>
      <c r="L1532" s="67">
        <f t="shared" si="47"/>
        <v>0</v>
      </c>
    </row>
    <row r="1533" spans="1:12" x14ac:dyDescent="0.2">
      <c r="A1533">
        <v>1532</v>
      </c>
      <c r="B1533" s="7" t="s">
        <v>372</v>
      </c>
      <c r="C1533" t="s">
        <v>1311</v>
      </c>
      <c r="D1533" s="65" t="str">
        <f t="shared" si="46"/>
        <v>Y</v>
      </c>
      <c r="E1533" t="s">
        <v>1315</v>
      </c>
      <c r="F1533" s="25" t="s">
        <v>298</v>
      </c>
      <c r="G1533" s="26">
        <v>3</v>
      </c>
      <c r="H1533" s="7" t="s">
        <v>299</v>
      </c>
      <c r="I1533" s="7" t="s">
        <v>297</v>
      </c>
      <c r="J1533" s="1">
        <v>4</v>
      </c>
      <c r="K1533" s="1">
        <v>4</v>
      </c>
      <c r="L1533" s="67">
        <f t="shared" si="47"/>
        <v>0</v>
      </c>
    </row>
    <row r="1534" spans="1:12" x14ac:dyDescent="0.2">
      <c r="A1534">
        <v>1533</v>
      </c>
      <c r="B1534" s="7" t="s">
        <v>356</v>
      </c>
      <c r="C1534" t="s">
        <v>1311</v>
      </c>
      <c r="D1534" s="65" t="str">
        <f t="shared" si="46"/>
        <v>Y</v>
      </c>
      <c r="E1534" t="s">
        <v>1315</v>
      </c>
      <c r="F1534" s="25" t="s">
        <v>298</v>
      </c>
      <c r="G1534" s="26">
        <v>3</v>
      </c>
      <c r="H1534" s="7" t="s">
        <v>298</v>
      </c>
      <c r="I1534" s="7" t="s">
        <v>292</v>
      </c>
      <c r="J1534" s="1">
        <v>3</v>
      </c>
      <c r="K1534" s="1">
        <v>5</v>
      </c>
      <c r="L1534" s="67">
        <f t="shared" si="47"/>
        <v>1</v>
      </c>
    </row>
    <row r="1535" spans="1:12" x14ac:dyDescent="0.2">
      <c r="A1535">
        <v>1534</v>
      </c>
      <c r="B1535" s="7" t="s">
        <v>356</v>
      </c>
      <c r="C1535" t="s">
        <v>1311</v>
      </c>
      <c r="D1535" s="65" t="str">
        <f t="shared" si="46"/>
        <v>Y</v>
      </c>
      <c r="E1535" t="s">
        <v>1315</v>
      </c>
      <c r="F1535" s="25" t="s">
        <v>298</v>
      </c>
      <c r="G1535" s="26">
        <v>3</v>
      </c>
      <c r="H1535" s="7" t="s">
        <v>298</v>
      </c>
      <c r="I1535" s="7" t="s">
        <v>294</v>
      </c>
      <c r="J1535" s="1">
        <v>3</v>
      </c>
      <c r="K1535" s="1">
        <v>7</v>
      </c>
      <c r="L1535" s="67">
        <f t="shared" si="47"/>
        <v>1</v>
      </c>
    </row>
    <row r="1536" spans="1:12" x14ac:dyDescent="0.2">
      <c r="A1536">
        <v>1535</v>
      </c>
      <c r="B1536" s="7" t="s">
        <v>372</v>
      </c>
      <c r="C1536" t="s">
        <v>1311</v>
      </c>
      <c r="D1536" s="65" t="str">
        <f t="shared" si="46"/>
        <v>Y</v>
      </c>
      <c r="E1536" t="s">
        <v>1315</v>
      </c>
      <c r="F1536" s="25" t="s">
        <v>298</v>
      </c>
      <c r="G1536" s="26">
        <v>3</v>
      </c>
      <c r="H1536" s="7" t="s">
        <v>298</v>
      </c>
      <c r="I1536" s="7" t="s">
        <v>292</v>
      </c>
      <c r="J1536" s="1">
        <v>3</v>
      </c>
      <c r="K1536" s="1">
        <v>5</v>
      </c>
      <c r="L1536" s="67">
        <f t="shared" si="47"/>
        <v>1</v>
      </c>
    </row>
    <row r="1537" spans="1:12" x14ac:dyDescent="0.2">
      <c r="A1537">
        <v>1536</v>
      </c>
      <c r="B1537" s="7" t="s">
        <v>372</v>
      </c>
      <c r="C1537" t="s">
        <v>1311</v>
      </c>
      <c r="D1537" s="65" t="str">
        <f t="shared" si="46"/>
        <v>Y</v>
      </c>
      <c r="E1537" t="s">
        <v>1315</v>
      </c>
      <c r="F1537" s="25" t="s">
        <v>298</v>
      </c>
      <c r="G1537" s="26">
        <v>3</v>
      </c>
      <c r="H1537" s="7" t="s">
        <v>298</v>
      </c>
      <c r="I1537" s="7" t="s">
        <v>292</v>
      </c>
      <c r="J1537" s="1">
        <v>3</v>
      </c>
      <c r="K1537" s="1">
        <v>5</v>
      </c>
      <c r="L1537" s="67">
        <f t="shared" si="47"/>
        <v>1</v>
      </c>
    </row>
    <row r="1538" spans="1:12" x14ac:dyDescent="0.2">
      <c r="A1538">
        <v>1537</v>
      </c>
      <c r="B1538" s="7" t="s">
        <v>356</v>
      </c>
      <c r="C1538" t="s">
        <v>1311</v>
      </c>
      <c r="D1538" s="65" t="str">
        <f t="shared" si="46"/>
        <v>Y</v>
      </c>
      <c r="E1538" t="s">
        <v>1315</v>
      </c>
      <c r="F1538" s="25" t="s">
        <v>298</v>
      </c>
      <c r="G1538" s="26">
        <v>3</v>
      </c>
      <c r="H1538" s="7" t="s">
        <v>298</v>
      </c>
      <c r="I1538" s="7" t="s">
        <v>292</v>
      </c>
      <c r="J1538" s="1">
        <v>3</v>
      </c>
      <c r="K1538" s="1">
        <v>5</v>
      </c>
      <c r="L1538" s="67">
        <f t="shared" si="47"/>
        <v>1</v>
      </c>
    </row>
    <row r="1539" spans="1:12" x14ac:dyDescent="0.2">
      <c r="A1539">
        <v>1538</v>
      </c>
      <c r="B1539" s="7" t="s">
        <v>372</v>
      </c>
      <c r="C1539" t="s">
        <v>1311</v>
      </c>
      <c r="D1539" s="65" t="str">
        <f t="shared" ref="D1539:D1602" si="48">IF($E1539="iso", "N", IF(OR($E1539="non", $E1539="emd", $E1539="dyn"), "Y", "ERROR"))</f>
        <v>Y</v>
      </c>
      <c r="E1539" t="s">
        <v>1315</v>
      </c>
      <c r="F1539" s="25" t="s">
        <v>298</v>
      </c>
      <c r="G1539" s="26">
        <v>3</v>
      </c>
      <c r="H1539" s="7" t="s">
        <v>298</v>
      </c>
      <c r="I1539" s="7" t="s">
        <v>296</v>
      </c>
      <c r="J1539" s="1">
        <v>3</v>
      </c>
      <c r="K1539" s="1">
        <v>6</v>
      </c>
      <c r="L1539" s="67">
        <f t="shared" ref="L1539:L1602" si="49">IF(G1539=J1539, 1, 0)</f>
        <v>1</v>
      </c>
    </row>
    <row r="1540" spans="1:12" x14ac:dyDescent="0.2">
      <c r="A1540">
        <v>1539</v>
      </c>
      <c r="B1540" s="7" t="s">
        <v>372</v>
      </c>
      <c r="C1540" t="s">
        <v>1311</v>
      </c>
      <c r="D1540" s="65" t="str">
        <f t="shared" si="48"/>
        <v>Y</v>
      </c>
      <c r="E1540" t="s">
        <v>1315</v>
      </c>
      <c r="F1540" s="25" t="s">
        <v>298</v>
      </c>
      <c r="G1540" s="26">
        <v>3</v>
      </c>
      <c r="H1540" s="7" t="s">
        <v>298</v>
      </c>
      <c r="I1540" s="7" t="s">
        <v>292</v>
      </c>
      <c r="J1540" s="1">
        <v>3</v>
      </c>
      <c r="K1540" s="1">
        <v>5</v>
      </c>
      <c r="L1540" s="67">
        <f t="shared" si="49"/>
        <v>1</v>
      </c>
    </row>
    <row r="1541" spans="1:12" x14ac:dyDescent="0.2">
      <c r="A1541">
        <v>1540</v>
      </c>
      <c r="B1541" s="7" t="s">
        <v>372</v>
      </c>
      <c r="C1541" t="s">
        <v>1311</v>
      </c>
      <c r="D1541" s="65" t="str">
        <f t="shared" si="48"/>
        <v>Y</v>
      </c>
      <c r="E1541" t="s">
        <v>1315</v>
      </c>
      <c r="F1541" s="25" t="s">
        <v>298</v>
      </c>
      <c r="G1541" s="26">
        <v>3</v>
      </c>
      <c r="H1541" s="7" t="s">
        <v>299</v>
      </c>
      <c r="I1541" s="7" t="s">
        <v>297</v>
      </c>
      <c r="J1541" s="1">
        <v>4</v>
      </c>
      <c r="K1541" s="1">
        <v>4</v>
      </c>
      <c r="L1541" s="67">
        <f t="shared" si="49"/>
        <v>0</v>
      </c>
    </row>
    <row r="1542" spans="1:12" x14ac:dyDescent="0.2">
      <c r="A1542">
        <v>1541</v>
      </c>
      <c r="B1542" s="7" t="s">
        <v>356</v>
      </c>
      <c r="C1542" t="s">
        <v>1311</v>
      </c>
      <c r="D1542" s="65" t="str">
        <f t="shared" si="48"/>
        <v>Y</v>
      </c>
      <c r="E1542" t="s">
        <v>1315</v>
      </c>
      <c r="F1542" s="25" t="s">
        <v>298</v>
      </c>
      <c r="G1542" s="26">
        <v>3</v>
      </c>
      <c r="H1542" s="7" t="s">
        <v>298</v>
      </c>
      <c r="I1542" s="7" t="s">
        <v>296</v>
      </c>
      <c r="J1542" s="1">
        <v>3</v>
      </c>
      <c r="K1542" s="1">
        <v>6</v>
      </c>
      <c r="L1542" s="67">
        <f t="shared" si="49"/>
        <v>1</v>
      </c>
    </row>
    <row r="1543" spans="1:12" x14ac:dyDescent="0.2">
      <c r="A1543">
        <v>1542</v>
      </c>
      <c r="B1543" s="7" t="s">
        <v>372</v>
      </c>
      <c r="C1543" t="s">
        <v>1311</v>
      </c>
      <c r="D1543" s="65" t="str">
        <f t="shared" si="48"/>
        <v>Y</v>
      </c>
      <c r="E1543" t="s">
        <v>1315</v>
      </c>
      <c r="F1543" s="25" t="s">
        <v>298</v>
      </c>
      <c r="G1543" s="26">
        <v>3</v>
      </c>
      <c r="H1543" s="7" t="s">
        <v>298</v>
      </c>
      <c r="I1543" s="7" t="s">
        <v>292</v>
      </c>
      <c r="J1543" s="1">
        <v>3</v>
      </c>
      <c r="K1543" s="1">
        <v>5</v>
      </c>
      <c r="L1543" s="67">
        <f t="shared" si="49"/>
        <v>1</v>
      </c>
    </row>
    <row r="1544" spans="1:12" x14ac:dyDescent="0.2">
      <c r="A1544">
        <v>1543</v>
      </c>
      <c r="B1544" s="7" t="s">
        <v>356</v>
      </c>
      <c r="C1544" t="s">
        <v>1311</v>
      </c>
      <c r="D1544" s="65" t="str">
        <f t="shared" si="48"/>
        <v>Y</v>
      </c>
      <c r="E1544" t="s">
        <v>1315</v>
      </c>
      <c r="F1544" s="25" t="s">
        <v>298</v>
      </c>
      <c r="G1544" s="26">
        <v>3</v>
      </c>
      <c r="H1544" s="7" t="s">
        <v>291</v>
      </c>
      <c r="I1544" s="7" t="s">
        <v>292</v>
      </c>
      <c r="J1544" s="1">
        <v>1</v>
      </c>
      <c r="K1544" s="1">
        <v>5</v>
      </c>
      <c r="L1544" s="67">
        <f t="shared" si="49"/>
        <v>0</v>
      </c>
    </row>
    <row r="1545" spans="1:12" x14ac:dyDescent="0.2">
      <c r="A1545">
        <v>1544</v>
      </c>
      <c r="B1545" s="7" t="s">
        <v>356</v>
      </c>
      <c r="C1545" t="s">
        <v>1311</v>
      </c>
      <c r="D1545" s="65" t="str">
        <f t="shared" si="48"/>
        <v>Y</v>
      </c>
      <c r="E1545" t="s">
        <v>1315</v>
      </c>
      <c r="F1545" s="25" t="s">
        <v>298</v>
      </c>
      <c r="G1545" s="26">
        <v>3</v>
      </c>
      <c r="H1545" s="7" t="s">
        <v>291</v>
      </c>
      <c r="I1545" s="7" t="s">
        <v>296</v>
      </c>
      <c r="J1545" s="1">
        <v>1</v>
      </c>
      <c r="K1545" s="1">
        <v>6</v>
      </c>
      <c r="L1545" s="67">
        <f t="shared" si="49"/>
        <v>0</v>
      </c>
    </row>
    <row r="1546" spans="1:12" x14ac:dyDescent="0.2">
      <c r="A1546">
        <v>1545</v>
      </c>
      <c r="B1546" s="7" t="s">
        <v>372</v>
      </c>
      <c r="C1546" t="s">
        <v>1311</v>
      </c>
      <c r="D1546" s="65" t="str">
        <f t="shared" si="48"/>
        <v>Y</v>
      </c>
      <c r="E1546" t="s">
        <v>1315</v>
      </c>
      <c r="F1546" s="25" t="s">
        <v>298</v>
      </c>
      <c r="G1546" s="26">
        <v>3</v>
      </c>
      <c r="H1546" s="7" t="s">
        <v>298</v>
      </c>
      <c r="I1546" s="7" t="s">
        <v>292</v>
      </c>
      <c r="J1546" s="1">
        <v>3</v>
      </c>
      <c r="K1546" s="1">
        <v>5</v>
      </c>
      <c r="L1546" s="67">
        <f t="shared" si="49"/>
        <v>1</v>
      </c>
    </row>
    <row r="1547" spans="1:12" x14ac:dyDescent="0.2">
      <c r="A1547">
        <v>1546</v>
      </c>
      <c r="B1547" s="7" t="s">
        <v>372</v>
      </c>
      <c r="C1547" t="s">
        <v>1311</v>
      </c>
      <c r="D1547" s="65" t="str">
        <f t="shared" si="48"/>
        <v>Y</v>
      </c>
      <c r="E1547" t="s">
        <v>1315</v>
      </c>
      <c r="F1547" s="25" t="s">
        <v>298</v>
      </c>
      <c r="G1547" s="26">
        <v>3</v>
      </c>
      <c r="H1547" s="7" t="s">
        <v>298</v>
      </c>
      <c r="I1547" s="7" t="s">
        <v>294</v>
      </c>
      <c r="J1547" s="1">
        <v>3</v>
      </c>
      <c r="K1547" s="1">
        <v>7</v>
      </c>
      <c r="L1547" s="67">
        <f t="shared" si="49"/>
        <v>1</v>
      </c>
    </row>
    <row r="1548" spans="1:12" x14ac:dyDescent="0.2">
      <c r="A1548">
        <v>1547</v>
      </c>
      <c r="B1548" s="7" t="s">
        <v>356</v>
      </c>
      <c r="C1548" t="s">
        <v>1311</v>
      </c>
      <c r="D1548" s="65" t="str">
        <f t="shared" si="48"/>
        <v>Y</v>
      </c>
      <c r="E1548" t="s">
        <v>1315</v>
      </c>
      <c r="F1548" s="25" t="s">
        <v>298</v>
      </c>
      <c r="G1548" s="26">
        <v>3</v>
      </c>
      <c r="H1548" s="7" t="s">
        <v>298</v>
      </c>
      <c r="I1548" s="7" t="s">
        <v>294</v>
      </c>
      <c r="J1548" s="1">
        <v>3</v>
      </c>
      <c r="K1548" s="1">
        <v>7</v>
      </c>
      <c r="L1548" s="67">
        <f t="shared" si="49"/>
        <v>1</v>
      </c>
    </row>
    <row r="1549" spans="1:12" x14ac:dyDescent="0.2">
      <c r="A1549">
        <v>1548</v>
      </c>
      <c r="B1549" s="7" t="s">
        <v>372</v>
      </c>
      <c r="C1549" t="s">
        <v>1311</v>
      </c>
      <c r="D1549" s="65" t="str">
        <f t="shared" si="48"/>
        <v>Y</v>
      </c>
      <c r="E1549" t="s">
        <v>1315</v>
      </c>
      <c r="F1549" s="25" t="s">
        <v>298</v>
      </c>
      <c r="G1549" s="26">
        <v>3</v>
      </c>
      <c r="H1549" s="7" t="s">
        <v>291</v>
      </c>
      <c r="I1549" s="7" t="s">
        <v>296</v>
      </c>
      <c r="J1549" s="1">
        <v>1</v>
      </c>
      <c r="K1549" s="1">
        <v>6</v>
      </c>
      <c r="L1549" s="67">
        <f t="shared" si="49"/>
        <v>0</v>
      </c>
    </row>
    <row r="1550" spans="1:12" x14ac:dyDescent="0.2">
      <c r="A1550">
        <v>1549</v>
      </c>
      <c r="B1550" s="7" t="s">
        <v>356</v>
      </c>
      <c r="C1550" t="s">
        <v>1311</v>
      </c>
      <c r="D1550" s="65" t="str">
        <f t="shared" si="48"/>
        <v>Y</v>
      </c>
      <c r="E1550" t="s">
        <v>1315</v>
      </c>
      <c r="F1550" s="25" t="s">
        <v>298</v>
      </c>
      <c r="G1550" s="26">
        <v>3</v>
      </c>
      <c r="H1550" s="7" t="s">
        <v>291</v>
      </c>
      <c r="I1550" s="7" t="s">
        <v>292</v>
      </c>
      <c r="J1550" s="1">
        <v>1</v>
      </c>
      <c r="K1550" s="1">
        <v>5</v>
      </c>
      <c r="L1550" s="67">
        <f t="shared" si="49"/>
        <v>0</v>
      </c>
    </row>
    <row r="1551" spans="1:12" x14ac:dyDescent="0.2">
      <c r="A1551">
        <v>1550</v>
      </c>
      <c r="B1551" s="7" t="s">
        <v>372</v>
      </c>
      <c r="C1551" t="s">
        <v>1311</v>
      </c>
      <c r="D1551" s="65" t="str">
        <f t="shared" si="48"/>
        <v>Y</v>
      </c>
      <c r="E1551" t="s">
        <v>1315</v>
      </c>
      <c r="F1551" s="25" t="s">
        <v>298</v>
      </c>
      <c r="G1551" s="26">
        <v>3</v>
      </c>
      <c r="H1551" s="7" t="s">
        <v>291</v>
      </c>
      <c r="I1551" s="7" t="s">
        <v>296</v>
      </c>
      <c r="J1551" s="1">
        <v>1</v>
      </c>
      <c r="K1551" s="1">
        <v>6</v>
      </c>
      <c r="L1551" s="67">
        <f t="shared" si="49"/>
        <v>0</v>
      </c>
    </row>
    <row r="1552" spans="1:12" x14ac:dyDescent="0.2">
      <c r="A1552">
        <v>1551</v>
      </c>
      <c r="B1552" s="7" t="s">
        <v>372</v>
      </c>
      <c r="C1552" t="s">
        <v>1311</v>
      </c>
      <c r="D1552" s="65" t="str">
        <f t="shared" si="48"/>
        <v>Y</v>
      </c>
      <c r="E1552" t="s">
        <v>1315</v>
      </c>
      <c r="F1552" s="25" t="s">
        <v>298</v>
      </c>
      <c r="G1552" s="26">
        <v>3</v>
      </c>
      <c r="H1552" s="7" t="s">
        <v>298</v>
      </c>
      <c r="I1552" s="7" t="s">
        <v>296</v>
      </c>
      <c r="J1552" s="1">
        <v>3</v>
      </c>
      <c r="K1552" s="1">
        <v>6</v>
      </c>
      <c r="L1552" s="67">
        <f t="shared" si="49"/>
        <v>1</v>
      </c>
    </row>
    <row r="1553" spans="1:12" x14ac:dyDescent="0.2">
      <c r="A1553">
        <v>1552</v>
      </c>
      <c r="B1553" s="7" t="s">
        <v>356</v>
      </c>
      <c r="C1553" t="s">
        <v>1311</v>
      </c>
      <c r="D1553" s="65" t="str">
        <f t="shared" si="48"/>
        <v>Y</v>
      </c>
      <c r="E1553" t="s">
        <v>1315</v>
      </c>
      <c r="F1553" s="25" t="s">
        <v>298</v>
      </c>
      <c r="G1553" s="26">
        <v>3</v>
      </c>
      <c r="H1553" s="7" t="s">
        <v>291</v>
      </c>
      <c r="I1553" s="7" t="s">
        <v>292</v>
      </c>
      <c r="J1553" s="1">
        <v>1</v>
      </c>
      <c r="K1553" s="1">
        <v>5</v>
      </c>
      <c r="L1553" s="67">
        <f t="shared" si="49"/>
        <v>0</v>
      </c>
    </row>
    <row r="1554" spans="1:12" x14ac:dyDescent="0.2">
      <c r="A1554">
        <v>1553</v>
      </c>
      <c r="B1554" s="7" t="s">
        <v>372</v>
      </c>
      <c r="C1554" t="s">
        <v>1311</v>
      </c>
      <c r="D1554" s="65" t="str">
        <f t="shared" si="48"/>
        <v>Y</v>
      </c>
      <c r="E1554" t="s">
        <v>1315</v>
      </c>
      <c r="F1554" s="25" t="s">
        <v>298</v>
      </c>
      <c r="G1554" s="26">
        <v>3</v>
      </c>
      <c r="H1554" s="7" t="s">
        <v>291</v>
      </c>
      <c r="I1554" s="7" t="s">
        <v>296</v>
      </c>
      <c r="J1554" s="1">
        <v>1</v>
      </c>
      <c r="K1554" s="1">
        <v>6</v>
      </c>
      <c r="L1554" s="67">
        <f t="shared" si="49"/>
        <v>0</v>
      </c>
    </row>
    <row r="1555" spans="1:12" x14ac:dyDescent="0.2">
      <c r="A1555">
        <v>1554</v>
      </c>
      <c r="B1555" s="7" t="s">
        <v>356</v>
      </c>
      <c r="C1555" t="s">
        <v>1311</v>
      </c>
      <c r="D1555" s="65" t="str">
        <f t="shared" si="48"/>
        <v>Y</v>
      </c>
      <c r="E1555" t="s">
        <v>1315</v>
      </c>
      <c r="F1555" s="25" t="s">
        <v>298</v>
      </c>
      <c r="G1555" s="26">
        <v>3</v>
      </c>
      <c r="H1555" s="7" t="s">
        <v>298</v>
      </c>
      <c r="I1555" s="7" t="s">
        <v>296</v>
      </c>
      <c r="J1555" s="1">
        <v>3</v>
      </c>
      <c r="K1555" s="1">
        <v>6</v>
      </c>
      <c r="L1555" s="67">
        <f t="shared" si="49"/>
        <v>1</v>
      </c>
    </row>
    <row r="1556" spans="1:12" x14ac:dyDescent="0.2">
      <c r="A1556">
        <v>1555</v>
      </c>
      <c r="B1556" s="7" t="s">
        <v>356</v>
      </c>
      <c r="C1556" t="s">
        <v>1311</v>
      </c>
      <c r="D1556" s="65" t="str">
        <f t="shared" si="48"/>
        <v>Y</v>
      </c>
      <c r="E1556" t="s">
        <v>1315</v>
      </c>
      <c r="F1556" s="25" t="s">
        <v>298</v>
      </c>
      <c r="G1556" s="26">
        <v>3</v>
      </c>
      <c r="H1556" s="7" t="s">
        <v>291</v>
      </c>
      <c r="I1556" s="7" t="s">
        <v>292</v>
      </c>
      <c r="J1556" s="1">
        <v>1</v>
      </c>
      <c r="K1556" s="1">
        <v>5</v>
      </c>
      <c r="L1556" s="67">
        <f t="shared" si="49"/>
        <v>0</v>
      </c>
    </row>
    <row r="1557" spans="1:12" x14ac:dyDescent="0.2">
      <c r="A1557">
        <v>1556</v>
      </c>
      <c r="B1557" s="7" t="s">
        <v>372</v>
      </c>
      <c r="C1557" t="s">
        <v>1311</v>
      </c>
      <c r="D1557" s="65" t="str">
        <f t="shared" si="48"/>
        <v>Y</v>
      </c>
      <c r="E1557" t="s">
        <v>1315</v>
      </c>
      <c r="F1557" s="25" t="s">
        <v>298</v>
      </c>
      <c r="G1557" s="26">
        <v>3</v>
      </c>
      <c r="H1557" s="7" t="s">
        <v>298</v>
      </c>
      <c r="I1557" s="7" t="s">
        <v>292</v>
      </c>
      <c r="J1557" s="1">
        <v>3</v>
      </c>
      <c r="K1557" s="1">
        <v>5</v>
      </c>
      <c r="L1557" s="67">
        <f t="shared" si="49"/>
        <v>1</v>
      </c>
    </row>
    <row r="1558" spans="1:12" x14ac:dyDescent="0.2">
      <c r="A1558">
        <v>1557</v>
      </c>
      <c r="B1558" s="7" t="s">
        <v>356</v>
      </c>
      <c r="C1558" t="s">
        <v>1311</v>
      </c>
      <c r="D1558" s="65" t="str">
        <f t="shared" si="48"/>
        <v>Y</v>
      </c>
      <c r="E1558" t="s">
        <v>1315</v>
      </c>
      <c r="F1558" s="25" t="s">
        <v>298</v>
      </c>
      <c r="G1558" s="26">
        <v>3</v>
      </c>
      <c r="H1558" s="7" t="s">
        <v>299</v>
      </c>
      <c r="I1558" s="7" t="s">
        <v>297</v>
      </c>
      <c r="J1558" s="1">
        <v>4</v>
      </c>
      <c r="K1558" s="1">
        <v>4</v>
      </c>
      <c r="L1558" s="67">
        <f t="shared" si="49"/>
        <v>0</v>
      </c>
    </row>
    <row r="1559" spans="1:12" x14ac:dyDescent="0.2">
      <c r="A1559">
        <v>1558</v>
      </c>
      <c r="B1559" s="7" t="s">
        <v>372</v>
      </c>
      <c r="C1559" t="s">
        <v>1311</v>
      </c>
      <c r="D1559" s="65" t="str">
        <f t="shared" si="48"/>
        <v>Y</v>
      </c>
      <c r="E1559" t="s">
        <v>1315</v>
      </c>
      <c r="F1559" s="25" t="s">
        <v>298</v>
      </c>
      <c r="G1559" s="26">
        <v>3</v>
      </c>
      <c r="H1559" s="7" t="s">
        <v>298</v>
      </c>
      <c r="I1559" s="7" t="s">
        <v>297</v>
      </c>
      <c r="J1559" s="1">
        <v>3</v>
      </c>
      <c r="K1559" s="1">
        <v>4</v>
      </c>
      <c r="L1559" s="67">
        <f t="shared" si="49"/>
        <v>1</v>
      </c>
    </row>
    <row r="1560" spans="1:12" x14ac:dyDescent="0.2">
      <c r="A1560">
        <v>1559</v>
      </c>
      <c r="B1560" s="7" t="s">
        <v>356</v>
      </c>
      <c r="C1560" t="s">
        <v>1311</v>
      </c>
      <c r="D1560" s="65" t="str">
        <f t="shared" si="48"/>
        <v>Y</v>
      </c>
      <c r="E1560" t="s">
        <v>1315</v>
      </c>
      <c r="F1560" s="25" t="s">
        <v>298</v>
      </c>
      <c r="G1560" s="26">
        <v>3</v>
      </c>
      <c r="H1560" s="7" t="s">
        <v>298</v>
      </c>
      <c r="I1560" s="7" t="s">
        <v>296</v>
      </c>
      <c r="J1560" s="1">
        <v>3</v>
      </c>
      <c r="K1560" s="1">
        <v>6</v>
      </c>
      <c r="L1560" s="67">
        <f t="shared" si="49"/>
        <v>1</v>
      </c>
    </row>
    <row r="1561" spans="1:12" x14ac:dyDescent="0.2">
      <c r="A1561">
        <v>1560</v>
      </c>
      <c r="B1561" s="7" t="s">
        <v>372</v>
      </c>
      <c r="C1561" t="s">
        <v>1311</v>
      </c>
      <c r="D1561" s="65" t="str">
        <f t="shared" si="48"/>
        <v>Y</v>
      </c>
      <c r="E1561" t="s">
        <v>1315</v>
      </c>
      <c r="F1561" s="25" t="s">
        <v>298</v>
      </c>
      <c r="G1561" s="26">
        <v>3</v>
      </c>
      <c r="H1561" s="7" t="s">
        <v>298</v>
      </c>
      <c r="I1561" s="7" t="s">
        <v>294</v>
      </c>
      <c r="J1561" s="1">
        <v>3</v>
      </c>
      <c r="K1561" s="1">
        <v>7</v>
      </c>
      <c r="L1561" s="67">
        <f t="shared" si="49"/>
        <v>1</v>
      </c>
    </row>
    <row r="1562" spans="1:12" x14ac:dyDescent="0.2">
      <c r="A1562">
        <v>1561</v>
      </c>
      <c r="B1562" s="7" t="s">
        <v>356</v>
      </c>
      <c r="C1562" t="s">
        <v>1311</v>
      </c>
      <c r="D1562" s="65" t="str">
        <f t="shared" si="48"/>
        <v>Y</v>
      </c>
      <c r="E1562" t="s">
        <v>1315</v>
      </c>
      <c r="F1562" s="25" t="s">
        <v>298</v>
      </c>
      <c r="G1562" s="26">
        <v>3</v>
      </c>
      <c r="H1562" s="7" t="s">
        <v>298</v>
      </c>
      <c r="I1562" s="7" t="s">
        <v>292</v>
      </c>
      <c r="J1562" s="1">
        <v>3</v>
      </c>
      <c r="K1562" s="1">
        <v>5</v>
      </c>
      <c r="L1562" s="67">
        <f t="shared" si="49"/>
        <v>1</v>
      </c>
    </row>
    <row r="1563" spans="1:12" x14ac:dyDescent="0.2">
      <c r="A1563">
        <v>1562</v>
      </c>
      <c r="B1563" s="7" t="s">
        <v>372</v>
      </c>
      <c r="C1563" t="s">
        <v>1311</v>
      </c>
      <c r="D1563" s="65" t="str">
        <f t="shared" si="48"/>
        <v>Y</v>
      </c>
      <c r="E1563" t="s">
        <v>1315</v>
      </c>
      <c r="F1563" s="25" t="s">
        <v>298</v>
      </c>
      <c r="G1563" s="26">
        <v>3</v>
      </c>
      <c r="H1563" s="7" t="s">
        <v>291</v>
      </c>
      <c r="I1563" s="7" t="s">
        <v>296</v>
      </c>
      <c r="J1563" s="1">
        <v>1</v>
      </c>
      <c r="K1563" s="1">
        <v>6</v>
      </c>
      <c r="L1563" s="67">
        <f t="shared" si="49"/>
        <v>0</v>
      </c>
    </row>
    <row r="1564" spans="1:12" x14ac:dyDescent="0.2">
      <c r="A1564">
        <v>1563</v>
      </c>
      <c r="B1564" s="7" t="s">
        <v>372</v>
      </c>
      <c r="C1564" t="s">
        <v>1311</v>
      </c>
      <c r="D1564" s="65" t="str">
        <f t="shared" si="48"/>
        <v>Y</v>
      </c>
      <c r="E1564" t="s">
        <v>1315</v>
      </c>
      <c r="F1564" s="25" t="s">
        <v>298</v>
      </c>
      <c r="G1564" s="26">
        <v>3</v>
      </c>
      <c r="H1564" s="7" t="s">
        <v>298</v>
      </c>
      <c r="I1564" s="7" t="s">
        <v>294</v>
      </c>
      <c r="J1564" s="1">
        <v>3</v>
      </c>
      <c r="K1564" s="1">
        <v>7</v>
      </c>
      <c r="L1564" s="67">
        <f t="shared" si="49"/>
        <v>1</v>
      </c>
    </row>
    <row r="1565" spans="1:12" x14ac:dyDescent="0.2">
      <c r="A1565">
        <v>1564</v>
      </c>
      <c r="B1565" s="7" t="s">
        <v>356</v>
      </c>
      <c r="C1565" t="s">
        <v>1311</v>
      </c>
      <c r="D1565" s="65" t="str">
        <f t="shared" si="48"/>
        <v>Y</v>
      </c>
      <c r="E1565" t="s">
        <v>1315</v>
      </c>
      <c r="F1565" s="25" t="s">
        <v>298</v>
      </c>
      <c r="G1565" s="26">
        <v>3</v>
      </c>
      <c r="H1565" s="7" t="s">
        <v>291</v>
      </c>
      <c r="I1565" s="7" t="s">
        <v>292</v>
      </c>
      <c r="J1565" s="1">
        <v>1</v>
      </c>
      <c r="K1565" s="1">
        <v>5</v>
      </c>
      <c r="L1565" s="67">
        <f t="shared" si="49"/>
        <v>0</v>
      </c>
    </row>
    <row r="1566" spans="1:12" x14ac:dyDescent="0.2">
      <c r="A1566">
        <v>1565</v>
      </c>
      <c r="B1566" s="7" t="s">
        <v>356</v>
      </c>
      <c r="C1566" t="s">
        <v>1311</v>
      </c>
      <c r="D1566" s="65" t="str">
        <f t="shared" si="48"/>
        <v>Y</v>
      </c>
      <c r="E1566" t="s">
        <v>1315</v>
      </c>
      <c r="F1566" s="25" t="s">
        <v>298</v>
      </c>
      <c r="G1566" s="26">
        <v>3</v>
      </c>
      <c r="H1566" s="7" t="s">
        <v>298</v>
      </c>
      <c r="I1566" s="7" t="s">
        <v>292</v>
      </c>
      <c r="J1566" s="1">
        <v>3</v>
      </c>
      <c r="K1566" s="1">
        <v>5</v>
      </c>
      <c r="L1566" s="67">
        <f t="shared" si="49"/>
        <v>1</v>
      </c>
    </row>
    <row r="1567" spans="1:12" x14ac:dyDescent="0.2">
      <c r="A1567">
        <v>1566</v>
      </c>
      <c r="B1567" s="7" t="s">
        <v>372</v>
      </c>
      <c r="C1567" t="s">
        <v>1311</v>
      </c>
      <c r="D1567" s="65" t="str">
        <f t="shared" si="48"/>
        <v>Y</v>
      </c>
      <c r="E1567" t="s">
        <v>1315</v>
      </c>
      <c r="F1567" s="25" t="s">
        <v>298</v>
      </c>
      <c r="G1567" s="26">
        <v>3</v>
      </c>
      <c r="H1567" s="7" t="s">
        <v>295</v>
      </c>
      <c r="I1567" s="7" t="s">
        <v>292</v>
      </c>
      <c r="J1567" s="1">
        <v>5</v>
      </c>
      <c r="K1567" s="1">
        <v>5</v>
      </c>
      <c r="L1567" s="67">
        <f t="shared" si="49"/>
        <v>0</v>
      </c>
    </row>
    <row r="1568" spans="1:12" x14ac:dyDescent="0.2">
      <c r="A1568">
        <v>1567</v>
      </c>
      <c r="B1568" s="7" t="s">
        <v>372</v>
      </c>
      <c r="C1568" t="s">
        <v>1311</v>
      </c>
      <c r="D1568" s="65" t="str">
        <f t="shared" si="48"/>
        <v>Y</v>
      </c>
      <c r="E1568" t="s">
        <v>1315</v>
      </c>
      <c r="F1568" s="25" t="s">
        <v>298</v>
      </c>
      <c r="G1568" s="26">
        <v>3</v>
      </c>
      <c r="H1568" s="7" t="s">
        <v>291</v>
      </c>
      <c r="I1568" s="7" t="s">
        <v>296</v>
      </c>
      <c r="J1568" s="1">
        <v>1</v>
      </c>
      <c r="K1568" s="1">
        <v>6</v>
      </c>
      <c r="L1568" s="67">
        <f t="shared" si="49"/>
        <v>0</v>
      </c>
    </row>
    <row r="1569" spans="1:12" x14ac:dyDescent="0.2">
      <c r="A1569">
        <v>1568</v>
      </c>
      <c r="B1569" s="7" t="s">
        <v>356</v>
      </c>
      <c r="C1569" t="s">
        <v>1311</v>
      </c>
      <c r="D1569" s="65" t="str">
        <f t="shared" si="48"/>
        <v>Y</v>
      </c>
      <c r="E1569" t="s">
        <v>1315</v>
      </c>
      <c r="F1569" s="25" t="s">
        <v>298</v>
      </c>
      <c r="G1569" s="26">
        <v>3</v>
      </c>
      <c r="H1569" s="7" t="s">
        <v>298</v>
      </c>
      <c r="I1569" s="7" t="s">
        <v>296</v>
      </c>
      <c r="J1569" s="1">
        <v>3</v>
      </c>
      <c r="K1569" s="1">
        <v>6</v>
      </c>
      <c r="L1569" s="67">
        <f t="shared" si="49"/>
        <v>1</v>
      </c>
    </row>
    <row r="1570" spans="1:12" x14ac:dyDescent="0.2">
      <c r="A1570">
        <v>1569</v>
      </c>
      <c r="B1570" s="7" t="s">
        <v>372</v>
      </c>
      <c r="C1570" t="s">
        <v>1311</v>
      </c>
      <c r="D1570" s="65" t="str">
        <f t="shared" si="48"/>
        <v>Y</v>
      </c>
      <c r="E1570" t="s">
        <v>1315</v>
      </c>
      <c r="F1570" s="25" t="s">
        <v>298</v>
      </c>
      <c r="G1570" s="26">
        <v>3</v>
      </c>
      <c r="H1570" s="7" t="s">
        <v>291</v>
      </c>
      <c r="I1570" s="7" t="s">
        <v>292</v>
      </c>
      <c r="J1570" s="1">
        <v>1</v>
      </c>
      <c r="K1570" s="1">
        <v>5</v>
      </c>
      <c r="L1570" s="67">
        <f t="shared" si="49"/>
        <v>0</v>
      </c>
    </row>
    <row r="1571" spans="1:12" x14ac:dyDescent="0.2">
      <c r="A1571">
        <v>1570</v>
      </c>
      <c r="B1571" s="7" t="s">
        <v>356</v>
      </c>
      <c r="C1571" t="s">
        <v>1311</v>
      </c>
      <c r="D1571" s="65" t="str">
        <f t="shared" si="48"/>
        <v>Y</v>
      </c>
      <c r="E1571" t="s">
        <v>1315</v>
      </c>
      <c r="F1571" s="25" t="s">
        <v>298</v>
      </c>
      <c r="G1571" s="26">
        <v>3</v>
      </c>
      <c r="H1571" s="7" t="s">
        <v>298</v>
      </c>
      <c r="I1571" s="7" t="s">
        <v>292</v>
      </c>
      <c r="J1571" s="1">
        <v>3</v>
      </c>
      <c r="K1571" s="1">
        <v>5</v>
      </c>
      <c r="L1571" s="67">
        <f t="shared" si="49"/>
        <v>1</v>
      </c>
    </row>
    <row r="1572" spans="1:12" x14ac:dyDescent="0.2">
      <c r="A1572">
        <v>1571</v>
      </c>
      <c r="B1572" s="7" t="s">
        <v>356</v>
      </c>
      <c r="C1572" t="s">
        <v>1311</v>
      </c>
      <c r="D1572" s="65" t="str">
        <f t="shared" si="48"/>
        <v>Y</v>
      </c>
      <c r="E1572" t="s">
        <v>1315</v>
      </c>
      <c r="F1572" s="25" t="s">
        <v>298</v>
      </c>
      <c r="G1572" s="26">
        <v>3</v>
      </c>
      <c r="H1572" s="7" t="s">
        <v>291</v>
      </c>
      <c r="I1572" s="7" t="s">
        <v>296</v>
      </c>
      <c r="J1572" s="1">
        <v>1</v>
      </c>
      <c r="K1572" s="1">
        <v>6</v>
      </c>
      <c r="L1572" s="67">
        <f t="shared" si="49"/>
        <v>0</v>
      </c>
    </row>
    <row r="1573" spans="1:12" x14ac:dyDescent="0.2">
      <c r="A1573">
        <v>1572</v>
      </c>
      <c r="B1573" s="7" t="s">
        <v>372</v>
      </c>
      <c r="C1573" t="s">
        <v>1311</v>
      </c>
      <c r="D1573" s="65" t="str">
        <f t="shared" si="48"/>
        <v>Y</v>
      </c>
      <c r="E1573" t="s">
        <v>1315</v>
      </c>
      <c r="F1573" s="25" t="s">
        <v>298</v>
      </c>
      <c r="G1573" s="26">
        <v>3</v>
      </c>
      <c r="H1573" s="7" t="s">
        <v>291</v>
      </c>
      <c r="I1573" s="7" t="s">
        <v>296</v>
      </c>
      <c r="J1573" s="1">
        <v>1</v>
      </c>
      <c r="K1573" s="1">
        <v>6</v>
      </c>
      <c r="L1573" s="67">
        <f t="shared" si="49"/>
        <v>0</v>
      </c>
    </row>
    <row r="1574" spans="1:12" x14ac:dyDescent="0.2">
      <c r="A1574">
        <v>1573</v>
      </c>
      <c r="B1574" s="7" t="s">
        <v>372</v>
      </c>
      <c r="C1574" t="s">
        <v>1311</v>
      </c>
      <c r="D1574" s="65" t="str">
        <f t="shared" si="48"/>
        <v>Y</v>
      </c>
      <c r="E1574" t="s">
        <v>1315</v>
      </c>
      <c r="F1574" s="25" t="s">
        <v>298</v>
      </c>
      <c r="G1574" s="26">
        <v>3</v>
      </c>
      <c r="H1574" s="7" t="s">
        <v>291</v>
      </c>
      <c r="I1574" s="7" t="s">
        <v>297</v>
      </c>
      <c r="J1574" s="1">
        <v>1</v>
      </c>
      <c r="K1574" s="1">
        <v>4</v>
      </c>
      <c r="L1574" s="67">
        <f t="shared" si="49"/>
        <v>0</v>
      </c>
    </row>
    <row r="1575" spans="1:12" x14ac:dyDescent="0.2">
      <c r="A1575">
        <v>1574</v>
      </c>
      <c r="B1575" s="7" t="s">
        <v>356</v>
      </c>
      <c r="C1575" t="s">
        <v>1311</v>
      </c>
      <c r="D1575" s="65" t="str">
        <f t="shared" si="48"/>
        <v>Y</v>
      </c>
      <c r="E1575" t="s">
        <v>1315</v>
      </c>
      <c r="F1575" s="25" t="s">
        <v>298</v>
      </c>
      <c r="G1575" s="26">
        <v>3</v>
      </c>
      <c r="H1575" s="7" t="s">
        <v>298</v>
      </c>
      <c r="I1575" s="7" t="s">
        <v>292</v>
      </c>
      <c r="J1575" s="1">
        <v>3</v>
      </c>
      <c r="K1575" s="1">
        <v>5</v>
      </c>
      <c r="L1575" s="67">
        <f t="shared" si="49"/>
        <v>1</v>
      </c>
    </row>
    <row r="1576" spans="1:12" x14ac:dyDescent="0.2">
      <c r="A1576">
        <v>1575</v>
      </c>
      <c r="B1576" s="7" t="s">
        <v>356</v>
      </c>
      <c r="C1576" t="s">
        <v>1311</v>
      </c>
      <c r="D1576" s="65" t="str">
        <f t="shared" si="48"/>
        <v>Y</v>
      </c>
      <c r="E1576" t="s">
        <v>1315</v>
      </c>
      <c r="F1576" s="25" t="s">
        <v>298</v>
      </c>
      <c r="G1576" s="26">
        <v>3</v>
      </c>
      <c r="H1576" s="7" t="s">
        <v>298</v>
      </c>
      <c r="I1576" s="7" t="s">
        <v>296</v>
      </c>
      <c r="J1576" s="1">
        <v>3</v>
      </c>
      <c r="K1576" s="1">
        <v>6</v>
      </c>
      <c r="L1576" s="67">
        <f t="shared" si="49"/>
        <v>1</v>
      </c>
    </row>
    <row r="1577" spans="1:12" x14ac:dyDescent="0.2">
      <c r="A1577">
        <v>1576</v>
      </c>
      <c r="B1577" s="7" t="s">
        <v>372</v>
      </c>
      <c r="C1577" t="s">
        <v>1311</v>
      </c>
      <c r="D1577" s="65" t="str">
        <f t="shared" si="48"/>
        <v>Y</v>
      </c>
      <c r="E1577" t="s">
        <v>1315</v>
      </c>
      <c r="F1577" s="25" t="s">
        <v>298</v>
      </c>
      <c r="G1577" s="26">
        <v>3</v>
      </c>
      <c r="H1577" s="7" t="s">
        <v>291</v>
      </c>
      <c r="I1577" s="7" t="s">
        <v>297</v>
      </c>
      <c r="J1577" s="1">
        <v>1</v>
      </c>
      <c r="K1577" s="1">
        <v>4</v>
      </c>
      <c r="L1577" s="67">
        <f t="shared" si="49"/>
        <v>0</v>
      </c>
    </row>
    <row r="1578" spans="1:12" x14ac:dyDescent="0.2">
      <c r="A1578">
        <v>1577</v>
      </c>
      <c r="B1578" s="7" t="s">
        <v>356</v>
      </c>
      <c r="C1578" t="s">
        <v>1311</v>
      </c>
      <c r="D1578" s="65" t="str">
        <f t="shared" si="48"/>
        <v>Y</v>
      </c>
      <c r="E1578" t="s">
        <v>1315</v>
      </c>
      <c r="F1578" s="25" t="s">
        <v>298</v>
      </c>
      <c r="G1578" s="26">
        <v>3</v>
      </c>
      <c r="H1578" s="7" t="s">
        <v>298</v>
      </c>
      <c r="I1578" s="7" t="s">
        <v>292</v>
      </c>
      <c r="J1578" s="1">
        <v>3</v>
      </c>
      <c r="K1578" s="1">
        <v>5</v>
      </c>
      <c r="L1578" s="67">
        <f t="shared" si="49"/>
        <v>1</v>
      </c>
    </row>
    <row r="1579" spans="1:12" x14ac:dyDescent="0.2">
      <c r="A1579">
        <v>1578</v>
      </c>
      <c r="B1579" s="7" t="s">
        <v>372</v>
      </c>
      <c r="C1579" t="s">
        <v>1311</v>
      </c>
      <c r="D1579" s="65" t="str">
        <f t="shared" si="48"/>
        <v>Y</v>
      </c>
      <c r="E1579" t="s">
        <v>1315</v>
      </c>
      <c r="F1579" s="25" t="s">
        <v>298</v>
      </c>
      <c r="G1579" s="26">
        <v>3</v>
      </c>
      <c r="H1579" s="7" t="s">
        <v>291</v>
      </c>
      <c r="I1579" s="7" t="s">
        <v>292</v>
      </c>
      <c r="J1579" s="1">
        <v>1</v>
      </c>
      <c r="K1579" s="1">
        <v>5</v>
      </c>
      <c r="L1579" s="67">
        <f t="shared" si="49"/>
        <v>0</v>
      </c>
    </row>
    <row r="1580" spans="1:12" x14ac:dyDescent="0.2">
      <c r="A1580">
        <v>1579</v>
      </c>
      <c r="B1580" s="7" t="s">
        <v>356</v>
      </c>
      <c r="C1580" t="s">
        <v>1311</v>
      </c>
      <c r="D1580" s="65" t="str">
        <f t="shared" si="48"/>
        <v>Y</v>
      </c>
      <c r="E1580" t="s">
        <v>1315</v>
      </c>
      <c r="F1580" s="25" t="s">
        <v>298</v>
      </c>
      <c r="G1580" s="26">
        <v>3</v>
      </c>
      <c r="H1580" s="7" t="s">
        <v>298</v>
      </c>
      <c r="I1580" s="7" t="s">
        <v>296</v>
      </c>
      <c r="J1580" s="1">
        <v>3</v>
      </c>
      <c r="K1580" s="1">
        <v>6</v>
      </c>
      <c r="L1580" s="67">
        <f t="shared" si="49"/>
        <v>1</v>
      </c>
    </row>
    <row r="1581" spans="1:12" x14ac:dyDescent="0.2">
      <c r="A1581">
        <v>1580</v>
      </c>
      <c r="B1581" s="7" t="s">
        <v>372</v>
      </c>
      <c r="C1581" t="s">
        <v>1311</v>
      </c>
      <c r="D1581" s="65" t="str">
        <f t="shared" si="48"/>
        <v>Y</v>
      </c>
      <c r="E1581" t="s">
        <v>1315</v>
      </c>
      <c r="F1581" s="25" t="s">
        <v>298</v>
      </c>
      <c r="G1581" s="26">
        <v>3</v>
      </c>
      <c r="H1581" s="7" t="s">
        <v>298</v>
      </c>
      <c r="I1581" s="7" t="s">
        <v>292</v>
      </c>
      <c r="J1581" s="1">
        <v>3</v>
      </c>
      <c r="K1581" s="1">
        <v>5</v>
      </c>
      <c r="L1581" s="67">
        <f t="shared" si="49"/>
        <v>1</v>
      </c>
    </row>
    <row r="1582" spans="1:12" x14ac:dyDescent="0.2">
      <c r="A1582">
        <v>1581</v>
      </c>
      <c r="B1582" s="7" t="s">
        <v>356</v>
      </c>
      <c r="C1582" t="s">
        <v>1316</v>
      </c>
      <c r="D1582" s="65" t="str">
        <f t="shared" si="48"/>
        <v>N</v>
      </c>
      <c r="E1582" t="s">
        <v>1312</v>
      </c>
      <c r="F1582" s="7" t="s">
        <v>291</v>
      </c>
      <c r="G1582" s="1">
        <v>1</v>
      </c>
      <c r="H1582" s="7" t="s">
        <v>291</v>
      </c>
      <c r="I1582" s="7" t="s">
        <v>292</v>
      </c>
      <c r="J1582" s="1">
        <v>1</v>
      </c>
      <c r="K1582" s="1">
        <v>5</v>
      </c>
      <c r="L1582" s="67">
        <f t="shared" si="49"/>
        <v>1</v>
      </c>
    </row>
    <row r="1583" spans="1:12" x14ac:dyDescent="0.2">
      <c r="A1583">
        <v>1582</v>
      </c>
      <c r="B1583" s="7" t="s">
        <v>372</v>
      </c>
      <c r="C1583" t="s">
        <v>1316</v>
      </c>
      <c r="D1583" s="65" t="str">
        <f t="shared" si="48"/>
        <v>N</v>
      </c>
      <c r="E1583" t="s">
        <v>1312</v>
      </c>
      <c r="F1583" s="7" t="s">
        <v>291</v>
      </c>
      <c r="G1583" s="1">
        <v>1</v>
      </c>
      <c r="H1583" s="7" t="s">
        <v>291</v>
      </c>
      <c r="I1583" s="7" t="s">
        <v>292</v>
      </c>
      <c r="J1583" s="1">
        <v>1</v>
      </c>
      <c r="K1583" s="1">
        <v>5</v>
      </c>
      <c r="L1583" s="67">
        <f t="shared" si="49"/>
        <v>1</v>
      </c>
    </row>
    <row r="1584" spans="1:12" x14ac:dyDescent="0.2">
      <c r="A1584">
        <v>1583</v>
      </c>
      <c r="B1584" s="7" t="s">
        <v>372</v>
      </c>
      <c r="C1584" t="s">
        <v>1316</v>
      </c>
      <c r="D1584" s="65" t="str">
        <f t="shared" si="48"/>
        <v>N</v>
      </c>
      <c r="E1584" t="s">
        <v>1312</v>
      </c>
      <c r="F1584" s="7" t="s">
        <v>291</v>
      </c>
      <c r="G1584" s="1">
        <v>1</v>
      </c>
      <c r="H1584" s="7" t="s">
        <v>291</v>
      </c>
      <c r="I1584" s="7" t="s">
        <v>296</v>
      </c>
      <c r="J1584" s="1">
        <v>1</v>
      </c>
      <c r="K1584" s="1">
        <v>6</v>
      </c>
      <c r="L1584" s="67">
        <f t="shared" si="49"/>
        <v>1</v>
      </c>
    </row>
    <row r="1585" spans="1:12" x14ac:dyDescent="0.2">
      <c r="A1585">
        <v>1584</v>
      </c>
      <c r="B1585" s="7" t="s">
        <v>356</v>
      </c>
      <c r="C1585" t="s">
        <v>1316</v>
      </c>
      <c r="D1585" s="65" t="str">
        <f t="shared" si="48"/>
        <v>N</v>
      </c>
      <c r="E1585" t="s">
        <v>1312</v>
      </c>
      <c r="F1585" s="7" t="s">
        <v>291</v>
      </c>
      <c r="G1585" s="1">
        <v>1</v>
      </c>
      <c r="H1585" s="7" t="s">
        <v>291</v>
      </c>
      <c r="I1585" s="7" t="s">
        <v>292</v>
      </c>
      <c r="J1585" s="1">
        <v>1</v>
      </c>
      <c r="K1585" s="1">
        <v>5</v>
      </c>
      <c r="L1585" s="67">
        <f t="shared" si="49"/>
        <v>1</v>
      </c>
    </row>
    <row r="1586" spans="1:12" x14ac:dyDescent="0.2">
      <c r="A1586">
        <v>1585</v>
      </c>
      <c r="B1586" s="7" t="s">
        <v>372</v>
      </c>
      <c r="C1586" t="s">
        <v>1316</v>
      </c>
      <c r="D1586" s="65" t="str">
        <f t="shared" si="48"/>
        <v>N</v>
      </c>
      <c r="E1586" t="s">
        <v>1312</v>
      </c>
      <c r="F1586" s="7" t="s">
        <v>291</v>
      </c>
      <c r="G1586" s="1">
        <v>1</v>
      </c>
      <c r="H1586" s="7" t="s">
        <v>291</v>
      </c>
      <c r="I1586" s="7" t="s">
        <v>292</v>
      </c>
      <c r="J1586" s="1">
        <v>1</v>
      </c>
      <c r="K1586" s="1">
        <v>5</v>
      </c>
      <c r="L1586" s="67">
        <f t="shared" si="49"/>
        <v>1</v>
      </c>
    </row>
    <row r="1587" spans="1:12" x14ac:dyDescent="0.2">
      <c r="A1587">
        <v>1586</v>
      </c>
      <c r="B1587" s="7" t="s">
        <v>356</v>
      </c>
      <c r="C1587" t="s">
        <v>1316</v>
      </c>
      <c r="D1587" s="65" t="str">
        <f t="shared" si="48"/>
        <v>N</v>
      </c>
      <c r="E1587" t="s">
        <v>1312</v>
      </c>
      <c r="F1587" s="7" t="s">
        <v>291</v>
      </c>
      <c r="G1587" s="1">
        <v>1</v>
      </c>
      <c r="H1587" s="7" t="s">
        <v>291</v>
      </c>
      <c r="I1587" s="7" t="s">
        <v>296</v>
      </c>
      <c r="J1587" s="1">
        <v>1</v>
      </c>
      <c r="K1587" s="1">
        <v>6</v>
      </c>
      <c r="L1587" s="67">
        <f t="shared" si="49"/>
        <v>1</v>
      </c>
    </row>
    <row r="1588" spans="1:12" x14ac:dyDescent="0.2">
      <c r="A1588">
        <v>1587</v>
      </c>
      <c r="B1588" s="7" t="s">
        <v>372</v>
      </c>
      <c r="C1588" t="s">
        <v>1316</v>
      </c>
      <c r="D1588" s="65" t="str">
        <f t="shared" si="48"/>
        <v>N</v>
      </c>
      <c r="E1588" t="s">
        <v>1312</v>
      </c>
      <c r="F1588" s="7" t="s">
        <v>291</v>
      </c>
      <c r="G1588" s="1">
        <v>1</v>
      </c>
      <c r="H1588" s="7" t="s">
        <v>301</v>
      </c>
      <c r="I1588" s="7" t="s">
        <v>292</v>
      </c>
      <c r="J1588" s="1">
        <v>5</v>
      </c>
      <c r="K1588" s="1">
        <v>5</v>
      </c>
      <c r="L1588" s="67">
        <f t="shared" si="49"/>
        <v>0</v>
      </c>
    </row>
    <row r="1589" spans="1:12" x14ac:dyDescent="0.2">
      <c r="A1589">
        <v>1588</v>
      </c>
      <c r="B1589" s="7" t="s">
        <v>356</v>
      </c>
      <c r="C1589" t="s">
        <v>1316</v>
      </c>
      <c r="D1589" s="65" t="str">
        <f t="shared" si="48"/>
        <v>N</v>
      </c>
      <c r="E1589" t="s">
        <v>1312</v>
      </c>
      <c r="F1589" s="7" t="s">
        <v>291</v>
      </c>
      <c r="G1589" s="1">
        <v>1</v>
      </c>
      <c r="H1589" s="7" t="s">
        <v>291</v>
      </c>
      <c r="I1589" s="7" t="s">
        <v>296</v>
      </c>
      <c r="J1589" s="1">
        <v>1</v>
      </c>
      <c r="K1589" s="1">
        <v>6</v>
      </c>
      <c r="L1589" s="67">
        <f t="shared" si="49"/>
        <v>1</v>
      </c>
    </row>
    <row r="1590" spans="1:12" x14ac:dyDescent="0.2">
      <c r="A1590">
        <v>1589</v>
      </c>
      <c r="B1590" s="7" t="s">
        <v>372</v>
      </c>
      <c r="C1590" t="s">
        <v>1316</v>
      </c>
      <c r="D1590" s="65" t="str">
        <f t="shared" si="48"/>
        <v>N</v>
      </c>
      <c r="E1590" t="s">
        <v>1312</v>
      </c>
      <c r="F1590" s="7" t="s">
        <v>291</v>
      </c>
      <c r="G1590" s="1">
        <v>1</v>
      </c>
      <c r="H1590" s="7" t="s">
        <v>291</v>
      </c>
      <c r="I1590" s="7" t="s">
        <v>296</v>
      </c>
      <c r="J1590" s="1">
        <v>1</v>
      </c>
      <c r="K1590" s="1">
        <v>6</v>
      </c>
      <c r="L1590" s="67">
        <f t="shared" si="49"/>
        <v>1</v>
      </c>
    </row>
    <row r="1591" spans="1:12" x14ac:dyDescent="0.2">
      <c r="A1591">
        <v>1590</v>
      </c>
      <c r="B1591" s="7" t="s">
        <v>356</v>
      </c>
      <c r="C1591" t="s">
        <v>1316</v>
      </c>
      <c r="D1591" s="65" t="str">
        <f t="shared" si="48"/>
        <v>N</v>
      </c>
      <c r="E1591" t="s">
        <v>1312</v>
      </c>
      <c r="F1591" s="7" t="s">
        <v>291</v>
      </c>
      <c r="G1591" s="1">
        <v>1</v>
      </c>
      <c r="H1591" s="7" t="s">
        <v>291</v>
      </c>
      <c r="I1591" s="7" t="s">
        <v>292</v>
      </c>
      <c r="J1591" s="1">
        <v>1</v>
      </c>
      <c r="K1591" s="1">
        <v>5</v>
      </c>
      <c r="L1591" s="67">
        <f t="shared" si="49"/>
        <v>1</v>
      </c>
    </row>
    <row r="1592" spans="1:12" x14ac:dyDescent="0.2">
      <c r="A1592">
        <v>1591</v>
      </c>
      <c r="B1592" s="7" t="s">
        <v>356</v>
      </c>
      <c r="C1592" t="s">
        <v>1316</v>
      </c>
      <c r="D1592" s="65" t="str">
        <f t="shared" si="48"/>
        <v>N</v>
      </c>
      <c r="E1592" t="s">
        <v>1312</v>
      </c>
      <c r="F1592" s="7" t="s">
        <v>291</v>
      </c>
      <c r="G1592" s="1">
        <v>1</v>
      </c>
      <c r="H1592" s="7" t="s">
        <v>282</v>
      </c>
      <c r="I1592" s="7" t="s">
        <v>296</v>
      </c>
      <c r="J1592" s="4" t="s">
        <v>282</v>
      </c>
      <c r="K1592" s="1">
        <v>6</v>
      </c>
      <c r="L1592" s="67">
        <f t="shared" si="49"/>
        <v>0</v>
      </c>
    </row>
    <row r="1593" spans="1:12" x14ac:dyDescent="0.2">
      <c r="A1593">
        <v>1592</v>
      </c>
      <c r="B1593" s="7" t="s">
        <v>372</v>
      </c>
      <c r="C1593" t="s">
        <v>1316</v>
      </c>
      <c r="D1593" s="65" t="str">
        <f t="shared" si="48"/>
        <v>N</v>
      </c>
      <c r="E1593" t="s">
        <v>1312</v>
      </c>
      <c r="F1593" s="7" t="s">
        <v>291</v>
      </c>
      <c r="G1593" s="1">
        <v>1</v>
      </c>
      <c r="H1593" s="7" t="s">
        <v>291</v>
      </c>
      <c r="I1593" s="7" t="s">
        <v>296</v>
      </c>
      <c r="J1593" s="1">
        <v>1</v>
      </c>
      <c r="K1593" s="1">
        <v>6</v>
      </c>
      <c r="L1593" s="67">
        <f t="shared" si="49"/>
        <v>1</v>
      </c>
    </row>
    <row r="1594" spans="1:12" x14ac:dyDescent="0.2">
      <c r="A1594">
        <v>1593</v>
      </c>
      <c r="B1594" s="7" t="s">
        <v>356</v>
      </c>
      <c r="C1594" t="s">
        <v>1316</v>
      </c>
      <c r="D1594" s="65" t="str">
        <f t="shared" si="48"/>
        <v>N</v>
      </c>
      <c r="E1594" t="s">
        <v>1312</v>
      </c>
      <c r="F1594" s="7" t="s">
        <v>291</v>
      </c>
      <c r="G1594" s="1">
        <v>1</v>
      </c>
      <c r="H1594" s="7" t="s">
        <v>291</v>
      </c>
      <c r="I1594" s="7" t="s">
        <v>294</v>
      </c>
      <c r="J1594" s="1">
        <v>1</v>
      </c>
      <c r="K1594" s="1">
        <v>7</v>
      </c>
      <c r="L1594" s="67">
        <f t="shared" si="49"/>
        <v>1</v>
      </c>
    </row>
    <row r="1595" spans="1:12" x14ac:dyDescent="0.2">
      <c r="A1595">
        <v>1594</v>
      </c>
      <c r="B1595" s="7" t="s">
        <v>372</v>
      </c>
      <c r="C1595" t="s">
        <v>1316</v>
      </c>
      <c r="D1595" s="65" t="str">
        <f t="shared" si="48"/>
        <v>N</v>
      </c>
      <c r="E1595" t="s">
        <v>1312</v>
      </c>
      <c r="F1595" s="7" t="s">
        <v>291</v>
      </c>
      <c r="G1595" s="1">
        <v>1</v>
      </c>
      <c r="H1595" s="7" t="s">
        <v>291</v>
      </c>
      <c r="I1595" s="7" t="s">
        <v>294</v>
      </c>
      <c r="J1595" s="1">
        <v>1</v>
      </c>
      <c r="K1595" s="1">
        <v>7</v>
      </c>
      <c r="L1595" s="67">
        <f t="shared" si="49"/>
        <v>1</v>
      </c>
    </row>
    <row r="1596" spans="1:12" x14ac:dyDescent="0.2">
      <c r="A1596">
        <v>1595</v>
      </c>
      <c r="B1596" s="7" t="s">
        <v>356</v>
      </c>
      <c r="C1596" t="s">
        <v>1316</v>
      </c>
      <c r="D1596" s="65" t="str">
        <f t="shared" si="48"/>
        <v>N</v>
      </c>
      <c r="E1596" t="s">
        <v>1312</v>
      </c>
      <c r="F1596" s="7" t="s">
        <v>291</v>
      </c>
      <c r="G1596" s="1">
        <v>1</v>
      </c>
      <c r="H1596" s="7" t="s">
        <v>291</v>
      </c>
      <c r="I1596" s="7" t="s">
        <v>292</v>
      </c>
      <c r="J1596" s="1">
        <v>1</v>
      </c>
      <c r="K1596" s="1">
        <v>5</v>
      </c>
      <c r="L1596" s="67">
        <f t="shared" si="49"/>
        <v>1</v>
      </c>
    </row>
    <row r="1597" spans="1:12" x14ac:dyDescent="0.2">
      <c r="A1597">
        <v>1596</v>
      </c>
      <c r="B1597" s="7" t="s">
        <v>372</v>
      </c>
      <c r="C1597" t="s">
        <v>1316</v>
      </c>
      <c r="D1597" s="65" t="str">
        <f t="shared" si="48"/>
        <v>N</v>
      </c>
      <c r="E1597" t="s">
        <v>1312</v>
      </c>
      <c r="F1597" s="7" t="s">
        <v>291</v>
      </c>
      <c r="G1597" s="1">
        <v>1</v>
      </c>
      <c r="H1597" s="7" t="s">
        <v>301</v>
      </c>
      <c r="I1597" s="7" t="s">
        <v>292</v>
      </c>
      <c r="J1597" s="1">
        <v>5</v>
      </c>
      <c r="K1597" s="1">
        <v>5</v>
      </c>
      <c r="L1597" s="67">
        <f t="shared" si="49"/>
        <v>0</v>
      </c>
    </row>
    <row r="1598" spans="1:12" x14ac:dyDescent="0.2">
      <c r="A1598">
        <v>1597</v>
      </c>
      <c r="B1598" s="7" t="s">
        <v>372</v>
      </c>
      <c r="C1598" t="s">
        <v>1316</v>
      </c>
      <c r="D1598" s="65" t="str">
        <f t="shared" si="48"/>
        <v>N</v>
      </c>
      <c r="E1598" t="s">
        <v>1312</v>
      </c>
      <c r="F1598" s="7" t="s">
        <v>291</v>
      </c>
      <c r="G1598" s="1">
        <v>1</v>
      </c>
      <c r="H1598" s="7" t="s">
        <v>282</v>
      </c>
      <c r="I1598" s="7" t="s">
        <v>292</v>
      </c>
      <c r="J1598" s="4" t="s">
        <v>282</v>
      </c>
      <c r="K1598" s="1">
        <v>5</v>
      </c>
      <c r="L1598" s="67">
        <f t="shared" si="49"/>
        <v>0</v>
      </c>
    </row>
    <row r="1599" spans="1:12" x14ac:dyDescent="0.2">
      <c r="A1599">
        <v>1598</v>
      </c>
      <c r="B1599" s="7" t="s">
        <v>356</v>
      </c>
      <c r="C1599" t="s">
        <v>1316</v>
      </c>
      <c r="D1599" s="65" t="str">
        <f t="shared" si="48"/>
        <v>N</v>
      </c>
      <c r="E1599" t="s">
        <v>1312</v>
      </c>
      <c r="F1599" s="7" t="s">
        <v>291</v>
      </c>
      <c r="G1599" s="1">
        <v>1</v>
      </c>
      <c r="H1599" s="7" t="s">
        <v>291</v>
      </c>
      <c r="I1599" s="7" t="s">
        <v>292</v>
      </c>
      <c r="J1599" s="1">
        <v>1</v>
      </c>
      <c r="K1599" s="1">
        <v>5</v>
      </c>
      <c r="L1599" s="67">
        <f t="shared" si="49"/>
        <v>1</v>
      </c>
    </row>
    <row r="1600" spans="1:12" x14ac:dyDescent="0.2">
      <c r="A1600">
        <v>1599</v>
      </c>
      <c r="B1600" s="7" t="s">
        <v>356</v>
      </c>
      <c r="C1600" t="s">
        <v>1316</v>
      </c>
      <c r="D1600" s="65" t="str">
        <f t="shared" si="48"/>
        <v>N</v>
      </c>
      <c r="E1600" t="s">
        <v>1312</v>
      </c>
      <c r="F1600" s="7" t="s">
        <v>291</v>
      </c>
      <c r="G1600" s="1">
        <v>1</v>
      </c>
      <c r="H1600" s="7" t="s">
        <v>291</v>
      </c>
      <c r="I1600" s="7" t="s">
        <v>296</v>
      </c>
      <c r="J1600" s="1">
        <v>1</v>
      </c>
      <c r="K1600" s="1">
        <v>6</v>
      </c>
      <c r="L1600" s="67">
        <f t="shared" si="49"/>
        <v>1</v>
      </c>
    </row>
    <row r="1601" spans="1:12" x14ac:dyDescent="0.2">
      <c r="A1601">
        <v>1600</v>
      </c>
      <c r="B1601" s="7" t="s">
        <v>372</v>
      </c>
      <c r="C1601" t="s">
        <v>1316</v>
      </c>
      <c r="D1601" s="65" t="str">
        <f t="shared" si="48"/>
        <v>N</v>
      </c>
      <c r="E1601" t="s">
        <v>1312</v>
      </c>
      <c r="F1601" s="7" t="s">
        <v>291</v>
      </c>
      <c r="G1601" s="1">
        <v>1</v>
      </c>
      <c r="H1601" s="7" t="s">
        <v>301</v>
      </c>
      <c r="I1601" s="7" t="s">
        <v>330</v>
      </c>
      <c r="J1601" s="1">
        <v>5</v>
      </c>
      <c r="K1601" s="1">
        <v>3</v>
      </c>
      <c r="L1601" s="67">
        <f t="shared" si="49"/>
        <v>0</v>
      </c>
    </row>
    <row r="1602" spans="1:12" x14ac:dyDescent="0.2">
      <c r="A1602">
        <v>1601</v>
      </c>
      <c r="B1602" s="7" t="s">
        <v>356</v>
      </c>
      <c r="C1602" t="s">
        <v>1316</v>
      </c>
      <c r="D1602" s="65" t="str">
        <f t="shared" si="48"/>
        <v>N</v>
      </c>
      <c r="E1602" t="s">
        <v>1312</v>
      </c>
      <c r="F1602" s="7" t="s">
        <v>291</v>
      </c>
      <c r="G1602" s="1">
        <v>1</v>
      </c>
      <c r="H1602" s="7" t="s">
        <v>291</v>
      </c>
      <c r="I1602" s="7" t="s">
        <v>292</v>
      </c>
      <c r="J1602" s="1">
        <v>1</v>
      </c>
      <c r="K1602" s="1">
        <v>5</v>
      </c>
      <c r="L1602" s="67">
        <f t="shared" si="49"/>
        <v>1</v>
      </c>
    </row>
    <row r="1603" spans="1:12" x14ac:dyDescent="0.2">
      <c r="A1603">
        <v>1602</v>
      </c>
      <c r="B1603" s="7" t="s">
        <v>356</v>
      </c>
      <c r="C1603" t="s">
        <v>1316</v>
      </c>
      <c r="D1603" s="65" t="str">
        <f t="shared" ref="D1603:D1666" si="50">IF($E1603="iso", "N", IF(OR($E1603="non", $E1603="emd", $E1603="dyn"), "Y", "ERROR"))</f>
        <v>N</v>
      </c>
      <c r="E1603" t="s">
        <v>1312</v>
      </c>
      <c r="F1603" s="7" t="s">
        <v>291</v>
      </c>
      <c r="G1603" s="1">
        <v>1</v>
      </c>
      <c r="H1603" s="7" t="s">
        <v>291</v>
      </c>
      <c r="I1603" s="7" t="s">
        <v>292</v>
      </c>
      <c r="J1603" s="1">
        <v>1</v>
      </c>
      <c r="K1603" s="1">
        <v>5</v>
      </c>
      <c r="L1603" s="67">
        <f t="shared" ref="L1603:L1666" si="51">IF(G1603=J1603, 1, 0)</f>
        <v>1</v>
      </c>
    </row>
    <row r="1604" spans="1:12" x14ac:dyDescent="0.2">
      <c r="A1604">
        <v>1603</v>
      </c>
      <c r="B1604" s="7" t="s">
        <v>372</v>
      </c>
      <c r="C1604" t="s">
        <v>1316</v>
      </c>
      <c r="D1604" s="65" t="str">
        <f t="shared" si="50"/>
        <v>N</v>
      </c>
      <c r="E1604" t="s">
        <v>1312</v>
      </c>
      <c r="F1604" s="7" t="s">
        <v>291</v>
      </c>
      <c r="G1604" s="1">
        <v>1</v>
      </c>
      <c r="H1604" s="7" t="s">
        <v>291</v>
      </c>
      <c r="I1604" s="7" t="s">
        <v>294</v>
      </c>
      <c r="J1604" s="1">
        <v>1</v>
      </c>
      <c r="K1604" s="1">
        <v>7</v>
      </c>
      <c r="L1604" s="67">
        <f t="shared" si="51"/>
        <v>1</v>
      </c>
    </row>
    <row r="1605" spans="1:12" x14ac:dyDescent="0.2">
      <c r="A1605">
        <v>1604</v>
      </c>
      <c r="B1605" s="7" t="s">
        <v>372</v>
      </c>
      <c r="C1605" t="s">
        <v>1316</v>
      </c>
      <c r="D1605" s="65" t="str">
        <f t="shared" si="50"/>
        <v>N</v>
      </c>
      <c r="E1605" t="s">
        <v>1312</v>
      </c>
      <c r="F1605" s="7" t="s">
        <v>291</v>
      </c>
      <c r="G1605" s="1">
        <v>1</v>
      </c>
      <c r="H1605" s="7" t="s">
        <v>301</v>
      </c>
      <c r="I1605" s="7" t="s">
        <v>294</v>
      </c>
      <c r="J1605" s="1">
        <v>5</v>
      </c>
      <c r="K1605" s="1">
        <v>7</v>
      </c>
      <c r="L1605" s="67">
        <f t="shared" si="51"/>
        <v>0</v>
      </c>
    </row>
    <row r="1606" spans="1:12" x14ac:dyDescent="0.2">
      <c r="A1606">
        <v>1605</v>
      </c>
      <c r="B1606" s="7" t="s">
        <v>356</v>
      </c>
      <c r="C1606" t="s">
        <v>1316</v>
      </c>
      <c r="D1606" s="65" t="str">
        <f t="shared" si="50"/>
        <v>N</v>
      </c>
      <c r="E1606" t="s">
        <v>1312</v>
      </c>
      <c r="F1606" s="7" t="s">
        <v>291</v>
      </c>
      <c r="G1606" s="1">
        <v>1</v>
      </c>
      <c r="H1606" s="7" t="s">
        <v>301</v>
      </c>
      <c r="I1606" s="7" t="s">
        <v>296</v>
      </c>
      <c r="J1606" s="1">
        <v>5</v>
      </c>
      <c r="K1606" s="1">
        <v>6</v>
      </c>
      <c r="L1606" s="67">
        <f t="shared" si="51"/>
        <v>0</v>
      </c>
    </row>
    <row r="1607" spans="1:12" x14ac:dyDescent="0.2">
      <c r="A1607">
        <v>1606</v>
      </c>
      <c r="B1607" s="7" t="s">
        <v>356</v>
      </c>
      <c r="C1607" t="s">
        <v>1316</v>
      </c>
      <c r="D1607" s="65" t="str">
        <f t="shared" si="50"/>
        <v>N</v>
      </c>
      <c r="E1607" t="s">
        <v>1312</v>
      </c>
      <c r="F1607" s="7" t="s">
        <v>291</v>
      </c>
      <c r="G1607" s="1">
        <v>1</v>
      </c>
      <c r="H1607" s="7" t="s">
        <v>291</v>
      </c>
      <c r="I1607" s="7" t="s">
        <v>296</v>
      </c>
      <c r="J1607" s="1">
        <v>1</v>
      </c>
      <c r="K1607" s="1">
        <v>6</v>
      </c>
      <c r="L1607" s="67">
        <f t="shared" si="51"/>
        <v>1</v>
      </c>
    </row>
    <row r="1608" spans="1:12" x14ac:dyDescent="0.2">
      <c r="A1608">
        <v>1607</v>
      </c>
      <c r="B1608" s="7" t="s">
        <v>372</v>
      </c>
      <c r="C1608" t="s">
        <v>1316</v>
      </c>
      <c r="D1608" s="65" t="str">
        <f t="shared" si="50"/>
        <v>N</v>
      </c>
      <c r="E1608" t="s">
        <v>1312</v>
      </c>
      <c r="F1608" s="7" t="s">
        <v>291</v>
      </c>
      <c r="G1608" s="1">
        <v>1</v>
      </c>
      <c r="H1608" s="7" t="s">
        <v>291</v>
      </c>
      <c r="I1608" s="7" t="s">
        <v>294</v>
      </c>
      <c r="J1608" s="1">
        <v>1</v>
      </c>
      <c r="K1608" s="1">
        <v>7</v>
      </c>
      <c r="L1608" s="67">
        <f t="shared" si="51"/>
        <v>1</v>
      </c>
    </row>
    <row r="1609" spans="1:12" x14ac:dyDescent="0.2">
      <c r="A1609">
        <v>1608</v>
      </c>
      <c r="B1609" s="7" t="s">
        <v>356</v>
      </c>
      <c r="C1609" t="s">
        <v>1316</v>
      </c>
      <c r="D1609" s="65" t="str">
        <f t="shared" si="50"/>
        <v>N</v>
      </c>
      <c r="E1609" t="s">
        <v>1312</v>
      </c>
      <c r="F1609" s="7" t="s">
        <v>291</v>
      </c>
      <c r="G1609" s="1">
        <v>1</v>
      </c>
      <c r="H1609" s="7" t="s">
        <v>301</v>
      </c>
      <c r="I1609" s="7" t="s">
        <v>292</v>
      </c>
      <c r="J1609" s="1">
        <v>5</v>
      </c>
      <c r="K1609" s="1">
        <v>5</v>
      </c>
      <c r="L1609" s="67">
        <f t="shared" si="51"/>
        <v>0</v>
      </c>
    </row>
    <row r="1610" spans="1:12" x14ac:dyDescent="0.2">
      <c r="A1610">
        <v>1609</v>
      </c>
      <c r="B1610" s="7" t="s">
        <v>372</v>
      </c>
      <c r="C1610" t="s">
        <v>1316</v>
      </c>
      <c r="D1610" s="65" t="str">
        <f t="shared" si="50"/>
        <v>N</v>
      </c>
      <c r="E1610" t="s">
        <v>1312</v>
      </c>
      <c r="F1610" s="7" t="s">
        <v>291</v>
      </c>
      <c r="G1610" s="1">
        <v>1</v>
      </c>
      <c r="H1610" s="7" t="s">
        <v>301</v>
      </c>
      <c r="I1610" s="7" t="s">
        <v>330</v>
      </c>
      <c r="J1610" s="1">
        <v>5</v>
      </c>
      <c r="K1610" s="1">
        <v>3</v>
      </c>
      <c r="L1610" s="67">
        <f t="shared" si="51"/>
        <v>0</v>
      </c>
    </row>
    <row r="1611" spans="1:12" x14ac:dyDescent="0.2">
      <c r="A1611">
        <v>1610</v>
      </c>
      <c r="B1611" s="7" t="s">
        <v>356</v>
      </c>
      <c r="C1611" t="s">
        <v>1316</v>
      </c>
      <c r="D1611" s="65" t="str">
        <f t="shared" si="50"/>
        <v>N</v>
      </c>
      <c r="E1611" t="s">
        <v>1312</v>
      </c>
      <c r="F1611" s="7" t="s">
        <v>291</v>
      </c>
      <c r="G1611" s="1">
        <v>1</v>
      </c>
      <c r="H1611" s="7" t="s">
        <v>291</v>
      </c>
      <c r="I1611" s="7" t="s">
        <v>294</v>
      </c>
      <c r="J1611" s="1">
        <v>1</v>
      </c>
      <c r="K1611" s="1">
        <v>7</v>
      </c>
      <c r="L1611" s="67">
        <f t="shared" si="51"/>
        <v>1</v>
      </c>
    </row>
    <row r="1612" spans="1:12" x14ac:dyDescent="0.2">
      <c r="A1612">
        <v>1611</v>
      </c>
      <c r="B1612" s="7" t="s">
        <v>372</v>
      </c>
      <c r="C1612" t="s">
        <v>1316</v>
      </c>
      <c r="D1612" s="65" t="str">
        <f t="shared" si="50"/>
        <v>N</v>
      </c>
      <c r="E1612" t="s">
        <v>1312</v>
      </c>
      <c r="F1612" s="7" t="s">
        <v>291</v>
      </c>
      <c r="G1612" s="1">
        <v>1</v>
      </c>
      <c r="H1612" s="7" t="s">
        <v>291</v>
      </c>
      <c r="I1612" s="7" t="s">
        <v>294</v>
      </c>
      <c r="J1612" s="1">
        <v>1</v>
      </c>
      <c r="K1612" s="1">
        <v>7</v>
      </c>
      <c r="L1612" s="67">
        <f t="shared" si="51"/>
        <v>1</v>
      </c>
    </row>
    <row r="1613" spans="1:12" x14ac:dyDescent="0.2">
      <c r="A1613">
        <v>1612</v>
      </c>
      <c r="B1613" s="7" t="s">
        <v>356</v>
      </c>
      <c r="C1613" t="s">
        <v>1316</v>
      </c>
      <c r="D1613" s="65" t="str">
        <f t="shared" si="50"/>
        <v>N</v>
      </c>
      <c r="E1613" t="s">
        <v>1312</v>
      </c>
      <c r="F1613" s="7" t="s">
        <v>291</v>
      </c>
      <c r="G1613" s="1">
        <v>1</v>
      </c>
      <c r="H1613" s="7" t="s">
        <v>291</v>
      </c>
      <c r="I1613" s="7" t="s">
        <v>296</v>
      </c>
      <c r="J1613" s="1">
        <v>1</v>
      </c>
      <c r="K1613" s="1">
        <v>6</v>
      </c>
      <c r="L1613" s="67">
        <f t="shared" si="51"/>
        <v>1</v>
      </c>
    </row>
    <row r="1614" spans="1:12" x14ac:dyDescent="0.2">
      <c r="A1614">
        <v>1613</v>
      </c>
      <c r="B1614" s="7" t="s">
        <v>356</v>
      </c>
      <c r="C1614" t="s">
        <v>1316</v>
      </c>
      <c r="D1614" s="65" t="str">
        <f t="shared" si="50"/>
        <v>N</v>
      </c>
      <c r="E1614" t="s">
        <v>1312</v>
      </c>
      <c r="F1614" s="7" t="s">
        <v>291</v>
      </c>
      <c r="G1614" s="1">
        <v>1</v>
      </c>
      <c r="H1614" s="7" t="s">
        <v>282</v>
      </c>
      <c r="I1614" s="7" t="s">
        <v>294</v>
      </c>
      <c r="J1614" s="4" t="s">
        <v>282</v>
      </c>
      <c r="K1614" s="1">
        <v>7</v>
      </c>
      <c r="L1614" s="67">
        <f t="shared" si="51"/>
        <v>0</v>
      </c>
    </row>
    <row r="1615" spans="1:12" x14ac:dyDescent="0.2">
      <c r="A1615">
        <v>1614</v>
      </c>
      <c r="B1615" s="7" t="s">
        <v>372</v>
      </c>
      <c r="C1615" t="s">
        <v>1316</v>
      </c>
      <c r="D1615" s="65" t="str">
        <f t="shared" si="50"/>
        <v>N</v>
      </c>
      <c r="E1615" t="s">
        <v>1312</v>
      </c>
      <c r="F1615" s="7" t="s">
        <v>291</v>
      </c>
      <c r="G1615" s="1">
        <v>1</v>
      </c>
      <c r="H1615" s="7" t="s">
        <v>291</v>
      </c>
      <c r="I1615" s="7" t="s">
        <v>296</v>
      </c>
      <c r="J1615" s="1">
        <v>1</v>
      </c>
      <c r="K1615" s="1">
        <v>6</v>
      </c>
      <c r="L1615" s="67">
        <f t="shared" si="51"/>
        <v>1</v>
      </c>
    </row>
    <row r="1616" spans="1:12" x14ac:dyDescent="0.2">
      <c r="A1616">
        <v>1615</v>
      </c>
      <c r="B1616" s="7" t="s">
        <v>372</v>
      </c>
      <c r="C1616" t="s">
        <v>1316</v>
      </c>
      <c r="D1616" s="65" t="str">
        <f t="shared" si="50"/>
        <v>N</v>
      </c>
      <c r="E1616" t="s">
        <v>1312</v>
      </c>
      <c r="F1616" s="7" t="s">
        <v>291</v>
      </c>
      <c r="G1616" s="1">
        <v>1</v>
      </c>
      <c r="H1616" s="7" t="s">
        <v>291</v>
      </c>
      <c r="I1616" s="7" t="s">
        <v>296</v>
      </c>
      <c r="J1616" s="1">
        <v>1</v>
      </c>
      <c r="K1616" s="1">
        <v>6</v>
      </c>
      <c r="L1616" s="67">
        <f t="shared" si="51"/>
        <v>1</v>
      </c>
    </row>
    <row r="1617" spans="1:12" x14ac:dyDescent="0.2">
      <c r="A1617">
        <v>1616</v>
      </c>
      <c r="B1617" s="7" t="s">
        <v>356</v>
      </c>
      <c r="C1617" t="s">
        <v>1316</v>
      </c>
      <c r="D1617" s="65" t="str">
        <f t="shared" si="50"/>
        <v>N</v>
      </c>
      <c r="E1617" t="s">
        <v>1312</v>
      </c>
      <c r="F1617" s="7" t="s">
        <v>291</v>
      </c>
      <c r="G1617" s="1">
        <v>1</v>
      </c>
      <c r="H1617" s="7" t="s">
        <v>291</v>
      </c>
      <c r="I1617" s="7" t="s">
        <v>292</v>
      </c>
      <c r="J1617" s="1">
        <v>1</v>
      </c>
      <c r="K1617" s="1">
        <v>5</v>
      </c>
      <c r="L1617" s="67">
        <f t="shared" si="51"/>
        <v>1</v>
      </c>
    </row>
    <row r="1618" spans="1:12" x14ac:dyDescent="0.2">
      <c r="A1618">
        <v>1617</v>
      </c>
      <c r="B1618" s="7" t="s">
        <v>372</v>
      </c>
      <c r="C1618" t="s">
        <v>1316</v>
      </c>
      <c r="D1618" s="65" t="str">
        <f t="shared" si="50"/>
        <v>N</v>
      </c>
      <c r="E1618" t="s">
        <v>1312</v>
      </c>
      <c r="F1618" s="7" t="s">
        <v>291</v>
      </c>
      <c r="G1618" s="1">
        <v>1</v>
      </c>
      <c r="H1618" s="7" t="s">
        <v>291</v>
      </c>
      <c r="I1618" s="7" t="s">
        <v>296</v>
      </c>
      <c r="J1618" s="1">
        <v>1</v>
      </c>
      <c r="K1618" s="1">
        <v>6</v>
      </c>
      <c r="L1618" s="67">
        <f t="shared" si="51"/>
        <v>1</v>
      </c>
    </row>
    <row r="1619" spans="1:12" x14ac:dyDescent="0.2">
      <c r="A1619">
        <v>1618</v>
      </c>
      <c r="B1619" s="7" t="s">
        <v>372</v>
      </c>
      <c r="C1619" t="s">
        <v>1316</v>
      </c>
      <c r="D1619" s="65" t="str">
        <f t="shared" si="50"/>
        <v>N</v>
      </c>
      <c r="E1619" t="s">
        <v>1312</v>
      </c>
      <c r="F1619" s="7" t="s">
        <v>291</v>
      </c>
      <c r="G1619" s="1">
        <v>1</v>
      </c>
      <c r="H1619" s="7" t="s">
        <v>291</v>
      </c>
      <c r="I1619" s="7" t="s">
        <v>296</v>
      </c>
      <c r="J1619" s="1">
        <v>1</v>
      </c>
      <c r="K1619" s="1">
        <v>6</v>
      </c>
      <c r="L1619" s="67">
        <f t="shared" si="51"/>
        <v>1</v>
      </c>
    </row>
    <row r="1620" spans="1:12" x14ac:dyDescent="0.2">
      <c r="A1620">
        <v>1619</v>
      </c>
      <c r="B1620" s="7" t="s">
        <v>372</v>
      </c>
      <c r="C1620" t="s">
        <v>1316</v>
      </c>
      <c r="D1620" s="65" t="str">
        <f t="shared" si="50"/>
        <v>N</v>
      </c>
      <c r="E1620" t="s">
        <v>1312</v>
      </c>
      <c r="F1620" s="7" t="s">
        <v>291</v>
      </c>
      <c r="G1620" s="1">
        <v>1</v>
      </c>
      <c r="H1620" s="7" t="s">
        <v>291</v>
      </c>
      <c r="I1620" s="7" t="s">
        <v>292</v>
      </c>
      <c r="J1620" s="1">
        <v>1</v>
      </c>
      <c r="K1620" s="1">
        <v>5</v>
      </c>
      <c r="L1620" s="67">
        <f t="shared" si="51"/>
        <v>1</v>
      </c>
    </row>
    <row r="1621" spans="1:12" x14ac:dyDescent="0.2">
      <c r="A1621">
        <v>1620</v>
      </c>
      <c r="B1621" s="7" t="s">
        <v>356</v>
      </c>
      <c r="C1621" t="s">
        <v>1316</v>
      </c>
      <c r="D1621" s="65" t="str">
        <f t="shared" si="50"/>
        <v>N</v>
      </c>
      <c r="E1621" t="s">
        <v>1312</v>
      </c>
      <c r="F1621" s="7" t="s">
        <v>291</v>
      </c>
      <c r="G1621" s="1">
        <v>1</v>
      </c>
      <c r="H1621" s="7" t="s">
        <v>291</v>
      </c>
      <c r="I1621" s="7" t="s">
        <v>292</v>
      </c>
      <c r="J1621" s="1">
        <v>1</v>
      </c>
      <c r="K1621" s="1">
        <v>5</v>
      </c>
      <c r="L1621" s="67">
        <f t="shared" si="51"/>
        <v>1</v>
      </c>
    </row>
    <row r="1622" spans="1:12" x14ac:dyDescent="0.2">
      <c r="A1622">
        <v>1621</v>
      </c>
      <c r="B1622" s="7" t="s">
        <v>372</v>
      </c>
      <c r="C1622" t="s">
        <v>1316</v>
      </c>
      <c r="D1622" s="65" t="str">
        <f t="shared" si="50"/>
        <v>N</v>
      </c>
      <c r="E1622" t="s">
        <v>1312</v>
      </c>
      <c r="F1622" s="7" t="s">
        <v>291</v>
      </c>
      <c r="G1622" s="1">
        <v>1</v>
      </c>
      <c r="H1622" s="7" t="s">
        <v>291</v>
      </c>
      <c r="I1622" s="7" t="s">
        <v>292</v>
      </c>
      <c r="J1622" s="1">
        <v>1</v>
      </c>
      <c r="K1622" s="1">
        <v>5</v>
      </c>
      <c r="L1622" s="67">
        <f t="shared" si="51"/>
        <v>1</v>
      </c>
    </row>
    <row r="1623" spans="1:12" x14ac:dyDescent="0.2">
      <c r="A1623">
        <v>1622</v>
      </c>
      <c r="B1623" s="7" t="s">
        <v>356</v>
      </c>
      <c r="C1623" t="s">
        <v>1316</v>
      </c>
      <c r="D1623" s="65" t="str">
        <f t="shared" si="50"/>
        <v>N</v>
      </c>
      <c r="E1623" t="s">
        <v>1312</v>
      </c>
      <c r="F1623" s="7" t="s">
        <v>291</v>
      </c>
      <c r="G1623" s="1">
        <v>1</v>
      </c>
      <c r="H1623" s="7" t="s">
        <v>291</v>
      </c>
      <c r="I1623" s="7" t="s">
        <v>292</v>
      </c>
      <c r="J1623" s="1">
        <v>1</v>
      </c>
      <c r="K1623" s="1">
        <v>5</v>
      </c>
      <c r="L1623" s="67">
        <f t="shared" si="51"/>
        <v>1</v>
      </c>
    </row>
    <row r="1624" spans="1:12" x14ac:dyDescent="0.2">
      <c r="A1624">
        <v>1623</v>
      </c>
      <c r="B1624" s="7" t="s">
        <v>356</v>
      </c>
      <c r="C1624" t="s">
        <v>1316</v>
      </c>
      <c r="D1624" s="65" t="str">
        <f t="shared" si="50"/>
        <v>N</v>
      </c>
      <c r="E1624" t="s">
        <v>1312</v>
      </c>
      <c r="F1624" s="7" t="s">
        <v>291</v>
      </c>
      <c r="G1624" s="1">
        <v>1</v>
      </c>
      <c r="H1624" s="7" t="s">
        <v>291</v>
      </c>
      <c r="I1624" s="7" t="s">
        <v>292</v>
      </c>
      <c r="J1624" s="1">
        <v>1</v>
      </c>
      <c r="K1624" s="1">
        <v>5</v>
      </c>
      <c r="L1624" s="67">
        <f t="shared" si="51"/>
        <v>1</v>
      </c>
    </row>
    <row r="1625" spans="1:12" x14ac:dyDescent="0.2">
      <c r="A1625">
        <v>1624</v>
      </c>
      <c r="B1625" s="7" t="s">
        <v>372</v>
      </c>
      <c r="C1625" t="s">
        <v>1316</v>
      </c>
      <c r="D1625" s="65" t="str">
        <f t="shared" si="50"/>
        <v>N</v>
      </c>
      <c r="E1625" t="s">
        <v>1312</v>
      </c>
      <c r="F1625" s="7" t="s">
        <v>291</v>
      </c>
      <c r="G1625" s="1">
        <v>1</v>
      </c>
      <c r="H1625" s="7" t="s">
        <v>282</v>
      </c>
      <c r="I1625" s="7" t="s">
        <v>294</v>
      </c>
      <c r="J1625" s="4" t="s">
        <v>282</v>
      </c>
      <c r="K1625" s="1">
        <v>7</v>
      </c>
      <c r="L1625" s="67">
        <f t="shared" si="51"/>
        <v>0</v>
      </c>
    </row>
    <row r="1626" spans="1:12" x14ac:dyDescent="0.2">
      <c r="A1626">
        <v>1625</v>
      </c>
      <c r="B1626" s="7" t="s">
        <v>372</v>
      </c>
      <c r="C1626" t="s">
        <v>1316</v>
      </c>
      <c r="D1626" s="65" t="str">
        <f t="shared" si="50"/>
        <v>N</v>
      </c>
      <c r="E1626" t="s">
        <v>1312</v>
      </c>
      <c r="F1626" s="7" t="s">
        <v>291</v>
      </c>
      <c r="G1626" s="1">
        <v>1</v>
      </c>
      <c r="H1626" s="7" t="s">
        <v>291</v>
      </c>
      <c r="I1626" s="7" t="s">
        <v>296</v>
      </c>
      <c r="J1626" s="1">
        <v>1</v>
      </c>
      <c r="K1626" s="1">
        <v>6</v>
      </c>
      <c r="L1626" s="67">
        <f t="shared" si="51"/>
        <v>1</v>
      </c>
    </row>
    <row r="1627" spans="1:12" x14ac:dyDescent="0.2">
      <c r="A1627">
        <v>1626</v>
      </c>
      <c r="B1627" s="7" t="s">
        <v>356</v>
      </c>
      <c r="C1627" t="s">
        <v>1316</v>
      </c>
      <c r="D1627" s="65" t="str">
        <f t="shared" si="50"/>
        <v>N</v>
      </c>
      <c r="E1627" t="s">
        <v>1312</v>
      </c>
      <c r="F1627" s="7" t="s">
        <v>291</v>
      </c>
      <c r="G1627" s="1">
        <v>1</v>
      </c>
      <c r="H1627" s="7" t="s">
        <v>291</v>
      </c>
      <c r="I1627" s="7" t="s">
        <v>297</v>
      </c>
      <c r="J1627" s="1">
        <v>1</v>
      </c>
      <c r="K1627" s="1">
        <v>4</v>
      </c>
      <c r="L1627" s="67">
        <f t="shared" si="51"/>
        <v>1</v>
      </c>
    </row>
    <row r="1628" spans="1:12" x14ac:dyDescent="0.2">
      <c r="A1628">
        <v>1627</v>
      </c>
      <c r="B1628" s="7" t="s">
        <v>372</v>
      </c>
      <c r="C1628" t="s">
        <v>1316</v>
      </c>
      <c r="D1628" s="65" t="str">
        <f t="shared" si="50"/>
        <v>N</v>
      </c>
      <c r="E1628" t="s">
        <v>1312</v>
      </c>
      <c r="F1628" s="7" t="s">
        <v>291</v>
      </c>
      <c r="G1628" s="1">
        <v>1</v>
      </c>
      <c r="H1628" s="7" t="s">
        <v>291</v>
      </c>
      <c r="I1628" s="7" t="s">
        <v>296</v>
      </c>
      <c r="J1628" s="1">
        <v>1</v>
      </c>
      <c r="K1628" s="1">
        <v>6</v>
      </c>
      <c r="L1628" s="67">
        <f t="shared" si="51"/>
        <v>1</v>
      </c>
    </row>
    <row r="1629" spans="1:12" x14ac:dyDescent="0.2">
      <c r="A1629">
        <v>1628</v>
      </c>
      <c r="B1629" s="7" t="s">
        <v>356</v>
      </c>
      <c r="C1629" t="s">
        <v>1316</v>
      </c>
      <c r="D1629" s="65" t="str">
        <f t="shared" si="50"/>
        <v>N</v>
      </c>
      <c r="E1629" t="s">
        <v>1312</v>
      </c>
      <c r="F1629" s="7" t="s">
        <v>291</v>
      </c>
      <c r="G1629" s="1">
        <v>1</v>
      </c>
      <c r="H1629" s="7" t="s">
        <v>291</v>
      </c>
      <c r="I1629" s="7" t="s">
        <v>297</v>
      </c>
      <c r="J1629" s="1">
        <v>1</v>
      </c>
      <c r="K1629" s="1">
        <v>4</v>
      </c>
      <c r="L1629" s="67">
        <f t="shared" si="51"/>
        <v>1</v>
      </c>
    </row>
    <row r="1630" spans="1:12" x14ac:dyDescent="0.2">
      <c r="A1630">
        <v>1629</v>
      </c>
      <c r="B1630" s="7" t="s">
        <v>372</v>
      </c>
      <c r="C1630" t="s">
        <v>1316</v>
      </c>
      <c r="D1630" s="65" t="str">
        <f t="shared" si="50"/>
        <v>N</v>
      </c>
      <c r="E1630" t="s">
        <v>1312</v>
      </c>
      <c r="F1630" s="7" t="s">
        <v>291</v>
      </c>
      <c r="G1630" s="1">
        <v>1</v>
      </c>
      <c r="H1630" s="7" t="s">
        <v>291</v>
      </c>
      <c r="I1630" s="7" t="s">
        <v>294</v>
      </c>
      <c r="J1630" s="1">
        <v>1</v>
      </c>
      <c r="K1630" s="1">
        <v>7</v>
      </c>
      <c r="L1630" s="67">
        <f t="shared" si="51"/>
        <v>1</v>
      </c>
    </row>
    <row r="1631" spans="1:12" x14ac:dyDescent="0.2">
      <c r="A1631">
        <v>1630</v>
      </c>
      <c r="B1631" s="7" t="s">
        <v>372</v>
      </c>
      <c r="C1631" t="s">
        <v>1316</v>
      </c>
      <c r="D1631" s="65" t="str">
        <f t="shared" si="50"/>
        <v>N</v>
      </c>
      <c r="E1631" t="s">
        <v>1312</v>
      </c>
      <c r="F1631" s="7" t="s">
        <v>291</v>
      </c>
      <c r="G1631" s="1">
        <v>1</v>
      </c>
      <c r="H1631" s="7" t="s">
        <v>291</v>
      </c>
      <c r="I1631" s="7" t="s">
        <v>296</v>
      </c>
      <c r="J1631" s="1">
        <v>1</v>
      </c>
      <c r="K1631" s="1">
        <v>6</v>
      </c>
      <c r="L1631" s="67">
        <f t="shared" si="51"/>
        <v>1</v>
      </c>
    </row>
    <row r="1632" spans="1:12" x14ac:dyDescent="0.2">
      <c r="A1632">
        <v>1631</v>
      </c>
      <c r="B1632" s="7" t="s">
        <v>356</v>
      </c>
      <c r="C1632" t="s">
        <v>1316</v>
      </c>
      <c r="D1632" s="65" t="str">
        <f t="shared" si="50"/>
        <v>N</v>
      </c>
      <c r="E1632" t="s">
        <v>1312</v>
      </c>
      <c r="F1632" s="7" t="s">
        <v>291</v>
      </c>
      <c r="G1632" s="1">
        <v>1</v>
      </c>
      <c r="H1632" s="7" t="s">
        <v>291</v>
      </c>
      <c r="I1632" s="7" t="s">
        <v>294</v>
      </c>
      <c r="J1632" s="1">
        <v>1</v>
      </c>
      <c r="K1632" s="1">
        <v>7</v>
      </c>
      <c r="L1632" s="67">
        <f t="shared" si="51"/>
        <v>1</v>
      </c>
    </row>
    <row r="1633" spans="1:12" x14ac:dyDescent="0.2">
      <c r="A1633">
        <v>1632</v>
      </c>
      <c r="B1633" s="7" t="s">
        <v>372</v>
      </c>
      <c r="C1633" t="s">
        <v>1316</v>
      </c>
      <c r="D1633" s="65" t="str">
        <f t="shared" si="50"/>
        <v>N</v>
      </c>
      <c r="E1633" t="s">
        <v>1312</v>
      </c>
      <c r="F1633" s="7" t="s">
        <v>291</v>
      </c>
      <c r="G1633" s="1">
        <v>1</v>
      </c>
      <c r="H1633" s="7" t="s">
        <v>291</v>
      </c>
      <c r="I1633" s="7" t="s">
        <v>292</v>
      </c>
      <c r="J1633" s="1">
        <v>1</v>
      </c>
      <c r="K1633" s="1">
        <v>5</v>
      </c>
      <c r="L1633" s="67">
        <f t="shared" si="51"/>
        <v>1</v>
      </c>
    </row>
    <row r="1634" spans="1:12" x14ac:dyDescent="0.2">
      <c r="A1634">
        <v>1633</v>
      </c>
      <c r="B1634" s="7" t="s">
        <v>356</v>
      </c>
      <c r="C1634" t="s">
        <v>1316</v>
      </c>
      <c r="D1634" s="65" t="str">
        <f t="shared" si="50"/>
        <v>N</v>
      </c>
      <c r="E1634" t="s">
        <v>1312</v>
      </c>
      <c r="F1634" s="7" t="s">
        <v>291</v>
      </c>
      <c r="G1634" s="1">
        <v>1</v>
      </c>
      <c r="H1634" s="7" t="s">
        <v>291</v>
      </c>
      <c r="I1634" s="7" t="s">
        <v>296</v>
      </c>
      <c r="J1634" s="1">
        <v>1</v>
      </c>
      <c r="K1634" s="1">
        <v>6</v>
      </c>
      <c r="L1634" s="67">
        <f t="shared" si="51"/>
        <v>1</v>
      </c>
    </row>
    <row r="1635" spans="1:12" x14ac:dyDescent="0.2">
      <c r="A1635">
        <v>1634</v>
      </c>
      <c r="B1635" s="7" t="s">
        <v>356</v>
      </c>
      <c r="C1635" t="s">
        <v>1316</v>
      </c>
      <c r="D1635" s="65" t="str">
        <f t="shared" si="50"/>
        <v>N</v>
      </c>
      <c r="E1635" t="s">
        <v>1312</v>
      </c>
      <c r="F1635" s="7" t="s">
        <v>291</v>
      </c>
      <c r="G1635" s="1">
        <v>1</v>
      </c>
      <c r="H1635" s="7" t="s">
        <v>291</v>
      </c>
      <c r="I1635" s="7" t="s">
        <v>292</v>
      </c>
      <c r="J1635" s="1">
        <v>1</v>
      </c>
      <c r="K1635" s="1">
        <v>5</v>
      </c>
      <c r="L1635" s="67">
        <f t="shared" si="51"/>
        <v>1</v>
      </c>
    </row>
    <row r="1636" spans="1:12" x14ac:dyDescent="0.2">
      <c r="A1636">
        <v>1635</v>
      </c>
      <c r="B1636" s="7" t="s">
        <v>372</v>
      </c>
      <c r="C1636" t="s">
        <v>1316</v>
      </c>
      <c r="D1636" s="65" t="str">
        <f t="shared" si="50"/>
        <v>N</v>
      </c>
      <c r="E1636" t="s">
        <v>1312</v>
      </c>
      <c r="F1636" s="7" t="s">
        <v>291</v>
      </c>
      <c r="G1636" s="1">
        <v>1</v>
      </c>
      <c r="H1636" s="7" t="s">
        <v>291</v>
      </c>
      <c r="I1636" s="7" t="s">
        <v>292</v>
      </c>
      <c r="J1636" s="1">
        <v>1</v>
      </c>
      <c r="K1636" s="1">
        <v>5</v>
      </c>
      <c r="L1636" s="67">
        <f t="shared" si="51"/>
        <v>1</v>
      </c>
    </row>
    <row r="1637" spans="1:12" x14ac:dyDescent="0.2">
      <c r="A1637">
        <v>1636</v>
      </c>
      <c r="B1637" s="7" t="s">
        <v>356</v>
      </c>
      <c r="C1637" t="s">
        <v>1316</v>
      </c>
      <c r="D1637" s="65" t="str">
        <f t="shared" si="50"/>
        <v>N</v>
      </c>
      <c r="E1637" t="s">
        <v>1312</v>
      </c>
      <c r="F1637" s="7" t="s">
        <v>291</v>
      </c>
      <c r="G1637" s="1">
        <v>1</v>
      </c>
      <c r="H1637" s="7" t="s">
        <v>291</v>
      </c>
      <c r="I1637" s="7" t="s">
        <v>297</v>
      </c>
      <c r="J1637" s="1">
        <v>1</v>
      </c>
      <c r="K1637" s="1">
        <v>4</v>
      </c>
      <c r="L1637" s="67">
        <f t="shared" si="51"/>
        <v>1</v>
      </c>
    </row>
    <row r="1638" spans="1:12" x14ac:dyDescent="0.2">
      <c r="A1638">
        <v>1637</v>
      </c>
      <c r="B1638" s="7" t="s">
        <v>372</v>
      </c>
      <c r="C1638" t="s">
        <v>1316</v>
      </c>
      <c r="D1638" s="65" t="str">
        <f t="shared" si="50"/>
        <v>N</v>
      </c>
      <c r="E1638" t="s">
        <v>1312</v>
      </c>
      <c r="F1638" s="7" t="s">
        <v>291</v>
      </c>
      <c r="G1638" s="1">
        <v>1</v>
      </c>
      <c r="H1638" s="7" t="s">
        <v>291</v>
      </c>
      <c r="I1638" s="7" t="s">
        <v>296</v>
      </c>
      <c r="J1638" s="1">
        <v>1</v>
      </c>
      <c r="K1638" s="1">
        <v>6</v>
      </c>
      <c r="L1638" s="67">
        <f t="shared" si="51"/>
        <v>1</v>
      </c>
    </row>
    <row r="1639" spans="1:12" x14ac:dyDescent="0.2">
      <c r="A1639">
        <v>1638</v>
      </c>
      <c r="B1639" s="7" t="s">
        <v>356</v>
      </c>
      <c r="C1639" t="s">
        <v>1316</v>
      </c>
      <c r="D1639" s="65" t="str">
        <f t="shared" si="50"/>
        <v>N</v>
      </c>
      <c r="E1639" t="s">
        <v>1312</v>
      </c>
      <c r="F1639" s="7" t="s">
        <v>291</v>
      </c>
      <c r="G1639" s="1">
        <v>1</v>
      </c>
      <c r="H1639" s="7" t="s">
        <v>291</v>
      </c>
      <c r="I1639" s="7" t="s">
        <v>292</v>
      </c>
      <c r="J1639" s="1">
        <v>1</v>
      </c>
      <c r="K1639" s="1">
        <v>5</v>
      </c>
      <c r="L1639" s="67">
        <f t="shared" si="51"/>
        <v>1</v>
      </c>
    </row>
    <row r="1640" spans="1:12" x14ac:dyDescent="0.2">
      <c r="A1640">
        <v>1639</v>
      </c>
      <c r="B1640" s="7" t="s">
        <v>372</v>
      </c>
      <c r="C1640" t="s">
        <v>1316</v>
      </c>
      <c r="D1640" s="65" t="str">
        <f t="shared" si="50"/>
        <v>N</v>
      </c>
      <c r="E1640" t="s">
        <v>1312</v>
      </c>
      <c r="F1640" s="7" t="s">
        <v>291</v>
      </c>
      <c r="G1640" s="1">
        <v>1</v>
      </c>
      <c r="H1640" s="7" t="s">
        <v>291</v>
      </c>
      <c r="I1640" s="7" t="s">
        <v>294</v>
      </c>
      <c r="J1640" s="1">
        <v>1</v>
      </c>
      <c r="K1640" s="1">
        <v>7</v>
      </c>
      <c r="L1640" s="67">
        <f t="shared" si="51"/>
        <v>1</v>
      </c>
    </row>
    <row r="1641" spans="1:12" x14ac:dyDescent="0.2">
      <c r="A1641">
        <v>1640</v>
      </c>
      <c r="B1641" s="7" t="s">
        <v>356</v>
      </c>
      <c r="C1641" t="s">
        <v>1316</v>
      </c>
      <c r="D1641" s="65" t="str">
        <f t="shared" si="50"/>
        <v>N</v>
      </c>
      <c r="E1641" t="s">
        <v>1312</v>
      </c>
      <c r="F1641" s="7" t="s">
        <v>291</v>
      </c>
      <c r="G1641" s="1">
        <v>1</v>
      </c>
      <c r="H1641" s="7" t="s">
        <v>291</v>
      </c>
      <c r="I1641" s="7" t="s">
        <v>292</v>
      </c>
      <c r="J1641" s="1">
        <v>1</v>
      </c>
      <c r="K1641" s="1">
        <v>5</v>
      </c>
      <c r="L1641" s="67">
        <f t="shared" si="51"/>
        <v>1</v>
      </c>
    </row>
    <row r="1642" spans="1:12" x14ac:dyDescent="0.2">
      <c r="A1642">
        <v>1641</v>
      </c>
      <c r="B1642" s="7" t="s">
        <v>372</v>
      </c>
      <c r="C1642" t="s">
        <v>1316</v>
      </c>
      <c r="D1642" s="65" t="str">
        <f t="shared" si="50"/>
        <v>N</v>
      </c>
      <c r="E1642" t="s">
        <v>1312</v>
      </c>
      <c r="F1642" s="7" t="s">
        <v>291</v>
      </c>
      <c r="G1642" s="1">
        <v>1</v>
      </c>
      <c r="H1642" s="7" t="s">
        <v>301</v>
      </c>
      <c r="I1642" s="7" t="s">
        <v>292</v>
      </c>
      <c r="J1642" s="1">
        <v>5</v>
      </c>
      <c r="K1642" s="1">
        <v>5</v>
      </c>
      <c r="L1642" s="67">
        <f t="shared" si="51"/>
        <v>0</v>
      </c>
    </row>
    <row r="1643" spans="1:12" x14ac:dyDescent="0.2">
      <c r="A1643">
        <v>1642</v>
      </c>
      <c r="B1643" s="7" t="s">
        <v>372</v>
      </c>
      <c r="C1643" t="s">
        <v>1316</v>
      </c>
      <c r="D1643" s="65" t="str">
        <f t="shared" si="50"/>
        <v>N</v>
      </c>
      <c r="E1643" t="s">
        <v>1312</v>
      </c>
      <c r="F1643" s="7" t="s">
        <v>291</v>
      </c>
      <c r="G1643" s="1">
        <v>1</v>
      </c>
      <c r="H1643" s="7" t="s">
        <v>291</v>
      </c>
      <c r="I1643" s="7" t="s">
        <v>294</v>
      </c>
      <c r="J1643" s="1">
        <v>1</v>
      </c>
      <c r="K1643" s="1">
        <v>7</v>
      </c>
      <c r="L1643" s="67">
        <f t="shared" si="51"/>
        <v>1</v>
      </c>
    </row>
    <row r="1644" spans="1:12" x14ac:dyDescent="0.2">
      <c r="A1644">
        <v>1643</v>
      </c>
      <c r="B1644" s="7" t="s">
        <v>356</v>
      </c>
      <c r="C1644" t="s">
        <v>1316</v>
      </c>
      <c r="D1644" s="65" t="str">
        <f t="shared" si="50"/>
        <v>N</v>
      </c>
      <c r="E1644" t="s">
        <v>1312</v>
      </c>
      <c r="F1644" s="7" t="s">
        <v>291</v>
      </c>
      <c r="G1644" s="1">
        <v>1</v>
      </c>
      <c r="H1644" s="7" t="s">
        <v>291</v>
      </c>
      <c r="I1644" s="7" t="s">
        <v>292</v>
      </c>
      <c r="J1644" s="1">
        <v>1</v>
      </c>
      <c r="K1644" s="1">
        <v>5</v>
      </c>
      <c r="L1644" s="67">
        <f t="shared" si="51"/>
        <v>1</v>
      </c>
    </row>
    <row r="1645" spans="1:12" x14ac:dyDescent="0.2">
      <c r="A1645">
        <v>1644</v>
      </c>
      <c r="B1645" s="7" t="s">
        <v>356</v>
      </c>
      <c r="C1645" t="s">
        <v>1316</v>
      </c>
      <c r="D1645" s="65" t="str">
        <f t="shared" si="50"/>
        <v>N</v>
      </c>
      <c r="E1645" t="s">
        <v>1312</v>
      </c>
      <c r="F1645" s="7" t="s">
        <v>291</v>
      </c>
      <c r="G1645" s="1">
        <v>1</v>
      </c>
      <c r="H1645" s="7" t="s">
        <v>291</v>
      </c>
      <c r="I1645" s="7" t="s">
        <v>292</v>
      </c>
      <c r="J1645" s="1">
        <v>1</v>
      </c>
      <c r="K1645" s="1">
        <v>5</v>
      </c>
      <c r="L1645" s="67">
        <f t="shared" si="51"/>
        <v>1</v>
      </c>
    </row>
    <row r="1646" spans="1:12" x14ac:dyDescent="0.2">
      <c r="A1646">
        <v>1645</v>
      </c>
      <c r="B1646" s="7" t="s">
        <v>372</v>
      </c>
      <c r="C1646" t="s">
        <v>1316</v>
      </c>
      <c r="D1646" s="65" t="str">
        <f t="shared" si="50"/>
        <v>N</v>
      </c>
      <c r="E1646" t="s">
        <v>1312</v>
      </c>
      <c r="F1646" s="7" t="s">
        <v>291</v>
      </c>
      <c r="G1646" s="1">
        <v>1</v>
      </c>
      <c r="H1646" s="7" t="s">
        <v>291</v>
      </c>
      <c r="I1646" s="7" t="s">
        <v>292</v>
      </c>
      <c r="J1646" s="1">
        <v>1</v>
      </c>
      <c r="K1646" s="1">
        <v>5</v>
      </c>
      <c r="L1646" s="67">
        <f t="shared" si="51"/>
        <v>1</v>
      </c>
    </row>
    <row r="1647" spans="1:12" x14ac:dyDescent="0.2">
      <c r="A1647">
        <v>1646</v>
      </c>
      <c r="B1647" s="7" t="s">
        <v>372</v>
      </c>
      <c r="C1647" t="s">
        <v>1316</v>
      </c>
      <c r="D1647" s="65" t="str">
        <f t="shared" si="50"/>
        <v>N</v>
      </c>
      <c r="E1647" t="s">
        <v>1312</v>
      </c>
      <c r="F1647" s="7" t="s">
        <v>291</v>
      </c>
      <c r="G1647" s="1">
        <v>1</v>
      </c>
      <c r="H1647" s="7" t="s">
        <v>291</v>
      </c>
      <c r="I1647" s="7" t="s">
        <v>296</v>
      </c>
      <c r="J1647" s="1">
        <v>1</v>
      </c>
      <c r="K1647" s="1">
        <v>6</v>
      </c>
      <c r="L1647" s="67">
        <f t="shared" si="51"/>
        <v>1</v>
      </c>
    </row>
    <row r="1648" spans="1:12" x14ac:dyDescent="0.2">
      <c r="A1648">
        <v>1647</v>
      </c>
      <c r="B1648" s="7" t="s">
        <v>356</v>
      </c>
      <c r="C1648" t="s">
        <v>1316</v>
      </c>
      <c r="D1648" s="65" t="str">
        <f t="shared" si="50"/>
        <v>N</v>
      </c>
      <c r="E1648" t="s">
        <v>1312</v>
      </c>
      <c r="F1648" s="7" t="s">
        <v>291</v>
      </c>
      <c r="G1648" s="1">
        <v>1</v>
      </c>
      <c r="H1648" s="7" t="s">
        <v>291</v>
      </c>
      <c r="I1648" s="7" t="s">
        <v>292</v>
      </c>
      <c r="J1648" s="1">
        <v>1</v>
      </c>
      <c r="K1648" s="1">
        <v>5</v>
      </c>
      <c r="L1648" s="67">
        <f t="shared" si="51"/>
        <v>1</v>
      </c>
    </row>
    <row r="1649" spans="1:12" x14ac:dyDescent="0.2">
      <c r="A1649">
        <v>1648</v>
      </c>
      <c r="B1649" s="7" t="s">
        <v>372</v>
      </c>
      <c r="C1649" t="s">
        <v>1316</v>
      </c>
      <c r="D1649" s="65" t="str">
        <f t="shared" si="50"/>
        <v>N</v>
      </c>
      <c r="E1649" t="s">
        <v>1312</v>
      </c>
      <c r="F1649" s="7" t="s">
        <v>291</v>
      </c>
      <c r="G1649" s="1">
        <v>1</v>
      </c>
      <c r="H1649" s="7" t="s">
        <v>291</v>
      </c>
      <c r="I1649" s="7" t="s">
        <v>296</v>
      </c>
      <c r="J1649" s="1">
        <v>1</v>
      </c>
      <c r="K1649" s="1">
        <v>6</v>
      </c>
      <c r="L1649" s="67">
        <f t="shared" si="51"/>
        <v>1</v>
      </c>
    </row>
    <row r="1650" spans="1:12" x14ac:dyDescent="0.2">
      <c r="A1650">
        <v>1649</v>
      </c>
      <c r="B1650" s="7" t="s">
        <v>356</v>
      </c>
      <c r="C1650" t="s">
        <v>1316</v>
      </c>
      <c r="D1650" s="65" t="str">
        <f t="shared" si="50"/>
        <v>N</v>
      </c>
      <c r="E1650" t="s">
        <v>1312</v>
      </c>
      <c r="F1650" s="7" t="s">
        <v>291</v>
      </c>
      <c r="G1650" s="1">
        <v>1</v>
      </c>
      <c r="H1650" s="7" t="s">
        <v>282</v>
      </c>
      <c r="I1650" s="7" t="s">
        <v>292</v>
      </c>
      <c r="J1650" s="4" t="s">
        <v>282</v>
      </c>
      <c r="K1650" s="1">
        <v>5</v>
      </c>
      <c r="L1650" s="67">
        <f t="shared" si="51"/>
        <v>0</v>
      </c>
    </row>
    <row r="1651" spans="1:12" x14ac:dyDescent="0.2">
      <c r="A1651">
        <v>1650</v>
      </c>
      <c r="B1651" s="7" t="s">
        <v>356</v>
      </c>
      <c r="C1651" t="s">
        <v>1316</v>
      </c>
      <c r="D1651" s="65" t="str">
        <f t="shared" si="50"/>
        <v>N</v>
      </c>
      <c r="E1651" t="s">
        <v>1312</v>
      </c>
      <c r="F1651" s="7" t="s">
        <v>291</v>
      </c>
      <c r="G1651" s="1">
        <v>1</v>
      </c>
      <c r="H1651" s="7" t="s">
        <v>301</v>
      </c>
      <c r="I1651" s="7" t="s">
        <v>292</v>
      </c>
      <c r="J1651" s="1">
        <v>5</v>
      </c>
      <c r="K1651" s="1">
        <v>5</v>
      </c>
      <c r="L1651" s="67">
        <f t="shared" si="51"/>
        <v>0</v>
      </c>
    </row>
    <row r="1652" spans="1:12" x14ac:dyDescent="0.2">
      <c r="A1652">
        <v>1651</v>
      </c>
      <c r="B1652" s="7" t="s">
        <v>372</v>
      </c>
      <c r="C1652" t="s">
        <v>1316</v>
      </c>
      <c r="D1652" s="65" t="str">
        <f t="shared" si="50"/>
        <v>N</v>
      </c>
      <c r="E1652" t="s">
        <v>1312</v>
      </c>
      <c r="F1652" s="7" t="s">
        <v>291</v>
      </c>
      <c r="G1652" s="1">
        <v>1</v>
      </c>
      <c r="H1652" s="7" t="s">
        <v>301</v>
      </c>
      <c r="I1652" s="7" t="s">
        <v>292</v>
      </c>
      <c r="J1652" s="1">
        <v>5</v>
      </c>
      <c r="K1652" s="1">
        <v>5</v>
      </c>
      <c r="L1652" s="67">
        <f t="shared" si="51"/>
        <v>0</v>
      </c>
    </row>
    <row r="1653" spans="1:12" x14ac:dyDescent="0.2">
      <c r="A1653">
        <v>1652</v>
      </c>
      <c r="B1653" s="7" t="s">
        <v>372</v>
      </c>
      <c r="C1653" t="s">
        <v>1316</v>
      </c>
      <c r="D1653" s="65" t="str">
        <f t="shared" si="50"/>
        <v>N</v>
      </c>
      <c r="E1653" t="s">
        <v>1312</v>
      </c>
      <c r="F1653" s="7" t="s">
        <v>291</v>
      </c>
      <c r="G1653" s="1">
        <v>1</v>
      </c>
      <c r="H1653" s="7" t="s">
        <v>301</v>
      </c>
      <c r="I1653" s="7" t="s">
        <v>294</v>
      </c>
      <c r="J1653" s="1">
        <v>5</v>
      </c>
      <c r="K1653" s="1">
        <v>7</v>
      </c>
      <c r="L1653" s="67">
        <f t="shared" si="51"/>
        <v>0</v>
      </c>
    </row>
    <row r="1654" spans="1:12" x14ac:dyDescent="0.2">
      <c r="A1654">
        <v>1653</v>
      </c>
      <c r="B1654" s="7" t="s">
        <v>356</v>
      </c>
      <c r="C1654" t="s">
        <v>1316</v>
      </c>
      <c r="D1654" s="65" t="str">
        <f t="shared" si="50"/>
        <v>N</v>
      </c>
      <c r="E1654" t="s">
        <v>1312</v>
      </c>
      <c r="F1654" s="7" t="s">
        <v>291</v>
      </c>
      <c r="G1654" s="1">
        <v>1</v>
      </c>
      <c r="H1654" s="7" t="s">
        <v>291</v>
      </c>
      <c r="I1654" s="7" t="s">
        <v>292</v>
      </c>
      <c r="J1654" s="1">
        <v>1</v>
      </c>
      <c r="K1654" s="1">
        <v>5</v>
      </c>
      <c r="L1654" s="67">
        <f t="shared" si="51"/>
        <v>1</v>
      </c>
    </row>
    <row r="1655" spans="1:12" x14ac:dyDescent="0.2">
      <c r="A1655">
        <v>1654</v>
      </c>
      <c r="B1655" s="7" t="s">
        <v>356</v>
      </c>
      <c r="C1655" t="s">
        <v>1316</v>
      </c>
      <c r="D1655" s="65" t="str">
        <f t="shared" si="50"/>
        <v>N</v>
      </c>
      <c r="E1655" t="s">
        <v>1312</v>
      </c>
      <c r="F1655" s="7" t="s">
        <v>291</v>
      </c>
      <c r="G1655" s="1">
        <v>1</v>
      </c>
      <c r="H1655" s="7" t="s">
        <v>282</v>
      </c>
      <c r="I1655" s="7" t="s">
        <v>297</v>
      </c>
      <c r="J1655" s="4" t="s">
        <v>282</v>
      </c>
      <c r="K1655" s="1">
        <v>4</v>
      </c>
      <c r="L1655" s="67">
        <f t="shared" si="51"/>
        <v>0</v>
      </c>
    </row>
    <row r="1656" spans="1:12" x14ac:dyDescent="0.2">
      <c r="A1656">
        <v>1655</v>
      </c>
      <c r="B1656" s="7" t="s">
        <v>372</v>
      </c>
      <c r="C1656" t="s">
        <v>1316</v>
      </c>
      <c r="D1656" s="65" t="str">
        <f t="shared" si="50"/>
        <v>N</v>
      </c>
      <c r="E1656" t="s">
        <v>1312</v>
      </c>
      <c r="F1656" s="7" t="s">
        <v>291</v>
      </c>
      <c r="G1656" s="1">
        <v>1</v>
      </c>
      <c r="H1656" s="7" t="s">
        <v>291</v>
      </c>
      <c r="I1656" s="7" t="s">
        <v>297</v>
      </c>
      <c r="J1656" s="1">
        <v>1</v>
      </c>
      <c r="K1656" s="1">
        <v>4</v>
      </c>
      <c r="L1656" s="67">
        <f t="shared" si="51"/>
        <v>1</v>
      </c>
    </row>
    <row r="1657" spans="1:12" x14ac:dyDescent="0.2">
      <c r="A1657">
        <v>1656</v>
      </c>
      <c r="B1657" s="7" t="s">
        <v>356</v>
      </c>
      <c r="C1657" t="s">
        <v>1316</v>
      </c>
      <c r="D1657" s="65" t="str">
        <f t="shared" si="50"/>
        <v>N</v>
      </c>
      <c r="E1657" t="s">
        <v>1312</v>
      </c>
      <c r="F1657" s="7" t="s">
        <v>291</v>
      </c>
      <c r="G1657" s="1">
        <v>1</v>
      </c>
      <c r="H1657" s="7" t="s">
        <v>291</v>
      </c>
      <c r="I1657" s="7" t="s">
        <v>296</v>
      </c>
      <c r="J1657" s="1">
        <v>1</v>
      </c>
      <c r="K1657" s="1">
        <v>6</v>
      </c>
      <c r="L1657" s="67">
        <f t="shared" si="51"/>
        <v>1</v>
      </c>
    </row>
    <row r="1658" spans="1:12" x14ac:dyDescent="0.2">
      <c r="A1658">
        <v>1657</v>
      </c>
      <c r="B1658" s="7" t="s">
        <v>372</v>
      </c>
      <c r="C1658" t="s">
        <v>1316</v>
      </c>
      <c r="D1658" s="65" t="str">
        <f t="shared" si="50"/>
        <v>N</v>
      </c>
      <c r="E1658" t="s">
        <v>1312</v>
      </c>
      <c r="F1658" s="7" t="s">
        <v>291</v>
      </c>
      <c r="G1658" s="1">
        <v>1</v>
      </c>
      <c r="H1658" s="7" t="s">
        <v>291</v>
      </c>
      <c r="I1658" s="7" t="s">
        <v>292</v>
      </c>
      <c r="J1658" s="1">
        <v>1</v>
      </c>
      <c r="K1658" s="1">
        <v>5</v>
      </c>
      <c r="L1658" s="67">
        <f t="shared" si="51"/>
        <v>1</v>
      </c>
    </row>
    <row r="1659" spans="1:12" x14ac:dyDescent="0.2">
      <c r="A1659">
        <v>1658</v>
      </c>
      <c r="B1659" s="7" t="s">
        <v>356</v>
      </c>
      <c r="C1659" t="s">
        <v>1316</v>
      </c>
      <c r="D1659" s="65" t="str">
        <f t="shared" si="50"/>
        <v>N</v>
      </c>
      <c r="E1659" t="s">
        <v>1312</v>
      </c>
      <c r="F1659" s="7" t="s">
        <v>291</v>
      </c>
      <c r="G1659" s="1">
        <v>1</v>
      </c>
      <c r="H1659" s="7" t="s">
        <v>291</v>
      </c>
      <c r="I1659" s="7" t="s">
        <v>292</v>
      </c>
      <c r="J1659" s="1">
        <v>1</v>
      </c>
      <c r="K1659" s="1">
        <v>5</v>
      </c>
      <c r="L1659" s="67">
        <f t="shared" si="51"/>
        <v>1</v>
      </c>
    </row>
    <row r="1660" spans="1:12" x14ac:dyDescent="0.2">
      <c r="A1660">
        <v>1659</v>
      </c>
      <c r="B1660" s="7" t="s">
        <v>372</v>
      </c>
      <c r="C1660" t="s">
        <v>1316</v>
      </c>
      <c r="D1660" s="65" t="str">
        <f t="shared" si="50"/>
        <v>N</v>
      </c>
      <c r="E1660" t="s">
        <v>1312</v>
      </c>
      <c r="F1660" s="7" t="s">
        <v>291</v>
      </c>
      <c r="G1660" s="1">
        <v>1</v>
      </c>
      <c r="H1660" s="7" t="s">
        <v>291</v>
      </c>
      <c r="I1660" s="7" t="s">
        <v>292</v>
      </c>
      <c r="J1660" s="1">
        <v>1</v>
      </c>
      <c r="K1660" s="1">
        <v>5</v>
      </c>
      <c r="L1660" s="67">
        <f t="shared" si="51"/>
        <v>1</v>
      </c>
    </row>
    <row r="1661" spans="1:12" x14ac:dyDescent="0.2">
      <c r="A1661">
        <v>1660</v>
      </c>
      <c r="B1661" s="7" t="s">
        <v>356</v>
      </c>
      <c r="C1661" t="s">
        <v>1316</v>
      </c>
      <c r="D1661" s="65" t="str">
        <f t="shared" si="50"/>
        <v>N</v>
      </c>
      <c r="E1661" t="s">
        <v>1312</v>
      </c>
      <c r="F1661" s="7" t="s">
        <v>300</v>
      </c>
      <c r="G1661" s="1">
        <v>2</v>
      </c>
      <c r="H1661" s="7" t="s">
        <v>300</v>
      </c>
      <c r="I1661" s="7" t="s">
        <v>294</v>
      </c>
      <c r="J1661" s="1">
        <v>2</v>
      </c>
      <c r="K1661" s="1">
        <v>7</v>
      </c>
      <c r="L1661" s="67">
        <f t="shared" si="51"/>
        <v>1</v>
      </c>
    </row>
    <row r="1662" spans="1:12" x14ac:dyDescent="0.2">
      <c r="A1662">
        <v>1661</v>
      </c>
      <c r="B1662" s="7" t="s">
        <v>372</v>
      </c>
      <c r="C1662" t="s">
        <v>1316</v>
      </c>
      <c r="D1662" s="65" t="str">
        <f t="shared" si="50"/>
        <v>N</v>
      </c>
      <c r="E1662" t="s">
        <v>1312</v>
      </c>
      <c r="F1662" s="7" t="s">
        <v>300</v>
      </c>
      <c r="G1662" s="1">
        <v>2</v>
      </c>
      <c r="H1662" s="7" t="s">
        <v>300</v>
      </c>
      <c r="I1662" s="7" t="s">
        <v>294</v>
      </c>
      <c r="J1662" s="1">
        <v>2</v>
      </c>
      <c r="K1662" s="1">
        <v>7</v>
      </c>
      <c r="L1662" s="67">
        <f t="shared" si="51"/>
        <v>1</v>
      </c>
    </row>
    <row r="1663" spans="1:12" x14ac:dyDescent="0.2">
      <c r="A1663">
        <v>1662</v>
      </c>
      <c r="B1663" s="7" t="s">
        <v>372</v>
      </c>
      <c r="C1663" t="s">
        <v>1316</v>
      </c>
      <c r="D1663" s="65" t="str">
        <f t="shared" si="50"/>
        <v>N</v>
      </c>
      <c r="E1663" t="s">
        <v>1312</v>
      </c>
      <c r="F1663" s="7" t="s">
        <v>300</v>
      </c>
      <c r="G1663" s="1">
        <v>2</v>
      </c>
      <c r="H1663" s="7" t="s">
        <v>300</v>
      </c>
      <c r="I1663" s="7" t="s">
        <v>294</v>
      </c>
      <c r="J1663" s="1">
        <v>2</v>
      </c>
      <c r="K1663" s="1">
        <v>7</v>
      </c>
      <c r="L1663" s="67">
        <f t="shared" si="51"/>
        <v>1</v>
      </c>
    </row>
    <row r="1664" spans="1:12" x14ac:dyDescent="0.2">
      <c r="A1664">
        <v>1663</v>
      </c>
      <c r="B1664" s="7" t="s">
        <v>356</v>
      </c>
      <c r="C1664" t="s">
        <v>1316</v>
      </c>
      <c r="D1664" s="65" t="str">
        <f t="shared" si="50"/>
        <v>N</v>
      </c>
      <c r="E1664" t="s">
        <v>1312</v>
      </c>
      <c r="F1664" s="7" t="s">
        <v>300</v>
      </c>
      <c r="G1664" s="1">
        <v>2</v>
      </c>
      <c r="H1664" s="7" t="s">
        <v>300</v>
      </c>
      <c r="I1664" s="7" t="s">
        <v>296</v>
      </c>
      <c r="J1664" s="1">
        <v>2</v>
      </c>
      <c r="K1664" s="1">
        <v>6</v>
      </c>
      <c r="L1664" s="67">
        <f t="shared" si="51"/>
        <v>1</v>
      </c>
    </row>
    <row r="1665" spans="1:12" x14ac:dyDescent="0.2">
      <c r="A1665">
        <v>1664</v>
      </c>
      <c r="B1665" s="7" t="s">
        <v>372</v>
      </c>
      <c r="C1665" t="s">
        <v>1316</v>
      </c>
      <c r="D1665" s="65" t="str">
        <f t="shared" si="50"/>
        <v>N</v>
      </c>
      <c r="E1665" t="s">
        <v>1312</v>
      </c>
      <c r="F1665" s="7" t="s">
        <v>300</v>
      </c>
      <c r="G1665" s="1">
        <v>2</v>
      </c>
      <c r="H1665" s="7" t="s">
        <v>300</v>
      </c>
      <c r="I1665" s="7" t="s">
        <v>296</v>
      </c>
      <c r="J1665" s="1">
        <v>2</v>
      </c>
      <c r="K1665" s="1">
        <v>6</v>
      </c>
      <c r="L1665" s="67">
        <f t="shared" si="51"/>
        <v>1</v>
      </c>
    </row>
    <row r="1666" spans="1:12" x14ac:dyDescent="0.2">
      <c r="A1666">
        <v>1665</v>
      </c>
      <c r="B1666" s="7" t="s">
        <v>356</v>
      </c>
      <c r="C1666" t="s">
        <v>1316</v>
      </c>
      <c r="D1666" s="65" t="str">
        <f t="shared" si="50"/>
        <v>N</v>
      </c>
      <c r="E1666" t="s">
        <v>1312</v>
      </c>
      <c r="F1666" s="7" t="s">
        <v>300</v>
      </c>
      <c r="G1666" s="1">
        <v>2</v>
      </c>
      <c r="H1666" s="7" t="s">
        <v>300</v>
      </c>
      <c r="I1666" s="7" t="s">
        <v>294</v>
      </c>
      <c r="J1666" s="1">
        <v>2</v>
      </c>
      <c r="K1666" s="1">
        <v>7</v>
      </c>
      <c r="L1666" s="67">
        <f t="shared" si="51"/>
        <v>1</v>
      </c>
    </row>
    <row r="1667" spans="1:12" x14ac:dyDescent="0.2">
      <c r="A1667">
        <v>1666</v>
      </c>
      <c r="B1667" s="7" t="s">
        <v>372</v>
      </c>
      <c r="C1667" t="s">
        <v>1316</v>
      </c>
      <c r="D1667" s="65" t="str">
        <f t="shared" ref="D1667:D1730" si="52">IF($E1667="iso", "N", IF(OR($E1667="non", $E1667="emd", $E1667="dyn"), "Y", "ERROR"))</f>
        <v>N</v>
      </c>
      <c r="E1667" t="s">
        <v>1312</v>
      </c>
      <c r="F1667" s="7" t="s">
        <v>300</v>
      </c>
      <c r="G1667" s="1">
        <v>2</v>
      </c>
      <c r="H1667" s="7" t="s">
        <v>300</v>
      </c>
      <c r="I1667" s="7" t="s">
        <v>292</v>
      </c>
      <c r="J1667" s="1">
        <v>2</v>
      </c>
      <c r="K1667" s="1">
        <v>5</v>
      </c>
      <c r="L1667" s="67">
        <f t="shared" ref="L1667:L1730" si="53">IF(G1667=J1667, 1, 0)</f>
        <v>1</v>
      </c>
    </row>
    <row r="1668" spans="1:12" x14ac:dyDescent="0.2">
      <c r="A1668">
        <v>1667</v>
      </c>
      <c r="B1668" s="7" t="s">
        <v>356</v>
      </c>
      <c r="C1668" t="s">
        <v>1316</v>
      </c>
      <c r="D1668" s="65" t="str">
        <f t="shared" si="52"/>
        <v>N</v>
      </c>
      <c r="E1668" t="s">
        <v>1312</v>
      </c>
      <c r="F1668" s="7" t="s">
        <v>300</v>
      </c>
      <c r="G1668" s="1">
        <v>2</v>
      </c>
      <c r="H1668" s="7" t="s">
        <v>300</v>
      </c>
      <c r="I1668" s="7" t="s">
        <v>296</v>
      </c>
      <c r="J1668" s="1">
        <v>2</v>
      </c>
      <c r="K1668" s="1">
        <v>6</v>
      </c>
      <c r="L1668" s="67">
        <f t="shared" si="53"/>
        <v>1</v>
      </c>
    </row>
    <row r="1669" spans="1:12" x14ac:dyDescent="0.2">
      <c r="A1669">
        <v>1668</v>
      </c>
      <c r="B1669" s="7" t="s">
        <v>372</v>
      </c>
      <c r="C1669" t="s">
        <v>1316</v>
      </c>
      <c r="D1669" s="65" t="str">
        <f t="shared" si="52"/>
        <v>N</v>
      </c>
      <c r="E1669" t="s">
        <v>1312</v>
      </c>
      <c r="F1669" s="7" t="s">
        <v>300</v>
      </c>
      <c r="G1669" s="1">
        <v>2</v>
      </c>
      <c r="H1669" s="7" t="s">
        <v>300</v>
      </c>
      <c r="I1669" s="7" t="s">
        <v>296</v>
      </c>
      <c r="J1669" s="1">
        <v>2</v>
      </c>
      <c r="K1669" s="1">
        <v>6</v>
      </c>
      <c r="L1669" s="67">
        <f t="shared" si="53"/>
        <v>1</v>
      </c>
    </row>
    <row r="1670" spans="1:12" x14ac:dyDescent="0.2">
      <c r="A1670">
        <v>1669</v>
      </c>
      <c r="B1670" s="7" t="s">
        <v>356</v>
      </c>
      <c r="C1670" t="s">
        <v>1316</v>
      </c>
      <c r="D1670" s="65" t="str">
        <f t="shared" si="52"/>
        <v>N</v>
      </c>
      <c r="E1670" t="s">
        <v>1312</v>
      </c>
      <c r="F1670" s="7" t="s">
        <v>300</v>
      </c>
      <c r="G1670" s="1">
        <v>2</v>
      </c>
      <c r="H1670" s="7" t="s">
        <v>300</v>
      </c>
      <c r="I1670" s="7" t="s">
        <v>297</v>
      </c>
      <c r="J1670" s="1">
        <v>2</v>
      </c>
      <c r="K1670" s="1">
        <v>4</v>
      </c>
      <c r="L1670" s="67">
        <f t="shared" si="53"/>
        <v>1</v>
      </c>
    </row>
    <row r="1671" spans="1:12" x14ac:dyDescent="0.2">
      <c r="A1671">
        <v>1670</v>
      </c>
      <c r="B1671" s="7" t="s">
        <v>356</v>
      </c>
      <c r="C1671" t="s">
        <v>1316</v>
      </c>
      <c r="D1671" s="65" t="str">
        <f t="shared" si="52"/>
        <v>N</v>
      </c>
      <c r="E1671" t="s">
        <v>1312</v>
      </c>
      <c r="F1671" s="7" t="s">
        <v>300</v>
      </c>
      <c r="G1671" s="1">
        <v>2</v>
      </c>
      <c r="H1671" s="7" t="s">
        <v>300</v>
      </c>
      <c r="I1671" s="7" t="s">
        <v>294</v>
      </c>
      <c r="J1671" s="1">
        <v>2</v>
      </c>
      <c r="K1671" s="1">
        <v>7</v>
      </c>
      <c r="L1671" s="67">
        <f t="shared" si="53"/>
        <v>1</v>
      </c>
    </row>
    <row r="1672" spans="1:12" x14ac:dyDescent="0.2">
      <c r="A1672">
        <v>1671</v>
      </c>
      <c r="B1672" s="7" t="s">
        <v>372</v>
      </c>
      <c r="C1672" t="s">
        <v>1316</v>
      </c>
      <c r="D1672" s="65" t="str">
        <f t="shared" si="52"/>
        <v>N</v>
      </c>
      <c r="E1672" t="s">
        <v>1312</v>
      </c>
      <c r="F1672" s="7" t="s">
        <v>300</v>
      </c>
      <c r="G1672" s="1">
        <v>2</v>
      </c>
      <c r="H1672" s="7" t="s">
        <v>300</v>
      </c>
      <c r="I1672" s="7" t="s">
        <v>296</v>
      </c>
      <c r="J1672" s="1">
        <v>2</v>
      </c>
      <c r="K1672" s="1">
        <v>6</v>
      </c>
      <c r="L1672" s="67">
        <f t="shared" si="53"/>
        <v>1</v>
      </c>
    </row>
    <row r="1673" spans="1:12" x14ac:dyDescent="0.2">
      <c r="A1673">
        <v>1672</v>
      </c>
      <c r="B1673" s="7" t="s">
        <v>356</v>
      </c>
      <c r="C1673" t="s">
        <v>1316</v>
      </c>
      <c r="D1673" s="65" t="str">
        <f t="shared" si="52"/>
        <v>N</v>
      </c>
      <c r="E1673" t="s">
        <v>1312</v>
      </c>
      <c r="F1673" s="7" t="s">
        <v>300</v>
      </c>
      <c r="G1673" s="1">
        <v>2</v>
      </c>
      <c r="H1673" s="7" t="s">
        <v>301</v>
      </c>
      <c r="I1673" s="7" t="s">
        <v>294</v>
      </c>
      <c r="J1673" s="1">
        <v>5</v>
      </c>
      <c r="K1673" s="1">
        <v>7</v>
      </c>
      <c r="L1673" s="67">
        <f t="shared" si="53"/>
        <v>0</v>
      </c>
    </row>
    <row r="1674" spans="1:12" x14ac:dyDescent="0.2">
      <c r="A1674">
        <v>1673</v>
      </c>
      <c r="B1674" s="7" t="s">
        <v>372</v>
      </c>
      <c r="C1674" t="s">
        <v>1316</v>
      </c>
      <c r="D1674" s="65" t="str">
        <f t="shared" si="52"/>
        <v>N</v>
      </c>
      <c r="E1674" t="s">
        <v>1312</v>
      </c>
      <c r="F1674" s="7" t="s">
        <v>300</v>
      </c>
      <c r="G1674" s="1">
        <v>2</v>
      </c>
      <c r="H1674" s="7" t="s">
        <v>300</v>
      </c>
      <c r="I1674" s="7" t="s">
        <v>294</v>
      </c>
      <c r="J1674" s="1">
        <v>2</v>
      </c>
      <c r="K1674" s="1">
        <v>7</v>
      </c>
      <c r="L1674" s="67">
        <f t="shared" si="53"/>
        <v>1</v>
      </c>
    </row>
    <row r="1675" spans="1:12" x14ac:dyDescent="0.2">
      <c r="A1675">
        <v>1674</v>
      </c>
      <c r="B1675" s="7" t="s">
        <v>356</v>
      </c>
      <c r="C1675" t="s">
        <v>1316</v>
      </c>
      <c r="D1675" s="65" t="str">
        <f t="shared" si="52"/>
        <v>N</v>
      </c>
      <c r="E1675" t="s">
        <v>1312</v>
      </c>
      <c r="F1675" s="7" t="s">
        <v>300</v>
      </c>
      <c r="G1675" s="1">
        <v>2</v>
      </c>
      <c r="H1675" s="7" t="s">
        <v>300</v>
      </c>
      <c r="I1675" s="7" t="s">
        <v>294</v>
      </c>
      <c r="J1675" s="1">
        <v>2</v>
      </c>
      <c r="K1675" s="1">
        <v>7</v>
      </c>
      <c r="L1675" s="67">
        <f t="shared" si="53"/>
        <v>1</v>
      </c>
    </row>
    <row r="1676" spans="1:12" x14ac:dyDescent="0.2">
      <c r="A1676">
        <v>1675</v>
      </c>
      <c r="B1676" s="7" t="s">
        <v>372</v>
      </c>
      <c r="C1676" t="s">
        <v>1316</v>
      </c>
      <c r="D1676" s="65" t="str">
        <f t="shared" si="52"/>
        <v>N</v>
      </c>
      <c r="E1676" t="s">
        <v>1312</v>
      </c>
      <c r="F1676" s="7" t="s">
        <v>300</v>
      </c>
      <c r="G1676" s="1">
        <v>2</v>
      </c>
      <c r="H1676" s="7" t="s">
        <v>300</v>
      </c>
      <c r="I1676" s="7" t="s">
        <v>296</v>
      </c>
      <c r="J1676" s="1">
        <v>2</v>
      </c>
      <c r="K1676" s="1">
        <v>6</v>
      </c>
      <c r="L1676" s="67">
        <f t="shared" si="53"/>
        <v>1</v>
      </c>
    </row>
    <row r="1677" spans="1:12" x14ac:dyDescent="0.2">
      <c r="A1677">
        <v>1676</v>
      </c>
      <c r="B1677" s="7" t="s">
        <v>372</v>
      </c>
      <c r="C1677" t="s">
        <v>1316</v>
      </c>
      <c r="D1677" s="65" t="str">
        <f t="shared" si="52"/>
        <v>N</v>
      </c>
      <c r="E1677" t="s">
        <v>1312</v>
      </c>
      <c r="F1677" s="7" t="s">
        <v>300</v>
      </c>
      <c r="G1677" s="1">
        <v>2</v>
      </c>
      <c r="H1677" s="7" t="s">
        <v>300</v>
      </c>
      <c r="I1677" s="7" t="s">
        <v>296</v>
      </c>
      <c r="J1677" s="1">
        <v>2</v>
      </c>
      <c r="K1677" s="1">
        <v>6</v>
      </c>
      <c r="L1677" s="67">
        <f t="shared" si="53"/>
        <v>1</v>
      </c>
    </row>
    <row r="1678" spans="1:12" x14ac:dyDescent="0.2">
      <c r="A1678">
        <v>1677</v>
      </c>
      <c r="B1678" s="7" t="s">
        <v>356</v>
      </c>
      <c r="C1678" t="s">
        <v>1316</v>
      </c>
      <c r="D1678" s="65" t="str">
        <f t="shared" si="52"/>
        <v>N</v>
      </c>
      <c r="E1678" t="s">
        <v>1312</v>
      </c>
      <c r="F1678" s="7" t="s">
        <v>300</v>
      </c>
      <c r="G1678" s="1">
        <v>2</v>
      </c>
      <c r="H1678" s="7" t="s">
        <v>300</v>
      </c>
      <c r="I1678" s="7" t="s">
        <v>292</v>
      </c>
      <c r="J1678" s="1">
        <v>2</v>
      </c>
      <c r="K1678" s="1">
        <v>5</v>
      </c>
      <c r="L1678" s="67">
        <f t="shared" si="53"/>
        <v>1</v>
      </c>
    </row>
    <row r="1679" spans="1:12" x14ac:dyDescent="0.2">
      <c r="A1679">
        <v>1678</v>
      </c>
      <c r="B1679" s="7" t="s">
        <v>356</v>
      </c>
      <c r="C1679" t="s">
        <v>1316</v>
      </c>
      <c r="D1679" s="65" t="str">
        <f t="shared" si="52"/>
        <v>N</v>
      </c>
      <c r="E1679" t="s">
        <v>1312</v>
      </c>
      <c r="F1679" s="7" t="s">
        <v>300</v>
      </c>
      <c r="G1679" s="1">
        <v>2</v>
      </c>
      <c r="H1679" s="7" t="s">
        <v>300</v>
      </c>
      <c r="I1679" s="7" t="s">
        <v>292</v>
      </c>
      <c r="J1679" s="1">
        <v>2</v>
      </c>
      <c r="K1679" s="1">
        <v>5</v>
      </c>
      <c r="L1679" s="67">
        <f t="shared" si="53"/>
        <v>1</v>
      </c>
    </row>
    <row r="1680" spans="1:12" x14ac:dyDescent="0.2">
      <c r="A1680">
        <v>1679</v>
      </c>
      <c r="B1680" s="7" t="s">
        <v>372</v>
      </c>
      <c r="C1680" t="s">
        <v>1316</v>
      </c>
      <c r="D1680" s="65" t="str">
        <f t="shared" si="52"/>
        <v>N</v>
      </c>
      <c r="E1680" t="s">
        <v>1312</v>
      </c>
      <c r="F1680" s="7" t="s">
        <v>300</v>
      </c>
      <c r="G1680" s="1">
        <v>2</v>
      </c>
      <c r="H1680" s="7" t="s">
        <v>300</v>
      </c>
      <c r="I1680" s="7" t="s">
        <v>296</v>
      </c>
      <c r="J1680" s="1">
        <v>2</v>
      </c>
      <c r="K1680" s="1">
        <v>6</v>
      </c>
      <c r="L1680" s="67">
        <f t="shared" si="53"/>
        <v>1</v>
      </c>
    </row>
    <row r="1681" spans="1:12" x14ac:dyDescent="0.2">
      <c r="A1681">
        <v>1680</v>
      </c>
      <c r="B1681" s="7" t="s">
        <v>356</v>
      </c>
      <c r="C1681" t="s">
        <v>1316</v>
      </c>
      <c r="D1681" s="65" t="str">
        <f t="shared" si="52"/>
        <v>N</v>
      </c>
      <c r="E1681" t="s">
        <v>1312</v>
      </c>
      <c r="F1681" s="7" t="s">
        <v>300</v>
      </c>
      <c r="G1681" s="1">
        <v>2</v>
      </c>
      <c r="H1681" s="7" t="s">
        <v>300</v>
      </c>
      <c r="I1681" s="7" t="s">
        <v>292</v>
      </c>
      <c r="J1681" s="1">
        <v>2</v>
      </c>
      <c r="K1681" s="1">
        <v>5</v>
      </c>
      <c r="L1681" s="67">
        <f t="shared" si="53"/>
        <v>1</v>
      </c>
    </row>
    <row r="1682" spans="1:12" x14ac:dyDescent="0.2">
      <c r="A1682">
        <v>1681</v>
      </c>
      <c r="B1682" s="7" t="s">
        <v>356</v>
      </c>
      <c r="C1682" t="s">
        <v>1316</v>
      </c>
      <c r="D1682" s="65" t="str">
        <f t="shared" si="52"/>
        <v>N</v>
      </c>
      <c r="E1682" t="s">
        <v>1312</v>
      </c>
      <c r="F1682" s="7" t="s">
        <v>300</v>
      </c>
      <c r="G1682" s="1">
        <v>2</v>
      </c>
      <c r="H1682" s="7" t="s">
        <v>300</v>
      </c>
      <c r="I1682" s="7" t="s">
        <v>296</v>
      </c>
      <c r="J1682" s="1">
        <v>2</v>
      </c>
      <c r="K1682" s="1">
        <v>6</v>
      </c>
      <c r="L1682" s="67">
        <f t="shared" si="53"/>
        <v>1</v>
      </c>
    </row>
    <row r="1683" spans="1:12" x14ac:dyDescent="0.2">
      <c r="A1683">
        <v>1682</v>
      </c>
      <c r="B1683" s="7" t="s">
        <v>372</v>
      </c>
      <c r="C1683" t="s">
        <v>1316</v>
      </c>
      <c r="D1683" s="65" t="str">
        <f t="shared" si="52"/>
        <v>N</v>
      </c>
      <c r="E1683" t="s">
        <v>1312</v>
      </c>
      <c r="F1683" s="7" t="s">
        <v>300</v>
      </c>
      <c r="G1683" s="1">
        <v>2</v>
      </c>
      <c r="H1683" s="7" t="s">
        <v>300</v>
      </c>
      <c r="I1683" s="7" t="s">
        <v>294</v>
      </c>
      <c r="J1683" s="1">
        <v>2</v>
      </c>
      <c r="K1683" s="1">
        <v>7</v>
      </c>
      <c r="L1683" s="67">
        <f t="shared" si="53"/>
        <v>1</v>
      </c>
    </row>
    <row r="1684" spans="1:12" x14ac:dyDescent="0.2">
      <c r="A1684">
        <v>1683</v>
      </c>
      <c r="B1684" s="7" t="s">
        <v>372</v>
      </c>
      <c r="C1684" t="s">
        <v>1316</v>
      </c>
      <c r="D1684" s="65" t="str">
        <f t="shared" si="52"/>
        <v>N</v>
      </c>
      <c r="E1684" t="s">
        <v>1312</v>
      </c>
      <c r="F1684" s="7" t="s">
        <v>300</v>
      </c>
      <c r="G1684" s="1">
        <v>2</v>
      </c>
      <c r="H1684" s="7" t="s">
        <v>300</v>
      </c>
      <c r="I1684" s="7" t="s">
        <v>294</v>
      </c>
      <c r="J1684" s="1">
        <v>2</v>
      </c>
      <c r="K1684" s="1">
        <v>7</v>
      </c>
      <c r="L1684" s="67">
        <f t="shared" si="53"/>
        <v>1</v>
      </c>
    </row>
    <row r="1685" spans="1:12" x14ac:dyDescent="0.2">
      <c r="A1685">
        <v>1684</v>
      </c>
      <c r="B1685" s="7" t="s">
        <v>356</v>
      </c>
      <c r="C1685" t="s">
        <v>1316</v>
      </c>
      <c r="D1685" s="65" t="str">
        <f t="shared" si="52"/>
        <v>N</v>
      </c>
      <c r="E1685" t="s">
        <v>1312</v>
      </c>
      <c r="F1685" s="7" t="s">
        <v>300</v>
      </c>
      <c r="G1685" s="1">
        <v>2</v>
      </c>
      <c r="H1685" s="7" t="s">
        <v>619</v>
      </c>
      <c r="I1685" s="7" t="s">
        <v>292</v>
      </c>
      <c r="J1685" s="1">
        <v>1</v>
      </c>
      <c r="K1685" s="1">
        <v>5</v>
      </c>
      <c r="L1685" s="67">
        <f t="shared" si="53"/>
        <v>0</v>
      </c>
    </row>
    <row r="1686" spans="1:12" x14ac:dyDescent="0.2">
      <c r="A1686">
        <v>1685</v>
      </c>
      <c r="B1686" s="7" t="s">
        <v>356</v>
      </c>
      <c r="C1686" t="s">
        <v>1316</v>
      </c>
      <c r="D1686" s="65" t="str">
        <f t="shared" si="52"/>
        <v>N</v>
      </c>
      <c r="E1686" t="s">
        <v>1312</v>
      </c>
      <c r="F1686" s="7" t="s">
        <v>300</v>
      </c>
      <c r="G1686" s="1">
        <v>2</v>
      </c>
      <c r="H1686" s="7" t="s">
        <v>300</v>
      </c>
      <c r="I1686" s="7" t="s">
        <v>292</v>
      </c>
      <c r="J1686" s="1">
        <v>2</v>
      </c>
      <c r="K1686" s="1">
        <v>5</v>
      </c>
      <c r="L1686" s="67">
        <f t="shared" si="53"/>
        <v>1</v>
      </c>
    </row>
    <row r="1687" spans="1:12" x14ac:dyDescent="0.2">
      <c r="A1687">
        <v>1686</v>
      </c>
      <c r="B1687" s="7" t="s">
        <v>372</v>
      </c>
      <c r="C1687" t="s">
        <v>1316</v>
      </c>
      <c r="D1687" s="65" t="str">
        <f t="shared" si="52"/>
        <v>N</v>
      </c>
      <c r="E1687" t="s">
        <v>1312</v>
      </c>
      <c r="F1687" s="7" t="s">
        <v>300</v>
      </c>
      <c r="G1687" s="1">
        <v>2</v>
      </c>
      <c r="H1687" s="7" t="s">
        <v>300</v>
      </c>
      <c r="I1687" s="7" t="s">
        <v>294</v>
      </c>
      <c r="J1687" s="1">
        <v>2</v>
      </c>
      <c r="K1687" s="1">
        <v>7</v>
      </c>
      <c r="L1687" s="67">
        <f t="shared" si="53"/>
        <v>1</v>
      </c>
    </row>
    <row r="1688" spans="1:12" x14ac:dyDescent="0.2">
      <c r="A1688">
        <v>1687</v>
      </c>
      <c r="B1688" s="7" t="s">
        <v>356</v>
      </c>
      <c r="C1688" t="s">
        <v>1316</v>
      </c>
      <c r="D1688" s="65" t="str">
        <f t="shared" si="52"/>
        <v>N</v>
      </c>
      <c r="E1688" t="s">
        <v>1312</v>
      </c>
      <c r="F1688" s="7" t="s">
        <v>300</v>
      </c>
      <c r="G1688" s="1">
        <v>2</v>
      </c>
      <c r="H1688" s="7" t="s">
        <v>300</v>
      </c>
      <c r="I1688" s="7" t="s">
        <v>296</v>
      </c>
      <c r="J1688" s="1">
        <v>2</v>
      </c>
      <c r="K1688" s="1">
        <v>6</v>
      </c>
      <c r="L1688" s="67">
        <f t="shared" si="53"/>
        <v>1</v>
      </c>
    </row>
    <row r="1689" spans="1:12" x14ac:dyDescent="0.2">
      <c r="A1689">
        <v>1688</v>
      </c>
      <c r="B1689" s="7" t="s">
        <v>372</v>
      </c>
      <c r="C1689" t="s">
        <v>1316</v>
      </c>
      <c r="D1689" s="65" t="str">
        <f t="shared" si="52"/>
        <v>N</v>
      </c>
      <c r="E1689" t="s">
        <v>1312</v>
      </c>
      <c r="F1689" s="7" t="s">
        <v>300</v>
      </c>
      <c r="G1689" s="1">
        <v>2</v>
      </c>
      <c r="H1689" s="7" t="s">
        <v>300</v>
      </c>
      <c r="I1689" s="7" t="s">
        <v>296</v>
      </c>
      <c r="J1689" s="1">
        <v>2</v>
      </c>
      <c r="K1689" s="1">
        <v>6</v>
      </c>
      <c r="L1689" s="67">
        <f t="shared" si="53"/>
        <v>1</v>
      </c>
    </row>
    <row r="1690" spans="1:12" x14ac:dyDescent="0.2">
      <c r="A1690">
        <v>1689</v>
      </c>
      <c r="B1690" s="7" t="s">
        <v>356</v>
      </c>
      <c r="C1690" t="s">
        <v>1316</v>
      </c>
      <c r="D1690" s="65" t="str">
        <f t="shared" si="52"/>
        <v>N</v>
      </c>
      <c r="E1690" t="s">
        <v>1312</v>
      </c>
      <c r="F1690" s="7" t="s">
        <v>300</v>
      </c>
      <c r="G1690" s="1">
        <v>2</v>
      </c>
      <c r="H1690" s="7" t="s">
        <v>300</v>
      </c>
      <c r="I1690" s="7" t="s">
        <v>296</v>
      </c>
      <c r="J1690" s="1">
        <v>2</v>
      </c>
      <c r="K1690" s="1">
        <v>6</v>
      </c>
      <c r="L1690" s="67">
        <f t="shared" si="53"/>
        <v>1</v>
      </c>
    </row>
    <row r="1691" spans="1:12" x14ac:dyDescent="0.2">
      <c r="A1691">
        <v>1690</v>
      </c>
      <c r="B1691" s="7" t="s">
        <v>372</v>
      </c>
      <c r="C1691" t="s">
        <v>1316</v>
      </c>
      <c r="D1691" s="65" t="str">
        <f t="shared" si="52"/>
        <v>N</v>
      </c>
      <c r="E1691" t="s">
        <v>1312</v>
      </c>
      <c r="F1691" s="7" t="s">
        <v>300</v>
      </c>
      <c r="G1691" s="1">
        <v>2</v>
      </c>
      <c r="H1691" s="7" t="s">
        <v>300</v>
      </c>
      <c r="I1691" s="7" t="s">
        <v>294</v>
      </c>
      <c r="J1691" s="1">
        <v>2</v>
      </c>
      <c r="K1691" s="1">
        <v>7</v>
      </c>
      <c r="L1691" s="67">
        <f t="shared" si="53"/>
        <v>1</v>
      </c>
    </row>
    <row r="1692" spans="1:12" x14ac:dyDescent="0.2">
      <c r="A1692">
        <v>1691</v>
      </c>
      <c r="B1692" s="7" t="s">
        <v>356</v>
      </c>
      <c r="C1692" t="s">
        <v>1316</v>
      </c>
      <c r="D1692" s="65" t="str">
        <f t="shared" si="52"/>
        <v>N</v>
      </c>
      <c r="E1692" t="s">
        <v>1312</v>
      </c>
      <c r="F1692" s="7" t="s">
        <v>300</v>
      </c>
      <c r="G1692" s="1">
        <v>2</v>
      </c>
      <c r="H1692" s="7" t="s">
        <v>300</v>
      </c>
      <c r="I1692" s="7" t="s">
        <v>294</v>
      </c>
      <c r="J1692" s="1">
        <v>2</v>
      </c>
      <c r="K1692" s="1">
        <v>7</v>
      </c>
      <c r="L1692" s="67">
        <f t="shared" si="53"/>
        <v>1</v>
      </c>
    </row>
    <row r="1693" spans="1:12" x14ac:dyDescent="0.2">
      <c r="A1693">
        <v>1692</v>
      </c>
      <c r="B1693" s="7" t="s">
        <v>356</v>
      </c>
      <c r="C1693" t="s">
        <v>1316</v>
      </c>
      <c r="D1693" s="65" t="str">
        <f t="shared" si="52"/>
        <v>N</v>
      </c>
      <c r="E1693" t="s">
        <v>1312</v>
      </c>
      <c r="F1693" s="7" t="s">
        <v>300</v>
      </c>
      <c r="G1693" s="1">
        <v>2</v>
      </c>
      <c r="H1693" s="7" t="s">
        <v>300</v>
      </c>
      <c r="I1693" s="7" t="s">
        <v>292</v>
      </c>
      <c r="J1693" s="1">
        <v>2</v>
      </c>
      <c r="K1693" s="1">
        <v>5</v>
      </c>
      <c r="L1693" s="67">
        <f t="shared" si="53"/>
        <v>1</v>
      </c>
    </row>
    <row r="1694" spans="1:12" x14ac:dyDescent="0.2">
      <c r="A1694">
        <v>1693</v>
      </c>
      <c r="B1694" s="7" t="s">
        <v>372</v>
      </c>
      <c r="C1694" t="s">
        <v>1316</v>
      </c>
      <c r="D1694" s="65" t="str">
        <f t="shared" si="52"/>
        <v>N</v>
      </c>
      <c r="E1694" t="s">
        <v>1312</v>
      </c>
      <c r="F1694" s="7" t="s">
        <v>300</v>
      </c>
      <c r="G1694" s="1">
        <v>2</v>
      </c>
      <c r="H1694" s="7" t="s">
        <v>300</v>
      </c>
      <c r="I1694" s="7" t="s">
        <v>294</v>
      </c>
      <c r="J1694" s="1">
        <v>2</v>
      </c>
      <c r="K1694" s="1">
        <v>7</v>
      </c>
      <c r="L1694" s="67">
        <f t="shared" si="53"/>
        <v>1</v>
      </c>
    </row>
    <row r="1695" spans="1:12" x14ac:dyDescent="0.2">
      <c r="A1695">
        <v>1694</v>
      </c>
      <c r="B1695" s="7" t="s">
        <v>372</v>
      </c>
      <c r="C1695" t="s">
        <v>1316</v>
      </c>
      <c r="D1695" s="65" t="str">
        <f t="shared" si="52"/>
        <v>N</v>
      </c>
      <c r="E1695" t="s">
        <v>1312</v>
      </c>
      <c r="F1695" s="7" t="s">
        <v>300</v>
      </c>
      <c r="G1695" s="1">
        <v>2</v>
      </c>
      <c r="H1695" s="7" t="s">
        <v>300</v>
      </c>
      <c r="I1695" s="7" t="s">
        <v>294</v>
      </c>
      <c r="J1695" s="1">
        <v>2</v>
      </c>
      <c r="K1695" s="1">
        <v>7</v>
      </c>
      <c r="L1695" s="67">
        <f t="shared" si="53"/>
        <v>1</v>
      </c>
    </row>
    <row r="1696" spans="1:12" x14ac:dyDescent="0.2">
      <c r="A1696">
        <v>1695</v>
      </c>
      <c r="B1696" s="7" t="s">
        <v>356</v>
      </c>
      <c r="C1696" t="s">
        <v>1316</v>
      </c>
      <c r="D1696" s="65" t="str">
        <f t="shared" si="52"/>
        <v>N</v>
      </c>
      <c r="E1696" t="s">
        <v>1312</v>
      </c>
      <c r="F1696" s="7" t="s">
        <v>300</v>
      </c>
      <c r="G1696" s="1">
        <v>2</v>
      </c>
      <c r="H1696" s="7" t="s">
        <v>300</v>
      </c>
      <c r="I1696" s="7" t="s">
        <v>296</v>
      </c>
      <c r="J1696" s="1">
        <v>2</v>
      </c>
      <c r="K1696" s="1">
        <v>6</v>
      </c>
      <c r="L1696" s="67">
        <f t="shared" si="53"/>
        <v>1</v>
      </c>
    </row>
    <row r="1697" spans="1:12" x14ac:dyDescent="0.2">
      <c r="A1697">
        <v>1696</v>
      </c>
      <c r="B1697" s="7" t="s">
        <v>372</v>
      </c>
      <c r="C1697" t="s">
        <v>1316</v>
      </c>
      <c r="D1697" s="65" t="str">
        <f t="shared" si="52"/>
        <v>N</v>
      </c>
      <c r="E1697" t="s">
        <v>1312</v>
      </c>
      <c r="F1697" s="7" t="s">
        <v>300</v>
      </c>
      <c r="G1697" s="1">
        <v>2</v>
      </c>
      <c r="H1697" s="7" t="s">
        <v>300</v>
      </c>
      <c r="I1697" s="7" t="s">
        <v>296</v>
      </c>
      <c r="J1697" s="1">
        <v>2</v>
      </c>
      <c r="K1697" s="1">
        <v>6</v>
      </c>
      <c r="L1697" s="67">
        <f t="shared" si="53"/>
        <v>1</v>
      </c>
    </row>
    <row r="1698" spans="1:12" x14ac:dyDescent="0.2">
      <c r="A1698">
        <v>1697</v>
      </c>
      <c r="B1698" s="7" t="s">
        <v>372</v>
      </c>
      <c r="C1698" t="s">
        <v>1316</v>
      </c>
      <c r="D1698" s="65" t="str">
        <f t="shared" si="52"/>
        <v>N</v>
      </c>
      <c r="E1698" t="s">
        <v>1312</v>
      </c>
      <c r="F1698" s="7" t="s">
        <v>300</v>
      </c>
      <c r="G1698" s="1">
        <v>2</v>
      </c>
      <c r="H1698" s="7" t="s">
        <v>300</v>
      </c>
      <c r="I1698" s="7" t="s">
        <v>296</v>
      </c>
      <c r="J1698" s="1">
        <v>2</v>
      </c>
      <c r="K1698" s="1">
        <v>6</v>
      </c>
      <c r="L1698" s="67">
        <f t="shared" si="53"/>
        <v>1</v>
      </c>
    </row>
    <row r="1699" spans="1:12" x14ac:dyDescent="0.2">
      <c r="A1699">
        <v>1698</v>
      </c>
      <c r="B1699" s="7" t="s">
        <v>372</v>
      </c>
      <c r="C1699" t="s">
        <v>1316</v>
      </c>
      <c r="D1699" s="65" t="str">
        <f t="shared" si="52"/>
        <v>N</v>
      </c>
      <c r="E1699" t="s">
        <v>1312</v>
      </c>
      <c r="F1699" s="7" t="s">
        <v>300</v>
      </c>
      <c r="G1699" s="1">
        <v>2</v>
      </c>
      <c r="H1699" s="7" t="s">
        <v>300</v>
      </c>
      <c r="I1699" s="7" t="s">
        <v>292</v>
      </c>
      <c r="J1699" s="1">
        <v>2</v>
      </c>
      <c r="K1699" s="1">
        <v>5</v>
      </c>
      <c r="L1699" s="67">
        <f t="shared" si="53"/>
        <v>1</v>
      </c>
    </row>
    <row r="1700" spans="1:12" x14ac:dyDescent="0.2">
      <c r="A1700">
        <v>1699</v>
      </c>
      <c r="B1700" s="7" t="s">
        <v>356</v>
      </c>
      <c r="C1700" t="s">
        <v>1316</v>
      </c>
      <c r="D1700" s="65" t="str">
        <f t="shared" si="52"/>
        <v>N</v>
      </c>
      <c r="E1700" t="s">
        <v>1312</v>
      </c>
      <c r="F1700" s="7" t="s">
        <v>300</v>
      </c>
      <c r="G1700" s="1">
        <v>2</v>
      </c>
      <c r="H1700" s="7" t="s">
        <v>619</v>
      </c>
      <c r="I1700" s="7" t="s">
        <v>292</v>
      </c>
      <c r="J1700" s="1">
        <v>1</v>
      </c>
      <c r="K1700" s="1">
        <v>5</v>
      </c>
      <c r="L1700" s="67">
        <f t="shared" si="53"/>
        <v>0</v>
      </c>
    </row>
    <row r="1701" spans="1:12" x14ac:dyDescent="0.2">
      <c r="A1701">
        <v>1700</v>
      </c>
      <c r="B1701" s="7" t="s">
        <v>372</v>
      </c>
      <c r="C1701" t="s">
        <v>1316</v>
      </c>
      <c r="D1701" s="65" t="str">
        <f t="shared" si="52"/>
        <v>N</v>
      </c>
      <c r="E1701" t="s">
        <v>1312</v>
      </c>
      <c r="F1701" s="7" t="s">
        <v>300</v>
      </c>
      <c r="G1701" s="1">
        <v>2</v>
      </c>
      <c r="H1701" s="7" t="s">
        <v>300</v>
      </c>
      <c r="I1701" s="7" t="s">
        <v>292</v>
      </c>
      <c r="J1701" s="1">
        <v>2</v>
      </c>
      <c r="K1701" s="1">
        <v>5</v>
      </c>
      <c r="L1701" s="67">
        <f t="shared" si="53"/>
        <v>1</v>
      </c>
    </row>
    <row r="1702" spans="1:12" x14ac:dyDescent="0.2">
      <c r="A1702">
        <v>1701</v>
      </c>
      <c r="B1702" s="7" t="s">
        <v>356</v>
      </c>
      <c r="C1702" t="s">
        <v>1316</v>
      </c>
      <c r="D1702" s="65" t="str">
        <f t="shared" si="52"/>
        <v>N</v>
      </c>
      <c r="E1702" t="s">
        <v>1312</v>
      </c>
      <c r="F1702" s="7" t="s">
        <v>300</v>
      </c>
      <c r="G1702" s="1">
        <v>2</v>
      </c>
      <c r="H1702" s="7" t="s">
        <v>300</v>
      </c>
      <c r="I1702" s="7" t="s">
        <v>296</v>
      </c>
      <c r="J1702" s="1">
        <v>2</v>
      </c>
      <c r="K1702" s="1">
        <v>6</v>
      </c>
      <c r="L1702" s="67">
        <f t="shared" si="53"/>
        <v>1</v>
      </c>
    </row>
    <row r="1703" spans="1:12" x14ac:dyDescent="0.2">
      <c r="A1703">
        <v>1702</v>
      </c>
      <c r="B1703" s="7" t="s">
        <v>356</v>
      </c>
      <c r="C1703" t="s">
        <v>1316</v>
      </c>
      <c r="D1703" s="65" t="str">
        <f t="shared" si="52"/>
        <v>N</v>
      </c>
      <c r="E1703" t="s">
        <v>1312</v>
      </c>
      <c r="F1703" s="7" t="s">
        <v>300</v>
      </c>
      <c r="G1703" s="1">
        <v>2</v>
      </c>
      <c r="H1703" s="7" t="s">
        <v>300</v>
      </c>
      <c r="I1703" s="7" t="s">
        <v>296</v>
      </c>
      <c r="J1703" s="1">
        <v>2</v>
      </c>
      <c r="K1703" s="1">
        <v>6</v>
      </c>
      <c r="L1703" s="67">
        <f t="shared" si="53"/>
        <v>1</v>
      </c>
    </row>
    <row r="1704" spans="1:12" x14ac:dyDescent="0.2">
      <c r="A1704">
        <v>1703</v>
      </c>
      <c r="B1704" s="7" t="s">
        <v>372</v>
      </c>
      <c r="C1704" t="s">
        <v>1316</v>
      </c>
      <c r="D1704" s="65" t="str">
        <f t="shared" si="52"/>
        <v>N</v>
      </c>
      <c r="E1704" t="s">
        <v>1312</v>
      </c>
      <c r="F1704" s="7" t="s">
        <v>300</v>
      </c>
      <c r="G1704" s="1">
        <v>2</v>
      </c>
      <c r="H1704" s="7" t="s">
        <v>300</v>
      </c>
      <c r="I1704" s="7" t="s">
        <v>294</v>
      </c>
      <c r="J1704" s="1">
        <v>2</v>
      </c>
      <c r="K1704" s="1">
        <v>7</v>
      </c>
      <c r="L1704" s="67">
        <f t="shared" si="53"/>
        <v>1</v>
      </c>
    </row>
    <row r="1705" spans="1:12" x14ac:dyDescent="0.2">
      <c r="A1705">
        <v>1704</v>
      </c>
      <c r="B1705" s="7" t="s">
        <v>372</v>
      </c>
      <c r="C1705" t="s">
        <v>1316</v>
      </c>
      <c r="D1705" s="65" t="str">
        <f t="shared" si="52"/>
        <v>N</v>
      </c>
      <c r="E1705" t="s">
        <v>1312</v>
      </c>
      <c r="F1705" s="7" t="s">
        <v>300</v>
      </c>
      <c r="G1705" s="1">
        <v>2</v>
      </c>
      <c r="H1705" s="7" t="s">
        <v>300</v>
      </c>
      <c r="I1705" s="7" t="s">
        <v>294</v>
      </c>
      <c r="J1705" s="1">
        <v>2</v>
      </c>
      <c r="K1705" s="1">
        <v>7</v>
      </c>
      <c r="L1705" s="67">
        <f t="shared" si="53"/>
        <v>1</v>
      </c>
    </row>
    <row r="1706" spans="1:12" x14ac:dyDescent="0.2">
      <c r="A1706">
        <v>1705</v>
      </c>
      <c r="B1706" s="7" t="s">
        <v>356</v>
      </c>
      <c r="C1706" t="s">
        <v>1316</v>
      </c>
      <c r="D1706" s="65" t="str">
        <f t="shared" si="52"/>
        <v>N</v>
      </c>
      <c r="E1706" t="s">
        <v>1312</v>
      </c>
      <c r="F1706" s="7" t="s">
        <v>300</v>
      </c>
      <c r="G1706" s="1">
        <v>2</v>
      </c>
      <c r="H1706" s="7" t="s">
        <v>300</v>
      </c>
      <c r="I1706" s="7" t="s">
        <v>294</v>
      </c>
      <c r="J1706" s="1">
        <v>2</v>
      </c>
      <c r="K1706" s="1">
        <v>7</v>
      </c>
      <c r="L1706" s="67">
        <f t="shared" si="53"/>
        <v>1</v>
      </c>
    </row>
    <row r="1707" spans="1:12" x14ac:dyDescent="0.2">
      <c r="A1707">
        <v>1706</v>
      </c>
      <c r="B1707" s="7" t="s">
        <v>372</v>
      </c>
      <c r="C1707" t="s">
        <v>1316</v>
      </c>
      <c r="D1707" s="65" t="str">
        <f t="shared" si="52"/>
        <v>N</v>
      </c>
      <c r="E1707" t="s">
        <v>1312</v>
      </c>
      <c r="F1707" s="7" t="s">
        <v>300</v>
      </c>
      <c r="G1707" s="1">
        <v>2</v>
      </c>
      <c r="H1707" s="7" t="s">
        <v>300</v>
      </c>
      <c r="I1707" s="7" t="s">
        <v>294</v>
      </c>
      <c r="J1707" s="1">
        <v>2</v>
      </c>
      <c r="K1707" s="1">
        <v>7</v>
      </c>
      <c r="L1707" s="67">
        <f t="shared" si="53"/>
        <v>1</v>
      </c>
    </row>
    <row r="1708" spans="1:12" x14ac:dyDescent="0.2">
      <c r="A1708">
        <v>1707</v>
      </c>
      <c r="B1708" s="7" t="s">
        <v>356</v>
      </c>
      <c r="C1708" t="s">
        <v>1316</v>
      </c>
      <c r="D1708" s="65" t="str">
        <f t="shared" si="52"/>
        <v>N</v>
      </c>
      <c r="E1708" t="s">
        <v>1312</v>
      </c>
      <c r="F1708" s="7" t="s">
        <v>300</v>
      </c>
      <c r="G1708" s="1">
        <v>2</v>
      </c>
      <c r="H1708" s="7" t="s">
        <v>300</v>
      </c>
      <c r="I1708" s="7" t="s">
        <v>294</v>
      </c>
      <c r="J1708" s="1">
        <v>2</v>
      </c>
      <c r="K1708" s="1">
        <v>7</v>
      </c>
      <c r="L1708" s="67">
        <f t="shared" si="53"/>
        <v>1</v>
      </c>
    </row>
    <row r="1709" spans="1:12" x14ac:dyDescent="0.2">
      <c r="A1709">
        <v>1708</v>
      </c>
      <c r="B1709" s="7" t="s">
        <v>372</v>
      </c>
      <c r="C1709" t="s">
        <v>1316</v>
      </c>
      <c r="D1709" s="65" t="str">
        <f t="shared" si="52"/>
        <v>N</v>
      </c>
      <c r="E1709" t="s">
        <v>1312</v>
      </c>
      <c r="F1709" s="7" t="s">
        <v>300</v>
      </c>
      <c r="G1709" s="1">
        <v>2</v>
      </c>
      <c r="H1709" s="7" t="s">
        <v>300</v>
      </c>
      <c r="I1709" s="7" t="s">
        <v>294</v>
      </c>
      <c r="J1709" s="1">
        <v>2</v>
      </c>
      <c r="K1709" s="1">
        <v>7</v>
      </c>
      <c r="L1709" s="67">
        <f t="shared" si="53"/>
        <v>1</v>
      </c>
    </row>
    <row r="1710" spans="1:12" x14ac:dyDescent="0.2">
      <c r="A1710">
        <v>1709</v>
      </c>
      <c r="B1710" s="7" t="s">
        <v>372</v>
      </c>
      <c r="C1710" t="s">
        <v>1316</v>
      </c>
      <c r="D1710" s="65" t="str">
        <f t="shared" si="52"/>
        <v>N</v>
      </c>
      <c r="E1710" t="s">
        <v>1312</v>
      </c>
      <c r="F1710" s="7" t="s">
        <v>300</v>
      </c>
      <c r="G1710" s="1">
        <v>2</v>
      </c>
      <c r="H1710" s="7" t="s">
        <v>300</v>
      </c>
      <c r="I1710" s="7" t="s">
        <v>296</v>
      </c>
      <c r="J1710" s="1">
        <v>2</v>
      </c>
      <c r="K1710" s="1">
        <v>6</v>
      </c>
      <c r="L1710" s="67">
        <f t="shared" si="53"/>
        <v>1</v>
      </c>
    </row>
    <row r="1711" spans="1:12" x14ac:dyDescent="0.2">
      <c r="A1711">
        <v>1710</v>
      </c>
      <c r="B1711" s="7" t="s">
        <v>356</v>
      </c>
      <c r="C1711" t="s">
        <v>1316</v>
      </c>
      <c r="D1711" s="65" t="str">
        <f t="shared" si="52"/>
        <v>N</v>
      </c>
      <c r="E1711" t="s">
        <v>1312</v>
      </c>
      <c r="F1711" s="7" t="s">
        <v>300</v>
      </c>
      <c r="G1711" s="1">
        <v>2</v>
      </c>
      <c r="H1711" s="7" t="s">
        <v>619</v>
      </c>
      <c r="I1711" s="7" t="s">
        <v>292</v>
      </c>
      <c r="J1711" s="1">
        <v>1</v>
      </c>
      <c r="K1711" s="1">
        <v>5</v>
      </c>
      <c r="L1711" s="67">
        <f t="shared" si="53"/>
        <v>0</v>
      </c>
    </row>
    <row r="1712" spans="1:12" x14ac:dyDescent="0.2">
      <c r="A1712">
        <v>1711</v>
      </c>
      <c r="B1712" s="7" t="s">
        <v>372</v>
      </c>
      <c r="C1712" t="s">
        <v>1316</v>
      </c>
      <c r="D1712" s="65" t="str">
        <f t="shared" si="52"/>
        <v>N</v>
      </c>
      <c r="E1712" t="s">
        <v>1312</v>
      </c>
      <c r="F1712" s="7" t="s">
        <v>300</v>
      </c>
      <c r="G1712" s="1">
        <v>2</v>
      </c>
      <c r="H1712" s="7" t="s">
        <v>300</v>
      </c>
      <c r="I1712" s="7" t="s">
        <v>296</v>
      </c>
      <c r="J1712" s="1">
        <v>2</v>
      </c>
      <c r="K1712" s="1">
        <v>6</v>
      </c>
      <c r="L1712" s="67">
        <f t="shared" si="53"/>
        <v>1</v>
      </c>
    </row>
    <row r="1713" spans="1:12" x14ac:dyDescent="0.2">
      <c r="A1713">
        <v>1712</v>
      </c>
      <c r="B1713" s="7" t="s">
        <v>356</v>
      </c>
      <c r="C1713" t="s">
        <v>1316</v>
      </c>
      <c r="D1713" s="65" t="str">
        <f t="shared" si="52"/>
        <v>N</v>
      </c>
      <c r="E1713" t="s">
        <v>1312</v>
      </c>
      <c r="F1713" s="7" t="s">
        <v>300</v>
      </c>
      <c r="G1713" s="1">
        <v>2</v>
      </c>
      <c r="H1713" s="7" t="s">
        <v>300</v>
      </c>
      <c r="I1713" s="7" t="s">
        <v>296</v>
      </c>
      <c r="J1713" s="1">
        <v>2</v>
      </c>
      <c r="K1713" s="1">
        <v>6</v>
      </c>
      <c r="L1713" s="67">
        <f t="shared" si="53"/>
        <v>1</v>
      </c>
    </row>
    <row r="1714" spans="1:12" x14ac:dyDescent="0.2">
      <c r="A1714">
        <v>1713</v>
      </c>
      <c r="B1714" s="7" t="s">
        <v>356</v>
      </c>
      <c r="C1714" t="s">
        <v>1316</v>
      </c>
      <c r="D1714" s="65" t="str">
        <f t="shared" si="52"/>
        <v>N</v>
      </c>
      <c r="E1714" t="s">
        <v>1312</v>
      </c>
      <c r="F1714" s="7" t="s">
        <v>300</v>
      </c>
      <c r="G1714" s="1">
        <v>2</v>
      </c>
      <c r="H1714" s="7" t="s">
        <v>300</v>
      </c>
      <c r="I1714" s="7" t="s">
        <v>296</v>
      </c>
      <c r="J1714" s="1">
        <v>2</v>
      </c>
      <c r="K1714" s="1">
        <v>6</v>
      </c>
      <c r="L1714" s="67">
        <f t="shared" si="53"/>
        <v>1</v>
      </c>
    </row>
    <row r="1715" spans="1:12" x14ac:dyDescent="0.2">
      <c r="A1715">
        <v>1714</v>
      </c>
      <c r="B1715" s="7" t="s">
        <v>372</v>
      </c>
      <c r="C1715" t="s">
        <v>1316</v>
      </c>
      <c r="D1715" s="65" t="str">
        <f t="shared" si="52"/>
        <v>N</v>
      </c>
      <c r="E1715" t="s">
        <v>1312</v>
      </c>
      <c r="F1715" s="7" t="s">
        <v>300</v>
      </c>
      <c r="G1715" s="1">
        <v>2</v>
      </c>
      <c r="H1715" s="7" t="s">
        <v>300</v>
      </c>
      <c r="I1715" s="7" t="s">
        <v>292</v>
      </c>
      <c r="J1715" s="1">
        <v>2</v>
      </c>
      <c r="K1715" s="1">
        <v>5</v>
      </c>
      <c r="L1715" s="67">
        <f t="shared" si="53"/>
        <v>1</v>
      </c>
    </row>
    <row r="1716" spans="1:12" x14ac:dyDescent="0.2">
      <c r="A1716">
        <v>1715</v>
      </c>
      <c r="B1716" s="7" t="s">
        <v>356</v>
      </c>
      <c r="C1716" t="s">
        <v>1316</v>
      </c>
      <c r="D1716" s="65" t="str">
        <f t="shared" si="52"/>
        <v>N</v>
      </c>
      <c r="E1716" t="s">
        <v>1312</v>
      </c>
      <c r="F1716" s="7" t="s">
        <v>300</v>
      </c>
      <c r="G1716" s="1">
        <v>2</v>
      </c>
      <c r="H1716" s="7" t="s">
        <v>300</v>
      </c>
      <c r="I1716" s="7" t="s">
        <v>292</v>
      </c>
      <c r="J1716" s="1">
        <v>2</v>
      </c>
      <c r="K1716" s="1">
        <v>5</v>
      </c>
      <c r="L1716" s="67">
        <f t="shared" si="53"/>
        <v>1</v>
      </c>
    </row>
    <row r="1717" spans="1:12" x14ac:dyDescent="0.2">
      <c r="A1717">
        <v>1716</v>
      </c>
      <c r="B1717" s="7" t="s">
        <v>372</v>
      </c>
      <c r="C1717" t="s">
        <v>1316</v>
      </c>
      <c r="D1717" s="65" t="str">
        <f t="shared" si="52"/>
        <v>N</v>
      </c>
      <c r="E1717" t="s">
        <v>1312</v>
      </c>
      <c r="F1717" s="7" t="s">
        <v>300</v>
      </c>
      <c r="G1717" s="1">
        <v>2</v>
      </c>
      <c r="H1717" s="7" t="s">
        <v>300</v>
      </c>
      <c r="I1717" s="7" t="s">
        <v>292</v>
      </c>
      <c r="J1717" s="1">
        <v>2</v>
      </c>
      <c r="K1717" s="1">
        <v>5</v>
      </c>
      <c r="L1717" s="67">
        <f t="shared" si="53"/>
        <v>1</v>
      </c>
    </row>
    <row r="1718" spans="1:12" x14ac:dyDescent="0.2">
      <c r="A1718">
        <v>1717</v>
      </c>
      <c r="B1718" s="7" t="s">
        <v>356</v>
      </c>
      <c r="C1718" t="s">
        <v>1316</v>
      </c>
      <c r="D1718" s="65" t="str">
        <f t="shared" si="52"/>
        <v>N</v>
      </c>
      <c r="E1718" t="s">
        <v>1312</v>
      </c>
      <c r="F1718" s="7" t="s">
        <v>300</v>
      </c>
      <c r="G1718" s="1">
        <v>2</v>
      </c>
      <c r="H1718" s="7" t="s">
        <v>300</v>
      </c>
      <c r="I1718" s="7" t="s">
        <v>294</v>
      </c>
      <c r="J1718" s="1">
        <v>2</v>
      </c>
      <c r="K1718" s="1">
        <v>7</v>
      </c>
      <c r="L1718" s="67">
        <f t="shared" si="53"/>
        <v>1</v>
      </c>
    </row>
    <row r="1719" spans="1:12" x14ac:dyDescent="0.2">
      <c r="A1719">
        <v>1718</v>
      </c>
      <c r="B1719" s="7" t="s">
        <v>372</v>
      </c>
      <c r="C1719" t="s">
        <v>1316</v>
      </c>
      <c r="D1719" s="65" t="str">
        <f t="shared" si="52"/>
        <v>N</v>
      </c>
      <c r="E1719" t="s">
        <v>1312</v>
      </c>
      <c r="F1719" s="7" t="s">
        <v>300</v>
      </c>
      <c r="G1719" s="1">
        <v>2</v>
      </c>
      <c r="H1719" s="7" t="s">
        <v>300</v>
      </c>
      <c r="I1719" s="7" t="s">
        <v>294</v>
      </c>
      <c r="J1719" s="1">
        <v>2</v>
      </c>
      <c r="K1719" s="1">
        <v>7</v>
      </c>
      <c r="L1719" s="67">
        <f t="shared" si="53"/>
        <v>1</v>
      </c>
    </row>
    <row r="1720" spans="1:12" x14ac:dyDescent="0.2">
      <c r="A1720">
        <v>1719</v>
      </c>
      <c r="B1720" s="7" t="s">
        <v>356</v>
      </c>
      <c r="C1720" t="s">
        <v>1316</v>
      </c>
      <c r="D1720" s="65" t="str">
        <f t="shared" si="52"/>
        <v>N</v>
      </c>
      <c r="E1720" t="s">
        <v>1312</v>
      </c>
      <c r="F1720" s="7" t="s">
        <v>300</v>
      </c>
      <c r="G1720" s="1">
        <v>2</v>
      </c>
      <c r="H1720" s="7" t="s">
        <v>300</v>
      </c>
      <c r="I1720" s="7" t="s">
        <v>296</v>
      </c>
      <c r="J1720" s="1">
        <v>2</v>
      </c>
      <c r="K1720" s="1">
        <v>6</v>
      </c>
      <c r="L1720" s="67">
        <f t="shared" si="53"/>
        <v>1</v>
      </c>
    </row>
    <row r="1721" spans="1:12" x14ac:dyDescent="0.2">
      <c r="A1721">
        <v>1720</v>
      </c>
      <c r="B1721" s="7" t="s">
        <v>372</v>
      </c>
      <c r="C1721" t="s">
        <v>1316</v>
      </c>
      <c r="D1721" s="65" t="str">
        <f t="shared" si="52"/>
        <v>N</v>
      </c>
      <c r="E1721" t="s">
        <v>1312</v>
      </c>
      <c r="F1721" s="7" t="s">
        <v>300</v>
      </c>
      <c r="G1721" s="1">
        <v>2</v>
      </c>
      <c r="H1721" s="7" t="s">
        <v>300</v>
      </c>
      <c r="I1721" s="7" t="s">
        <v>296</v>
      </c>
      <c r="J1721" s="1">
        <v>2</v>
      </c>
      <c r="K1721" s="1">
        <v>6</v>
      </c>
      <c r="L1721" s="67">
        <f t="shared" si="53"/>
        <v>1</v>
      </c>
    </row>
    <row r="1722" spans="1:12" x14ac:dyDescent="0.2">
      <c r="A1722">
        <v>1721</v>
      </c>
      <c r="B1722" s="7" t="s">
        <v>372</v>
      </c>
      <c r="C1722" t="s">
        <v>1316</v>
      </c>
      <c r="D1722" s="65" t="str">
        <f t="shared" si="52"/>
        <v>N</v>
      </c>
      <c r="E1722" t="s">
        <v>1312</v>
      </c>
      <c r="F1722" s="7" t="s">
        <v>300</v>
      </c>
      <c r="G1722" s="1">
        <v>2</v>
      </c>
      <c r="H1722" s="7" t="s">
        <v>300</v>
      </c>
      <c r="I1722" s="7" t="s">
        <v>294</v>
      </c>
      <c r="J1722" s="1">
        <v>2</v>
      </c>
      <c r="K1722" s="1">
        <v>7</v>
      </c>
      <c r="L1722" s="67">
        <f t="shared" si="53"/>
        <v>1</v>
      </c>
    </row>
    <row r="1723" spans="1:12" x14ac:dyDescent="0.2">
      <c r="A1723">
        <v>1722</v>
      </c>
      <c r="B1723" s="7" t="s">
        <v>356</v>
      </c>
      <c r="C1723" t="s">
        <v>1316</v>
      </c>
      <c r="D1723" s="65" t="str">
        <f t="shared" si="52"/>
        <v>N</v>
      </c>
      <c r="E1723" t="s">
        <v>1312</v>
      </c>
      <c r="F1723" s="7" t="s">
        <v>300</v>
      </c>
      <c r="G1723" s="1">
        <v>2</v>
      </c>
      <c r="H1723" s="7" t="s">
        <v>300</v>
      </c>
      <c r="I1723" s="7" t="s">
        <v>296</v>
      </c>
      <c r="J1723" s="1">
        <v>2</v>
      </c>
      <c r="K1723" s="1">
        <v>6</v>
      </c>
      <c r="L1723" s="67">
        <f t="shared" si="53"/>
        <v>1</v>
      </c>
    </row>
    <row r="1724" spans="1:12" x14ac:dyDescent="0.2">
      <c r="A1724">
        <v>1723</v>
      </c>
      <c r="B1724" s="7" t="s">
        <v>356</v>
      </c>
      <c r="C1724" t="s">
        <v>1316</v>
      </c>
      <c r="D1724" s="65" t="str">
        <f t="shared" si="52"/>
        <v>N</v>
      </c>
      <c r="E1724" t="s">
        <v>1312</v>
      </c>
      <c r="F1724" s="7" t="s">
        <v>300</v>
      </c>
      <c r="G1724" s="1">
        <v>2</v>
      </c>
      <c r="H1724" s="7" t="s">
        <v>300</v>
      </c>
      <c r="I1724" s="7" t="s">
        <v>294</v>
      </c>
      <c r="J1724" s="1">
        <v>2</v>
      </c>
      <c r="K1724" s="1">
        <v>7</v>
      </c>
      <c r="L1724" s="67">
        <f t="shared" si="53"/>
        <v>1</v>
      </c>
    </row>
    <row r="1725" spans="1:12" x14ac:dyDescent="0.2">
      <c r="A1725">
        <v>1724</v>
      </c>
      <c r="B1725" s="7" t="s">
        <v>372</v>
      </c>
      <c r="C1725" t="s">
        <v>1316</v>
      </c>
      <c r="D1725" s="65" t="str">
        <f t="shared" si="52"/>
        <v>N</v>
      </c>
      <c r="E1725" t="s">
        <v>1312</v>
      </c>
      <c r="F1725" s="7" t="s">
        <v>300</v>
      </c>
      <c r="G1725" s="1">
        <v>2</v>
      </c>
      <c r="H1725" s="7" t="s">
        <v>282</v>
      </c>
      <c r="I1725" s="7" t="s">
        <v>292</v>
      </c>
      <c r="J1725" s="4" t="s">
        <v>282</v>
      </c>
      <c r="K1725" s="1">
        <v>5</v>
      </c>
      <c r="L1725" s="67">
        <f t="shared" si="53"/>
        <v>0</v>
      </c>
    </row>
    <row r="1726" spans="1:12" x14ac:dyDescent="0.2">
      <c r="A1726">
        <v>1725</v>
      </c>
      <c r="B1726" s="7" t="s">
        <v>372</v>
      </c>
      <c r="C1726" t="s">
        <v>1316</v>
      </c>
      <c r="D1726" s="65" t="str">
        <f t="shared" si="52"/>
        <v>N</v>
      </c>
      <c r="E1726" t="s">
        <v>1312</v>
      </c>
      <c r="F1726" s="7" t="s">
        <v>300</v>
      </c>
      <c r="G1726" s="1">
        <v>2</v>
      </c>
      <c r="H1726" s="7" t="s">
        <v>300</v>
      </c>
      <c r="I1726" s="7" t="s">
        <v>294</v>
      </c>
      <c r="J1726" s="1">
        <v>2</v>
      </c>
      <c r="K1726" s="1">
        <v>7</v>
      </c>
      <c r="L1726" s="67">
        <f t="shared" si="53"/>
        <v>1</v>
      </c>
    </row>
    <row r="1727" spans="1:12" x14ac:dyDescent="0.2">
      <c r="A1727">
        <v>1726</v>
      </c>
      <c r="B1727" s="7" t="s">
        <v>356</v>
      </c>
      <c r="C1727" t="s">
        <v>1316</v>
      </c>
      <c r="D1727" s="65" t="str">
        <f t="shared" si="52"/>
        <v>N</v>
      </c>
      <c r="E1727" t="s">
        <v>1312</v>
      </c>
      <c r="F1727" s="7" t="s">
        <v>300</v>
      </c>
      <c r="G1727" s="1">
        <v>2</v>
      </c>
      <c r="H1727" s="7" t="s">
        <v>301</v>
      </c>
      <c r="I1727" s="7" t="s">
        <v>292</v>
      </c>
      <c r="J1727" s="1">
        <v>5</v>
      </c>
      <c r="K1727" s="1">
        <v>5</v>
      </c>
      <c r="L1727" s="67">
        <f t="shared" si="53"/>
        <v>0</v>
      </c>
    </row>
    <row r="1728" spans="1:12" x14ac:dyDescent="0.2">
      <c r="A1728">
        <v>1727</v>
      </c>
      <c r="B1728" s="7" t="s">
        <v>372</v>
      </c>
      <c r="C1728" t="s">
        <v>1316</v>
      </c>
      <c r="D1728" s="65" t="str">
        <f t="shared" si="52"/>
        <v>N</v>
      </c>
      <c r="E1728" t="s">
        <v>1312</v>
      </c>
      <c r="F1728" s="7" t="s">
        <v>300</v>
      </c>
      <c r="G1728" s="1">
        <v>2</v>
      </c>
      <c r="H1728" s="7" t="s">
        <v>300</v>
      </c>
      <c r="I1728" s="7" t="s">
        <v>296</v>
      </c>
      <c r="J1728" s="1">
        <v>2</v>
      </c>
      <c r="K1728" s="1">
        <v>6</v>
      </c>
      <c r="L1728" s="67">
        <f t="shared" si="53"/>
        <v>1</v>
      </c>
    </row>
    <row r="1729" spans="1:12" x14ac:dyDescent="0.2">
      <c r="A1729">
        <v>1728</v>
      </c>
      <c r="B1729" s="7" t="s">
        <v>356</v>
      </c>
      <c r="C1729" t="s">
        <v>1316</v>
      </c>
      <c r="D1729" s="65" t="str">
        <f t="shared" si="52"/>
        <v>N</v>
      </c>
      <c r="E1729" t="s">
        <v>1312</v>
      </c>
      <c r="F1729" s="7" t="s">
        <v>300</v>
      </c>
      <c r="G1729" s="1">
        <v>2</v>
      </c>
      <c r="H1729" s="7" t="s">
        <v>300</v>
      </c>
      <c r="I1729" s="7" t="s">
        <v>294</v>
      </c>
      <c r="J1729" s="1">
        <v>2</v>
      </c>
      <c r="K1729" s="1">
        <v>7</v>
      </c>
      <c r="L1729" s="67">
        <f t="shared" si="53"/>
        <v>1</v>
      </c>
    </row>
    <row r="1730" spans="1:12" x14ac:dyDescent="0.2">
      <c r="A1730">
        <v>1729</v>
      </c>
      <c r="B1730" s="7" t="s">
        <v>356</v>
      </c>
      <c r="C1730" t="s">
        <v>1316</v>
      </c>
      <c r="D1730" s="65" t="str">
        <f t="shared" si="52"/>
        <v>N</v>
      </c>
      <c r="E1730" t="s">
        <v>1312</v>
      </c>
      <c r="F1730" s="7" t="s">
        <v>300</v>
      </c>
      <c r="G1730" s="1">
        <v>2</v>
      </c>
      <c r="H1730" s="7" t="s">
        <v>300</v>
      </c>
      <c r="I1730" s="7" t="s">
        <v>292</v>
      </c>
      <c r="J1730" s="1">
        <v>2</v>
      </c>
      <c r="K1730" s="1">
        <v>5</v>
      </c>
      <c r="L1730" s="67">
        <f t="shared" si="53"/>
        <v>1</v>
      </c>
    </row>
    <row r="1731" spans="1:12" x14ac:dyDescent="0.2">
      <c r="A1731">
        <v>1730</v>
      </c>
      <c r="B1731" s="7" t="s">
        <v>372</v>
      </c>
      <c r="C1731" t="s">
        <v>1316</v>
      </c>
      <c r="D1731" s="65" t="str">
        <f t="shared" ref="D1731:D1794" si="54">IF($E1731="iso", "N", IF(OR($E1731="non", $E1731="emd", $E1731="dyn"), "Y", "ERROR"))</f>
        <v>N</v>
      </c>
      <c r="E1731" t="s">
        <v>1312</v>
      </c>
      <c r="F1731" s="7" t="s">
        <v>300</v>
      </c>
      <c r="G1731" s="1">
        <v>2</v>
      </c>
      <c r="H1731" s="7" t="s">
        <v>300</v>
      </c>
      <c r="I1731" s="7" t="s">
        <v>294</v>
      </c>
      <c r="J1731" s="1">
        <v>2</v>
      </c>
      <c r="K1731" s="1">
        <v>7</v>
      </c>
      <c r="L1731" s="67">
        <f t="shared" ref="L1731:L1794" si="55">IF(G1731=J1731, 1, 0)</f>
        <v>1</v>
      </c>
    </row>
    <row r="1732" spans="1:12" x14ac:dyDescent="0.2">
      <c r="A1732">
        <v>1731</v>
      </c>
      <c r="B1732" s="7" t="s">
        <v>372</v>
      </c>
      <c r="C1732" t="s">
        <v>1316</v>
      </c>
      <c r="D1732" s="65" t="str">
        <f t="shared" si="54"/>
        <v>N</v>
      </c>
      <c r="E1732" t="s">
        <v>1312</v>
      </c>
      <c r="F1732" s="7" t="s">
        <v>300</v>
      </c>
      <c r="G1732" s="1">
        <v>2</v>
      </c>
      <c r="H1732" s="7" t="s">
        <v>300</v>
      </c>
      <c r="I1732" s="7" t="s">
        <v>294</v>
      </c>
      <c r="J1732" s="1">
        <v>2</v>
      </c>
      <c r="K1732" s="1">
        <v>7</v>
      </c>
      <c r="L1732" s="67">
        <f t="shared" si="55"/>
        <v>1</v>
      </c>
    </row>
    <row r="1733" spans="1:12" x14ac:dyDescent="0.2">
      <c r="A1733">
        <v>1732</v>
      </c>
      <c r="B1733" s="7" t="s">
        <v>356</v>
      </c>
      <c r="C1733" t="s">
        <v>1316</v>
      </c>
      <c r="D1733" s="65" t="str">
        <f t="shared" si="54"/>
        <v>N</v>
      </c>
      <c r="E1733" t="s">
        <v>1312</v>
      </c>
      <c r="F1733" s="7" t="s">
        <v>300</v>
      </c>
      <c r="G1733" s="1">
        <v>2</v>
      </c>
      <c r="H1733" s="7" t="s">
        <v>300</v>
      </c>
      <c r="I1733" s="7" t="s">
        <v>296</v>
      </c>
      <c r="J1733" s="1">
        <v>2</v>
      </c>
      <c r="K1733" s="1">
        <v>6</v>
      </c>
      <c r="L1733" s="67">
        <f t="shared" si="55"/>
        <v>1</v>
      </c>
    </row>
    <row r="1734" spans="1:12" x14ac:dyDescent="0.2">
      <c r="A1734">
        <v>1733</v>
      </c>
      <c r="B1734" s="7" t="s">
        <v>356</v>
      </c>
      <c r="C1734" t="s">
        <v>1316</v>
      </c>
      <c r="D1734" s="65" t="str">
        <f t="shared" si="54"/>
        <v>N</v>
      </c>
      <c r="E1734" t="s">
        <v>1312</v>
      </c>
      <c r="F1734" s="7" t="s">
        <v>300</v>
      </c>
      <c r="G1734" s="1">
        <v>2</v>
      </c>
      <c r="H1734" s="7" t="s">
        <v>619</v>
      </c>
      <c r="I1734" s="7" t="s">
        <v>292</v>
      </c>
      <c r="J1734" s="1">
        <v>1</v>
      </c>
      <c r="K1734" s="1">
        <v>5</v>
      </c>
      <c r="L1734" s="67">
        <f t="shared" si="55"/>
        <v>0</v>
      </c>
    </row>
    <row r="1735" spans="1:12" x14ac:dyDescent="0.2">
      <c r="A1735">
        <v>1734</v>
      </c>
      <c r="B1735" s="7" t="s">
        <v>372</v>
      </c>
      <c r="C1735" t="s">
        <v>1316</v>
      </c>
      <c r="D1735" s="65" t="str">
        <f t="shared" si="54"/>
        <v>N</v>
      </c>
      <c r="E1735" t="s">
        <v>1312</v>
      </c>
      <c r="F1735" s="7" t="s">
        <v>300</v>
      </c>
      <c r="G1735" s="1">
        <v>2</v>
      </c>
      <c r="H1735" s="7" t="s">
        <v>300</v>
      </c>
      <c r="I1735" s="7" t="s">
        <v>292</v>
      </c>
      <c r="J1735" s="1">
        <v>2</v>
      </c>
      <c r="K1735" s="1">
        <v>5</v>
      </c>
      <c r="L1735" s="67">
        <f t="shared" si="55"/>
        <v>1</v>
      </c>
    </row>
    <row r="1736" spans="1:12" x14ac:dyDescent="0.2">
      <c r="A1736">
        <v>1735</v>
      </c>
      <c r="B1736" s="7" t="s">
        <v>356</v>
      </c>
      <c r="C1736" t="s">
        <v>1316</v>
      </c>
      <c r="D1736" s="65" t="str">
        <f t="shared" si="54"/>
        <v>N</v>
      </c>
      <c r="E1736" t="s">
        <v>1312</v>
      </c>
      <c r="F1736" s="7" t="s">
        <v>300</v>
      </c>
      <c r="G1736" s="1">
        <v>2</v>
      </c>
      <c r="H1736" s="7" t="s">
        <v>300</v>
      </c>
      <c r="I1736" s="7" t="s">
        <v>296</v>
      </c>
      <c r="J1736" s="1">
        <v>2</v>
      </c>
      <c r="K1736" s="1">
        <v>6</v>
      </c>
      <c r="L1736" s="67">
        <f t="shared" si="55"/>
        <v>1</v>
      </c>
    </row>
    <row r="1737" spans="1:12" x14ac:dyDescent="0.2">
      <c r="A1737">
        <v>1736</v>
      </c>
      <c r="B1737" s="7" t="s">
        <v>372</v>
      </c>
      <c r="C1737" t="s">
        <v>1316</v>
      </c>
      <c r="D1737" s="65" t="str">
        <f t="shared" si="54"/>
        <v>N</v>
      </c>
      <c r="E1737" t="s">
        <v>1312</v>
      </c>
      <c r="F1737" s="7" t="s">
        <v>300</v>
      </c>
      <c r="G1737" s="1">
        <v>2</v>
      </c>
      <c r="H1737" s="7" t="s">
        <v>300</v>
      </c>
      <c r="I1737" s="7" t="s">
        <v>292</v>
      </c>
      <c r="J1737" s="1">
        <v>2</v>
      </c>
      <c r="K1737" s="1">
        <v>5</v>
      </c>
      <c r="L1737" s="67">
        <f t="shared" si="55"/>
        <v>1</v>
      </c>
    </row>
    <row r="1738" spans="1:12" x14ac:dyDescent="0.2">
      <c r="A1738">
        <v>1737</v>
      </c>
      <c r="B1738" s="7" t="s">
        <v>356</v>
      </c>
      <c r="C1738" t="s">
        <v>1316</v>
      </c>
      <c r="D1738" s="65" t="str">
        <f t="shared" si="54"/>
        <v>N</v>
      </c>
      <c r="E1738" t="s">
        <v>1312</v>
      </c>
      <c r="F1738" s="7" t="s">
        <v>300</v>
      </c>
      <c r="G1738" s="1">
        <v>2</v>
      </c>
      <c r="H1738" s="7" t="s">
        <v>300</v>
      </c>
      <c r="I1738" s="7" t="s">
        <v>292</v>
      </c>
      <c r="J1738" s="1">
        <v>2</v>
      </c>
      <c r="K1738" s="1">
        <v>5</v>
      </c>
      <c r="L1738" s="67">
        <f t="shared" si="55"/>
        <v>1</v>
      </c>
    </row>
    <row r="1739" spans="1:12" x14ac:dyDescent="0.2">
      <c r="A1739">
        <v>1738</v>
      </c>
      <c r="B1739" s="7" t="s">
        <v>372</v>
      </c>
      <c r="C1739" t="s">
        <v>1316</v>
      </c>
      <c r="D1739" s="65" t="str">
        <f t="shared" si="54"/>
        <v>N</v>
      </c>
      <c r="E1739" t="s">
        <v>1312</v>
      </c>
      <c r="F1739" s="7" t="s">
        <v>300</v>
      </c>
      <c r="G1739" s="1">
        <v>2</v>
      </c>
      <c r="H1739" s="7" t="s">
        <v>300</v>
      </c>
      <c r="I1739" s="7" t="s">
        <v>292</v>
      </c>
      <c r="J1739" s="1">
        <v>2</v>
      </c>
      <c r="K1739" s="1">
        <v>5</v>
      </c>
      <c r="L1739" s="67">
        <f t="shared" si="55"/>
        <v>1</v>
      </c>
    </row>
    <row r="1740" spans="1:12" x14ac:dyDescent="0.2">
      <c r="A1740">
        <v>1739</v>
      </c>
      <c r="B1740" s="7" t="s">
        <v>356</v>
      </c>
      <c r="C1740" t="s">
        <v>1316</v>
      </c>
      <c r="D1740" s="65" t="str">
        <f t="shared" si="54"/>
        <v>N</v>
      </c>
      <c r="E1740" t="s">
        <v>1312</v>
      </c>
      <c r="F1740" s="7" t="s">
        <v>301</v>
      </c>
      <c r="G1740" s="1">
        <v>5</v>
      </c>
      <c r="H1740" s="7" t="s">
        <v>301</v>
      </c>
      <c r="I1740" s="7" t="s">
        <v>297</v>
      </c>
      <c r="J1740" s="1">
        <v>5</v>
      </c>
      <c r="K1740" s="1">
        <v>4</v>
      </c>
      <c r="L1740" s="67">
        <f t="shared" si="55"/>
        <v>1</v>
      </c>
    </row>
    <row r="1741" spans="1:12" x14ac:dyDescent="0.2">
      <c r="A1741">
        <v>1740</v>
      </c>
      <c r="B1741" s="7" t="s">
        <v>372</v>
      </c>
      <c r="C1741" t="s">
        <v>1316</v>
      </c>
      <c r="D1741" s="65" t="str">
        <f t="shared" si="54"/>
        <v>N</v>
      </c>
      <c r="E1741" t="s">
        <v>1312</v>
      </c>
      <c r="F1741" s="7" t="s">
        <v>301</v>
      </c>
      <c r="G1741" s="1">
        <v>5</v>
      </c>
      <c r="H1741" s="7" t="s">
        <v>301</v>
      </c>
      <c r="I1741" s="7" t="s">
        <v>294</v>
      </c>
      <c r="J1741" s="1">
        <v>5</v>
      </c>
      <c r="K1741" s="1">
        <v>7</v>
      </c>
      <c r="L1741" s="67">
        <f t="shared" si="55"/>
        <v>1</v>
      </c>
    </row>
    <row r="1742" spans="1:12" x14ac:dyDescent="0.2">
      <c r="A1742">
        <v>1741</v>
      </c>
      <c r="B1742" s="7" t="s">
        <v>372</v>
      </c>
      <c r="C1742" t="s">
        <v>1316</v>
      </c>
      <c r="D1742" s="65" t="str">
        <f t="shared" si="54"/>
        <v>N</v>
      </c>
      <c r="E1742" t="s">
        <v>1312</v>
      </c>
      <c r="F1742" s="7" t="s">
        <v>301</v>
      </c>
      <c r="G1742" s="1">
        <v>5</v>
      </c>
      <c r="H1742" s="7" t="s">
        <v>282</v>
      </c>
      <c r="I1742" s="7" t="s">
        <v>330</v>
      </c>
      <c r="J1742" s="4" t="s">
        <v>282</v>
      </c>
      <c r="K1742" s="1">
        <v>3</v>
      </c>
      <c r="L1742" s="67">
        <f t="shared" si="55"/>
        <v>0</v>
      </c>
    </row>
    <row r="1743" spans="1:12" x14ac:dyDescent="0.2">
      <c r="A1743">
        <v>1742</v>
      </c>
      <c r="B1743" s="7" t="s">
        <v>356</v>
      </c>
      <c r="C1743" t="s">
        <v>1316</v>
      </c>
      <c r="D1743" s="65" t="str">
        <f t="shared" si="54"/>
        <v>N</v>
      </c>
      <c r="E1743" t="s">
        <v>1312</v>
      </c>
      <c r="F1743" s="7" t="s">
        <v>301</v>
      </c>
      <c r="G1743" s="1">
        <v>5</v>
      </c>
      <c r="H1743" s="7" t="s">
        <v>300</v>
      </c>
      <c r="I1743" s="7" t="s">
        <v>292</v>
      </c>
      <c r="J1743" s="1">
        <v>2</v>
      </c>
      <c r="K1743" s="1">
        <v>5</v>
      </c>
      <c r="L1743" s="67">
        <f t="shared" si="55"/>
        <v>0</v>
      </c>
    </row>
    <row r="1744" spans="1:12" x14ac:dyDescent="0.2">
      <c r="A1744">
        <v>1743</v>
      </c>
      <c r="B1744" s="7" t="s">
        <v>372</v>
      </c>
      <c r="C1744" t="s">
        <v>1316</v>
      </c>
      <c r="D1744" s="65" t="str">
        <f t="shared" si="54"/>
        <v>N</v>
      </c>
      <c r="E1744" t="s">
        <v>1312</v>
      </c>
      <c r="F1744" s="7" t="s">
        <v>301</v>
      </c>
      <c r="G1744" s="1">
        <v>5</v>
      </c>
      <c r="H1744" s="7" t="s">
        <v>301</v>
      </c>
      <c r="I1744" s="7" t="s">
        <v>292</v>
      </c>
      <c r="J1744" s="1">
        <v>5</v>
      </c>
      <c r="K1744" s="1">
        <v>5</v>
      </c>
      <c r="L1744" s="67">
        <f t="shared" si="55"/>
        <v>1</v>
      </c>
    </row>
    <row r="1745" spans="1:12" x14ac:dyDescent="0.2">
      <c r="A1745">
        <v>1744</v>
      </c>
      <c r="B1745" s="7" t="s">
        <v>356</v>
      </c>
      <c r="C1745" t="s">
        <v>1316</v>
      </c>
      <c r="D1745" s="65" t="str">
        <f t="shared" si="54"/>
        <v>N</v>
      </c>
      <c r="E1745" t="s">
        <v>1312</v>
      </c>
      <c r="F1745" s="7" t="s">
        <v>301</v>
      </c>
      <c r="G1745" s="1">
        <v>5</v>
      </c>
      <c r="H1745" s="7" t="s">
        <v>301</v>
      </c>
      <c r="I1745" s="7" t="s">
        <v>297</v>
      </c>
      <c r="J1745" s="1">
        <v>5</v>
      </c>
      <c r="K1745" s="1">
        <v>4</v>
      </c>
      <c r="L1745" s="67">
        <f t="shared" si="55"/>
        <v>1</v>
      </c>
    </row>
    <row r="1746" spans="1:12" x14ac:dyDescent="0.2">
      <c r="A1746">
        <v>1745</v>
      </c>
      <c r="B1746" s="7" t="s">
        <v>372</v>
      </c>
      <c r="C1746" t="s">
        <v>1316</v>
      </c>
      <c r="D1746" s="65" t="str">
        <f t="shared" si="54"/>
        <v>N</v>
      </c>
      <c r="E1746" t="s">
        <v>1312</v>
      </c>
      <c r="F1746" s="7" t="s">
        <v>301</v>
      </c>
      <c r="G1746" s="1">
        <v>5</v>
      </c>
      <c r="H1746" s="7" t="s">
        <v>301</v>
      </c>
      <c r="I1746" s="7" t="s">
        <v>296</v>
      </c>
      <c r="J1746" s="1">
        <v>5</v>
      </c>
      <c r="K1746" s="1">
        <v>6</v>
      </c>
      <c r="L1746" s="67">
        <f t="shared" si="55"/>
        <v>1</v>
      </c>
    </row>
    <row r="1747" spans="1:12" x14ac:dyDescent="0.2">
      <c r="A1747">
        <v>1746</v>
      </c>
      <c r="B1747" s="7" t="s">
        <v>356</v>
      </c>
      <c r="C1747" t="s">
        <v>1316</v>
      </c>
      <c r="D1747" s="65" t="str">
        <f t="shared" si="54"/>
        <v>N</v>
      </c>
      <c r="E1747" t="s">
        <v>1312</v>
      </c>
      <c r="F1747" s="7" t="s">
        <v>301</v>
      </c>
      <c r="G1747" s="1">
        <v>5</v>
      </c>
      <c r="H1747" s="7" t="s">
        <v>301</v>
      </c>
      <c r="I1747" s="7" t="s">
        <v>296</v>
      </c>
      <c r="J1747" s="1">
        <v>5</v>
      </c>
      <c r="K1747" s="1">
        <v>6</v>
      </c>
      <c r="L1747" s="67">
        <f t="shared" si="55"/>
        <v>1</v>
      </c>
    </row>
    <row r="1748" spans="1:12" x14ac:dyDescent="0.2">
      <c r="A1748">
        <v>1747</v>
      </c>
      <c r="B1748" s="7" t="s">
        <v>372</v>
      </c>
      <c r="C1748" t="s">
        <v>1316</v>
      </c>
      <c r="D1748" s="65" t="str">
        <f t="shared" si="54"/>
        <v>N</v>
      </c>
      <c r="E1748" t="s">
        <v>1312</v>
      </c>
      <c r="F1748" s="7" t="s">
        <v>301</v>
      </c>
      <c r="G1748" s="1">
        <v>5</v>
      </c>
      <c r="H1748" s="7" t="s">
        <v>301</v>
      </c>
      <c r="I1748" s="7" t="s">
        <v>296</v>
      </c>
      <c r="J1748" s="1">
        <v>5</v>
      </c>
      <c r="K1748" s="1">
        <v>6</v>
      </c>
      <c r="L1748" s="67">
        <f t="shared" si="55"/>
        <v>1</v>
      </c>
    </row>
    <row r="1749" spans="1:12" x14ac:dyDescent="0.2">
      <c r="A1749">
        <v>1748</v>
      </c>
      <c r="B1749" s="7" t="s">
        <v>356</v>
      </c>
      <c r="C1749" t="s">
        <v>1316</v>
      </c>
      <c r="D1749" s="65" t="str">
        <f t="shared" si="54"/>
        <v>N</v>
      </c>
      <c r="E1749" t="s">
        <v>1312</v>
      </c>
      <c r="F1749" s="7" t="s">
        <v>301</v>
      </c>
      <c r="G1749" s="1">
        <v>5</v>
      </c>
      <c r="H1749" s="7" t="s">
        <v>291</v>
      </c>
      <c r="I1749" s="7" t="s">
        <v>297</v>
      </c>
      <c r="J1749" s="1">
        <v>1</v>
      </c>
      <c r="K1749" s="1">
        <v>4</v>
      </c>
      <c r="L1749" s="67">
        <f t="shared" si="55"/>
        <v>0</v>
      </c>
    </row>
    <row r="1750" spans="1:12" x14ac:dyDescent="0.2">
      <c r="A1750">
        <v>1749</v>
      </c>
      <c r="B1750" s="7" t="s">
        <v>356</v>
      </c>
      <c r="C1750" t="s">
        <v>1316</v>
      </c>
      <c r="D1750" s="65" t="str">
        <f t="shared" si="54"/>
        <v>N</v>
      </c>
      <c r="E1750" t="s">
        <v>1312</v>
      </c>
      <c r="F1750" s="7" t="s">
        <v>301</v>
      </c>
      <c r="G1750" s="1">
        <v>5</v>
      </c>
      <c r="H1750" s="7" t="s">
        <v>301</v>
      </c>
      <c r="I1750" s="7" t="s">
        <v>292</v>
      </c>
      <c r="J1750" s="1">
        <v>5</v>
      </c>
      <c r="K1750" s="1">
        <v>5</v>
      </c>
      <c r="L1750" s="67">
        <f t="shared" si="55"/>
        <v>1</v>
      </c>
    </row>
    <row r="1751" spans="1:12" x14ac:dyDescent="0.2">
      <c r="A1751">
        <v>1750</v>
      </c>
      <c r="B1751" s="7" t="s">
        <v>372</v>
      </c>
      <c r="C1751" t="s">
        <v>1316</v>
      </c>
      <c r="D1751" s="65" t="str">
        <f t="shared" si="54"/>
        <v>N</v>
      </c>
      <c r="E1751" t="s">
        <v>1312</v>
      </c>
      <c r="F1751" s="7" t="s">
        <v>301</v>
      </c>
      <c r="G1751" s="1">
        <v>5</v>
      </c>
      <c r="H1751" s="7" t="s">
        <v>301</v>
      </c>
      <c r="I1751" s="7" t="s">
        <v>296</v>
      </c>
      <c r="J1751" s="1">
        <v>5</v>
      </c>
      <c r="K1751" s="1">
        <v>6</v>
      </c>
      <c r="L1751" s="67">
        <f t="shared" si="55"/>
        <v>1</v>
      </c>
    </row>
    <row r="1752" spans="1:12" x14ac:dyDescent="0.2">
      <c r="A1752">
        <v>1751</v>
      </c>
      <c r="B1752" s="7" t="s">
        <v>356</v>
      </c>
      <c r="C1752" t="s">
        <v>1316</v>
      </c>
      <c r="D1752" s="65" t="str">
        <f t="shared" si="54"/>
        <v>N</v>
      </c>
      <c r="E1752" t="s">
        <v>1312</v>
      </c>
      <c r="F1752" s="7" t="s">
        <v>301</v>
      </c>
      <c r="G1752" s="1">
        <v>5</v>
      </c>
      <c r="H1752" s="7" t="s">
        <v>300</v>
      </c>
      <c r="I1752" s="7" t="s">
        <v>296</v>
      </c>
      <c r="J1752" s="1">
        <v>2</v>
      </c>
      <c r="K1752" s="1">
        <v>6</v>
      </c>
      <c r="L1752" s="67">
        <f t="shared" si="55"/>
        <v>0</v>
      </c>
    </row>
    <row r="1753" spans="1:12" x14ac:dyDescent="0.2">
      <c r="A1753">
        <v>1752</v>
      </c>
      <c r="B1753" s="7" t="s">
        <v>372</v>
      </c>
      <c r="C1753" t="s">
        <v>1316</v>
      </c>
      <c r="D1753" s="65" t="str">
        <f t="shared" si="54"/>
        <v>N</v>
      </c>
      <c r="E1753" t="s">
        <v>1312</v>
      </c>
      <c r="F1753" s="7" t="s">
        <v>301</v>
      </c>
      <c r="G1753" s="1">
        <v>5</v>
      </c>
      <c r="H1753" s="7" t="s">
        <v>301</v>
      </c>
      <c r="I1753" s="7" t="s">
        <v>294</v>
      </c>
      <c r="J1753" s="1">
        <v>5</v>
      </c>
      <c r="K1753" s="1">
        <v>7</v>
      </c>
      <c r="L1753" s="67">
        <f t="shared" si="55"/>
        <v>1</v>
      </c>
    </row>
    <row r="1754" spans="1:12" x14ac:dyDescent="0.2">
      <c r="A1754">
        <v>1753</v>
      </c>
      <c r="B1754" s="7" t="s">
        <v>356</v>
      </c>
      <c r="C1754" t="s">
        <v>1316</v>
      </c>
      <c r="D1754" s="65" t="str">
        <f t="shared" si="54"/>
        <v>N</v>
      </c>
      <c r="E1754" t="s">
        <v>1312</v>
      </c>
      <c r="F1754" s="7" t="s">
        <v>301</v>
      </c>
      <c r="G1754" s="1">
        <v>5</v>
      </c>
      <c r="H1754" s="7" t="s">
        <v>301</v>
      </c>
      <c r="I1754" s="7" t="s">
        <v>294</v>
      </c>
      <c r="J1754" s="1">
        <v>5</v>
      </c>
      <c r="K1754" s="1">
        <v>7</v>
      </c>
      <c r="L1754" s="67">
        <f t="shared" si="55"/>
        <v>1</v>
      </c>
    </row>
    <row r="1755" spans="1:12" x14ac:dyDescent="0.2">
      <c r="A1755">
        <v>1754</v>
      </c>
      <c r="B1755" s="7" t="s">
        <v>372</v>
      </c>
      <c r="C1755" t="s">
        <v>1316</v>
      </c>
      <c r="D1755" s="65" t="str">
        <f t="shared" si="54"/>
        <v>N</v>
      </c>
      <c r="E1755" t="s">
        <v>1312</v>
      </c>
      <c r="F1755" s="7" t="s">
        <v>301</v>
      </c>
      <c r="G1755" s="1">
        <v>5</v>
      </c>
      <c r="H1755" s="7" t="s">
        <v>282</v>
      </c>
      <c r="I1755" s="7" t="s">
        <v>297</v>
      </c>
      <c r="J1755" s="4" t="s">
        <v>282</v>
      </c>
      <c r="K1755" s="1">
        <v>4</v>
      </c>
      <c r="L1755" s="67">
        <f t="shared" si="55"/>
        <v>0</v>
      </c>
    </row>
    <row r="1756" spans="1:12" x14ac:dyDescent="0.2">
      <c r="A1756">
        <v>1755</v>
      </c>
      <c r="B1756" s="7" t="s">
        <v>372</v>
      </c>
      <c r="C1756" t="s">
        <v>1316</v>
      </c>
      <c r="D1756" s="65" t="str">
        <f t="shared" si="54"/>
        <v>N</v>
      </c>
      <c r="E1756" t="s">
        <v>1312</v>
      </c>
      <c r="F1756" s="7" t="s">
        <v>301</v>
      </c>
      <c r="G1756" s="1">
        <v>5</v>
      </c>
      <c r="H1756" s="7" t="s">
        <v>282</v>
      </c>
      <c r="I1756" s="7" t="s">
        <v>292</v>
      </c>
      <c r="J1756" s="4" t="s">
        <v>282</v>
      </c>
      <c r="K1756" s="1">
        <v>5</v>
      </c>
      <c r="L1756" s="67">
        <f t="shared" si="55"/>
        <v>0</v>
      </c>
    </row>
    <row r="1757" spans="1:12" x14ac:dyDescent="0.2">
      <c r="A1757">
        <v>1756</v>
      </c>
      <c r="B1757" s="7" t="s">
        <v>356</v>
      </c>
      <c r="C1757" t="s">
        <v>1316</v>
      </c>
      <c r="D1757" s="65" t="str">
        <f t="shared" si="54"/>
        <v>N</v>
      </c>
      <c r="E1757" t="s">
        <v>1312</v>
      </c>
      <c r="F1757" s="7" t="s">
        <v>301</v>
      </c>
      <c r="G1757" s="1">
        <v>5</v>
      </c>
      <c r="H1757" s="7" t="s">
        <v>301</v>
      </c>
      <c r="I1757" s="7" t="s">
        <v>292</v>
      </c>
      <c r="J1757" s="1">
        <v>5</v>
      </c>
      <c r="K1757" s="1">
        <v>5</v>
      </c>
      <c r="L1757" s="67">
        <f t="shared" si="55"/>
        <v>1</v>
      </c>
    </row>
    <row r="1758" spans="1:12" x14ac:dyDescent="0.2">
      <c r="A1758">
        <v>1757</v>
      </c>
      <c r="B1758" s="7" t="s">
        <v>356</v>
      </c>
      <c r="C1758" t="s">
        <v>1316</v>
      </c>
      <c r="D1758" s="65" t="str">
        <f t="shared" si="54"/>
        <v>N</v>
      </c>
      <c r="E1758" t="s">
        <v>1312</v>
      </c>
      <c r="F1758" s="7" t="s">
        <v>301</v>
      </c>
      <c r="G1758" s="1">
        <v>5</v>
      </c>
      <c r="H1758" s="7" t="s">
        <v>301</v>
      </c>
      <c r="I1758" s="7" t="s">
        <v>292</v>
      </c>
      <c r="J1758" s="1">
        <v>5</v>
      </c>
      <c r="K1758" s="1">
        <v>5</v>
      </c>
      <c r="L1758" s="67">
        <f t="shared" si="55"/>
        <v>1</v>
      </c>
    </row>
    <row r="1759" spans="1:12" x14ac:dyDescent="0.2">
      <c r="A1759">
        <v>1758</v>
      </c>
      <c r="B1759" s="7" t="s">
        <v>372</v>
      </c>
      <c r="C1759" t="s">
        <v>1316</v>
      </c>
      <c r="D1759" s="65" t="str">
        <f t="shared" si="54"/>
        <v>N</v>
      </c>
      <c r="E1759" t="s">
        <v>1312</v>
      </c>
      <c r="F1759" s="7" t="s">
        <v>301</v>
      </c>
      <c r="G1759" s="1">
        <v>5</v>
      </c>
      <c r="H1759" s="7" t="s">
        <v>301</v>
      </c>
      <c r="I1759" s="7" t="s">
        <v>292</v>
      </c>
      <c r="J1759" s="1">
        <v>5</v>
      </c>
      <c r="K1759" s="1">
        <v>5</v>
      </c>
      <c r="L1759" s="67">
        <f t="shared" si="55"/>
        <v>1</v>
      </c>
    </row>
    <row r="1760" spans="1:12" x14ac:dyDescent="0.2">
      <c r="A1760">
        <v>1759</v>
      </c>
      <c r="B1760" s="7" t="s">
        <v>356</v>
      </c>
      <c r="C1760" t="s">
        <v>1316</v>
      </c>
      <c r="D1760" s="65" t="str">
        <f t="shared" si="54"/>
        <v>N</v>
      </c>
      <c r="E1760" t="s">
        <v>1312</v>
      </c>
      <c r="F1760" s="7" t="s">
        <v>301</v>
      </c>
      <c r="G1760" s="1">
        <v>5</v>
      </c>
      <c r="H1760" s="7" t="s">
        <v>301</v>
      </c>
      <c r="I1760" s="7" t="s">
        <v>296</v>
      </c>
      <c r="J1760" s="1">
        <v>5</v>
      </c>
      <c r="K1760" s="1">
        <v>6</v>
      </c>
      <c r="L1760" s="67">
        <f t="shared" si="55"/>
        <v>1</v>
      </c>
    </row>
    <row r="1761" spans="1:12" x14ac:dyDescent="0.2">
      <c r="A1761">
        <v>1760</v>
      </c>
      <c r="B1761" s="7" t="s">
        <v>356</v>
      </c>
      <c r="C1761" t="s">
        <v>1316</v>
      </c>
      <c r="D1761" s="65" t="str">
        <f t="shared" si="54"/>
        <v>N</v>
      </c>
      <c r="E1761" t="s">
        <v>1312</v>
      </c>
      <c r="F1761" s="7" t="s">
        <v>301</v>
      </c>
      <c r="G1761" s="1">
        <v>5</v>
      </c>
      <c r="H1761" s="7" t="s">
        <v>301</v>
      </c>
      <c r="I1761" s="7" t="s">
        <v>296</v>
      </c>
      <c r="J1761" s="1">
        <v>5</v>
      </c>
      <c r="K1761" s="1">
        <v>6</v>
      </c>
      <c r="L1761" s="67">
        <f t="shared" si="55"/>
        <v>1</v>
      </c>
    </row>
    <row r="1762" spans="1:12" x14ac:dyDescent="0.2">
      <c r="A1762">
        <v>1761</v>
      </c>
      <c r="B1762" s="7" t="s">
        <v>372</v>
      </c>
      <c r="C1762" t="s">
        <v>1316</v>
      </c>
      <c r="D1762" s="65" t="str">
        <f t="shared" si="54"/>
        <v>N</v>
      </c>
      <c r="E1762" t="s">
        <v>1312</v>
      </c>
      <c r="F1762" s="7" t="s">
        <v>301</v>
      </c>
      <c r="G1762" s="1">
        <v>5</v>
      </c>
      <c r="H1762" s="7" t="s">
        <v>301</v>
      </c>
      <c r="I1762" s="7" t="s">
        <v>294</v>
      </c>
      <c r="J1762" s="1">
        <v>5</v>
      </c>
      <c r="K1762" s="1">
        <v>7</v>
      </c>
      <c r="L1762" s="67">
        <f t="shared" si="55"/>
        <v>1</v>
      </c>
    </row>
    <row r="1763" spans="1:12" x14ac:dyDescent="0.2">
      <c r="A1763">
        <v>1762</v>
      </c>
      <c r="B1763" s="7" t="s">
        <v>372</v>
      </c>
      <c r="C1763" t="s">
        <v>1316</v>
      </c>
      <c r="D1763" s="65" t="str">
        <f t="shared" si="54"/>
        <v>N</v>
      </c>
      <c r="E1763" t="s">
        <v>1312</v>
      </c>
      <c r="F1763" s="7" t="s">
        <v>301</v>
      </c>
      <c r="G1763" s="1">
        <v>5</v>
      </c>
      <c r="H1763" s="7" t="s">
        <v>300</v>
      </c>
      <c r="I1763" s="7" t="s">
        <v>294</v>
      </c>
      <c r="J1763" s="1">
        <v>2</v>
      </c>
      <c r="K1763" s="1">
        <v>7</v>
      </c>
      <c r="L1763" s="67">
        <f t="shared" si="55"/>
        <v>0</v>
      </c>
    </row>
    <row r="1764" spans="1:12" x14ac:dyDescent="0.2">
      <c r="A1764">
        <v>1763</v>
      </c>
      <c r="B1764" s="7" t="s">
        <v>356</v>
      </c>
      <c r="C1764" t="s">
        <v>1316</v>
      </c>
      <c r="D1764" s="65" t="str">
        <f t="shared" si="54"/>
        <v>N</v>
      </c>
      <c r="E1764" t="s">
        <v>1312</v>
      </c>
      <c r="F1764" s="7" t="s">
        <v>301</v>
      </c>
      <c r="G1764" s="1">
        <v>5</v>
      </c>
      <c r="H1764" s="7" t="s">
        <v>301</v>
      </c>
      <c r="I1764" s="7" t="s">
        <v>296</v>
      </c>
      <c r="J1764" s="1">
        <v>5</v>
      </c>
      <c r="K1764" s="1">
        <v>6</v>
      </c>
      <c r="L1764" s="67">
        <f t="shared" si="55"/>
        <v>1</v>
      </c>
    </row>
    <row r="1765" spans="1:12" x14ac:dyDescent="0.2">
      <c r="A1765">
        <v>1764</v>
      </c>
      <c r="B1765" s="7" t="s">
        <v>356</v>
      </c>
      <c r="C1765" t="s">
        <v>1316</v>
      </c>
      <c r="D1765" s="65" t="str">
        <f t="shared" si="54"/>
        <v>N</v>
      </c>
      <c r="E1765" t="s">
        <v>1312</v>
      </c>
      <c r="F1765" s="7" t="s">
        <v>301</v>
      </c>
      <c r="G1765" s="1">
        <v>5</v>
      </c>
      <c r="H1765" s="7" t="s">
        <v>301</v>
      </c>
      <c r="I1765" s="7" t="s">
        <v>292</v>
      </c>
      <c r="J1765" s="1">
        <v>5</v>
      </c>
      <c r="K1765" s="1">
        <v>5</v>
      </c>
      <c r="L1765" s="67">
        <f t="shared" si="55"/>
        <v>1</v>
      </c>
    </row>
    <row r="1766" spans="1:12" x14ac:dyDescent="0.2">
      <c r="A1766">
        <v>1765</v>
      </c>
      <c r="B1766" s="7" t="s">
        <v>372</v>
      </c>
      <c r="C1766" t="s">
        <v>1316</v>
      </c>
      <c r="D1766" s="65" t="str">
        <f t="shared" si="54"/>
        <v>N</v>
      </c>
      <c r="E1766" t="s">
        <v>1312</v>
      </c>
      <c r="F1766" s="7" t="s">
        <v>301</v>
      </c>
      <c r="G1766" s="1">
        <v>5</v>
      </c>
      <c r="H1766" s="7" t="s">
        <v>300</v>
      </c>
      <c r="I1766" s="7" t="s">
        <v>294</v>
      </c>
      <c r="J1766" s="1">
        <v>2</v>
      </c>
      <c r="K1766" s="1">
        <v>7</v>
      </c>
      <c r="L1766" s="67">
        <f t="shared" si="55"/>
        <v>0</v>
      </c>
    </row>
    <row r="1767" spans="1:12" x14ac:dyDescent="0.2">
      <c r="A1767">
        <v>1766</v>
      </c>
      <c r="B1767" s="7" t="s">
        <v>356</v>
      </c>
      <c r="C1767" t="s">
        <v>1316</v>
      </c>
      <c r="D1767" s="65" t="str">
        <f t="shared" si="54"/>
        <v>N</v>
      </c>
      <c r="E1767" t="s">
        <v>1312</v>
      </c>
      <c r="F1767" s="7" t="s">
        <v>301</v>
      </c>
      <c r="G1767" s="1">
        <v>5</v>
      </c>
      <c r="H1767" s="7" t="s">
        <v>291</v>
      </c>
      <c r="I1767" s="7" t="s">
        <v>296</v>
      </c>
      <c r="J1767" s="1">
        <v>1</v>
      </c>
      <c r="K1767" s="1">
        <v>6</v>
      </c>
      <c r="L1767" s="67">
        <f t="shared" si="55"/>
        <v>0</v>
      </c>
    </row>
    <row r="1768" spans="1:12" x14ac:dyDescent="0.2">
      <c r="A1768">
        <v>1767</v>
      </c>
      <c r="B1768" s="7" t="s">
        <v>372</v>
      </c>
      <c r="C1768" t="s">
        <v>1316</v>
      </c>
      <c r="D1768" s="65" t="str">
        <f t="shared" si="54"/>
        <v>N</v>
      </c>
      <c r="E1768" t="s">
        <v>1312</v>
      </c>
      <c r="F1768" s="7" t="s">
        <v>301</v>
      </c>
      <c r="G1768" s="1">
        <v>5</v>
      </c>
      <c r="H1768" s="7" t="s">
        <v>301</v>
      </c>
      <c r="I1768" s="7" t="s">
        <v>297</v>
      </c>
      <c r="J1768" s="1">
        <v>5</v>
      </c>
      <c r="K1768" s="1">
        <v>4</v>
      </c>
      <c r="L1768" s="67">
        <f t="shared" si="55"/>
        <v>1</v>
      </c>
    </row>
    <row r="1769" spans="1:12" x14ac:dyDescent="0.2">
      <c r="A1769">
        <v>1768</v>
      </c>
      <c r="B1769" s="7" t="s">
        <v>356</v>
      </c>
      <c r="C1769" t="s">
        <v>1316</v>
      </c>
      <c r="D1769" s="65" t="str">
        <f t="shared" si="54"/>
        <v>N</v>
      </c>
      <c r="E1769" t="s">
        <v>1312</v>
      </c>
      <c r="F1769" s="7" t="s">
        <v>301</v>
      </c>
      <c r="G1769" s="1">
        <v>5</v>
      </c>
      <c r="H1769" s="7" t="s">
        <v>301</v>
      </c>
      <c r="I1769" s="7" t="s">
        <v>296</v>
      </c>
      <c r="J1769" s="1">
        <v>5</v>
      </c>
      <c r="K1769" s="1">
        <v>6</v>
      </c>
      <c r="L1769" s="67">
        <f t="shared" si="55"/>
        <v>1</v>
      </c>
    </row>
    <row r="1770" spans="1:12" x14ac:dyDescent="0.2">
      <c r="A1770">
        <v>1769</v>
      </c>
      <c r="B1770" s="7" t="s">
        <v>372</v>
      </c>
      <c r="C1770" t="s">
        <v>1316</v>
      </c>
      <c r="D1770" s="65" t="str">
        <f t="shared" si="54"/>
        <v>N</v>
      </c>
      <c r="E1770" t="s">
        <v>1312</v>
      </c>
      <c r="F1770" s="7" t="s">
        <v>301</v>
      </c>
      <c r="G1770" s="1">
        <v>5</v>
      </c>
      <c r="H1770" s="7" t="s">
        <v>301</v>
      </c>
      <c r="I1770" s="7" t="s">
        <v>296</v>
      </c>
      <c r="J1770" s="1">
        <v>5</v>
      </c>
      <c r="K1770" s="1">
        <v>6</v>
      </c>
      <c r="L1770" s="67">
        <f t="shared" si="55"/>
        <v>1</v>
      </c>
    </row>
    <row r="1771" spans="1:12" x14ac:dyDescent="0.2">
      <c r="A1771">
        <v>1770</v>
      </c>
      <c r="B1771" s="7" t="s">
        <v>356</v>
      </c>
      <c r="C1771" t="s">
        <v>1316</v>
      </c>
      <c r="D1771" s="65" t="str">
        <f t="shared" si="54"/>
        <v>N</v>
      </c>
      <c r="E1771" t="s">
        <v>1312</v>
      </c>
      <c r="F1771" s="7" t="s">
        <v>301</v>
      </c>
      <c r="G1771" s="1">
        <v>5</v>
      </c>
      <c r="H1771" s="7" t="s">
        <v>301</v>
      </c>
      <c r="I1771" s="7" t="s">
        <v>296</v>
      </c>
      <c r="J1771" s="1">
        <v>5</v>
      </c>
      <c r="K1771" s="1">
        <v>6</v>
      </c>
      <c r="L1771" s="67">
        <f t="shared" si="55"/>
        <v>1</v>
      </c>
    </row>
    <row r="1772" spans="1:12" x14ac:dyDescent="0.2">
      <c r="A1772">
        <v>1771</v>
      </c>
      <c r="B1772" s="7" t="s">
        <v>356</v>
      </c>
      <c r="C1772" t="s">
        <v>1316</v>
      </c>
      <c r="D1772" s="65" t="str">
        <f t="shared" si="54"/>
        <v>N</v>
      </c>
      <c r="E1772" t="s">
        <v>1312</v>
      </c>
      <c r="F1772" s="7" t="s">
        <v>301</v>
      </c>
      <c r="G1772" s="1">
        <v>5</v>
      </c>
      <c r="H1772" s="7" t="s">
        <v>282</v>
      </c>
      <c r="I1772" s="7" t="s">
        <v>296</v>
      </c>
      <c r="J1772" s="4" t="s">
        <v>282</v>
      </c>
      <c r="K1772" s="1">
        <v>6</v>
      </c>
      <c r="L1772" s="67">
        <f t="shared" si="55"/>
        <v>0</v>
      </c>
    </row>
    <row r="1773" spans="1:12" x14ac:dyDescent="0.2">
      <c r="A1773">
        <v>1772</v>
      </c>
      <c r="B1773" s="7" t="s">
        <v>372</v>
      </c>
      <c r="C1773" t="s">
        <v>1316</v>
      </c>
      <c r="D1773" s="65" t="str">
        <f t="shared" si="54"/>
        <v>N</v>
      </c>
      <c r="E1773" t="s">
        <v>1312</v>
      </c>
      <c r="F1773" s="7" t="s">
        <v>301</v>
      </c>
      <c r="G1773" s="1">
        <v>5</v>
      </c>
      <c r="H1773" s="7" t="s">
        <v>301</v>
      </c>
      <c r="I1773" s="7" t="s">
        <v>294</v>
      </c>
      <c r="J1773" s="1">
        <v>5</v>
      </c>
      <c r="K1773" s="1">
        <v>7</v>
      </c>
      <c r="L1773" s="67">
        <f t="shared" si="55"/>
        <v>1</v>
      </c>
    </row>
    <row r="1774" spans="1:12" x14ac:dyDescent="0.2">
      <c r="A1774">
        <v>1773</v>
      </c>
      <c r="B1774" s="7" t="s">
        <v>372</v>
      </c>
      <c r="C1774" t="s">
        <v>1316</v>
      </c>
      <c r="D1774" s="65" t="str">
        <f t="shared" si="54"/>
        <v>N</v>
      </c>
      <c r="E1774" t="s">
        <v>1312</v>
      </c>
      <c r="F1774" s="7" t="s">
        <v>301</v>
      </c>
      <c r="G1774" s="1">
        <v>5</v>
      </c>
      <c r="H1774" s="7" t="s">
        <v>301</v>
      </c>
      <c r="I1774" s="7" t="s">
        <v>294</v>
      </c>
      <c r="J1774" s="1">
        <v>5</v>
      </c>
      <c r="K1774" s="1">
        <v>7</v>
      </c>
      <c r="L1774" s="67">
        <f t="shared" si="55"/>
        <v>1</v>
      </c>
    </row>
    <row r="1775" spans="1:12" x14ac:dyDescent="0.2">
      <c r="A1775">
        <v>1774</v>
      </c>
      <c r="B1775" s="7" t="s">
        <v>356</v>
      </c>
      <c r="C1775" t="s">
        <v>1316</v>
      </c>
      <c r="D1775" s="65" t="str">
        <f t="shared" si="54"/>
        <v>N</v>
      </c>
      <c r="E1775" t="s">
        <v>1312</v>
      </c>
      <c r="F1775" s="7" t="s">
        <v>301</v>
      </c>
      <c r="G1775" s="1">
        <v>5</v>
      </c>
      <c r="H1775" s="7" t="s">
        <v>301</v>
      </c>
      <c r="I1775" s="7" t="s">
        <v>292</v>
      </c>
      <c r="J1775" s="1">
        <v>5</v>
      </c>
      <c r="K1775" s="1">
        <v>5</v>
      </c>
      <c r="L1775" s="67">
        <f t="shared" si="55"/>
        <v>1</v>
      </c>
    </row>
    <row r="1776" spans="1:12" x14ac:dyDescent="0.2">
      <c r="A1776">
        <v>1775</v>
      </c>
      <c r="B1776" s="7" t="s">
        <v>372</v>
      </c>
      <c r="C1776" t="s">
        <v>1316</v>
      </c>
      <c r="D1776" s="65" t="str">
        <f t="shared" si="54"/>
        <v>N</v>
      </c>
      <c r="E1776" t="s">
        <v>1312</v>
      </c>
      <c r="F1776" s="7" t="s">
        <v>301</v>
      </c>
      <c r="G1776" s="1">
        <v>5</v>
      </c>
      <c r="H1776" s="7" t="s">
        <v>300</v>
      </c>
      <c r="I1776" s="7" t="s">
        <v>296</v>
      </c>
      <c r="J1776" s="1">
        <v>2</v>
      </c>
      <c r="K1776" s="1">
        <v>6</v>
      </c>
      <c r="L1776" s="67">
        <f t="shared" si="55"/>
        <v>0</v>
      </c>
    </row>
    <row r="1777" spans="1:12" x14ac:dyDescent="0.2">
      <c r="A1777">
        <v>1776</v>
      </c>
      <c r="B1777" s="7" t="s">
        <v>372</v>
      </c>
      <c r="C1777" t="s">
        <v>1316</v>
      </c>
      <c r="D1777" s="65" t="str">
        <f t="shared" si="54"/>
        <v>N</v>
      </c>
      <c r="E1777" t="s">
        <v>1312</v>
      </c>
      <c r="F1777" s="7" t="s">
        <v>301</v>
      </c>
      <c r="G1777" s="1">
        <v>5</v>
      </c>
      <c r="H1777" s="7" t="s">
        <v>301</v>
      </c>
      <c r="I1777" s="7" t="s">
        <v>297</v>
      </c>
      <c r="J1777" s="1">
        <v>5</v>
      </c>
      <c r="K1777" s="1">
        <v>4</v>
      </c>
      <c r="L1777" s="67">
        <f t="shared" si="55"/>
        <v>1</v>
      </c>
    </row>
    <row r="1778" spans="1:12" x14ac:dyDescent="0.2">
      <c r="A1778">
        <v>1777</v>
      </c>
      <c r="B1778" s="7" t="s">
        <v>372</v>
      </c>
      <c r="C1778" t="s">
        <v>1316</v>
      </c>
      <c r="D1778" s="65" t="str">
        <f t="shared" si="54"/>
        <v>N</v>
      </c>
      <c r="E1778" t="s">
        <v>1312</v>
      </c>
      <c r="F1778" s="7" t="s">
        <v>301</v>
      </c>
      <c r="G1778" s="1">
        <v>5</v>
      </c>
      <c r="H1778" s="7" t="s">
        <v>301</v>
      </c>
      <c r="I1778" s="7" t="s">
        <v>292</v>
      </c>
      <c r="J1778" s="1">
        <v>5</v>
      </c>
      <c r="K1778" s="1">
        <v>5</v>
      </c>
      <c r="L1778" s="67">
        <f t="shared" si="55"/>
        <v>1</v>
      </c>
    </row>
    <row r="1779" spans="1:12" x14ac:dyDescent="0.2">
      <c r="A1779">
        <v>1778</v>
      </c>
      <c r="B1779" s="7" t="s">
        <v>356</v>
      </c>
      <c r="C1779" t="s">
        <v>1316</v>
      </c>
      <c r="D1779" s="65" t="str">
        <f t="shared" si="54"/>
        <v>N</v>
      </c>
      <c r="E1779" t="s">
        <v>1312</v>
      </c>
      <c r="F1779" s="7" t="s">
        <v>301</v>
      </c>
      <c r="G1779" s="1">
        <v>5</v>
      </c>
      <c r="H1779" s="7" t="s">
        <v>301</v>
      </c>
      <c r="I1779" s="7" t="s">
        <v>292</v>
      </c>
      <c r="J1779" s="1">
        <v>5</v>
      </c>
      <c r="K1779" s="1">
        <v>5</v>
      </c>
      <c r="L1779" s="67">
        <f t="shared" si="55"/>
        <v>1</v>
      </c>
    </row>
    <row r="1780" spans="1:12" x14ac:dyDescent="0.2">
      <c r="A1780">
        <v>1779</v>
      </c>
      <c r="B1780" s="7" t="s">
        <v>372</v>
      </c>
      <c r="C1780" t="s">
        <v>1316</v>
      </c>
      <c r="D1780" s="65" t="str">
        <f t="shared" si="54"/>
        <v>N</v>
      </c>
      <c r="E1780" t="s">
        <v>1312</v>
      </c>
      <c r="F1780" s="7" t="s">
        <v>301</v>
      </c>
      <c r="G1780" s="1">
        <v>5</v>
      </c>
      <c r="H1780" s="7" t="s">
        <v>301</v>
      </c>
      <c r="I1780" s="7" t="s">
        <v>292</v>
      </c>
      <c r="J1780" s="1">
        <v>5</v>
      </c>
      <c r="K1780" s="1">
        <v>5</v>
      </c>
      <c r="L1780" s="67">
        <f t="shared" si="55"/>
        <v>1</v>
      </c>
    </row>
    <row r="1781" spans="1:12" x14ac:dyDescent="0.2">
      <c r="A1781">
        <v>1780</v>
      </c>
      <c r="B1781" s="7" t="s">
        <v>356</v>
      </c>
      <c r="C1781" t="s">
        <v>1316</v>
      </c>
      <c r="D1781" s="65" t="str">
        <f t="shared" si="54"/>
        <v>N</v>
      </c>
      <c r="E1781" t="s">
        <v>1312</v>
      </c>
      <c r="F1781" s="7" t="s">
        <v>301</v>
      </c>
      <c r="G1781" s="1">
        <v>5</v>
      </c>
      <c r="H1781" s="7" t="s">
        <v>301</v>
      </c>
      <c r="I1781" s="7" t="s">
        <v>292</v>
      </c>
      <c r="J1781" s="1">
        <v>5</v>
      </c>
      <c r="K1781" s="1">
        <v>5</v>
      </c>
      <c r="L1781" s="67">
        <f t="shared" si="55"/>
        <v>1</v>
      </c>
    </row>
    <row r="1782" spans="1:12" x14ac:dyDescent="0.2">
      <c r="A1782">
        <v>1781</v>
      </c>
      <c r="B1782" s="7" t="s">
        <v>356</v>
      </c>
      <c r="C1782" t="s">
        <v>1316</v>
      </c>
      <c r="D1782" s="65" t="str">
        <f t="shared" si="54"/>
        <v>N</v>
      </c>
      <c r="E1782" t="s">
        <v>1312</v>
      </c>
      <c r="F1782" s="7" t="s">
        <v>301</v>
      </c>
      <c r="G1782" s="1">
        <v>5</v>
      </c>
      <c r="H1782" s="7" t="s">
        <v>301</v>
      </c>
      <c r="I1782" s="7" t="s">
        <v>296</v>
      </c>
      <c r="J1782" s="1">
        <v>5</v>
      </c>
      <c r="K1782" s="1">
        <v>6</v>
      </c>
      <c r="L1782" s="67">
        <f t="shared" si="55"/>
        <v>1</v>
      </c>
    </row>
    <row r="1783" spans="1:12" x14ac:dyDescent="0.2">
      <c r="A1783">
        <v>1782</v>
      </c>
      <c r="B1783" s="7" t="s">
        <v>372</v>
      </c>
      <c r="C1783" t="s">
        <v>1316</v>
      </c>
      <c r="D1783" s="65" t="str">
        <f t="shared" si="54"/>
        <v>N</v>
      </c>
      <c r="E1783" t="s">
        <v>1312</v>
      </c>
      <c r="F1783" s="7" t="s">
        <v>301</v>
      </c>
      <c r="G1783" s="1">
        <v>5</v>
      </c>
      <c r="H1783" s="7" t="s">
        <v>301</v>
      </c>
      <c r="I1783" s="7" t="s">
        <v>294</v>
      </c>
      <c r="J1783" s="1">
        <v>5</v>
      </c>
      <c r="K1783" s="1">
        <v>7</v>
      </c>
      <c r="L1783" s="67">
        <f t="shared" si="55"/>
        <v>1</v>
      </c>
    </row>
    <row r="1784" spans="1:12" x14ac:dyDescent="0.2">
      <c r="A1784">
        <v>1783</v>
      </c>
      <c r="B1784" s="7" t="s">
        <v>372</v>
      </c>
      <c r="C1784" t="s">
        <v>1316</v>
      </c>
      <c r="D1784" s="65" t="str">
        <f t="shared" si="54"/>
        <v>N</v>
      </c>
      <c r="E1784" t="s">
        <v>1312</v>
      </c>
      <c r="F1784" s="7" t="s">
        <v>301</v>
      </c>
      <c r="G1784" s="1">
        <v>5</v>
      </c>
      <c r="H1784" s="7" t="s">
        <v>301</v>
      </c>
      <c r="I1784" s="7" t="s">
        <v>292</v>
      </c>
      <c r="J1784" s="1">
        <v>5</v>
      </c>
      <c r="K1784" s="1">
        <v>5</v>
      </c>
      <c r="L1784" s="67">
        <f t="shared" si="55"/>
        <v>1</v>
      </c>
    </row>
    <row r="1785" spans="1:12" x14ac:dyDescent="0.2">
      <c r="A1785">
        <v>1784</v>
      </c>
      <c r="B1785" s="7" t="s">
        <v>356</v>
      </c>
      <c r="C1785" t="s">
        <v>1316</v>
      </c>
      <c r="D1785" s="65" t="str">
        <f t="shared" si="54"/>
        <v>N</v>
      </c>
      <c r="E1785" t="s">
        <v>1312</v>
      </c>
      <c r="F1785" s="7" t="s">
        <v>301</v>
      </c>
      <c r="G1785" s="1">
        <v>5</v>
      </c>
      <c r="H1785" s="7" t="s">
        <v>301</v>
      </c>
      <c r="I1785" s="7" t="s">
        <v>292</v>
      </c>
      <c r="J1785" s="1">
        <v>5</v>
      </c>
      <c r="K1785" s="1">
        <v>5</v>
      </c>
      <c r="L1785" s="67">
        <f t="shared" si="55"/>
        <v>1</v>
      </c>
    </row>
    <row r="1786" spans="1:12" x14ac:dyDescent="0.2">
      <c r="A1786">
        <v>1785</v>
      </c>
      <c r="B1786" s="7" t="s">
        <v>372</v>
      </c>
      <c r="C1786" t="s">
        <v>1316</v>
      </c>
      <c r="D1786" s="65" t="str">
        <f t="shared" si="54"/>
        <v>N</v>
      </c>
      <c r="E1786" t="s">
        <v>1312</v>
      </c>
      <c r="F1786" s="7" t="s">
        <v>301</v>
      </c>
      <c r="G1786" s="1">
        <v>5</v>
      </c>
      <c r="H1786" s="7" t="s">
        <v>301</v>
      </c>
      <c r="I1786" s="7" t="s">
        <v>296</v>
      </c>
      <c r="J1786" s="1">
        <v>5</v>
      </c>
      <c r="K1786" s="1">
        <v>6</v>
      </c>
      <c r="L1786" s="67">
        <f t="shared" si="55"/>
        <v>1</v>
      </c>
    </row>
    <row r="1787" spans="1:12" x14ac:dyDescent="0.2">
      <c r="A1787">
        <v>1786</v>
      </c>
      <c r="B1787" s="7" t="s">
        <v>356</v>
      </c>
      <c r="C1787" t="s">
        <v>1316</v>
      </c>
      <c r="D1787" s="65" t="str">
        <f t="shared" si="54"/>
        <v>N</v>
      </c>
      <c r="E1787" t="s">
        <v>1312</v>
      </c>
      <c r="F1787" s="7" t="s">
        <v>301</v>
      </c>
      <c r="G1787" s="1">
        <v>5</v>
      </c>
      <c r="H1787" s="7" t="s">
        <v>301</v>
      </c>
      <c r="I1787" s="7" t="s">
        <v>292</v>
      </c>
      <c r="J1787" s="1">
        <v>5</v>
      </c>
      <c r="K1787" s="1">
        <v>5</v>
      </c>
      <c r="L1787" s="67">
        <f t="shared" si="55"/>
        <v>1</v>
      </c>
    </row>
    <row r="1788" spans="1:12" x14ac:dyDescent="0.2">
      <c r="A1788">
        <v>1787</v>
      </c>
      <c r="B1788" s="7" t="s">
        <v>372</v>
      </c>
      <c r="C1788" t="s">
        <v>1316</v>
      </c>
      <c r="D1788" s="65" t="str">
        <f t="shared" si="54"/>
        <v>N</v>
      </c>
      <c r="E1788" t="s">
        <v>1312</v>
      </c>
      <c r="F1788" s="7" t="s">
        <v>301</v>
      </c>
      <c r="G1788" s="1">
        <v>5</v>
      </c>
      <c r="H1788" s="7" t="s">
        <v>301</v>
      </c>
      <c r="I1788" s="7" t="s">
        <v>296</v>
      </c>
      <c r="J1788" s="1">
        <v>5</v>
      </c>
      <c r="K1788" s="1">
        <v>6</v>
      </c>
      <c r="L1788" s="67">
        <f t="shared" si="55"/>
        <v>1</v>
      </c>
    </row>
    <row r="1789" spans="1:12" x14ac:dyDescent="0.2">
      <c r="A1789">
        <v>1788</v>
      </c>
      <c r="B1789" s="7" t="s">
        <v>372</v>
      </c>
      <c r="C1789" t="s">
        <v>1316</v>
      </c>
      <c r="D1789" s="65" t="str">
        <f t="shared" si="54"/>
        <v>N</v>
      </c>
      <c r="E1789" t="s">
        <v>1312</v>
      </c>
      <c r="F1789" s="7" t="s">
        <v>301</v>
      </c>
      <c r="G1789" s="1">
        <v>5</v>
      </c>
      <c r="H1789" s="7" t="s">
        <v>301</v>
      </c>
      <c r="I1789" s="7" t="s">
        <v>294</v>
      </c>
      <c r="J1789" s="1">
        <v>5</v>
      </c>
      <c r="K1789" s="1">
        <v>7</v>
      </c>
      <c r="L1789" s="67">
        <f t="shared" si="55"/>
        <v>1</v>
      </c>
    </row>
    <row r="1790" spans="1:12" x14ac:dyDescent="0.2">
      <c r="A1790">
        <v>1789</v>
      </c>
      <c r="B1790" s="7" t="s">
        <v>356</v>
      </c>
      <c r="C1790" t="s">
        <v>1316</v>
      </c>
      <c r="D1790" s="65" t="str">
        <f t="shared" si="54"/>
        <v>N</v>
      </c>
      <c r="E1790" t="s">
        <v>1312</v>
      </c>
      <c r="F1790" s="7" t="s">
        <v>301</v>
      </c>
      <c r="G1790" s="1">
        <v>5</v>
      </c>
      <c r="H1790" s="7" t="s">
        <v>301</v>
      </c>
      <c r="I1790" s="7" t="s">
        <v>292</v>
      </c>
      <c r="J1790" s="1">
        <v>5</v>
      </c>
      <c r="K1790" s="1">
        <v>5</v>
      </c>
      <c r="L1790" s="67">
        <f t="shared" si="55"/>
        <v>1</v>
      </c>
    </row>
    <row r="1791" spans="1:12" x14ac:dyDescent="0.2">
      <c r="A1791">
        <v>1790</v>
      </c>
      <c r="B1791" s="7" t="s">
        <v>372</v>
      </c>
      <c r="C1791" t="s">
        <v>1316</v>
      </c>
      <c r="D1791" s="65" t="str">
        <f t="shared" si="54"/>
        <v>N</v>
      </c>
      <c r="E1791" t="s">
        <v>1312</v>
      </c>
      <c r="F1791" s="7" t="s">
        <v>301</v>
      </c>
      <c r="G1791" s="1">
        <v>5</v>
      </c>
      <c r="H1791" s="7" t="s">
        <v>301</v>
      </c>
      <c r="I1791" s="7" t="s">
        <v>296</v>
      </c>
      <c r="J1791" s="1">
        <v>5</v>
      </c>
      <c r="K1791" s="1">
        <v>6</v>
      </c>
      <c r="L1791" s="67">
        <f t="shared" si="55"/>
        <v>1</v>
      </c>
    </row>
    <row r="1792" spans="1:12" x14ac:dyDescent="0.2">
      <c r="A1792">
        <v>1791</v>
      </c>
      <c r="B1792" s="7" t="s">
        <v>356</v>
      </c>
      <c r="C1792" t="s">
        <v>1316</v>
      </c>
      <c r="D1792" s="65" t="str">
        <f t="shared" si="54"/>
        <v>N</v>
      </c>
      <c r="E1792" t="s">
        <v>1312</v>
      </c>
      <c r="F1792" s="7" t="s">
        <v>301</v>
      </c>
      <c r="G1792" s="1">
        <v>5</v>
      </c>
      <c r="H1792" s="7" t="s">
        <v>301</v>
      </c>
      <c r="I1792" s="7" t="s">
        <v>292</v>
      </c>
      <c r="J1792" s="1">
        <v>5</v>
      </c>
      <c r="K1792" s="1">
        <v>5</v>
      </c>
      <c r="L1792" s="67">
        <f t="shared" si="55"/>
        <v>1</v>
      </c>
    </row>
    <row r="1793" spans="1:12" x14ac:dyDescent="0.2">
      <c r="A1793">
        <v>1792</v>
      </c>
      <c r="B1793" s="7" t="s">
        <v>356</v>
      </c>
      <c r="C1793" t="s">
        <v>1316</v>
      </c>
      <c r="D1793" s="65" t="str">
        <f t="shared" si="54"/>
        <v>N</v>
      </c>
      <c r="E1793" t="s">
        <v>1312</v>
      </c>
      <c r="F1793" s="7" t="s">
        <v>301</v>
      </c>
      <c r="G1793" s="1">
        <v>5</v>
      </c>
      <c r="H1793" s="7" t="s">
        <v>301</v>
      </c>
      <c r="I1793" s="7" t="s">
        <v>292</v>
      </c>
      <c r="J1793" s="1">
        <v>5</v>
      </c>
      <c r="K1793" s="1">
        <v>5</v>
      </c>
      <c r="L1793" s="67">
        <f t="shared" si="55"/>
        <v>1</v>
      </c>
    </row>
    <row r="1794" spans="1:12" x14ac:dyDescent="0.2">
      <c r="A1794">
        <v>1793</v>
      </c>
      <c r="B1794" s="7" t="s">
        <v>372</v>
      </c>
      <c r="C1794" t="s">
        <v>1316</v>
      </c>
      <c r="D1794" s="65" t="str">
        <f t="shared" si="54"/>
        <v>N</v>
      </c>
      <c r="E1794" t="s">
        <v>1312</v>
      </c>
      <c r="F1794" s="7" t="s">
        <v>301</v>
      </c>
      <c r="G1794" s="1">
        <v>5</v>
      </c>
      <c r="H1794" s="7" t="s">
        <v>301</v>
      </c>
      <c r="I1794" s="7" t="s">
        <v>292</v>
      </c>
      <c r="J1794" s="1">
        <v>5</v>
      </c>
      <c r="K1794" s="1">
        <v>5</v>
      </c>
      <c r="L1794" s="67">
        <f t="shared" si="55"/>
        <v>1</v>
      </c>
    </row>
    <row r="1795" spans="1:12" x14ac:dyDescent="0.2">
      <c r="A1795">
        <v>1794</v>
      </c>
      <c r="B1795" s="7" t="s">
        <v>356</v>
      </c>
      <c r="C1795" t="s">
        <v>1316</v>
      </c>
      <c r="D1795" s="65" t="str">
        <f t="shared" ref="D1795:D1858" si="56">IF($E1795="iso", "N", IF(OR($E1795="non", $E1795="emd", $E1795="dyn"), "Y", "ERROR"))</f>
        <v>N</v>
      </c>
      <c r="E1795" t="s">
        <v>1312</v>
      </c>
      <c r="F1795" s="7" t="s">
        <v>301</v>
      </c>
      <c r="G1795" s="1">
        <v>5</v>
      </c>
      <c r="H1795" s="7" t="s">
        <v>301</v>
      </c>
      <c r="I1795" s="7" t="s">
        <v>296</v>
      </c>
      <c r="J1795" s="1">
        <v>5</v>
      </c>
      <c r="K1795" s="1">
        <v>6</v>
      </c>
      <c r="L1795" s="67">
        <f t="shared" ref="L1795:L1858" si="57">IF(G1795=J1795, 1, 0)</f>
        <v>1</v>
      </c>
    </row>
    <row r="1796" spans="1:12" x14ac:dyDescent="0.2">
      <c r="A1796">
        <v>1795</v>
      </c>
      <c r="B1796" s="7" t="s">
        <v>372</v>
      </c>
      <c r="C1796" t="s">
        <v>1316</v>
      </c>
      <c r="D1796" s="65" t="str">
        <f t="shared" si="56"/>
        <v>N</v>
      </c>
      <c r="E1796" t="s">
        <v>1312</v>
      </c>
      <c r="F1796" s="7" t="s">
        <v>301</v>
      </c>
      <c r="G1796" s="1">
        <v>5</v>
      </c>
      <c r="H1796" s="7" t="s">
        <v>301</v>
      </c>
      <c r="I1796" s="7" t="s">
        <v>292</v>
      </c>
      <c r="J1796" s="1">
        <v>5</v>
      </c>
      <c r="K1796" s="1">
        <v>5</v>
      </c>
      <c r="L1796" s="67">
        <f t="shared" si="57"/>
        <v>1</v>
      </c>
    </row>
    <row r="1797" spans="1:12" x14ac:dyDescent="0.2">
      <c r="A1797">
        <v>1796</v>
      </c>
      <c r="B1797" s="7" t="s">
        <v>356</v>
      </c>
      <c r="C1797" t="s">
        <v>1316</v>
      </c>
      <c r="D1797" s="65" t="str">
        <f t="shared" si="56"/>
        <v>N</v>
      </c>
      <c r="E1797" t="s">
        <v>1312</v>
      </c>
      <c r="F1797" s="7" t="s">
        <v>301</v>
      </c>
      <c r="G1797" s="1">
        <v>5</v>
      </c>
      <c r="H1797" s="7" t="s">
        <v>300</v>
      </c>
      <c r="I1797" s="7" t="s">
        <v>296</v>
      </c>
      <c r="J1797" s="1">
        <v>2</v>
      </c>
      <c r="K1797" s="1">
        <v>6</v>
      </c>
      <c r="L1797" s="67">
        <f t="shared" si="57"/>
        <v>0</v>
      </c>
    </row>
    <row r="1798" spans="1:12" x14ac:dyDescent="0.2">
      <c r="A1798">
        <v>1797</v>
      </c>
      <c r="B1798" s="7" t="s">
        <v>372</v>
      </c>
      <c r="C1798" t="s">
        <v>1316</v>
      </c>
      <c r="D1798" s="65" t="str">
        <f t="shared" si="56"/>
        <v>N</v>
      </c>
      <c r="E1798" t="s">
        <v>1312</v>
      </c>
      <c r="F1798" s="7" t="s">
        <v>301</v>
      </c>
      <c r="G1798" s="1">
        <v>5</v>
      </c>
      <c r="H1798" s="7" t="s">
        <v>301</v>
      </c>
      <c r="I1798" s="7" t="s">
        <v>294</v>
      </c>
      <c r="J1798" s="1">
        <v>5</v>
      </c>
      <c r="K1798" s="1">
        <v>7</v>
      </c>
      <c r="L1798" s="67">
        <f t="shared" si="57"/>
        <v>1</v>
      </c>
    </row>
    <row r="1799" spans="1:12" x14ac:dyDescent="0.2">
      <c r="A1799">
        <v>1798</v>
      </c>
      <c r="B1799" s="7" t="s">
        <v>356</v>
      </c>
      <c r="C1799" t="s">
        <v>1316</v>
      </c>
      <c r="D1799" s="65" t="str">
        <f t="shared" si="56"/>
        <v>N</v>
      </c>
      <c r="E1799" t="s">
        <v>1312</v>
      </c>
      <c r="F1799" s="7" t="s">
        <v>301</v>
      </c>
      <c r="G1799" s="1">
        <v>5</v>
      </c>
      <c r="H1799" s="7" t="s">
        <v>301</v>
      </c>
      <c r="I1799" s="7" t="s">
        <v>294</v>
      </c>
      <c r="J1799" s="1">
        <v>5</v>
      </c>
      <c r="K1799" s="1">
        <v>7</v>
      </c>
      <c r="L1799" s="67">
        <f t="shared" si="57"/>
        <v>1</v>
      </c>
    </row>
    <row r="1800" spans="1:12" x14ac:dyDescent="0.2">
      <c r="A1800">
        <v>1799</v>
      </c>
      <c r="B1800" s="7" t="s">
        <v>372</v>
      </c>
      <c r="C1800" t="s">
        <v>1316</v>
      </c>
      <c r="D1800" s="65" t="str">
        <f t="shared" si="56"/>
        <v>N</v>
      </c>
      <c r="E1800" t="s">
        <v>1312</v>
      </c>
      <c r="F1800" s="7" t="s">
        <v>301</v>
      </c>
      <c r="G1800" s="1">
        <v>5</v>
      </c>
      <c r="H1800" s="7" t="s">
        <v>282</v>
      </c>
      <c r="I1800" s="7" t="s">
        <v>292</v>
      </c>
      <c r="J1800" s="4" t="s">
        <v>282</v>
      </c>
      <c r="K1800" s="1">
        <v>5</v>
      </c>
      <c r="L1800" s="67">
        <f t="shared" si="57"/>
        <v>0</v>
      </c>
    </row>
    <row r="1801" spans="1:12" x14ac:dyDescent="0.2">
      <c r="A1801">
        <v>1800</v>
      </c>
      <c r="B1801" s="7" t="s">
        <v>372</v>
      </c>
      <c r="C1801" t="s">
        <v>1316</v>
      </c>
      <c r="D1801" s="65" t="str">
        <f t="shared" si="56"/>
        <v>N</v>
      </c>
      <c r="E1801" t="s">
        <v>1312</v>
      </c>
      <c r="F1801" s="7" t="s">
        <v>301</v>
      </c>
      <c r="G1801" s="1">
        <v>5</v>
      </c>
      <c r="H1801" s="7" t="s">
        <v>301</v>
      </c>
      <c r="I1801" s="7" t="s">
        <v>294</v>
      </c>
      <c r="J1801" s="1">
        <v>5</v>
      </c>
      <c r="K1801" s="1">
        <v>7</v>
      </c>
      <c r="L1801" s="67">
        <f t="shared" si="57"/>
        <v>1</v>
      </c>
    </row>
    <row r="1802" spans="1:12" x14ac:dyDescent="0.2">
      <c r="A1802">
        <v>1801</v>
      </c>
      <c r="B1802" s="7" t="s">
        <v>356</v>
      </c>
      <c r="C1802" t="s">
        <v>1316</v>
      </c>
      <c r="D1802" s="65" t="str">
        <f t="shared" si="56"/>
        <v>N</v>
      </c>
      <c r="E1802" t="s">
        <v>1312</v>
      </c>
      <c r="F1802" s="7" t="s">
        <v>301</v>
      </c>
      <c r="G1802" s="1">
        <v>5</v>
      </c>
      <c r="H1802" s="7" t="s">
        <v>301</v>
      </c>
      <c r="I1802" s="7" t="s">
        <v>294</v>
      </c>
      <c r="J1802" s="1">
        <v>5</v>
      </c>
      <c r="K1802" s="1">
        <v>7</v>
      </c>
      <c r="L1802" s="67">
        <f t="shared" si="57"/>
        <v>1</v>
      </c>
    </row>
    <row r="1803" spans="1:12" x14ac:dyDescent="0.2">
      <c r="A1803">
        <v>1802</v>
      </c>
      <c r="B1803" s="7" t="s">
        <v>356</v>
      </c>
      <c r="C1803" t="s">
        <v>1316</v>
      </c>
      <c r="D1803" s="65" t="str">
        <f t="shared" si="56"/>
        <v>N</v>
      </c>
      <c r="E1803" t="s">
        <v>1312</v>
      </c>
      <c r="F1803" s="7" t="s">
        <v>301</v>
      </c>
      <c r="G1803" s="1">
        <v>5</v>
      </c>
      <c r="H1803" s="7" t="s">
        <v>301</v>
      </c>
      <c r="I1803" s="7" t="s">
        <v>296</v>
      </c>
      <c r="J1803" s="1">
        <v>5</v>
      </c>
      <c r="K1803" s="1">
        <v>6</v>
      </c>
      <c r="L1803" s="67">
        <f t="shared" si="57"/>
        <v>1</v>
      </c>
    </row>
    <row r="1804" spans="1:12" x14ac:dyDescent="0.2">
      <c r="A1804">
        <v>1803</v>
      </c>
      <c r="B1804" s="7" t="s">
        <v>372</v>
      </c>
      <c r="C1804" t="s">
        <v>1316</v>
      </c>
      <c r="D1804" s="65" t="str">
        <f t="shared" si="56"/>
        <v>N</v>
      </c>
      <c r="E1804" t="s">
        <v>1312</v>
      </c>
      <c r="F1804" s="7" t="s">
        <v>301</v>
      </c>
      <c r="G1804" s="1">
        <v>5</v>
      </c>
      <c r="H1804" s="7" t="s">
        <v>282</v>
      </c>
      <c r="I1804" s="7" t="s">
        <v>296</v>
      </c>
      <c r="J1804" s="4" t="s">
        <v>282</v>
      </c>
      <c r="K1804" s="1">
        <v>6</v>
      </c>
      <c r="L1804" s="67">
        <f t="shared" si="57"/>
        <v>0</v>
      </c>
    </row>
    <row r="1805" spans="1:12" x14ac:dyDescent="0.2">
      <c r="A1805">
        <v>1804</v>
      </c>
      <c r="B1805" s="7" t="s">
        <v>372</v>
      </c>
      <c r="C1805" t="s">
        <v>1316</v>
      </c>
      <c r="D1805" s="65" t="str">
        <f t="shared" si="56"/>
        <v>N</v>
      </c>
      <c r="E1805" t="s">
        <v>1312</v>
      </c>
      <c r="F1805" s="7" t="s">
        <v>301</v>
      </c>
      <c r="G1805" s="1">
        <v>5</v>
      </c>
      <c r="H1805" s="7" t="s">
        <v>301</v>
      </c>
      <c r="I1805" s="7" t="s">
        <v>296</v>
      </c>
      <c r="J1805" s="1">
        <v>5</v>
      </c>
      <c r="K1805" s="1">
        <v>6</v>
      </c>
      <c r="L1805" s="67">
        <f t="shared" si="57"/>
        <v>1</v>
      </c>
    </row>
    <row r="1806" spans="1:12" x14ac:dyDescent="0.2">
      <c r="A1806">
        <v>1805</v>
      </c>
      <c r="B1806" s="7" t="s">
        <v>356</v>
      </c>
      <c r="C1806" t="s">
        <v>1316</v>
      </c>
      <c r="D1806" s="65" t="str">
        <f t="shared" si="56"/>
        <v>N</v>
      </c>
      <c r="E1806" t="s">
        <v>1312</v>
      </c>
      <c r="F1806" s="7" t="s">
        <v>301</v>
      </c>
      <c r="G1806" s="1">
        <v>5</v>
      </c>
      <c r="H1806" s="7" t="s">
        <v>301</v>
      </c>
      <c r="I1806" s="7" t="s">
        <v>294</v>
      </c>
      <c r="J1806" s="1">
        <v>5</v>
      </c>
      <c r="K1806" s="1">
        <v>7</v>
      </c>
      <c r="L1806" s="67">
        <f t="shared" si="57"/>
        <v>1</v>
      </c>
    </row>
    <row r="1807" spans="1:12" x14ac:dyDescent="0.2">
      <c r="A1807">
        <v>1806</v>
      </c>
      <c r="B1807" s="7" t="s">
        <v>372</v>
      </c>
      <c r="C1807" t="s">
        <v>1316</v>
      </c>
      <c r="D1807" s="65" t="str">
        <f t="shared" si="56"/>
        <v>N</v>
      </c>
      <c r="E1807" t="s">
        <v>1312</v>
      </c>
      <c r="F1807" s="7" t="s">
        <v>301</v>
      </c>
      <c r="G1807" s="1">
        <v>5</v>
      </c>
      <c r="H1807" s="7" t="s">
        <v>300</v>
      </c>
      <c r="I1807" s="7" t="s">
        <v>296</v>
      </c>
      <c r="J1807" s="1">
        <v>2</v>
      </c>
      <c r="K1807" s="1">
        <v>6</v>
      </c>
      <c r="L1807" s="67">
        <f t="shared" si="57"/>
        <v>0</v>
      </c>
    </row>
    <row r="1808" spans="1:12" x14ac:dyDescent="0.2">
      <c r="A1808">
        <v>1807</v>
      </c>
      <c r="B1808" s="7" t="s">
        <v>356</v>
      </c>
      <c r="C1808" t="s">
        <v>1316</v>
      </c>
      <c r="D1808" s="65" t="str">
        <f t="shared" si="56"/>
        <v>N</v>
      </c>
      <c r="E1808" t="s">
        <v>1312</v>
      </c>
      <c r="F1808" s="7" t="s">
        <v>301</v>
      </c>
      <c r="G1808" s="1">
        <v>5</v>
      </c>
      <c r="H1808" s="7" t="s">
        <v>301</v>
      </c>
      <c r="I1808" s="7" t="s">
        <v>292</v>
      </c>
      <c r="J1808" s="1">
        <v>5</v>
      </c>
      <c r="K1808" s="1">
        <v>5</v>
      </c>
      <c r="L1808" s="67">
        <f t="shared" si="57"/>
        <v>1</v>
      </c>
    </row>
    <row r="1809" spans="1:12" x14ac:dyDescent="0.2">
      <c r="A1809">
        <v>1808</v>
      </c>
      <c r="B1809" s="7" t="s">
        <v>356</v>
      </c>
      <c r="C1809" t="s">
        <v>1316</v>
      </c>
      <c r="D1809" s="65" t="str">
        <f t="shared" si="56"/>
        <v>N</v>
      </c>
      <c r="E1809" t="s">
        <v>1312</v>
      </c>
      <c r="F1809" s="7" t="s">
        <v>301</v>
      </c>
      <c r="G1809" s="1">
        <v>5</v>
      </c>
      <c r="H1809" s="7" t="s">
        <v>301</v>
      </c>
      <c r="I1809" s="7" t="s">
        <v>296</v>
      </c>
      <c r="J1809" s="1">
        <v>5</v>
      </c>
      <c r="K1809" s="1">
        <v>6</v>
      </c>
      <c r="L1809" s="67">
        <f t="shared" si="57"/>
        <v>1</v>
      </c>
    </row>
    <row r="1810" spans="1:12" x14ac:dyDescent="0.2">
      <c r="A1810">
        <v>1809</v>
      </c>
      <c r="B1810" s="7" t="s">
        <v>372</v>
      </c>
      <c r="C1810" t="s">
        <v>1316</v>
      </c>
      <c r="D1810" s="65" t="str">
        <f t="shared" si="56"/>
        <v>N</v>
      </c>
      <c r="E1810" t="s">
        <v>1312</v>
      </c>
      <c r="F1810" s="7" t="s">
        <v>301</v>
      </c>
      <c r="G1810" s="1">
        <v>5</v>
      </c>
      <c r="H1810" s="7" t="s">
        <v>301</v>
      </c>
      <c r="I1810" s="7" t="s">
        <v>294</v>
      </c>
      <c r="J1810" s="1">
        <v>5</v>
      </c>
      <c r="K1810" s="1">
        <v>7</v>
      </c>
      <c r="L1810" s="67">
        <f t="shared" si="57"/>
        <v>1</v>
      </c>
    </row>
    <row r="1811" spans="1:12" x14ac:dyDescent="0.2">
      <c r="A1811">
        <v>1810</v>
      </c>
      <c r="B1811" s="7" t="s">
        <v>372</v>
      </c>
      <c r="C1811" t="s">
        <v>1316</v>
      </c>
      <c r="D1811" s="65" t="str">
        <f t="shared" si="56"/>
        <v>N</v>
      </c>
      <c r="E1811" t="s">
        <v>1312</v>
      </c>
      <c r="F1811" s="7" t="s">
        <v>301</v>
      </c>
      <c r="G1811" s="1">
        <v>5</v>
      </c>
      <c r="H1811" s="7" t="s">
        <v>301</v>
      </c>
      <c r="I1811" s="7" t="s">
        <v>294</v>
      </c>
      <c r="J1811" s="1">
        <v>5</v>
      </c>
      <c r="K1811" s="1">
        <v>7</v>
      </c>
      <c r="L1811" s="67">
        <f t="shared" si="57"/>
        <v>1</v>
      </c>
    </row>
    <row r="1812" spans="1:12" x14ac:dyDescent="0.2">
      <c r="A1812">
        <v>1811</v>
      </c>
      <c r="B1812" s="7" t="s">
        <v>356</v>
      </c>
      <c r="C1812" t="s">
        <v>1316</v>
      </c>
      <c r="D1812" s="65" t="str">
        <f t="shared" si="56"/>
        <v>N</v>
      </c>
      <c r="E1812" t="s">
        <v>1312</v>
      </c>
      <c r="F1812" s="7" t="s">
        <v>301</v>
      </c>
      <c r="G1812" s="1">
        <v>5</v>
      </c>
      <c r="H1812" s="7" t="s">
        <v>301</v>
      </c>
      <c r="I1812" s="7" t="s">
        <v>292</v>
      </c>
      <c r="J1812" s="1">
        <v>5</v>
      </c>
      <c r="K1812" s="1">
        <v>5</v>
      </c>
      <c r="L1812" s="67">
        <f t="shared" si="57"/>
        <v>1</v>
      </c>
    </row>
    <row r="1813" spans="1:12" x14ac:dyDescent="0.2">
      <c r="A1813">
        <v>1812</v>
      </c>
      <c r="B1813" s="7" t="s">
        <v>356</v>
      </c>
      <c r="C1813" t="s">
        <v>1316</v>
      </c>
      <c r="D1813" s="65" t="str">
        <f t="shared" si="56"/>
        <v>N</v>
      </c>
      <c r="E1813" t="s">
        <v>1312</v>
      </c>
      <c r="F1813" s="7" t="s">
        <v>301</v>
      </c>
      <c r="G1813" s="1">
        <v>5</v>
      </c>
      <c r="H1813" s="7" t="s">
        <v>301</v>
      </c>
      <c r="I1813" s="7" t="s">
        <v>296</v>
      </c>
      <c r="J1813" s="1">
        <v>5</v>
      </c>
      <c r="K1813" s="1">
        <v>6</v>
      </c>
      <c r="L1813" s="67">
        <f t="shared" si="57"/>
        <v>1</v>
      </c>
    </row>
    <row r="1814" spans="1:12" x14ac:dyDescent="0.2">
      <c r="A1814">
        <v>1813</v>
      </c>
      <c r="B1814" s="7" t="s">
        <v>372</v>
      </c>
      <c r="C1814" t="s">
        <v>1316</v>
      </c>
      <c r="D1814" s="65" t="str">
        <f t="shared" si="56"/>
        <v>N</v>
      </c>
      <c r="E1814" t="s">
        <v>1312</v>
      </c>
      <c r="F1814" s="7" t="s">
        <v>301</v>
      </c>
      <c r="G1814" s="1">
        <v>5</v>
      </c>
      <c r="H1814" s="7" t="s">
        <v>301</v>
      </c>
      <c r="I1814" s="7" t="s">
        <v>297</v>
      </c>
      <c r="J1814" s="1">
        <v>5</v>
      </c>
      <c r="K1814" s="1">
        <v>4</v>
      </c>
      <c r="L1814" s="67">
        <f t="shared" si="57"/>
        <v>1</v>
      </c>
    </row>
    <row r="1815" spans="1:12" x14ac:dyDescent="0.2">
      <c r="A1815">
        <v>1814</v>
      </c>
      <c r="B1815" s="7" t="s">
        <v>356</v>
      </c>
      <c r="C1815" t="s">
        <v>1316</v>
      </c>
      <c r="D1815" s="65" t="str">
        <f t="shared" si="56"/>
        <v>N</v>
      </c>
      <c r="E1815" t="s">
        <v>1312</v>
      </c>
      <c r="F1815" s="7" t="s">
        <v>301</v>
      </c>
      <c r="G1815" s="1">
        <v>5</v>
      </c>
      <c r="H1815" s="7" t="s">
        <v>282</v>
      </c>
      <c r="I1815" s="7" t="s">
        <v>330</v>
      </c>
      <c r="J1815" s="4" t="s">
        <v>282</v>
      </c>
      <c r="K1815" s="1">
        <v>3</v>
      </c>
      <c r="L1815" s="67">
        <f t="shared" si="57"/>
        <v>0</v>
      </c>
    </row>
    <row r="1816" spans="1:12" x14ac:dyDescent="0.2">
      <c r="A1816">
        <v>1815</v>
      </c>
      <c r="B1816" s="7" t="s">
        <v>372</v>
      </c>
      <c r="C1816" t="s">
        <v>1316</v>
      </c>
      <c r="D1816" s="65" t="str">
        <f t="shared" si="56"/>
        <v>N</v>
      </c>
      <c r="E1816" t="s">
        <v>1312</v>
      </c>
      <c r="F1816" s="7" t="s">
        <v>301</v>
      </c>
      <c r="G1816" s="1">
        <v>5</v>
      </c>
      <c r="H1816" s="7" t="s">
        <v>300</v>
      </c>
      <c r="I1816" s="7" t="s">
        <v>292</v>
      </c>
      <c r="J1816" s="1">
        <v>2</v>
      </c>
      <c r="K1816" s="1">
        <v>5</v>
      </c>
      <c r="L1816" s="67">
        <f t="shared" si="57"/>
        <v>0</v>
      </c>
    </row>
    <row r="1817" spans="1:12" x14ac:dyDescent="0.2">
      <c r="A1817">
        <v>1816</v>
      </c>
      <c r="B1817" s="7" t="s">
        <v>356</v>
      </c>
      <c r="C1817" t="s">
        <v>1316</v>
      </c>
      <c r="D1817" s="65" t="str">
        <f t="shared" si="56"/>
        <v>N</v>
      </c>
      <c r="E1817" t="s">
        <v>1312</v>
      </c>
      <c r="F1817" s="7" t="s">
        <v>301</v>
      </c>
      <c r="G1817" s="1">
        <v>5</v>
      </c>
      <c r="H1817" s="7" t="s">
        <v>301</v>
      </c>
      <c r="I1817" s="7" t="s">
        <v>296</v>
      </c>
      <c r="J1817" s="1">
        <v>5</v>
      </c>
      <c r="K1817" s="1">
        <v>6</v>
      </c>
      <c r="L1817" s="67">
        <f t="shared" si="57"/>
        <v>1</v>
      </c>
    </row>
    <row r="1818" spans="1:12" x14ac:dyDescent="0.2">
      <c r="A1818">
        <v>1817</v>
      </c>
      <c r="B1818" s="7" t="s">
        <v>372</v>
      </c>
      <c r="C1818" t="s">
        <v>1316</v>
      </c>
      <c r="D1818" s="65" t="str">
        <f t="shared" si="56"/>
        <v>N</v>
      </c>
      <c r="E1818" t="s">
        <v>1312</v>
      </c>
      <c r="F1818" s="7" t="s">
        <v>301</v>
      </c>
      <c r="G1818" s="1">
        <v>5</v>
      </c>
      <c r="H1818" s="7" t="s">
        <v>301</v>
      </c>
      <c r="I1818" s="7" t="s">
        <v>292</v>
      </c>
      <c r="J1818" s="1">
        <v>5</v>
      </c>
      <c r="K1818" s="1">
        <v>5</v>
      </c>
      <c r="L1818" s="67">
        <f t="shared" si="57"/>
        <v>1</v>
      </c>
    </row>
    <row r="1819" spans="1:12" x14ac:dyDescent="0.2">
      <c r="A1819">
        <v>1818</v>
      </c>
      <c r="B1819" s="7" t="s">
        <v>356</v>
      </c>
      <c r="C1819" t="s">
        <v>1316</v>
      </c>
      <c r="D1819" s="65" t="str">
        <f t="shared" si="56"/>
        <v>Y</v>
      </c>
      <c r="E1819" t="s">
        <v>1313</v>
      </c>
      <c r="F1819" s="7" t="s">
        <v>291</v>
      </c>
      <c r="G1819" s="1">
        <v>1</v>
      </c>
      <c r="H1819" s="7" t="s">
        <v>291</v>
      </c>
      <c r="I1819" s="7" t="s">
        <v>296</v>
      </c>
      <c r="J1819" s="1">
        <v>1</v>
      </c>
      <c r="K1819" s="1">
        <v>6</v>
      </c>
      <c r="L1819" s="67">
        <f t="shared" si="57"/>
        <v>1</v>
      </c>
    </row>
    <row r="1820" spans="1:12" x14ac:dyDescent="0.2">
      <c r="A1820">
        <v>1819</v>
      </c>
      <c r="B1820" s="7" t="s">
        <v>372</v>
      </c>
      <c r="C1820" t="s">
        <v>1316</v>
      </c>
      <c r="D1820" s="65" t="str">
        <f t="shared" si="56"/>
        <v>Y</v>
      </c>
      <c r="E1820" t="s">
        <v>1313</v>
      </c>
      <c r="F1820" s="7" t="s">
        <v>291</v>
      </c>
      <c r="G1820" s="1">
        <v>1</v>
      </c>
      <c r="H1820" s="7" t="s">
        <v>291</v>
      </c>
      <c r="I1820" s="7" t="s">
        <v>294</v>
      </c>
      <c r="J1820" s="1">
        <v>1</v>
      </c>
      <c r="K1820" s="1">
        <v>7</v>
      </c>
      <c r="L1820" s="67">
        <f t="shared" si="57"/>
        <v>1</v>
      </c>
    </row>
    <row r="1821" spans="1:12" x14ac:dyDescent="0.2">
      <c r="A1821">
        <v>1820</v>
      </c>
      <c r="B1821" s="7" t="s">
        <v>372</v>
      </c>
      <c r="C1821" t="s">
        <v>1316</v>
      </c>
      <c r="D1821" s="65" t="str">
        <f t="shared" si="56"/>
        <v>Y</v>
      </c>
      <c r="E1821" t="s">
        <v>1313</v>
      </c>
      <c r="F1821" s="7" t="s">
        <v>291</v>
      </c>
      <c r="G1821" s="1">
        <v>1</v>
      </c>
      <c r="H1821" s="7" t="s">
        <v>291</v>
      </c>
      <c r="I1821" s="7" t="s">
        <v>292</v>
      </c>
      <c r="J1821" s="1">
        <v>1</v>
      </c>
      <c r="K1821" s="1">
        <v>5</v>
      </c>
      <c r="L1821" s="67">
        <f t="shared" si="57"/>
        <v>1</v>
      </c>
    </row>
    <row r="1822" spans="1:12" x14ac:dyDescent="0.2">
      <c r="A1822">
        <v>1821</v>
      </c>
      <c r="B1822" s="7" t="s">
        <v>356</v>
      </c>
      <c r="C1822" t="s">
        <v>1316</v>
      </c>
      <c r="D1822" s="65" t="str">
        <f t="shared" si="56"/>
        <v>Y</v>
      </c>
      <c r="E1822" t="s">
        <v>1313</v>
      </c>
      <c r="F1822" s="7" t="s">
        <v>291</v>
      </c>
      <c r="G1822" s="1">
        <v>1</v>
      </c>
      <c r="H1822" s="7" t="s">
        <v>291</v>
      </c>
      <c r="I1822" s="7" t="s">
        <v>292</v>
      </c>
      <c r="J1822" s="1">
        <v>1</v>
      </c>
      <c r="K1822" s="1">
        <v>5</v>
      </c>
      <c r="L1822" s="67">
        <f t="shared" si="57"/>
        <v>1</v>
      </c>
    </row>
    <row r="1823" spans="1:12" x14ac:dyDescent="0.2">
      <c r="A1823">
        <v>1822</v>
      </c>
      <c r="B1823" s="7" t="s">
        <v>372</v>
      </c>
      <c r="C1823" t="s">
        <v>1316</v>
      </c>
      <c r="D1823" s="65" t="str">
        <f t="shared" si="56"/>
        <v>Y</v>
      </c>
      <c r="E1823" t="s">
        <v>1313</v>
      </c>
      <c r="F1823" s="7" t="s">
        <v>291</v>
      </c>
      <c r="G1823" s="1">
        <v>1</v>
      </c>
      <c r="H1823" s="7" t="s">
        <v>291</v>
      </c>
      <c r="I1823" s="7" t="s">
        <v>296</v>
      </c>
      <c r="J1823" s="1">
        <v>1</v>
      </c>
      <c r="K1823" s="1">
        <v>6</v>
      </c>
      <c r="L1823" s="67">
        <f t="shared" si="57"/>
        <v>1</v>
      </c>
    </row>
    <row r="1824" spans="1:12" x14ac:dyDescent="0.2">
      <c r="A1824">
        <v>1823</v>
      </c>
      <c r="B1824" s="7" t="s">
        <v>356</v>
      </c>
      <c r="C1824" t="s">
        <v>1316</v>
      </c>
      <c r="D1824" s="65" t="str">
        <f t="shared" si="56"/>
        <v>Y</v>
      </c>
      <c r="E1824" t="s">
        <v>1313</v>
      </c>
      <c r="F1824" s="7" t="s">
        <v>291</v>
      </c>
      <c r="G1824" s="1">
        <v>1</v>
      </c>
      <c r="H1824" s="7" t="s">
        <v>291</v>
      </c>
      <c r="I1824" s="7" t="s">
        <v>292</v>
      </c>
      <c r="J1824" s="1">
        <v>1</v>
      </c>
      <c r="K1824" s="1">
        <v>5</v>
      </c>
      <c r="L1824" s="67">
        <f t="shared" si="57"/>
        <v>1</v>
      </c>
    </row>
    <row r="1825" spans="1:12" x14ac:dyDescent="0.2">
      <c r="A1825">
        <v>1824</v>
      </c>
      <c r="B1825" s="7" t="s">
        <v>372</v>
      </c>
      <c r="C1825" t="s">
        <v>1316</v>
      </c>
      <c r="D1825" s="65" t="str">
        <f t="shared" si="56"/>
        <v>Y</v>
      </c>
      <c r="E1825" t="s">
        <v>1313</v>
      </c>
      <c r="F1825" s="7" t="s">
        <v>291</v>
      </c>
      <c r="G1825" s="1">
        <v>1</v>
      </c>
      <c r="H1825" s="7" t="s">
        <v>291</v>
      </c>
      <c r="I1825" s="7" t="s">
        <v>296</v>
      </c>
      <c r="J1825" s="1">
        <v>1</v>
      </c>
      <c r="K1825" s="1">
        <v>6</v>
      </c>
      <c r="L1825" s="67">
        <f t="shared" si="57"/>
        <v>1</v>
      </c>
    </row>
    <row r="1826" spans="1:12" x14ac:dyDescent="0.2">
      <c r="A1826">
        <v>1825</v>
      </c>
      <c r="B1826" s="7" t="s">
        <v>356</v>
      </c>
      <c r="C1826" t="s">
        <v>1316</v>
      </c>
      <c r="D1826" s="65" t="str">
        <f t="shared" si="56"/>
        <v>Y</v>
      </c>
      <c r="E1826" t="s">
        <v>1313</v>
      </c>
      <c r="F1826" s="7" t="s">
        <v>291</v>
      </c>
      <c r="G1826" s="1">
        <v>1</v>
      </c>
      <c r="H1826" s="7" t="s">
        <v>301</v>
      </c>
      <c r="I1826" s="7" t="s">
        <v>292</v>
      </c>
      <c r="J1826" s="1">
        <v>5</v>
      </c>
      <c r="K1826" s="1">
        <v>5</v>
      </c>
      <c r="L1826" s="67">
        <f t="shared" si="57"/>
        <v>0</v>
      </c>
    </row>
    <row r="1827" spans="1:12" x14ac:dyDescent="0.2">
      <c r="A1827">
        <v>1826</v>
      </c>
      <c r="B1827" s="7" t="s">
        <v>372</v>
      </c>
      <c r="C1827" t="s">
        <v>1316</v>
      </c>
      <c r="D1827" s="65" t="str">
        <f t="shared" si="56"/>
        <v>Y</v>
      </c>
      <c r="E1827" t="s">
        <v>1313</v>
      </c>
      <c r="F1827" s="7" t="s">
        <v>291</v>
      </c>
      <c r="G1827" s="1">
        <v>1</v>
      </c>
      <c r="H1827" s="7" t="s">
        <v>291</v>
      </c>
      <c r="I1827" s="7" t="s">
        <v>296</v>
      </c>
      <c r="J1827" s="1">
        <v>1</v>
      </c>
      <c r="K1827" s="1">
        <v>6</v>
      </c>
      <c r="L1827" s="67">
        <f t="shared" si="57"/>
        <v>1</v>
      </c>
    </row>
    <row r="1828" spans="1:12" x14ac:dyDescent="0.2">
      <c r="A1828">
        <v>1827</v>
      </c>
      <c r="B1828" s="7" t="s">
        <v>356</v>
      </c>
      <c r="C1828" t="s">
        <v>1316</v>
      </c>
      <c r="D1828" s="65" t="str">
        <f t="shared" si="56"/>
        <v>Y</v>
      </c>
      <c r="E1828" t="s">
        <v>1313</v>
      </c>
      <c r="F1828" s="7" t="s">
        <v>291</v>
      </c>
      <c r="G1828" s="1">
        <v>1</v>
      </c>
      <c r="H1828" s="7" t="s">
        <v>291</v>
      </c>
      <c r="I1828" s="7" t="s">
        <v>297</v>
      </c>
      <c r="J1828" s="1">
        <v>1</v>
      </c>
      <c r="K1828" s="1">
        <v>4</v>
      </c>
      <c r="L1828" s="67">
        <f t="shared" si="57"/>
        <v>1</v>
      </c>
    </row>
    <row r="1829" spans="1:12" x14ac:dyDescent="0.2">
      <c r="A1829">
        <v>1828</v>
      </c>
      <c r="B1829" s="7" t="s">
        <v>356</v>
      </c>
      <c r="C1829" t="s">
        <v>1316</v>
      </c>
      <c r="D1829" s="65" t="str">
        <f t="shared" si="56"/>
        <v>Y</v>
      </c>
      <c r="E1829" t="s">
        <v>1313</v>
      </c>
      <c r="F1829" s="7" t="s">
        <v>291</v>
      </c>
      <c r="G1829" s="1">
        <v>1</v>
      </c>
      <c r="H1829" s="7" t="s">
        <v>291</v>
      </c>
      <c r="I1829" s="7" t="s">
        <v>294</v>
      </c>
      <c r="J1829" s="1">
        <v>1</v>
      </c>
      <c r="K1829" s="1">
        <v>7</v>
      </c>
      <c r="L1829" s="67">
        <f t="shared" si="57"/>
        <v>1</v>
      </c>
    </row>
    <row r="1830" spans="1:12" x14ac:dyDescent="0.2">
      <c r="A1830">
        <v>1829</v>
      </c>
      <c r="B1830" s="7" t="s">
        <v>372</v>
      </c>
      <c r="C1830" t="s">
        <v>1316</v>
      </c>
      <c r="D1830" s="65" t="str">
        <f t="shared" si="56"/>
        <v>Y</v>
      </c>
      <c r="E1830" t="s">
        <v>1313</v>
      </c>
      <c r="F1830" s="7" t="s">
        <v>291</v>
      </c>
      <c r="G1830" s="1">
        <v>1</v>
      </c>
      <c r="H1830" s="7" t="s">
        <v>291</v>
      </c>
      <c r="I1830" s="7" t="s">
        <v>296</v>
      </c>
      <c r="J1830" s="1">
        <v>1</v>
      </c>
      <c r="K1830" s="1">
        <v>6</v>
      </c>
      <c r="L1830" s="67">
        <f t="shared" si="57"/>
        <v>1</v>
      </c>
    </row>
    <row r="1831" spans="1:12" x14ac:dyDescent="0.2">
      <c r="A1831">
        <v>1830</v>
      </c>
      <c r="B1831" s="7" t="s">
        <v>356</v>
      </c>
      <c r="C1831" t="s">
        <v>1316</v>
      </c>
      <c r="D1831" s="65" t="str">
        <f t="shared" si="56"/>
        <v>Y</v>
      </c>
      <c r="E1831" t="s">
        <v>1313</v>
      </c>
      <c r="F1831" s="7" t="s">
        <v>291</v>
      </c>
      <c r="G1831" s="1">
        <v>1</v>
      </c>
      <c r="H1831" s="7" t="s">
        <v>291</v>
      </c>
      <c r="I1831" s="7" t="s">
        <v>294</v>
      </c>
      <c r="J1831" s="1">
        <v>1</v>
      </c>
      <c r="K1831" s="1">
        <v>7</v>
      </c>
      <c r="L1831" s="67">
        <f t="shared" si="57"/>
        <v>1</v>
      </c>
    </row>
    <row r="1832" spans="1:12" x14ac:dyDescent="0.2">
      <c r="A1832">
        <v>1831</v>
      </c>
      <c r="B1832" s="7" t="s">
        <v>372</v>
      </c>
      <c r="C1832" t="s">
        <v>1316</v>
      </c>
      <c r="D1832" s="65" t="str">
        <f t="shared" si="56"/>
        <v>Y</v>
      </c>
      <c r="E1832" t="s">
        <v>1313</v>
      </c>
      <c r="F1832" s="7" t="s">
        <v>291</v>
      </c>
      <c r="G1832" s="1">
        <v>1</v>
      </c>
      <c r="H1832" s="7" t="s">
        <v>291</v>
      </c>
      <c r="I1832" s="7" t="s">
        <v>294</v>
      </c>
      <c r="J1832" s="1">
        <v>1</v>
      </c>
      <c r="K1832" s="1">
        <v>7</v>
      </c>
      <c r="L1832" s="67">
        <f t="shared" si="57"/>
        <v>1</v>
      </c>
    </row>
    <row r="1833" spans="1:12" x14ac:dyDescent="0.2">
      <c r="A1833">
        <v>1832</v>
      </c>
      <c r="B1833" s="7" t="s">
        <v>356</v>
      </c>
      <c r="C1833" t="s">
        <v>1316</v>
      </c>
      <c r="D1833" s="65" t="str">
        <f t="shared" si="56"/>
        <v>Y</v>
      </c>
      <c r="E1833" t="s">
        <v>1313</v>
      </c>
      <c r="F1833" s="7" t="s">
        <v>291</v>
      </c>
      <c r="G1833" s="1">
        <v>1</v>
      </c>
      <c r="H1833" s="7" t="s">
        <v>291</v>
      </c>
      <c r="I1833" s="7" t="s">
        <v>294</v>
      </c>
      <c r="J1833" s="1">
        <v>1</v>
      </c>
      <c r="K1833" s="1">
        <v>7</v>
      </c>
      <c r="L1833" s="67">
        <f t="shared" si="57"/>
        <v>1</v>
      </c>
    </row>
    <row r="1834" spans="1:12" x14ac:dyDescent="0.2">
      <c r="A1834">
        <v>1833</v>
      </c>
      <c r="B1834" s="7" t="s">
        <v>372</v>
      </c>
      <c r="C1834" t="s">
        <v>1316</v>
      </c>
      <c r="D1834" s="65" t="str">
        <f t="shared" si="56"/>
        <v>Y</v>
      </c>
      <c r="E1834" t="s">
        <v>1313</v>
      </c>
      <c r="F1834" s="7" t="s">
        <v>291</v>
      </c>
      <c r="G1834" s="1">
        <v>1</v>
      </c>
      <c r="H1834" s="7" t="s">
        <v>291</v>
      </c>
      <c r="I1834" s="7" t="s">
        <v>296</v>
      </c>
      <c r="J1834" s="1">
        <v>1</v>
      </c>
      <c r="K1834" s="1">
        <v>6</v>
      </c>
      <c r="L1834" s="67">
        <f t="shared" si="57"/>
        <v>1</v>
      </c>
    </row>
    <row r="1835" spans="1:12" x14ac:dyDescent="0.2">
      <c r="A1835">
        <v>1834</v>
      </c>
      <c r="B1835" s="7" t="s">
        <v>372</v>
      </c>
      <c r="C1835" t="s">
        <v>1316</v>
      </c>
      <c r="D1835" s="65" t="str">
        <f t="shared" si="56"/>
        <v>Y</v>
      </c>
      <c r="E1835" t="s">
        <v>1313</v>
      </c>
      <c r="F1835" s="7" t="s">
        <v>291</v>
      </c>
      <c r="G1835" s="1">
        <v>1</v>
      </c>
      <c r="H1835" s="7" t="s">
        <v>291</v>
      </c>
      <c r="I1835" s="7" t="s">
        <v>296</v>
      </c>
      <c r="J1835" s="1">
        <v>1</v>
      </c>
      <c r="K1835" s="1">
        <v>6</v>
      </c>
      <c r="L1835" s="67">
        <f t="shared" si="57"/>
        <v>1</v>
      </c>
    </row>
    <row r="1836" spans="1:12" x14ac:dyDescent="0.2">
      <c r="A1836">
        <v>1835</v>
      </c>
      <c r="B1836" s="7" t="s">
        <v>356</v>
      </c>
      <c r="C1836" t="s">
        <v>1316</v>
      </c>
      <c r="D1836" s="65" t="str">
        <f t="shared" si="56"/>
        <v>Y</v>
      </c>
      <c r="E1836" t="s">
        <v>1313</v>
      </c>
      <c r="F1836" s="7" t="s">
        <v>291</v>
      </c>
      <c r="G1836" s="1">
        <v>1</v>
      </c>
      <c r="H1836" s="7" t="s">
        <v>291</v>
      </c>
      <c r="I1836" s="7" t="s">
        <v>292</v>
      </c>
      <c r="J1836" s="1">
        <v>1</v>
      </c>
      <c r="K1836" s="1">
        <v>5</v>
      </c>
      <c r="L1836" s="67">
        <f t="shared" si="57"/>
        <v>1</v>
      </c>
    </row>
    <row r="1837" spans="1:12" x14ac:dyDescent="0.2">
      <c r="A1837">
        <v>1836</v>
      </c>
      <c r="B1837" s="7" t="s">
        <v>356</v>
      </c>
      <c r="C1837" t="s">
        <v>1316</v>
      </c>
      <c r="D1837" s="65" t="str">
        <f t="shared" si="56"/>
        <v>Y</v>
      </c>
      <c r="E1837" t="s">
        <v>1313</v>
      </c>
      <c r="F1837" s="7" t="s">
        <v>291</v>
      </c>
      <c r="G1837" s="1">
        <v>1</v>
      </c>
      <c r="H1837" s="7" t="s">
        <v>291</v>
      </c>
      <c r="I1837" s="7" t="s">
        <v>292</v>
      </c>
      <c r="J1837" s="1">
        <v>1</v>
      </c>
      <c r="K1837" s="1">
        <v>5</v>
      </c>
      <c r="L1837" s="67">
        <f t="shared" si="57"/>
        <v>1</v>
      </c>
    </row>
    <row r="1838" spans="1:12" x14ac:dyDescent="0.2">
      <c r="A1838">
        <v>1837</v>
      </c>
      <c r="B1838" s="7" t="s">
        <v>372</v>
      </c>
      <c r="C1838" t="s">
        <v>1316</v>
      </c>
      <c r="D1838" s="65" t="str">
        <f t="shared" si="56"/>
        <v>Y</v>
      </c>
      <c r="E1838" t="s">
        <v>1313</v>
      </c>
      <c r="F1838" s="7" t="s">
        <v>291</v>
      </c>
      <c r="G1838" s="1">
        <v>1</v>
      </c>
      <c r="H1838" s="7" t="s">
        <v>291</v>
      </c>
      <c r="I1838" s="7" t="s">
        <v>292</v>
      </c>
      <c r="J1838" s="1">
        <v>1</v>
      </c>
      <c r="K1838" s="1">
        <v>5</v>
      </c>
      <c r="L1838" s="67">
        <f t="shared" si="57"/>
        <v>1</v>
      </c>
    </row>
    <row r="1839" spans="1:12" x14ac:dyDescent="0.2">
      <c r="A1839">
        <v>1838</v>
      </c>
      <c r="B1839" s="7" t="s">
        <v>356</v>
      </c>
      <c r="C1839" t="s">
        <v>1316</v>
      </c>
      <c r="D1839" s="65" t="str">
        <f t="shared" si="56"/>
        <v>Y</v>
      </c>
      <c r="E1839" t="s">
        <v>1313</v>
      </c>
      <c r="F1839" s="7" t="s">
        <v>291</v>
      </c>
      <c r="G1839" s="1">
        <v>1</v>
      </c>
      <c r="H1839" s="7" t="s">
        <v>291</v>
      </c>
      <c r="I1839" s="7" t="s">
        <v>296</v>
      </c>
      <c r="J1839" s="1">
        <v>1</v>
      </c>
      <c r="K1839" s="1">
        <v>6</v>
      </c>
      <c r="L1839" s="67">
        <f t="shared" si="57"/>
        <v>1</v>
      </c>
    </row>
    <row r="1840" spans="1:12" x14ac:dyDescent="0.2">
      <c r="A1840">
        <v>1839</v>
      </c>
      <c r="B1840" s="7" t="s">
        <v>356</v>
      </c>
      <c r="C1840" t="s">
        <v>1316</v>
      </c>
      <c r="D1840" s="65" t="str">
        <f t="shared" si="56"/>
        <v>Y</v>
      </c>
      <c r="E1840" t="s">
        <v>1313</v>
      </c>
      <c r="F1840" s="7" t="s">
        <v>291</v>
      </c>
      <c r="G1840" s="1">
        <v>1</v>
      </c>
      <c r="H1840" s="7" t="s">
        <v>291</v>
      </c>
      <c r="I1840" s="7" t="s">
        <v>292</v>
      </c>
      <c r="J1840" s="1">
        <v>1</v>
      </c>
      <c r="K1840" s="1">
        <v>5</v>
      </c>
      <c r="L1840" s="67">
        <f t="shared" si="57"/>
        <v>1</v>
      </c>
    </row>
    <row r="1841" spans="1:12" x14ac:dyDescent="0.2">
      <c r="A1841">
        <v>1840</v>
      </c>
      <c r="B1841" s="7" t="s">
        <v>372</v>
      </c>
      <c r="C1841" t="s">
        <v>1316</v>
      </c>
      <c r="D1841" s="65" t="str">
        <f t="shared" si="56"/>
        <v>Y</v>
      </c>
      <c r="E1841" t="s">
        <v>1313</v>
      </c>
      <c r="F1841" s="7" t="s">
        <v>291</v>
      </c>
      <c r="G1841" s="1">
        <v>1</v>
      </c>
      <c r="H1841" s="7" t="s">
        <v>291</v>
      </c>
      <c r="I1841" s="7" t="s">
        <v>294</v>
      </c>
      <c r="J1841" s="1">
        <v>1</v>
      </c>
      <c r="K1841" s="1">
        <v>7</v>
      </c>
      <c r="L1841" s="67">
        <f t="shared" si="57"/>
        <v>1</v>
      </c>
    </row>
    <row r="1842" spans="1:12" x14ac:dyDescent="0.2">
      <c r="A1842">
        <v>1841</v>
      </c>
      <c r="B1842" s="7" t="s">
        <v>372</v>
      </c>
      <c r="C1842" t="s">
        <v>1316</v>
      </c>
      <c r="D1842" s="65" t="str">
        <f t="shared" si="56"/>
        <v>Y</v>
      </c>
      <c r="E1842" t="s">
        <v>1313</v>
      </c>
      <c r="F1842" s="7" t="s">
        <v>291</v>
      </c>
      <c r="G1842" s="1">
        <v>1</v>
      </c>
      <c r="H1842" s="7" t="s">
        <v>291</v>
      </c>
      <c r="I1842" s="7" t="s">
        <v>294</v>
      </c>
      <c r="J1842" s="1">
        <v>1</v>
      </c>
      <c r="K1842" s="1">
        <v>7</v>
      </c>
      <c r="L1842" s="67">
        <f t="shared" si="57"/>
        <v>1</v>
      </c>
    </row>
    <row r="1843" spans="1:12" x14ac:dyDescent="0.2">
      <c r="A1843">
        <v>1842</v>
      </c>
      <c r="B1843" s="7" t="s">
        <v>356</v>
      </c>
      <c r="C1843" t="s">
        <v>1316</v>
      </c>
      <c r="D1843" s="65" t="str">
        <f t="shared" si="56"/>
        <v>Y</v>
      </c>
      <c r="E1843" t="s">
        <v>1313</v>
      </c>
      <c r="F1843" s="7" t="s">
        <v>291</v>
      </c>
      <c r="G1843" s="1">
        <v>1</v>
      </c>
      <c r="H1843" s="7" t="s">
        <v>291</v>
      </c>
      <c r="I1843" s="7" t="s">
        <v>296</v>
      </c>
      <c r="J1843" s="1">
        <v>1</v>
      </c>
      <c r="K1843" s="1">
        <v>6</v>
      </c>
      <c r="L1843" s="67">
        <f t="shared" si="57"/>
        <v>1</v>
      </c>
    </row>
    <row r="1844" spans="1:12" x14ac:dyDescent="0.2">
      <c r="A1844">
        <v>1843</v>
      </c>
      <c r="B1844" s="7" t="s">
        <v>356</v>
      </c>
      <c r="C1844" t="s">
        <v>1316</v>
      </c>
      <c r="D1844" s="65" t="str">
        <f t="shared" si="56"/>
        <v>Y</v>
      </c>
      <c r="E1844" t="s">
        <v>1313</v>
      </c>
      <c r="F1844" s="7" t="s">
        <v>291</v>
      </c>
      <c r="G1844" s="1">
        <v>1</v>
      </c>
      <c r="H1844" s="7" t="s">
        <v>291</v>
      </c>
      <c r="I1844" s="7" t="s">
        <v>296</v>
      </c>
      <c r="J1844" s="1">
        <v>1</v>
      </c>
      <c r="K1844" s="1">
        <v>6</v>
      </c>
      <c r="L1844" s="67">
        <f t="shared" si="57"/>
        <v>1</v>
      </c>
    </row>
    <row r="1845" spans="1:12" x14ac:dyDescent="0.2">
      <c r="A1845">
        <v>1844</v>
      </c>
      <c r="B1845" s="7" t="s">
        <v>372</v>
      </c>
      <c r="C1845" t="s">
        <v>1316</v>
      </c>
      <c r="D1845" s="65" t="str">
        <f t="shared" si="56"/>
        <v>Y</v>
      </c>
      <c r="E1845" t="s">
        <v>1313</v>
      </c>
      <c r="F1845" s="7" t="s">
        <v>291</v>
      </c>
      <c r="G1845" s="1">
        <v>1</v>
      </c>
      <c r="H1845" s="7" t="s">
        <v>291</v>
      </c>
      <c r="I1845" s="7" t="s">
        <v>296</v>
      </c>
      <c r="J1845" s="1">
        <v>1</v>
      </c>
      <c r="K1845" s="1">
        <v>6</v>
      </c>
      <c r="L1845" s="67">
        <f t="shared" si="57"/>
        <v>1</v>
      </c>
    </row>
    <row r="1846" spans="1:12" x14ac:dyDescent="0.2">
      <c r="A1846">
        <v>1845</v>
      </c>
      <c r="B1846" s="7" t="s">
        <v>356</v>
      </c>
      <c r="C1846" t="s">
        <v>1316</v>
      </c>
      <c r="D1846" s="65" t="str">
        <f t="shared" si="56"/>
        <v>Y</v>
      </c>
      <c r="E1846" t="s">
        <v>1313</v>
      </c>
      <c r="F1846" s="7" t="s">
        <v>291</v>
      </c>
      <c r="G1846" s="1">
        <v>1</v>
      </c>
      <c r="H1846" s="7" t="s">
        <v>300</v>
      </c>
      <c r="I1846" s="7" t="s">
        <v>292</v>
      </c>
      <c r="J1846" s="1">
        <v>2</v>
      </c>
      <c r="K1846" s="1">
        <v>5</v>
      </c>
      <c r="L1846" s="67">
        <f t="shared" si="57"/>
        <v>0</v>
      </c>
    </row>
    <row r="1847" spans="1:12" x14ac:dyDescent="0.2">
      <c r="A1847">
        <v>1846</v>
      </c>
      <c r="B1847" s="7" t="s">
        <v>372</v>
      </c>
      <c r="C1847" t="s">
        <v>1316</v>
      </c>
      <c r="D1847" s="65" t="str">
        <f t="shared" si="56"/>
        <v>Y</v>
      </c>
      <c r="E1847" t="s">
        <v>1313</v>
      </c>
      <c r="F1847" s="7" t="s">
        <v>291</v>
      </c>
      <c r="G1847" s="1">
        <v>1</v>
      </c>
      <c r="H1847" s="7" t="s">
        <v>291</v>
      </c>
      <c r="I1847" s="7" t="s">
        <v>297</v>
      </c>
      <c r="J1847" s="1">
        <v>1</v>
      </c>
      <c r="K1847" s="1">
        <v>4</v>
      </c>
      <c r="L1847" s="67">
        <f t="shared" si="57"/>
        <v>1</v>
      </c>
    </row>
    <row r="1848" spans="1:12" x14ac:dyDescent="0.2">
      <c r="A1848">
        <v>1847</v>
      </c>
      <c r="B1848" s="7" t="s">
        <v>356</v>
      </c>
      <c r="C1848" t="s">
        <v>1316</v>
      </c>
      <c r="D1848" s="65" t="str">
        <f t="shared" si="56"/>
        <v>Y</v>
      </c>
      <c r="E1848" t="s">
        <v>1313</v>
      </c>
      <c r="F1848" s="7" t="s">
        <v>291</v>
      </c>
      <c r="G1848" s="1">
        <v>1</v>
      </c>
      <c r="H1848" s="7" t="s">
        <v>291</v>
      </c>
      <c r="I1848" s="7" t="s">
        <v>294</v>
      </c>
      <c r="J1848" s="1">
        <v>1</v>
      </c>
      <c r="K1848" s="1">
        <v>7</v>
      </c>
      <c r="L1848" s="67">
        <f t="shared" si="57"/>
        <v>1</v>
      </c>
    </row>
    <row r="1849" spans="1:12" x14ac:dyDescent="0.2">
      <c r="A1849">
        <v>1848</v>
      </c>
      <c r="B1849" s="7" t="s">
        <v>372</v>
      </c>
      <c r="C1849" t="s">
        <v>1316</v>
      </c>
      <c r="D1849" s="65" t="str">
        <f t="shared" si="56"/>
        <v>Y</v>
      </c>
      <c r="E1849" t="s">
        <v>1313</v>
      </c>
      <c r="F1849" s="7" t="s">
        <v>291</v>
      </c>
      <c r="G1849" s="1">
        <v>1</v>
      </c>
      <c r="H1849" s="7" t="s">
        <v>291</v>
      </c>
      <c r="I1849" s="7" t="s">
        <v>294</v>
      </c>
      <c r="J1849" s="1">
        <v>1</v>
      </c>
      <c r="K1849" s="1">
        <v>7</v>
      </c>
      <c r="L1849" s="67">
        <f t="shared" si="57"/>
        <v>1</v>
      </c>
    </row>
    <row r="1850" spans="1:12" x14ac:dyDescent="0.2">
      <c r="A1850">
        <v>1849</v>
      </c>
      <c r="B1850" s="7" t="s">
        <v>356</v>
      </c>
      <c r="C1850" t="s">
        <v>1316</v>
      </c>
      <c r="D1850" s="65" t="str">
        <f t="shared" si="56"/>
        <v>Y</v>
      </c>
      <c r="E1850" t="s">
        <v>1313</v>
      </c>
      <c r="F1850" s="7" t="s">
        <v>291</v>
      </c>
      <c r="G1850" s="1">
        <v>1</v>
      </c>
      <c r="H1850" s="7" t="s">
        <v>291</v>
      </c>
      <c r="I1850" s="7" t="s">
        <v>296</v>
      </c>
      <c r="J1850" s="1">
        <v>1</v>
      </c>
      <c r="K1850" s="1">
        <v>6</v>
      </c>
      <c r="L1850" s="67">
        <f t="shared" si="57"/>
        <v>1</v>
      </c>
    </row>
    <row r="1851" spans="1:12" x14ac:dyDescent="0.2">
      <c r="A1851">
        <v>1850</v>
      </c>
      <c r="B1851" s="7" t="s">
        <v>356</v>
      </c>
      <c r="C1851" t="s">
        <v>1316</v>
      </c>
      <c r="D1851" s="65" t="str">
        <f t="shared" si="56"/>
        <v>Y</v>
      </c>
      <c r="E1851" t="s">
        <v>1313</v>
      </c>
      <c r="F1851" s="7" t="s">
        <v>291</v>
      </c>
      <c r="G1851" s="1">
        <v>1</v>
      </c>
      <c r="H1851" s="7" t="s">
        <v>291</v>
      </c>
      <c r="I1851" s="7" t="s">
        <v>294</v>
      </c>
      <c r="J1851" s="1">
        <v>1</v>
      </c>
      <c r="K1851" s="1">
        <v>7</v>
      </c>
      <c r="L1851" s="67">
        <f t="shared" si="57"/>
        <v>1</v>
      </c>
    </row>
    <row r="1852" spans="1:12" x14ac:dyDescent="0.2">
      <c r="A1852">
        <v>1851</v>
      </c>
      <c r="B1852" s="7" t="s">
        <v>372</v>
      </c>
      <c r="C1852" t="s">
        <v>1316</v>
      </c>
      <c r="D1852" s="65" t="str">
        <f t="shared" si="56"/>
        <v>Y</v>
      </c>
      <c r="E1852" t="s">
        <v>1313</v>
      </c>
      <c r="F1852" s="7" t="s">
        <v>291</v>
      </c>
      <c r="G1852" s="1">
        <v>1</v>
      </c>
      <c r="H1852" s="7" t="s">
        <v>291</v>
      </c>
      <c r="I1852" s="7" t="s">
        <v>296</v>
      </c>
      <c r="J1852" s="1">
        <v>1</v>
      </c>
      <c r="K1852" s="1">
        <v>6</v>
      </c>
      <c r="L1852" s="67">
        <f t="shared" si="57"/>
        <v>1</v>
      </c>
    </row>
    <row r="1853" spans="1:12" x14ac:dyDescent="0.2">
      <c r="A1853">
        <v>1852</v>
      </c>
      <c r="B1853" s="7" t="s">
        <v>372</v>
      </c>
      <c r="C1853" t="s">
        <v>1316</v>
      </c>
      <c r="D1853" s="65" t="str">
        <f t="shared" si="56"/>
        <v>Y</v>
      </c>
      <c r="E1853" t="s">
        <v>1313</v>
      </c>
      <c r="F1853" s="7" t="s">
        <v>291</v>
      </c>
      <c r="G1853" s="1">
        <v>1</v>
      </c>
      <c r="H1853" s="7" t="s">
        <v>291</v>
      </c>
      <c r="I1853" s="7" t="s">
        <v>294</v>
      </c>
      <c r="J1853" s="1">
        <v>1</v>
      </c>
      <c r="K1853" s="1">
        <v>7</v>
      </c>
      <c r="L1853" s="67">
        <f t="shared" si="57"/>
        <v>1</v>
      </c>
    </row>
    <row r="1854" spans="1:12" x14ac:dyDescent="0.2">
      <c r="A1854">
        <v>1853</v>
      </c>
      <c r="B1854" s="7" t="s">
        <v>356</v>
      </c>
      <c r="C1854" t="s">
        <v>1316</v>
      </c>
      <c r="D1854" s="65" t="str">
        <f t="shared" si="56"/>
        <v>Y</v>
      </c>
      <c r="E1854" t="s">
        <v>1313</v>
      </c>
      <c r="F1854" s="7" t="s">
        <v>291</v>
      </c>
      <c r="G1854" s="1">
        <v>1</v>
      </c>
      <c r="H1854" s="7" t="s">
        <v>291</v>
      </c>
      <c r="I1854" s="7" t="s">
        <v>296</v>
      </c>
      <c r="J1854" s="1">
        <v>1</v>
      </c>
      <c r="K1854" s="1">
        <v>6</v>
      </c>
      <c r="L1854" s="67">
        <f t="shared" si="57"/>
        <v>1</v>
      </c>
    </row>
    <row r="1855" spans="1:12" x14ac:dyDescent="0.2">
      <c r="A1855">
        <v>1854</v>
      </c>
      <c r="B1855" s="7" t="s">
        <v>372</v>
      </c>
      <c r="C1855" t="s">
        <v>1316</v>
      </c>
      <c r="D1855" s="65" t="str">
        <f t="shared" si="56"/>
        <v>Y</v>
      </c>
      <c r="E1855" t="s">
        <v>1313</v>
      </c>
      <c r="F1855" s="7" t="s">
        <v>291</v>
      </c>
      <c r="G1855" s="1">
        <v>1</v>
      </c>
      <c r="H1855" s="7" t="s">
        <v>291</v>
      </c>
      <c r="I1855" s="7" t="s">
        <v>292</v>
      </c>
      <c r="J1855" s="1">
        <v>1</v>
      </c>
      <c r="K1855" s="1">
        <v>5</v>
      </c>
      <c r="L1855" s="67">
        <f t="shared" si="57"/>
        <v>1</v>
      </c>
    </row>
    <row r="1856" spans="1:12" x14ac:dyDescent="0.2">
      <c r="A1856">
        <v>1855</v>
      </c>
      <c r="B1856" s="7" t="s">
        <v>372</v>
      </c>
      <c r="C1856" t="s">
        <v>1316</v>
      </c>
      <c r="D1856" s="65" t="str">
        <f t="shared" si="56"/>
        <v>Y</v>
      </c>
      <c r="E1856" t="s">
        <v>1313</v>
      </c>
      <c r="F1856" s="7" t="s">
        <v>291</v>
      </c>
      <c r="G1856" s="1">
        <v>1</v>
      </c>
      <c r="H1856" s="7" t="s">
        <v>291</v>
      </c>
      <c r="I1856" s="7" t="s">
        <v>292</v>
      </c>
      <c r="J1856" s="1">
        <v>1</v>
      </c>
      <c r="K1856" s="1">
        <v>5</v>
      </c>
      <c r="L1856" s="67">
        <f t="shared" si="57"/>
        <v>1</v>
      </c>
    </row>
    <row r="1857" spans="1:12" x14ac:dyDescent="0.2">
      <c r="A1857">
        <v>1856</v>
      </c>
      <c r="B1857" s="7" t="s">
        <v>372</v>
      </c>
      <c r="C1857" t="s">
        <v>1316</v>
      </c>
      <c r="D1857" s="65" t="str">
        <f t="shared" si="56"/>
        <v>Y</v>
      </c>
      <c r="E1857" t="s">
        <v>1313</v>
      </c>
      <c r="F1857" s="7" t="s">
        <v>291</v>
      </c>
      <c r="G1857" s="1">
        <v>1</v>
      </c>
      <c r="H1857" s="7" t="s">
        <v>291</v>
      </c>
      <c r="I1857" s="7" t="s">
        <v>292</v>
      </c>
      <c r="J1857" s="1">
        <v>1</v>
      </c>
      <c r="K1857" s="1">
        <v>5</v>
      </c>
      <c r="L1857" s="67">
        <f t="shared" si="57"/>
        <v>1</v>
      </c>
    </row>
    <row r="1858" spans="1:12" x14ac:dyDescent="0.2">
      <c r="A1858">
        <v>1857</v>
      </c>
      <c r="B1858" s="7" t="s">
        <v>356</v>
      </c>
      <c r="C1858" t="s">
        <v>1316</v>
      </c>
      <c r="D1858" s="65" t="str">
        <f t="shared" si="56"/>
        <v>Y</v>
      </c>
      <c r="E1858" t="s">
        <v>1313</v>
      </c>
      <c r="F1858" s="7" t="s">
        <v>291</v>
      </c>
      <c r="G1858" s="1">
        <v>1</v>
      </c>
      <c r="H1858" s="7" t="s">
        <v>291</v>
      </c>
      <c r="I1858" s="7" t="s">
        <v>294</v>
      </c>
      <c r="J1858" s="1">
        <v>1</v>
      </c>
      <c r="K1858" s="1">
        <v>7</v>
      </c>
      <c r="L1858" s="67">
        <f t="shared" si="57"/>
        <v>1</v>
      </c>
    </row>
    <row r="1859" spans="1:12" x14ac:dyDescent="0.2">
      <c r="A1859">
        <v>1858</v>
      </c>
      <c r="B1859" s="7" t="s">
        <v>372</v>
      </c>
      <c r="C1859" t="s">
        <v>1316</v>
      </c>
      <c r="D1859" s="65" t="str">
        <f t="shared" ref="D1859:D1922" si="58">IF($E1859="iso", "N", IF(OR($E1859="non", $E1859="emd", $E1859="dyn"), "Y", "ERROR"))</f>
        <v>Y</v>
      </c>
      <c r="E1859" t="s">
        <v>1313</v>
      </c>
      <c r="F1859" s="7" t="s">
        <v>291</v>
      </c>
      <c r="G1859" s="1">
        <v>1</v>
      </c>
      <c r="H1859" s="7" t="s">
        <v>291</v>
      </c>
      <c r="I1859" s="7" t="s">
        <v>292</v>
      </c>
      <c r="J1859" s="1">
        <v>1</v>
      </c>
      <c r="K1859" s="1">
        <v>5</v>
      </c>
      <c r="L1859" s="67">
        <f t="shared" ref="L1859:L1922" si="59">IF(G1859=J1859, 1, 0)</f>
        <v>1</v>
      </c>
    </row>
    <row r="1860" spans="1:12" x14ac:dyDescent="0.2">
      <c r="A1860">
        <v>1859</v>
      </c>
      <c r="B1860" s="7" t="s">
        <v>356</v>
      </c>
      <c r="C1860" t="s">
        <v>1316</v>
      </c>
      <c r="D1860" s="65" t="str">
        <f t="shared" si="58"/>
        <v>Y</v>
      </c>
      <c r="E1860" t="s">
        <v>1313</v>
      </c>
      <c r="F1860" s="7" t="s">
        <v>291</v>
      </c>
      <c r="G1860" s="1">
        <v>1</v>
      </c>
      <c r="H1860" s="7" t="s">
        <v>291</v>
      </c>
      <c r="I1860" s="7" t="s">
        <v>292</v>
      </c>
      <c r="J1860" s="1">
        <v>1</v>
      </c>
      <c r="K1860" s="1">
        <v>5</v>
      </c>
      <c r="L1860" s="67">
        <f t="shared" si="59"/>
        <v>1</v>
      </c>
    </row>
    <row r="1861" spans="1:12" x14ac:dyDescent="0.2">
      <c r="A1861">
        <v>1860</v>
      </c>
      <c r="B1861" s="7" t="s">
        <v>356</v>
      </c>
      <c r="C1861" t="s">
        <v>1316</v>
      </c>
      <c r="D1861" s="65" t="str">
        <f t="shared" si="58"/>
        <v>Y</v>
      </c>
      <c r="E1861" t="s">
        <v>1313</v>
      </c>
      <c r="F1861" s="7" t="s">
        <v>291</v>
      </c>
      <c r="G1861" s="1">
        <v>1</v>
      </c>
      <c r="H1861" s="7" t="s">
        <v>291</v>
      </c>
      <c r="I1861" s="7" t="s">
        <v>294</v>
      </c>
      <c r="J1861" s="1">
        <v>1</v>
      </c>
      <c r="K1861" s="1">
        <v>7</v>
      </c>
      <c r="L1861" s="67">
        <f t="shared" si="59"/>
        <v>1</v>
      </c>
    </row>
    <row r="1862" spans="1:12" x14ac:dyDescent="0.2">
      <c r="A1862">
        <v>1861</v>
      </c>
      <c r="B1862" s="7" t="s">
        <v>372</v>
      </c>
      <c r="C1862" t="s">
        <v>1316</v>
      </c>
      <c r="D1862" s="65" t="str">
        <f t="shared" si="58"/>
        <v>Y</v>
      </c>
      <c r="E1862" t="s">
        <v>1313</v>
      </c>
      <c r="F1862" s="7" t="s">
        <v>291</v>
      </c>
      <c r="G1862" s="1">
        <v>1</v>
      </c>
      <c r="H1862" s="7" t="s">
        <v>282</v>
      </c>
      <c r="I1862" s="7" t="s">
        <v>294</v>
      </c>
      <c r="J1862" s="4" t="s">
        <v>282</v>
      </c>
      <c r="K1862" s="1">
        <v>7</v>
      </c>
      <c r="L1862" s="67">
        <f t="shared" si="59"/>
        <v>0</v>
      </c>
    </row>
    <row r="1863" spans="1:12" x14ac:dyDescent="0.2">
      <c r="A1863">
        <v>1862</v>
      </c>
      <c r="B1863" s="7" t="s">
        <v>372</v>
      </c>
      <c r="C1863" t="s">
        <v>1316</v>
      </c>
      <c r="D1863" s="65" t="str">
        <f t="shared" si="58"/>
        <v>Y</v>
      </c>
      <c r="E1863" t="s">
        <v>1313</v>
      </c>
      <c r="F1863" s="7" t="s">
        <v>291</v>
      </c>
      <c r="G1863" s="1">
        <v>1</v>
      </c>
      <c r="H1863" s="7" t="s">
        <v>291</v>
      </c>
      <c r="I1863" s="7" t="s">
        <v>294</v>
      </c>
      <c r="J1863" s="1">
        <v>1</v>
      </c>
      <c r="K1863" s="1">
        <v>7</v>
      </c>
      <c r="L1863" s="67">
        <f t="shared" si="59"/>
        <v>1</v>
      </c>
    </row>
    <row r="1864" spans="1:12" x14ac:dyDescent="0.2">
      <c r="A1864">
        <v>1863</v>
      </c>
      <c r="B1864" s="7" t="s">
        <v>356</v>
      </c>
      <c r="C1864" t="s">
        <v>1316</v>
      </c>
      <c r="D1864" s="65" t="str">
        <f t="shared" si="58"/>
        <v>Y</v>
      </c>
      <c r="E1864" t="s">
        <v>1313</v>
      </c>
      <c r="F1864" s="7" t="s">
        <v>291</v>
      </c>
      <c r="G1864" s="1">
        <v>1</v>
      </c>
      <c r="H1864" s="7" t="s">
        <v>291</v>
      </c>
      <c r="I1864" s="7" t="s">
        <v>296</v>
      </c>
      <c r="J1864" s="1">
        <v>1</v>
      </c>
      <c r="K1864" s="1">
        <v>6</v>
      </c>
      <c r="L1864" s="67">
        <f t="shared" si="59"/>
        <v>1</v>
      </c>
    </row>
    <row r="1865" spans="1:12" x14ac:dyDescent="0.2">
      <c r="A1865">
        <v>1864</v>
      </c>
      <c r="B1865" s="7" t="s">
        <v>372</v>
      </c>
      <c r="C1865" t="s">
        <v>1316</v>
      </c>
      <c r="D1865" s="65" t="str">
        <f t="shared" si="58"/>
        <v>Y</v>
      </c>
      <c r="E1865" t="s">
        <v>1313</v>
      </c>
      <c r="F1865" s="7" t="s">
        <v>291</v>
      </c>
      <c r="G1865" s="1">
        <v>1</v>
      </c>
      <c r="H1865" s="7" t="s">
        <v>300</v>
      </c>
      <c r="I1865" s="7" t="s">
        <v>296</v>
      </c>
      <c r="J1865" s="1">
        <v>2</v>
      </c>
      <c r="K1865" s="1">
        <v>6</v>
      </c>
      <c r="L1865" s="67">
        <f t="shared" si="59"/>
        <v>0</v>
      </c>
    </row>
    <row r="1866" spans="1:12" x14ac:dyDescent="0.2">
      <c r="A1866">
        <v>1865</v>
      </c>
      <c r="B1866" s="7" t="s">
        <v>356</v>
      </c>
      <c r="C1866" t="s">
        <v>1316</v>
      </c>
      <c r="D1866" s="65" t="str">
        <f t="shared" si="58"/>
        <v>Y</v>
      </c>
      <c r="E1866" t="s">
        <v>1313</v>
      </c>
      <c r="F1866" s="7" t="s">
        <v>291</v>
      </c>
      <c r="G1866" s="1">
        <v>1</v>
      </c>
      <c r="H1866" s="7" t="s">
        <v>291</v>
      </c>
      <c r="I1866" s="7" t="s">
        <v>292</v>
      </c>
      <c r="J1866" s="1">
        <v>1</v>
      </c>
      <c r="K1866" s="1">
        <v>5</v>
      </c>
      <c r="L1866" s="67">
        <f t="shared" si="59"/>
        <v>1</v>
      </c>
    </row>
    <row r="1867" spans="1:12" x14ac:dyDescent="0.2">
      <c r="A1867">
        <v>1866</v>
      </c>
      <c r="B1867" s="7" t="s">
        <v>372</v>
      </c>
      <c r="C1867" t="s">
        <v>1316</v>
      </c>
      <c r="D1867" s="65" t="str">
        <f t="shared" si="58"/>
        <v>Y</v>
      </c>
      <c r="E1867" t="s">
        <v>1313</v>
      </c>
      <c r="F1867" s="7" t="s">
        <v>291</v>
      </c>
      <c r="G1867" s="1">
        <v>1</v>
      </c>
      <c r="H1867" s="7" t="s">
        <v>291</v>
      </c>
      <c r="I1867" s="7" t="s">
        <v>294</v>
      </c>
      <c r="J1867" s="1">
        <v>1</v>
      </c>
      <c r="K1867" s="1">
        <v>7</v>
      </c>
      <c r="L1867" s="67">
        <f t="shared" si="59"/>
        <v>1</v>
      </c>
    </row>
    <row r="1868" spans="1:12" x14ac:dyDescent="0.2">
      <c r="A1868">
        <v>1867</v>
      </c>
      <c r="B1868" s="7" t="s">
        <v>372</v>
      </c>
      <c r="C1868" t="s">
        <v>1316</v>
      </c>
      <c r="D1868" s="65" t="str">
        <f t="shared" si="58"/>
        <v>Y</v>
      </c>
      <c r="E1868" t="s">
        <v>1313</v>
      </c>
      <c r="F1868" s="7" t="s">
        <v>291</v>
      </c>
      <c r="G1868" s="1">
        <v>1</v>
      </c>
      <c r="H1868" s="7" t="s">
        <v>291</v>
      </c>
      <c r="I1868" s="7" t="s">
        <v>294</v>
      </c>
      <c r="J1868" s="1">
        <v>1</v>
      </c>
      <c r="K1868" s="1">
        <v>7</v>
      </c>
      <c r="L1868" s="67">
        <f t="shared" si="59"/>
        <v>1</v>
      </c>
    </row>
    <row r="1869" spans="1:12" x14ac:dyDescent="0.2">
      <c r="A1869">
        <v>1868</v>
      </c>
      <c r="B1869" s="7" t="s">
        <v>356</v>
      </c>
      <c r="C1869" t="s">
        <v>1316</v>
      </c>
      <c r="D1869" s="65" t="str">
        <f t="shared" si="58"/>
        <v>Y</v>
      </c>
      <c r="E1869" t="s">
        <v>1313</v>
      </c>
      <c r="F1869" s="7" t="s">
        <v>291</v>
      </c>
      <c r="G1869" s="1">
        <v>1</v>
      </c>
      <c r="H1869" s="7" t="s">
        <v>291</v>
      </c>
      <c r="I1869" s="7" t="s">
        <v>296</v>
      </c>
      <c r="J1869" s="1">
        <v>1</v>
      </c>
      <c r="K1869" s="1">
        <v>6</v>
      </c>
      <c r="L1869" s="67">
        <f t="shared" si="59"/>
        <v>1</v>
      </c>
    </row>
    <row r="1870" spans="1:12" x14ac:dyDescent="0.2">
      <c r="A1870">
        <v>1869</v>
      </c>
      <c r="B1870" s="7" t="s">
        <v>372</v>
      </c>
      <c r="C1870" t="s">
        <v>1316</v>
      </c>
      <c r="D1870" s="65" t="str">
        <f t="shared" si="58"/>
        <v>Y</v>
      </c>
      <c r="E1870" t="s">
        <v>1313</v>
      </c>
      <c r="F1870" s="7" t="s">
        <v>291</v>
      </c>
      <c r="G1870" s="1">
        <v>1</v>
      </c>
      <c r="H1870" s="7" t="s">
        <v>291</v>
      </c>
      <c r="I1870" s="7" t="s">
        <v>296</v>
      </c>
      <c r="J1870" s="1">
        <v>1</v>
      </c>
      <c r="K1870" s="1">
        <v>6</v>
      </c>
      <c r="L1870" s="67">
        <f t="shared" si="59"/>
        <v>1</v>
      </c>
    </row>
    <row r="1871" spans="1:12" x14ac:dyDescent="0.2">
      <c r="A1871">
        <v>1870</v>
      </c>
      <c r="B1871" s="7" t="s">
        <v>356</v>
      </c>
      <c r="C1871" t="s">
        <v>1316</v>
      </c>
      <c r="D1871" s="65" t="str">
        <f t="shared" si="58"/>
        <v>Y</v>
      </c>
      <c r="E1871" t="s">
        <v>1313</v>
      </c>
      <c r="F1871" s="7" t="s">
        <v>291</v>
      </c>
      <c r="G1871" s="1">
        <v>1</v>
      </c>
      <c r="H1871" s="7" t="s">
        <v>291</v>
      </c>
      <c r="I1871" s="7" t="s">
        <v>294</v>
      </c>
      <c r="J1871" s="1">
        <v>1</v>
      </c>
      <c r="K1871" s="1">
        <v>7</v>
      </c>
      <c r="L1871" s="67">
        <f t="shared" si="59"/>
        <v>1</v>
      </c>
    </row>
    <row r="1872" spans="1:12" x14ac:dyDescent="0.2">
      <c r="A1872">
        <v>1871</v>
      </c>
      <c r="B1872" s="7" t="s">
        <v>356</v>
      </c>
      <c r="C1872" t="s">
        <v>1316</v>
      </c>
      <c r="D1872" s="65" t="str">
        <f t="shared" si="58"/>
        <v>Y</v>
      </c>
      <c r="E1872" t="s">
        <v>1313</v>
      </c>
      <c r="F1872" s="7" t="s">
        <v>291</v>
      </c>
      <c r="G1872" s="1">
        <v>1</v>
      </c>
      <c r="H1872" s="7" t="s">
        <v>291</v>
      </c>
      <c r="I1872" s="7" t="s">
        <v>296</v>
      </c>
      <c r="J1872" s="1">
        <v>1</v>
      </c>
      <c r="K1872" s="1">
        <v>6</v>
      </c>
      <c r="L1872" s="67">
        <f t="shared" si="59"/>
        <v>1</v>
      </c>
    </row>
    <row r="1873" spans="1:12" x14ac:dyDescent="0.2">
      <c r="A1873">
        <v>1872</v>
      </c>
      <c r="B1873" s="7" t="s">
        <v>372</v>
      </c>
      <c r="C1873" t="s">
        <v>1316</v>
      </c>
      <c r="D1873" s="65" t="str">
        <f t="shared" si="58"/>
        <v>Y</v>
      </c>
      <c r="E1873" t="s">
        <v>1313</v>
      </c>
      <c r="F1873" s="7" t="s">
        <v>291</v>
      </c>
      <c r="G1873" s="1">
        <v>1</v>
      </c>
      <c r="H1873" s="7" t="s">
        <v>291</v>
      </c>
      <c r="I1873" s="7" t="s">
        <v>292</v>
      </c>
      <c r="J1873" s="1">
        <v>1</v>
      </c>
      <c r="K1873" s="1">
        <v>5</v>
      </c>
      <c r="L1873" s="67">
        <f t="shared" si="59"/>
        <v>1</v>
      </c>
    </row>
    <row r="1874" spans="1:12" x14ac:dyDescent="0.2">
      <c r="A1874">
        <v>1873</v>
      </c>
      <c r="B1874" s="7" t="s">
        <v>356</v>
      </c>
      <c r="C1874" t="s">
        <v>1316</v>
      </c>
      <c r="D1874" s="65" t="str">
        <f t="shared" si="58"/>
        <v>Y</v>
      </c>
      <c r="E1874" t="s">
        <v>1313</v>
      </c>
      <c r="F1874" s="7" t="s">
        <v>291</v>
      </c>
      <c r="G1874" s="1">
        <v>1</v>
      </c>
      <c r="H1874" s="7" t="s">
        <v>291</v>
      </c>
      <c r="I1874" s="7" t="s">
        <v>296</v>
      </c>
      <c r="J1874" s="1">
        <v>1</v>
      </c>
      <c r="K1874" s="1">
        <v>6</v>
      </c>
      <c r="L1874" s="67">
        <f t="shared" si="59"/>
        <v>1</v>
      </c>
    </row>
    <row r="1875" spans="1:12" x14ac:dyDescent="0.2">
      <c r="A1875">
        <v>1874</v>
      </c>
      <c r="B1875" s="7" t="s">
        <v>372</v>
      </c>
      <c r="C1875" t="s">
        <v>1316</v>
      </c>
      <c r="D1875" s="65" t="str">
        <f t="shared" si="58"/>
        <v>Y</v>
      </c>
      <c r="E1875" t="s">
        <v>1313</v>
      </c>
      <c r="F1875" s="7" t="s">
        <v>291</v>
      </c>
      <c r="G1875" s="1">
        <v>1</v>
      </c>
      <c r="H1875" s="7" t="s">
        <v>291</v>
      </c>
      <c r="I1875" s="7" t="s">
        <v>296</v>
      </c>
      <c r="J1875" s="1">
        <v>1</v>
      </c>
      <c r="K1875" s="1">
        <v>6</v>
      </c>
      <c r="L1875" s="67">
        <f t="shared" si="59"/>
        <v>1</v>
      </c>
    </row>
    <row r="1876" spans="1:12" x14ac:dyDescent="0.2">
      <c r="A1876">
        <v>1875</v>
      </c>
      <c r="B1876" s="7" t="s">
        <v>356</v>
      </c>
      <c r="C1876" t="s">
        <v>1316</v>
      </c>
      <c r="D1876" s="65" t="str">
        <f t="shared" si="58"/>
        <v>Y</v>
      </c>
      <c r="E1876" t="s">
        <v>1313</v>
      </c>
      <c r="F1876" s="7" t="s">
        <v>291</v>
      </c>
      <c r="G1876" s="1">
        <v>1</v>
      </c>
      <c r="H1876" s="7" t="s">
        <v>291</v>
      </c>
      <c r="I1876" s="7" t="s">
        <v>292</v>
      </c>
      <c r="J1876" s="1">
        <v>1</v>
      </c>
      <c r="K1876" s="1">
        <v>5</v>
      </c>
      <c r="L1876" s="67">
        <f t="shared" si="59"/>
        <v>1</v>
      </c>
    </row>
    <row r="1877" spans="1:12" x14ac:dyDescent="0.2">
      <c r="A1877">
        <v>1876</v>
      </c>
      <c r="B1877" s="7" t="s">
        <v>372</v>
      </c>
      <c r="C1877" t="s">
        <v>1316</v>
      </c>
      <c r="D1877" s="65" t="str">
        <f t="shared" si="58"/>
        <v>Y</v>
      </c>
      <c r="E1877" t="s">
        <v>1313</v>
      </c>
      <c r="F1877" s="7" t="s">
        <v>291</v>
      </c>
      <c r="G1877" s="1">
        <v>1</v>
      </c>
      <c r="H1877" s="7" t="s">
        <v>291</v>
      </c>
      <c r="I1877" s="7" t="s">
        <v>294</v>
      </c>
      <c r="J1877" s="1">
        <v>1</v>
      </c>
      <c r="K1877" s="1">
        <v>7</v>
      </c>
      <c r="L1877" s="67">
        <f t="shared" si="59"/>
        <v>1</v>
      </c>
    </row>
    <row r="1878" spans="1:12" x14ac:dyDescent="0.2">
      <c r="A1878">
        <v>1877</v>
      </c>
      <c r="B1878" s="7" t="s">
        <v>356</v>
      </c>
      <c r="C1878" t="s">
        <v>1316</v>
      </c>
      <c r="D1878" s="65" t="str">
        <f t="shared" si="58"/>
        <v>Y</v>
      </c>
      <c r="E1878" t="s">
        <v>1313</v>
      </c>
      <c r="F1878" s="7" t="s">
        <v>291</v>
      </c>
      <c r="G1878" s="1">
        <v>1</v>
      </c>
      <c r="H1878" s="7" t="s">
        <v>291</v>
      </c>
      <c r="I1878" s="7" t="s">
        <v>294</v>
      </c>
      <c r="J1878" s="1">
        <v>1</v>
      </c>
      <c r="K1878" s="1">
        <v>7</v>
      </c>
      <c r="L1878" s="67">
        <f t="shared" si="59"/>
        <v>1</v>
      </c>
    </row>
    <row r="1879" spans="1:12" x14ac:dyDescent="0.2">
      <c r="A1879">
        <v>1878</v>
      </c>
      <c r="B1879" s="7" t="s">
        <v>372</v>
      </c>
      <c r="C1879" t="s">
        <v>1316</v>
      </c>
      <c r="D1879" s="65" t="str">
        <f t="shared" si="58"/>
        <v>Y</v>
      </c>
      <c r="E1879" t="s">
        <v>1313</v>
      </c>
      <c r="F1879" s="7" t="s">
        <v>291</v>
      </c>
      <c r="G1879" s="1">
        <v>1</v>
      </c>
      <c r="H1879" s="7" t="s">
        <v>291</v>
      </c>
      <c r="I1879" s="7" t="s">
        <v>296</v>
      </c>
      <c r="J1879" s="1">
        <v>1</v>
      </c>
      <c r="K1879" s="1">
        <v>6</v>
      </c>
      <c r="L1879" s="67">
        <f t="shared" si="59"/>
        <v>1</v>
      </c>
    </row>
    <row r="1880" spans="1:12" x14ac:dyDescent="0.2">
      <c r="A1880">
        <v>1879</v>
      </c>
      <c r="B1880" s="7" t="s">
        <v>372</v>
      </c>
      <c r="C1880" t="s">
        <v>1316</v>
      </c>
      <c r="D1880" s="65" t="str">
        <f t="shared" si="58"/>
        <v>Y</v>
      </c>
      <c r="E1880" t="s">
        <v>1313</v>
      </c>
      <c r="F1880" s="7" t="s">
        <v>291</v>
      </c>
      <c r="G1880" s="1">
        <v>1</v>
      </c>
      <c r="H1880" s="7" t="s">
        <v>291</v>
      </c>
      <c r="I1880" s="7" t="s">
        <v>294</v>
      </c>
      <c r="J1880" s="1">
        <v>1</v>
      </c>
      <c r="K1880" s="1">
        <v>7</v>
      </c>
      <c r="L1880" s="67">
        <f t="shared" si="59"/>
        <v>1</v>
      </c>
    </row>
    <row r="1881" spans="1:12" x14ac:dyDescent="0.2">
      <c r="A1881">
        <v>1880</v>
      </c>
      <c r="B1881" s="7" t="s">
        <v>356</v>
      </c>
      <c r="C1881" t="s">
        <v>1316</v>
      </c>
      <c r="D1881" s="65" t="str">
        <f t="shared" si="58"/>
        <v>Y</v>
      </c>
      <c r="E1881" t="s">
        <v>1313</v>
      </c>
      <c r="F1881" s="7" t="s">
        <v>291</v>
      </c>
      <c r="G1881" s="1">
        <v>1</v>
      </c>
      <c r="H1881" s="7" t="s">
        <v>291</v>
      </c>
      <c r="I1881" s="7" t="s">
        <v>294</v>
      </c>
      <c r="J1881" s="1">
        <v>1</v>
      </c>
      <c r="K1881" s="1">
        <v>7</v>
      </c>
      <c r="L1881" s="67">
        <f t="shared" si="59"/>
        <v>1</v>
      </c>
    </row>
    <row r="1882" spans="1:12" x14ac:dyDescent="0.2">
      <c r="A1882">
        <v>1881</v>
      </c>
      <c r="B1882" s="7" t="s">
        <v>356</v>
      </c>
      <c r="C1882" t="s">
        <v>1316</v>
      </c>
      <c r="D1882" s="65" t="str">
        <f t="shared" si="58"/>
        <v>Y</v>
      </c>
      <c r="E1882" t="s">
        <v>1313</v>
      </c>
      <c r="F1882" s="7" t="s">
        <v>291</v>
      </c>
      <c r="G1882" s="1">
        <v>1</v>
      </c>
      <c r="H1882" s="7" t="s">
        <v>291</v>
      </c>
      <c r="I1882" s="7" t="s">
        <v>294</v>
      </c>
      <c r="J1882" s="1">
        <v>1</v>
      </c>
      <c r="K1882" s="1">
        <v>7</v>
      </c>
      <c r="L1882" s="67">
        <f t="shared" si="59"/>
        <v>1</v>
      </c>
    </row>
    <row r="1883" spans="1:12" x14ac:dyDescent="0.2">
      <c r="A1883">
        <v>1882</v>
      </c>
      <c r="B1883" s="7" t="s">
        <v>372</v>
      </c>
      <c r="C1883" t="s">
        <v>1316</v>
      </c>
      <c r="D1883" s="65" t="str">
        <f t="shared" si="58"/>
        <v>Y</v>
      </c>
      <c r="E1883" t="s">
        <v>1313</v>
      </c>
      <c r="F1883" s="7" t="s">
        <v>291</v>
      </c>
      <c r="G1883" s="1">
        <v>1</v>
      </c>
      <c r="H1883" s="7" t="s">
        <v>301</v>
      </c>
      <c r="I1883" s="7" t="s">
        <v>296</v>
      </c>
      <c r="J1883" s="1">
        <v>5</v>
      </c>
      <c r="K1883" s="1">
        <v>6</v>
      </c>
      <c r="L1883" s="67">
        <f t="shared" si="59"/>
        <v>0</v>
      </c>
    </row>
    <row r="1884" spans="1:12" x14ac:dyDescent="0.2">
      <c r="A1884">
        <v>1883</v>
      </c>
      <c r="B1884" s="7" t="s">
        <v>372</v>
      </c>
      <c r="C1884" t="s">
        <v>1316</v>
      </c>
      <c r="D1884" s="65" t="str">
        <f t="shared" si="58"/>
        <v>Y</v>
      </c>
      <c r="E1884" t="s">
        <v>1313</v>
      </c>
      <c r="F1884" s="7" t="s">
        <v>291</v>
      </c>
      <c r="G1884" s="1">
        <v>1</v>
      </c>
      <c r="H1884" s="7" t="s">
        <v>291</v>
      </c>
      <c r="I1884" s="7" t="s">
        <v>294</v>
      </c>
      <c r="J1884" s="1">
        <v>1</v>
      </c>
      <c r="K1884" s="1">
        <v>7</v>
      </c>
      <c r="L1884" s="67">
        <f t="shared" si="59"/>
        <v>1</v>
      </c>
    </row>
    <row r="1885" spans="1:12" x14ac:dyDescent="0.2">
      <c r="A1885">
        <v>1884</v>
      </c>
      <c r="B1885" s="7" t="s">
        <v>356</v>
      </c>
      <c r="C1885" t="s">
        <v>1316</v>
      </c>
      <c r="D1885" s="65" t="str">
        <f t="shared" si="58"/>
        <v>Y</v>
      </c>
      <c r="E1885" t="s">
        <v>1313</v>
      </c>
      <c r="F1885" s="7" t="s">
        <v>291</v>
      </c>
      <c r="G1885" s="1">
        <v>1</v>
      </c>
      <c r="H1885" s="7" t="s">
        <v>291</v>
      </c>
      <c r="I1885" s="7" t="s">
        <v>296</v>
      </c>
      <c r="J1885" s="1">
        <v>1</v>
      </c>
      <c r="K1885" s="1">
        <v>6</v>
      </c>
      <c r="L1885" s="67">
        <f t="shared" si="59"/>
        <v>1</v>
      </c>
    </row>
    <row r="1886" spans="1:12" x14ac:dyDescent="0.2">
      <c r="A1886">
        <v>1885</v>
      </c>
      <c r="B1886" s="7" t="s">
        <v>372</v>
      </c>
      <c r="C1886" t="s">
        <v>1316</v>
      </c>
      <c r="D1886" s="65" t="str">
        <f t="shared" si="58"/>
        <v>Y</v>
      </c>
      <c r="E1886" t="s">
        <v>1313</v>
      </c>
      <c r="F1886" s="7" t="s">
        <v>291</v>
      </c>
      <c r="G1886" s="1">
        <v>1</v>
      </c>
      <c r="H1886" s="7" t="s">
        <v>291</v>
      </c>
      <c r="I1886" s="7" t="s">
        <v>296</v>
      </c>
      <c r="J1886" s="1">
        <v>1</v>
      </c>
      <c r="K1886" s="1">
        <v>6</v>
      </c>
      <c r="L1886" s="67">
        <f t="shared" si="59"/>
        <v>1</v>
      </c>
    </row>
    <row r="1887" spans="1:12" x14ac:dyDescent="0.2">
      <c r="A1887">
        <v>1886</v>
      </c>
      <c r="B1887" s="7" t="s">
        <v>356</v>
      </c>
      <c r="C1887" t="s">
        <v>1316</v>
      </c>
      <c r="D1887" s="65" t="str">
        <f t="shared" si="58"/>
        <v>Y</v>
      </c>
      <c r="E1887" t="s">
        <v>1313</v>
      </c>
      <c r="F1887" s="7" t="s">
        <v>291</v>
      </c>
      <c r="G1887" s="1">
        <v>1</v>
      </c>
      <c r="H1887" s="7" t="s">
        <v>291</v>
      </c>
      <c r="I1887" s="7" t="s">
        <v>294</v>
      </c>
      <c r="J1887" s="1">
        <v>1</v>
      </c>
      <c r="K1887" s="1">
        <v>7</v>
      </c>
      <c r="L1887" s="67">
        <f t="shared" si="59"/>
        <v>1</v>
      </c>
    </row>
    <row r="1888" spans="1:12" x14ac:dyDescent="0.2">
      <c r="A1888">
        <v>1887</v>
      </c>
      <c r="B1888" s="7" t="s">
        <v>356</v>
      </c>
      <c r="C1888" t="s">
        <v>1316</v>
      </c>
      <c r="D1888" s="65" t="str">
        <f t="shared" si="58"/>
        <v>Y</v>
      </c>
      <c r="E1888" t="s">
        <v>1313</v>
      </c>
      <c r="F1888" s="7" t="s">
        <v>291</v>
      </c>
      <c r="G1888" s="1">
        <v>1</v>
      </c>
      <c r="H1888" s="7" t="s">
        <v>291</v>
      </c>
      <c r="I1888" s="7" t="s">
        <v>296</v>
      </c>
      <c r="J1888" s="1">
        <v>1</v>
      </c>
      <c r="K1888" s="1">
        <v>6</v>
      </c>
      <c r="L1888" s="67">
        <f t="shared" si="59"/>
        <v>1</v>
      </c>
    </row>
    <row r="1889" spans="1:12" x14ac:dyDescent="0.2">
      <c r="A1889">
        <v>1888</v>
      </c>
      <c r="B1889" s="7" t="s">
        <v>372</v>
      </c>
      <c r="C1889" t="s">
        <v>1316</v>
      </c>
      <c r="D1889" s="65" t="str">
        <f t="shared" si="58"/>
        <v>Y</v>
      </c>
      <c r="E1889" t="s">
        <v>1313</v>
      </c>
      <c r="F1889" s="7" t="s">
        <v>291</v>
      </c>
      <c r="G1889" s="1">
        <v>1</v>
      </c>
      <c r="H1889" s="7" t="s">
        <v>291</v>
      </c>
      <c r="I1889" s="7" t="s">
        <v>294</v>
      </c>
      <c r="J1889" s="1">
        <v>1</v>
      </c>
      <c r="K1889" s="1">
        <v>7</v>
      </c>
      <c r="L1889" s="67">
        <f t="shared" si="59"/>
        <v>1</v>
      </c>
    </row>
    <row r="1890" spans="1:12" x14ac:dyDescent="0.2">
      <c r="A1890">
        <v>1889</v>
      </c>
      <c r="B1890" s="7" t="s">
        <v>372</v>
      </c>
      <c r="C1890" t="s">
        <v>1316</v>
      </c>
      <c r="D1890" s="65" t="str">
        <f t="shared" si="58"/>
        <v>Y</v>
      </c>
      <c r="E1890" t="s">
        <v>1313</v>
      </c>
      <c r="F1890" s="7" t="s">
        <v>291</v>
      </c>
      <c r="G1890" s="1">
        <v>1</v>
      </c>
      <c r="H1890" s="7" t="s">
        <v>291</v>
      </c>
      <c r="I1890" s="7" t="s">
        <v>294</v>
      </c>
      <c r="J1890" s="1">
        <v>1</v>
      </c>
      <c r="K1890" s="1">
        <v>7</v>
      </c>
      <c r="L1890" s="67">
        <f t="shared" si="59"/>
        <v>1</v>
      </c>
    </row>
    <row r="1891" spans="1:12" x14ac:dyDescent="0.2">
      <c r="A1891">
        <v>1890</v>
      </c>
      <c r="B1891" s="7" t="s">
        <v>356</v>
      </c>
      <c r="C1891" t="s">
        <v>1316</v>
      </c>
      <c r="D1891" s="65" t="str">
        <f t="shared" si="58"/>
        <v>Y</v>
      </c>
      <c r="E1891" t="s">
        <v>1313</v>
      </c>
      <c r="F1891" s="7" t="s">
        <v>291</v>
      </c>
      <c r="G1891" s="1">
        <v>1</v>
      </c>
      <c r="H1891" s="7" t="s">
        <v>291</v>
      </c>
      <c r="I1891" s="7" t="s">
        <v>292</v>
      </c>
      <c r="J1891" s="1">
        <v>1</v>
      </c>
      <c r="K1891" s="1">
        <v>5</v>
      </c>
      <c r="L1891" s="67">
        <f t="shared" si="59"/>
        <v>1</v>
      </c>
    </row>
    <row r="1892" spans="1:12" x14ac:dyDescent="0.2">
      <c r="A1892">
        <v>1891</v>
      </c>
      <c r="B1892" s="7" t="s">
        <v>356</v>
      </c>
      <c r="C1892" t="s">
        <v>1316</v>
      </c>
      <c r="D1892" s="65" t="str">
        <f t="shared" si="58"/>
        <v>Y</v>
      </c>
      <c r="E1892" t="s">
        <v>1313</v>
      </c>
      <c r="F1892" s="7" t="s">
        <v>291</v>
      </c>
      <c r="G1892" s="1">
        <v>1</v>
      </c>
      <c r="H1892" s="7" t="s">
        <v>291</v>
      </c>
      <c r="I1892" s="7" t="s">
        <v>292</v>
      </c>
      <c r="J1892" s="1">
        <v>1</v>
      </c>
      <c r="K1892" s="1">
        <v>5</v>
      </c>
      <c r="L1892" s="67">
        <f t="shared" si="59"/>
        <v>1</v>
      </c>
    </row>
    <row r="1893" spans="1:12" x14ac:dyDescent="0.2">
      <c r="A1893">
        <v>1892</v>
      </c>
      <c r="B1893" s="7" t="s">
        <v>372</v>
      </c>
      <c r="C1893" t="s">
        <v>1316</v>
      </c>
      <c r="D1893" s="65" t="str">
        <f t="shared" si="58"/>
        <v>Y</v>
      </c>
      <c r="E1893" t="s">
        <v>1313</v>
      </c>
      <c r="F1893" s="7" t="s">
        <v>291</v>
      </c>
      <c r="G1893" s="1">
        <v>1</v>
      </c>
      <c r="H1893" s="7" t="s">
        <v>291</v>
      </c>
      <c r="I1893" s="7" t="s">
        <v>292</v>
      </c>
      <c r="J1893" s="1">
        <v>1</v>
      </c>
      <c r="K1893" s="1">
        <v>5</v>
      </c>
      <c r="L1893" s="67">
        <f t="shared" si="59"/>
        <v>1</v>
      </c>
    </row>
    <row r="1894" spans="1:12" x14ac:dyDescent="0.2">
      <c r="A1894">
        <v>1893</v>
      </c>
      <c r="B1894" s="7" t="s">
        <v>356</v>
      </c>
      <c r="C1894" t="s">
        <v>1316</v>
      </c>
      <c r="D1894" s="65" t="str">
        <f t="shared" si="58"/>
        <v>Y</v>
      </c>
      <c r="E1894" t="s">
        <v>1313</v>
      </c>
      <c r="F1894" s="7" t="s">
        <v>291</v>
      </c>
      <c r="G1894" s="1">
        <v>1</v>
      </c>
      <c r="H1894" s="7" t="s">
        <v>291</v>
      </c>
      <c r="I1894" s="7" t="s">
        <v>292</v>
      </c>
      <c r="J1894" s="1">
        <v>1</v>
      </c>
      <c r="K1894" s="1">
        <v>5</v>
      </c>
      <c r="L1894" s="67">
        <f t="shared" si="59"/>
        <v>1</v>
      </c>
    </row>
    <row r="1895" spans="1:12" x14ac:dyDescent="0.2">
      <c r="A1895">
        <v>1894</v>
      </c>
      <c r="B1895" s="7" t="s">
        <v>372</v>
      </c>
      <c r="C1895" t="s">
        <v>1316</v>
      </c>
      <c r="D1895" s="65" t="str">
        <f t="shared" si="58"/>
        <v>Y</v>
      </c>
      <c r="E1895" t="s">
        <v>1313</v>
      </c>
      <c r="F1895" s="7" t="s">
        <v>291</v>
      </c>
      <c r="G1895" s="1">
        <v>1</v>
      </c>
      <c r="H1895" s="7" t="s">
        <v>291</v>
      </c>
      <c r="I1895" s="7" t="s">
        <v>296</v>
      </c>
      <c r="J1895" s="1">
        <v>1</v>
      </c>
      <c r="K1895" s="1">
        <v>6</v>
      </c>
      <c r="L1895" s="67">
        <f t="shared" si="59"/>
        <v>1</v>
      </c>
    </row>
    <row r="1896" spans="1:12" x14ac:dyDescent="0.2">
      <c r="A1896">
        <v>1895</v>
      </c>
      <c r="B1896" s="7" t="s">
        <v>356</v>
      </c>
      <c r="C1896" t="s">
        <v>1316</v>
      </c>
      <c r="D1896" s="65" t="str">
        <f t="shared" si="58"/>
        <v>Y</v>
      </c>
      <c r="E1896" t="s">
        <v>1313</v>
      </c>
      <c r="F1896" s="7" t="s">
        <v>291</v>
      </c>
      <c r="G1896" s="1">
        <v>1</v>
      </c>
      <c r="H1896" s="7" t="s">
        <v>291</v>
      </c>
      <c r="I1896" s="7" t="s">
        <v>296</v>
      </c>
      <c r="J1896" s="1">
        <v>1</v>
      </c>
      <c r="K1896" s="1">
        <v>6</v>
      </c>
      <c r="L1896" s="67">
        <f t="shared" si="59"/>
        <v>1</v>
      </c>
    </row>
    <row r="1897" spans="1:12" x14ac:dyDescent="0.2">
      <c r="A1897">
        <v>1896</v>
      </c>
      <c r="B1897" s="7" t="s">
        <v>372</v>
      </c>
      <c r="C1897" t="s">
        <v>1316</v>
      </c>
      <c r="D1897" s="65" t="str">
        <f t="shared" si="58"/>
        <v>Y</v>
      </c>
      <c r="E1897" t="s">
        <v>1313</v>
      </c>
      <c r="F1897" s="7" t="s">
        <v>291</v>
      </c>
      <c r="G1897" s="1">
        <v>1</v>
      </c>
      <c r="H1897" s="7" t="s">
        <v>291</v>
      </c>
      <c r="I1897" s="7" t="s">
        <v>296</v>
      </c>
      <c r="J1897" s="1">
        <v>1</v>
      </c>
      <c r="K1897" s="1">
        <v>6</v>
      </c>
      <c r="L1897" s="67">
        <f t="shared" si="59"/>
        <v>1</v>
      </c>
    </row>
    <row r="1898" spans="1:12" x14ac:dyDescent="0.2">
      <c r="A1898">
        <v>1897</v>
      </c>
      <c r="B1898" s="7" t="s">
        <v>356</v>
      </c>
      <c r="C1898" t="s">
        <v>1316</v>
      </c>
      <c r="D1898" s="65" t="str">
        <f t="shared" si="58"/>
        <v>Y</v>
      </c>
      <c r="E1898" t="s">
        <v>1313</v>
      </c>
      <c r="F1898" s="7" t="s">
        <v>300</v>
      </c>
      <c r="G1898" s="1">
        <v>2</v>
      </c>
      <c r="H1898" s="7" t="s">
        <v>300</v>
      </c>
      <c r="I1898" s="7" t="s">
        <v>294</v>
      </c>
      <c r="J1898" s="1">
        <v>2</v>
      </c>
      <c r="K1898" s="1">
        <v>7</v>
      </c>
      <c r="L1898" s="67">
        <f t="shared" si="59"/>
        <v>1</v>
      </c>
    </row>
    <row r="1899" spans="1:12" x14ac:dyDescent="0.2">
      <c r="A1899">
        <v>1898</v>
      </c>
      <c r="B1899" s="7" t="s">
        <v>372</v>
      </c>
      <c r="C1899" t="s">
        <v>1316</v>
      </c>
      <c r="D1899" s="65" t="str">
        <f t="shared" si="58"/>
        <v>Y</v>
      </c>
      <c r="E1899" t="s">
        <v>1313</v>
      </c>
      <c r="F1899" s="7" t="s">
        <v>300</v>
      </c>
      <c r="G1899" s="1">
        <v>2</v>
      </c>
      <c r="H1899" s="7" t="s">
        <v>300</v>
      </c>
      <c r="I1899" s="7" t="s">
        <v>296</v>
      </c>
      <c r="J1899" s="1">
        <v>2</v>
      </c>
      <c r="K1899" s="1">
        <v>6</v>
      </c>
      <c r="L1899" s="67">
        <f t="shared" si="59"/>
        <v>1</v>
      </c>
    </row>
    <row r="1900" spans="1:12" x14ac:dyDescent="0.2">
      <c r="A1900">
        <v>1899</v>
      </c>
      <c r="B1900" s="7" t="s">
        <v>372</v>
      </c>
      <c r="C1900" t="s">
        <v>1316</v>
      </c>
      <c r="D1900" s="65" t="str">
        <f t="shared" si="58"/>
        <v>Y</v>
      </c>
      <c r="E1900" t="s">
        <v>1313</v>
      </c>
      <c r="F1900" s="7" t="s">
        <v>300</v>
      </c>
      <c r="G1900" s="1">
        <v>2</v>
      </c>
      <c r="H1900" s="7" t="s">
        <v>300</v>
      </c>
      <c r="I1900" s="7" t="s">
        <v>294</v>
      </c>
      <c r="J1900" s="1">
        <v>2</v>
      </c>
      <c r="K1900" s="1">
        <v>7</v>
      </c>
      <c r="L1900" s="67">
        <f t="shared" si="59"/>
        <v>1</v>
      </c>
    </row>
    <row r="1901" spans="1:12" x14ac:dyDescent="0.2">
      <c r="A1901">
        <v>1900</v>
      </c>
      <c r="B1901" s="7" t="s">
        <v>356</v>
      </c>
      <c r="C1901" t="s">
        <v>1316</v>
      </c>
      <c r="D1901" s="65" t="str">
        <f t="shared" si="58"/>
        <v>Y</v>
      </c>
      <c r="E1901" t="s">
        <v>1313</v>
      </c>
      <c r="F1901" s="7" t="s">
        <v>300</v>
      </c>
      <c r="G1901" s="1">
        <v>2</v>
      </c>
      <c r="H1901" s="7" t="s">
        <v>291</v>
      </c>
      <c r="I1901" s="7" t="s">
        <v>292</v>
      </c>
      <c r="J1901" s="1">
        <v>1</v>
      </c>
      <c r="K1901" s="1">
        <v>5</v>
      </c>
      <c r="L1901" s="67">
        <f t="shared" si="59"/>
        <v>0</v>
      </c>
    </row>
    <row r="1902" spans="1:12" x14ac:dyDescent="0.2">
      <c r="A1902">
        <v>1901</v>
      </c>
      <c r="B1902" s="7" t="s">
        <v>372</v>
      </c>
      <c r="C1902" t="s">
        <v>1316</v>
      </c>
      <c r="D1902" s="65" t="str">
        <f t="shared" si="58"/>
        <v>Y</v>
      </c>
      <c r="E1902" t="s">
        <v>1313</v>
      </c>
      <c r="F1902" s="7" t="s">
        <v>300</v>
      </c>
      <c r="G1902" s="1">
        <v>2</v>
      </c>
      <c r="H1902" s="7" t="s">
        <v>300</v>
      </c>
      <c r="I1902" s="7" t="s">
        <v>292</v>
      </c>
      <c r="J1902" s="1">
        <v>2</v>
      </c>
      <c r="K1902" s="1">
        <v>5</v>
      </c>
      <c r="L1902" s="67">
        <f t="shared" si="59"/>
        <v>1</v>
      </c>
    </row>
    <row r="1903" spans="1:12" x14ac:dyDescent="0.2">
      <c r="A1903">
        <v>1902</v>
      </c>
      <c r="B1903" s="7" t="s">
        <v>356</v>
      </c>
      <c r="C1903" t="s">
        <v>1316</v>
      </c>
      <c r="D1903" s="65" t="str">
        <f t="shared" si="58"/>
        <v>Y</v>
      </c>
      <c r="E1903" t="s">
        <v>1313</v>
      </c>
      <c r="F1903" s="7" t="s">
        <v>300</v>
      </c>
      <c r="G1903" s="1">
        <v>2</v>
      </c>
      <c r="H1903" s="7" t="s">
        <v>300</v>
      </c>
      <c r="I1903" s="7" t="s">
        <v>294</v>
      </c>
      <c r="J1903" s="1">
        <v>2</v>
      </c>
      <c r="K1903" s="1">
        <v>7</v>
      </c>
      <c r="L1903" s="67">
        <f t="shared" si="59"/>
        <v>1</v>
      </c>
    </row>
    <row r="1904" spans="1:12" x14ac:dyDescent="0.2">
      <c r="A1904">
        <v>1903</v>
      </c>
      <c r="B1904" s="7" t="s">
        <v>372</v>
      </c>
      <c r="C1904" t="s">
        <v>1316</v>
      </c>
      <c r="D1904" s="65" t="str">
        <f t="shared" si="58"/>
        <v>Y</v>
      </c>
      <c r="E1904" t="s">
        <v>1313</v>
      </c>
      <c r="F1904" s="7" t="s">
        <v>300</v>
      </c>
      <c r="G1904" s="1">
        <v>2</v>
      </c>
      <c r="H1904" s="7" t="s">
        <v>300</v>
      </c>
      <c r="I1904" s="7" t="s">
        <v>296</v>
      </c>
      <c r="J1904" s="1">
        <v>2</v>
      </c>
      <c r="K1904" s="1">
        <v>6</v>
      </c>
      <c r="L1904" s="67">
        <f t="shared" si="59"/>
        <v>1</v>
      </c>
    </row>
    <row r="1905" spans="1:12" x14ac:dyDescent="0.2">
      <c r="A1905">
        <v>1904</v>
      </c>
      <c r="B1905" s="7" t="s">
        <v>356</v>
      </c>
      <c r="C1905" t="s">
        <v>1316</v>
      </c>
      <c r="D1905" s="65" t="str">
        <f t="shared" si="58"/>
        <v>Y</v>
      </c>
      <c r="E1905" t="s">
        <v>1313</v>
      </c>
      <c r="F1905" s="7" t="s">
        <v>300</v>
      </c>
      <c r="G1905" s="1">
        <v>2</v>
      </c>
      <c r="H1905" s="7" t="s">
        <v>300</v>
      </c>
      <c r="I1905" s="7" t="s">
        <v>292</v>
      </c>
      <c r="J1905" s="1">
        <v>2</v>
      </c>
      <c r="K1905" s="1">
        <v>5</v>
      </c>
      <c r="L1905" s="67">
        <f t="shared" si="59"/>
        <v>1</v>
      </c>
    </row>
    <row r="1906" spans="1:12" x14ac:dyDescent="0.2">
      <c r="A1906">
        <v>1905</v>
      </c>
      <c r="B1906" s="7" t="s">
        <v>372</v>
      </c>
      <c r="C1906" t="s">
        <v>1316</v>
      </c>
      <c r="D1906" s="65" t="str">
        <f t="shared" si="58"/>
        <v>Y</v>
      </c>
      <c r="E1906" t="s">
        <v>1313</v>
      </c>
      <c r="F1906" s="7" t="s">
        <v>300</v>
      </c>
      <c r="G1906" s="1">
        <v>2</v>
      </c>
      <c r="H1906" s="7" t="s">
        <v>301</v>
      </c>
      <c r="I1906" s="7" t="s">
        <v>292</v>
      </c>
      <c r="J1906" s="1">
        <v>5</v>
      </c>
      <c r="K1906" s="1">
        <v>5</v>
      </c>
      <c r="L1906" s="67">
        <f t="shared" si="59"/>
        <v>0</v>
      </c>
    </row>
    <row r="1907" spans="1:12" x14ac:dyDescent="0.2">
      <c r="A1907">
        <v>1906</v>
      </c>
      <c r="B1907" s="7" t="s">
        <v>356</v>
      </c>
      <c r="C1907" t="s">
        <v>1316</v>
      </c>
      <c r="D1907" s="65" t="str">
        <f t="shared" si="58"/>
        <v>Y</v>
      </c>
      <c r="E1907" t="s">
        <v>1313</v>
      </c>
      <c r="F1907" s="7" t="s">
        <v>300</v>
      </c>
      <c r="G1907" s="1">
        <v>2</v>
      </c>
      <c r="H1907" s="7" t="s">
        <v>300</v>
      </c>
      <c r="I1907" s="7" t="s">
        <v>296</v>
      </c>
      <c r="J1907" s="1">
        <v>2</v>
      </c>
      <c r="K1907" s="1">
        <v>6</v>
      </c>
      <c r="L1907" s="67">
        <f t="shared" si="59"/>
        <v>1</v>
      </c>
    </row>
    <row r="1908" spans="1:12" x14ac:dyDescent="0.2">
      <c r="A1908">
        <v>1907</v>
      </c>
      <c r="B1908" s="7" t="s">
        <v>356</v>
      </c>
      <c r="C1908" t="s">
        <v>1316</v>
      </c>
      <c r="D1908" s="65" t="str">
        <f t="shared" si="58"/>
        <v>Y</v>
      </c>
      <c r="E1908" t="s">
        <v>1313</v>
      </c>
      <c r="F1908" s="7" t="s">
        <v>300</v>
      </c>
      <c r="G1908" s="1">
        <v>2</v>
      </c>
      <c r="H1908" s="7" t="s">
        <v>300</v>
      </c>
      <c r="I1908" s="7" t="s">
        <v>294</v>
      </c>
      <c r="J1908" s="1">
        <v>2</v>
      </c>
      <c r="K1908" s="1">
        <v>7</v>
      </c>
      <c r="L1908" s="67">
        <f t="shared" si="59"/>
        <v>1</v>
      </c>
    </row>
    <row r="1909" spans="1:12" x14ac:dyDescent="0.2">
      <c r="A1909">
        <v>1908</v>
      </c>
      <c r="B1909" s="7" t="s">
        <v>372</v>
      </c>
      <c r="C1909" t="s">
        <v>1316</v>
      </c>
      <c r="D1909" s="65" t="str">
        <f t="shared" si="58"/>
        <v>Y</v>
      </c>
      <c r="E1909" t="s">
        <v>1313</v>
      </c>
      <c r="F1909" s="7" t="s">
        <v>300</v>
      </c>
      <c r="G1909" s="1">
        <v>2</v>
      </c>
      <c r="H1909" s="7" t="s">
        <v>300</v>
      </c>
      <c r="I1909" s="7" t="s">
        <v>296</v>
      </c>
      <c r="J1909" s="1">
        <v>2</v>
      </c>
      <c r="K1909" s="1">
        <v>6</v>
      </c>
      <c r="L1909" s="67">
        <f t="shared" si="59"/>
        <v>1</v>
      </c>
    </row>
    <row r="1910" spans="1:12" x14ac:dyDescent="0.2">
      <c r="A1910">
        <v>1909</v>
      </c>
      <c r="B1910" s="7" t="s">
        <v>356</v>
      </c>
      <c r="C1910" t="s">
        <v>1316</v>
      </c>
      <c r="D1910" s="65" t="str">
        <f t="shared" si="58"/>
        <v>Y</v>
      </c>
      <c r="E1910" t="s">
        <v>1313</v>
      </c>
      <c r="F1910" s="7" t="s">
        <v>300</v>
      </c>
      <c r="G1910" s="1">
        <v>2</v>
      </c>
      <c r="H1910" s="7" t="s">
        <v>301</v>
      </c>
      <c r="I1910" s="7" t="s">
        <v>294</v>
      </c>
      <c r="J1910" s="1">
        <v>5</v>
      </c>
      <c r="K1910" s="1">
        <v>7</v>
      </c>
      <c r="L1910" s="67">
        <f t="shared" si="59"/>
        <v>0</v>
      </c>
    </row>
    <row r="1911" spans="1:12" x14ac:dyDescent="0.2">
      <c r="A1911">
        <v>1910</v>
      </c>
      <c r="B1911" s="7" t="s">
        <v>372</v>
      </c>
      <c r="C1911" t="s">
        <v>1316</v>
      </c>
      <c r="D1911" s="65" t="str">
        <f t="shared" si="58"/>
        <v>Y</v>
      </c>
      <c r="E1911" t="s">
        <v>1313</v>
      </c>
      <c r="F1911" s="7" t="s">
        <v>300</v>
      </c>
      <c r="G1911" s="1">
        <v>2</v>
      </c>
      <c r="H1911" s="7" t="s">
        <v>300</v>
      </c>
      <c r="I1911" s="7" t="s">
        <v>294</v>
      </c>
      <c r="J1911" s="1">
        <v>2</v>
      </c>
      <c r="K1911" s="1">
        <v>7</v>
      </c>
      <c r="L1911" s="67">
        <f t="shared" si="59"/>
        <v>1</v>
      </c>
    </row>
    <row r="1912" spans="1:12" x14ac:dyDescent="0.2">
      <c r="A1912">
        <v>1911</v>
      </c>
      <c r="B1912" s="7" t="s">
        <v>356</v>
      </c>
      <c r="C1912" t="s">
        <v>1316</v>
      </c>
      <c r="D1912" s="65" t="str">
        <f t="shared" si="58"/>
        <v>Y</v>
      </c>
      <c r="E1912" t="s">
        <v>1313</v>
      </c>
      <c r="F1912" s="7" t="s">
        <v>300</v>
      </c>
      <c r="G1912" s="1">
        <v>2</v>
      </c>
      <c r="H1912" s="7" t="s">
        <v>300</v>
      </c>
      <c r="I1912" s="7" t="s">
        <v>294</v>
      </c>
      <c r="J1912" s="1">
        <v>2</v>
      </c>
      <c r="K1912" s="1">
        <v>7</v>
      </c>
      <c r="L1912" s="67">
        <f t="shared" si="59"/>
        <v>1</v>
      </c>
    </row>
    <row r="1913" spans="1:12" x14ac:dyDescent="0.2">
      <c r="A1913">
        <v>1912</v>
      </c>
      <c r="B1913" s="7" t="s">
        <v>372</v>
      </c>
      <c r="C1913" t="s">
        <v>1316</v>
      </c>
      <c r="D1913" s="65" t="str">
        <f t="shared" si="58"/>
        <v>Y</v>
      </c>
      <c r="E1913" t="s">
        <v>1313</v>
      </c>
      <c r="F1913" s="7" t="s">
        <v>300</v>
      </c>
      <c r="G1913" s="1">
        <v>2</v>
      </c>
      <c r="H1913" s="7" t="s">
        <v>300</v>
      </c>
      <c r="I1913" s="7" t="s">
        <v>296</v>
      </c>
      <c r="J1913" s="1">
        <v>2</v>
      </c>
      <c r="K1913" s="1">
        <v>6</v>
      </c>
      <c r="L1913" s="67">
        <f t="shared" si="59"/>
        <v>1</v>
      </c>
    </row>
    <row r="1914" spans="1:12" x14ac:dyDescent="0.2">
      <c r="A1914">
        <v>1913</v>
      </c>
      <c r="B1914" s="7" t="s">
        <v>372</v>
      </c>
      <c r="C1914" t="s">
        <v>1316</v>
      </c>
      <c r="D1914" s="65" t="str">
        <f t="shared" si="58"/>
        <v>Y</v>
      </c>
      <c r="E1914" t="s">
        <v>1313</v>
      </c>
      <c r="F1914" s="7" t="s">
        <v>300</v>
      </c>
      <c r="G1914" s="1">
        <v>2</v>
      </c>
      <c r="H1914" s="7" t="s">
        <v>300</v>
      </c>
      <c r="I1914" s="7" t="s">
        <v>296</v>
      </c>
      <c r="J1914" s="1">
        <v>2</v>
      </c>
      <c r="K1914" s="1">
        <v>6</v>
      </c>
      <c r="L1914" s="67">
        <f t="shared" si="59"/>
        <v>1</v>
      </c>
    </row>
    <row r="1915" spans="1:12" x14ac:dyDescent="0.2">
      <c r="A1915">
        <v>1914</v>
      </c>
      <c r="B1915" s="7" t="s">
        <v>356</v>
      </c>
      <c r="C1915" t="s">
        <v>1316</v>
      </c>
      <c r="D1915" s="65" t="str">
        <f t="shared" si="58"/>
        <v>Y</v>
      </c>
      <c r="E1915" t="s">
        <v>1313</v>
      </c>
      <c r="F1915" s="7" t="s">
        <v>300</v>
      </c>
      <c r="G1915" s="1">
        <v>2</v>
      </c>
      <c r="H1915" s="7" t="s">
        <v>300</v>
      </c>
      <c r="I1915" s="7" t="s">
        <v>296</v>
      </c>
      <c r="J1915" s="1">
        <v>2</v>
      </c>
      <c r="K1915" s="1">
        <v>6</v>
      </c>
      <c r="L1915" s="67">
        <f t="shared" si="59"/>
        <v>1</v>
      </c>
    </row>
    <row r="1916" spans="1:12" x14ac:dyDescent="0.2">
      <c r="A1916">
        <v>1915</v>
      </c>
      <c r="B1916" s="7" t="s">
        <v>356</v>
      </c>
      <c r="C1916" t="s">
        <v>1316</v>
      </c>
      <c r="D1916" s="65" t="str">
        <f t="shared" si="58"/>
        <v>Y</v>
      </c>
      <c r="E1916" t="s">
        <v>1313</v>
      </c>
      <c r="F1916" s="7" t="s">
        <v>300</v>
      </c>
      <c r="G1916" s="1">
        <v>2</v>
      </c>
      <c r="H1916" s="7" t="s">
        <v>300</v>
      </c>
      <c r="I1916" s="7" t="s">
        <v>296</v>
      </c>
      <c r="J1916" s="1">
        <v>2</v>
      </c>
      <c r="K1916" s="1">
        <v>6</v>
      </c>
      <c r="L1916" s="67">
        <f t="shared" si="59"/>
        <v>1</v>
      </c>
    </row>
    <row r="1917" spans="1:12" x14ac:dyDescent="0.2">
      <c r="A1917">
        <v>1916</v>
      </c>
      <c r="B1917" s="7" t="s">
        <v>372</v>
      </c>
      <c r="C1917" t="s">
        <v>1316</v>
      </c>
      <c r="D1917" s="65" t="str">
        <f t="shared" si="58"/>
        <v>Y</v>
      </c>
      <c r="E1917" t="s">
        <v>1313</v>
      </c>
      <c r="F1917" s="7" t="s">
        <v>300</v>
      </c>
      <c r="G1917" s="1">
        <v>2</v>
      </c>
      <c r="H1917" s="7" t="s">
        <v>300</v>
      </c>
      <c r="I1917" s="7" t="s">
        <v>296</v>
      </c>
      <c r="J1917" s="1">
        <v>2</v>
      </c>
      <c r="K1917" s="1">
        <v>6</v>
      </c>
      <c r="L1917" s="67">
        <f t="shared" si="59"/>
        <v>1</v>
      </c>
    </row>
    <row r="1918" spans="1:12" x14ac:dyDescent="0.2">
      <c r="A1918">
        <v>1917</v>
      </c>
      <c r="B1918" s="7" t="s">
        <v>356</v>
      </c>
      <c r="C1918" t="s">
        <v>1316</v>
      </c>
      <c r="D1918" s="65" t="str">
        <f t="shared" si="58"/>
        <v>Y</v>
      </c>
      <c r="E1918" t="s">
        <v>1313</v>
      </c>
      <c r="F1918" s="7" t="s">
        <v>300</v>
      </c>
      <c r="G1918" s="1">
        <v>2</v>
      </c>
      <c r="H1918" s="7" t="s">
        <v>300</v>
      </c>
      <c r="I1918" s="7" t="s">
        <v>292</v>
      </c>
      <c r="J1918" s="1">
        <v>2</v>
      </c>
      <c r="K1918" s="1">
        <v>5</v>
      </c>
      <c r="L1918" s="67">
        <f t="shared" si="59"/>
        <v>1</v>
      </c>
    </row>
    <row r="1919" spans="1:12" x14ac:dyDescent="0.2">
      <c r="A1919">
        <v>1918</v>
      </c>
      <c r="B1919" s="7" t="s">
        <v>356</v>
      </c>
      <c r="C1919" t="s">
        <v>1316</v>
      </c>
      <c r="D1919" s="65" t="str">
        <f t="shared" si="58"/>
        <v>Y</v>
      </c>
      <c r="E1919" t="s">
        <v>1313</v>
      </c>
      <c r="F1919" s="7" t="s">
        <v>300</v>
      </c>
      <c r="G1919" s="1">
        <v>2</v>
      </c>
      <c r="H1919" s="7" t="s">
        <v>300</v>
      </c>
      <c r="I1919" s="7" t="s">
        <v>294</v>
      </c>
      <c r="J1919" s="1">
        <v>2</v>
      </c>
      <c r="K1919" s="1">
        <v>7</v>
      </c>
      <c r="L1919" s="67">
        <f t="shared" si="59"/>
        <v>1</v>
      </c>
    </row>
    <row r="1920" spans="1:12" x14ac:dyDescent="0.2">
      <c r="A1920">
        <v>1919</v>
      </c>
      <c r="B1920" s="7" t="s">
        <v>372</v>
      </c>
      <c r="C1920" t="s">
        <v>1316</v>
      </c>
      <c r="D1920" s="65" t="str">
        <f t="shared" si="58"/>
        <v>Y</v>
      </c>
      <c r="E1920" t="s">
        <v>1313</v>
      </c>
      <c r="F1920" s="7" t="s">
        <v>300</v>
      </c>
      <c r="G1920" s="1">
        <v>2</v>
      </c>
      <c r="H1920" s="7" t="s">
        <v>300</v>
      </c>
      <c r="I1920" s="7" t="s">
        <v>294</v>
      </c>
      <c r="J1920" s="1">
        <v>2</v>
      </c>
      <c r="K1920" s="1">
        <v>7</v>
      </c>
      <c r="L1920" s="67">
        <f t="shared" si="59"/>
        <v>1</v>
      </c>
    </row>
    <row r="1921" spans="1:12" x14ac:dyDescent="0.2">
      <c r="A1921">
        <v>1920</v>
      </c>
      <c r="B1921" s="7" t="s">
        <v>372</v>
      </c>
      <c r="C1921" t="s">
        <v>1316</v>
      </c>
      <c r="D1921" s="65" t="str">
        <f t="shared" si="58"/>
        <v>Y</v>
      </c>
      <c r="E1921" t="s">
        <v>1313</v>
      </c>
      <c r="F1921" s="7" t="s">
        <v>300</v>
      </c>
      <c r="G1921" s="1">
        <v>2</v>
      </c>
      <c r="H1921" s="7" t="s">
        <v>300</v>
      </c>
      <c r="I1921" s="7" t="s">
        <v>294</v>
      </c>
      <c r="J1921" s="1">
        <v>2</v>
      </c>
      <c r="K1921" s="1">
        <v>7</v>
      </c>
      <c r="L1921" s="67">
        <f t="shared" si="59"/>
        <v>1</v>
      </c>
    </row>
    <row r="1922" spans="1:12" x14ac:dyDescent="0.2">
      <c r="A1922">
        <v>1921</v>
      </c>
      <c r="B1922" s="7" t="s">
        <v>356</v>
      </c>
      <c r="C1922" t="s">
        <v>1316</v>
      </c>
      <c r="D1922" s="65" t="str">
        <f t="shared" si="58"/>
        <v>Y</v>
      </c>
      <c r="E1922" t="s">
        <v>1313</v>
      </c>
      <c r="F1922" s="7" t="s">
        <v>300</v>
      </c>
      <c r="G1922" s="1">
        <v>2</v>
      </c>
      <c r="H1922" s="7" t="s">
        <v>300</v>
      </c>
      <c r="I1922" s="7" t="s">
        <v>296</v>
      </c>
      <c r="J1922" s="1">
        <v>2</v>
      </c>
      <c r="K1922" s="1">
        <v>6</v>
      </c>
      <c r="L1922" s="67">
        <f t="shared" si="59"/>
        <v>1</v>
      </c>
    </row>
    <row r="1923" spans="1:12" x14ac:dyDescent="0.2">
      <c r="A1923">
        <v>1922</v>
      </c>
      <c r="B1923" s="7" t="s">
        <v>356</v>
      </c>
      <c r="C1923" t="s">
        <v>1316</v>
      </c>
      <c r="D1923" s="65" t="str">
        <f t="shared" ref="D1923:D1986" si="60">IF($E1923="iso", "N", IF(OR($E1923="non", $E1923="emd", $E1923="dyn"), "Y", "ERROR"))</f>
        <v>Y</v>
      </c>
      <c r="E1923" t="s">
        <v>1313</v>
      </c>
      <c r="F1923" s="7" t="s">
        <v>300</v>
      </c>
      <c r="G1923" s="1">
        <v>2</v>
      </c>
      <c r="H1923" s="7" t="s">
        <v>300</v>
      </c>
      <c r="I1923" s="7" t="s">
        <v>296</v>
      </c>
      <c r="J1923" s="1">
        <v>2</v>
      </c>
      <c r="K1923" s="1">
        <v>6</v>
      </c>
      <c r="L1923" s="67">
        <f t="shared" ref="L1923:L1986" si="61">IF(G1923=J1923, 1, 0)</f>
        <v>1</v>
      </c>
    </row>
    <row r="1924" spans="1:12" x14ac:dyDescent="0.2">
      <c r="A1924">
        <v>1923</v>
      </c>
      <c r="B1924" s="7" t="s">
        <v>372</v>
      </c>
      <c r="C1924" t="s">
        <v>1316</v>
      </c>
      <c r="D1924" s="65" t="str">
        <f t="shared" si="60"/>
        <v>Y</v>
      </c>
      <c r="E1924" t="s">
        <v>1313</v>
      </c>
      <c r="F1924" s="7" t="s">
        <v>300</v>
      </c>
      <c r="G1924" s="1">
        <v>2</v>
      </c>
      <c r="H1924" s="7" t="s">
        <v>300</v>
      </c>
      <c r="I1924" s="7" t="s">
        <v>294</v>
      </c>
      <c r="J1924" s="1">
        <v>2</v>
      </c>
      <c r="K1924" s="1">
        <v>7</v>
      </c>
      <c r="L1924" s="67">
        <f t="shared" si="61"/>
        <v>1</v>
      </c>
    </row>
    <row r="1925" spans="1:12" x14ac:dyDescent="0.2">
      <c r="A1925">
        <v>1924</v>
      </c>
      <c r="B1925" s="7" t="s">
        <v>356</v>
      </c>
      <c r="C1925" t="s">
        <v>1316</v>
      </c>
      <c r="D1925" s="65" t="str">
        <f t="shared" si="60"/>
        <v>Y</v>
      </c>
      <c r="E1925" t="s">
        <v>1313</v>
      </c>
      <c r="F1925" s="7" t="s">
        <v>300</v>
      </c>
      <c r="G1925" s="1">
        <v>2</v>
      </c>
      <c r="H1925" s="7" t="s">
        <v>300</v>
      </c>
      <c r="I1925" s="7" t="s">
        <v>292</v>
      </c>
      <c r="J1925" s="1">
        <v>2</v>
      </c>
      <c r="K1925" s="1">
        <v>5</v>
      </c>
      <c r="L1925" s="67">
        <f t="shared" si="61"/>
        <v>1</v>
      </c>
    </row>
    <row r="1926" spans="1:12" x14ac:dyDescent="0.2">
      <c r="A1926">
        <v>1925</v>
      </c>
      <c r="B1926" s="7" t="s">
        <v>372</v>
      </c>
      <c r="C1926" t="s">
        <v>1316</v>
      </c>
      <c r="D1926" s="65" t="str">
        <f t="shared" si="60"/>
        <v>Y</v>
      </c>
      <c r="E1926" t="s">
        <v>1313</v>
      </c>
      <c r="F1926" s="7" t="s">
        <v>300</v>
      </c>
      <c r="G1926" s="1">
        <v>2</v>
      </c>
      <c r="H1926" s="7" t="s">
        <v>300</v>
      </c>
      <c r="I1926" s="7" t="s">
        <v>296</v>
      </c>
      <c r="J1926" s="1">
        <v>2</v>
      </c>
      <c r="K1926" s="1">
        <v>6</v>
      </c>
      <c r="L1926" s="67">
        <f t="shared" si="61"/>
        <v>1</v>
      </c>
    </row>
    <row r="1927" spans="1:12" x14ac:dyDescent="0.2">
      <c r="A1927">
        <v>1926</v>
      </c>
      <c r="B1927" s="7" t="s">
        <v>356</v>
      </c>
      <c r="C1927" t="s">
        <v>1316</v>
      </c>
      <c r="D1927" s="65" t="str">
        <f t="shared" si="60"/>
        <v>Y</v>
      </c>
      <c r="E1927" t="s">
        <v>1313</v>
      </c>
      <c r="F1927" s="7" t="s">
        <v>300</v>
      </c>
      <c r="G1927" s="1">
        <v>2</v>
      </c>
      <c r="H1927" s="7" t="s">
        <v>300</v>
      </c>
      <c r="I1927" s="7" t="s">
        <v>294</v>
      </c>
      <c r="J1927" s="1">
        <v>2</v>
      </c>
      <c r="K1927" s="1">
        <v>7</v>
      </c>
      <c r="L1927" s="67">
        <f t="shared" si="61"/>
        <v>1</v>
      </c>
    </row>
    <row r="1928" spans="1:12" x14ac:dyDescent="0.2">
      <c r="A1928">
        <v>1927</v>
      </c>
      <c r="B1928" s="7" t="s">
        <v>372</v>
      </c>
      <c r="C1928" t="s">
        <v>1316</v>
      </c>
      <c r="D1928" s="65" t="str">
        <f t="shared" si="60"/>
        <v>Y</v>
      </c>
      <c r="E1928" t="s">
        <v>1313</v>
      </c>
      <c r="F1928" s="7" t="s">
        <v>300</v>
      </c>
      <c r="G1928" s="1">
        <v>2</v>
      </c>
      <c r="H1928" s="7" t="s">
        <v>300</v>
      </c>
      <c r="I1928" s="7" t="s">
        <v>294</v>
      </c>
      <c r="J1928" s="1">
        <v>2</v>
      </c>
      <c r="K1928" s="1">
        <v>7</v>
      </c>
      <c r="L1928" s="67">
        <f t="shared" si="61"/>
        <v>1</v>
      </c>
    </row>
    <row r="1929" spans="1:12" x14ac:dyDescent="0.2">
      <c r="A1929">
        <v>1928</v>
      </c>
      <c r="B1929" s="7" t="s">
        <v>356</v>
      </c>
      <c r="C1929" t="s">
        <v>1316</v>
      </c>
      <c r="D1929" s="65" t="str">
        <f t="shared" si="60"/>
        <v>Y</v>
      </c>
      <c r="E1929" t="s">
        <v>1313</v>
      </c>
      <c r="F1929" s="7" t="s">
        <v>300</v>
      </c>
      <c r="G1929" s="1">
        <v>2</v>
      </c>
      <c r="H1929" s="7" t="s">
        <v>300</v>
      </c>
      <c r="I1929" s="7" t="s">
        <v>294</v>
      </c>
      <c r="J1929" s="1">
        <v>2</v>
      </c>
      <c r="K1929" s="1">
        <v>7</v>
      </c>
      <c r="L1929" s="67">
        <f t="shared" si="61"/>
        <v>1</v>
      </c>
    </row>
    <row r="1930" spans="1:12" x14ac:dyDescent="0.2">
      <c r="A1930">
        <v>1929</v>
      </c>
      <c r="B1930" s="7" t="s">
        <v>356</v>
      </c>
      <c r="C1930" t="s">
        <v>1316</v>
      </c>
      <c r="D1930" s="65" t="str">
        <f t="shared" si="60"/>
        <v>Y</v>
      </c>
      <c r="E1930" t="s">
        <v>1313</v>
      </c>
      <c r="F1930" s="7" t="s">
        <v>300</v>
      </c>
      <c r="G1930" s="1">
        <v>2</v>
      </c>
      <c r="H1930" s="7" t="s">
        <v>300</v>
      </c>
      <c r="I1930" s="7" t="s">
        <v>296</v>
      </c>
      <c r="J1930" s="1">
        <v>2</v>
      </c>
      <c r="K1930" s="1">
        <v>6</v>
      </c>
      <c r="L1930" s="67">
        <f t="shared" si="61"/>
        <v>1</v>
      </c>
    </row>
    <row r="1931" spans="1:12" x14ac:dyDescent="0.2">
      <c r="A1931">
        <v>1930</v>
      </c>
      <c r="B1931" s="7" t="s">
        <v>372</v>
      </c>
      <c r="C1931" t="s">
        <v>1316</v>
      </c>
      <c r="D1931" s="65" t="str">
        <f t="shared" si="60"/>
        <v>Y</v>
      </c>
      <c r="E1931" t="s">
        <v>1313</v>
      </c>
      <c r="F1931" s="7" t="s">
        <v>300</v>
      </c>
      <c r="G1931" s="1">
        <v>2</v>
      </c>
      <c r="H1931" s="7" t="s">
        <v>300</v>
      </c>
      <c r="I1931" s="7" t="s">
        <v>296</v>
      </c>
      <c r="J1931" s="1">
        <v>2</v>
      </c>
      <c r="K1931" s="1">
        <v>6</v>
      </c>
      <c r="L1931" s="67">
        <f t="shared" si="61"/>
        <v>1</v>
      </c>
    </row>
    <row r="1932" spans="1:12" x14ac:dyDescent="0.2">
      <c r="A1932">
        <v>1931</v>
      </c>
      <c r="B1932" s="7" t="s">
        <v>372</v>
      </c>
      <c r="C1932" t="s">
        <v>1316</v>
      </c>
      <c r="D1932" s="65" t="str">
        <f t="shared" si="60"/>
        <v>Y</v>
      </c>
      <c r="E1932" t="s">
        <v>1313</v>
      </c>
      <c r="F1932" s="7" t="s">
        <v>300</v>
      </c>
      <c r="G1932" s="1">
        <v>2</v>
      </c>
      <c r="H1932" s="7" t="s">
        <v>300</v>
      </c>
      <c r="I1932" s="7" t="s">
        <v>294</v>
      </c>
      <c r="J1932" s="1">
        <v>2</v>
      </c>
      <c r="K1932" s="1">
        <v>7</v>
      </c>
      <c r="L1932" s="67">
        <f t="shared" si="61"/>
        <v>1</v>
      </c>
    </row>
    <row r="1933" spans="1:12" x14ac:dyDescent="0.2">
      <c r="A1933">
        <v>1932</v>
      </c>
      <c r="B1933" s="7" t="s">
        <v>356</v>
      </c>
      <c r="C1933" t="s">
        <v>1316</v>
      </c>
      <c r="D1933" s="65" t="str">
        <f t="shared" si="60"/>
        <v>Y</v>
      </c>
      <c r="E1933" t="s">
        <v>1313</v>
      </c>
      <c r="F1933" s="7" t="s">
        <v>300</v>
      </c>
      <c r="G1933" s="1">
        <v>2</v>
      </c>
      <c r="H1933" s="7" t="s">
        <v>300</v>
      </c>
      <c r="I1933" s="7" t="s">
        <v>294</v>
      </c>
      <c r="J1933" s="1">
        <v>2</v>
      </c>
      <c r="K1933" s="1">
        <v>7</v>
      </c>
      <c r="L1933" s="67">
        <f t="shared" si="61"/>
        <v>1</v>
      </c>
    </row>
    <row r="1934" spans="1:12" x14ac:dyDescent="0.2">
      <c r="A1934">
        <v>1933</v>
      </c>
      <c r="B1934" s="7" t="s">
        <v>372</v>
      </c>
      <c r="C1934" t="s">
        <v>1316</v>
      </c>
      <c r="D1934" s="65" t="str">
        <f t="shared" si="60"/>
        <v>Y</v>
      </c>
      <c r="E1934" t="s">
        <v>1313</v>
      </c>
      <c r="F1934" s="7" t="s">
        <v>300</v>
      </c>
      <c r="G1934" s="1">
        <v>2</v>
      </c>
      <c r="H1934" s="7" t="s">
        <v>300</v>
      </c>
      <c r="I1934" s="7" t="s">
        <v>296</v>
      </c>
      <c r="J1934" s="1">
        <v>2</v>
      </c>
      <c r="K1934" s="1">
        <v>6</v>
      </c>
      <c r="L1934" s="67">
        <f t="shared" si="61"/>
        <v>1</v>
      </c>
    </row>
    <row r="1935" spans="1:12" x14ac:dyDescent="0.2">
      <c r="A1935">
        <v>1934</v>
      </c>
      <c r="B1935" s="7" t="s">
        <v>372</v>
      </c>
      <c r="C1935" t="s">
        <v>1316</v>
      </c>
      <c r="D1935" s="65" t="str">
        <f t="shared" si="60"/>
        <v>Y</v>
      </c>
      <c r="E1935" t="s">
        <v>1313</v>
      </c>
      <c r="F1935" s="7" t="s">
        <v>300</v>
      </c>
      <c r="G1935" s="1">
        <v>2</v>
      </c>
      <c r="H1935" s="7" t="s">
        <v>300</v>
      </c>
      <c r="I1935" s="7" t="s">
        <v>296</v>
      </c>
      <c r="J1935" s="1">
        <v>2</v>
      </c>
      <c r="K1935" s="1">
        <v>6</v>
      </c>
      <c r="L1935" s="67">
        <f t="shared" si="61"/>
        <v>1</v>
      </c>
    </row>
    <row r="1936" spans="1:12" x14ac:dyDescent="0.2">
      <c r="A1936">
        <v>1935</v>
      </c>
      <c r="B1936" s="7" t="s">
        <v>372</v>
      </c>
      <c r="C1936" t="s">
        <v>1316</v>
      </c>
      <c r="D1936" s="65" t="str">
        <f t="shared" si="60"/>
        <v>Y</v>
      </c>
      <c r="E1936" t="s">
        <v>1313</v>
      </c>
      <c r="F1936" s="7" t="s">
        <v>300</v>
      </c>
      <c r="G1936" s="1">
        <v>2</v>
      </c>
      <c r="H1936" s="7" t="s">
        <v>300</v>
      </c>
      <c r="I1936" s="7" t="s">
        <v>292</v>
      </c>
      <c r="J1936" s="1">
        <v>2</v>
      </c>
      <c r="K1936" s="1">
        <v>5</v>
      </c>
      <c r="L1936" s="67">
        <f t="shared" si="61"/>
        <v>1</v>
      </c>
    </row>
    <row r="1937" spans="1:12" x14ac:dyDescent="0.2">
      <c r="A1937">
        <v>1936</v>
      </c>
      <c r="B1937" s="7" t="s">
        <v>356</v>
      </c>
      <c r="C1937" t="s">
        <v>1316</v>
      </c>
      <c r="D1937" s="65" t="str">
        <f t="shared" si="60"/>
        <v>Y</v>
      </c>
      <c r="E1937" t="s">
        <v>1313</v>
      </c>
      <c r="F1937" s="7" t="s">
        <v>300</v>
      </c>
      <c r="G1937" s="1">
        <v>2</v>
      </c>
      <c r="H1937" s="7" t="s">
        <v>300</v>
      </c>
      <c r="I1937" s="7" t="s">
        <v>292</v>
      </c>
      <c r="J1937" s="1">
        <v>2</v>
      </c>
      <c r="K1937" s="1">
        <v>5</v>
      </c>
      <c r="L1937" s="67">
        <f t="shared" si="61"/>
        <v>1</v>
      </c>
    </row>
    <row r="1938" spans="1:12" x14ac:dyDescent="0.2">
      <c r="A1938">
        <v>1937</v>
      </c>
      <c r="B1938" s="7" t="s">
        <v>372</v>
      </c>
      <c r="C1938" t="s">
        <v>1316</v>
      </c>
      <c r="D1938" s="65" t="str">
        <f t="shared" si="60"/>
        <v>Y</v>
      </c>
      <c r="E1938" t="s">
        <v>1313</v>
      </c>
      <c r="F1938" s="7" t="s">
        <v>300</v>
      </c>
      <c r="G1938" s="1">
        <v>2</v>
      </c>
      <c r="H1938" s="7" t="s">
        <v>300</v>
      </c>
      <c r="I1938" s="7" t="s">
        <v>292</v>
      </c>
      <c r="J1938" s="1">
        <v>2</v>
      </c>
      <c r="K1938" s="1">
        <v>5</v>
      </c>
      <c r="L1938" s="67">
        <f t="shared" si="61"/>
        <v>1</v>
      </c>
    </row>
    <row r="1939" spans="1:12" x14ac:dyDescent="0.2">
      <c r="A1939">
        <v>1938</v>
      </c>
      <c r="B1939" s="7" t="s">
        <v>356</v>
      </c>
      <c r="C1939" t="s">
        <v>1316</v>
      </c>
      <c r="D1939" s="65" t="str">
        <f t="shared" si="60"/>
        <v>Y</v>
      </c>
      <c r="E1939" t="s">
        <v>1313</v>
      </c>
      <c r="F1939" s="7" t="s">
        <v>300</v>
      </c>
      <c r="G1939" s="1">
        <v>2</v>
      </c>
      <c r="H1939" s="7" t="s">
        <v>300</v>
      </c>
      <c r="I1939" s="7" t="s">
        <v>292</v>
      </c>
      <c r="J1939" s="1">
        <v>2</v>
      </c>
      <c r="K1939" s="1">
        <v>5</v>
      </c>
      <c r="L1939" s="67">
        <f t="shared" si="61"/>
        <v>1</v>
      </c>
    </row>
    <row r="1940" spans="1:12" x14ac:dyDescent="0.2">
      <c r="A1940">
        <v>1939</v>
      </c>
      <c r="B1940" s="7" t="s">
        <v>356</v>
      </c>
      <c r="C1940" t="s">
        <v>1316</v>
      </c>
      <c r="D1940" s="65" t="str">
        <f t="shared" si="60"/>
        <v>Y</v>
      </c>
      <c r="E1940" t="s">
        <v>1313</v>
      </c>
      <c r="F1940" s="7" t="s">
        <v>300</v>
      </c>
      <c r="G1940" s="1">
        <v>2</v>
      </c>
      <c r="H1940" s="7" t="s">
        <v>300</v>
      </c>
      <c r="I1940" s="7" t="s">
        <v>294</v>
      </c>
      <c r="J1940" s="1">
        <v>2</v>
      </c>
      <c r="K1940" s="1">
        <v>7</v>
      </c>
      <c r="L1940" s="67">
        <f t="shared" si="61"/>
        <v>1</v>
      </c>
    </row>
    <row r="1941" spans="1:12" x14ac:dyDescent="0.2">
      <c r="A1941">
        <v>1940</v>
      </c>
      <c r="B1941" s="7" t="s">
        <v>372</v>
      </c>
      <c r="C1941" t="s">
        <v>1316</v>
      </c>
      <c r="D1941" s="65" t="str">
        <f t="shared" si="60"/>
        <v>Y</v>
      </c>
      <c r="E1941" t="s">
        <v>1313</v>
      </c>
      <c r="F1941" s="7" t="s">
        <v>300</v>
      </c>
      <c r="G1941" s="1">
        <v>2</v>
      </c>
      <c r="H1941" s="7" t="s">
        <v>282</v>
      </c>
      <c r="I1941" s="7" t="s">
        <v>296</v>
      </c>
      <c r="J1941" s="4" t="s">
        <v>282</v>
      </c>
      <c r="K1941" s="1">
        <v>6</v>
      </c>
      <c r="L1941" s="67">
        <f t="shared" si="61"/>
        <v>0</v>
      </c>
    </row>
    <row r="1942" spans="1:12" x14ac:dyDescent="0.2">
      <c r="A1942">
        <v>1941</v>
      </c>
      <c r="B1942" s="7" t="s">
        <v>372</v>
      </c>
      <c r="C1942" t="s">
        <v>1316</v>
      </c>
      <c r="D1942" s="65" t="str">
        <f t="shared" si="60"/>
        <v>Y</v>
      </c>
      <c r="E1942" t="s">
        <v>1313</v>
      </c>
      <c r="F1942" s="7" t="s">
        <v>300</v>
      </c>
      <c r="G1942" s="1">
        <v>2</v>
      </c>
      <c r="H1942" s="7" t="s">
        <v>300</v>
      </c>
      <c r="I1942" s="7" t="s">
        <v>296</v>
      </c>
      <c r="J1942" s="1">
        <v>2</v>
      </c>
      <c r="K1942" s="1">
        <v>6</v>
      </c>
      <c r="L1942" s="67">
        <f t="shared" si="61"/>
        <v>1</v>
      </c>
    </row>
    <row r="1943" spans="1:12" x14ac:dyDescent="0.2">
      <c r="A1943">
        <v>1942</v>
      </c>
      <c r="B1943" s="7" t="s">
        <v>356</v>
      </c>
      <c r="C1943" t="s">
        <v>1316</v>
      </c>
      <c r="D1943" s="65" t="str">
        <f t="shared" si="60"/>
        <v>Y</v>
      </c>
      <c r="E1943" t="s">
        <v>1313</v>
      </c>
      <c r="F1943" s="7" t="s">
        <v>300</v>
      </c>
      <c r="G1943" s="1">
        <v>2</v>
      </c>
      <c r="H1943" s="7" t="s">
        <v>300</v>
      </c>
      <c r="I1943" s="7" t="s">
        <v>296</v>
      </c>
      <c r="J1943" s="1">
        <v>2</v>
      </c>
      <c r="K1943" s="1">
        <v>6</v>
      </c>
      <c r="L1943" s="67">
        <f t="shared" si="61"/>
        <v>1</v>
      </c>
    </row>
    <row r="1944" spans="1:12" x14ac:dyDescent="0.2">
      <c r="A1944">
        <v>1943</v>
      </c>
      <c r="B1944" s="7" t="s">
        <v>372</v>
      </c>
      <c r="C1944" t="s">
        <v>1316</v>
      </c>
      <c r="D1944" s="65" t="str">
        <f t="shared" si="60"/>
        <v>Y</v>
      </c>
      <c r="E1944" t="s">
        <v>1313</v>
      </c>
      <c r="F1944" s="7" t="s">
        <v>300</v>
      </c>
      <c r="G1944" s="1">
        <v>2</v>
      </c>
      <c r="H1944" s="7" t="s">
        <v>300</v>
      </c>
      <c r="I1944" s="7" t="s">
        <v>296</v>
      </c>
      <c r="J1944" s="1">
        <v>2</v>
      </c>
      <c r="K1944" s="1">
        <v>6</v>
      </c>
      <c r="L1944" s="67">
        <f t="shared" si="61"/>
        <v>1</v>
      </c>
    </row>
    <row r="1945" spans="1:12" x14ac:dyDescent="0.2">
      <c r="A1945">
        <v>1944</v>
      </c>
      <c r="B1945" s="7" t="s">
        <v>356</v>
      </c>
      <c r="C1945" t="s">
        <v>1316</v>
      </c>
      <c r="D1945" s="65" t="str">
        <f t="shared" si="60"/>
        <v>Y</v>
      </c>
      <c r="E1945" t="s">
        <v>1313</v>
      </c>
      <c r="F1945" s="7" t="s">
        <v>300</v>
      </c>
      <c r="G1945" s="1">
        <v>2</v>
      </c>
      <c r="H1945" s="7" t="s">
        <v>300</v>
      </c>
      <c r="I1945" s="7" t="s">
        <v>296</v>
      </c>
      <c r="J1945" s="1">
        <v>2</v>
      </c>
      <c r="K1945" s="1">
        <v>6</v>
      </c>
      <c r="L1945" s="67">
        <f t="shared" si="61"/>
        <v>1</v>
      </c>
    </row>
    <row r="1946" spans="1:12" x14ac:dyDescent="0.2">
      <c r="A1946">
        <v>1945</v>
      </c>
      <c r="B1946" s="7" t="s">
        <v>372</v>
      </c>
      <c r="C1946" t="s">
        <v>1316</v>
      </c>
      <c r="D1946" s="65" t="str">
        <f t="shared" si="60"/>
        <v>Y</v>
      </c>
      <c r="E1946" t="s">
        <v>1313</v>
      </c>
      <c r="F1946" s="7" t="s">
        <v>300</v>
      </c>
      <c r="G1946" s="1">
        <v>2</v>
      </c>
      <c r="H1946" s="7" t="s">
        <v>300</v>
      </c>
      <c r="I1946" s="7" t="s">
        <v>294</v>
      </c>
      <c r="J1946" s="1">
        <v>2</v>
      </c>
      <c r="K1946" s="1">
        <v>7</v>
      </c>
      <c r="L1946" s="67">
        <f t="shared" si="61"/>
        <v>1</v>
      </c>
    </row>
    <row r="1947" spans="1:12" x14ac:dyDescent="0.2">
      <c r="A1947">
        <v>1946</v>
      </c>
      <c r="B1947" s="7" t="s">
        <v>372</v>
      </c>
      <c r="C1947" t="s">
        <v>1316</v>
      </c>
      <c r="D1947" s="65" t="str">
        <f t="shared" si="60"/>
        <v>Y</v>
      </c>
      <c r="E1947" t="s">
        <v>1313</v>
      </c>
      <c r="F1947" s="7" t="s">
        <v>300</v>
      </c>
      <c r="G1947" s="1">
        <v>2</v>
      </c>
      <c r="H1947" s="7" t="s">
        <v>300</v>
      </c>
      <c r="I1947" s="7" t="s">
        <v>296</v>
      </c>
      <c r="J1947" s="1">
        <v>2</v>
      </c>
      <c r="K1947" s="1">
        <v>6</v>
      </c>
      <c r="L1947" s="67">
        <f t="shared" si="61"/>
        <v>1</v>
      </c>
    </row>
    <row r="1948" spans="1:12" x14ac:dyDescent="0.2">
      <c r="A1948">
        <v>1947</v>
      </c>
      <c r="B1948" s="7" t="s">
        <v>356</v>
      </c>
      <c r="C1948" t="s">
        <v>1316</v>
      </c>
      <c r="D1948" s="65" t="str">
        <f t="shared" si="60"/>
        <v>Y</v>
      </c>
      <c r="E1948" t="s">
        <v>1313</v>
      </c>
      <c r="F1948" s="7" t="s">
        <v>300</v>
      </c>
      <c r="G1948" s="1">
        <v>2</v>
      </c>
      <c r="H1948" s="7" t="s">
        <v>300</v>
      </c>
      <c r="I1948" s="7" t="s">
        <v>294</v>
      </c>
      <c r="J1948" s="1">
        <v>2</v>
      </c>
      <c r="K1948" s="1">
        <v>7</v>
      </c>
      <c r="L1948" s="67">
        <f t="shared" si="61"/>
        <v>1</v>
      </c>
    </row>
    <row r="1949" spans="1:12" x14ac:dyDescent="0.2">
      <c r="A1949">
        <v>1948</v>
      </c>
      <c r="B1949" s="7" t="s">
        <v>372</v>
      </c>
      <c r="C1949" t="s">
        <v>1316</v>
      </c>
      <c r="D1949" s="65" t="str">
        <f t="shared" si="60"/>
        <v>Y</v>
      </c>
      <c r="E1949" t="s">
        <v>1313</v>
      </c>
      <c r="F1949" s="7" t="s">
        <v>300</v>
      </c>
      <c r="G1949" s="1">
        <v>2</v>
      </c>
      <c r="H1949" s="7" t="s">
        <v>300</v>
      </c>
      <c r="I1949" s="7" t="s">
        <v>296</v>
      </c>
      <c r="J1949" s="1">
        <v>2</v>
      </c>
      <c r="K1949" s="1">
        <v>6</v>
      </c>
      <c r="L1949" s="67">
        <f t="shared" si="61"/>
        <v>1</v>
      </c>
    </row>
    <row r="1950" spans="1:12" x14ac:dyDescent="0.2">
      <c r="A1950">
        <v>1949</v>
      </c>
      <c r="B1950" s="7" t="s">
        <v>356</v>
      </c>
      <c r="C1950" t="s">
        <v>1316</v>
      </c>
      <c r="D1950" s="65" t="str">
        <f t="shared" si="60"/>
        <v>Y</v>
      </c>
      <c r="E1950" t="s">
        <v>1313</v>
      </c>
      <c r="F1950" s="7" t="s">
        <v>300</v>
      </c>
      <c r="G1950" s="1">
        <v>2</v>
      </c>
      <c r="H1950" s="7" t="s">
        <v>300</v>
      </c>
      <c r="I1950" s="7" t="s">
        <v>296</v>
      </c>
      <c r="J1950" s="1">
        <v>2</v>
      </c>
      <c r="K1950" s="1">
        <v>6</v>
      </c>
      <c r="L1950" s="67">
        <f t="shared" si="61"/>
        <v>1</v>
      </c>
    </row>
    <row r="1951" spans="1:12" x14ac:dyDescent="0.2">
      <c r="A1951">
        <v>1950</v>
      </c>
      <c r="B1951" s="7" t="s">
        <v>356</v>
      </c>
      <c r="C1951" t="s">
        <v>1316</v>
      </c>
      <c r="D1951" s="65" t="str">
        <f t="shared" si="60"/>
        <v>Y</v>
      </c>
      <c r="E1951" t="s">
        <v>1313</v>
      </c>
      <c r="F1951" s="7" t="s">
        <v>300</v>
      </c>
      <c r="G1951" s="1">
        <v>2</v>
      </c>
      <c r="H1951" s="7" t="s">
        <v>300</v>
      </c>
      <c r="I1951" s="7" t="s">
        <v>292</v>
      </c>
      <c r="J1951" s="1">
        <v>2</v>
      </c>
      <c r="K1951" s="1">
        <v>5</v>
      </c>
      <c r="L1951" s="67">
        <f t="shared" si="61"/>
        <v>1</v>
      </c>
    </row>
    <row r="1952" spans="1:12" x14ac:dyDescent="0.2">
      <c r="A1952">
        <v>1951</v>
      </c>
      <c r="B1952" s="7" t="s">
        <v>372</v>
      </c>
      <c r="C1952" t="s">
        <v>1316</v>
      </c>
      <c r="D1952" s="65" t="str">
        <f t="shared" si="60"/>
        <v>Y</v>
      </c>
      <c r="E1952" t="s">
        <v>1313</v>
      </c>
      <c r="F1952" s="7" t="s">
        <v>300</v>
      </c>
      <c r="G1952" s="1">
        <v>2</v>
      </c>
      <c r="H1952" s="7" t="s">
        <v>300</v>
      </c>
      <c r="I1952" s="7" t="s">
        <v>292</v>
      </c>
      <c r="J1952" s="1">
        <v>2</v>
      </c>
      <c r="K1952" s="1">
        <v>5</v>
      </c>
      <c r="L1952" s="67">
        <f t="shared" si="61"/>
        <v>1</v>
      </c>
    </row>
    <row r="1953" spans="1:12" x14ac:dyDescent="0.2">
      <c r="A1953">
        <v>1952</v>
      </c>
      <c r="B1953" s="7" t="s">
        <v>356</v>
      </c>
      <c r="C1953" t="s">
        <v>1316</v>
      </c>
      <c r="D1953" s="65" t="str">
        <f t="shared" si="60"/>
        <v>Y</v>
      </c>
      <c r="E1953" t="s">
        <v>1313</v>
      </c>
      <c r="F1953" s="7" t="s">
        <v>300</v>
      </c>
      <c r="G1953" s="1">
        <v>2</v>
      </c>
      <c r="H1953" s="7" t="s">
        <v>300</v>
      </c>
      <c r="I1953" s="7" t="s">
        <v>296</v>
      </c>
      <c r="J1953" s="1">
        <v>2</v>
      </c>
      <c r="K1953" s="1">
        <v>6</v>
      </c>
      <c r="L1953" s="67">
        <f t="shared" si="61"/>
        <v>1</v>
      </c>
    </row>
    <row r="1954" spans="1:12" x14ac:dyDescent="0.2">
      <c r="A1954">
        <v>1953</v>
      </c>
      <c r="B1954" s="7" t="s">
        <v>372</v>
      </c>
      <c r="C1954" t="s">
        <v>1316</v>
      </c>
      <c r="D1954" s="65" t="str">
        <f t="shared" si="60"/>
        <v>Y</v>
      </c>
      <c r="E1954" t="s">
        <v>1313</v>
      </c>
      <c r="F1954" s="7" t="s">
        <v>300</v>
      </c>
      <c r="G1954" s="1">
        <v>2</v>
      </c>
      <c r="H1954" s="7" t="s">
        <v>300</v>
      </c>
      <c r="I1954" s="7" t="s">
        <v>292</v>
      </c>
      <c r="J1954" s="1">
        <v>2</v>
      </c>
      <c r="K1954" s="1">
        <v>5</v>
      </c>
      <c r="L1954" s="67">
        <f t="shared" si="61"/>
        <v>1</v>
      </c>
    </row>
    <row r="1955" spans="1:12" x14ac:dyDescent="0.2">
      <c r="A1955">
        <v>1954</v>
      </c>
      <c r="B1955" s="7" t="s">
        <v>356</v>
      </c>
      <c r="C1955" t="s">
        <v>1316</v>
      </c>
      <c r="D1955" s="65" t="str">
        <f t="shared" si="60"/>
        <v>Y</v>
      </c>
      <c r="E1955" t="s">
        <v>1313</v>
      </c>
      <c r="F1955" s="7" t="s">
        <v>300</v>
      </c>
      <c r="G1955" s="1">
        <v>2</v>
      </c>
      <c r="H1955" s="7" t="s">
        <v>300</v>
      </c>
      <c r="I1955" s="7" t="s">
        <v>294</v>
      </c>
      <c r="J1955" s="1">
        <v>2</v>
      </c>
      <c r="K1955" s="1">
        <v>7</v>
      </c>
      <c r="L1955" s="67">
        <f t="shared" si="61"/>
        <v>1</v>
      </c>
    </row>
    <row r="1956" spans="1:12" x14ac:dyDescent="0.2">
      <c r="A1956">
        <v>1955</v>
      </c>
      <c r="B1956" s="7" t="s">
        <v>372</v>
      </c>
      <c r="C1956" t="s">
        <v>1316</v>
      </c>
      <c r="D1956" s="65" t="str">
        <f t="shared" si="60"/>
        <v>Y</v>
      </c>
      <c r="E1956" t="s">
        <v>1313</v>
      </c>
      <c r="F1956" s="7" t="s">
        <v>300</v>
      </c>
      <c r="G1956" s="1">
        <v>2</v>
      </c>
      <c r="H1956" s="7" t="s">
        <v>300</v>
      </c>
      <c r="I1956" s="7" t="s">
        <v>294</v>
      </c>
      <c r="J1956" s="1">
        <v>2</v>
      </c>
      <c r="K1956" s="1">
        <v>7</v>
      </c>
      <c r="L1956" s="67">
        <f t="shared" si="61"/>
        <v>1</v>
      </c>
    </row>
    <row r="1957" spans="1:12" x14ac:dyDescent="0.2">
      <c r="A1957">
        <v>1956</v>
      </c>
      <c r="B1957" s="7" t="s">
        <v>356</v>
      </c>
      <c r="C1957" t="s">
        <v>1316</v>
      </c>
      <c r="D1957" s="65" t="str">
        <f t="shared" si="60"/>
        <v>Y</v>
      </c>
      <c r="E1957" t="s">
        <v>1313</v>
      </c>
      <c r="F1957" s="7" t="s">
        <v>300</v>
      </c>
      <c r="G1957" s="1">
        <v>2</v>
      </c>
      <c r="H1957" s="7" t="s">
        <v>300</v>
      </c>
      <c r="I1957" s="7" t="s">
        <v>292</v>
      </c>
      <c r="J1957" s="1">
        <v>2</v>
      </c>
      <c r="K1957" s="1">
        <v>5</v>
      </c>
      <c r="L1957" s="67">
        <f t="shared" si="61"/>
        <v>1</v>
      </c>
    </row>
    <row r="1958" spans="1:12" x14ac:dyDescent="0.2">
      <c r="A1958">
        <v>1957</v>
      </c>
      <c r="B1958" s="7" t="s">
        <v>372</v>
      </c>
      <c r="C1958" t="s">
        <v>1316</v>
      </c>
      <c r="D1958" s="65" t="str">
        <f t="shared" si="60"/>
        <v>Y</v>
      </c>
      <c r="E1958" t="s">
        <v>1313</v>
      </c>
      <c r="F1958" s="7" t="s">
        <v>300</v>
      </c>
      <c r="G1958" s="1">
        <v>2</v>
      </c>
      <c r="H1958" s="7" t="s">
        <v>282</v>
      </c>
      <c r="I1958" s="7" t="s">
        <v>296</v>
      </c>
      <c r="J1958" s="4" t="s">
        <v>282</v>
      </c>
      <c r="K1958" s="1">
        <v>6</v>
      </c>
      <c r="L1958" s="67">
        <f t="shared" si="61"/>
        <v>0</v>
      </c>
    </row>
    <row r="1959" spans="1:12" x14ac:dyDescent="0.2">
      <c r="A1959">
        <v>1958</v>
      </c>
      <c r="B1959" s="7" t="s">
        <v>372</v>
      </c>
      <c r="C1959" t="s">
        <v>1316</v>
      </c>
      <c r="D1959" s="65" t="str">
        <f t="shared" si="60"/>
        <v>Y</v>
      </c>
      <c r="E1959" t="s">
        <v>1313</v>
      </c>
      <c r="F1959" s="7" t="s">
        <v>300</v>
      </c>
      <c r="G1959" s="1">
        <v>2</v>
      </c>
      <c r="H1959" s="7" t="s">
        <v>300</v>
      </c>
      <c r="I1959" s="7" t="s">
        <v>294</v>
      </c>
      <c r="J1959" s="1">
        <v>2</v>
      </c>
      <c r="K1959" s="1">
        <v>7</v>
      </c>
      <c r="L1959" s="67">
        <f t="shared" si="61"/>
        <v>1</v>
      </c>
    </row>
    <row r="1960" spans="1:12" x14ac:dyDescent="0.2">
      <c r="A1960">
        <v>1959</v>
      </c>
      <c r="B1960" s="7" t="s">
        <v>356</v>
      </c>
      <c r="C1960" t="s">
        <v>1316</v>
      </c>
      <c r="D1960" s="65" t="str">
        <f t="shared" si="60"/>
        <v>Y</v>
      </c>
      <c r="E1960" t="s">
        <v>1313</v>
      </c>
      <c r="F1960" s="7" t="s">
        <v>300</v>
      </c>
      <c r="G1960" s="1">
        <v>2</v>
      </c>
      <c r="H1960" s="7" t="s">
        <v>300</v>
      </c>
      <c r="I1960" s="7" t="s">
        <v>296</v>
      </c>
      <c r="J1960" s="1">
        <v>2</v>
      </c>
      <c r="K1960" s="1">
        <v>6</v>
      </c>
      <c r="L1960" s="67">
        <f t="shared" si="61"/>
        <v>1</v>
      </c>
    </row>
    <row r="1961" spans="1:12" x14ac:dyDescent="0.2">
      <c r="A1961">
        <v>1960</v>
      </c>
      <c r="B1961" s="7" t="s">
        <v>356</v>
      </c>
      <c r="C1961" t="s">
        <v>1316</v>
      </c>
      <c r="D1961" s="65" t="str">
        <f t="shared" si="60"/>
        <v>Y</v>
      </c>
      <c r="E1961" t="s">
        <v>1313</v>
      </c>
      <c r="F1961" s="7" t="s">
        <v>300</v>
      </c>
      <c r="G1961" s="1">
        <v>2</v>
      </c>
      <c r="H1961" s="7" t="s">
        <v>300</v>
      </c>
      <c r="I1961" s="7" t="s">
        <v>296</v>
      </c>
      <c r="J1961" s="1">
        <v>2</v>
      </c>
      <c r="K1961" s="1">
        <v>6</v>
      </c>
      <c r="L1961" s="67">
        <f t="shared" si="61"/>
        <v>1</v>
      </c>
    </row>
    <row r="1962" spans="1:12" x14ac:dyDescent="0.2">
      <c r="A1962">
        <v>1961</v>
      </c>
      <c r="B1962" s="7" t="s">
        <v>372</v>
      </c>
      <c r="C1962" t="s">
        <v>1316</v>
      </c>
      <c r="D1962" s="65" t="str">
        <f t="shared" si="60"/>
        <v>Y</v>
      </c>
      <c r="E1962" t="s">
        <v>1313</v>
      </c>
      <c r="F1962" s="7" t="s">
        <v>300</v>
      </c>
      <c r="G1962" s="1">
        <v>2</v>
      </c>
      <c r="H1962" s="7" t="s">
        <v>300</v>
      </c>
      <c r="I1962" s="7" t="s">
        <v>292</v>
      </c>
      <c r="J1962" s="1">
        <v>2</v>
      </c>
      <c r="K1962" s="1">
        <v>5</v>
      </c>
      <c r="L1962" s="67">
        <f t="shared" si="61"/>
        <v>1</v>
      </c>
    </row>
    <row r="1963" spans="1:12" x14ac:dyDescent="0.2">
      <c r="A1963">
        <v>1962</v>
      </c>
      <c r="B1963" s="7" t="s">
        <v>372</v>
      </c>
      <c r="C1963" t="s">
        <v>1316</v>
      </c>
      <c r="D1963" s="65" t="str">
        <f t="shared" si="60"/>
        <v>Y</v>
      </c>
      <c r="E1963" t="s">
        <v>1313</v>
      </c>
      <c r="F1963" s="7" t="s">
        <v>300</v>
      </c>
      <c r="G1963" s="1">
        <v>2</v>
      </c>
      <c r="H1963" s="7" t="s">
        <v>300</v>
      </c>
      <c r="I1963" s="7" t="s">
        <v>294</v>
      </c>
      <c r="J1963" s="1">
        <v>2</v>
      </c>
      <c r="K1963" s="1">
        <v>7</v>
      </c>
      <c r="L1963" s="67">
        <f t="shared" si="61"/>
        <v>1</v>
      </c>
    </row>
    <row r="1964" spans="1:12" x14ac:dyDescent="0.2">
      <c r="A1964">
        <v>1963</v>
      </c>
      <c r="B1964" s="7" t="s">
        <v>356</v>
      </c>
      <c r="C1964" t="s">
        <v>1316</v>
      </c>
      <c r="D1964" s="65" t="str">
        <f t="shared" si="60"/>
        <v>Y</v>
      </c>
      <c r="E1964" t="s">
        <v>1313</v>
      </c>
      <c r="F1964" s="7" t="s">
        <v>300</v>
      </c>
      <c r="G1964" s="1">
        <v>2</v>
      </c>
      <c r="H1964" s="7" t="s">
        <v>300</v>
      </c>
      <c r="I1964" s="7" t="s">
        <v>296</v>
      </c>
      <c r="J1964" s="1">
        <v>2</v>
      </c>
      <c r="K1964" s="1">
        <v>6</v>
      </c>
      <c r="L1964" s="67">
        <f t="shared" si="61"/>
        <v>1</v>
      </c>
    </row>
    <row r="1965" spans="1:12" x14ac:dyDescent="0.2">
      <c r="A1965">
        <v>1964</v>
      </c>
      <c r="B1965" s="7" t="s">
        <v>372</v>
      </c>
      <c r="C1965" t="s">
        <v>1316</v>
      </c>
      <c r="D1965" s="65" t="str">
        <f t="shared" si="60"/>
        <v>Y</v>
      </c>
      <c r="E1965" t="s">
        <v>1313</v>
      </c>
      <c r="F1965" s="7" t="s">
        <v>300</v>
      </c>
      <c r="G1965" s="1">
        <v>2</v>
      </c>
      <c r="H1965" s="7" t="s">
        <v>300</v>
      </c>
      <c r="I1965" s="7" t="s">
        <v>296</v>
      </c>
      <c r="J1965" s="1">
        <v>2</v>
      </c>
      <c r="K1965" s="1">
        <v>6</v>
      </c>
      <c r="L1965" s="67">
        <f t="shared" si="61"/>
        <v>1</v>
      </c>
    </row>
    <row r="1966" spans="1:12" x14ac:dyDescent="0.2">
      <c r="A1966">
        <v>1965</v>
      </c>
      <c r="B1966" s="7" t="s">
        <v>356</v>
      </c>
      <c r="C1966" t="s">
        <v>1316</v>
      </c>
      <c r="D1966" s="65" t="str">
        <f t="shared" si="60"/>
        <v>Y</v>
      </c>
      <c r="E1966" t="s">
        <v>1313</v>
      </c>
      <c r="F1966" s="7" t="s">
        <v>300</v>
      </c>
      <c r="G1966" s="1">
        <v>2</v>
      </c>
      <c r="H1966" s="7" t="s">
        <v>300</v>
      </c>
      <c r="I1966" s="7" t="s">
        <v>296</v>
      </c>
      <c r="J1966" s="1">
        <v>2</v>
      </c>
      <c r="K1966" s="1">
        <v>6</v>
      </c>
      <c r="L1966" s="67">
        <f t="shared" si="61"/>
        <v>1</v>
      </c>
    </row>
    <row r="1967" spans="1:12" x14ac:dyDescent="0.2">
      <c r="A1967">
        <v>1966</v>
      </c>
      <c r="B1967" s="7" t="s">
        <v>356</v>
      </c>
      <c r="C1967" t="s">
        <v>1316</v>
      </c>
      <c r="D1967" s="65" t="str">
        <f t="shared" si="60"/>
        <v>Y</v>
      </c>
      <c r="E1967" t="s">
        <v>1313</v>
      </c>
      <c r="F1967" s="7" t="s">
        <v>300</v>
      </c>
      <c r="G1967" s="1">
        <v>2</v>
      </c>
      <c r="H1967" s="7" t="s">
        <v>300</v>
      </c>
      <c r="I1967" s="7" t="s">
        <v>292</v>
      </c>
      <c r="J1967" s="1">
        <v>2</v>
      </c>
      <c r="K1967" s="1">
        <v>5</v>
      </c>
      <c r="L1967" s="67">
        <f t="shared" si="61"/>
        <v>1</v>
      </c>
    </row>
    <row r="1968" spans="1:12" x14ac:dyDescent="0.2">
      <c r="A1968">
        <v>1967</v>
      </c>
      <c r="B1968" s="7" t="s">
        <v>372</v>
      </c>
      <c r="C1968" t="s">
        <v>1316</v>
      </c>
      <c r="D1968" s="65" t="str">
        <f t="shared" si="60"/>
        <v>Y</v>
      </c>
      <c r="E1968" t="s">
        <v>1313</v>
      </c>
      <c r="F1968" s="7" t="s">
        <v>300</v>
      </c>
      <c r="G1968" s="1">
        <v>2</v>
      </c>
      <c r="H1968" s="7" t="s">
        <v>300</v>
      </c>
      <c r="I1968" s="7" t="s">
        <v>294</v>
      </c>
      <c r="J1968" s="1">
        <v>2</v>
      </c>
      <c r="K1968" s="1">
        <v>7</v>
      </c>
      <c r="L1968" s="67">
        <f t="shared" si="61"/>
        <v>1</v>
      </c>
    </row>
    <row r="1969" spans="1:12" x14ac:dyDescent="0.2">
      <c r="A1969">
        <v>1968</v>
      </c>
      <c r="B1969" s="7" t="s">
        <v>372</v>
      </c>
      <c r="C1969" t="s">
        <v>1316</v>
      </c>
      <c r="D1969" s="65" t="str">
        <f t="shared" si="60"/>
        <v>Y</v>
      </c>
      <c r="E1969" t="s">
        <v>1313</v>
      </c>
      <c r="F1969" s="7" t="s">
        <v>300</v>
      </c>
      <c r="G1969" s="1">
        <v>2</v>
      </c>
      <c r="H1969" s="7" t="s">
        <v>300</v>
      </c>
      <c r="I1969" s="7" t="s">
        <v>296</v>
      </c>
      <c r="J1969" s="1">
        <v>2</v>
      </c>
      <c r="K1969" s="1">
        <v>6</v>
      </c>
      <c r="L1969" s="67">
        <f t="shared" si="61"/>
        <v>1</v>
      </c>
    </row>
    <row r="1970" spans="1:12" x14ac:dyDescent="0.2">
      <c r="A1970">
        <v>1969</v>
      </c>
      <c r="B1970" s="7" t="s">
        <v>356</v>
      </c>
      <c r="C1970" t="s">
        <v>1316</v>
      </c>
      <c r="D1970" s="65" t="str">
        <f t="shared" si="60"/>
        <v>Y</v>
      </c>
      <c r="E1970" t="s">
        <v>1313</v>
      </c>
      <c r="F1970" s="7" t="s">
        <v>300</v>
      </c>
      <c r="G1970" s="1">
        <v>2</v>
      </c>
      <c r="H1970" s="7" t="s">
        <v>300</v>
      </c>
      <c r="I1970" s="7" t="s">
        <v>296</v>
      </c>
      <c r="J1970" s="1">
        <v>2</v>
      </c>
      <c r="K1970" s="1">
        <v>6</v>
      </c>
      <c r="L1970" s="67">
        <f t="shared" si="61"/>
        <v>1</v>
      </c>
    </row>
    <row r="1971" spans="1:12" x14ac:dyDescent="0.2">
      <c r="A1971">
        <v>1970</v>
      </c>
      <c r="B1971" s="7" t="s">
        <v>356</v>
      </c>
      <c r="C1971" t="s">
        <v>1316</v>
      </c>
      <c r="D1971" s="65" t="str">
        <f t="shared" si="60"/>
        <v>Y</v>
      </c>
      <c r="E1971" t="s">
        <v>1313</v>
      </c>
      <c r="F1971" s="7" t="s">
        <v>300</v>
      </c>
      <c r="G1971" s="1">
        <v>2</v>
      </c>
      <c r="H1971" s="7" t="s">
        <v>300</v>
      </c>
      <c r="I1971" s="7" t="s">
        <v>296</v>
      </c>
      <c r="J1971" s="1">
        <v>2</v>
      </c>
      <c r="K1971" s="1">
        <v>6</v>
      </c>
      <c r="L1971" s="67">
        <f t="shared" si="61"/>
        <v>1</v>
      </c>
    </row>
    <row r="1972" spans="1:12" x14ac:dyDescent="0.2">
      <c r="A1972">
        <v>1971</v>
      </c>
      <c r="B1972" s="7" t="s">
        <v>372</v>
      </c>
      <c r="C1972" t="s">
        <v>1316</v>
      </c>
      <c r="D1972" s="65" t="str">
        <f t="shared" si="60"/>
        <v>Y</v>
      </c>
      <c r="E1972" t="s">
        <v>1313</v>
      </c>
      <c r="F1972" s="7" t="s">
        <v>300</v>
      </c>
      <c r="G1972" s="1">
        <v>2</v>
      </c>
      <c r="H1972" s="7" t="s">
        <v>300</v>
      </c>
      <c r="I1972" s="7" t="s">
        <v>292</v>
      </c>
      <c r="J1972" s="1">
        <v>2</v>
      </c>
      <c r="K1972" s="1">
        <v>5</v>
      </c>
      <c r="L1972" s="67">
        <f t="shared" si="61"/>
        <v>1</v>
      </c>
    </row>
    <row r="1973" spans="1:12" x14ac:dyDescent="0.2">
      <c r="A1973">
        <v>1972</v>
      </c>
      <c r="B1973" s="7" t="s">
        <v>356</v>
      </c>
      <c r="C1973" t="s">
        <v>1316</v>
      </c>
      <c r="D1973" s="65" t="str">
        <f t="shared" si="60"/>
        <v>Y</v>
      </c>
      <c r="E1973" t="s">
        <v>1313</v>
      </c>
      <c r="F1973" s="7" t="s">
        <v>300</v>
      </c>
      <c r="G1973" s="1">
        <v>2</v>
      </c>
      <c r="H1973" s="7" t="s">
        <v>300</v>
      </c>
      <c r="I1973" s="7" t="s">
        <v>296</v>
      </c>
      <c r="J1973" s="1">
        <v>2</v>
      </c>
      <c r="K1973" s="1">
        <v>6</v>
      </c>
      <c r="L1973" s="67">
        <f t="shared" si="61"/>
        <v>1</v>
      </c>
    </row>
    <row r="1974" spans="1:12" x14ac:dyDescent="0.2">
      <c r="A1974">
        <v>1973</v>
      </c>
      <c r="B1974" s="7" t="s">
        <v>372</v>
      </c>
      <c r="C1974" t="s">
        <v>1316</v>
      </c>
      <c r="D1974" s="65" t="str">
        <f t="shared" si="60"/>
        <v>Y</v>
      </c>
      <c r="E1974" t="s">
        <v>1313</v>
      </c>
      <c r="F1974" s="7" t="s">
        <v>300</v>
      </c>
      <c r="G1974" s="1">
        <v>2</v>
      </c>
      <c r="H1974" s="7" t="s">
        <v>300</v>
      </c>
      <c r="I1974" s="7" t="s">
        <v>296</v>
      </c>
      <c r="J1974" s="1">
        <v>2</v>
      </c>
      <c r="K1974" s="1">
        <v>6</v>
      </c>
      <c r="L1974" s="67">
        <f t="shared" si="61"/>
        <v>1</v>
      </c>
    </row>
    <row r="1975" spans="1:12" x14ac:dyDescent="0.2">
      <c r="A1975">
        <v>1974</v>
      </c>
      <c r="B1975" s="7" t="s">
        <v>356</v>
      </c>
      <c r="C1975" t="s">
        <v>1316</v>
      </c>
      <c r="D1975" s="65" t="str">
        <f t="shared" si="60"/>
        <v>Y</v>
      </c>
      <c r="E1975" t="s">
        <v>1313</v>
      </c>
      <c r="F1975" s="7" t="s">
        <v>300</v>
      </c>
      <c r="G1975" s="1">
        <v>2</v>
      </c>
      <c r="H1975" s="7" t="s">
        <v>300</v>
      </c>
      <c r="I1975" s="7" t="s">
        <v>294</v>
      </c>
      <c r="J1975" s="1">
        <v>2</v>
      </c>
      <c r="K1975" s="1">
        <v>7</v>
      </c>
      <c r="L1975" s="67">
        <f t="shared" si="61"/>
        <v>1</v>
      </c>
    </row>
    <row r="1976" spans="1:12" x14ac:dyDescent="0.2">
      <c r="A1976">
        <v>1975</v>
      </c>
      <c r="B1976" s="7" t="s">
        <v>372</v>
      </c>
      <c r="C1976" t="s">
        <v>1316</v>
      </c>
      <c r="D1976" s="65" t="str">
        <f t="shared" si="60"/>
        <v>Y</v>
      </c>
      <c r="E1976" t="s">
        <v>1313</v>
      </c>
      <c r="F1976" s="7" t="s">
        <v>300</v>
      </c>
      <c r="G1976" s="1">
        <v>2</v>
      </c>
      <c r="H1976" s="7" t="s">
        <v>300</v>
      </c>
      <c r="I1976" s="7" t="s">
        <v>296</v>
      </c>
      <c r="J1976" s="1">
        <v>2</v>
      </c>
      <c r="K1976" s="1">
        <v>6</v>
      </c>
      <c r="L1976" s="67">
        <f t="shared" si="61"/>
        <v>1</v>
      </c>
    </row>
    <row r="1977" spans="1:12" x14ac:dyDescent="0.2">
      <c r="A1977">
        <v>1976</v>
      </c>
      <c r="B1977" s="7" t="s">
        <v>356</v>
      </c>
      <c r="C1977" t="s">
        <v>1316</v>
      </c>
      <c r="D1977" s="65" t="str">
        <f t="shared" si="60"/>
        <v>Y</v>
      </c>
      <c r="E1977" t="s">
        <v>1313</v>
      </c>
      <c r="F1977" s="7" t="s">
        <v>301</v>
      </c>
      <c r="G1977" s="1">
        <v>5</v>
      </c>
      <c r="H1977" s="7" t="s">
        <v>301</v>
      </c>
      <c r="I1977" s="7" t="s">
        <v>297</v>
      </c>
      <c r="J1977" s="1">
        <v>5</v>
      </c>
      <c r="K1977" s="1">
        <v>4</v>
      </c>
      <c r="L1977" s="67">
        <f t="shared" si="61"/>
        <v>1</v>
      </c>
    </row>
    <row r="1978" spans="1:12" x14ac:dyDescent="0.2">
      <c r="A1978">
        <v>1977</v>
      </c>
      <c r="B1978" s="7" t="s">
        <v>372</v>
      </c>
      <c r="C1978" t="s">
        <v>1316</v>
      </c>
      <c r="D1978" s="65" t="str">
        <f t="shared" si="60"/>
        <v>Y</v>
      </c>
      <c r="E1978" t="s">
        <v>1313</v>
      </c>
      <c r="F1978" s="7" t="s">
        <v>301</v>
      </c>
      <c r="G1978" s="1">
        <v>5</v>
      </c>
      <c r="H1978" s="7" t="s">
        <v>301</v>
      </c>
      <c r="I1978" s="7" t="s">
        <v>294</v>
      </c>
      <c r="J1978" s="1">
        <v>5</v>
      </c>
      <c r="K1978" s="1">
        <v>7</v>
      </c>
      <c r="L1978" s="67">
        <f t="shared" si="61"/>
        <v>1</v>
      </c>
    </row>
    <row r="1979" spans="1:12" x14ac:dyDescent="0.2">
      <c r="A1979">
        <v>1978</v>
      </c>
      <c r="B1979" s="7" t="s">
        <v>372</v>
      </c>
      <c r="C1979" t="s">
        <v>1316</v>
      </c>
      <c r="D1979" s="65" t="str">
        <f t="shared" si="60"/>
        <v>Y</v>
      </c>
      <c r="E1979" t="s">
        <v>1313</v>
      </c>
      <c r="F1979" s="7" t="s">
        <v>301</v>
      </c>
      <c r="G1979" s="1">
        <v>5</v>
      </c>
      <c r="H1979" s="7" t="s">
        <v>301</v>
      </c>
      <c r="I1979" s="7" t="s">
        <v>297</v>
      </c>
      <c r="J1979" s="1">
        <v>5</v>
      </c>
      <c r="K1979" s="1">
        <v>4</v>
      </c>
      <c r="L1979" s="67">
        <f t="shared" si="61"/>
        <v>1</v>
      </c>
    </row>
    <row r="1980" spans="1:12" x14ac:dyDescent="0.2">
      <c r="A1980">
        <v>1979</v>
      </c>
      <c r="B1980" s="7" t="s">
        <v>356</v>
      </c>
      <c r="C1980" t="s">
        <v>1316</v>
      </c>
      <c r="D1980" s="65" t="str">
        <f t="shared" si="60"/>
        <v>Y</v>
      </c>
      <c r="E1980" t="s">
        <v>1313</v>
      </c>
      <c r="F1980" s="7" t="s">
        <v>301</v>
      </c>
      <c r="G1980" s="1">
        <v>5</v>
      </c>
      <c r="H1980" s="7" t="s">
        <v>300</v>
      </c>
      <c r="I1980" s="7" t="s">
        <v>292</v>
      </c>
      <c r="J1980" s="1">
        <v>2</v>
      </c>
      <c r="K1980" s="1">
        <v>5</v>
      </c>
      <c r="L1980" s="67">
        <f t="shared" si="61"/>
        <v>0</v>
      </c>
    </row>
    <row r="1981" spans="1:12" x14ac:dyDescent="0.2">
      <c r="A1981">
        <v>1980</v>
      </c>
      <c r="B1981" s="7" t="s">
        <v>372</v>
      </c>
      <c r="C1981" t="s">
        <v>1316</v>
      </c>
      <c r="D1981" s="65" t="str">
        <f t="shared" si="60"/>
        <v>Y</v>
      </c>
      <c r="E1981" t="s">
        <v>1313</v>
      </c>
      <c r="F1981" s="7" t="s">
        <v>301</v>
      </c>
      <c r="G1981" s="1">
        <v>5</v>
      </c>
      <c r="H1981" s="7" t="s">
        <v>301</v>
      </c>
      <c r="I1981" s="7" t="s">
        <v>292</v>
      </c>
      <c r="J1981" s="1">
        <v>5</v>
      </c>
      <c r="K1981" s="1">
        <v>5</v>
      </c>
      <c r="L1981" s="67">
        <f t="shared" si="61"/>
        <v>1</v>
      </c>
    </row>
    <row r="1982" spans="1:12" x14ac:dyDescent="0.2">
      <c r="A1982">
        <v>1981</v>
      </c>
      <c r="B1982" s="7" t="s">
        <v>356</v>
      </c>
      <c r="C1982" t="s">
        <v>1316</v>
      </c>
      <c r="D1982" s="65" t="str">
        <f t="shared" si="60"/>
        <v>Y</v>
      </c>
      <c r="E1982" t="s">
        <v>1313</v>
      </c>
      <c r="F1982" s="7" t="s">
        <v>301</v>
      </c>
      <c r="G1982" s="1">
        <v>5</v>
      </c>
      <c r="H1982" s="7" t="s">
        <v>291</v>
      </c>
      <c r="I1982" s="7" t="s">
        <v>297</v>
      </c>
      <c r="J1982" s="1">
        <v>1</v>
      </c>
      <c r="K1982" s="1">
        <v>4</v>
      </c>
      <c r="L1982" s="67">
        <f t="shared" si="61"/>
        <v>0</v>
      </c>
    </row>
    <row r="1983" spans="1:12" x14ac:dyDescent="0.2">
      <c r="A1983">
        <v>1982</v>
      </c>
      <c r="B1983" s="7" t="s">
        <v>372</v>
      </c>
      <c r="C1983" t="s">
        <v>1316</v>
      </c>
      <c r="D1983" s="65" t="str">
        <f t="shared" si="60"/>
        <v>Y</v>
      </c>
      <c r="E1983" t="s">
        <v>1313</v>
      </c>
      <c r="F1983" s="7" t="s">
        <v>301</v>
      </c>
      <c r="G1983" s="1">
        <v>5</v>
      </c>
      <c r="H1983" s="7" t="s">
        <v>301</v>
      </c>
      <c r="I1983" s="7" t="s">
        <v>292</v>
      </c>
      <c r="J1983" s="1">
        <v>5</v>
      </c>
      <c r="K1983" s="1">
        <v>5</v>
      </c>
      <c r="L1983" s="67">
        <f t="shared" si="61"/>
        <v>1</v>
      </c>
    </row>
    <row r="1984" spans="1:12" x14ac:dyDescent="0.2">
      <c r="A1984">
        <v>1983</v>
      </c>
      <c r="B1984" s="7" t="s">
        <v>356</v>
      </c>
      <c r="C1984" t="s">
        <v>1316</v>
      </c>
      <c r="D1984" s="65" t="str">
        <f t="shared" si="60"/>
        <v>Y</v>
      </c>
      <c r="E1984" t="s">
        <v>1313</v>
      </c>
      <c r="F1984" s="7" t="s">
        <v>301</v>
      </c>
      <c r="G1984" s="1">
        <v>5</v>
      </c>
      <c r="H1984" s="7" t="s">
        <v>301</v>
      </c>
      <c r="I1984" s="7" t="s">
        <v>296</v>
      </c>
      <c r="J1984" s="1">
        <v>5</v>
      </c>
      <c r="K1984" s="1">
        <v>6</v>
      </c>
      <c r="L1984" s="67">
        <f t="shared" si="61"/>
        <v>1</v>
      </c>
    </row>
    <row r="1985" spans="1:12" x14ac:dyDescent="0.2">
      <c r="A1985">
        <v>1984</v>
      </c>
      <c r="B1985" s="7" t="s">
        <v>372</v>
      </c>
      <c r="C1985" t="s">
        <v>1316</v>
      </c>
      <c r="D1985" s="65" t="str">
        <f t="shared" si="60"/>
        <v>Y</v>
      </c>
      <c r="E1985" t="s">
        <v>1313</v>
      </c>
      <c r="F1985" s="7" t="s">
        <v>301</v>
      </c>
      <c r="G1985" s="1">
        <v>5</v>
      </c>
      <c r="H1985" s="7" t="s">
        <v>301</v>
      </c>
      <c r="I1985" s="7" t="s">
        <v>296</v>
      </c>
      <c r="J1985" s="1">
        <v>5</v>
      </c>
      <c r="K1985" s="1">
        <v>6</v>
      </c>
      <c r="L1985" s="67">
        <f t="shared" si="61"/>
        <v>1</v>
      </c>
    </row>
    <row r="1986" spans="1:12" x14ac:dyDescent="0.2">
      <c r="A1986">
        <v>1985</v>
      </c>
      <c r="B1986" s="7" t="s">
        <v>356</v>
      </c>
      <c r="C1986" t="s">
        <v>1316</v>
      </c>
      <c r="D1986" s="65" t="str">
        <f t="shared" si="60"/>
        <v>Y</v>
      </c>
      <c r="E1986" t="s">
        <v>1313</v>
      </c>
      <c r="F1986" s="7" t="s">
        <v>301</v>
      </c>
      <c r="G1986" s="1">
        <v>5</v>
      </c>
      <c r="H1986" s="7" t="s">
        <v>301</v>
      </c>
      <c r="I1986" s="7" t="s">
        <v>292</v>
      </c>
      <c r="J1986" s="1">
        <v>5</v>
      </c>
      <c r="K1986" s="1">
        <v>5</v>
      </c>
      <c r="L1986" s="67">
        <f t="shared" si="61"/>
        <v>1</v>
      </c>
    </row>
    <row r="1987" spans="1:12" x14ac:dyDescent="0.2">
      <c r="A1987">
        <v>1986</v>
      </c>
      <c r="B1987" s="7" t="s">
        <v>356</v>
      </c>
      <c r="C1987" t="s">
        <v>1316</v>
      </c>
      <c r="D1987" s="65" t="str">
        <f t="shared" ref="D1987:D2050" si="62">IF($E1987="iso", "N", IF(OR($E1987="non", $E1987="emd", $E1987="dyn"), "Y", "ERROR"))</f>
        <v>Y</v>
      </c>
      <c r="E1987" t="s">
        <v>1313</v>
      </c>
      <c r="F1987" s="7" t="s">
        <v>301</v>
      </c>
      <c r="G1987" s="1">
        <v>5</v>
      </c>
      <c r="H1987" s="7" t="s">
        <v>301</v>
      </c>
      <c r="I1987" s="7" t="s">
        <v>294</v>
      </c>
      <c r="J1987" s="1">
        <v>5</v>
      </c>
      <c r="K1987" s="1">
        <v>7</v>
      </c>
      <c r="L1987" s="67">
        <f t="shared" ref="L1987:L2050" si="63">IF(G1987=J1987, 1, 0)</f>
        <v>1</v>
      </c>
    </row>
    <row r="1988" spans="1:12" x14ac:dyDescent="0.2">
      <c r="A1988">
        <v>1987</v>
      </c>
      <c r="B1988" s="7" t="s">
        <v>372</v>
      </c>
      <c r="C1988" t="s">
        <v>1316</v>
      </c>
      <c r="D1988" s="65" t="str">
        <f t="shared" si="62"/>
        <v>Y</v>
      </c>
      <c r="E1988" t="s">
        <v>1313</v>
      </c>
      <c r="F1988" s="7" t="s">
        <v>301</v>
      </c>
      <c r="G1988" s="1">
        <v>5</v>
      </c>
      <c r="H1988" s="7" t="s">
        <v>301</v>
      </c>
      <c r="I1988" s="7" t="s">
        <v>296</v>
      </c>
      <c r="J1988" s="1">
        <v>5</v>
      </c>
      <c r="K1988" s="1">
        <v>6</v>
      </c>
      <c r="L1988" s="67">
        <f t="shared" si="63"/>
        <v>1</v>
      </c>
    </row>
    <row r="1989" spans="1:12" x14ac:dyDescent="0.2">
      <c r="A1989">
        <v>1988</v>
      </c>
      <c r="B1989" s="7" t="s">
        <v>356</v>
      </c>
      <c r="C1989" t="s">
        <v>1316</v>
      </c>
      <c r="D1989" s="65" t="str">
        <f t="shared" si="62"/>
        <v>Y</v>
      </c>
      <c r="E1989" t="s">
        <v>1313</v>
      </c>
      <c r="F1989" s="7" t="s">
        <v>301</v>
      </c>
      <c r="G1989" s="1">
        <v>5</v>
      </c>
      <c r="H1989" s="7" t="s">
        <v>300</v>
      </c>
      <c r="I1989" s="7" t="s">
        <v>296</v>
      </c>
      <c r="J1989" s="1">
        <v>2</v>
      </c>
      <c r="K1989" s="1">
        <v>6</v>
      </c>
      <c r="L1989" s="67">
        <f t="shared" si="63"/>
        <v>0</v>
      </c>
    </row>
    <row r="1990" spans="1:12" x14ac:dyDescent="0.2">
      <c r="A1990">
        <v>1989</v>
      </c>
      <c r="B1990" s="7" t="s">
        <v>372</v>
      </c>
      <c r="C1990" t="s">
        <v>1316</v>
      </c>
      <c r="D1990" s="65" t="str">
        <f t="shared" si="62"/>
        <v>Y</v>
      </c>
      <c r="E1990" t="s">
        <v>1313</v>
      </c>
      <c r="F1990" s="7" t="s">
        <v>301</v>
      </c>
      <c r="G1990" s="1">
        <v>5</v>
      </c>
      <c r="H1990" s="7" t="s">
        <v>301</v>
      </c>
      <c r="I1990" s="7" t="s">
        <v>294</v>
      </c>
      <c r="J1990" s="1">
        <v>5</v>
      </c>
      <c r="K1990" s="1">
        <v>7</v>
      </c>
      <c r="L1990" s="67">
        <f t="shared" si="63"/>
        <v>1</v>
      </c>
    </row>
    <row r="1991" spans="1:12" x14ac:dyDescent="0.2">
      <c r="A1991">
        <v>1990</v>
      </c>
      <c r="B1991" s="7" t="s">
        <v>356</v>
      </c>
      <c r="C1991" t="s">
        <v>1316</v>
      </c>
      <c r="D1991" s="65" t="str">
        <f t="shared" si="62"/>
        <v>Y</v>
      </c>
      <c r="E1991" t="s">
        <v>1313</v>
      </c>
      <c r="F1991" s="7" t="s">
        <v>301</v>
      </c>
      <c r="G1991" s="1">
        <v>5</v>
      </c>
      <c r="H1991" s="7" t="s">
        <v>301</v>
      </c>
      <c r="I1991" s="7" t="s">
        <v>296</v>
      </c>
      <c r="J1991" s="1">
        <v>5</v>
      </c>
      <c r="K1991" s="1">
        <v>6</v>
      </c>
      <c r="L1991" s="67">
        <f t="shared" si="63"/>
        <v>1</v>
      </c>
    </row>
    <row r="1992" spans="1:12" x14ac:dyDescent="0.2">
      <c r="A1992">
        <v>1991</v>
      </c>
      <c r="B1992" s="7" t="s">
        <v>372</v>
      </c>
      <c r="C1992" t="s">
        <v>1316</v>
      </c>
      <c r="D1992" s="65" t="str">
        <f t="shared" si="62"/>
        <v>Y</v>
      </c>
      <c r="E1992" t="s">
        <v>1313</v>
      </c>
      <c r="F1992" s="7" t="s">
        <v>301</v>
      </c>
      <c r="G1992" s="1">
        <v>5</v>
      </c>
      <c r="H1992" s="7" t="s">
        <v>301</v>
      </c>
      <c r="I1992" s="7" t="s">
        <v>296</v>
      </c>
      <c r="J1992" s="1">
        <v>5</v>
      </c>
      <c r="K1992" s="1">
        <v>6</v>
      </c>
      <c r="L1992" s="67">
        <f t="shared" si="63"/>
        <v>1</v>
      </c>
    </row>
    <row r="1993" spans="1:12" x14ac:dyDescent="0.2">
      <c r="A1993">
        <v>1992</v>
      </c>
      <c r="B1993" s="7" t="s">
        <v>372</v>
      </c>
      <c r="C1993" t="s">
        <v>1316</v>
      </c>
      <c r="D1993" s="65" t="str">
        <f t="shared" si="62"/>
        <v>Y</v>
      </c>
      <c r="E1993" t="s">
        <v>1313</v>
      </c>
      <c r="F1993" s="7" t="s">
        <v>301</v>
      </c>
      <c r="G1993" s="1">
        <v>5</v>
      </c>
      <c r="H1993" s="7" t="s">
        <v>282</v>
      </c>
      <c r="I1993" s="7" t="s">
        <v>292</v>
      </c>
      <c r="J1993" s="4" t="s">
        <v>282</v>
      </c>
      <c r="K1993" s="1">
        <v>5</v>
      </c>
      <c r="L1993" s="67">
        <f t="shared" si="63"/>
        <v>0</v>
      </c>
    </row>
    <row r="1994" spans="1:12" x14ac:dyDescent="0.2">
      <c r="A1994">
        <v>1993</v>
      </c>
      <c r="B1994" s="7" t="s">
        <v>356</v>
      </c>
      <c r="C1994" t="s">
        <v>1316</v>
      </c>
      <c r="D1994" s="65" t="str">
        <f t="shared" si="62"/>
        <v>Y</v>
      </c>
      <c r="E1994" t="s">
        <v>1313</v>
      </c>
      <c r="F1994" s="7" t="s">
        <v>301</v>
      </c>
      <c r="G1994" s="1">
        <v>5</v>
      </c>
      <c r="H1994" s="7" t="s">
        <v>301</v>
      </c>
      <c r="I1994" s="7" t="s">
        <v>296</v>
      </c>
      <c r="J1994" s="1">
        <v>5</v>
      </c>
      <c r="K1994" s="1">
        <v>6</v>
      </c>
      <c r="L1994" s="67">
        <f t="shared" si="63"/>
        <v>1</v>
      </c>
    </row>
    <row r="1995" spans="1:12" x14ac:dyDescent="0.2">
      <c r="A1995">
        <v>1994</v>
      </c>
      <c r="B1995" s="7" t="s">
        <v>356</v>
      </c>
      <c r="C1995" t="s">
        <v>1316</v>
      </c>
      <c r="D1995" s="65" t="str">
        <f t="shared" si="62"/>
        <v>Y</v>
      </c>
      <c r="E1995" t="s">
        <v>1313</v>
      </c>
      <c r="F1995" s="7" t="s">
        <v>301</v>
      </c>
      <c r="G1995" s="1">
        <v>5</v>
      </c>
      <c r="H1995" s="7" t="s">
        <v>301</v>
      </c>
      <c r="I1995" s="7" t="s">
        <v>292</v>
      </c>
      <c r="J1995" s="1">
        <v>5</v>
      </c>
      <c r="K1995" s="1">
        <v>5</v>
      </c>
      <c r="L1995" s="67">
        <f t="shared" si="63"/>
        <v>1</v>
      </c>
    </row>
    <row r="1996" spans="1:12" x14ac:dyDescent="0.2">
      <c r="A1996">
        <v>1995</v>
      </c>
      <c r="B1996" s="7" t="s">
        <v>372</v>
      </c>
      <c r="C1996" t="s">
        <v>1316</v>
      </c>
      <c r="D1996" s="65" t="str">
        <f t="shared" si="62"/>
        <v>Y</v>
      </c>
      <c r="E1996" t="s">
        <v>1313</v>
      </c>
      <c r="F1996" s="7" t="s">
        <v>301</v>
      </c>
      <c r="G1996" s="1">
        <v>5</v>
      </c>
      <c r="H1996" s="7" t="s">
        <v>301</v>
      </c>
      <c r="I1996" s="7" t="s">
        <v>292</v>
      </c>
      <c r="J1996" s="1">
        <v>5</v>
      </c>
      <c r="K1996" s="1">
        <v>5</v>
      </c>
      <c r="L1996" s="67">
        <f t="shared" si="63"/>
        <v>1</v>
      </c>
    </row>
    <row r="1997" spans="1:12" x14ac:dyDescent="0.2">
      <c r="A1997">
        <v>1996</v>
      </c>
      <c r="B1997" s="7" t="s">
        <v>356</v>
      </c>
      <c r="C1997" t="s">
        <v>1316</v>
      </c>
      <c r="D1997" s="65" t="str">
        <f t="shared" si="62"/>
        <v>Y</v>
      </c>
      <c r="E1997" t="s">
        <v>1313</v>
      </c>
      <c r="F1997" s="7" t="s">
        <v>301</v>
      </c>
      <c r="G1997" s="1">
        <v>5</v>
      </c>
      <c r="H1997" s="7" t="s">
        <v>301</v>
      </c>
      <c r="I1997" s="7" t="s">
        <v>296</v>
      </c>
      <c r="J1997" s="1">
        <v>5</v>
      </c>
      <c r="K1997" s="1">
        <v>6</v>
      </c>
      <c r="L1997" s="67">
        <f t="shared" si="63"/>
        <v>1</v>
      </c>
    </row>
    <row r="1998" spans="1:12" x14ac:dyDescent="0.2">
      <c r="A1998">
        <v>1997</v>
      </c>
      <c r="B1998" s="7" t="s">
        <v>356</v>
      </c>
      <c r="C1998" t="s">
        <v>1316</v>
      </c>
      <c r="D1998" s="65" t="str">
        <f t="shared" si="62"/>
        <v>Y</v>
      </c>
      <c r="E1998" t="s">
        <v>1313</v>
      </c>
      <c r="F1998" s="7" t="s">
        <v>301</v>
      </c>
      <c r="G1998" s="1">
        <v>5</v>
      </c>
      <c r="H1998" s="7" t="s">
        <v>301</v>
      </c>
      <c r="I1998" s="7" t="s">
        <v>296</v>
      </c>
      <c r="J1998" s="1">
        <v>5</v>
      </c>
      <c r="K1998" s="1">
        <v>6</v>
      </c>
      <c r="L1998" s="67">
        <f t="shared" si="63"/>
        <v>1</v>
      </c>
    </row>
    <row r="1999" spans="1:12" x14ac:dyDescent="0.2">
      <c r="A1999">
        <v>1998</v>
      </c>
      <c r="B1999" s="7" t="s">
        <v>372</v>
      </c>
      <c r="C1999" t="s">
        <v>1316</v>
      </c>
      <c r="D1999" s="65" t="str">
        <f t="shared" si="62"/>
        <v>Y</v>
      </c>
      <c r="E1999" t="s">
        <v>1313</v>
      </c>
      <c r="F1999" s="7" t="s">
        <v>301</v>
      </c>
      <c r="G1999" s="1">
        <v>5</v>
      </c>
      <c r="H1999" s="7" t="s">
        <v>301</v>
      </c>
      <c r="I1999" s="7" t="s">
        <v>294</v>
      </c>
      <c r="J1999" s="1">
        <v>5</v>
      </c>
      <c r="K1999" s="1">
        <v>7</v>
      </c>
      <c r="L1999" s="67">
        <f t="shared" si="63"/>
        <v>1</v>
      </c>
    </row>
    <row r="2000" spans="1:12" x14ac:dyDescent="0.2">
      <c r="A2000">
        <v>1999</v>
      </c>
      <c r="B2000" s="7" t="s">
        <v>372</v>
      </c>
      <c r="C2000" t="s">
        <v>1316</v>
      </c>
      <c r="D2000" s="65" t="str">
        <f t="shared" si="62"/>
        <v>Y</v>
      </c>
      <c r="E2000" t="s">
        <v>1313</v>
      </c>
      <c r="F2000" s="7" t="s">
        <v>301</v>
      </c>
      <c r="G2000" s="1">
        <v>5</v>
      </c>
      <c r="H2000" s="7" t="s">
        <v>300</v>
      </c>
      <c r="I2000" s="7" t="s">
        <v>294</v>
      </c>
      <c r="J2000" s="1">
        <v>2</v>
      </c>
      <c r="K2000" s="1">
        <v>7</v>
      </c>
      <c r="L2000" s="67">
        <f t="shared" si="63"/>
        <v>0</v>
      </c>
    </row>
    <row r="2001" spans="1:12" x14ac:dyDescent="0.2">
      <c r="A2001">
        <v>2000</v>
      </c>
      <c r="B2001" s="7" t="s">
        <v>356</v>
      </c>
      <c r="C2001" t="s">
        <v>1316</v>
      </c>
      <c r="D2001" s="65" t="str">
        <f t="shared" si="62"/>
        <v>Y</v>
      </c>
      <c r="E2001" t="s">
        <v>1313</v>
      </c>
      <c r="F2001" s="7" t="s">
        <v>301</v>
      </c>
      <c r="G2001" s="1">
        <v>5</v>
      </c>
      <c r="H2001" s="7" t="s">
        <v>301</v>
      </c>
      <c r="I2001" s="7" t="s">
        <v>292</v>
      </c>
      <c r="J2001" s="1">
        <v>5</v>
      </c>
      <c r="K2001" s="1">
        <v>5</v>
      </c>
      <c r="L2001" s="67">
        <f t="shared" si="63"/>
        <v>1</v>
      </c>
    </row>
    <row r="2002" spans="1:12" x14ac:dyDescent="0.2">
      <c r="A2002">
        <v>2001</v>
      </c>
      <c r="B2002" s="7" t="s">
        <v>356</v>
      </c>
      <c r="C2002" t="s">
        <v>1316</v>
      </c>
      <c r="D2002" s="65" t="str">
        <f t="shared" si="62"/>
        <v>Y</v>
      </c>
      <c r="E2002" t="s">
        <v>1313</v>
      </c>
      <c r="F2002" s="7" t="s">
        <v>301</v>
      </c>
      <c r="G2002" s="1">
        <v>5</v>
      </c>
      <c r="H2002" s="7" t="s">
        <v>301</v>
      </c>
      <c r="I2002" s="7" t="s">
        <v>296</v>
      </c>
      <c r="J2002" s="1">
        <v>5</v>
      </c>
      <c r="K2002" s="1">
        <v>6</v>
      </c>
      <c r="L2002" s="67">
        <f t="shared" si="63"/>
        <v>1</v>
      </c>
    </row>
    <row r="2003" spans="1:12" x14ac:dyDescent="0.2">
      <c r="A2003">
        <v>2002</v>
      </c>
      <c r="B2003" s="7" t="s">
        <v>372</v>
      </c>
      <c r="C2003" t="s">
        <v>1316</v>
      </c>
      <c r="D2003" s="65" t="str">
        <f t="shared" si="62"/>
        <v>Y</v>
      </c>
      <c r="E2003" t="s">
        <v>1313</v>
      </c>
      <c r="F2003" s="7" t="s">
        <v>301</v>
      </c>
      <c r="G2003" s="1">
        <v>5</v>
      </c>
      <c r="H2003" s="7" t="s">
        <v>300</v>
      </c>
      <c r="I2003" s="7" t="s">
        <v>297</v>
      </c>
      <c r="J2003" s="1">
        <v>2</v>
      </c>
      <c r="K2003" s="1">
        <v>4</v>
      </c>
      <c r="L2003" s="67">
        <f t="shared" si="63"/>
        <v>0</v>
      </c>
    </row>
    <row r="2004" spans="1:12" x14ac:dyDescent="0.2">
      <c r="A2004">
        <v>2003</v>
      </c>
      <c r="B2004" s="7" t="s">
        <v>356</v>
      </c>
      <c r="C2004" t="s">
        <v>1316</v>
      </c>
      <c r="D2004" s="65" t="str">
        <f t="shared" si="62"/>
        <v>Y</v>
      </c>
      <c r="E2004" t="s">
        <v>1313</v>
      </c>
      <c r="F2004" s="7" t="s">
        <v>301</v>
      </c>
      <c r="G2004" s="1">
        <v>5</v>
      </c>
      <c r="H2004" s="7" t="s">
        <v>291</v>
      </c>
      <c r="I2004" s="7" t="s">
        <v>297</v>
      </c>
      <c r="J2004" s="1">
        <v>1</v>
      </c>
      <c r="K2004" s="1">
        <v>4</v>
      </c>
      <c r="L2004" s="67">
        <f t="shared" si="63"/>
        <v>0</v>
      </c>
    </row>
    <row r="2005" spans="1:12" x14ac:dyDescent="0.2">
      <c r="A2005">
        <v>2004</v>
      </c>
      <c r="B2005" s="7" t="s">
        <v>372</v>
      </c>
      <c r="C2005" t="s">
        <v>1316</v>
      </c>
      <c r="D2005" s="65" t="str">
        <f t="shared" si="62"/>
        <v>Y</v>
      </c>
      <c r="E2005" t="s">
        <v>1313</v>
      </c>
      <c r="F2005" s="7" t="s">
        <v>301</v>
      </c>
      <c r="G2005" s="1">
        <v>5</v>
      </c>
      <c r="H2005" s="7" t="s">
        <v>301</v>
      </c>
      <c r="I2005" s="7" t="s">
        <v>292</v>
      </c>
      <c r="J2005" s="1">
        <v>5</v>
      </c>
      <c r="K2005" s="1">
        <v>5</v>
      </c>
      <c r="L2005" s="67">
        <f t="shared" si="63"/>
        <v>1</v>
      </c>
    </row>
    <row r="2006" spans="1:12" x14ac:dyDescent="0.2">
      <c r="A2006">
        <v>2005</v>
      </c>
      <c r="B2006" s="7" t="s">
        <v>356</v>
      </c>
      <c r="C2006" t="s">
        <v>1316</v>
      </c>
      <c r="D2006" s="65" t="str">
        <f t="shared" si="62"/>
        <v>Y</v>
      </c>
      <c r="E2006" t="s">
        <v>1313</v>
      </c>
      <c r="F2006" s="7" t="s">
        <v>301</v>
      </c>
      <c r="G2006" s="1">
        <v>5</v>
      </c>
      <c r="H2006" s="7" t="s">
        <v>301</v>
      </c>
      <c r="I2006" s="7" t="s">
        <v>296</v>
      </c>
      <c r="J2006" s="1">
        <v>5</v>
      </c>
      <c r="K2006" s="1">
        <v>6</v>
      </c>
      <c r="L2006" s="67">
        <f t="shared" si="63"/>
        <v>1</v>
      </c>
    </row>
    <row r="2007" spans="1:12" x14ac:dyDescent="0.2">
      <c r="A2007">
        <v>2006</v>
      </c>
      <c r="B2007" s="7" t="s">
        <v>372</v>
      </c>
      <c r="C2007" t="s">
        <v>1316</v>
      </c>
      <c r="D2007" s="65" t="str">
        <f t="shared" si="62"/>
        <v>Y</v>
      </c>
      <c r="E2007" t="s">
        <v>1313</v>
      </c>
      <c r="F2007" s="7" t="s">
        <v>301</v>
      </c>
      <c r="G2007" s="1">
        <v>5</v>
      </c>
      <c r="H2007" s="7" t="s">
        <v>301</v>
      </c>
      <c r="I2007" s="7" t="s">
        <v>296</v>
      </c>
      <c r="J2007" s="1">
        <v>5</v>
      </c>
      <c r="K2007" s="1">
        <v>6</v>
      </c>
      <c r="L2007" s="67">
        <f t="shared" si="63"/>
        <v>1</v>
      </c>
    </row>
    <row r="2008" spans="1:12" x14ac:dyDescent="0.2">
      <c r="A2008">
        <v>2007</v>
      </c>
      <c r="B2008" s="7" t="s">
        <v>356</v>
      </c>
      <c r="C2008" t="s">
        <v>1316</v>
      </c>
      <c r="D2008" s="65" t="str">
        <f t="shared" si="62"/>
        <v>Y</v>
      </c>
      <c r="E2008" t="s">
        <v>1313</v>
      </c>
      <c r="F2008" s="7" t="s">
        <v>301</v>
      </c>
      <c r="G2008" s="1">
        <v>5</v>
      </c>
      <c r="H2008" s="7" t="s">
        <v>301</v>
      </c>
      <c r="I2008" s="7" t="s">
        <v>296</v>
      </c>
      <c r="J2008" s="1">
        <v>5</v>
      </c>
      <c r="K2008" s="1">
        <v>6</v>
      </c>
      <c r="L2008" s="67">
        <f t="shared" si="63"/>
        <v>1</v>
      </c>
    </row>
    <row r="2009" spans="1:12" x14ac:dyDescent="0.2">
      <c r="A2009">
        <v>2008</v>
      </c>
      <c r="B2009" s="7" t="s">
        <v>356</v>
      </c>
      <c r="C2009" t="s">
        <v>1316</v>
      </c>
      <c r="D2009" s="65" t="str">
        <f t="shared" si="62"/>
        <v>Y</v>
      </c>
      <c r="E2009" t="s">
        <v>1313</v>
      </c>
      <c r="F2009" s="7" t="s">
        <v>301</v>
      </c>
      <c r="G2009" s="1">
        <v>5</v>
      </c>
      <c r="H2009" s="7" t="s">
        <v>282</v>
      </c>
      <c r="I2009" s="7" t="s">
        <v>294</v>
      </c>
      <c r="J2009" s="4" t="s">
        <v>282</v>
      </c>
      <c r="K2009" s="1">
        <v>7</v>
      </c>
      <c r="L2009" s="67">
        <f t="shared" si="63"/>
        <v>0</v>
      </c>
    </row>
    <row r="2010" spans="1:12" x14ac:dyDescent="0.2">
      <c r="A2010">
        <v>2009</v>
      </c>
      <c r="B2010" s="7" t="s">
        <v>372</v>
      </c>
      <c r="C2010" t="s">
        <v>1316</v>
      </c>
      <c r="D2010" s="65" t="str">
        <f t="shared" si="62"/>
        <v>Y</v>
      </c>
      <c r="E2010" t="s">
        <v>1313</v>
      </c>
      <c r="F2010" s="7" t="s">
        <v>301</v>
      </c>
      <c r="G2010" s="1">
        <v>5</v>
      </c>
      <c r="H2010" s="7" t="s">
        <v>301</v>
      </c>
      <c r="I2010" s="7" t="s">
        <v>296</v>
      </c>
      <c r="J2010" s="1">
        <v>5</v>
      </c>
      <c r="K2010" s="1">
        <v>6</v>
      </c>
      <c r="L2010" s="67">
        <f t="shared" si="63"/>
        <v>1</v>
      </c>
    </row>
    <row r="2011" spans="1:12" x14ac:dyDescent="0.2">
      <c r="A2011">
        <v>2010</v>
      </c>
      <c r="B2011" s="7" t="s">
        <v>372</v>
      </c>
      <c r="C2011" t="s">
        <v>1316</v>
      </c>
      <c r="D2011" s="65" t="str">
        <f t="shared" si="62"/>
        <v>Y</v>
      </c>
      <c r="E2011" t="s">
        <v>1313</v>
      </c>
      <c r="F2011" s="7" t="s">
        <v>301</v>
      </c>
      <c r="G2011" s="1">
        <v>5</v>
      </c>
      <c r="H2011" s="7" t="s">
        <v>301</v>
      </c>
      <c r="I2011" s="7" t="s">
        <v>294</v>
      </c>
      <c r="J2011" s="1">
        <v>5</v>
      </c>
      <c r="K2011" s="1">
        <v>7</v>
      </c>
      <c r="L2011" s="67">
        <f t="shared" si="63"/>
        <v>1</v>
      </c>
    </row>
    <row r="2012" spans="1:12" x14ac:dyDescent="0.2">
      <c r="A2012">
        <v>2011</v>
      </c>
      <c r="B2012" s="7" t="s">
        <v>356</v>
      </c>
      <c r="C2012" t="s">
        <v>1316</v>
      </c>
      <c r="D2012" s="65" t="str">
        <f t="shared" si="62"/>
        <v>Y</v>
      </c>
      <c r="E2012" t="s">
        <v>1313</v>
      </c>
      <c r="F2012" s="7" t="s">
        <v>301</v>
      </c>
      <c r="G2012" s="1">
        <v>5</v>
      </c>
      <c r="H2012" s="7" t="s">
        <v>301</v>
      </c>
      <c r="I2012" s="7" t="s">
        <v>292</v>
      </c>
      <c r="J2012" s="1">
        <v>5</v>
      </c>
      <c r="K2012" s="1">
        <v>5</v>
      </c>
      <c r="L2012" s="67">
        <f t="shared" si="63"/>
        <v>1</v>
      </c>
    </row>
    <row r="2013" spans="1:12" x14ac:dyDescent="0.2">
      <c r="A2013">
        <v>2012</v>
      </c>
      <c r="B2013" s="7" t="s">
        <v>372</v>
      </c>
      <c r="C2013" t="s">
        <v>1316</v>
      </c>
      <c r="D2013" s="65" t="str">
        <f t="shared" si="62"/>
        <v>Y</v>
      </c>
      <c r="E2013" t="s">
        <v>1313</v>
      </c>
      <c r="F2013" s="7" t="s">
        <v>301</v>
      </c>
      <c r="G2013" s="1">
        <v>5</v>
      </c>
      <c r="H2013" s="7" t="s">
        <v>300</v>
      </c>
      <c r="I2013" s="7" t="s">
        <v>292</v>
      </c>
      <c r="J2013" s="1">
        <v>2</v>
      </c>
      <c r="K2013" s="1">
        <v>5</v>
      </c>
      <c r="L2013" s="67">
        <f t="shared" si="63"/>
        <v>0</v>
      </c>
    </row>
    <row r="2014" spans="1:12" x14ac:dyDescent="0.2">
      <c r="A2014">
        <v>2013</v>
      </c>
      <c r="B2014" s="7" t="s">
        <v>372</v>
      </c>
      <c r="C2014" t="s">
        <v>1316</v>
      </c>
      <c r="D2014" s="65" t="str">
        <f t="shared" si="62"/>
        <v>Y</v>
      </c>
      <c r="E2014" t="s">
        <v>1313</v>
      </c>
      <c r="F2014" s="7" t="s">
        <v>301</v>
      </c>
      <c r="G2014" s="1">
        <v>5</v>
      </c>
      <c r="H2014" s="7" t="s">
        <v>301</v>
      </c>
      <c r="I2014" s="7" t="s">
        <v>296</v>
      </c>
      <c r="J2014" s="1">
        <v>5</v>
      </c>
      <c r="K2014" s="1">
        <v>6</v>
      </c>
      <c r="L2014" s="67">
        <f t="shared" si="63"/>
        <v>1</v>
      </c>
    </row>
    <row r="2015" spans="1:12" x14ac:dyDescent="0.2">
      <c r="A2015">
        <v>2014</v>
      </c>
      <c r="B2015" s="7" t="s">
        <v>372</v>
      </c>
      <c r="C2015" t="s">
        <v>1316</v>
      </c>
      <c r="D2015" s="65" t="str">
        <f t="shared" si="62"/>
        <v>Y</v>
      </c>
      <c r="E2015" t="s">
        <v>1313</v>
      </c>
      <c r="F2015" s="7" t="s">
        <v>301</v>
      </c>
      <c r="G2015" s="1">
        <v>5</v>
      </c>
      <c r="H2015" s="7" t="s">
        <v>301</v>
      </c>
      <c r="I2015" s="7" t="s">
        <v>292</v>
      </c>
      <c r="J2015" s="1">
        <v>5</v>
      </c>
      <c r="K2015" s="1">
        <v>5</v>
      </c>
      <c r="L2015" s="67">
        <f t="shared" si="63"/>
        <v>1</v>
      </c>
    </row>
    <row r="2016" spans="1:12" x14ac:dyDescent="0.2">
      <c r="A2016">
        <v>2015</v>
      </c>
      <c r="B2016" s="7" t="s">
        <v>356</v>
      </c>
      <c r="C2016" t="s">
        <v>1316</v>
      </c>
      <c r="D2016" s="65" t="str">
        <f t="shared" si="62"/>
        <v>Y</v>
      </c>
      <c r="E2016" t="s">
        <v>1313</v>
      </c>
      <c r="F2016" s="7" t="s">
        <v>301</v>
      </c>
      <c r="G2016" s="1">
        <v>5</v>
      </c>
      <c r="H2016" s="7" t="s">
        <v>301</v>
      </c>
      <c r="I2016" s="7" t="s">
        <v>294</v>
      </c>
      <c r="J2016" s="1">
        <v>5</v>
      </c>
      <c r="K2016" s="1">
        <v>7</v>
      </c>
      <c r="L2016" s="67">
        <f t="shared" si="63"/>
        <v>1</v>
      </c>
    </row>
    <row r="2017" spans="1:12" x14ac:dyDescent="0.2">
      <c r="A2017">
        <v>2016</v>
      </c>
      <c r="B2017" s="7" t="s">
        <v>372</v>
      </c>
      <c r="C2017" t="s">
        <v>1316</v>
      </c>
      <c r="D2017" s="65" t="str">
        <f t="shared" si="62"/>
        <v>Y</v>
      </c>
      <c r="E2017" t="s">
        <v>1313</v>
      </c>
      <c r="F2017" s="7" t="s">
        <v>301</v>
      </c>
      <c r="G2017" s="1">
        <v>5</v>
      </c>
      <c r="H2017" s="7" t="s">
        <v>301</v>
      </c>
      <c r="I2017" s="7" t="s">
        <v>292</v>
      </c>
      <c r="J2017" s="1">
        <v>5</v>
      </c>
      <c r="K2017" s="1">
        <v>5</v>
      </c>
      <c r="L2017" s="67">
        <f t="shared" si="63"/>
        <v>1</v>
      </c>
    </row>
    <row r="2018" spans="1:12" x14ac:dyDescent="0.2">
      <c r="A2018">
        <v>2017</v>
      </c>
      <c r="B2018" s="7" t="s">
        <v>356</v>
      </c>
      <c r="C2018" t="s">
        <v>1316</v>
      </c>
      <c r="D2018" s="65" t="str">
        <f t="shared" si="62"/>
        <v>Y</v>
      </c>
      <c r="E2018" t="s">
        <v>1313</v>
      </c>
      <c r="F2018" s="7" t="s">
        <v>301</v>
      </c>
      <c r="G2018" s="1">
        <v>5</v>
      </c>
      <c r="H2018" s="7" t="s">
        <v>301</v>
      </c>
      <c r="I2018" s="7" t="s">
        <v>292</v>
      </c>
      <c r="J2018" s="1">
        <v>5</v>
      </c>
      <c r="K2018" s="1">
        <v>5</v>
      </c>
      <c r="L2018" s="67">
        <f t="shared" si="63"/>
        <v>1</v>
      </c>
    </row>
    <row r="2019" spans="1:12" x14ac:dyDescent="0.2">
      <c r="A2019">
        <v>2018</v>
      </c>
      <c r="B2019" s="7" t="s">
        <v>356</v>
      </c>
      <c r="C2019" t="s">
        <v>1316</v>
      </c>
      <c r="D2019" s="65" t="str">
        <f t="shared" si="62"/>
        <v>Y</v>
      </c>
      <c r="E2019" t="s">
        <v>1313</v>
      </c>
      <c r="F2019" s="7" t="s">
        <v>301</v>
      </c>
      <c r="G2019" s="1">
        <v>5</v>
      </c>
      <c r="H2019" s="7" t="s">
        <v>301</v>
      </c>
      <c r="I2019" s="7" t="s">
        <v>292</v>
      </c>
      <c r="J2019" s="1">
        <v>5</v>
      </c>
      <c r="K2019" s="1">
        <v>5</v>
      </c>
      <c r="L2019" s="67">
        <f t="shared" si="63"/>
        <v>1</v>
      </c>
    </row>
    <row r="2020" spans="1:12" x14ac:dyDescent="0.2">
      <c r="A2020">
        <v>2019</v>
      </c>
      <c r="B2020" s="7" t="s">
        <v>372</v>
      </c>
      <c r="C2020" t="s">
        <v>1316</v>
      </c>
      <c r="D2020" s="65" t="str">
        <f t="shared" si="62"/>
        <v>Y</v>
      </c>
      <c r="E2020" t="s">
        <v>1313</v>
      </c>
      <c r="F2020" s="7" t="s">
        <v>301</v>
      </c>
      <c r="G2020" s="1">
        <v>5</v>
      </c>
      <c r="H2020" s="7" t="s">
        <v>282</v>
      </c>
      <c r="I2020" s="7" t="s">
        <v>296</v>
      </c>
      <c r="J2020" s="4" t="s">
        <v>282</v>
      </c>
      <c r="K2020" s="1">
        <v>6</v>
      </c>
      <c r="L2020" s="67">
        <f t="shared" si="63"/>
        <v>0</v>
      </c>
    </row>
    <row r="2021" spans="1:12" x14ac:dyDescent="0.2">
      <c r="A2021">
        <v>2020</v>
      </c>
      <c r="B2021" s="7" t="s">
        <v>372</v>
      </c>
      <c r="C2021" t="s">
        <v>1316</v>
      </c>
      <c r="D2021" s="65" t="str">
        <f t="shared" si="62"/>
        <v>Y</v>
      </c>
      <c r="E2021" t="s">
        <v>1313</v>
      </c>
      <c r="F2021" s="7" t="s">
        <v>301</v>
      </c>
      <c r="G2021" s="1">
        <v>5</v>
      </c>
      <c r="H2021" s="7" t="s">
        <v>301</v>
      </c>
      <c r="I2021" s="7" t="s">
        <v>294</v>
      </c>
      <c r="J2021" s="1">
        <v>5</v>
      </c>
      <c r="K2021" s="1">
        <v>7</v>
      </c>
      <c r="L2021" s="67">
        <f t="shared" si="63"/>
        <v>1</v>
      </c>
    </row>
    <row r="2022" spans="1:12" x14ac:dyDescent="0.2">
      <c r="A2022">
        <v>2021</v>
      </c>
      <c r="B2022" s="7" t="s">
        <v>356</v>
      </c>
      <c r="C2022" t="s">
        <v>1316</v>
      </c>
      <c r="D2022" s="65" t="str">
        <f t="shared" si="62"/>
        <v>Y</v>
      </c>
      <c r="E2022" t="s">
        <v>1313</v>
      </c>
      <c r="F2022" s="7" t="s">
        <v>301</v>
      </c>
      <c r="G2022" s="1">
        <v>5</v>
      </c>
      <c r="H2022" s="7" t="s">
        <v>301</v>
      </c>
      <c r="I2022" s="7" t="s">
        <v>294</v>
      </c>
      <c r="J2022" s="1">
        <v>5</v>
      </c>
      <c r="K2022" s="1">
        <v>7</v>
      </c>
      <c r="L2022" s="67">
        <f t="shared" si="63"/>
        <v>1</v>
      </c>
    </row>
    <row r="2023" spans="1:12" x14ac:dyDescent="0.2">
      <c r="A2023">
        <v>2022</v>
      </c>
      <c r="B2023" s="7" t="s">
        <v>372</v>
      </c>
      <c r="C2023" t="s">
        <v>1316</v>
      </c>
      <c r="D2023" s="65" t="str">
        <f t="shared" si="62"/>
        <v>Y</v>
      </c>
      <c r="E2023" t="s">
        <v>1313</v>
      </c>
      <c r="F2023" s="7" t="s">
        <v>301</v>
      </c>
      <c r="G2023" s="1">
        <v>5</v>
      </c>
      <c r="H2023" s="7" t="s">
        <v>301</v>
      </c>
      <c r="I2023" s="7" t="s">
        <v>292</v>
      </c>
      <c r="J2023" s="1">
        <v>5</v>
      </c>
      <c r="K2023" s="1">
        <v>5</v>
      </c>
      <c r="L2023" s="67">
        <f t="shared" si="63"/>
        <v>1</v>
      </c>
    </row>
    <row r="2024" spans="1:12" x14ac:dyDescent="0.2">
      <c r="A2024">
        <v>2023</v>
      </c>
      <c r="B2024" s="7" t="s">
        <v>356</v>
      </c>
      <c r="C2024" t="s">
        <v>1316</v>
      </c>
      <c r="D2024" s="65" t="str">
        <f t="shared" si="62"/>
        <v>Y</v>
      </c>
      <c r="E2024" t="s">
        <v>1313</v>
      </c>
      <c r="F2024" s="7" t="s">
        <v>301</v>
      </c>
      <c r="G2024" s="1">
        <v>5</v>
      </c>
      <c r="H2024" s="7" t="s">
        <v>301</v>
      </c>
      <c r="I2024" s="7" t="s">
        <v>292</v>
      </c>
      <c r="J2024" s="1">
        <v>5</v>
      </c>
      <c r="K2024" s="1">
        <v>5</v>
      </c>
      <c r="L2024" s="67">
        <f t="shared" si="63"/>
        <v>1</v>
      </c>
    </row>
    <row r="2025" spans="1:12" x14ac:dyDescent="0.2">
      <c r="A2025">
        <v>2024</v>
      </c>
      <c r="B2025" s="7" t="s">
        <v>372</v>
      </c>
      <c r="C2025" t="s">
        <v>1316</v>
      </c>
      <c r="D2025" s="65" t="str">
        <f t="shared" si="62"/>
        <v>Y</v>
      </c>
      <c r="E2025" t="s">
        <v>1313</v>
      </c>
      <c r="F2025" s="7" t="s">
        <v>301</v>
      </c>
      <c r="G2025" s="1">
        <v>5</v>
      </c>
      <c r="H2025" s="7" t="s">
        <v>301</v>
      </c>
      <c r="I2025" s="7" t="s">
        <v>296</v>
      </c>
      <c r="J2025" s="1">
        <v>5</v>
      </c>
      <c r="K2025" s="1">
        <v>6</v>
      </c>
      <c r="L2025" s="67">
        <f t="shared" si="63"/>
        <v>1</v>
      </c>
    </row>
    <row r="2026" spans="1:12" x14ac:dyDescent="0.2">
      <c r="A2026">
        <v>2025</v>
      </c>
      <c r="B2026" s="7" t="s">
        <v>372</v>
      </c>
      <c r="C2026" t="s">
        <v>1316</v>
      </c>
      <c r="D2026" s="65" t="str">
        <f t="shared" si="62"/>
        <v>Y</v>
      </c>
      <c r="E2026" t="s">
        <v>1313</v>
      </c>
      <c r="F2026" s="7" t="s">
        <v>301</v>
      </c>
      <c r="G2026" s="1">
        <v>5</v>
      </c>
      <c r="H2026" s="7" t="s">
        <v>301</v>
      </c>
      <c r="I2026" s="7" t="s">
        <v>296</v>
      </c>
      <c r="J2026" s="1">
        <v>5</v>
      </c>
      <c r="K2026" s="1">
        <v>6</v>
      </c>
      <c r="L2026" s="67">
        <f t="shared" si="63"/>
        <v>1</v>
      </c>
    </row>
    <row r="2027" spans="1:12" x14ac:dyDescent="0.2">
      <c r="A2027">
        <v>2026</v>
      </c>
      <c r="B2027" s="7" t="s">
        <v>356</v>
      </c>
      <c r="C2027" t="s">
        <v>1316</v>
      </c>
      <c r="D2027" s="65" t="str">
        <f t="shared" si="62"/>
        <v>Y</v>
      </c>
      <c r="E2027" t="s">
        <v>1313</v>
      </c>
      <c r="F2027" s="7" t="s">
        <v>301</v>
      </c>
      <c r="G2027" s="1">
        <v>5</v>
      </c>
      <c r="H2027" s="7" t="s">
        <v>301</v>
      </c>
      <c r="I2027" s="7" t="s">
        <v>292</v>
      </c>
      <c r="J2027" s="1">
        <v>5</v>
      </c>
      <c r="K2027" s="1">
        <v>5</v>
      </c>
      <c r="L2027" s="67">
        <f t="shared" si="63"/>
        <v>1</v>
      </c>
    </row>
    <row r="2028" spans="1:12" x14ac:dyDescent="0.2">
      <c r="A2028">
        <v>2027</v>
      </c>
      <c r="B2028" s="7" t="s">
        <v>372</v>
      </c>
      <c r="C2028" t="s">
        <v>1316</v>
      </c>
      <c r="D2028" s="65" t="str">
        <f t="shared" si="62"/>
        <v>Y</v>
      </c>
      <c r="E2028" t="s">
        <v>1313</v>
      </c>
      <c r="F2028" s="7" t="s">
        <v>301</v>
      </c>
      <c r="G2028" s="1">
        <v>5</v>
      </c>
      <c r="H2028" s="7" t="s">
        <v>301</v>
      </c>
      <c r="I2028" s="7" t="s">
        <v>296</v>
      </c>
      <c r="J2028" s="1">
        <v>5</v>
      </c>
      <c r="K2028" s="1">
        <v>6</v>
      </c>
      <c r="L2028" s="67">
        <f t="shared" si="63"/>
        <v>1</v>
      </c>
    </row>
    <row r="2029" spans="1:12" x14ac:dyDescent="0.2">
      <c r="A2029">
        <v>2028</v>
      </c>
      <c r="B2029" s="7" t="s">
        <v>356</v>
      </c>
      <c r="C2029" t="s">
        <v>1316</v>
      </c>
      <c r="D2029" s="65" t="str">
        <f t="shared" si="62"/>
        <v>Y</v>
      </c>
      <c r="E2029" t="s">
        <v>1313</v>
      </c>
      <c r="F2029" s="7" t="s">
        <v>301</v>
      </c>
      <c r="G2029" s="1">
        <v>5</v>
      </c>
      <c r="H2029" s="7" t="s">
        <v>301</v>
      </c>
      <c r="I2029" s="7" t="s">
        <v>296</v>
      </c>
      <c r="J2029" s="1">
        <v>5</v>
      </c>
      <c r="K2029" s="1">
        <v>6</v>
      </c>
      <c r="L2029" s="67">
        <f t="shared" si="63"/>
        <v>1</v>
      </c>
    </row>
    <row r="2030" spans="1:12" x14ac:dyDescent="0.2">
      <c r="A2030">
        <v>2029</v>
      </c>
      <c r="B2030" s="7" t="s">
        <v>356</v>
      </c>
      <c r="C2030" t="s">
        <v>1316</v>
      </c>
      <c r="D2030" s="65" t="str">
        <f t="shared" si="62"/>
        <v>Y</v>
      </c>
      <c r="E2030" t="s">
        <v>1313</v>
      </c>
      <c r="F2030" s="7" t="s">
        <v>301</v>
      </c>
      <c r="G2030" s="1">
        <v>5</v>
      </c>
      <c r="H2030" s="7" t="s">
        <v>301</v>
      </c>
      <c r="I2030" s="7" t="s">
        <v>296</v>
      </c>
      <c r="J2030" s="1">
        <v>5</v>
      </c>
      <c r="K2030" s="1">
        <v>6</v>
      </c>
      <c r="L2030" s="67">
        <f t="shared" si="63"/>
        <v>1</v>
      </c>
    </row>
    <row r="2031" spans="1:12" x14ac:dyDescent="0.2">
      <c r="A2031">
        <v>2030</v>
      </c>
      <c r="B2031" s="7" t="s">
        <v>372</v>
      </c>
      <c r="C2031" t="s">
        <v>1316</v>
      </c>
      <c r="D2031" s="65" t="str">
        <f t="shared" si="62"/>
        <v>Y</v>
      </c>
      <c r="E2031" t="s">
        <v>1313</v>
      </c>
      <c r="F2031" s="7" t="s">
        <v>301</v>
      </c>
      <c r="G2031" s="1">
        <v>5</v>
      </c>
      <c r="H2031" s="7" t="s">
        <v>282</v>
      </c>
      <c r="I2031" s="7" t="s">
        <v>292</v>
      </c>
      <c r="J2031" s="4" t="s">
        <v>282</v>
      </c>
      <c r="K2031" s="1">
        <v>5</v>
      </c>
      <c r="L2031" s="67">
        <f t="shared" si="63"/>
        <v>0</v>
      </c>
    </row>
    <row r="2032" spans="1:12" x14ac:dyDescent="0.2">
      <c r="A2032">
        <v>2031</v>
      </c>
      <c r="B2032" s="7" t="s">
        <v>356</v>
      </c>
      <c r="C2032" t="s">
        <v>1316</v>
      </c>
      <c r="D2032" s="65" t="str">
        <f t="shared" si="62"/>
        <v>Y</v>
      </c>
      <c r="E2032" t="s">
        <v>1313</v>
      </c>
      <c r="F2032" s="7" t="s">
        <v>301</v>
      </c>
      <c r="G2032" s="1">
        <v>5</v>
      </c>
      <c r="H2032" s="7" t="s">
        <v>301</v>
      </c>
      <c r="I2032" s="7" t="s">
        <v>294</v>
      </c>
      <c r="J2032" s="1">
        <v>5</v>
      </c>
      <c r="K2032" s="1">
        <v>7</v>
      </c>
      <c r="L2032" s="67">
        <f t="shared" si="63"/>
        <v>1</v>
      </c>
    </row>
    <row r="2033" spans="1:12" x14ac:dyDescent="0.2">
      <c r="A2033">
        <v>2032</v>
      </c>
      <c r="B2033" s="7" t="s">
        <v>372</v>
      </c>
      <c r="C2033" t="s">
        <v>1316</v>
      </c>
      <c r="D2033" s="65" t="str">
        <f t="shared" si="62"/>
        <v>Y</v>
      </c>
      <c r="E2033" t="s">
        <v>1313</v>
      </c>
      <c r="F2033" s="7" t="s">
        <v>301</v>
      </c>
      <c r="G2033" s="1">
        <v>5</v>
      </c>
      <c r="H2033" s="7" t="s">
        <v>301</v>
      </c>
      <c r="I2033" s="7" t="s">
        <v>292</v>
      </c>
      <c r="J2033" s="1">
        <v>5</v>
      </c>
      <c r="K2033" s="1">
        <v>5</v>
      </c>
      <c r="L2033" s="67">
        <f t="shared" si="63"/>
        <v>1</v>
      </c>
    </row>
    <row r="2034" spans="1:12" x14ac:dyDescent="0.2">
      <c r="A2034">
        <v>2033</v>
      </c>
      <c r="B2034" s="7" t="s">
        <v>356</v>
      </c>
      <c r="C2034" t="s">
        <v>1316</v>
      </c>
      <c r="D2034" s="65" t="str">
        <f t="shared" si="62"/>
        <v>Y</v>
      </c>
      <c r="E2034" t="s">
        <v>1313</v>
      </c>
      <c r="F2034" s="7" t="s">
        <v>301</v>
      </c>
      <c r="G2034" s="1">
        <v>5</v>
      </c>
      <c r="H2034" s="7" t="s">
        <v>282</v>
      </c>
      <c r="I2034" s="7" t="s">
        <v>297</v>
      </c>
      <c r="J2034" s="4" t="s">
        <v>282</v>
      </c>
      <c r="K2034" s="1">
        <v>4</v>
      </c>
      <c r="L2034" s="67">
        <f t="shared" si="63"/>
        <v>0</v>
      </c>
    </row>
    <row r="2035" spans="1:12" x14ac:dyDescent="0.2">
      <c r="A2035">
        <v>2034</v>
      </c>
      <c r="B2035" s="7" t="s">
        <v>372</v>
      </c>
      <c r="C2035" t="s">
        <v>1316</v>
      </c>
      <c r="D2035" s="65" t="str">
        <f t="shared" si="62"/>
        <v>Y</v>
      </c>
      <c r="E2035" t="s">
        <v>1313</v>
      </c>
      <c r="F2035" s="7" t="s">
        <v>301</v>
      </c>
      <c r="G2035" s="1">
        <v>5</v>
      </c>
      <c r="H2035" s="7" t="s">
        <v>301</v>
      </c>
      <c r="I2035" s="7" t="s">
        <v>294</v>
      </c>
      <c r="J2035" s="1">
        <v>5</v>
      </c>
      <c r="K2035" s="1">
        <v>7</v>
      </c>
      <c r="L2035" s="67">
        <f t="shared" si="63"/>
        <v>1</v>
      </c>
    </row>
    <row r="2036" spans="1:12" x14ac:dyDescent="0.2">
      <c r="A2036">
        <v>2035</v>
      </c>
      <c r="B2036" s="7" t="s">
        <v>356</v>
      </c>
      <c r="C2036" t="s">
        <v>1316</v>
      </c>
      <c r="D2036" s="65" t="str">
        <f t="shared" si="62"/>
        <v>Y</v>
      </c>
      <c r="E2036" t="s">
        <v>1313</v>
      </c>
      <c r="F2036" s="7" t="s">
        <v>301</v>
      </c>
      <c r="G2036" s="1">
        <v>5</v>
      </c>
      <c r="H2036" s="7" t="s">
        <v>301</v>
      </c>
      <c r="I2036" s="7" t="s">
        <v>294</v>
      </c>
      <c r="J2036" s="1">
        <v>5</v>
      </c>
      <c r="K2036" s="1">
        <v>7</v>
      </c>
      <c r="L2036" s="67">
        <f t="shared" si="63"/>
        <v>1</v>
      </c>
    </row>
    <row r="2037" spans="1:12" x14ac:dyDescent="0.2">
      <c r="A2037">
        <v>2036</v>
      </c>
      <c r="B2037" s="7" t="s">
        <v>372</v>
      </c>
      <c r="C2037" t="s">
        <v>1316</v>
      </c>
      <c r="D2037" s="65" t="str">
        <f t="shared" si="62"/>
        <v>Y</v>
      </c>
      <c r="E2037" t="s">
        <v>1313</v>
      </c>
      <c r="F2037" s="7" t="s">
        <v>301</v>
      </c>
      <c r="G2037" s="1">
        <v>5</v>
      </c>
      <c r="H2037" s="7" t="s">
        <v>300</v>
      </c>
      <c r="I2037" s="7" t="s">
        <v>292</v>
      </c>
      <c r="J2037" s="1">
        <v>2</v>
      </c>
      <c r="K2037" s="1">
        <v>5</v>
      </c>
      <c r="L2037" s="67">
        <f t="shared" si="63"/>
        <v>0</v>
      </c>
    </row>
    <row r="2038" spans="1:12" x14ac:dyDescent="0.2">
      <c r="A2038">
        <v>2037</v>
      </c>
      <c r="B2038" s="7" t="s">
        <v>372</v>
      </c>
      <c r="C2038" t="s">
        <v>1316</v>
      </c>
      <c r="D2038" s="65" t="str">
        <f t="shared" si="62"/>
        <v>Y</v>
      </c>
      <c r="E2038" t="s">
        <v>1313</v>
      </c>
      <c r="F2038" s="7" t="s">
        <v>301</v>
      </c>
      <c r="G2038" s="1">
        <v>5</v>
      </c>
      <c r="H2038" s="7" t="s">
        <v>301</v>
      </c>
      <c r="I2038" s="7" t="s">
        <v>294</v>
      </c>
      <c r="J2038" s="1">
        <v>5</v>
      </c>
      <c r="K2038" s="1">
        <v>7</v>
      </c>
      <c r="L2038" s="67">
        <f t="shared" si="63"/>
        <v>1</v>
      </c>
    </row>
    <row r="2039" spans="1:12" x14ac:dyDescent="0.2">
      <c r="A2039">
        <v>2038</v>
      </c>
      <c r="B2039" s="7" t="s">
        <v>356</v>
      </c>
      <c r="C2039" t="s">
        <v>1316</v>
      </c>
      <c r="D2039" s="65" t="str">
        <f t="shared" si="62"/>
        <v>Y</v>
      </c>
      <c r="E2039" t="s">
        <v>1313</v>
      </c>
      <c r="F2039" s="7" t="s">
        <v>301</v>
      </c>
      <c r="G2039" s="1">
        <v>5</v>
      </c>
      <c r="H2039" s="7" t="s">
        <v>301</v>
      </c>
      <c r="I2039" s="7" t="s">
        <v>294</v>
      </c>
      <c r="J2039" s="1">
        <v>5</v>
      </c>
      <c r="K2039" s="1">
        <v>7</v>
      </c>
      <c r="L2039" s="67">
        <f t="shared" si="63"/>
        <v>1</v>
      </c>
    </row>
    <row r="2040" spans="1:12" x14ac:dyDescent="0.2">
      <c r="A2040">
        <v>2039</v>
      </c>
      <c r="B2040" s="7" t="s">
        <v>356</v>
      </c>
      <c r="C2040" t="s">
        <v>1316</v>
      </c>
      <c r="D2040" s="65" t="str">
        <f t="shared" si="62"/>
        <v>Y</v>
      </c>
      <c r="E2040" t="s">
        <v>1313</v>
      </c>
      <c r="F2040" s="7" t="s">
        <v>301</v>
      </c>
      <c r="G2040" s="1">
        <v>5</v>
      </c>
      <c r="H2040" s="7" t="s">
        <v>301</v>
      </c>
      <c r="I2040" s="7" t="s">
        <v>294</v>
      </c>
      <c r="J2040" s="1">
        <v>5</v>
      </c>
      <c r="K2040" s="1">
        <v>7</v>
      </c>
      <c r="L2040" s="67">
        <f t="shared" si="63"/>
        <v>1</v>
      </c>
    </row>
    <row r="2041" spans="1:12" x14ac:dyDescent="0.2">
      <c r="A2041">
        <v>2040</v>
      </c>
      <c r="B2041" s="7" t="s">
        <v>372</v>
      </c>
      <c r="C2041" t="s">
        <v>1316</v>
      </c>
      <c r="D2041" s="65" t="str">
        <f t="shared" si="62"/>
        <v>Y</v>
      </c>
      <c r="E2041" t="s">
        <v>1313</v>
      </c>
      <c r="F2041" s="7" t="s">
        <v>301</v>
      </c>
      <c r="G2041" s="1">
        <v>5</v>
      </c>
      <c r="H2041" s="7" t="s">
        <v>282</v>
      </c>
      <c r="I2041" s="7" t="s">
        <v>292</v>
      </c>
      <c r="J2041" s="4" t="s">
        <v>282</v>
      </c>
      <c r="K2041" s="1">
        <v>5</v>
      </c>
      <c r="L2041" s="67">
        <f t="shared" si="63"/>
        <v>0</v>
      </c>
    </row>
    <row r="2042" spans="1:12" x14ac:dyDescent="0.2">
      <c r="A2042">
        <v>2041</v>
      </c>
      <c r="B2042" s="7" t="s">
        <v>372</v>
      </c>
      <c r="C2042" t="s">
        <v>1316</v>
      </c>
      <c r="D2042" s="65" t="str">
        <f t="shared" si="62"/>
        <v>Y</v>
      </c>
      <c r="E2042" t="s">
        <v>1313</v>
      </c>
      <c r="F2042" s="7" t="s">
        <v>301</v>
      </c>
      <c r="G2042" s="1">
        <v>5</v>
      </c>
      <c r="H2042" s="7" t="s">
        <v>301</v>
      </c>
      <c r="I2042" s="7" t="s">
        <v>294</v>
      </c>
      <c r="J2042" s="1">
        <v>5</v>
      </c>
      <c r="K2042" s="1">
        <v>7</v>
      </c>
      <c r="L2042" s="67">
        <f t="shared" si="63"/>
        <v>1</v>
      </c>
    </row>
    <row r="2043" spans="1:12" x14ac:dyDescent="0.2">
      <c r="A2043">
        <v>2042</v>
      </c>
      <c r="B2043" s="7" t="s">
        <v>356</v>
      </c>
      <c r="C2043" t="s">
        <v>1316</v>
      </c>
      <c r="D2043" s="65" t="str">
        <f t="shared" si="62"/>
        <v>Y</v>
      </c>
      <c r="E2043" t="s">
        <v>1313</v>
      </c>
      <c r="F2043" s="7" t="s">
        <v>301</v>
      </c>
      <c r="G2043" s="1">
        <v>5</v>
      </c>
      <c r="H2043" s="7" t="s">
        <v>301</v>
      </c>
      <c r="I2043" s="7" t="s">
        <v>294</v>
      </c>
      <c r="J2043" s="1">
        <v>5</v>
      </c>
      <c r="K2043" s="1">
        <v>7</v>
      </c>
      <c r="L2043" s="67">
        <f t="shared" si="63"/>
        <v>1</v>
      </c>
    </row>
    <row r="2044" spans="1:12" x14ac:dyDescent="0.2">
      <c r="A2044">
        <v>2043</v>
      </c>
      <c r="B2044" s="7" t="s">
        <v>372</v>
      </c>
      <c r="C2044" t="s">
        <v>1316</v>
      </c>
      <c r="D2044" s="65" t="str">
        <f t="shared" si="62"/>
        <v>Y</v>
      </c>
      <c r="E2044" t="s">
        <v>1313</v>
      </c>
      <c r="F2044" s="7" t="s">
        <v>301</v>
      </c>
      <c r="G2044" s="1">
        <v>5</v>
      </c>
      <c r="H2044" s="7" t="s">
        <v>300</v>
      </c>
      <c r="I2044" s="7" t="s">
        <v>296</v>
      </c>
      <c r="J2044" s="1">
        <v>2</v>
      </c>
      <c r="K2044" s="1">
        <v>6</v>
      </c>
      <c r="L2044" s="67">
        <f t="shared" si="63"/>
        <v>0</v>
      </c>
    </row>
    <row r="2045" spans="1:12" x14ac:dyDescent="0.2">
      <c r="A2045">
        <v>2044</v>
      </c>
      <c r="B2045" s="7" t="s">
        <v>356</v>
      </c>
      <c r="C2045" t="s">
        <v>1316</v>
      </c>
      <c r="D2045" s="65" t="str">
        <f t="shared" si="62"/>
        <v>Y</v>
      </c>
      <c r="E2045" t="s">
        <v>1313</v>
      </c>
      <c r="F2045" s="7" t="s">
        <v>301</v>
      </c>
      <c r="G2045" s="1">
        <v>5</v>
      </c>
      <c r="H2045" s="7" t="s">
        <v>282</v>
      </c>
      <c r="I2045" s="7" t="s">
        <v>292</v>
      </c>
      <c r="J2045" s="4" t="s">
        <v>282</v>
      </c>
      <c r="K2045" s="1">
        <v>5</v>
      </c>
      <c r="L2045" s="67">
        <f t="shared" si="63"/>
        <v>0</v>
      </c>
    </row>
    <row r="2046" spans="1:12" x14ac:dyDescent="0.2">
      <c r="A2046">
        <v>2045</v>
      </c>
      <c r="B2046" s="7" t="s">
        <v>356</v>
      </c>
      <c r="C2046" t="s">
        <v>1316</v>
      </c>
      <c r="D2046" s="65" t="str">
        <f t="shared" si="62"/>
        <v>Y</v>
      </c>
      <c r="E2046" t="s">
        <v>1313</v>
      </c>
      <c r="F2046" s="7" t="s">
        <v>301</v>
      </c>
      <c r="G2046" s="1">
        <v>5</v>
      </c>
      <c r="H2046" s="7" t="s">
        <v>291</v>
      </c>
      <c r="I2046" s="7" t="s">
        <v>296</v>
      </c>
      <c r="J2046" s="1">
        <v>1</v>
      </c>
      <c r="K2046" s="1">
        <v>6</v>
      </c>
      <c r="L2046" s="67">
        <f t="shared" si="63"/>
        <v>0</v>
      </c>
    </row>
    <row r="2047" spans="1:12" x14ac:dyDescent="0.2">
      <c r="A2047">
        <v>2046</v>
      </c>
      <c r="B2047" s="7" t="s">
        <v>372</v>
      </c>
      <c r="C2047" t="s">
        <v>1316</v>
      </c>
      <c r="D2047" s="65" t="str">
        <f t="shared" si="62"/>
        <v>Y</v>
      </c>
      <c r="E2047" t="s">
        <v>1313</v>
      </c>
      <c r="F2047" s="7" t="s">
        <v>301</v>
      </c>
      <c r="G2047" s="1">
        <v>5</v>
      </c>
      <c r="H2047" s="7" t="s">
        <v>301</v>
      </c>
      <c r="I2047" s="7" t="s">
        <v>294</v>
      </c>
      <c r="J2047" s="1">
        <v>5</v>
      </c>
      <c r="K2047" s="1">
        <v>7</v>
      </c>
      <c r="L2047" s="67">
        <f t="shared" si="63"/>
        <v>1</v>
      </c>
    </row>
    <row r="2048" spans="1:12" x14ac:dyDescent="0.2">
      <c r="A2048">
        <v>2047</v>
      </c>
      <c r="B2048" s="7" t="s">
        <v>372</v>
      </c>
      <c r="C2048" t="s">
        <v>1316</v>
      </c>
      <c r="D2048" s="65" t="str">
        <f t="shared" si="62"/>
        <v>Y</v>
      </c>
      <c r="E2048" t="s">
        <v>1313</v>
      </c>
      <c r="F2048" s="7" t="s">
        <v>301</v>
      </c>
      <c r="G2048" s="1">
        <v>5</v>
      </c>
      <c r="H2048" s="7" t="s">
        <v>301</v>
      </c>
      <c r="I2048" s="7" t="s">
        <v>294</v>
      </c>
      <c r="J2048" s="1">
        <v>5</v>
      </c>
      <c r="K2048" s="1">
        <v>7</v>
      </c>
      <c r="L2048" s="67">
        <f t="shared" si="63"/>
        <v>1</v>
      </c>
    </row>
    <row r="2049" spans="1:12" x14ac:dyDescent="0.2">
      <c r="A2049">
        <v>2048</v>
      </c>
      <c r="B2049" s="7" t="s">
        <v>356</v>
      </c>
      <c r="C2049" t="s">
        <v>1316</v>
      </c>
      <c r="D2049" s="65" t="str">
        <f t="shared" si="62"/>
        <v>Y</v>
      </c>
      <c r="E2049" t="s">
        <v>1313</v>
      </c>
      <c r="F2049" s="7" t="s">
        <v>301</v>
      </c>
      <c r="G2049" s="1">
        <v>5</v>
      </c>
      <c r="H2049" s="7" t="s">
        <v>301</v>
      </c>
      <c r="I2049" s="7" t="s">
        <v>292</v>
      </c>
      <c r="J2049" s="1">
        <v>5</v>
      </c>
      <c r="K2049" s="1">
        <v>5</v>
      </c>
      <c r="L2049" s="67">
        <f t="shared" si="63"/>
        <v>1</v>
      </c>
    </row>
    <row r="2050" spans="1:12" x14ac:dyDescent="0.2">
      <c r="A2050">
        <v>2049</v>
      </c>
      <c r="B2050" s="7" t="s">
        <v>356</v>
      </c>
      <c r="C2050" t="s">
        <v>1316</v>
      </c>
      <c r="D2050" s="65" t="str">
        <f t="shared" si="62"/>
        <v>Y</v>
      </c>
      <c r="E2050" t="s">
        <v>1313</v>
      </c>
      <c r="F2050" s="7" t="s">
        <v>301</v>
      </c>
      <c r="G2050" s="1">
        <v>5</v>
      </c>
      <c r="H2050" s="7" t="s">
        <v>300</v>
      </c>
      <c r="I2050" s="7" t="s">
        <v>292</v>
      </c>
      <c r="J2050" s="1">
        <v>2</v>
      </c>
      <c r="K2050" s="1">
        <v>5</v>
      </c>
      <c r="L2050" s="67">
        <f t="shared" si="63"/>
        <v>0</v>
      </c>
    </row>
    <row r="2051" spans="1:12" x14ac:dyDescent="0.2">
      <c r="A2051">
        <v>2050</v>
      </c>
      <c r="B2051" s="7" t="s">
        <v>372</v>
      </c>
      <c r="C2051" t="s">
        <v>1316</v>
      </c>
      <c r="D2051" s="65" t="str">
        <f t="shared" ref="D2051:D2114" si="64">IF($E2051="iso", "N", IF(OR($E2051="non", $E2051="emd", $E2051="dyn"), "Y", "ERROR"))</f>
        <v>Y</v>
      </c>
      <c r="E2051" t="s">
        <v>1313</v>
      </c>
      <c r="F2051" s="7" t="s">
        <v>301</v>
      </c>
      <c r="G2051" s="1">
        <v>5</v>
      </c>
      <c r="H2051" s="7" t="s">
        <v>301</v>
      </c>
      <c r="I2051" s="7" t="s">
        <v>297</v>
      </c>
      <c r="J2051" s="1">
        <v>5</v>
      </c>
      <c r="K2051" s="1">
        <v>4</v>
      </c>
      <c r="L2051" s="67">
        <f t="shared" ref="L2051:L2114" si="65">IF(G2051=J2051, 1, 0)</f>
        <v>1</v>
      </c>
    </row>
    <row r="2052" spans="1:12" x14ac:dyDescent="0.2">
      <c r="A2052">
        <v>2051</v>
      </c>
      <c r="B2052" s="7" t="s">
        <v>356</v>
      </c>
      <c r="C2052" t="s">
        <v>1316</v>
      </c>
      <c r="D2052" s="65" t="str">
        <f t="shared" si="64"/>
        <v>Y</v>
      </c>
      <c r="E2052" t="s">
        <v>1313</v>
      </c>
      <c r="F2052" s="7" t="s">
        <v>301</v>
      </c>
      <c r="G2052" s="1">
        <v>5</v>
      </c>
      <c r="H2052" s="7" t="s">
        <v>282</v>
      </c>
      <c r="I2052" s="7" t="s">
        <v>330</v>
      </c>
      <c r="J2052" s="4" t="s">
        <v>282</v>
      </c>
      <c r="K2052" s="1">
        <v>3</v>
      </c>
      <c r="L2052" s="67">
        <f t="shared" si="65"/>
        <v>0</v>
      </c>
    </row>
    <row r="2053" spans="1:12" x14ac:dyDescent="0.2">
      <c r="A2053">
        <v>2052</v>
      </c>
      <c r="B2053" s="7" t="s">
        <v>372</v>
      </c>
      <c r="C2053" t="s">
        <v>1316</v>
      </c>
      <c r="D2053" s="65" t="str">
        <f t="shared" si="64"/>
        <v>Y</v>
      </c>
      <c r="E2053" t="s">
        <v>1313</v>
      </c>
      <c r="F2053" s="7" t="s">
        <v>301</v>
      </c>
      <c r="G2053" s="1">
        <v>5</v>
      </c>
      <c r="H2053" s="7" t="s">
        <v>282</v>
      </c>
      <c r="I2053" s="7" t="s">
        <v>292</v>
      </c>
      <c r="J2053" s="4" t="s">
        <v>282</v>
      </c>
      <c r="K2053" s="1">
        <v>5</v>
      </c>
      <c r="L2053" s="67">
        <f t="shared" si="65"/>
        <v>0</v>
      </c>
    </row>
    <row r="2054" spans="1:12" x14ac:dyDescent="0.2">
      <c r="A2054">
        <v>2053</v>
      </c>
      <c r="B2054" s="7" t="s">
        <v>356</v>
      </c>
      <c r="C2054" t="s">
        <v>1316</v>
      </c>
      <c r="D2054" s="65" t="str">
        <f t="shared" si="64"/>
        <v>Y</v>
      </c>
      <c r="E2054" t="s">
        <v>1313</v>
      </c>
      <c r="F2054" s="7" t="s">
        <v>301</v>
      </c>
      <c r="G2054" s="1">
        <v>5</v>
      </c>
      <c r="H2054" s="7" t="s">
        <v>301</v>
      </c>
      <c r="I2054" s="7" t="s">
        <v>294</v>
      </c>
      <c r="J2054" s="1">
        <v>5</v>
      </c>
      <c r="K2054" s="1">
        <v>7</v>
      </c>
      <c r="L2054" s="67">
        <f t="shared" si="65"/>
        <v>1</v>
      </c>
    </row>
    <row r="2055" spans="1:12" x14ac:dyDescent="0.2">
      <c r="A2055">
        <v>2054</v>
      </c>
      <c r="B2055" s="7" t="s">
        <v>372</v>
      </c>
      <c r="C2055" t="s">
        <v>1316</v>
      </c>
      <c r="D2055" s="65" t="str">
        <f t="shared" si="64"/>
        <v>Y</v>
      </c>
      <c r="E2055" t="s">
        <v>1313</v>
      </c>
      <c r="F2055" s="7" t="s">
        <v>301</v>
      </c>
      <c r="G2055" s="1">
        <v>5</v>
      </c>
      <c r="H2055" s="7" t="s">
        <v>301</v>
      </c>
      <c r="I2055" s="7" t="s">
        <v>294</v>
      </c>
      <c r="J2055" s="1">
        <v>5</v>
      </c>
      <c r="K2055" s="1">
        <v>7</v>
      </c>
      <c r="L2055" s="67">
        <f t="shared" si="65"/>
        <v>1</v>
      </c>
    </row>
    <row r="2056" spans="1:12" x14ac:dyDescent="0.2">
      <c r="A2056">
        <v>2055</v>
      </c>
      <c r="B2056" s="7" t="s">
        <v>356</v>
      </c>
      <c r="C2056" t="s">
        <v>1316</v>
      </c>
      <c r="D2056" s="65" t="str">
        <f t="shared" si="64"/>
        <v>Y</v>
      </c>
      <c r="E2056" t="s">
        <v>1314</v>
      </c>
      <c r="F2056" s="7" t="s">
        <v>291</v>
      </c>
      <c r="G2056" s="1">
        <v>1</v>
      </c>
      <c r="H2056" s="7" t="s">
        <v>291</v>
      </c>
      <c r="I2056" s="7" t="s">
        <v>296</v>
      </c>
      <c r="J2056" s="1">
        <v>1</v>
      </c>
      <c r="K2056" s="1">
        <v>6</v>
      </c>
      <c r="L2056" s="67">
        <f t="shared" si="65"/>
        <v>1</v>
      </c>
    </row>
    <row r="2057" spans="1:12" x14ac:dyDescent="0.2">
      <c r="A2057">
        <v>2056</v>
      </c>
      <c r="B2057" s="7" t="s">
        <v>372</v>
      </c>
      <c r="C2057" t="s">
        <v>1316</v>
      </c>
      <c r="D2057" s="65" t="str">
        <f t="shared" si="64"/>
        <v>Y</v>
      </c>
      <c r="E2057" t="s">
        <v>1314</v>
      </c>
      <c r="F2057" s="7" t="s">
        <v>291</v>
      </c>
      <c r="G2057" s="1">
        <v>1</v>
      </c>
      <c r="H2057" s="7" t="s">
        <v>291</v>
      </c>
      <c r="I2057" s="7" t="s">
        <v>296</v>
      </c>
      <c r="J2057" s="1">
        <v>1</v>
      </c>
      <c r="K2057" s="1">
        <v>6</v>
      </c>
      <c r="L2057" s="67">
        <f t="shared" si="65"/>
        <v>1</v>
      </c>
    </row>
    <row r="2058" spans="1:12" x14ac:dyDescent="0.2">
      <c r="A2058">
        <v>2057</v>
      </c>
      <c r="B2058" s="7" t="s">
        <v>372</v>
      </c>
      <c r="C2058" t="s">
        <v>1316</v>
      </c>
      <c r="D2058" s="65" t="str">
        <f t="shared" si="64"/>
        <v>Y</v>
      </c>
      <c r="E2058" t="s">
        <v>1314</v>
      </c>
      <c r="F2058" s="7" t="s">
        <v>291</v>
      </c>
      <c r="G2058" s="1">
        <v>1</v>
      </c>
      <c r="H2058" s="7" t="s">
        <v>291</v>
      </c>
      <c r="I2058" s="7" t="s">
        <v>297</v>
      </c>
      <c r="J2058" s="1">
        <v>1</v>
      </c>
      <c r="K2058" s="1">
        <v>4</v>
      </c>
      <c r="L2058" s="67">
        <f t="shared" si="65"/>
        <v>1</v>
      </c>
    </row>
    <row r="2059" spans="1:12" x14ac:dyDescent="0.2">
      <c r="A2059">
        <v>2058</v>
      </c>
      <c r="B2059" s="7" t="s">
        <v>356</v>
      </c>
      <c r="C2059" t="s">
        <v>1316</v>
      </c>
      <c r="D2059" s="65" t="str">
        <f t="shared" si="64"/>
        <v>Y</v>
      </c>
      <c r="E2059" t="s">
        <v>1314</v>
      </c>
      <c r="F2059" s="7" t="s">
        <v>291</v>
      </c>
      <c r="G2059" s="1">
        <v>1</v>
      </c>
      <c r="H2059" s="7" t="s">
        <v>291</v>
      </c>
      <c r="I2059" s="7" t="s">
        <v>292</v>
      </c>
      <c r="J2059" s="1">
        <v>1</v>
      </c>
      <c r="K2059" s="1">
        <v>5</v>
      </c>
      <c r="L2059" s="67">
        <f t="shared" si="65"/>
        <v>1</v>
      </c>
    </row>
    <row r="2060" spans="1:12" x14ac:dyDescent="0.2">
      <c r="A2060">
        <v>2059</v>
      </c>
      <c r="B2060" s="7" t="s">
        <v>372</v>
      </c>
      <c r="C2060" t="s">
        <v>1316</v>
      </c>
      <c r="D2060" s="65" t="str">
        <f t="shared" si="64"/>
        <v>Y</v>
      </c>
      <c r="E2060" t="s">
        <v>1314</v>
      </c>
      <c r="F2060" s="7" t="s">
        <v>291</v>
      </c>
      <c r="G2060" s="1">
        <v>1</v>
      </c>
      <c r="H2060" s="7" t="s">
        <v>291</v>
      </c>
      <c r="I2060" s="7" t="s">
        <v>292</v>
      </c>
      <c r="J2060" s="1">
        <v>1</v>
      </c>
      <c r="K2060" s="1">
        <v>5</v>
      </c>
      <c r="L2060" s="67">
        <f t="shared" si="65"/>
        <v>1</v>
      </c>
    </row>
    <row r="2061" spans="1:12" x14ac:dyDescent="0.2">
      <c r="A2061">
        <v>2060</v>
      </c>
      <c r="B2061" s="7" t="s">
        <v>356</v>
      </c>
      <c r="C2061" t="s">
        <v>1316</v>
      </c>
      <c r="D2061" s="65" t="str">
        <f t="shared" si="64"/>
        <v>Y</v>
      </c>
      <c r="E2061" t="s">
        <v>1314</v>
      </c>
      <c r="F2061" s="7" t="s">
        <v>291</v>
      </c>
      <c r="G2061" s="1">
        <v>1</v>
      </c>
      <c r="H2061" s="7" t="s">
        <v>291</v>
      </c>
      <c r="I2061" s="7" t="s">
        <v>296</v>
      </c>
      <c r="J2061" s="1">
        <v>1</v>
      </c>
      <c r="K2061" s="1">
        <v>6</v>
      </c>
      <c r="L2061" s="67">
        <f t="shared" si="65"/>
        <v>1</v>
      </c>
    </row>
    <row r="2062" spans="1:12" x14ac:dyDescent="0.2">
      <c r="A2062">
        <v>2061</v>
      </c>
      <c r="B2062" s="7" t="s">
        <v>372</v>
      </c>
      <c r="C2062" t="s">
        <v>1316</v>
      </c>
      <c r="D2062" s="65" t="str">
        <f t="shared" si="64"/>
        <v>Y</v>
      </c>
      <c r="E2062" t="s">
        <v>1314</v>
      </c>
      <c r="F2062" s="7" t="s">
        <v>291</v>
      </c>
      <c r="G2062" s="1">
        <v>1</v>
      </c>
      <c r="H2062" s="7" t="s">
        <v>301</v>
      </c>
      <c r="I2062" s="7" t="s">
        <v>292</v>
      </c>
      <c r="J2062" s="1">
        <v>5</v>
      </c>
      <c r="K2062" s="1">
        <v>5</v>
      </c>
      <c r="L2062" s="67">
        <f t="shared" si="65"/>
        <v>0</v>
      </c>
    </row>
    <row r="2063" spans="1:12" x14ac:dyDescent="0.2">
      <c r="A2063">
        <v>2062</v>
      </c>
      <c r="B2063" s="7" t="s">
        <v>356</v>
      </c>
      <c r="C2063" t="s">
        <v>1316</v>
      </c>
      <c r="D2063" s="65" t="str">
        <f t="shared" si="64"/>
        <v>Y</v>
      </c>
      <c r="E2063" t="s">
        <v>1314</v>
      </c>
      <c r="F2063" s="7" t="s">
        <v>291</v>
      </c>
      <c r="G2063" s="1">
        <v>1</v>
      </c>
      <c r="H2063" s="7" t="s">
        <v>301</v>
      </c>
      <c r="I2063" s="7" t="s">
        <v>296</v>
      </c>
      <c r="J2063" s="1">
        <v>5</v>
      </c>
      <c r="K2063" s="1">
        <v>6</v>
      </c>
      <c r="L2063" s="67">
        <f t="shared" si="65"/>
        <v>0</v>
      </c>
    </row>
    <row r="2064" spans="1:12" x14ac:dyDescent="0.2">
      <c r="A2064">
        <v>2063</v>
      </c>
      <c r="B2064" s="7" t="s">
        <v>372</v>
      </c>
      <c r="C2064" t="s">
        <v>1316</v>
      </c>
      <c r="D2064" s="65" t="str">
        <f t="shared" si="64"/>
        <v>Y</v>
      </c>
      <c r="E2064" t="s">
        <v>1314</v>
      </c>
      <c r="F2064" s="7" t="s">
        <v>291</v>
      </c>
      <c r="G2064" s="1">
        <v>1</v>
      </c>
      <c r="H2064" s="7" t="s">
        <v>291</v>
      </c>
      <c r="I2064" s="7" t="s">
        <v>296</v>
      </c>
      <c r="J2064" s="1">
        <v>1</v>
      </c>
      <c r="K2064" s="1">
        <v>6</v>
      </c>
      <c r="L2064" s="67">
        <f t="shared" si="65"/>
        <v>1</v>
      </c>
    </row>
    <row r="2065" spans="1:12" x14ac:dyDescent="0.2">
      <c r="A2065">
        <v>2064</v>
      </c>
      <c r="B2065" s="7" t="s">
        <v>356</v>
      </c>
      <c r="C2065" t="s">
        <v>1316</v>
      </c>
      <c r="D2065" s="65" t="str">
        <f t="shared" si="64"/>
        <v>Y</v>
      </c>
      <c r="E2065" t="s">
        <v>1314</v>
      </c>
      <c r="F2065" s="7" t="s">
        <v>291</v>
      </c>
      <c r="G2065" s="1">
        <v>1</v>
      </c>
      <c r="H2065" s="7" t="s">
        <v>291</v>
      </c>
      <c r="I2065" s="7" t="s">
        <v>292</v>
      </c>
      <c r="J2065" s="1">
        <v>1</v>
      </c>
      <c r="K2065" s="1">
        <v>5</v>
      </c>
      <c r="L2065" s="67">
        <f t="shared" si="65"/>
        <v>1</v>
      </c>
    </row>
    <row r="2066" spans="1:12" x14ac:dyDescent="0.2">
      <c r="A2066">
        <v>2065</v>
      </c>
      <c r="B2066" s="7" t="s">
        <v>356</v>
      </c>
      <c r="C2066" t="s">
        <v>1316</v>
      </c>
      <c r="D2066" s="65" t="str">
        <f t="shared" si="64"/>
        <v>Y</v>
      </c>
      <c r="E2066" t="s">
        <v>1314</v>
      </c>
      <c r="F2066" s="7" t="s">
        <v>291</v>
      </c>
      <c r="G2066" s="1">
        <v>1</v>
      </c>
      <c r="H2066" s="7" t="s">
        <v>291</v>
      </c>
      <c r="I2066" s="7" t="s">
        <v>294</v>
      </c>
      <c r="J2066" s="1">
        <v>1</v>
      </c>
      <c r="K2066" s="1">
        <v>7</v>
      </c>
      <c r="L2066" s="67">
        <f t="shared" si="65"/>
        <v>1</v>
      </c>
    </row>
    <row r="2067" spans="1:12" x14ac:dyDescent="0.2">
      <c r="A2067">
        <v>2066</v>
      </c>
      <c r="B2067" s="7" t="s">
        <v>372</v>
      </c>
      <c r="C2067" t="s">
        <v>1316</v>
      </c>
      <c r="D2067" s="65" t="str">
        <f t="shared" si="64"/>
        <v>Y</v>
      </c>
      <c r="E2067" t="s">
        <v>1314</v>
      </c>
      <c r="F2067" s="7" t="s">
        <v>291</v>
      </c>
      <c r="G2067" s="1">
        <v>1</v>
      </c>
      <c r="H2067" s="7" t="s">
        <v>291</v>
      </c>
      <c r="I2067" s="7" t="s">
        <v>296</v>
      </c>
      <c r="J2067" s="1">
        <v>1</v>
      </c>
      <c r="K2067" s="1">
        <v>6</v>
      </c>
      <c r="L2067" s="67">
        <f t="shared" si="65"/>
        <v>1</v>
      </c>
    </row>
    <row r="2068" spans="1:12" x14ac:dyDescent="0.2">
      <c r="A2068">
        <v>2067</v>
      </c>
      <c r="B2068" s="7" t="s">
        <v>356</v>
      </c>
      <c r="C2068" t="s">
        <v>1316</v>
      </c>
      <c r="D2068" s="65" t="str">
        <f t="shared" si="64"/>
        <v>Y</v>
      </c>
      <c r="E2068" t="s">
        <v>1314</v>
      </c>
      <c r="F2068" s="7" t="s">
        <v>291</v>
      </c>
      <c r="G2068" s="1">
        <v>1</v>
      </c>
      <c r="H2068" s="7" t="s">
        <v>291</v>
      </c>
      <c r="I2068" s="7" t="s">
        <v>294</v>
      </c>
      <c r="J2068" s="1">
        <v>1</v>
      </c>
      <c r="K2068" s="1">
        <v>7</v>
      </c>
      <c r="L2068" s="67">
        <f t="shared" si="65"/>
        <v>1</v>
      </c>
    </row>
    <row r="2069" spans="1:12" x14ac:dyDescent="0.2">
      <c r="A2069">
        <v>2068</v>
      </c>
      <c r="B2069" s="7" t="s">
        <v>372</v>
      </c>
      <c r="C2069" t="s">
        <v>1316</v>
      </c>
      <c r="D2069" s="65" t="str">
        <f t="shared" si="64"/>
        <v>Y</v>
      </c>
      <c r="E2069" t="s">
        <v>1314</v>
      </c>
      <c r="F2069" s="7" t="s">
        <v>291</v>
      </c>
      <c r="G2069" s="1">
        <v>1</v>
      </c>
      <c r="H2069" s="7" t="s">
        <v>291</v>
      </c>
      <c r="I2069" s="7" t="s">
        <v>294</v>
      </c>
      <c r="J2069" s="1">
        <v>1</v>
      </c>
      <c r="K2069" s="1">
        <v>7</v>
      </c>
      <c r="L2069" s="67">
        <f t="shared" si="65"/>
        <v>1</v>
      </c>
    </row>
    <row r="2070" spans="1:12" x14ac:dyDescent="0.2">
      <c r="A2070">
        <v>2069</v>
      </c>
      <c r="B2070" s="7" t="s">
        <v>356</v>
      </c>
      <c r="C2070" t="s">
        <v>1316</v>
      </c>
      <c r="D2070" s="65" t="str">
        <f t="shared" si="64"/>
        <v>Y</v>
      </c>
      <c r="E2070" t="s">
        <v>1314</v>
      </c>
      <c r="F2070" s="7" t="s">
        <v>291</v>
      </c>
      <c r="G2070" s="1">
        <v>1</v>
      </c>
      <c r="H2070" s="7" t="s">
        <v>291</v>
      </c>
      <c r="I2070" s="7" t="s">
        <v>294</v>
      </c>
      <c r="J2070" s="1">
        <v>1</v>
      </c>
      <c r="K2070" s="1">
        <v>7</v>
      </c>
      <c r="L2070" s="67">
        <f t="shared" si="65"/>
        <v>1</v>
      </c>
    </row>
    <row r="2071" spans="1:12" x14ac:dyDescent="0.2">
      <c r="A2071">
        <v>2070</v>
      </c>
      <c r="B2071" s="7" t="s">
        <v>372</v>
      </c>
      <c r="C2071" t="s">
        <v>1316</v>
      </c>
      <c r="D2071" s="65" t="str">
        <f t="shared" si="64"/>
        <v>Y</v>
      </c>
      <c r="E2071" t="s">
        <v>1314</v>
      </c>
      <c r="F2071" s="7" t="s">
        <v>291</v>
      </c>
      <c r="G2071" s="1">
        <v>1</v>
      </c>
      <c r="H2071" s="7" t="s">
        <v>291</v>
      </c>
      <c r="I2071" s="7" t="s">
        <v>296</v>
      </c>
      <c r="J2071" s="1">
        <v>1</v>
      </c>
      <c r="K2071" s="1">
        <v>6</v>
      </c>
      <c r="L2071" s="67">
        <f t="shared" si="65"/>
        <v>1</v>
      </c>
    </row>
    <row r="2072" spans="1:12" x14ac:dyDescent="0.2">
      <c r="A2072">
        <v>2071</v>
      </c>
      <c r="B2072" s="7" t="s">
        <v>372</v>
      </c>
      <c r="C2072" t="s">
        <v>1316</v>
      </c>
      <c r="D2072" s="65" t="str">
        <f t="shared" si="64"/>
        <v>Y</v>
      </c>
      <c r="E2072" t="s">
        <v>1314</v>
      </c>
      <c r="F2072" s="7" t="s">
        <v>291</v>
      </c>
      <c r="G2072" s="1">
        <v>1</v>
      </c>
      <c r="H2072" s="7" t="s">
        <v>291</v>
      </c>
      <c r="I2072" s="7" t="s">
        <v>292</v>
      </c>
      <c r="J2072" s="1">
        <v>1</v>
      </c>
      <c r="K2072" s="1">
        <v>5</v>
      </c>
      <c r="L2072" s="67">
        <f t="shared" si="65"/>
        <v>1</v>
      </c>
    </row>
    <row r="2073" spans="1:12" x14ac:dyDescent="0.2">
      <c r="A2073">
        <v>2072</v>
      </c>
      <c r="B2073" s="7" t="s">
        <v>356</v>
      </c>
      <c r="C2073" t="s">
        <v>1316</v>
      </c>
      <c r="D2073" s="65" t="str">
        <f t="shared" si="64"/>
        <v>Y</v>
      </c>
      <c r="E2073" t="s">
        <v>1314</v>
      </c>
      <c r="F2073" s="7" t="s">
        <v>291</v>
      </c>
      <c r="G2073" s="1">
        <v>1</v>
      </c>
      <c r="H2073" s="7" t="s">
        <v>301</v>
      </c>
      <c r="I2073" s="7" t="s">
        <v>292</v>
      </c>
      <c r="J2073" s="1">
        <v>5</v>
      </c>
      <c r="K2073" s="1">
        <v>5</v>
      </c>
      <c r="L2073" s="67">
        <f t="shared" si="65"/>
        <v>0</v>
      </c>
    </row>
    <row r="2074" spans="1:12" x14ac:dyDescent="0.2">
      <c r="A2074">
        <v>2073</v>
      </c>
      <c r="B2074" s="7" t="s">
        <v>356</v>
      </c>
      <c r="C2074" t="s">
        <v>1316</v>
      </c>
      <c r="D2074" s="65" t="str">
        <f t="shared" si="64"/>
        <v>Y</v>
      </c>
      <c r="E2074" t="s">
        <v>1314</v>
      </c>
      <c r="F2074" s="7" t="s">
        <v>291</v>
      </c>
      <c r="G2074" s="1">
        <v>1</v>
      </c>
      <c r="H2074" s="7" t="s">
        <v>291</v>
      </c>
      <c r="I2074" s="7" t="s">
        <v>296</v>
      </c>
      <c r="J2074" s="1">
        <v>1</v>
      </c>
      <c r="K2074" s="1">
        <v>6</v>
      </c>
      <c r="L2074" s="67">
        <f t="shared" si="65"/>
        <v>1</v>
      </c>
    </row>
    <row r="2075" spans="1:12" x14ac:dyDescent="0.2">
      <c r="A2075">
        <v>2074</v>
      </c>
      <c r="B2075" s="7" t="s">
        <v>372</v>
      </c>
      <c r="C2075" t="s">
        <v>1316</v>
      </c>
      <c r="D2075" s="65" t="str">
        <f t="shared" si="64"/>
        <v>Y</v>
      </c>
      <c r="E2075" t="s">
        <v>1314</v>
      </c>
      <c r="F2075" s="7" t="s">
        <v>291</v>
      </c>
      <c r="G2075" s="1">
        <v>1</v>
      </c>
      <c r="H2075" s="7" t="s">
        <v>291</v>
      </c>
      <c r="I2075" s="7" t="s">
        <v>296</v>
      </c>
      <c r="J2075" s="1">
        <v>1</v>
      </c>
      <c r="K2075" s="1">
        <v>6</v>
      </c>
      <c r="L2075" s="67">
        <f t="shared" si="65"/>
        <v>1</v>
      </c>
    </row>
    <row r="2076" spans="1:12" x14ac:dyDescent="0.2">
      <c r="A2076">
        <v>2075</v>
      </c>
      <c r="B2076" s="7" t="s">
        <v>356</v>
      </c>
      <c r="C2076" t="s">
        <v>1316</v>
      </c>
      <c r="D2076" s="65" t="str">
        <f t="shared" si="64"/>
        <v>Y</v>
      </c>
      <c r="E2076" t="s">
        <v>1314</v>
      </c>
      <c r="F2076" s="7" t="s">
        <v>291</v>
      </c>
      <c r="G2076" s="1">
        <v>1</v>
      </c>
      <c r="H2076" s="7" t="s">
        <v>291</v>
      </c>
      <c r="I2076" s="7" t="s">
        <v>292</v>
      </c>
      <c r="J2076" s="1">
        <v>1</v>
      </c>
      <c r="K2076" s="1">
        <v>5</v>
      </c>
      <c r="L2076" s="67">
        <f t="shared" si="65"/>
        <v>1</v>
      </c>
    </row>
    <row r="2077" spans="1:12" x14ac:dyDescent="0.2">
      <c r="A2077">
        <v>2076</v>
      </c>
      <c r="B2077" s="7" t="s">
        <v>356</v>
      </c>
      <c r="C2077" t="s">
        <v>1316</v>
      </c>
      <c r="D2077" s="65" t="str">
        <f t="shared" si="64"/>
        <v>Y</v>
      </c>
      <c r="E2077" t="s">
        <v>1314</v>
      </c>
      <c r="F2077" s="7" t="s">
        <v>291</v>
      </c>
      <c r="G2077" s="1">
        <v>1</v>
      </c>
      <c r="H2077" s="7" t="s">
        <v>291</v>
      </c>
      <c r="I2077" s="7" t="s">
        <v>294</v>
      </c>
      <c r="J2077" s="1">
        <v>1</v>
      </c>
      <c r="K2077" s="1">
        <v>7</v>
      </c>
      <c r="L2077" s="67">
        <f t="shared" si="65"/>
        <v>1</v>
      </c>
    </row>
    <row r="2078" spans="1:12" x14ac:dyDescent="0.2">
      <c r="A2078">
        <v>2077</v>
      </c>
      <c r="B2078" s="7" t="s">
        <v>372</v>
      </c>
      <c r="C2078" t="s">
        <v>1316</v>
      </c>
      <c r="D2078" s="65" t="str">
        <f t="shared" si="64"/>
        <v>Y</v>
      </c>
      <c r="E2078" t="s">
        <v>1314</v>
      </c>
      <c r="F2078" s="7" t="s">
        <v>291</v>
      </c>
      <c r="G2078" s="1">
        <v>1</v>
      </c>
      <c r="H2078" s="7" t="s">
        <v>291</v>
      </c>
      <c r="I2078" s="7" t="s">
        <v>294</v>
      </c>
      <c r="J2078" s="1">
        <v>1</v>
      </c>
      <c r="K2078" s="1">
        <v>7</v>
      </c>
      <c r="L2078" s="67">
        <f t="shared" si="65"/>
        <v>1</v>
      </c>
    </row>
    <row r="2079" spans="1:12" x14ac:dyDescent="0.2">
      <c r="A2079">
        <v>2078</v>
      </c>
      <c r="B2079" s="7" t="s">
        <v>372</v>
      </c>
      <c r="C2079" t="s">
        <v>1316</v>
      </c>
      <c r="D2079" s="65" t="str">
        <f t="shared" si="64"/>
        <v>Y</v>
      </c>
      <c r="E2079" t="s">
        <v>1314</v>
      </c>
      <c r="F2079" s="7" t="s">
        <v>291</v>
      </c>
      <c r="G2079" s="1">
        <v>1</v>
      </c>
      <c r="H2079" s="7" t="s">
        <v>291</v>
      </c>
      <c r="I2079" s="7" t="s">
        <v>294</v>
      </c>
      <c r="J2079" s="1">
        <v>1</v>
      </c>
      <c r="K2079" s="1">
        <v>7</v>
      </c>
      <c r="L2079" s="67">
        <f t="shared" si="65"/>
        <v>1</v>
      </c>
    </row>
    <row r="2080" spans="1:12" x14ac:dyDescent="0.2">
      <c r="A2080">
        <v>2079</v>
      </c>
      <c r="B2080" s="7" t="s">
        <v>356</v>
      </c>
      <c r="C2080" t="s">
        <v>1316</v>
      </c>
      <c r="D2080" s="65" t="str">
        <f t="shared" si="64"/>
        <v>Y</v>
      </c>
      <c r="E2080" t="s">
        <v>1314</v>
      </c>
      <c r="F2080" s="7" t="s">
        <v>291</v>
      </c>
      <c r="G2080" s="1">
        <v>1</v>
      </c>
      <c r="H2080" s="7" t="s">
        <v>291</v>
      </c>
      <c r="I2080" s="7" t="s">
        <v>296</v>
      </c>
      <c r="J2080" s="1">
        <v>1</v>
      </c>
      <c r="K2080" s="1">
        <v>6</v>
      </c>
      <c r="L2080" s="67">
        <f t="shared" si="65"/>
        <v>1</v>
      </c>
    </row>
    <row r="2081" spans="1:12" x14ac:dyDescent="0.2">
      <c r="A2081">
        <v>2080</v>
      </c>
      <c r="B2081" s="7" t="s">
        <v>356</v>
      </c>
      <c r="C2081" t="s">
        <v>1316</v>
      </c>
      <c r="D2081" s="65" t="str">
        <f t="shared" si="64"/>
        <v>Y</v>
      </c>
      <c r="E2081" t="s">
        <v>1314</v>
      </c>
      <c r="F2081" s="7" t="s">
        <v>291</v>
      </c>
      <c r="G2081" s="1">
        <v>1</v>
      </c>
      <c r="H2081" s="7" t="s">
        <v>291</v>
      </c>
      <c r="I2081" s="7" t="s">
        <v>296</v>
      </c>
      <c r="J2081" s="1">
        <v>1</v>
      </c>
      <c r="K2081" s="1">
        <v>6</v>
      </c>
      <c r="L2081" s="67">
        <f t="shared" si="65"/>
        <v>1</v>
      </c>
    </row>
    <row r="2082" spans="1:12" x14ac:dyDescent="0.2">
      <c r="A2082">
        <v>2081</v>
      </c>
      <c r="B2082" s="7" t="s">
        <v>372</v>
      </c>
      <c r="C2082" t="s">
        <v>1316</v>
      </c>
      <c r="D2082" s="65" t="str">
        <f t="shared" si="64"/>
        <v>Y</v>
      </c>
      <c r="E2082" t="s">
        <v>1314</v>
      </c>
      <c r="F2082" s="7" t="s">
        <v>291</v>
      </c>
      <c r="G2082" s="1">
        <v>1</v>
      </c>
      <c r="H2082" s="7" t="s">
        <v>291</v>
      </c>
      <c r="I2082" s="7" t="s">
        <v>294</v>
      </c>
      <c r="J2082" s="1">
        <v>1</v>
      </c>
      <c r="K2082" s="1">
        <v>7</v>
      </c>
      <c r="L2082" s="67">
        <f t="shared" si="65"/>
        <v>1</v>
      </c>
    </row>
    <row r="2083" spans="1:12" x14ac:dyDescent="0.2">
      <c r="A2083">
        <v>2082</v>
      </c>
      <c r="B2083" s="7" t="s">
        <v>356</v>
      </c>
      <c r="C2083" t="s">
        <v>1316</v>
      </c>
      <c r="D2083" s="65" t="str">
        <f t="shared" si="64"/>
        <v>Y</v>
      </c>
      <c r="E2083" t="s">
        <v>1314</v>
      </c>
      <c r="F2083" s="7" t="s">
        <v>291</v>
      </c>
      <c r="G2083" s="1">
        <v>1</v>
      </c>
      <c r="H2083" s="7" t="s">
        <v>291</v>
      </c>
      <c r="I2083" s="7" t="s">
        <v>292</v>
      </c>
      <c r="J2083" s="1">
        <v>1</v>
      </c>
      <c r="K2083" s="1">
        <v>5</v>
      </c>
      <c r="L2083" s="67">
        <f t="shared" si="65"/>
        <v>1</v>
      </c>
    </row>
    <row r="2084" spans="1:12" x14ac:dyDescent="0.2">
      <c r="A2084">
        <v>2083</v>
      </c>
      <c r="B2084" s="7" t="s">
        <v>372</v>
      </c>
      <c r="C2084" t="s">
        <v>1316</v>
      </c>
      <c r="D2084" s="65" t="str">
        <f t="shared" si="64"/>
        <v>Y</v>
      </c>
      <c r="E2084" t="s">
        <v>1314</v>
      </c>
      <c r="F2084" s="7" t="s">
        <v>291</v>
      </c>
      <c r="G2084" s="1">
        <v>1</v>
      </c>
      <c r="H2084" s="7" t="s">
        <v>301</v>
      </c>
      <c r="I2084" s="7" t="s">
        <v>297</v>
      </c>
      <c r="J2084" s="1">
        <v>5</v>
      </c>
      <c r="K2084" s="1">
        <v>4</v>
      </c>
      <c r="L2084" s="67">
        <f t="shared" si="65"/>
        <v>0</v>
      </c>
    </row>
    <row r="2085" spans="1:12" x14ac:dyDescent="0.2">
      <c r="A2085">
        <v>2084</v>
      </c>
      <c r="B2085" s="7" t="s">
        <v>356</v>
      </c>
      <c r="C2085" t="s">
        <v>1316</v>
      </c>
      <c r="D2085" s="65" t="str">
        <f t="shared" si="64"/>
        <v>Y</v>
      </c>
      <c r="E2085" t="s">
        <v>1314</v>
      </c>
      <c r="F2085" s="7" t="s">
        <v>291</v>
      </c>
      <c r="G2085" s="1">
        <v>1</v>
      </c>
      <c r="H2085" s="7" t="s">
        <v>291</v>
      </c>
      <c r="I2085" s="7" t="s">
        <v>294</v>
      </c>
      <c r="J2085" s="1">
        <v>1</v>
      </c>
      <c r="K2085" s="1">
        <v>7</v>
      </c>
      <c r="L2085" s="67">
        <f t="shared" si="65"/>
        <v>1</v>
      </c>
    </row>
    <row r="2086" spans="1:12" x14ac:dyDescent="0.2">
      <c r="A2086">
        <v>2085</v>
      </c>
      <c r="B2086" s="7" t="s">
        <v>372</v>
      </c>
      <c r="C2086" t="s">
        <v>1316</v>
      </c>
      <c r="D2086" s="65" t="str">
        <f t="shared" si="64"/>
        <v>Y</v>
      </c>
      <c r="E2086" t="s">
        <v>1314</v>
      </c>
      <c r="F2086" s="7" t="s">
        <v>291</v>
      </c>
      <c r="G2086" s="1">
        <v>1</v>
      </c>
      <c r="H2086" s="7" t="s">
        <v>291</v>
      </c>
      <c r="I2086" s="7" t="s">
        <v>292</v>
      </c>
      <c r="J2086" s="1">
        <v>1</v>
      </c>
      <c r="K2086" s="1">
        <v>5</v>
      </c>
      <c r="L2086" s="67">
        <f t="shared" si="65"/>
        <v>1</v>
      </c>
    </row>
    <row r="2087" spans="1:12" x14ac:dyDescent="0.2">
      <c r="A2087">
        <v>2086</v>
      </c>
      <c r="B2087" s="7" t="s">
        <v>356</v>
      </c>
      <c r="C2087" t="s">
        <v>1316</v>
      </c>
      <c r="D2087" s="65" t="str">
        <f t="shared" si="64"/>
        <v>Y</v>
      </c>
      <c r="E2087" t="s">
        <v>1314</v>
      </c>
      <c r="F2087" s="7" t="s">
        <v>291</v>
      </c>
      <c r="G2087" s="1">
        <v>1</v>
      </c>
      <c r="H2087" s="7" t="s">
        <v>291</v>
      </c>
      <c r="I2087" s="7" t="s">
        <v>296</v>
      </c>
      <c r="J2087" s="1">
        <v>1</v>
      </c>
      <c r="K2087" s="1">
        <v>6</v>
      </c>
      <c r="L2087" s="67">
        <f t="shared" si="65"/>
        <v>1</v>
      </c>
    </row>
    <row r="2088" spans="1:12" x14ac:dyDescent="0.2">
      <c r="A2088">
        <v>2087</v>
      </c>
      <c r="B2088" s="7" t="s">
        <v>356</v>
      </c>
      <c r="C2088" t="s">
        <v>1316</v>
      </c>
      <c r="D2088" s="65" t="str">
        <f t="shared" si="64"/>
        <v>Y</v>
      </c>
      <c r="E2088" t="s">
        <v>1314</v>
      </c>
      <c r="F2088" s="7" t="s">
        <v>291</v>
      </c>
      <c r="G2088" s="1">
        <v>1</v>
      </c>
      <c r="H2088" s="7" t="s">
        <v>291</v>
      </c>
      <c r="I2088" s="7" t="s">
        <v>296</v>
      </c>
      <c r="J2088" s="1">
        <v>1</v>
      </c>
      <c r="K2088" s="1">
        <v>6</v>
      </c>
      <c r="L2088" s="67">
        <f t="shared" si="65"/>
        <v>1</v>
      </c>
    </row>
    <row r="2089" spans="1:12" x14ac:dyDescent="0.2">
      <c r="A2089">
        <v>2088</v>
      </c>
      <c r="B2089" s="7" t="s">
        <v>372</v>
      </c>
      <c r="C2089" t="s">
        <v>1316</v>
      </c>
      <c r="D2089" s="65" t="str">
        <f t="shared" si="64"/>
        <v>Y</v>
      </c>
      <c r="E2089" t="s">
        <v>1314</v>
      </c>
      <c r="F2089" s="7" t="s">
        <v>291</v>
      </c>
      <c r="G2089" s="1">
        <v>1</v>
      </c>
      <c r="H2089" s="7" t="s">
        <v>291</v>
      </c>
      <c r="I2089" s="7" t="s">
        <v>296</v>
      </c>
      <c r="J2089" s="1">
        <v>1</v>
      </c>
      <c r="K2089" s="1">
        <v>6</v>
      </c>
      <c r="L2089" s="67">
        <f t="shared" si="65"/>
        <v>1</v>
      </c>
    </row>
    <row r="2090" spans="1:12" x14ac:dyDescent="0.2">
      <c r="A2090">
        <v>2089</v>
      </c>
      <c r="B2090" s="7" t="s">
        <v>372</v>
      </c>
      <c r="C2090" t="s">
        <v>1316</v>
      </c>
      <c r="D2090" s="65" t="str">
        <f t="shared" si="64"/>
        <v>Y</v>
      </c>
      <c r="E2090" t="s">
        <v>1314</v>
      </c>
      <c r="F2090" s="7" t="s">
        <v>291</v>
      </c>
      <c r="G2090" s="1">
        <v>1</v>
      </c>
      <c r="H2090" s="7" t="s">
        <v>291</v>
      </c>
      <c r="I2090" s="7" t="s">
        <v>294</v>
      </c>
      <c r="J2090" s="1">
        <v>1</v>
      </c>
      <c r="K2090" s="1">
        <v>7</v>
      </c>
      <c r="L2090" s="67">
        <f t="shared" si="65"/>
        <v>1</v>
      </c>
    </row>
    <row r="2091" spans="1:12" x14ac:dyDescent="0.2">
      <c r="A2091">
        <v>2090</v>
      </c>
      <c r="B2091" s="7" t="s">
        <v>356</v>
      </c>
      <c r="C2091" t="s">
        <v>1316</v>
      </c>
      <c r="D2091" s="65" t="str">
        <f t="shared" si="64"/>
        <v>Y</v>
      </c>
      <c r="E2091" t="s">
        <v>1314</v>
      </c>
      <c r="F2091" s="7" t="s">
        <v>291</v>
      </c>
      <c r="G2091" s="1">
        <v>1</v>
      </c>
      <c r="H2091" s="7" t="s">
        <v>291</v>
      </c>
      <c r="I2091" s="7" t="s">
        <v>296</v>
      </c>
      <c r="J2091" s="1">
        <v>1</v>
      </c>
      <c r="K2091" s="1">
        <v>6</v>
      </c>
      <c r="L2091" s="67">
        <f t="shared" si="65"/>
        <v>1</v>
      </c>
    </row>
    <row r="2092" spans="1:12" x14ac:dyDescent="0.2">
      <c r="A2092">
        <v>2091</v>
      </c>
      <c r="B2092" s="7" t="s">
        <v>372</v>
      </c>
      <c r="C2092" t="s">
        <v>1316</v>
      </c>
      <c r="D2092" s="65" t="str">
        <f t="shared" si="64"/>
        <v>Y</v>
      </c>
      <c r="E2092" t="s">
        <v>1314</v>
      </c>
      <c r="F2092" s="7" t="s">
        <v>291</v>
      </c>
      <c r="G2092" s="1">
        <v>1</v>
      </c>
      <c r="H2092" s="7" t="s">
        <v>291</v>
      </c>
      <c r="I2092" s="7" t="s">
        <v>292</v>
      </c>
      <c r="J2092" s="1">
        <v>1</v>
      </c>
      <c r="K2092" s="1">
        <v>5</v>
      </c>
      <c r="L2092" s="67">
        <f t="shared" si="65"/>
        <v>1</v>
      </c>
    </row>
    <row r="2093" spans="1:12" x14ac:dyDescent="0.2">
      <c r="A2093">
        <v>2092</v>
      </c>
      <c r="B2093" s="7" t="s">
        <v>372</v>
      </c>
      <c r="C2093" t="s">
        <v>1316</v>
      </c>
      <c r="D2093" s="65" t="str">
        <f t="shared" si="64"/>
        <v>Y</v>
      </c>
      <c r="E2093" t="s">
        <v>1314</v>
      </c>
      <c r="F2093" s="7" t="s">
        <v>291</v>
      </c>
      <c r="G2093" s="1">
        <v>1</v>
      </c>
      <c r="H2093" s="7" t="s">
        <v>291</v>
      </c>
      <c r="I2093" s="7" t="s">
        <v>292</v>
      </c>
      <c r="J2093" s="1">
        <v>1</v>
      </c>
      <c r="K2093" s="1">
        <v>5</v>
      </c>
      <c r="L2093" s="67">
        <f t="shared" si="65"/>
        <v>1</v>
      </c>
    </row>
    <row r="2094" spans="1:12" x14ac:dyDescent="0.2">
      <c r="A2094">
        <v>2093</v>
      </c>
      <c r="B2094" s="7" t="s">
        <v>372</v>
      </c>
      <c r="C2094" t="s">
        <v>1316</v>
      </c>
      <c r="D2094" s="65" t="str">
        <f t="shared" si="64"/>
        <v>Y</v>
      </c>
      <c r="E2094" t="s">
        <v>1314</v>
      </c>
      <c r="F2094" s="7" t="s">
        <v>291</v>
      </c>
      <c r="G2094" s="1">
        <v>1</v>
      </c>
      <c r="H2094" s="7" t="s">
        <v>291</v>
      </c>
      <c r="I2094" s="7" t="s">
        <v>292</v>
      </c>
      <c r="J2094" s="1">
        <v>1</v>
      </c>
      <c r="K2094" s="1">
        <v>5</v>
      </c>
      <c r="L2094" s="67">
        <f t="shared" si="65"/>
        <v>1</v>
      </c>
    </row>
    <row r="2095" spans="1:12" x14ac:dyDescent="0.2">
      <c r="A2095">
        <v>2094</v>
      </c>
      <c r="B2095" s="7" t="s">
        <v>356</v>
      </c>
      <c r="C2095" t="s">
        <v>1316</v>
      </c>
      <c r="D2095" s="65" t="str">
        <f t="shared" si="64"/>
        <v>Y</v>
      </c>
      <c r="E2095" t="s">
        <v>1314</v>
      </c>
      <c r="F2095" s="7" t="s">
        <v>291</v>
      </c>
      <c r="G2095" s="1">
        <v>1</v>
      </c>
      <c r="H2095" s="7" t="s">
        <v>291</v>
      </c>
      <c r="I2095" s="7" t="s">
        <v>296</v>
      </c>
      <c r="J2095" s="1">
        <v>1</v>
      </c>
      <c r="K2095" s="1">
        <v>6</v>
      </c>
      <c r="L2095" s="67">
        <f t="shared" si="65"/>
        <v>1</v>
      </c>
    </row>
    <row r="2096" spans="1:12" x14ac:dyDescent="0.2">
      <c r="A2096">
        <v>2095</v>
      </c>
      <c r="B2096" s="7" t="s">
        <v>372</v>
      </c>
      <c r="C2096" t="s">
        <v>1316</v>
      </c>
      <c r="D2096" s="65" t="str">
        <f t="shared" si="64"/>
        <v>Y</v>
      </c>
      <c r="E2096" t="s">
        <v>1314</v>
      </c>
      <c r="F2096" s="7" t="s">
        <v>291</v>
      </c>
      <c r="G2096" s="1">
        <v>1</v>
      </c>
      <c r="H2096" s="7" t="s">
        <v>291</v>
      </c>
      <c r="I2096" s="7" t="s">
        <v>292</v>
      </c>
      <c r="J2096" s="1">
        <v>1</v>
      </c>
      <c r="K2096" s="1">
        <v>5</v>
      </c>
      <c r="L2096" s="67">
        <f t="shared" si="65"/>
        <v>1</v>
      </c>
    </row>
    <row r="2097" spans="1:12" x14ac:dyDescent="0.2">
      <c r="A2097">
        <v>2096</v>
      </c>
      <c r="B2097" s="7" t="s">
        <v>356</v>
      </c>
      <c r="C2097" t="s">
        <v>1316</v>
      </c>
      <c r="D2097" s="65" t="str">
        <f t="shared" si="64"/>
        <v>Y</v>
      </c>
      <c r="E2097" t="s">
        <v>1314</v>
      </c>
      <c r="F2097" s="7" t="s">
        <v>291</v>
      </c>
      <c r="G2097" s="1">
        <v>1</v>
      </c>
      <c r="H2097" s="7" t="s">
        <v>291</v>
      </c>
      <c r="I2097" s="7" t="s">
        <v>292</v>
      </c>
      <c r="J2097" s="1">
        <v>1</v>
      </c>
      <c r="K2097" s="1">
        <v>5</v>
      </c>
      <c r="L2097" s="67">
        <f t="shared" si="65"/>
        <v>1</v>
      </c>
    </row>
    <row r="2098" spans="1:12" x14ac:dyDescent="0.2">
      <c r="A2098">
        <v>2097</v>
      </c>
      <c r="B2098" s="7" t="s">
        <v>356</v>
      </c>
      <c r="C2098" t="s">
        <v>1316</v>
      </c>
      <c r="D2098" s="65" t="str">
        <f t="shared" si="64"/>
        <v>Y</v>
      </c>
      <c r="E2098" t="s">
        <v>1314</v>
      </c>
      <c r="F2098" s="7" t="s">
        <v>291</v>
      </c>
      <c r="G2098" s="1">
        <v>1</v>
      </c>
      <c r="H2098" s="7" t="s">
        <v>291</v>
      </c>
      <c r="I2098" s="7" t="s">
        <v>292</v>
      </c>
      <c r="J2098" s="1">
        <v>1</v>
      </c>
      <c r="K2098" s="1">
        <v>5</v>
      </c>
      <c r="L2098" s="67">
        <f t="shared" si="65"/>
        <v>1</v>
      </c>
    </row>
    <row r="2099" spans="1:12" x14ac:dyDescent="0.2">
      <c r="A2099">
        <v>2098</v>
      </c>
      <c r="B2099" s="7" t="s">
        <v>372</v>
      </c>
      <c r="C2099" t="s">
        <v>1316</v>
      </c>
      <c r="D2099" s="65" t="str">
        <f t="shared" si="64"/>
        <v>Y</v>
      </c>
      <c r="E2099" t="s">
        <v>1314</v>
      </c>
      <c r="F2099" s="7" t="s">
        <v>291</v>
      </c>
      <c r="G2099" s="1">
        <v>1</v>
      </c>
      <c r="H2099" s="7" t="s">
        <v>291</v>
      </c>
      <c r="I2099" s="7" t="s">
        <v>296</v>
      </c>
      <c r="J2099" s="1">
        <v>1</v>
      </c>
      <c r="K2099" s="1">
        <v>6</v>
      </c>
      <c r="L2099" s="67">
        <f t="shared" si="65"/>
        <v>1</v>
      </c>
    </row>
    <row r="2100" spans="1:12" x14ac:dyDescent="0.2">
      <c r="A2100">
        <v>2099</v>
      </c>
      <c r="B2100" s="7" t="s">
        <v>372</v>
      </c>
      <c r="C2100" t="s">
        <v>1316</v>
      </c>
      <c r="D2100" s="65" t="str">
        <f t="shared" si="64"/>
        <v>Y</v>
      </c>
      <c r="E2100" t="s">
        <v>1314</v>
      </c>
      <c r="F2100" s="7" t="s">
        <v>291</v>
      </c>
      <c r="G2100" s="1">
        <v>1</v>
      </c>
      <c r="H2100" s="7" t="s">
        <v>291</v>
      </c>
      <c r="I2100" s="7" t="s">
        <v>294</v>
      </c>
      <c r="J2100" s="1">
        <v>1</v>
      </c>
      <c r="K2100" s="1">
        <v>7</v>
      </c>
      <c r="L2100" s="67">
        <f t="shared" si="65"/>
        <v>1</v>
      </c>
    </row>
    <row r="2101" spans="1:12" x14ac:dyDescent="0.2">
      <c r="A2101">
        <v>2100</v>
      </c>
      <c r="B2101" s="7" t="s">
        <v>356</v>
      </c>
      <c r="C2101" t="s">
        <v>1316</v>
      </c>
      <c r="D2101" s="65" t="str">
        <f t="shared" si="64"/>
        <v>Y</v>
      </c>
      <c r="E2101" t="s">
        <v>1314</v>
      </c>
      <c r="F2101" s="7" t="s">
        <v>291</v>
      </c>
      <c r="G2101" s="1">
        <v>1</v>
      </c>
      <c r="H2101" s="7" t="s">
        <v>291</v>
      </c>
      <c r="I2101" s="7" t="s">
        <v>296</v>
      </c>
      <c r="J2101" s="1">
        <v>1</v>
      </c>
      <c r="K2101" s="1">
        <v>6</v>
      </c>
      <c r="L2101" s="67">
        <f t="shared" si="65"/>
        <v>1</v>
      </c>
    </row>
    <row r="2102" spans="1:12" x14ac:dyDescent="0.2">
      <c r="A2102">
        <v>2101</v>
      </c>
      <c r="B2102" s="7" t="s">
        <v>372</v>
      </c>
      <c r="C2102" t="s">
        <v>1316</v>
      </c>
      <c r="D2102" s="65" t="str">
        <f t="shared" si="64"/>
        <v>Y</v>
      </c>
      <c r="E2102" t="s">
        <v>1314</v>
      </c>
      <c r="F2102" s="7" t="s">
        <v>291</v>
      </c>
      <c r="G2102" s="1">
        <v>1</v>
      </c>
      <c r="H2102" s="7" t="s">
        <v>291</v>
      </c>
      <c r="I2102" s="7" t="s">
        <v>294</v>
      </c>
      <c r="J2102" s="1">
        <v>1</v>
      </c>
      <c r="K2102" s="1">
        <v>7</v>
      </c>
      <c r="L2102" s="67">
        <f t="shared" si="65"/>
        <v>1</v>
      </c>
    </row>
    <row r="2103" spans="1:12" x14ac:dyDescent="0.2">
      <c r="A2103">
        <v>2102</v>
      </c>
      <c r="B2103" s="7" t="s">
        <v>356</v>
      </c>
      <c r="C2103" t="s">
        <v>1316</v>
      </c>
      <c r="D2103" s="65" t="str">
        <f t="shared" si="64"/>
        <v>Y</v>
      </c>
      <c r="E2103" t="s">
        <v>1314</v>
      </c>
      <c r="F2103" s="7" t="s">
        <v>291</v>
      </c>
      <c r="G2103" s="1">
        <v>1</v>
      </c>
      <c r="H2103" s="7" t="s">
        <v>291</v>
      </c>
      <c r="I2103" s="7" t="s">
        <v>296</v>
      </c>
      <c r="J2103" s="1">
        <v>1</v>
      </c>
      <c r="K2103" s="1">
        <v>6</v>
      </c>
      <c r="L2103" s="67">
        <f t="shared" si="65"/>
        <v>1</v>
      </c>
    </row>
    <row r="2104" spans="1:12" x14ac:dyDescent="0.2">
      <c r="A2104">
        <v>2103</v>
      </c>
      <c r="B2104" s="7" t="s">
        <v>372</v>
      </c>
      <c r="C2104" t="s">
        <v>1316</v>
      </c>
      <c r="D2104" s="65" t="str">
        <f t="shared" si="64"/>
        <v>Y</v>
      </c>
      <c r="E2104" t="s">
        <v>1314</v>
      </c>
      <c r="F2104" s="7" t="s">
        <v>291</v>
      </c>
      <c r="G2104" s="1">
        <v>1</v>
      </c>
      <c r="H2104" s="7" t="s">
        <v>291</v>
      </c>
      <c r="I2104" s="7" t="s">
        <v>296</v>
      </c>
      <c r="J2104" s="1">
        <v>1</v>
      </c>
      <c r="K2104" s="1">
        <v>6</v>
      </c>
      <c r="L2104" s="67">
        <f t="shared" si="65"/>
        <v>1</v>
      </c>
    </row>
    <row r="2105" spans="1:12" x14ac:dyDescent="0.2">
      <c r="A2105">
        <v>2104</v>
      </c>
      <c r="B2105" s="7" t="s">
        <v>372</v>
      </c>
      <c r="C2105" t="s">
        <v>1316</v>
      </c>
      <c r="D2105" s="65" t="str">
        <f t="shared" si="64"/>
        <v>Y</v>
      </c>
      <c r="E2105" t="s">
        <v>1314</v>
      </c>
      <c r="F2105" s="7" t="s">
        <v>291</v>
      </c>
      <c r="G2105" s="1">
        <v>1</v>
      </c>
      <c r="H2105" s="7" t="s">
        <v>291</v>
      </c>
      <c r="I2105" s="7" t="s">
        <v>294</v>
      </c>
      <c r="J2105" s="1">
        <v>1</v>
      </c>
      <c r="K2105" s="1">
        <v>7</v>
      </c>
      <c r="L2105" s="67">
        <f t="shared" si="65"/>
        <v>1</v>
      </c>
    </row>
    <row r="2106" spans="1:12" x14ac:dyDescent="0.2">
      <c r="A2106">
        <v>2105</v>
      </c>
      <c r="B2106" s="7" t="s">
        <v>356</v>
      </c>
      <c r="C2106" t="s">
        <v>1316</v>
      </c>
      <c r="D2106" s="65" t="str">
        <f t="shared" si="64"/>
        <v>Y</v>
      </c>
      <c r="E2106" t="s">
        <v>1314</v>
      </c>
      <c r="F2106" s="7" t="s">
        <v>291</v>
      </c>
      <c r="G2106" s="1">
        <v>1</v>
      </c>
      <c r="H2106" s="7" t="s">
        <v>291</v>
      </c>
      <c r="I2106" s="7" t="s">
        <v>296</v>
      </c>
      <c r="J2106" s="1">
        <v>1</v>
      </c>
      <c r="K2106" s="1">
        <v>6</v>
      </c>
      <c r="L2106" s="67">
        <f t="shared" si="65"/>
        <v>1</v>
      </c>
    </row>
    <row r="2107" spans="1:12" x14ac:dyDescent="0.2">
      <c r="A2107">
        <v>2106</v>
      </c>
      <c r="B2107" s="7" t="s">
        <v>372</v>
      </c>
      <c r="C2107" t="s">
        <v>1316</v>
      </c>
      <c r="D2107" s="65" t="str">
        <f t="shared" si="64"/>
        <v>Y</v>
      </c>
      <c r="E2107" t="s">
        <v>1314</v>
      </c>
      <c r="F2107" s="7" t="s">
        <v>291</v>
      </c>
      <c r="G2107" s="1">
        <v>1</v>
      </c>
      <c r="H2107" s="7" t="s">
        <v>291</v>
      </c>
      <c r="I2107" s="7" t="s">
        <v>294</v>
      </c>
      <c r="J2107" s="1">
        <v>1</v>
      </c>
      <c r="K2107" s="1">
        <v>7</v>
      </c>
      <c r="L2107" s="67">
        <f t="shared" si="65"/>
        <v>1</v>
      </c>
    </row>
    <row r="2108" spans="1:12" x14ac:dyDescent="0.2">
      <c r="A2108">
        <v>2107</v>
      </c>
      <c r="B2108" s="7" t="s">
        <v>356</v>
      </c>
      <c r="C2108" t="s">
        <v>1316</v>
      </c>
      <c r="D2108" s="65" t="str">
        <f t="shared" si="64"/>
        <v>Y</v>
      </c>
      <c r="E2108" t="s">
        <v>1314</v>
      </c>
      <c r="F2108" s="7" t="s">
        <v>291</v>
      </c>
      <c r="G2108" s="1">
        <v>1</v>
      </c>
      <c r="H2108" s="7" t="s">
        <v>291</v>
      </c>
      <c r="I2108" s="7" t="s">
        <v>296</v>
      </c>
      <c r="J2108" s="1">
        <v>1</v>
      </c>
      <c r="K2108" s="1">
        <v>6</v>
      </c>
      <c r="L2108" s="67">
        <f t="shared" si="65"/>
        <v>1</v>
      </c>
    </row>
    <row r="2109" spans="1:12" x14ac:dyDescent="0.2">
      <c r="A2109">
        <v>2108</v>
      </c>
      <c r="B2109" s="7" t="s">
        <v>356</v>
      </c>
      <c r="C2109" t="s">
        <v>1316</v>
      </c>
      <c r="D2109" s="65" t="str">
        <f t="shared" si="64"/>
        <v>Y</v>
      </c>
      <c r="E2109" t="s">
        <v>1314</v>
      </c>
      <c r="F2109" s="7" t="s">
        <v>291</v>
      </c>
      <c r="G2109" s="1">
        <v>1</v>
      </c>
      <c r="H2109" s="7" t="s">
        <v>291</v>
      </c>
      <c r="I2109" s="7" t="s">
        <v>296</v>
      </c>
      <c r="J2109" s="1">
        <v>1</v>
      </c>
      <c r="K2109" s="1">
        <v>6</v>
      </c>
      <c r="L2109" s="67">
        <f t="shared" si="65"/>
        <v>1</v>
      </c>
    </row>
    <row r="2110" spans="1:12" x14ac:dyDescent="0.2">
      <c r="A2110">
        <v>2109</v>
      </c>
      <c r="B2110" s="7" t="s">
        <v>372</v>
      </c>
      <c r="C2110" t="s">
        <v>1316</v>
      </c>
      <c r="D2110" s="65" t="str">
        <f t="shared" si="64"/>
        <v>Y</v>
      </c>
      <c r="E2110" t="s">
        <v>1314</v>
      </c>
      <c r="F2110" s="7" t="s">
        <v>291</v>
      </c>
      <c r="G2110" s="1">
        <v>1</v>
      </c>
      <c r="H2110" s="7" t="s">
        <v>291</v>
      </c>
      <c r="I2110" s="7" t="s">
        <v>292</v>
      </c>
      <c r="J2110" s="1">
        <v>1</v>
      </c>
      <c r="K2110" s="1">
        <v>5</v>
      </c>
      <c r="L2110" s="67">
        <f t="shared" si="65"/>
        <v>1</v>
      </c>
    </row>
    <row r="2111" spans="1:12" x14ac:dyDescent="0.2">
      <c r="A2111">
        <v>2110</v>
      </c>
      <c r="B2111" s="7" t="s">
        <v>356</v>
      </c>
      <c r="C2111" t="s">
        <v>1316</v>
      </c>
      <c r="D2111" s="65" t="str">
        <f t="shared" si="64"/>
        <v>Y</v>
      </c>
      <c r="E2111" t="s">
        <v>1314</v>
      </c>
      <c r="F2111" s="7" t="s">
        <v>291</v>
      </c>
      <c r="G2111" s="1">
        <v>1</v>
      </c>
      <c r="H2111" s="7" t="s">
        <v>291</v>
      </c>
      <c r="I2111" s="7" t="s">
        <v>292</v>
      </c>
      <c r="J2111" s="1">
        <v>1</v>
      </c>
      <c r="K2111" s="1">
        <v>5</v>
      </c>
      <c r="L2111" s="67">
        <f t="shared" si="65"/>
        <v>1</v>
      </c>
    </row>
    <row r="2112" spans="1:12" x14ac:dyDescent="0.2">
      <c r="A2112">
        <v>2111</v>
      </c>
      <c r="B2112" s="7" t="s">
        <v>372</v>
      </c>
      <c r="C2112" t="s">
        <v>1316</v>
      </c>
      <c r="D2112" s="65" t="str">
        <f t="shared" si="64"/>
        <v>Y</v>
      </c>
      <c r="E2112" t="s">
        <v>1314</v>
      </c>
      <c r="F2112" s="7" t="s">
        <v>291</v>
      </c>
      <c r="G2112" s="1">
        <v>1</v>
      </c>
      <c r="H2112" s="7" t="s">
        <v>291</v>
      </c>
      <c r="I2112" s="7" t="s">
        <v>292</v>
      </c>
      <c r="J2112" s="1">
        <v>1</v>
      </c>
      <c r="K2112" s="1">
        <v>5</v>
      </c>
      <c r="L2112" s="67">
        <f t="shared" si="65"/>
        <v>1</v>
      </c>
    </row>
    <row r="2113" spans="1:12" x14ac:dyDescent="0.2">
      <c r="A2113">
        <v>2112</v>
      </c>
      <c r="B2113" s="7" t="s">
        <v>356</v>
      </c>
      <c r="C2113" t="s">
        <v>1316</v>
      </c>
      <c r="D2113" s="65" t="str">
        <f t="shared" si="64"/>
        <v>Y</v>
      </c>
      <c r="E2113" t="s">
        <v>1314</v>
      </c>
      <c r="F2113" s="7" t="s">
        <v>291</v>
      </c>
      <c r="G2113" s="1">
        <v>1</v>
      </c>
      <c r="H2113" s="7" t="s">
        <v>291</v>
      </c>
      <c r="I2113" s="7" t="s">
        <v>297</v>
      </c>
      <c r="J2113" s="1">
        <v>1</v>
      </c>
      <c r="K2113" s="1">
        <v>4</v>
      </c>
      <c r="L2113" s="67">
        <f t="shared" si="65"/>
        <v>1</v>
      </c>
    </row>
    <row r="2114" spans="1:12" x14ac:dyDescent="0.2">
      <c r="A2114">
        <v>2113</v>
      </c>
      <c r="B2114" s="7" t="s">
        <v>372</v>
      </c>
      <c r="C2114" t="s">
        <v>1316</v>
      </c>
      <c r="D2114" s="65" t="str">
        <f t="shared" si="64"/>
        <v>Y</v>
      </c>
      <c r="E2114" t="s">
        <v>1314</v>
      </c>
      <c r="F2114" s="7" t="s">
        <v>291</v>
      </c>
      <c r="G2114" s="1">
        <v>1</v>
      </c>
      <c r="H2114" s="7" t="s">
        <v>291</v>
      </c>
      <c r="I2114" s="7" t="s">
        <v>294</v>
      </c>
      <c r="J2114" s="1">
        <v>1</v>
      </c>
      <c r="K2114" s="1">
        <v>7</v>
      </c>
      <c r="L2114" s="67">
        <f t="shared" si="65"/>
        <v>1</v>
      </c>
    </row>
    <row r="2115" spans="1:12" x14ac:dyDescent="0.2">
      <c r="A2115">
        <v>2114</v>
      </c>
      <c r="B2115" s="7" t="s">
        <v>356</v>
      </c>
      <c r="C2115" t="s">
        <v>1316</v>
      </c>
      <c r="D2115" s="65" t="str">
        <f t="shared" ref="D2115:D2178" si="66">IF($E2115="iso", "N", IF(OR($E2115="non", $E2115="emd", $E2115="dyn"), "Y", "ERROR"))</f>
        <v>Y</v>
      </c>
      <c r="E2115" t="s">
        <v>1314</v>
      </c>
      <c r="F2115" s="7" t="s">
        <v>291</v>
      </c>
      <c r="G2115" s="1">
        <v>1</v>
      </c>
      <c r="H2115" s="7" t="s">
        <v>291</v>
      </c>
      <c r="I2115" s="7" t="s">
        <v>292</v>
      </c>
      <c r="J2115" s="1">
        <v>1</v>
      </c>
      <c r="K2115" s="1">
        <v>5</v>
      </c>
      <c r="L2115" s="67">
        <f t="shared" ref="L2115:L2178" si="67">IF(G2115=J2115, 1, 0)</f>
        <v>1</v>
      </c>
    </row>
    <row r="2116" spans="1:12" x14ac:dyDescent="0.2">
      <c r="A2116">
        <v>2115</v>
      </c>
      <c r="B2116" s="7" t="s">
        <v>372</v>
      </c>
      <c r="C2116" t="s">
        <v>1316</v>
      </c>
      <c r="D2116" s="65" t="str">
        <f t="shared" si="66"/>
        <v>Y</v>
      </c>
      <c r="E2116" t="s">
        <v>1314</v>
      </c>
      <c r="F2116" s="7" t="s">
        <v>291</v>
      </c>
      <c r="G2116" s="1">
        <v>1</v>
      </c>
      <c r="H2116" s="7" t="s">
        <v>291</v>
      </c>
      <c r="I2116" s="7" t="s">
        <v>296</v>
      </c>
      <c r="J2116" s="1">
        <v>1</v>
      </c>
      <c r="K2116" s="1">
        <v>6</v>
      </c>
      <c r="L2116" s="67">
        <f t="shared" si="67"/>
        <v>1</v>
      </c>
    </row>
    <row r="2117" spans="1:12" x14ac:dyDescent="0.2">
      <c r="A2117">
        <v>2116</v>
      </c>
      <c r="B2117" s="7" t="s">
        <v>372</v>
      </c>
      <c r="C2117" t="s">
        <v>1316</v>
      </c>
      <c r="D2117" s="65" t="str">
        <f t="shared" si="66"/>
        <v>Y</v>
      </c>
      <c r="E2117" t="s">
        <v>1314</v>
      </c>
      <c r="F2117" s="7" t="s">
        <v>291</v>
      </c>
      <c r="G2117" s="1">
        <v>1</v>
      </c>
      <c r="H2117" s="7" t="s">
        <v>291</v>
      </c>
      <c r="I2117" s="7" t="s">
        <v>294</v>
      </c>
      <c r="J2117" s="1">
        <v>1</v>
      </c>
      <c r="K2117" s="1">
        <v>7</v>
      </c>
      <c r="L2117" s="67">
        <f t="shared" si="67"/>
        <v>1</v>
      </c>
    </row>
    <row r="2118" spans="1:12" x14ac:dyDescent="0.2">
      <c r="A2118">
        <v>2117</v>
      </c>
      <c r="B2118" s="7" t="s">
        <v>356</v>
      </c>
      <c r="C2118" t="s">
        <v>1316</v>
      </c>
      <c r="D2118" s="65" t="str">
        <f t="shared" si="66"/>
        <v>Y</v>
      </c>
      <c r="E2118" t="s">
        <v>1314</v>
      </c>
      <c r="F2118" s="7" t="s">
        <v>291</v>
      </c>
      <c r="G2118" s="1">
        <v>1</v>
      </c>
      <c r="H2118" s="7" t="s">
        <v>291</v>
      </c>
      <c r="I2118" s="7" t="s">
        <v>296</v>
      </c>
      <c r="J2118" s="1">
        <v>1</v>
      </c>
      <c r="K2118" s="1">
        <v>6</v>
      </c>
      <c r="L2118" s="67">
        <f t="shared" si="67"/>
        <v>1</v>
      </c>
    </row>
    <row r="2119" spans="1:12" x14ac:dyDescent="0.2">
      <c r="A2119">
        <v>2118</v>
      </c>
      <c r="B2119" s="7" t="s">
        <v>356</v>
      </c>
      <c r="C2119" t="s">
        <v>1316</v>
      </c>
      <c r="D2119" s="65" t="str">
        <f t="shared" si="66"/>
        <v>Y</v>
      </c>
      <c r="E2119" t="s">
        <v>1314</v>
      </c>
      <c r="F2119" s="7" t="s">
        <v>291</v>
      </c>
      <c r="G2119" s="1">
        <v>1</v>
      </c>
      <c r="H2119" s="7" t="s">
        <v>291</v>
      </c>
      <c r="I2119" s="7" t="s">
        <v>296</v>
      </c>
      <c r="J2119" s="1">
        <v>1</v>
      </c>
      <c r="K2119" s="1">
        <v>6</v>
      </c>
      <c r="L2119" s="67">
        <f t="shared" si="67"/>
        <v>1</v>
      </c>
    </row>
    <row r="2120" spans="1:12" x14ac:dyDescent="0.2">
      <c r="A2120">
        <v>2119</v>
      </c>
      <c r="B2120" s="7" t="s">
        <v>372</v>
      </c>
      <c r="C2120" t="s">
        <v>1316</v>
      </c>
      <c r="D2120" s="65" t="str">
        <f t="shared" si="66"/>
        <v>Y</v>
      </c>
      <c r="E2120" t="s">
        <v>1314</v>
      </c>
      <c r="F2120" s="7" t="s">
        <v>291</v>
      </c>
      <c r="G2120" s="1">
        <v>1</v>
      </c>
      <c r="H2120" s="7" t="s">
        <v>291</v>
      </c>
      <c r="I2120" s="7" t="s">
        <v>296</v>
      </c>
      <c r="J2120" s="1">
        <v>1</v>
      </c>
      <c r="K2120" s="1">
        <v>6</v>
      </c>
      <c r="L2120" s="67">
        <f t="shared" si="67"/>
        <v>1</v>
      </c>
    </row>
    <row r="2121" spans="1:12" x14ac:dyDescent="0.2">
      <c r="A2121">
        <v>2120</v>
      </c>
      <c r="B2121" s="7" t="s">
        <v>372</v>
      </c>
      <c r="C2121" t="s">
        <v>1316</v>
      </c>
      <c r="D2121" s="65" t="str">
        <f t="shared" si="66"/>
        <v>Y</v>
      </c>
      <c r="E2121" t="s">
        <v>1314</v>
      </c>
      <c r="F2121" s="7" t="s">
        <v>291</v>
      </c>
      <c r="G2121" s="1">
        <v>1</v>
      </c>
      <c r="H2121" s="7" t="s">
        <v>291</v>
      </c>
      <c r="I2121" s="7" t="s">
        <v>294</v>
      </c>
      <c r="J2121" s="1">
        <v>1</v>
      </c>
      <c r="K2121" s="1">
        <v>7</v>
      </c>
      <c r="L2121" s="67">
        <f t="shared" si="67"/>
        <v>1</v>
      </c>
    </row>
    <row r="2122" spans="1:12" x14ac:dyDescent="0.2">
      <c r="A2122">
        <v>2121</v>
      </c>
      <c r="B2122" s="7" t="s">
        <v>356</v>
      </c>
      <c r="C2122" t="s">
        <v>1316</v>
      </c>
      <c r="D2122" s="65" t="str">
        <f t="shared" si="66"/>
        <v>Y</v>
      </c>
      <c r="E2122" t="s">
        <v>1314</v>
      </c>
      <c r="F2122" s="7" t="s">
        <v>291</v>
      </c>
      <c r="G2122" s="1">
        <v>1</v>
      </c>
      <c r="H2122" s="7" t="s">
        <v>291</v>
      </c>
      <c r="I2122" s="7" t="s">
        <v>294</v>
      </c>
      <c r="J2122" s="1">
        <v>1</v>
      </c>
      <c r="K2122" s="1">
        <v>7</v>
      </c>
      <c r="L2122" s="67">
        <f t="shared" si="67"/>
        <v>1</v>
      </c>
    </row>
    <row r="2123" spans="1:12" x14ac:dyDescent="0.2">
      <c r="A2123">
        <v>2122</v>
      </c>
      <c r="B2123" s="7" t="s">
        <v>372</v>
      </c>
      <c r="C2123" t="s">
        <v>1316</v>
      </c>
      <c r="D2123" s="65" t="str">
        <f t="shared" si="66"/>
        <v>Y</v>
      </c>
      <c r="E2123" t="s">
        <v>1314</v>
      </c>
      <c r="F2123" s="7" t="s">
        <v>291</v>
      </c>
      <c r="G2123" s="1">
        <v>1</v>
      </c>
      <c r="H2123" s="7" t="s">
        <v>301</v>
      </c>
      <c r="I2123" s="7" t="s">
        <v>296</v>
      </c>
      <c r="J2123" s="1">
        <v>5</v>
      </c>
      <c r="K2123" s="1">
        <v>6</v>
      </c>
      <c r="L2123" s="67">
        <f t="shared" si="67"/>
        <v>0</v>
      </c>
    </row>
    <row r="2124" spans="1:12" x14ac:dyDescent="0.2">
      <c r="A2124">
        <v>2123</v>
      </c>
      <c r="B2124" s="7" t="s">
        <v>356</v>
      </c>
      <c r="C2124" t="s">
        <v>1316</v>
      </c>
      <c r="D2124" s="65" t="str">
        <f t="shared" si="66"/>
        <v>Y</v>
      </c>
      <c r="E2124" t="s">
        <v>1314</v>
      </c>
      <c r="F2124" s="7" t="s">
        <v>291</v>
      </c>
      <c r="G2124" s="1">
        <v>1</v>
      </c>
      <c r="H2124" s="7" t="s">
        <v>291</v>
      </c>
      <c r="I2124" s="7" t="s">
        <v>296</v>
      </c>
      <c r="J2124" s="1">
        <v>1</v>
      </c>
      <c r="K2124" s="1">
        <v>6</v>
      </c>
      <c r="L2124" s="67">
        <f t="shared" si="67"/>
        <v>1</v>
      </c>
    </row>
    <row r="2125" spans="1:12" x14ac:dyDescent="0.2">
      <c r="A2125">
        <v>2124</v>
      </c>
      <c r="B2125" s="7" t="s">
        <v>356</v>
      </c>
      <c r="C2125" t="s">
        <v>1316</v>
      </c>
      <c r="D2125" s="65" t="str">
        <f t="shared" si="66"/>
        <v>Y</v>
      </c>
      <c r="E2125" t="s">
        <v>1314</v>
      </c>
      <c r="F2125" s="7" t="s">
        <v>291</v>
      </c>
      <c r="G2125" s="1">
        <v>1</v>
      </c>
      <c r="H2125" s="7" t="s">
        <v>291</v>
      </c>
      <c r="I2125" s="7" t="s">
        <v>292</v>
      </c>
      <c r="J2125" s="1">
        <v>1</v>
      </c>
      <c r="K2125" s="1">
        <v>5</v>
      </c>
      <c r="L2125" s="67">
        <f t="shared" si="67"/>
        <v>1</v>
      </c>
    </row>
    <row r="2126" spans="1:12" x14ac:dyDescent="0.2">
      <c r="A2126">
        <v>2125</v>
      </c>
      <c r="B2126" s="7" t="s">
        <v>372</v>
      </c>
      <c r="C2126" t="s">
        <v>1316</v>
      </c>
      <c r="D2126" s="65" t="str">
        <f t="shared" si="66"/>
        <v>Y</v>
      </c>
      <c r="E2126" t="s">
        <v>1314</v>
      </c>
      <c r="F2126" s="7" t="s">
        <v>291</v>
      </c>
      <c r="G2126" s="1">
        <v>1</v>
      </c>
      <c r="H2126" s="7" t="s">
        <v>291</v>
      </c>
      <c r="I2126" s="7" t="s">
        <v>296</v>
      </c>
      <c r="J2126" s="1">
        <v>1</v>
      </c>
      <c r="K2126" s="1">
        <v>6</v>
      </c>
      <c r="L2126" s="67">
        <f t="shared" si="67"/>
        <v>1</v>
      </c>
    </row>
    <row r="2127" spans="1:12" x14ac:dyDescent="0.2">
      <c r="A2127">
        <v>2126</v>
      </c>
      <c r="B2127" s="7" t="s">
        <v>372</v>
      </c>
      <c r="C2127" t="s">
        <v>1316</v>
      </c>
      <c r="D2127" s="65" t="str">
        <f t="shared" si="66"/>
        <v>Y</v>
      </c>
      <c r="E2127" t="s">
        <v>1314</v>
      </c>
      <c r="F2127" s="7" t="s">
        <v>291</v>
      </c>
      <c r="G2127" s="1">
        <v>1</v>
      </c>
      <c r="H2127" s="7" t="s">
        <v>291</v>
      </c>
      <c r="I2127" s="7" t="s">
        <v>294</v>
      </c>
      <c r="J2127" s="1">
        <v>1</v>
      </c>
      <c r="K2127" s="1">
        <v>7</v>
      </c>
      <c r="L2127" s="67">
        <f t="shared" si="67"/>
        <v>1</v>
      </c>
    </row>
    <row r="2128" spans="1:12" x14ac:dyDescent="0.2">
      <c r="A2128">
        <v>2127</v>
      </c>
      <c r="B2128" s="7" t="s">
        <v>356</v>
      </c>
      <c r="C2128" t="s">
        <v>1316</v>
      </c>
      <c r="D2128" s="65" t="str">
        <f t="shared" si="66"/>
        <v>Y</v>
      </c>
      <c r="E2128" t="s">
        <v>1314</v>
      </c>
      <c r="F2128" s="7" t="s">
        <v>291</v>
      </c>
      <c r="G2128" s="1">
        <v>1</v>
      </c>
      <c r="H2128" s="7" t="s">
        <v>291</v>
      </c>
      <c r="I2128" s="7" t="s">
        <v>296</v>
      </c>
      <c r="J2128" s="1">
        <v>1</v>
      </c>
      <c r="K2128" s="1">
        <v>6</v>
      </c>
      <c r="L2128" s="67">
        <f t="shared" si="67"/>
        <v>1</v>
      </c>
    </row>
    <row r="2129" spans="1:12" x14ac:dyDescent="0.2">
      <c r="A2129">
        <v>2128</v>
      </c>
      <c r="B2129" s="7" t="s">
        <v>356</v>
      </c>
      <c r="C2129" t="s">
        <v>1316</v>
      </c>
      <c r="D2129" s="65" t="str">
        <f t="shared" si="66"/>
        <v>Y</v>
      </c>
      <c r="E2129" t="s">
        <v>1314</v>
      </c>
      <c r="F2129" s="7" t="s">
        <v>291</v>
      </c>
      <c r="G2129" s="1">
        <v>1</v>
      </c>
      <c r="H2129" s="7" t="s">
        <v>291</v>
      </c>
      <c r="I2129" s="7" t="s">
        <v>296</v>
      </c>
      <c r="J2129" s="1">
        <v>1</v>
      </c>
      <c r="K2129" s="1">
        <v>6</v>
      </c>
      <c r="L2129" s="67">
        <f t="shared" si="67"/>
        <v>1</v>
      </c>
    </row>
    <row r="2130" spans="1:12" x14ac:dyDescent="0.2">
      <c r="A2130">
        <v>2129</v>
      </c>
      <c r="B2130" s="7" t="s">
        <v>372</v>
      </c>
      <c r="C2130" t="s">
        <v>1316</v>
      </c>
      <c r="D2130" s="65" t="str">
        <f t="shared" si="66"/>
        <v>Y</v>
      </c>
      <c r="E2130" t="s">
        <v>1314</v>
      </c>
      <c r="F2130" s="7" t="s">
        <v>291</v>
      </c>
      <c r="G2130" s="1">
        <v>1</v>
      </c>
      <c r="H2130" s="7" t="s">
        <v>291</v>
      </c>
      <c r="I2130" s="7" t="s">
        <v>292</v>
      </c>
      <c r="J2130" s="1">
        <v>1</v>
      </c>
      <c r="K2130" s="1">
        <v>5</v>
      </c>
      <c r="L2130" s="67">
        <f t="shared" si="67"/>
        <v>1</v>
      </c>
    </row>
    <row r="2131" spans="1:12" x14ac:dyDescent="0.2">
      <c r="A2131">
        <v>2130</v>
      </c>
      <c r="B2131" s="7" t="s">
        <v>356</v>
      </c>
      <c r="C2131" t="s">
        <v>1316</v>
      </c>
      <c r="D2131" s="65" t="str">
        <f t="shared" si="66"/>
        <v>Y</v>
      </c>
      <c r="E2131" t="s">
        <v>1314</v>
      </c>
      <c r="F2131" s="7" t="s">
        <v>291</v>
      </c>
      <c r="G2131" s="1">
        <v>1</v>
      </c>
      <c r="H2131" s="7" t="s">
        <v>291</v>
      </c>
      <c r="I2131" s="7" t="s">
        <v>296</v>
      </c>
      <c r="J2131" s="1">
        <v>1</v>
      </c>
      <c r="K2131" s="1">
        <v>6</v>
      </c>
      <c r="L2131" s="67">
        <f t="shared" si="67"/>
        <v>1</v>
      </c>
    </row>
    <row r="2132" spans="1:12" x14ac:dyDescent="0.2">
      <c r="A2132">
        <v>2131</v>
      </c>
      <c r="B2132" s="7" t="s">
        <v>372</v>
      </c>
      <c r="C2132" t="s">
        <v>1316</v>
      </c>
      <c r="D2132" s="65" t="str">
        <f t="shared" si="66"/>
        <v>Y</v>
      </c>
      <c r="E2132" t="s">
        <v>1314</v>
      </c>
      <c r="F2132" s="7" t="s">
        <v>291</v>
      </c>
      <c r="G2132" s="1">
        <v>1</v>
      </c>
      <c r="H2132" s="7" t="s">
        <v>291</v>
      </c>
      <c r="I2132" s="7" t="s">
        <v>296</v>
      </c>
      <c r="J2132" s="1">
        <v>1</v>
      </c>
      <c r="K2132" s="1">
        <v>6</v>
      </c>
      <c r="L2132" s="67">
        <f t="shared" si="67"/>
        <v>1</v>
      </c>
    </row>
    <row r="2133" spans="1:12" x14ac:dyDescent="0.2">
      <c r="A2133">
        <v>2132</v>
      </c>
      <c r="B2133" s="7" t="s">
        <v>356</v>
      </c>
      <c r="C2133" t="s">
        <v>1316</v>
      </c>
      <c r="D2133" s="65" t="str">
        <f t="shared" si="66"/>
        <v>Y</v>
      </c>
      <c r="E2133" t="s">
        <v>1314</v>
      </c>
      <c r="F2133" s="7" t="s">
        <v>291</v>
      </c>
      <c r="G2133" s="1">
        <v>1</v>
      </c>
      <c r="H2133" s="7" t="s">
        <v>291</v>
      </c>
      <c r="I2133" s="7" t="s">
        <v>292</v>
      </c>
      <c r="J2133" s="1">
        <v>1</v>
      </c>
      <c r="K2133" s="1">
        <v>5</v>
      </c>
      <c r="L2133" s="67">
        <f t="shared" si="67"/>
        <v>1</v>
      </c>
    </row>
    <row r="2134" spans="1:12" x14ac:dyDescent="0.2">
      <c r="A2134">
        <v>2133</v>
      </c>
      <c r="B2134" s="7" t="s">
        <v>372</v>
      </c>
      <c r="C2134" t="s">
        <v>1316</v>
      </c>
      <c r="D2134" s="65" t="str">
        <f t="shared" si="66"/>
        <v>Y</v>
      </c>
      <c r="E2134" t="s">
        <v>1314</v>
      </c>
      <c r="F2134" s="7" t="s">
        <v>291</v>
      </c>
      <c r="G2134" s="1">
        <v>1</v>
      </c>
      <c r="H2134" s="7" t="s">
        <v>291</v>
      </c>
      <c r="I2134" s="7" t="s">
        <v>296</v>
      </c>
      <c r="J2134" s="1">
        <v>1</v>
      </c>
      <c r="K2134" s="1">
        <v>6</v>
      </c>
      <c r="L2134" s="67">
        <f t="shared" si="67"/>
        <v>1</v>
      </c>
    </row>
    <row r="2135" spans="1:12" x14ac:dyDescent="0.2">
      <c r="A2135">
        <v>2134</v>
      </c>
      <c r="B2135" s="7" t="s">
        <v>356</v>
      </c>
      <c r="C2135" t="s">
        <v>1316</v>
      </c>
      <c r="D2135" s="65" t="str">
        <f t="shared" si="66"/>
        <v>Y</v>
      </c>
      <c r="E2135" t="s">
        <v>1314</v>
      </c>
      <c r="F2135" s="7" t="s">
        <v>300</v>
      </c>
      <c r="G2135" s="1">
        <v>2</v>
      </c>
      <c r="H2135" s="7" t="s">
        <v>300</v>
      </c>
      <c r="I2135" s="7" t="s">
        <v>294</v>
      </c>
      <c r="J2135" s="1">
        <v>2</v>
      </c>
      <c r="K2135" s="1">
        <v>7</v>
      </c>
      <c r="L2135" s="67">
        <f t="shared" si="67"/>
        <v>1</v>
      </c>
    </row>
    <row r="2136" spans="1:12" x14ac:dyDescent="0.2">
      <c r="A2136">
        <v>2135</v>
      </c>
      <c r="B2136" s="7" t="s">
        <v>372</v>
      </c>
      <c r="C2136" t="s">
        <v>1316</v>
      </c>
      <c r="D2136" s="65" t="str">
        <f t="shared" si="66"/>
        <v>Y</v>
      </c>
      <c r="E2136" t="s">
        <v>1314</v>
      </c>
      <c r="F2136" s="7" t="s">
        <v>300</v>
      </c>
      <c r="G2136" s="1">
        <v>2</v>
      </c>
      <c r="H2136" s="7" t="s">
        <v>300</v>
      </c>
      <c r="I2136" s="7" t="s">
        <v>296</v>
      </c>
      <c r="J2136" s="1">
        <v>2</v>
      </c>
      <c r="K2136" s="1">
        <v>6</v>
      </c>
      <c r="L2136" s="67">
        <f t="shared" si="67"/>
        <v>1</v>
      </c>
    </row>
    <row r="2137" spans="1:12" x14ac:dyDescent="0.2">
      <c r="A2137">
        <v>2136</v>
      </c>
      <c r="B2137" s="7" t="s">
        <v>372</v>
      </c>
      <c r="C2137" t="s">
        <v>1316</v>
      </c>
      <c r="D2137" s="65" t="str">
        <f t="shared" si="66"/>
        <v>Y</v>
      </c>
      <c r="E2137" t="s">
        <v>1314</v>
      </c>
      <c r="F2137" s="7" t="s">
        <v>300</v>
      </c>
      <c r="G2137" s="1">
        <v>2</v>
      </c>
      <c r="H2137" s="7" t="s">
        <v>300</v>
      </c>
      <c r="I2137" s="7" t="s">
        <v>294</v>
      </c>
      <c r="J2137" s="1">
        <v>2</v>
      </c>
      <c r="K2137" s="1">
        <v>7</v>
      </c>
      <c r="L2137" s="67">
        <f t="shared" si="67"/>
        <v>1</v>
      </c>
    </row>
    <row r="2138" spans="1:12" x14ac:dyDescent="0.2">
      <c r="A2138">
        <v>2137</v>
      </c>
      <c r="B2138" s="7" t="s">
        <v>356</v>
      </c>
      <c r="C2138" t="s">
        <v>1316</v>
      </c>
      <c r="D2138" s="65" t="str">
        <f t="shared" si="66"/>
        <v>Y</v>
      </c>
      <c r="E2138" t="s">
        <v>1314</v>
      </c>
      <c r="F2138" s="7" t="s">
        <v>300</v>
      </c>
      <c r="G2138" s="1">
        <v>2</v>
      </c>
      <c r="H2138" s="7" t="s">
        <v>300</v>
      </c>
      <c r="I2138" s="7" t="s">
        <v>292</v>
      </c>
      <c r="J2138" s="1">
        <v>2</v>
      </c>
      <c r="K2138" s="1">
        <v>5</v>
      </c>
      <c r="L2138" s="67">
        <f t="shared" si="67"/>
        <v>1</v>
      </c>
    </row>
    <row r="2139" spans="1:12" x14ac:dyDescent="0.2">
      <c r="A2139">
        <v>2138</v>
      </c>
      <c r="B2139" s="7" t="s">
        <v>372</v>
      </c>
      <c r="C2139" t="s">
        <v>1316</v>
      </c>
      <c r="D2139" s="65" t="str">
        <f t="shared" si="66"/>
        <v>Y</v>
      </c>
      <c r="E2139" t="s">
        <v>1314</v>
      </c>
      <c r="F2139" s="7" t="s">
        <v>300</v>
      </c>
      <c r="G2139" s="1">
        <v>2</v>
      </c>
      <c r="H2139" s="7" t="s">
        <v>300</v>
      </c>
      <c r="I2139" s="7" t="s">
        <v>296</v>
      </c>
      <c r="J2139" s="1">
        <v>2</v>
      </c>
      <c r="K2139" s="1">
        <v>6</v>
      </c>
      <c r="L2139" s="67">
        <f t="shared" si="67"/>
        <v>1</v>
      </c>
    </row>
    <row r="2140" spans="1:12" x14ac:dyDescent="0.2">
      <c r="A2140">
        <v>2139</v>
      </c>
      <c r="B2140" s="7" t="s">
        <v>356</v>
      </c>
      <c r="C2140" t="s">
        <v>1316</v>
      </c>
      <c r="D2140" s="65" t="str">
        <f t="shared" si="66"/>
        <v>Y</v>
      </c>
      <c r="E2140" t="s">
        <v>1314</v>
      </c>
      <c r="F2140" s="7" t="s">
        <v>300</v>
      </c>
      <c r="G2140" s="1">
        <v>2</v>
      </c>
      <c r="H2140" s="7" t="s">
        <v>300</v>
      </c>
      <c r="I2140" s="7" t="s">
        <v>296</v>
      </c>
      <c r="J2140" s="1">
        <v>2</v>
      </c>
      <c r="K2140" s="1">
        <v>6</v>
      </c>
      <c r="L2140" s="67">
        <f t="shared" si="67"/>
        <v>1</v>
      </c>
    </row>
    <row r="2141" spans="1:12" x14ac:dyDescent="0.2">
      <c r="A2141">
        <v>2140</v>
      </c>
      <c r="B2141" s="7" t="s">
        <v>372</v>
      </c>
      <c r="C2141" t="s">
        <v>1316</v>
      </c>
      <c r="D2141" s="65" t="str">
        <f t="shared" si="66"/>
        <v>Y</v>
      </c>
      <c r="E2141" t="s">
        <v>1314</v>
      </c>
      <c r="F2141" s="7" t="s">
        <v>300</v>
      </c>
      <c r="G2141" s="1">
        <v>2</v>
      </c>
      <c r="H2141" s="7" t="s">
        <v>300</v>
      </c>
      <c r="I2141" s="7" t="s">
        <v>296</v>
      </c>
      <c r="J2141" s="1">
        <v>2</v>
      </c>
      <c r="K2141" s="1">
        <v>6</v>
      </c>
      <c r="L2141" s="67">
        <f t="shared" si="67"/>
        <v>1</v>
      </c>
    </row>
    <row r="2142" spans="1:12" x14ac:dyDescent="0.2">
      <c r="A2142">
        <v>2141</v>
      </c>
      <c r="B2142" s="7" t="s">
        <v>356</v>
      </c>
      <c r="C2142" t="s">
        <v>1316</v>
      </c>
      <c r="D2142" s="65" t="str">
        <f t="shared" si="66"/>
        <v>Y</v>
      </c>
      <c r="E2142" t="s">
        <v>1314</v>
      </c>
      <c r="F2142" s="7" t="s">
        <v>300</v>
      </c>
      <c r="G2142" s="1">
        <v>2</v>
      </c>
      <c r="H2142" s="7" t="s">
        <v>300</v>
      </c>
      <c r="I2142" s="7" t="s">
        <v>296</v>
      </c>
      <c r="J2142" s="1">
        <v>2</v>
      </c>
      <c r="K2142" s="1">
        <v>6</v>
      </c>
      <c r="L2142" s="67">
        <f t="shared" si="67"/>
        <v>1</v>
      </c>
    </row>
    <row r="2143" spans="1:12" x14ac:dyDescent="0.2">
      <c r="A2143">
        <v>2142</v>
      </c>
      <c r="B2143" s="7" t="s">
        <v>372</v>
      </c>
      <c r="C2143" t="s">
        <v>1316</v>
      </c>
      <c r="D2143" s="65" t="str">
        <f t="shared" si="66"/>
        <v>Y</v>
      </c>
      <c r="E2143" t="s">
        <v>1314</v>
      </c>
      <c r="F2143" s="7" t="s">
        <v>300</v>
      </c>
      <c r="G2143" s="1">
        <v>2</v>
      </c>
      <c r="H2143" s="7" t="s">
        <v>301</v>
      </c>
      <c r="I2143" s="7" t="s">
        <v>296</v>
      </c>
      <c r="J2143" s="1">
        <v>5</v>
      </c>
      <c r="K2143" s="1">
        <v>6</v>
      </c>
      <c r="L2143" s="67">
        <f t="shared" si="67"/>
        <v>0</v>
      </c>
    </row>
    <row r="2144" spans="1:12" x14ac:dyDescent="0.2">
      <c r="A2144">
        <v>2143</v>
      </c>
      <c r="B2144" s="7" t="s">
        <v>356</v>
      </c>
      <c r="C2144" t="s">
        <v>1316</v>
      </c>
      <c r="D2144" s="65" t="str">
        <f t="shared" si="66"/>
        <v>Y</v>
      </c>
      <c r="E2144" t="s">
        <v>1314</v>
      </c>
      <c r="F2144" s="7" t="s">
        <v>300</v>
      </c>
      <c r="G2144" s="1">
        <v>2</v>
      </c>
      <c r="H2144" s="7" t="s">
        <v>300</v>
      </c>
      <c r="I2144" s="7" t="s">
        <v>297</v>
      </c>
      <c r="J2144" s="1">
        <v>2</v>
      </c>
      <c r="K2144" s="1">
        <v>4</v>
      </c>
      <c r="L2144" s="67">
        <f t="shared" si="67"/>
        <v>1</v>
      </c>
    </row>
    <row r="2145" spans="1:12" x14ac:dyDescent="0.2">
      <c r="A2145">
        <v>2144</v>
      </c>
      <c r="B2145" s="7" t="s">
        <v>356</v>
      </c>
      <c r="C2145" t="s">
        <v>1316</v>
      </c>
      <c r="D2145" s="65" t="str">
        <f t="shared" si="66"/>
        <v>Y</v>
      </c>
      <c r="E2145" t="s">
        <v>1314</v>
      </c>
      <c r="F2145" s="7" t="s">
        <v>300</v>
      </c>
      <c r="G2145" s="1">
        <v>2</v>
      </c>
      <c r="H2145" s="7" t="s">
        <v>300</v>
      </c>
      <c r="I2145" s="7" t="s">
        <v>294</v>
      </c>
      <c r="J2145" s="1">
        <v>2</v>
      </c>
      <c r="K2145" s="1">
        <v>7</v>
      </c>
      <c r="L2145" s="67">
        <f t="shared" si="67"/>
        <v>1</v>
      </c>
    </row>
    <row r="2146" spans="1:12" x14ac:dyDescent="0.2">
      <c r="A2146">
        <v>2145</v>
      </c>
      <c r="B2146" s="7" t="s">
        <v>372</v>
      </c>
      <c r="C2146" t="s">
        <v>1316</v>
      </c>
      <c r="D2146" s="65" t="str">
        <f t="shared" si="66"/>
        <v>Y</v>
      </c>
      <c r="E2146" t="s">
        <v>1314</v>
      </c>
      <c r="F2146" s="7" t="s">
        <v>300</v>
      </c>
      <c r="G2146" s="1">
        <v>2</v>
      </c>
      <c r="H2146" s="7" t="s">
        <v>300</v>
      </c>
      <c r="I2146" s="7" t="s">
        <v>296</v>
      </c>
      <c r="J2146" s="1">
        <v>2</v>
      </c>
      <c r="K2146" s="1">
        <v>6</v>
      </c>
      <c r="L2146" s="67">
        <f t="shared" si="67"/>
        <v>1</v>
      </c>
    </row>
    <row r="2147" spans="1:12" x14ac:dyDescent="0.2">
      <c r="A2147">
        <v>2146</v>
      </c>
      <c r="B2147" s="7" t="s">
        <v>356</v>
      </c>
      <c r="C2147" t="s">
        <v>1316</v>
      </c>
      <c r="D2147" s="65" t="str">
        <f t="shared" si="66"/>
        <v>Y</v>
      </c>
      <c r="E2147" t="s">
        <v>1314</v>
      </c>
      <c r="F2147" s="7" t="s">
        <v>300</v>
      </c>
      <c r="G2147" s="1">
        <v>2</v>
      </c>
      <c r="H2147" s="7" t="s">
        <v>300</v>
      </c>
      <c r="I2147" s="7" t="s">
        <v>296</v>
      </c>
      <c r="J2147" s="1">
        <v>2</v>
      </c>
      <c r="K2147" s="1">
        <v>6</v>
      </c>
      <c r="L2147" s="67">
        <f t="shared" si="67"/>
        <v>1</v>
      </c>
    </row>
    <row r="2148" spans="1:12" x14ac:dyDescent="0.2">
      <c r="A2148">
        <v>2147</v>
      </c>
      <c r="B2148" s="7" t="s">
        <v>372</v>
      </c>
      <c r="C2148" t="s">
        <v>1316</v>
      </c>
      <c r="D2148" s="65" t="str">
        <f t="shared" si="66"/>
        <v>Y</v>
      </c>
      <c r="E2148" t="s">
        <v>1314</v>
      </c>
      <c r="F2148" s="7" t="s">
        <v>300</v>
      </c>
      <c r="G2148" s="1">
        <v>2</v>
      </c>
      <c r="H2148" s="7" t="s">
        <v>300</v>
      </c>
      <c r="I2148" s="7" t="s">
        <v>294</v>
      </c>
      <c r="J2148" s="1">
        <v>2</v>
      </c>
      <c r="K2148" s="1">
        <v>7</v>
      </c>
      <c r="L2148" s="67">
        <f t="shared" si="67"/>
        <v>1</v>
      </c>
    </row>
    <row r="2149" spans="1:12" x14ac:dyDescent="0.2">
      <c r="A2149">
        <v>2148</v>
      </c>
      <c r="B2149" s="7" t="s">
        <v>356</v>
      </c>
      <c r="C2149" t="s">
        <v>1316</v>
      </c>
      <c r="D2149" s="65" t="str">
        <f t="shared" si="66"/>
        <v>Y</v>
      </c>
      <c r="E2149" t="s">
        <v>1314</v>
      </c>
      <c r="F2149" s="7" t="s">
        <v>300</v>
      </c>
      <c r="G2149" s="1">
        <v>2</v>
      </c>
      <c r="H2149" s="7" t="s">
        <v>300</v>
      </c>
      <c r="I2149" s="7" t="s">
        <v>294</v>
      </c>
      <c r="J2149" s="1">
        <v>2</v>
      </c>
      <c r="K2149" s="1">
        <v>7</v>
      </c>
      <c r="L2149" s="67">
        <f t="shared" si="67"/>
        <v>1</v>
      </c>
    </row>
    <row r="2150" spans="1:12" x14ac:dyDescent="0.2">
      <c r="A2150">
        <v>2149</v>
      </c>
      <c r="B2150" s="7" t="s">
        <v>372</v>
      </c>
      <c r="C2150" t="s">
        <v>1316</v>
      </c>
      <c r="D2150" s="65" t="str">
        <f t="shared" si="66"/>
        <v>Y</v>
      </c>
      <c r="E2150" t="s">
        <v>1314</v>
      </c>
      <c r="F2150" s="7" t="s">
        <v>300</v>
      </c>
      <c r="G2150" s="1">
        <v>2</v>
      </c>
      <c r="H2150" s="7" t="s">
        <v>300</v>
      </c>
      <c r="I2150" s="7" t="s">
        <v>296</v>
      </c>
      <c r="J2150" s="1">
        <v>2</v>
      </c>
      <c r="K2150" s="1">
        <v>6</v>
      </c>
      <c r="L2150" s="67">
        <f t="shared" si="67"/>
        <v>1</v>
      </c>
    </row>
    <row r="2151" spans="1:12" x14ac:dyDescent="0.2">
      <c r="A2151">
        <v>2150</v>
      </c>
      <c r="B2151" s="7" t="s">
        <v>372</v>
      </c>
      <c r="C2151" t="s">
        <v>1316</v>
      </c>
      <c r="D2151" s="65" t="str">
        <f t="shared" si="66"/>
        <v>Y</v>
      </c>
      <c r="E2151" t="s">
        <v>1314</v>
      </c>
      <c r="F2151" s="7" t="s">
        <v>300</v>
      </c>
      <c r="G2151" s="1">
        <v>2</v>
      </c>
      <c r="H2151" s="7" t="s">
        <v>300</v>
      </c>
      <c r="I2151" s="7" t="s">
        <v>296</v>
      </c>
      <c r="J2151" s="1">
        <v>2</v>
      </c>
      <c r="K2151" s="1">
        <v>6</v>
      </c>
      <c r="L2151" s="67">
        <f t="shared" si="67"/>
        <v>1</v>
      </c>
    </row>
    <row r="2152" spans="1:12" x14ac:dyDescent="0.2">
      <c r="A2152">
        <v>2151</v>
      </c>
      <c r="B2152" s="7" t="s">
        <v>356</v>
      </c>
      <c r="C2152" t="s">
        <v>1316</v>
      </c>
      <c r="D2152" s="65" t="str">
        <f t="shared" si="66"/>
        <v>Y</v>
      </c>
      <c r="E2152" t="s">
        <v>1314</v>
      </c>
      <c r="F2152" s="7" t="s">
        <v>300</v>
      </c>
      <c r="G2152" s="1">
        <v>2</v>
      </c>
      <c r="H2152" s="7" t="s">
        <v>300</v>
      </c>
      <c r="I2152" s="7" t="s">
        <v>296</v>
      </c>
      <c r="J2152" s="1">
        <v>2</v>
      </c>
      <c r="K2152" s="1">
        <v>6</v>
      </c>
      <c r="L2152" s="67">
        <f t="shared" si="67"/>
        <v>1</v>
      </c>
    </row>
    <row r="2153" spans="1:12" x14ac:dyDescent="0.2">
      <c r="A2153">
        <v>2152</v>
      </c>
      <c r="B2153" s="7" t="s">
        <v>356</v>
      </c>
      <c r="C2153" t="s">
        <v>1316</v>
      </c>
      <c r="D2153" s="65" t="str">
        <f t="shared" si="66"/>
        <v>Y</v>
      </c>
      <c r="E2153" t="s">
        <v>1314</v>
      </c>
      <c r="F2153" s="7" t="s">
        <v>300</v>
      </c>
      <c r="G2153" s="1">
        <v>2</v>
      </c>
      <c r="H2153" s="7" t="s">
        <v>300</v>
      </c>
      <c r="I2153" s="7" t="s">
        <v>292</v>
      </c>
      <c r="J2153" s="1">
        <v>2</v>
      </c>
      <c r="K2153" s="1">
        <v>5</v>
      </c>
      <c r="L2153" s="67">
        <f t="shared" si="67"/>
        <v>1</v>
      </c>
    </row>
    <row r="2154" spans="1:12" x14ac:dyDescent="0.2">
      <c r="A2154">
        <v>2153</v>
      </c>
      <c r="B2154" s="7" t="s">
        <v>372</v>
      </c>
      <c r="C2154" t="s">
        <v>1316</v>
      </c>
      <c r="D2154" s="65" t="str">
        <f t="shared" si="66"/>
        <v>Y</v>
      </c>
      <c r="E2154" t="s">
        <v>1314</v>
      </c>
      <c r="F2154" s="7" t="s">
        <v>300</v>
      </c>
      <c r="G2154" s="1">
        <v>2</v>
      </c>
      <c r="H2154" s="7" t="s">
        <v>300</v>
      </c>
      <c r="I2154" s="7" t="s">
        <v>296</v>
      </c>
      <c r="J2154" s="1">
        <v>2</v>
      </c>
      <c r="K2154" s="1">
        <v>6</v>
      </c>
      <c r="L2154" s="67">
        <f t="shared" si="67"/>
        <v>1</v>
      </c>
    </row>
    <row r="2155" spans="1:12" x14ac:dyDescent="0.2">
      <c r="A2155">
        <v>2154</v>
      </c>
      <c r="B2155" s="7" t="s">
        <v>356</v>
      </c>
      <c r="C2155" t="s">
        <v>1316</v>
      </c>
      <c r="D2155" s="65" t="str">
        <f t="shared" si="66"/>
        <v>Y</v>
      </c>
      <c r="E2155" t="s">
        <v>1314</v>
      </c>
      <c r="F2155" s="7" t="s">
        <v>300</v>
      </c>
      <c r="G2155" s="1">
        <v>2</v>
      </c>
      <c r="H2155" s="7" t="s">
        <v>300</v>
      </c>
      <c r="I2155" s="7" t="s">
        <v>292</v>
      </c>
      <c r="J2155" s="1">
        <v>2</v>
      </c>
      <c r="K2155" s="1">
        <v>5</v>
      </c>
      <c r="L2155" s="67">
        <f t="shared" si="67"/>
        <v>1</v>
      </c>
    </row>
    <row r="2156" spans="1:12" x14ac:dyDescent="0.2">
      <c r="A2156">
        <v>2155</v>
      </c>
      <c r="B2156" s="7" t="s">
        <v>356</v>
      </c>
      <c r="C2156" t="s">
        <v>1316</v>
      </c>
      <c r="D2156" s="65" t="str">
        <f t="shared" si="66"/>
        <v>Y</v>
      </c>
      <c r="E2156" t="s">
        <v>1314</v>
      </c>
      <c r="F2156" s="7" t="s">
        <v>300</v>
      </c>
      <c r="G2156" s="1">
        <v>2</v>
      </c>
      <c r="H2156" s="7" t="s">
        <v>300</v>
      </c>
      <c r="I2156" s="7" t="s">
        <v>294</v>
      </c>
      <c r="J2156" s="1">
        <v>2</v>
      </c>
      <c r="K2156" s="1">
        <v>7</v>
      </c>
      <c r="L2156" s="67">
        <f t="shared" si="67"/>
        <v>1</v>
      </c>
    </row>
    <row r="2157" spans="1:12" x14ac:dyDescent="0.2">
      <c r="A2157">
        <v>2156</v>
      </c>
      <c r="B2157" s="7" t="s">
        <v>372</v>
      </c>
      <c r="C2157" t="s">
        <v>1316</v>
      </c>
      <c r="D2157" s="65" t="str">
        <f t="shared" si="66"/>
        <v>Y</v>
      </c>
      <c r="E2157" t="s">
        <v>1314</v>
      </c>
      <c r="F2157" s="7" t="s">
        <v>300</v>
      </c>
      <c r="G2157" s="1">
        <v>2</v>
      </c>
      <c r="H2157" s="7" t="s">
        <v>300</v>
      </c>
      <c r="I2157" s="7" t="s">
        <v>294</v>
      </c>
      <c r="J2157" s="1">
        <v>2</v>
      </c>
      <c r="K2157" s="1">
        <v>7</v>
      </c>
      <c r="L2157" s="67">
        <f t="shared" si="67"/>
        <v>1</v>
      </c>
    </row>
    <row r="2158" spans="1:12" x14ac:dyDescent="0.2">
      <c r="A2158">
        <v>2157</v>
      </c>
      <c r="B2158" s="7" t="s">
        <v>372</v>
      </c>
      <c r="C2158" t="s">
        <v>1316</v>
      </c>
      <c r="D2158" s="65" t="str">
        <f t="shared" si="66"/>
        <v>Y</v>
      </c>
      <c r="E2158" t="s">
        <v>1314</v>
      </c>
      <c r="F2158" s="7" t="s">
        <v>300</v>
      </c>
      <c r="G2158" s="1">
        <v>2</v>
      </c>
      <c r="H2158" s="7" t="s">
        <v>300</v>
      </c>
      <c r="I2158" s="7" t="s">
        <v>294</v>
      </c>
      <c r="J2158" s="1">
        <v>2</v>
      </c>
      <c r="K2158" s="1">
        <v>7</v>
      </c>
      <c r="L2158" s="67">
        <f t="shared" si="67"/>
        <v>1</v>
      </c>
    </row>
    <row r="2159" spans="1:12" x14ac:dyDescent="0.2">
      <c r="A2159">
        <v>2158</v>
      </c>
      <c r="B2159" s="7" t="s">
        <v>356</v>
      </c>
      <c r="C2159" t="s">
        <v>1316</v>
      </c>
      <c r="D2159" s="65" t="str">
        <f t="shared" si="66"/>
        <v>Y</v>
      </c>
      <c r="E2159" t="s">
        <v>1314</v>
      </c>
      <c r="F2159" s="7" t="s">
        <v>300</v>
      </c>
      <c r="G2159" s="1">
        <v>2</v>
      </c>
      <c r="H2159" s="7" t="s">
        <v>300</v>
      </c>
      <c r="I2159" s="7" t="s">
        <v>296</v>
      </c>
      <c r="J2159" s="1">
        <v>2</v>
      </c>
      <c r="K2159" s="1">
        <v>6</v>
      </c>
      <c r="L2159" s="67">
        <f t="shared" si="67"/>
        <v>1</v>
      </c>
    </row>
    <row r="2160" spans="1:12" x14ac:dyDescent="0.2">
      <c r="A2160">
        <v>2159</v>
      </c>
      <c r="B2160" s="7" t="s">
        <v>356</v>
      </c>
      <c r="C2160" t="s">
        <v>1316</v>
      </c>
      <c r="D2160" s="65" t="str">
        <f t="shared" si="66"/>
        <v>Y</v>
      </c>
      <c r="E2160" t="s">
        <v>1314</v>
      </c>
      <c r="F2160" s="7" t="s">
        <v>300</v>
      </c>
      <c r="G2160" s="1">
        <v>2</v>
      </c>
      <c r="H2160" s="7" t="s">
        <v>300</v>
      </c>
      <c r="I2160" s="7" t="s">
        <v>294</v>
      </c>
      <c r="J2160" s="1">
        <v>2</v>
      </c>
      <c r="K2160" s="1">
        <v>7</v>
      </c>
      <c r="L2160" s="67">
        <f t="shared" si="67"/>
        <v>1</v>
      </c>
    </row>
    <row r="2161" spans="1:12" x14ac:dyDescent="0.2">
      <c r="A2161">
        <v>2160</v>
      </c>
      <c r="B2161" s="7" t="s">
        <v>372</v>
      </c>
      <c r="C2161" t="s">
        <v>1316</v>
      </c>
      <c r="D2161" s="65" t="str">
        <f t="shared" si="66"/>
        <v>Y</v>
      </c>
      <c r="E2161" t="s">
        <v>1314</v>
      </c>
      <c r="F2161" s="7" t="s">
        <v>300</v>
      </c>
      <c r="G2161" s="1">
        <v>2</v>
      </c>
      <c r="H2161" s="7" t="s">
        <v>300</v>
      </c>
      <c r="I2161" s="7" t="s">
        <v>294</v>
      </c>
      <c r="J2161" s="1">
        <v>2</v>
      </c>
      <c r="K2161" s="1">
        <v>7</v>
      </c>
      <c r="L2161" s="67">
        <f t="shared" si="67"/>
        <v>1</v>
      </c>
    </row>
    <row r="2162" spans="1:12" x14ac:dyDescent="0.2">
      <c r="A2162">
        <v>2161</v>
      </c>
      <c r="B2162" s="7" t="s">
        <v>356</v>
      </c>
      <c r="C2162" t="s">
        <v>1316</v>
      </c>
      <c r="D2162" s="65" t="str">
        <f t="shared" si="66"/>
        <v>Y</v>
      </c>
      <c r="E2162" t="s">
        <v>1314</v>
      </c>
      <c r="F2162" s="7" t="s">
        <v>300</v>
      </c>
      <c r="G2162" s="1">
        <v>2</v>
      </c>
      <c r="H2162" s="7" t="s">
        <v>300</v>
      </c>
      <c r="I2162" s="7" t="s">
        <v>292</v>
      </c>
      <c r="J2162" s="1">
        <v>2</v>
      </c>
      <c r="K2162" s="1">
        <v>5</v>
      </c>
      <c r="L2162" s="67">
        <f t="shared" si="67"/>
        <v>1</v>
      </c>
    </row>
    <row r="2163" spans="1:12" x14ac:dyDescent="0.2">
      <c r="A2163">
        <v>2162</v>
      </c>
      <c r="B2163" s="7" t="s">
        <v>372</v>
      </c>
      <c r="C2163" t="s">
        <v>1316</v>
      </c>
      <c r="D2163" s="65" t="str">
        <f t="shared" si="66"/>
        <v>Y</v>
      </c>
      <c r="E2163" t="s">
        <v>1314</v>
      </c>
      <c r="F2163" s="7" t="s">
        <v>300</v>
      </c>
      <c r="G2163" s="1">
        <v>2</v>
      </c>
      <c r="H2163" s="7" t="s">
        <v>300</v>
      </c>
      <c r="I2163" s="7" t="s">
        <v>296</v>
      </c>
      <c r="J2163" s="1">
        <v>2</v>
      </c>
      <c r="K2163" s="1">
        <v>6</v>
      </c>
      <c r="L2163" s="67">
        <f t="shared" si="67"/>
        <v>1</v>
      </c>
    </row>
    <row r="2164" spans="1:12" x14ac:dyDescent="0.2">
      <c r="A2164">
        <v>2163</v>
      </c>
      <c r="B2164" s="7" t="s">
        <v>356</v>
      </c>
      <c r="C2164" t="s">
        <v>1316</v>
      </c>
      <c r="D2164" s="65" t="str">
        <f t="shared" si="66"/>
        <v>Y</v>
      </c>
      <c r="E2164" t="s">
        <v>1314</v>
      </c>
      <c r="F2164" s="7" t="s">
        <v>300</v>
      </c>
      <c r="G2164" s="1">
        <v>2</v>
      </c>
      <c r="H2164" s="7" t="s">
        <v>300</v>
      </c>
      <c r="I2164" s="7" t="s">
        <v>296</v>
      </c>
      <c r="J2164" s="1">
        <v>2</v>
      </c>
      <c r="K2164" s="1">
        <v>6</v>
      </c>
      <c r="L2164" s="67">
        <f t="shared" si="67"/>
        <v>1</v>
      </c>
    </row>
    <row r="2165" spans="1:12" x14ac:dyDescent="0.2">
      <c r="A2165">
        <v>2164</v>
      </c>
      <c r="B2165" s="7" t="s">
        <v>372</v>
      </c>
      <c r="C2165" t="s">
        <v>1316</v>
      </c>
      <c r="D2165" s="65" t="str">
        <f t="shared" si="66"/>
        <v>Y</v>
      </c>
      <c r="E2165" t="s">
        <v>1314</v>
      </c>
      <c r="F2165" s="7" t="s">
        <v>300</v>
      </c>
      <c r="G2165" s="1">
        <v>2</v>
      </c>
      <c r="H2165" s="7" t="s">
        <v>300</v>
      </c>
      <c r="I2165" s="7" t="s">
        <v>294</v>
      </c>
      <c r="J2165" s="1">
        <v>2</v>
      </c>
      <c r="K2165" s="1">
        <v>7</v>
      </c>
      <c r="L2165" s="67">
        <f t="shared" si="67"/>
        <v>1</v>
      </c>
    </row>
    <row r="2166" spans="1:12" x14ac:dyDescent="0.2">
      <c r="A2166">
        <v>2165</v>
      </c>
      <c r="B2166" s="7" t="s">
        <v>356</v>
      </c>
      <c r="C2166" t="s">
        <v>1316</v>
      </c>
      <c r="D2166" s="65" t="str">
        <f t="shared" si="66"/>
        <v>Y</v>
      </c>
      <c r="E2166" t="s">
        <v>1314</v>
      </c>
      <c r="F2166" s="7" t="s">
        <v>300</v>
      </c>
      <c r="G2166" s="1">
        <v>2</v>
      </c>
      <c r="H2166" s="7" t="s">
        <v>300</v>
      </c>
      <c r="I2166" s="7" t="s">
        <v>294</v>
      </c>
      <c r="J2166" s="1">
        <v>2</v>
      </c>
      <c r="K2166" s="1">
        <v>7</v>
      </c>
      <c r="L2166" s="67">
        <f t="shared" si="67"/>
        <v>1</v>
      </c>
    </row>
    <row r="2167" spans="1:12" x14ac:dyDescent="0.2">
      <c r="A2167">
        <v>2166</v>
      </c>
      <c r="B2167" s="7" t="s">
        <v>356</v>
      </c>
      <c r="C2167" t="s">
        <v>1316</v>
      </c>
      <c r="D2167" s="65" t="str">
        <f t="shared" si="66"/>
        <v>Y</v>
      </c>
      <c r="E2167" t="s">
        <v>1314</v>
      </c>
      <c r="F2167" s="7" t="s">
        <v>300</v>
      </c>
      <c r="G2167" s="1">
        <v>2</v>
      </c>
      <c r="H2167" s="7" t="s">
        <v>300</v>
      </c>
      <c r="I2167" s="7" t="s">
        <v>296</v>
      </c>
      <c r="J2167" s="1">
        <v>2</v>
      </c>
      <c r="K2167" s="1">
        <v>6</v>
      </c>
      <c r="L2167" s="67">
        <f t="shared" si="67"/>
        <v>1</v>
      </c>
    </row>
    <row r="2168" spans="1:12" x14ac:dyDescent="0.2">
      <c r="A2168">
        <v>2167</v>
      </c>
      <c r="B2168" s="7" t="s">
        <v>372</v>
      </c>
      <c r="C2168" t="s">
        <v>1316</v>
      </c>
      <c r="D2168" s="65" t="str">
        <f t="shared" si="66"/>
        <v>Y</v>
      </c>
      <c r="E2168" t="s">
        <v>1314</v>
      </c>
      <c r="F2168" s="7" t="s">
        <v>300</v>
      </c>
      <c r="G2168" s="1">
        <v>2</v>
      </c>
      <c r="H2168" s="7" t="s">
        <v>300</v>
      </c>
      <c r="I2168" s="7" t="s">
        <v>296</v>
      </c>
      <c r="J2168" s="1">
        <v>2</v>
      </c>
      <c r="K2168" s="1">
        <v>6</v>
      </c>
      <c r="L2168" s="67">
        <f t="shared" si="67"/>
        <v>1</v>
      </c>
    </row>
    <row r="2169" spans="1:12" x14ac:dyDescent="0.2">
      <c r="A2169">
        <v>2168</v>
      </c>
      <c r="B2169" s="7" t="s">
        <v>372</v>
      </c>
      <c r="C2169" t="s">
        <v>1316</v>
      </c>
      <c r="D2169" s="65" t="str">
        <f t="shared" si="66"/>
        <v>Y</v>
      </c>
      <c r="E2169" t="s">
        <v>1314</v>
      </c>
      <c r="F2169" s="7" t="s">
        <v>300</v>
      </c>
      <c r="G2169" s="1">
        <v>2</v>
      </c>
      <c r="H2169" s="7" t="s">
        <v>300</v>
      </c>
      <c r="I2169" s="7" t="s">
        <v>294</v>
      </c>
      <c r="J2169" s="1">
        <v>2</v>
      </c>
      <c r="K2169" s="1">
        <v>7</v>
      </c>
      <c r="L2169" s="67">
        <f t="shared" si="67"/>
        <v>1</v>
      </c>
    </row>
    <row r="2170" spans="1:12" x14ac:dyDescent="0.2">
      <c r="A2170">
        <v>2169</v>
      </c>
      <c r="B2170" s="7" t="s">
        <v>356</v>
      </c>
      <c r="C2170" t="s">
        <v>1316</v>
      </c>
      <c r="D2170" s="65" t="str">
        <f t="shared" si="66"/>
        <v>Y</v>
      </c>
      <c r="E2170" t="s">
        <v>1314</v>
      </c>
      <c r="F2170" s="7" t="s">
        <v>300</v>
      </c>
      <c r="G2170" s="1">
        <v>2</v>
      </c>
      <c r="H2170" s="7" t="s">
        <v>300</v>
      </c>
      <c r="I2170" s="7" t="s">
        <v>294</v>
      </c>
      <c r="J2170" s="1">
        <v>2</v>
      </c>
      <c r="K2170" s="1">
        <v>7</v>
      </c>
      <c r="L2170" s="67">
        <f t="shared" si="67"/>
        <v>1</v>
      </c>
    </row>
    <row r="2171" spans="1:12" x14ac:dyDescent="0.2">
      <c r="A2171">
        <v>2170</v>
      </c>
      <c r="B2171" s="7" t="s">
        <v>372</v>
      </c>
      <c r="C2171" t="s">
        <v>1316</v>
      </c>
      <c r="D2171" s="65" t="str">
        <f t="shared" si="66"/>
        <v>Y</v>
      </c>
      <c r="E2171" t="s">
        <v>1314</v>
      </c>
      <c r="F2171" s="7" t="s">
        <v>300</v>
      </c>
      <c r="G2171" s="1">
        <v>2</v>
      </c>
      <c r="H2171" s="7" t="s">
        <v>300</v>
      </c>
      <c r="I2171" s="7" t="s">
        <v>296</v>
      </c>
      <c r="J2171" s="1">
        <v>2</v>
      </c>
      <c r="K2171" s="1">
        <v>6</v>
      </c>
      <c r="L2171" s="67">
        <f t="shared" si="67"/>
        <v>1</v>
      </c>
    </row>
    <row r="2172" spans="1:12" x14ac:dyDescent="0.2">
      <c r="A2172">
        <v>2171</v>
      </c>
      <c r="B2172" s="7" t="s">
        <v>372</v>
      </c>
      <c r="C2172" t="s">
        <v>1316</v>
      </c>
      <c r="D2172" s="65" t="str">
        <f t="shared" si="66"/>
        <v>Y</v>
      </c>
      <c r="E2172" t="s">
        <v>1314</v>
      </c>
      <c r="F2172" s="7" t="s">
        <v>300</v>
      </c>
      <c r="G2172" s="1">
        <v>2</v>
      </c>
      <c r="H2172" s="7" t="s">
        <v>300</v>
      </c>
      <c r="I2172" s="7" t="s">
        <v>296</v>
      </c>
      <c r="J2172" s="1">
        <v>2</v>
      </c>
      <c r="K2172" s="1">
        <v>6</v>
      </c>
      <c r="L2172" s="67">
        <f t="shared" si="67"/>
        <v>1</v>
      </c>
    </row>
    <row r="2173" spans="1:12" x14ac:dyDescent="0.2">
      <c r="A2173">
        <v>2172</v>
      </c>
      <c r="B2173" s="7" t="s">
        <v>372</v>
      </c>
      <c r="C2173" t="s">
        <v>1316</v>
      </c>
      <c r="D2173" s="65" t="str">
        <f t="shared" si="66"/>
        <v>Y</v>
      </c>
      <c r="E2173" t="s">
        <v>1314</v>
      </c>
      <c r="F2173" s="7" t="s">
        <v>300</v>
      </c>
      <c r="G2173" s="1">
        <v>2</v>
      </c>
      <c r="H2173" s="7" t="s">
        <v>300</v>
      </c>
      <c r="I2173" s="7" t="s">
        <v>292</v>
      </c>
      <c r="J2173" s="1">
        <v>2</v>
      </c>
      <c r="K2173" s="1">
        <v>5</v>
      </c>
      <c r="L2173" s="67">
        <f t="shared" si="67"/>
        <v>1</v>
      </c>
    </row>
    <row r="2174" spans="1:12" x14ac:dyDescent="0.2">
      <c r="A2174">
        <v>2173</v>
      </c>
      <c r="B2174" s="7" t="s">
        <v>356</v>
      </c>
      <c r="C2174" t="s">
        <v>1316</v>
      </c>
      <c r="D2174" s="65" t="str">
        <f t="shared" si="66"/>
        <v>Y</v>
      </c>
      <c r="E2174" t="s">
        <v>1314</v>
      </c>
      <c r="F2174" s="7" t="s">
        <v>300</v>
      </c>
      <c r="G2174" s="1">
        <v>2</v>
      </c>
      <c r="H2174" s="7" t="s">
        <v>300</v>
      </c>
      <c r="I2174" s="7" t="s">
        <v>294</v>
      </c>
      <c r="J2174" s="1">
        <v>2</v>
      </c>
      <c r="K2174" s="1">
        <v>7</v>
      </c>
      <c r="L2174" s="67">
        <f t="shared" si="67"/>
        <v>1</v>
      </c>
    </row>
    <row r="2175" spans="1:12" x14ac:dyDescent="0.2">
      <c r="A2175">
        <v>2174</v>
      </c>
      <c r="B2175" s="7" t="s">
        <v>372</v>
      </c>
      <c r="C2175" t="s">
        <v>1316</v>
      </c>
      <c r="D2175" s="65" t="str">
        <f t="shared" si="66"/>
        <v>Y</v>
      </c>
      <c r="E2175" t="s">
        <v>1314</v>
      </c>
      <c r="F2175" s="7" t="s">
        <v>300</v>
      </c>
      <c r="G2175" s="1">
        <v>2</v>
      </c>
      <c r="H2175" s="7" t="s">
        <v>300</v>
      </c>
      <c r="I2175" s="7" t="s">
        <v>292</v>
      </c>
      <c r="J2175" s="1">
        <v>2</v>
      </c>
      <c r="K2175" s="1">
        <v>5</v>
      </c>
      <c r="L2175" s="67">
        <f t="shared" si="67"/>
        <v>1</v>
      </c>
    </row>
    <row r="2176" spans="1:12" x14ac:dyDescent="0.2">
      <c r="A2176">
        <v>2175</v>
      </c>
      <c r="B2176" s="7" t="s">
        <v>356</v>
      </c>
      <c r="C2176" t="s">
        <v>1316</v>
      </c>
      <c r="D2176" s="65" t="str">
        <f t="shared" si="66"/>
        <v>Y</v>
      </c>
      <c r="E2176" t="s">
        <v>1314</v>
      </c>
      <c r="F2176" s="7" t="s">
        <v>300</v>
      </c>
      <c r="G2176" s="1">
        <v>2</v>
      </c>
      <c r="H2176" s="7" t="s">
        <v>300</v>
      </c>
      <c r="I2176" s="7" t="s">
        <v>296</v>
      </c>
      <c r="J2176" s="1">
        <v>2</v>
      </c>
      <c r="K2176" s="1">
        <v>6</v>
      </c>
      <c r="L2176" s="67">
        <f t="shared" si="67"/>
        <v>1</v>
      </c>
    </row>
    <row r="2177" spans="1:12" x14ac:dyDescent="0.2">
      <c r="A2177">
        <v>2176</v>
      </c>
      <c r="B2177" s="7" t="s">
        <v>356</v>
      </c>
      <c r="C2177" t="s">
        <v>1316</v>
      </c>
      <c r="D2177" s="65" t="str">
        <f t="shared" si="66"/>
        <v>Y</v>
      </c>
      <c r="E2177" t="s">
        <v>1314</v>
      </c>
      <c r="F2177" s="7" t="s">
        <v>300</v>
      </c>
      <c r="G2177" s="1">
        <v>2</v>
      </c>
      <c r="H2177" s="7" t="s">
        <v>300</v>
      </c>
      <c r="I2177" s="7" t="s">
        <v>294</v>
      </c>
      <c r="J2177" s="1">
        <v>2</v>
      </c>
      <c r="K2177" s="1">
        <v>7</v>
      </c>
      <c r="L2177" s="67">
        <f t="shared" si="67"/>
        <v>1</v>
      </c>
    </row>
    <row r="2178" spans="1:12" x14ac:dyDescent="0.2">
      <c r="A2178">
        <v>2177</v>
      </c>
      <c r="B2178" s="7" t="s">
        <v>372</v>
      </c>
      <c r="C2178" t="s">
        <v>1316</v>
      </c>
      <c r="D2178" s="65" t="str">
        <f t="shared" si="66"/>
        <v>Y</v>
      </c>
      <c r="E2178" t="s">
        <v>1314</v>
      </c>
      <c r="F2178" s="7" t="s">
        <v>300</v>
      </c>
      <c r="G2178" s="1">
        <v>2</v>
      </c>
      <c r="H2178" s="7" t="s">
        <v>282</v>
      </c>
      <c r="I2178" s="7" t="s">
        <v>294</v>
      </c>
      <c r="J2178" s="4" t="s">
        <v>282</v>
      </c>
      <c r="K2178" s="1">
        <v>7</v>
      </c>
      <c r="L2178" s="67">
        <f t="shared" si="67"/>
        <v>0</v>
      </c>
    </row>
    <row r="2179" spans="1:12" x14ac:dyDescent="0.2">
      <c r="A2179">
        <v>2178</v>
      </c>
      <c r="B2179" s="7" t="s">
        <v>372</v>
      </c>
      <c r="C2179" t="s">
        <v>1316</v>
      </c>
      <c r="D2179" s="65" t="str">
        <f t="shared" ref="D2179:D2242" si="68">IF($E2179="iso", "N", IF(OR($E2179="non", $E2179="emd", $E2179="dyn"), "Y", "ERROR"))</f>
        <v>Y</v>
      </c>
      <c r="E2179" t="s">
        <v>1314</v>
      </c>
      <c r="F2179" s="7" t="s">
        <v>300</v>
      </c>
      <c r="G2179" s="1">
        <v>2</v>
      </c>
      <c r="H2179" s="7" t="s">
        <v>300</v>
      </c>
      <c r="I2179" s="7" t="s">
        <v>296</v>
      </c>
      <c r="J2179" s="1">
        <v>2</v>
      </c>
      <c r="K2179" s="1">
        <v>6</v>
      </c>
      <c r="L2179" s="67">
        <f t="shared" ref="L2179:L2242" si="69">IF(G2179=J2179, 1, 0)</f>
        <v>1</v>
      </c>
    </row>
    <row r="2180" spans="1:12" x14ac:dyDescent="0.2">
      <c r="A2180">
        <v>2179</v>
      </c>
      <c r="B2180" s="7" t="s">
        <v>356</v>
      </c>
      <c r="C2180" t="s">
        <v>1316</v>
      </c>
      <c r="D2180" s="65" t="str">
        <f t="shared" si="68"/>
        <v>Y</v>
      </c>
      <c r="E2180" t="s">
        <v>1314</v>
      </c>
      <c r="F2180" s="7" t="s">
        <v>300</v>
      </c>
      <c r="G2180" s="1">
        <v>2</v>
      </c>
      <c r="H2180" s="7" t="s">
        <v>300</v>
      </c>
      <c r="I2180" s="7" t="s">
        <v>294</v>
      </c>
      <c r="J2180" s="1">
        <v>2</v>
      </c>
      <c r="K2180" s="1">
        <v>7</v>
      </c>
      <c r="L2180" s="67">
        <f t="shared" si="69"/>
        <v>1</v>
      </c>
    </row>
    <row r="2181" spans="1:12" x14ac:dyDescent="0.2">
      <c r="A2181">
        <v>2180</v>
      </c>
      <c r="B2181" s="7" t="s">
        <v>372</v>
      </c>
      <c r="C2181" t="s">
        <v>1316</v>
      </c>
      <c r="D2181" s="65" t="str">
        <f t="shared" si="68"/>
        <v>Y</v>
      </c>
      <c r="E2181" t="s">
        <v>1314</v>
      </c>
      <c r="F2181" s="7" t="s">
        <v>300</v>
      </c>
      <c r="G2181" s="1">
        <v>2</v>
      </c>
      <c r="H2181" s="7" t="s">
        <v>300</v>
      </c>
      <c r="I2181" s="7" t="s">
        <v>294</v>
      </c>
      <c r="J2181" s="1">
        <v>2</v>
      </c>
      <c r="K2181" s="1">
        <v>7</v>
      </c>
      <c r="L2181" s="67">
        <f t="shared" si="69"/>
        <v>1</v>
      </c>
    </row>
    <row r="2182" spans="1:12" x14ac:dyDescent="0.2">
      <c r="A2182">
        <v>2181</v>
      </c>
      <c r="B2182" s="7" t="s">
        <v>356</v>
      </c>
      <c r="C2182" t="s">
        <v>1316</v>
      </c>
      <c r="D2182" s="65" t="str">
        <f t="shared" si="68"/>
        <v>Y</v>
      </c>
      <c r="E2182" t="s">
        <v>1314</v>
      </c>
      <c r="F2182" s="7" t="s">
        <v>300</v>
      </c>
      <c r="G2182" s="1">
        <v>2</v>
      </c>
      <c r="H2182" s="7" t="s">
        <v>300</v>
      </c>
      <c r="I2182" s="7" t="s">
        <v>296</v>
      </c>
      <c r="J2182" s="1">
        <v>2</v>
      </c>
      <c r="K2182" s="1">
        <v>6</v>
      </c>
      <c r="L2182" s="67">
        <f t="shared" si="69"/>
        <v>1</v>
      </c>
    </row>
    <row r="2183" spans="1:12" x14ac:dyDescent="0.2">
      <c r="A2183">
        <v>2182</v>
      </c>
      <c r="B2183" s="7" t="s">
        <v>372</v>
      </c>
      <c r="C2183" t="s">
        <v>1316</v>
      </c>
      <c r="D2183" s="65" t="str">
        <f t="shared" si="68"/>
        <v>Y</v>
      </c>
      <c r="E2183" t="s">
        <v>1314</v>
      </c>
      <c r="F2183" s="7" t="s">
        <v>300</v>
      </c>
      <c r="G2183" s="1">
        <v>2</v>
      </c>
      <c r="H2183" s="7" t="s">
        <v>300</v>
      </c>
      <c r="I2183" s="7" t="s">
        <v>296</v>
      </c>
      <c r="J2183" s="1">
        <v>2</v>
      </c>
      <c r="K2183" s="1">
        <v>6</v>
      </c>
      <c r="L2183" s="67">
        <f t="shared" si="69"/>
        <v>1</v>
      </c>
    </row>
    <row r="2184" spans="1:12" x14ac:dyDescent="0.2">
      <c r="A2184">
        <v>2183</v>
      </c>
      <c r="B2184" s="7" t="s">
        <v>372</v>
      </c>
      <c r="C2184" t="s">
        <v>1316</v>
      </c>
      <c r="D2184" s="65" t="str">
        <f t="shared" si="68"/>
        <v>Y</v>
      </c>
      <c r="E2184" t="s">
        <v>1314</v>
      </c>
      <c r="F2184" s="7" t="s">
        <v>300</v>
      </c>
      <c r="G2184" s="1">
        <v>2</v>
      </c>
      <c r="H2184" s="7" t="s">
        <v>300</v>
      </c>
      <c r="I2184" s="7" t="s">
        <v>296</v>
      </c>
      <c r="J2184" s="1">
        <v>2</v>
      </c>
      <c r="K2184" s="1">
        <v>6</v>
      </c>
      <c r="L2184" s="67">
        <f t="shared" si="69"/>
        <v>1</v>
      </c>
    </row>
    <row r="2185" spans="1:12" x14ac:dyDescent="0.2">
      <c r="A2185">
        <v>2184</v>
      </c>
      <c r="B2185" s="7" t="s">
        <v>356</v>
      </c>
      <c r="C2185" t="s">
        <v>1316</v>
      </c>
      <c r="D2185" s="65" t="str">
        <f t="shared" si="68"/>
        <v>Y</v>
      </c>
      <c r="E2185" t="s">
        <v>1314</v>
      </c>
      <c r="F2185" s="7" t="s">
        <v>300</v>
      </c>
      <c r="G2185" s="1">
        <v>2</v>
      </c>
      <c r="H2185" s="7" t="s">
        <v>300</v>
      </c>
      <c r="I2185" s="7" t="s">
        <v>294</v>
      </c>
      <c r="J2185" s="1">
        <v>2</v>
      </c>
      <c r="K2185" s="1">
        <v>7</v>
      </c>
      <c r="L2185" s="67">
        <f t="shared" si="69"/>
        <v>1</v>
      </c>
    </row>
    <row r="2186" spans="1:12" x14ac:dyDescent="0.2">
      <c r="A2186">
        <v>2185</v>
      </c>
      <c r="B2186" s="7" t="s">
        <v>372</v>
      </c>
      <c r="C2186" t="s">
        <v>1316</v>
      </c>
      <c r="D2186" s="65" t="str">
        <f t="shared" si="68"/>
        <v>Y</v>
      </c>
      <c r="E2186" t="s">
        <v>1314</v>
      </c>
      <c r="F2186" s="7" t="s">
        <v>300</v>
      </c>
      <c r="G2186" s="1">
        <v>2</v>
      </c>
      <c r="H2186" s="7" t="s">
        <v>300</v>
      </c>
      <c r="I2186" s="7" t="s">
        <v>294</v>
      </c>
      <c r="J2186" s="1">
        <v>2</v>
      </c>
      <c r="K2186" s="1">
        <v>7</v>
      </c>
      <c r="L2186" s="67">
        <f t="shared" si="69"/>
        <v>1</v>
      </c>
    </row>
    <row r="2187" spans="1:12" x14ac:dyDescent="0.2">
      <c r="A2187">
        <v>2186</v>
      </c>
      <c r="B2187" s="7" t="s">
        <v>356</v>
      </c>
      <c r="C2187" t="s">
        <v>1316</v>
      </c>
      <c r="D2187" s="65" t="str">
        <f t="shared" si="68"/>
        <v>Y</v>
      </c>
      <c r="E2187" t="s">
        <v>1314</v>
      </c>
      <c r="F2187" s="7" t="s">
        <v>300</v>
      </c>
      <c r="G2187" s="1">
        <v>2</v>
      </c>
      <c r="H2187" s="7" t="s">
        <v>300</v>
      </c>
      <c r="I2187" s="7" t="s">
        <v>294</v>
      </c>
      <c r="J2187" s="1">
        <v>2</v>
      </c>
      <c r="K2187" s="1">
        <v>7</v>
      </c>
      <c r="L2187" s="67">
        <f t="shared" si="69"/>
        <v>1</v>
      </c>
    </row>
    <row r="2188" spans="1:12" x14ac:dyDescent="0.2">
      <c r="A2188">
        <v>2187</v>
      </c>
      <c r="B2188" s="7" t="s">
        <v>356</v>
      </c>
      <c r="C2188" t="s">
        <v>1316</v>
      </c>
      <c r="D2188" s="65" t="str">
        <f t="shared" si="68"/>
        <v>Y</v>
      </c>
      <c r="E2188" t="s">
        <v>1314</v>
      </c>
      <c r="F2188" s="7" t="s">
        <v>300</v>
      </c>
      <c r="G2188" s="1">
        <v>2</v>
      </c>
      <c r="H2188" s="7" t="s">
        <v>300</v>
      </c>
      <c r="I2188" s="7" t="s">
        <v>292</v>
      </c>
      <c r="J2188" s="1">
        <v>2</v>
      </c>
      <c r="K2188" s="1">
        <v>5</v>
      </c>
      <c r="L2188" s="67">
        <f t="shared" si="69"/>
        <v>1</v>
      </c>
    </row>
    <row r="2189" spans="1:12" x14ac:dyDescent="0.2">
      <c r="A2189">
        <v>2188</v>
      </c>
      <c r="B2189" s="7" t="s">
        <v>372</v>
      </c>
      <c r="C2189" t="s">
        <v>1316</v>
      </c>
      <c r="D2189" s="65" t="str">
        <f t="shared" si="68"/>
        <v>Y</v>
      </c>
      <c r="E2189" t="s">
        <v>1314</v>
      </c>
      <c r="F2189" s="7" t="s">
        <v>300</v>
      </c>
      <c r="G2189" s="1">
        <v>2</v>
      </c>
      <c r="H2189" s="7" t="s">
        <v>300</v>
      </c>
      <c r="I2189" s="7" t="s">
        <v>292</v>
      </c>
      <c r="J2189" s="1">
        <v>2</v>
      </c>
      <c r="K2189" s="1">
        <v>5</v>
      </c>
      <c r="L2189" s="67">
        <f t="shared" si="69"/>
        <v>1</v>
      </c>
    </row>
    <row r="2190" spans="1:12" x14ac:dyDescent="0.2">
      <c r="A2190">
        <v>2189</v>
      </c>
      <c r="B2190" s="7" t="s">
        <v>356</v>
      </c>
      <c r="C2190" t="s">
        <v>1316</v>
      </c>
      <c r="D2190" s="65" t="str">
        <f t="shared" si="68"/>
        <v>Y</v>
      </c>
      <c r="E2190" t="s">
        <v>1314</v>
      </c>
      <c r="F2190" s="7" t="s">
        <v>300</v>
      </c>
      <c r="G2190" s="1">
        <v>2</v>
      </c>
      <c r="H2190" s="7" t="s">
        <v>300</v>
      </c>
      <c r="I2190" s="7" t="s">
        <v>296</v>
      </c>
      <c r="J2190" s="1">
        <v>2</v>
      </c>
      <c r="K2190" s="1">
        <v>6</v>
      </c>
      <c r="L2190" s="67">
        <f t="shared" si="69"/>
        <v>1</v>
      </c>
    </row>
    <row r="2191" spans="1:12" x14ac:dyDescent="0.2">
      <c r="A2191">
        <v>2190</v>
      </c>
      <c r="B2191" s="7" t="s">
        <v>372</v>
      </c>
      <c r="C2191" t="s">
        <v>1316</v>
      </c>
      <c r="D2191" s="65" t="str">
        <f t="shared" si="68"/>
        <v>Y</v>
      </c>
      <c r="E2191" t="s">
        <v>1314</v>
      </c>
      <c r="F2191" s="7" t="s">
        <v>300</v>
      </c>
      <c r="G2191" s="1">
        <v>2</v>
      </c>
      <c r="H2191" s="7" t="s">
        <v>300</v>
      </c>
      <c r="I2191" s="7" t="s">
        <v>297</v>
      </c>
      <c r="J2191" s="1">
        <v>2</v>
      </c>
      <c r="K2191" s="1">
        <v>4</v>
      </c>
      <c r="L2191" s="67">
        <f t="shared" si="69"/>
        <v>1</v>
      </c>
    </row>
    <row r="2192" spans="1:12" x14ac:dyDescent="0.2">
      <c r="A2192">
        <v>2191</v>
      </c>
      <c r="B2192" s="7" t="s">
        <v>356</v>
      </c>
      <c r="C2192" t="s">
        <v>1316</v>
      </c>
      <c r="D2192" s="65" t="str">
        <f t="shared" si="68"/>
        <v>Y</v>
      </c>
      <c r="E2192" t="s">
        <v>1314</v>
      </c>
      <c r="F2192" s="7" t="s">
        <v>300</v>
      </c>
      <c r="G2192" s="1">
        <v>2</v>
      </c>
      <c r="H2192" s="7" t="s">
        <v>300</v>
      </c>
      <c r="I2192" s="7" t="s">
        <v>294</v>
      </c>
      <c r="J2192" s="1">
        <v>2</v>
      </c>
      <c r="K2192" s="1">
        <v>7</v>
      </c>
      <c r="L2192" s="67">
        <f t="shared" si="69"/>
        <v>1</v>
      </c>
    </row>
    <row r="2193" spans="1:12" x14ac:dyDescent="0.2">
      <c r="A2193">
        <v>2192</v>
      </c>
      <c r="B2193" s="7" t="s">
        <v>372</v>
      </c>
      <c r="C2193" t="s">
        <v>1316</v>
      </c>
      <c r="D2193" s="65" t="str">
        <f t="shared" si="68"/>
        <v>Y</v>
      </c>
      <c r="E2193" t="s">
        <v>1314</v>
      </c>
      <c r="F2193" s="7" t="s">
        <v>300</v>
      </c>
      <c r="G2193" s="1">
        <v>2</v>
      </c>
      <c r="H2193" s="7" t="s">
        <v>282</v>
      </c>
      <c r="I2193" s="7" t="s">
        <v>294</v>
      </c>
      <c r="J2193" s="4" t="s">
        <v>282</v>
      </c>
      <c r="K2193" s="1">
        <v>7</v>
      </c>
      <c r="L2193" s="67">
        <f t="shared" si="69"/>
        <v>0</v>
      </c>
    </row>
    <row r="2194" spans="1:12" x14ac:dyDescent="0.2">
      <c r="A2194">
        <v>2193</v>
      </c>
      <c r="B2194" s="7" t="s">
        <v>356</v>
      </c>
      <c r="C2194" t="s">
        <v>1316</v>
      </c>
      <c r="D2194" s="65" t="str">
        <f t="shared" si="68"/>
        <v>Y</v>
      </c>
      <c r="E2194" t="s">
        <v>1314</v>
      </c>
      <c r="F2194" s="7" t="s">
        <v>300</v>
      </c>
      <c r="G2194" s="1">
        <v>2</v>
      </c>
      <c r="H2194" s="7" t="s">
        <v>300</v>
      </c>
      <c r="I2194" s="7" t="s">
        <v>292</v>
      </c>
      <c r="J2194" s="1">
        <v>2</v>
      </c>
      <c r="K2194" s="1">
        <v>5</v>
      </c>
      <c r="L2194" s="67">
        <f t="shared" si="69"/>
        <v>1</v>
      </c>
    </row>
    <row r="2195" spans="1:12" x14ac:dyDescent="0.2">
      <c r="A2195">
        <v>2194</v>
      </c>
      <c r="B2195" s="7" t="s">
        <v>372</v>
      </c>
      <c r="C2195" t="s">
        <v>1316</v>
      </c>
      <c r="D2195" s="65" t="str">
        <f t="shared" si="68"/>
        <v>Y</v>
      </c>
      <c r="E2195" t="s">
        <v>1314</v>
      </c>
      <c r="F2195" s="7" t="s">
        <v>300</v>
      </c>
      <c r="G2195" s="1">
        <v>2</v>
      </c>
      <c r="H2195" s="7" t="s">
        <v>300</v>
      </c>
      <c r="I2195" s="7" t="s">
        <v>292</v>
      </c>
      <c r="J2195" s="1">
        <v>2</v>
      </c>
      <c r="K2195" s="1">
        <v>5</v>
      </c>
      <c r="L2195" s="67">
        <f t="shared" si="69"/>
        <v>1</v>
      </c>
    </row>
    <row r="2196" spans="1:12" x14ac:dyDescent="0.2">
      <c r="A2196">
        <v>2195</v>
      </c>
      <c r="B2196" s="7" t="s">
        <v>372</v>
      </c>
      <c r="C2196" t="s">
        <v>1316</v>
      </c>
      <c r="D2196" s="65" t="str">
        <f t="shared" si="68"/>
        <v>Y</v>
      </c>
      <c r="E2196" t="s">
        <v>1314</v>
      </c>
      <c r="F2196" s="7" t="s">
        <v>300</v>
      </c>
      <c r="G2196" s="1">
        <v>2</v>
      </c>
      <c r="H2196" s="7" t="s">
        <v>300</v>
      </c>
      <c r="I2196" s="7" t="s">
        <v>294</v>
      </c>
      <c r="J2196" s="1">
        <v>2</v>
      </c>
      <c r="K2196" s="1">
        <v>7</v>
      </c>
      <c r="L2196" s="67">
        <f t="shared" si="69"/>
        <v>1</v>
      </c>
    </row>
    <row r="2197" spans="1:12" x14ac:dyDescent="0.2">
      <c r="A2197">
        <v>2196</v>
      </c>
      <c r="B2197" s="7" t="s">
        <v>356</v>
      </c>
      <c r="C2197" t="s">
        <v>1316</v>
      </c>
      <c r="D2197" s="65" t="str">
        <f t="shared" si="68"/>
        <v>Y</v>
      </c>
      <c r="E2197" t="s">
        <v>1314</v>
      </c>
      <c r="F2197" s="7" t="s">
        <v>300</v>
      </c>
      <c r="G2197" s="1">
        <v>2</v>
      </c>
      <c r="H2197" s="7" t="s">
        <v>300</v>
      </c>
      <c r="I2197" s="7" t="s">
        <v>296</v>
      </c>
      <c r="J2197" s="1">
        <v>2</v>
      </c>
      <c r="K2197" s="1">
        <v>6</v>
      </c>
      <c r="L2197" s="67">
        <f t="shared" si="69"/>
        <v>1</v>
      </c>
    </row>
    <row r="2198" spans="1:12" x14ac:dyDescent="0.2">
      <c r="A2198">
        <v>2197</v>
      </c>
      <c r="B2198" s="7" t="s">
        <v>356</v>
      </c>
      <c r="C2198" t="s">
        <v>1316</v>
      </c>
      <c r="D2198" s="65" t="str">
        <f t="shared" si="68"/>
        <v>Y</v>
      </c>
      <c r="E2198" t="s">
        <v>1314</v>
      </c>
      <c r="F2198" s="7" t="s">
        <v>300</v>
      </c>
      <c r="G2198" s="1">
        <v>2</v>
      </c>
      <c r="H2198" s="7" t="s">
        <v>300</v>
      </c>
      <c r="I2198" s="7" t="s">
        <v>292</v>
      </c>
      <c r="J2198" s="1">
        <v>2</v>
      </c>
      <c r="K2198" s="1">
        <v>5</v>
      </c>
      <c r="L2198" s="67">
        <f t="shared" si="69"/>
        <v>1</v>
      </c>
    </row>
    <row r="2199" spans="1:12" x14ac:dyDescent="0.2">
      <c r="A2199">
        <v>2198</v>
      </c>
      <c r="B2199" s="7" t="s">
        <v>372</v>
      </c>
      <c r="C2199" t="s">
        <v>1316</v>
      </c>
      <c r="D2199" s="65" t="str">
        <f t="shared" si="68"/>
        <v>Y</v>
      </c>
      <c r="E2199" t="s">
        <v>1314</v>
      </c>
      <c r="F2199" s="7" t="s">
        <v>300</v>
      </c>
      <c r="G2199" s="1">
        <v>2</v>
      </c>
      <c r="H2199" s="7" t="s">
        <v>300</v>
      </c>
      <c r="I2199" s="7" t="s">
        <v>292</v>
      </c>
      <c r="J2199" s="1">
        <v>2</v>
      </c>
      <c r="K2199" s="1">
        <v>5</v>
      </c>
      <c r="L2199" s="67">
        <f t="shared" si="69"/>
        <v>1</v>
      </c>
    </row>
    <row r="2200" spans="1:12" x14ac:dyDescent="0.2">
      <c r="A2200">
        <v>2199</v>
      </c>
      <c r="B2200" s="7" t="s">
        <v>372</v>
      </c>
      <c r="C2200" t="s">
        <v>1316</v>
      </c>
      <c r="D2200" s="65" t="str">
        <f t="shared" si="68"/>
        <v>Y</v>
      </c>
      <c r="E2200" t="s">
        <v>1314</v>
      </c>
      <c r="F2200" s="7" t="s">
        <v>300</v>
      </c>
      <c r="G2200" s="1">
        <v>2</v>
      </c>
      <c r="H2200" s="7" t="s">
        <v>300</v>
      </c>
      <c r="I2200" s="7" t="s">
        <v>294</v>
      </c>
      <c r="J2200" s="1">
        <v>2</v>
      </c>
      <c r="K2200" s="1">
        <v>7</v>
      </c>
      <c r="L2200" s="67">
        <f t="shared" si="69"/>
        <v>1</v>
      </c>
    </row>
    <row r="2201" spans="1:12" x14ac:dyDescent="0.2">
      <c r="A2201">
        <v>2200</v>
      </c>
      <c r="B2201" s="7" t="s">
        <v>356</v>
      </c>
      <c r="C2201" t="s">
        <v>1316</v>
      </c>
      <c r="D2201" s="65" t="str">
        <f t="shared" si="68"/>
        <v>Y</v>
      </c>
      <c r="E2201" t="s">
        <v>1314</v>
      </c>
      <c r="F2201" s="7" t="s">
        <v>300</v>
      </c>
      <c r="G2201" s="1">
        <v>2</v>
      </c>
      <c r="H2201" s="7" t="s">
        <v>300</v>
      </c>
      <c r="I2201" s="7" t="s">
        <v>294</v>
      </c>
      <c r="J2201" s="1">
        <v>2</v>
      </c>
      <c r="K2201" s="1">
        <v>7</v>
      </c>
      <c r="L2201" s="67">
        <f t="shared" si="69"/>
        <v>1</v>
      </c>
    </row>
    <row r="2202" spans="1:12" x14ac:dyDescent="0.2">
      <c r="A2202">
        <v>2201</v>
      </c>
      <c r="B2202" s="7" t="s">
        <v>372</v>
      </c>
      <c r="C2202" t="s">
        <v>1316</v>
      </c>
      <c r="D2202" s="65" t="str">
        <f t="shared" si="68"/>
        <v>Y</v>
      </c>
      <c r="E2202" t="s">
        <v>1314</v>
      </c>
      <c r="F2202" s="7" t="s">
        <v>300</v>
      </c>
      <c r="G2202" s="1">
        <v>2</v>
      </c>
      <c r="H2202" s="7" t="s">
        <v>300</v>
      </c>
      <c r="I2202" s="7" t="s">
        <v>296</v>
      </c>
      <c r="J2202" s="1">
        <v>2</v>
      </c>
      <c r="K2202" s="1">
        <v>6</v>
      </c>
      <c r="L2202" s="67">
        <f t="shared" si="69"/>
        <v>1</v>
      </c>
    </row>
    <row r="2203" spans="1:12" x14ac:dyDescent="0.2">
      <c r="A2203">
        <v>2202</v>
      </c>
      <c r="B2203" s="7" t="s">
        <v>356</v>
      </c>
      <c r="C2203" t="s">
        <v>1316</v>
      </c>
      <c r="D2203" s="65" t="str">
        <f t="shared" si="68"/>
        <v>Y</v>
      </c>
      <c r="E2203" t="s">
        <v>1314</v>
      </c>
      <c r="F2203" s="7" t="s">
        <v>300</v>
      </c>
      <c r="G2203" s="1">
        <v>2</v>
      </c>
      <c r="H2203" s="7" t="s">
        <v>300</v>
      </c>
      <c r="I2203" s="7" t="s">
        <v>296</v>
      </c>
      <c r="J2203" s="1">
        <v>2</v>
      </c>
      <c r="K2203" s="1">
        <v>6</v>
      </c>
      <c r="L2203" s="67">
        <f t="shared" si="69"/>
        <v>1</v>
      </c>
    </row>
    <row r="2204" spans="1:12" x14ac:dyDescent="0.2">
      <c r="A2204">
        <v>2203</v>
      </c>
      <c r="B2204" s="7" t="s">
        <v>356</v>
      </c>
      <c r="C2204" t="s">
        <v>1316</v>
      </c>
      <c r="D2204" s="65" t="str">
        <f t="shared" si="68"/>
        <v>Y</v>
      </c>
      <c r="E2204" t="s">
        <v>1314</v>
      </c>
      <c r="F2204" s="7" t="s">
        <v>300</v>
      </c>
      <c r="G2204" s="1">
        <v>2</v>
      </c>
      <c r="H2204" s="7" t="s">
        <v>300</v>
      </c>
      <c r="I2204" s="7" t="s">
        <v>292</v>
      </c>
      <c r="J2204" s="1">
        <v>2</v>
      </c>
      <c r="K2204" s="1">
        <v>5</v>
      </c>
      <c r="L2204" s="67">
        <f t="shared" si="69"/>
        <v>1</v>
      </c>
    </row>
    <row r="2205" spans="1:12" x14ac:dyDescent="0.2">
      <c r="A2205">
        <v>2204</v>
      </c>
      <c r="B2205" s="7" t="s">
        <v>372</v>
      </c>
      <c r="C2205" t="s">
        <v>1316</v>
      </c>
      <c r="D2205" s="65" t="str">
        <f t="shared" si="68"/>
        <v>Y</v>
      </c>
      <c r="E2205" t="s">
        <v>1314</v>
      </c>
      <c r="F2205" s="7" t="s">
        <v>300</v>
      </c>
      <c r="G2205" s="1">
        <v>2</v>
      </c>
      <c r="H2205" s="7" t="s">
        <v>300</v>
      </c>
      <c r="I2205" s="7" t="s">
        <v>294</v>
      </c>
      <c r="J2205" s="1">
        <v>2</v>
      </c>
      <c r="K2205" s="1">
        <v>7</v>
      </c>
      <c r="L2205" s="67">
        <f t="shared" si="69"/>
        <v>1</v>
      </c>
    </row>
    <row r="2206" spans="1:12" x14ac:dyDescent="0.2">
      <c r="A2206">
        <v>2205</v>
      </c>
      <c r="B2206" s="7" t="s">
        <v>372</v>
      </c>
      <c r="C2206" t="s">
        <v>1316</v>
      </c>
      <c r="D2206" s="65" t="str">
        <f t="shared" si="68"/>
        <v>Y</v>
      </c>
      <c r="E2206" t="s">
        <v>1314</v>
      </c>
      <c r="F2206" s="7" t="s">
        <v>300</v>
      </c>
      <c r="G2206" s="1">
        <v>2</v>
      </c>
      <c r="H2206" s="7" t="s">
        <v>300</v>
      </c>
      <c r="I2206" s="7" t="s">
        <v>296</v>
      </c>
      <c r="J2206" s="1">
        <v>2</v>
      </c>
      <c r="K2206" s="1">
        <v>6</v>
      </c>
      <c r="L2206" s="67">
        <f t="shared" si="69"/>
        <v>1</v>
      </c>
    </row>
    <row r="2207" spans="1:12" x14ac:dyDescent="0.2">
      <c r="A2207">
        <v>2206</v>
      </c>
      <c r="B2207" s="7" t="s">
        <v>356</v>
      </c>
      <c r="C2207" t="s">
        <v>1316</v>
      </c>
      <c r="D2207" s="65" t="str">
        <f t="shared" si="68"/>
        <v>Y</v>
      </c>
      <c r="E2207" t="s">
        <v>1314</v>
      </c>
      <c r="F2207" s="7" t="s">
        <v>300</v>
      </c>
      <c r="G2207" s="1">
        <v>2</v>
      </c>
      <c r="H2207" s="7" t="s">
        <v>300</v>
      </c>
      <c r="I2207" s="7" t="s">
        <v>296</v>
      </c>
      <c r="J2207" s="1">
        <v>2</v>
      </c>
      <c r="K2207" s="1">
        <v>6</v>
      </c>
      <c r="L2207" s="67">
        <f t="shared" si="69"/>
        <v>1</v>
      </c>
    </row>
    <row r="2208" spans="1:12" x14ac:dyDescent="0.2">
      <c r="A2208">
        <v>2207</v>
      </c>
      <c r="B2208" s="7" t="s">
        <v>356</v>
      </c>
      <c r="C2208" t="s">
        <v>1316</v>
      </c>
      <c r="D2208" s="65" t="str">
        <f t="shared" si="68"/>
        <v>Y</v>
      </c>
      <c r="E2208" t="s">
        <v>1314</v>
      </c>
      <c r="F2208" s="7" t="s">
        <v>300</v>
      </c>
      <c r="G2208" s="1">
        <v>2</v>
      </c>
      <c r="H2208" s="7" t="s">
        <v>300</v>
      </c>
      <c r="I2208" s="7" t="s">
        <v>296</v>
      </c>
      <c r="J2208" s="1">
        <v>2</v>
      </c>
      <c r="K2208" s="1">
        <v>6</v>
      </c>
      <c r="L2208" s="67">
        <f t="shared" si="69"/>
        <v>1</v>
      </c>
    </row>
    <row r="2209" spans="1:12" x14ac:dyDescent="0.2">
      <c r="A2209">
        <v>2208</v>
      </c>
      <c r="B2209" s="7" t="s">
        <v>372</v>
      </c>
      <c r="C2209" t="s">
        <v>1316</v>
      </c>
      <c r="D2209" s="65" t="str">
        <f t="shared" si="68"/>
        <v>Y</v>
      </c>
      <c r="E2209" t="s">
        <v>1314</v>
      </c>
      <c r="F2209" s="7" t="s">
        <v>300</v>
      </c>
      <c r="G2209" s="1">
        <v>2</v>
      </c>
      <c r="H2209" s="7" t="s">
        <v>300</v>
      </c>
      <c r="I2209" s="7" t="s">
        <v>292</v>
      </c>
      <c r="J2209" s="1">
        <v>2</v>
      </c>
      <c r="K2209" s="1">
        <v>5</v>
      </c>
      <c r="L2209" s="67">
        <f t="shared" si="69"/>
        <v>1</v>
      </c>
    </row>
    <row r="2210" spans="1:12" x14ac:dyDescent="0.2">
      <c r="A2210">
        <v>2209</v>
      </c>
      <c r="B2210" s="7" t="s">
        <v>356</v>
      </c>
      <c r="C2210" t="s">
        <v>1316</v>
      </c>
      <c r="D2210" s="65" t="str">
        <f t="shared" si="68"/>
        <v>Y</v>
      </c>
      <c r="E2210" t="s">
        <v>1314</v>
      </c>
      <c r="F2210" s="7" t="s">
        <v>300</v>
      </c>
      <c r="G2210" s="1">
        <v>2</v>
      </c>
      <c r="H2210" s="7" t="s">
        <v>300</v>
      </c>
      <c r="I2210" s="7" t="s">
        <v>292</v>
      </c>
      <c r="J2210" s="1">
        <v>2</v>
      </c>
      <c r="K2210" s="1">
        <v>5</v>
      </c>
      <c r="L2210" s="67">
        <f t="shared" si="69"/>
        <v>1</v>
      </c>
    </row>
    <row r="2211" spans="1:12" x14ac:dyDescent="0.2">
      <c r="A2211">
        <v>2210</v>
      </c>
      <c r="B2211" s="7" t="s">
        <v>372</v>
      </c>
      <c r="C2211" t="s">
        <v>1316</v>
      </c>
      <c r="D2211" s="65" t="str">
        <f t="shared" si="68"/>
        <v>Y</v>
      </c>
      <c r="E2211" t="s">
        <v>1314</v>
      </c>
      <c r="F2211" s="7" t="s">
        <v>300</v>
      </c>
      <c r="G2211" s="1">
        <v>2</v>
      </c>
      <c r="H2211" s="7" t="s">
        <v>300</v>
      </c>
      <c r="I2211" s="7" t="s">
        <v>296</v>
      </c>
      <c r="J2211" s="1">
        <v>2</v>
      </c>
      <c r="K2211" s="1">
        <v>6</v>
      </c>
      <c r="L2211" s="67">
        <f t="shared" si="69"/>
        <v>1</v>
      </c>
    </row>
    <row r="2212" spans="1:12" x14ac:dyDescent="0.2">
      <c r="A2212">
        <v>2211</v>
      </c>
      <c r="B2212" s="7" t="s">
        <v>356</v>
      </c>
      <c r="C2212" t="s">
        <v>1316</v>
      </c>
      <c r="D2212" s="65" t="str">
        <f t="shared" si="68"/>
        <v>Y</v>
      </c>
      <c r="E2212" t="s">
        <v>1314</v>
      </c>
      <c r="F2212" s="7" t="s">
        <v>300</v>
      </c>
      <c r="G2212" s="1">
        <v>2</v>
      </c>
      <c r="H2212" s="7" t="s">
        <v>300</v>
      </c>
      <c r="I2212" s="7" t="s">
        <v>294</v>
      </c>
      <c r="J2212" s="1">
        <v>2</v>
      </c>
      <c r="K2212" s="1">
        <v>7</v>
      </c>
      <c r="L2212" s="67">
        <f t="shared" si="69"/>
        <v>1</v>
      </c>
    </row>
    <row r="2213" spans="1:12" x14ac:dyDescent="0.2">
      <c r="A2213">
        <v>2212</v>
      </c>
      <c r="B2213" s="7" t="s">
        <v>372</v>
      </c>
      <c r="C2213" t="s">
        <v>1316</v>
      </c>
      <c r="D2213" s="65" t="str">
        <f t="shared" si="68"/>
        <v>Y</v>
      </c>
      <c r="E2213" t="s">
        <v>1314</v>
      </c>
      <c r="F2213" s="7" t="s">
        <v>300</v>
      </c>
      <c r="G2213" s="1">
        <v>2</v>
      </c>
      <c r="H2213" s="7" t="s">
        <v>300</v>
      </c>
      <c r="I2213" s="7" t="s">
        <v>292</v>
      </c>
      <c r="J2213" s="1">
        <v>2</v>
      </c>
      <c r="K2213" s="1">
        <v>5</v>
      </c>
      <c r="L2213" s="67">
        <f t="shared" si="69"/>
        <v>1</v>
      </c>
    </row>
    <row r="2214" spans="1:12" x14ac:dyDescent="0.2">
      <c r="A2214">
        <v>2213</v>
      </c>
      <c r="B2214" s="7" t="s">
        <v>356</v>
      </c>
      <c r="C2214" t="s">
        <v>1316</v>
      </c>
      <c r="D2214" s="65" t="str">
        <f t="shared" si="68"/>
        <v>Y</v>
      </c>
      <c r="E2214" t="s">
        <v>1314</v>
      </c>
      <c r="F2214" s="7" t="s">
        <v>301</v>
      </c>
      <c r="G2214" s="1">
        <v>5</v>
      </c>
      <c r="H2214" s="7" t="s">
        <v>301</v>
      </c>
      <c r="I2214" s="7" t="s">
        <v>296</v>
      </c>
      <c r="J2214" s="1">
        <v>5</v>
      </c>
      <c r="K2214" s="1">
        <v>6</v>
      </c>
      <c r="L2214" s="67">
        <f t="shared" si="69"/>
        <v>1</v>
      </c>
    </row>
    <row r="2215" spans="1:12" x14ac:dyDescent="0.2">
      <c r="A2215">
        <v>2214</v>
      </c>
      <c r="B2215" s="7" t="s">
        <v>372</v>
      </c>
      <c r="C2215" t="s">
        <v>1316</v>
      </c>
      <c r="D2215" s="65" t="str">
        <f t="shared" si="68"/>
        <v>Y</v>
      </c>
      <c r="E2215" t="s">
        <v>1314</v>
      </c>
      <c r="F2215" s="7" t="s">
        <v>301</v>
      </c>
      <c r="G2215" s="1">
        <v>5</v>
      </c>
      <c r="H2215" s="7" t="s">
        <v>301</v>
      </c>
      <c r="I2215" s="7" t="s">
        <v>294</v>
      </c>
      <c r="J2215" s="1">
        <v>5</v>
      </c>
      <c r="K2215" s="1">
        <v>7</v>
      </c>
      <c r="L2215" s="67">
        <f t="shared" si="69"/>
        <v>1</v>
      </c>
    </row>
    <row r="2216" spans="1:12" x14ac:dyDescent="0.2">
      <c r="A2216">
        <v>2215</v>
      </c>
      <c r="B2216" s="7" t="s">
        <v>372</v>
      </c>
      <c r="C2216" t="s">
        <v>1316</v>
      </c>
      <c r="D2216" s="65" t="str">
        <f t="shared" si="68"/>
        <v>Y</v>
      </c>
      <c r="E2216" t="s">
        <v>1314</v>
      </c>
      <c r="F2216" s="7" t="s">
        <v>301</v>
      </c>
      <c r="G2216" s="1">
        <v>5</v>
      </c>
      <c r="H2216" s="7" t="s">
        <v>301</v>
      </c>
      <c r="I2216" s="7" t="s">
        <v>292</v>
      </c>
      <c r="J2216" s="1">
        <v>5</v>
      </c>
      <c r="K2216" s="1">
        <v>5</v>
      </c>
      <c r="L2216" s="67">
        <f t="shared" si="69"/>
        <v>1</v>
      </c>
    </row>
    <row r="2217" spans="1:12" x14ac:dyDescent="0.2">
      <c r="A2217">
        <v>2216</v>
      </c>
      <c r="B2217" s="7" t="s">
        <v>356</v>
      </c>
      <c r="C2217" t="s">
        <v>1316</v>
      </c>
      <c r="D2217" s="65" t="str">
        <f t="shared" si="68"/>
        <v>Y</v>
      </c>
      <c r="E2217" t="s">
        <v>1314</v>
      </c>
      <c r="F2217" s="7" t="s">
        <v>301</v>
      </c>
      <c r="G2217" s="1">
        <v>5</v>
      </c>
      <c r="H2217" s="7" t="s">
        <v>291</v>
      </c>
      <c r="I2217" s="7" t="s">
        <v>292</v>
      </c>
      <c r="J2217" s="1">
        <v>1</v>
      </c>
      <c r="K2217" s="1">
        <v>5</v>
      </c>
      <c r="L2217" s="67">
        <f t="shared" si="69"/>
        <v>0</v>
      </c>
    </row>
    <row r="2218" spans="1:12" x14ac:dyDescent="0.2">
      <c r="A2218">
        <v>2217</v>
      </c>
      <c r="B2218" s="7" t="s">
        <v>372</v>
      </c>
      <c r="C2218" t="s">
        <v>1316</v>
      </c>
      <c r="D2218" s="65" t="str">
        <f t="shared" si="68"/>
        <v>Y</v>
      </c>
      <c r="E2218" t="s">
        <v>1314</v>
      </c>
      <c r="F2218" s="7" t="s">
        <v>301</v>
      </c>
      <c r="G2218" s="1">
        <v>5</v>
      </c>
      <c r="H2218" s="7" t="s">
        <v>301</v>
      </c>
      <c r="I2218" s="7" t="s">
        <v>292</v>
      </c>
      <c r="J2218" s="1">
        <v>5</v>
      </c>
      <c r="K2218" s="1">
        <v>5</v>
      </c>
      <c r="L2218" s="67">
        <f t="shared" si="69"/>
        <v>1</v>
      </c>
    </row>
    <row r="2219" spans="1:12" x14ac:dyDescent="0.2">
      <c r="A2219">
        <v>2218</v>
      </c>
      <c r="B2219" s="7" t="s">
        <v>356</v>
      </c>
      <c r="C2219" t="s">
        <v>1316</v>
      </c>
      <c r="D2219" s="65" t="str">
        <f t="shared" si="68"/>
        <v>Y</v>
      </c>
      <c r="E2219" t="s">
        <v>1314</v>
      </c>
      <c r="F2219" s="7" t="s">
        <v>301</v>
      </c>
      <c r="G2219" s="1">
        <v>5</v>
      </c>
      <c r="H2219" s="7" t="s">
        <v>291</v>
      </c>
      <c r="I2219" s="7" t="s">
        <v>292</v>
      </c>
      <c r="J2219" s="1">
        <v>1</v>
      </c>
      <c r="K2219" s="1">
        <v>5</v>
      </c>
      <c r="L2219" s="67">
        <f t="shared" si="69"/>
        <v>0</v>
      </c>
    </row>
    <row r="2220" spans="1:12" x14ac:dyDescent="0.2">
      <c r="A2220">
        <v>2219</v>
      </c>
      <c r="B2220" s="7" t="s">
        <v>372</v>
      </c>
      <c r="C2220" t="s">
        <v>1316</v>
      </c>
      <c r="D2220" s="65" t="str">
        <f t="shared" si="68"/>
        <v>Y</v>
      </c>
      <c r="E2220" t="s">
        <v>1314</v>
      </c>
      <c r="F2220" s="7" t="s">
        <v>301</v>
      </c>
      <c r="G2220" s="1">
        <v>5</v>
      </c>
      <c r="H2220" s="7" t="s">
        <v>291</v>
      </c>
      <c r="I2220" s="7" t="s">
        <v>296</v>
      </c>
      <c r="J2220" s="1">
        <v>1</v>
      </c>
      <c r="K2220" s="1">
        <v>6</v>
      </c>
      <c r="L2220" s="67">
        <f t="shared" si="69"/>
        <v>0</v>
      </c>
    </row>
    <row r="2221" spans="1:12" x14ac:dyDescent="0.2">
      <c r="A2221">
        <v>2220</v>
      </c>
      <c r="B2221" s="7" t="s">
        <v>356</v>
      </c>
      <c r="C2221" t="s">
        <v>1316</v>
      </c>
      <c r="D2221" s="65" t="str">
        <f t="shared" si="68"/>
        <v>Y</v>
      </c>
      <c r="E2221" t="s">
        <v>1314</v>
      </c>
      <c r="F2221" s="7" t="s">
        <v>301</v>
      </c>
      <c r="G2221" s="1">
        <v>5</v>
      </c>
      <c r="H2221" s="7" t="s">
        <v>301</v>
      </c>
      <c r="I2221" s="7" t="s">
        <v>296</v>
      </c>
      <c r="J2221" s="1">
        <v>5</v>
      </c>
      <c r="K2221" s="1">
        <v>6</v>
      </c>
      <c r="L2221" s="67">
        <f t="shared" si="69"/>
        <v>1</v>
      </c>
    </row>
    <row r="2222" spans="1:12" x14ac:dyDescent="0.2">
      <c r="A2222">
        <v>2221</v>
      </c>
      <c r="B2222" s="7" t="s">
        <v>372</v>
      </c>
      <c r="C2222" t="s">
        <v>1316</v>
      </c>
      <c r="D2222" s="65" t="str">
        <f t="shared" si="68"/>
        <v>Y</v>
      </c>
      <c r="E2222" t="s">
        <v>1314</v>
      </c>
      <c r="F2222" s="7" t="s">
        <v>301</v>
      </c>
      <c r="G2222" s="1">
        <v>5</v>
      </c>
      <c r="H2222" s="7" t="s">
        <v>301</v>
      </c>
      <c r="I2222" s="7" t="s">
        <v>296</v>
      </c>
      <c r="J2222" s="1">
        <v>5</v>
      </c>
      <c r="K2222" s="1">
        <v>6</v>
      </c>
      <c r="L2222" s="67">
        <f t="shared" si="69"/>
        <v>1</v>
      </c>
    </row>
    <row r="2223" spans="1:12" x14ac:dyDescent="0.2">
      <c r="A2223">
        <v>2222</v>
      </c>
      <c r="B2223" s="7" t="s">
        <v>356</v>
      </c>
      <c r="C2223" t="s">
        <v>1316</v>
      </c>
      <c r="D2223" s="65" t="str">
        <f t="shared" si="68"/>
        <v>Y</v>
      </c>
      <c r="E2223" t="s">
        <v>1314</v>
      </c>
      <c r="F2223" s="7" t="s">
        <v>301</v>
      </c>
      <c r="G2223" s="1">
        <v>5</v>
      </c>
      <c r="H2223" s="7" t="s">
        <v>301</v>
      </c>
      <c r="I2223" s="7" t="s">
        <v>292</v>
      </c>
      <c r="J2223" s="1">
        <v>5</v>
      </c>
      <c r="K2223" s="1">
        <v>5</v>
      </c>
      <c r="L2223" s="67">
        <f t="shared" si="69"/>
        <v>1</v>
      </c>
    </row>
    <row r="2224" spans="1:12" x14ac:dyDescent="0.2">
      <c r="A2224">
        <v>2223</v>
      </c>
      <c r="B2224" s="7" t="s">
        <v>356</v>
      </c>
      <c r="C2224" t="s">
        <v>1316</v>
      </c>
      <c r="D2224" s="65" t="str">
        <f t="shared" si="68"/>
        <v>Y</v>
      </c>
      <c r="E2224" t="s">
        <v>1314</v>
      </c>
      <c r="F2224" s="7" t="s">
        <v>301</v>
      </c>
      <c r="G2224" s="1">
        <v>5</v>
      </c>
      <c r="H2224" s="7" t="s">
        <v>282</v>
      </c>
      <c r="I2224" s="7" t="s">
        <v>296</v>
      </c>
      <c r="J2224" s="4" t="s">
        <v>282</v>
      </c>
      <c r="K2224" s="1">
        <v>6</v>
      </c>
      <c r="L2224" s="67">
        <f t="shared" si="69"/>
        <v>0</v>
      </c>
    </row>
    <row r="2225" spans="1:12" x14ac:dyDescent="0.2">
      <c r="A2225">
        <v>2224</v>
      </c>
      <c r="B2225" s="7" t="s">
        <v>372</v>
      </c>
      <c r="C2225" t="s">
        <v>1316</v>
      </c>
      <c r="D2225" s="65" t="str">
        <f t="shared" si="68"/>
        <v>Y</v>
      </c>
      <c r="E2225" t="s">
        <v>1314</v>
      </c>
      <c r="F2225" s="7" t="s">
        <v>301</v>
      </c>
      <c r="G2225" s="1">
        <v>5</v>
      </c>
      <c r="H2225" s="7" t="s">
        <v>301</v>
      </c>
      <c r="I2225" s="7" t="s">
        <v>296</v>
      </c>
      <c r="J2225" s="1">
        <v>5</v>
      </c>
      <c r="K2225" s="1">
        <v>6</v>
      </c>
      <c r="L2225" s="67">
        <f t="shared" si="69"/>
        <v>1</v>
      </c>
    </row>
    <row r="2226" spans="1:12" x14ac:dyDescent="0.2">
      <c r="A2226">
        <v>2225</v>
      </c>
      <c r="B2226" s="7" t="s">
        <v>356</v>
      </c>
      <c r="C2226" t="s">
        <v>1316</v>
      </c>
      <c r="D2226" s="65" t="str">
        <f t="shared" si="68"/>
        <v>Y</v>
      </c>
      <c r="E2226" t="s">
        <v>1314</v>
      </c>
      <c r="F2226" s="7" t="s">
        <v>301</v>
      </c>
      <c r="G2226" s="1">
        <v>5</v>
      </c>
      <c r="H2226" s="7" t="s">
        <v>291</v>
      </c>
      <c r="I2226" s="7" t="s">
        <v>296</v>
      </c>
      <c r="J2226" s="1">
        <v>1</v>
      </c>
      <c r="K2226" s="1">
        <v>6</v>
      </c>
      <c r="L2226" s="67">
        <f t="shared" si="69"/>
        <v>0</v>
      </c>
    </row>
    <row r="2227" spans="1:12" x14ac:dyDescent="0.2">
      <c r="A2227">
        <v>2226</v>
      </c>
      <c r="B2227" s="7" t="s">
        <v>372</v>
      </c>
      <c r="C2227" t="s">
        <v>1316</v>
      </c>
      <c r="D2227" s="65" t="str">
        <f t="shared" si="68"/>
        <v>Y</v>
      </c>
      <c r="E2227" t="s">
        <v>1314</v>
      </c>
      <c r="F2227" s="7" t="s">
        <v>301</v>
      </c>
      <c r="G2227" s="1">
        <v>5</v>
      </c>
      <c r="H2227" s="7" t="s">
        <v>301</v>
      </c>
      <c r="I2227" s="7" t="s">
        <v>294</v>
      </c>
      <c r="J2227" s="1">
        <v>5</v>
      </c>
      <c r="K2227" s="1">
        <v>7</v>
      </c>
      <c r="L2227" s="67">
        <f t="shared" si="69"/>
        <v>1</v>
      </c>
    </row>
    <row r="2228" spans="1:12" x14ac:dyDescent="0.2">
      <c r="A2228">
        <v>2227</v>
      </c>
      <c r="B2228" s="7" t="s">
        <v>356</v>
      </c>
      <c r="C2228" t="s">
        <v>1316</v>
      </c>
      <c r="D2228" s="65" t="str">
        <f t="shared" si="68"/>
        <v>Y</v>
      </c>
      <c r="E2228" t="s">
        <v>1314</v>
      </c>
      <c r="F2228" s="7" t="s">
        <v>301</v>
      </c>
      <c r="G2228" s="1">
        <v>5</v>
      </c>
      <c r="H2228" s="7" t="s">
        <v>301</v>
      </c>
      <c r="I2228" s="7" t="s">
        <v>292</v>
      </c>
      <c r="J2228" s="1">
        <v>5</v>
      </c>
      <c r="K2228" s="1">
        <v>5</v>
      </c>
      <c r="L2228" s="67">
        <f t="shared" si="69"/>
        <v>1</v>
      </c>
    </row>
    <row r="2229" spans="1:12" x14ac:dyDescent="0.2">
      <c r="A2229">
        <v>2228</v>
      </c>
      <c r="B2229" s="7" t="s">
        <v>372</v>
      </c>
      <c r="C2229" t="s">
        <v>1316</v>
      </c>
      <c r="D2229" s="65" t="str">
        <f t="shared" si="68"/>
        <v>Y</v>
      </c>
      <c r="E2229" t="s">
        <v>1314</v>
      </c>
      <c r="F2229" s="7" t="s">
        <v>301</v>
      </c>
      <c r="G2229" s="1">
        <v>5</v>
      </c>
      <c r="H2229" s="7" t="s">
        <v>291</v>
      </c>
      <c r="I2229" s="7" t="s">
        <v>296</v>
      </c>
      <c r="J2229" s="1">
        <v>1</v>
      </c>
      <c r="K2229" s="1">
        <v>6</v>
      </c>
      <c r="L2229" s="67">
        <f t="shared" si="69"/>
        <v>0</v>
      </c>
    </row>
    <row r="2230" spans="1:12" x14ac:dyDescent="0.2">
      <c r="A2230">
        <v>2229</v>
      </c>
      <c r="B2230" s="7" t="s">
        <v>372</v>
      </c>
      <c r="C2230" t="s">
        <v>1316</v>
      </c>
      <c r="D2230" s="65" t="str">
        <f t="shared" si="68"/>
        <v>Y</v>
      </c>
      <c r="E2230" t="s">
        <v>1314</v>
      </c>
      <c r="F2230" s="7" t="s">
        <v>301</v>
      </c>
      <c r="G2230" s="1">
        <v>5</v>
      </c>
      <c r="H2230" s="7" t="s">
        <v>301</v>
      </c>
      <c r="I2230" s="7" t="s">
        <v>297</v>
      </c>
      <c r="J2230" s="1">
        <v>5</v>
      </c>
      <c r="K2230" s="1">
        <v>4</v>
      </c>
      <c r="L2230" s="67">
        <f t="shared" si="69"/>
        <v>1</v>
      </c>
    </row>
    <row r="2231" spans="1:12" x14ac:dyDescent="0.2">
      <c r="A2231">
        <v>2230</v>
      </c>
      <c r="B2231" s="7" t="s">
        <v>356</v>
      </c>
      <c r="C2231" t="s">
        <v>1316</v>
      </c>
      <c r="D2231" s="65" t="str">
        <f t="shared" si="68"/>
        <v>Y</v>
      </c>
      <c r="E2231" t="s">
        <v>1314</v>
      </c>
      <c r="F2231" s="7" t="s">
        <v>301</v>
      </c>
      <c r="G2231" s="1">
        <v>5</v>
      </c>
      <c r="H2231" s="7" t="s">
        <v>301</v>
      </c>
      <c r="I2231" s="7" t="s">
        <v>292</v>
      </c>
      <c r="J2231" s="1">
        <v>5</v>
      </c>
      <c r="K2231" s="1">
        <v>5</v>
      </c>
      <c r="L2231" s="67">
        <f t="shared" si="69"/>
        <v>1</v>
      </c>
    </row>
    <row r="2232" spans="1:12" x14ac:dyDescent="0.2">
      <c r="A2232">
        <v>2231</v>
      </c>
      <c r="B2232" s="7" t="s">
        <v>356</v>
      </c>
      <c r="C2232" t="s">
        <v>1316</v>
      </c>
      <c r="D2232" s="65" t="str">
        <f t="shared" si="68"/>
        <v>Y</v>
      </c>
      <c r="E2232" t="s">
        <v>1314</v>
      </c>
      <c r="F2232" s="7" t="s">
        <v>301</v>
      </c>
      <c r="G2232" s="1">
        <v>5</v>
      </c>
      <c r="H2232" s="7" t="s">
        <v>301</v>
      </c>
      <c r="I2232" s="7" t="s">
        <v>296</v>
      </c>
      <c r="J2232" s="1">
        <v>5</v>
      </c>
      <c r="K2232" s="1">
        <v>6</v>
      </c>
      <c r="L2232" s="67">
        <f t="shared" si="69"/>
        <v>1</v>
      </c>
    </row>
    <row r="2233" spans="1:12" x14ac:dyDescent="0.2">
      <c r="A2233">
        <v>2232</v>
      </c>
      <c r="B2233" s="7" t="s">
        <v>372</v>
      </c>
      <c r="C2233" t="s">
        <v>1316</v>
      </c>
      <c r="D2233" s="65" t="str">
        <f t="shared" si="68"/>
        <v>Y</v>
      </c>
      <c r="E2233" t="s">
        <v>1314</v>
      </c>
      <c r="F2233" s="7" t="s">
        <v>301</v>
      </c>
      <c r="G2233" s="1">
        <v>5</v>
      </c>
      <c r="H2233" s="7" t="s">
        <v>301</v>
      </c>
      <c r="I2233" s="7" t="s">
        <v>292</v>
      </c>
      <c r="J2233" s="1">
        <v>5</v>
      </c>
      <c r="K2233" s="1">
        <v>5</v>
      </c>
      <c r="L2233" s="67">
        <f t="shared" si="69"/>
        <v>1</v>
      </c>
    </row>
    <row r="2234" spans="1:12" x14ac:dyDescent="0.2">
      <c r="A2234">
        <v>2233</v>
      </c>
      <c r="B2234" s="7" t="s">
        <v>356</v>
      </c>
      <c r="C2234" t="s">
        <v>1316</v>
      </c>
      <c r="D2234" s="65" t="str">
        <f t="shared" si="68"/>
        <v>Y</v>
      </c>
      <c r="E2234" t="s">
        <v>1314</v>
      </c>
      <c r="F2234" s="7" t="s">
        <v>301</v>
      </c>
      <c r="G2234" s="1">
        <v>5</v>
      </c>
      <c r="H2234" s="7" t="s">
        <v>301</v>
      </c>
      <c r="I2234" s="7" t="s">
        <v>292</v>
      </c>
      <c r="J2234" s="1">
        <v>5</v>
      </c>
      <c r="K2234" s="1">
        <v>5</v>
      </c>
      <c r="L2234" s="67">
        <f t="shared" si="69"/>
        <v>1</v>
      </c>
    </row>
    <row r="2235" spans="1:12" x14ac:dyDescent="0.2">
      <c r="A2235">
        <v>2234</v>
      </c>
      <c r="B2235" s="7" t="s">
        <v>356</v>
      </c>
      <c r="C2235" t="s">
        <v>1316</v>
      </c>
      <c r="D2235" s="65" t="str">
        <f t="shared" si="68"/>
        <v>Y</v>
      </c>
      <c r="E2235" t="s">
        <v>1314</v>
      </c>
      <c r="F2235" s="7" t="s">
        <v>301</v>
      </c>
      <c r="G2235" s="1">
        <v>5</v>
      </c>
      <c r="H2235" s="7" t="s">
        <v>301</v>
      </c>
      <c r="I2235" s="7" t="s">
        <v>296</v>
      </c>
      <c r="J2235" s="1">
        <v>5</v>
      </c>
      <c r="K2235" s="1">
        <v>6</v>
      </c>
      <c r="L2235" s="67">
        <f t="shared" si="69"/>
        <v>1</v>
      </c>
    </row>
    <row r="2236" spans="1:12" x14ac:dyDescent="0.2">
      <c r="A2236">
        <v>2235</v>
      </c>
      <c r="B2236" s="7" t="s">
        <v>372</v>
      </c>
      <c r="C2236" t="s">
        <v>1316</v>
      </c>
      <c r="D2236" s="65" t="str">
        <f t="shared" si="68"/>
        <v>Y</v>
      </c>
      <c r="E2236" t="s">
        <v>1314</v>
      </c>
      <c r="F2236" s="7" t="s">
        <v>301</v>
      </c>
      <c r="G2236" s="1">
        <v>5</v>
      </c>
      <c r="H2236" s="7" t="s">
        <v>301</v>
      </c>
      <c r="I2236" s="7" t="s">
        <v>294</v>
      </c>
      <c r="J2236" s="1">
        <v>5</v>
      </c>
      <c r="K2236" s="1">
        <v>7</v>
      </c>
      <c r="L2236" s="67">
        <f t="shared" si="69"/>
        <v>1</v>
      </c>
    </row>
    <row r="2237" spans="1:12" x14ac:dyDescent="0.2">
      <c r="A2237">
        <v>2236</v>
      </c>
      <c r="B2237" s="7" t="s">
        <v>372</v>
      </c>
      <c r="C2237" t="s">
        <v>1316</v>
      </c>
      <c r="D2237" s="65" t="str">
        <f t="shared" si="68"/>
        <v>Y</v>
      </c>
      <c r="E2237" t="s">
        <v>1314</v>
      </c>
      <c r="F2237" s="7" t="s">
        <v>301</v>
      </c>
      <c r="G2237" s="1">
        <v>5</v>
      </c>
      <c r="H2237" s="7" t="s">
        <v>291</v>
      </c>
      <c r="I2237" s="7" t="s">
        <v>294</v>
      </c>
      <c r="J2237" s="1">
        <v>1</v>
      </c>
      <c r="K2237" s="1">
        <v>7</v>
      </c>
      <c r="L2237" s="67">
        <f t="shared" si="69"/>
        <v>0</v>
      </c>
    </row>
    <row r="2238" spans="1:12" x14ac:dyDescent="0.2">
      <c r="A2238">
        <v>2237</v>
      </c>
      <c r="B2238" s="7" t="s">
        <v>356</v>
      </c>
      <c r="C2238" t="s">
        <v>1316</v>
      </c>
      <c r="D2238" s="65" t="str">
        <f t="shared" si="68"/>
        <v>Y</v>
      </c>
      <c r="E2238" t="s">
        <v>1314</v>
      </c>
      <c r="F2238" s="7" t="s">
        <v>301</v>
      </c>
      <c r="G2238" s="1">
        <v>5</v>
      </c>
      <c r="H2238" s="7" t="s">
        <v>291</v>
      </c>
      <c r="I2238" s="7" t="s">
        <v>296</v>
      </c>
      <c r="J2238" s="1">
        <v>1</v>
      </c>
      <c r="K2238" s="1">
        <v>6</v>
      </c>
      <c r="L2238" s="67">
        <f t="shared" si="69"/>
        <v>0</v>
      </c>
    </row>
    <row r="2239" spans="1:12" x14ac:dyDescent="0.2">
      <c r="A2239">
        <v>2238</v>
      </c>
      <c r="B2239" s="7" t="s">
        <v>356</v>
      </c>
      <c r="C2239" t="s">
        <v>1316</v>
      </c>
      <c r="D2239" s="65" t="str">
        <f t="shared" si="68"/>
        <v>Y</v>
      </c>
      <c r="E2239" t="s">
        <v>1314</v>
      </c>
      <c r="F2239" s="7" t="s">
        <v>301</v>
      </c>
      <c r="G2239" s="1">
        <v>5</v>
      </c>
      <c r="H2239" s="7" t="s">
        <v>301</v>
      </c>
      <c r="I2239" s="7" t="s">
        <v>296</v>
      </c>
      <c r="J2239" s="1">
        <v>5</v>
      </c>
      <c r="K2239" s="1">
        <v>6</v>
      </c>
      <c r="L2239" s="67">
        <f t="shared" si="69"/>
        <v>1</v>
      </c>
    </row>
    <row r="2240" spans="1:12" x14ac:dyDescent="0.2">
      <c r="A2240">
        <v>2239</v>
      </c>
      <c r="B2240" s="7" t="s">
        <v>372</v>
      </c>
      <c r="C2240" t="s">
        <v>1316</v>
      </c>
      <c r="D2240" s="65" t="str">
        <f t="shared" si="68"/>
        <v>Y</v>
      </c>
      <c r="E2240" t="s">
        <v>1314</v>
      </c>
      <c r="F2240" s="7" t="s">
        <v>301</v>
      </c>
      <c r="G2240" s="1">
        <v>5</v>
      </c>
      <c r="H2240" s="7" t="s">
        <v>291</v>
      </c>
      <c r="I2240" s="7" t="s">
        <v>297</v>
      </c>
      <c r="J2240" s="1">
        <v>1</v>
      </c>
      <c r="K2240" s="1">
        <v>4</v>
      </c>
      <c r="L2240" s="67">
        <f t="shared" si="69"/>
        <v>0</v>
      </c>
    </row>
    <row r="2241" spans="1:12" x14ac:dyDescent="0.2">
      <c r="A2241">
        <v>2240</v>
      </c>
      <c r="B2241" s="7" t="s">
        <v>356</v>
      </c>
      <c r="C2241" t="s">
        <v>1316</v>
      </c>
      <c r="D2241" s="65" t="str">
        <f t="shared" si="68"/>
        <v>Y</v>
      </c>
      <c r="E2241" t="s">
        <v>1314</v>
      </c>
      <c r="F2241" s="7" t="s">
        <v>301</v>
      </c>
      <c r="G2241" s="1">
        <v>5</v>
      </c>
      <c r="H2241" s="7" t="s">
        <v>291</v>
      </c>
      <c r="I2241" s="7" t="s">
        <v>292</v>
      </c>
      <c r="J2241" s="1">
        <v>1</v>
      </c>
      <c r="K2241" s="1">
        <v>5</v>
      </c>
      <c r="L2241" s="67">
        <f t="shared" si="69"/>
        <v>0</v>
      </c>
    </row>
    <row r="2242" spans="1:12" x14ac:dyDescent="0.2">
      <c r="A2242">
        <v>2241</v>
      </c>
      <c r="B2242" s="7" t="s">
        <v>372</v>
      </c>
      <c r="C2242" t="s">
        <v>1316</v>
      </c>
      <c r="D2242" s="65" t="str">
        <f t="shared" si="68"/>
        <v>Y</v>
      </c>
      <c r="E2242" t="s">
        <v>1314</v>
      </c>
      <c r="F2242" s="7" t="s">
        <v>301</v>
      </c>
      <c r="G2242" s="1">
        <v>5</v>
      </c>
      <c r="H2242" s="7" t="s">
        <v>301</v>
      </c>
      <c r="I2242" s="7" t="s">
        <v>292</v>
      </c>
      <c r="J2242" s="1">
        <v>5</v>
      </c>
      <c r="K2242" s="1">
        <v>5</v>
      </c>
      <c r="L2242" s="67">
        <f t="shared" si="69"/>
        <v>1</v>
      </c>
    </row>
    <row r="2243" spans="1:12" x14ac:dyDescent="0.2">
      <c r="A2243">
        <v>2242</v>
      </c>
      <c r="B2243" s="7" t="s">
        <v>356</v>
      </c>
      <c r="C2243" t="s">
        <v>1316</v>
      </c>
      <c r="D2243" s="65" t="str">
        <f t="shared" ref="D2243:D2306" si="70">IF($E2243="iso", "N", IF(OR($E2243="non", $E2243="emd", $E2243="dyn"), "Y", "ERROR"))</f>
        <v>Y</v>
      </c>
      <c r="E2243" t="s">
        <v>1314</v>
      </c>
      <c r="F2243" s="7" t="s">
        <v>301</v>
      </c>
      <c r="G2243" s="1">
        <v>5</v>
      </c>
      <c r="H2243" s="7" t="s">
        <v>301</v>
      </c>
      <c r="I2243" s="7" t="s">
        <v>296</v>
      </c>
      <c r="J2243" s="1">
        <v>5</v>
      </c>
      <c r="K2243" s="1">
        <v>6</v>
      </c>
      <c r="L2243" s="67">
        <f t="shared" ref="L2243:L2306" si="71">IF(G2243=J2243, 1, 0)</f>
        <v>1</v>
      </c>
    </row>
    <row r="2244" spans="1:12" x14ac:dyDescent="0.2">
      <c r="A2244">
        <v>2243</v>
      </c>
      <c r="B2244" s="7" t="s">
        <v>372</v>
      </c>
      <c r="C2244" t="s">
        <v>1316</v>
      </c>
      <c r="D2244" s="65" t="str">
        <f t="shared" si="70"/>
        <v>Y</v>
      </c>
      <c r="E2244" t="s">
        <v>1314</v>
      </c>
      <c r="F2244" s="7" t="s">
        <v>301</v>
      </c>
      <c r="G2244" s="1">
        <v>5</v>
      </c>
      <c r="H2244" s="7" t="s">
        <v>301</v>
      </c>
      <c r="I2244" s="7" t="s">
        <v>292</v>
      </c>
      <c r="J2244" s="1">
        <v>5</v>
      </c>
      <c r="K2244" s="1">
        <v>5</v>
      </c>
      <c r="L2244" s="67">
        <f t="shared" si="71"/>
        <v>1</v>
      </c>
    </row>
    <row r="2245" spans="1:12" x14ac:dyDescent="0.2">
      <c r="A2245">
        <v>2244</v>
      </c>
      <c r="B2245" s="7" t="s">
        <v>356</v>
      </c>
      <c r="C2245" t="s">
        <v>1316</v>
      </c>
      <c r="D2245" s="65" t="str">
        <f t="shared" si="70"/>
        <v>Y</v>
      </c>
      <c r="E2245" t="s">
        <v>1314</v>
      </c>
      <c r="F2245" s="7" t="s">
        <v>301</v>
      </c>
      <c r="G2245" s="1">
        <v>5</v>
      </c>
      <c r="H2245" s="7" t="s">
        <v>301</v>
      </c>
      <c r="I2245" s="7" t="s">
        <v>297</v>
      </c>
      <c r="J2245" s="1">
        <v>5</v>
      </c>
      <c r="K2245" s="1">
        <v>4</v>
      </c>
      <c r="L2245" s="67">
        <f t="shared" si="71"/>
        <v>1</v>
      </c>
    </row>
    <row r="2246" spans="1:12" x14ac:dyDescent="0.2">
      <c r="A2246">
        <v>2245</v>
      </c>
      <c r="B2246" s="7" t="s">
        <v>356</v>
      </c>
      <c r="C2246" t="s">
        <v>1316</v>
      </c>
      <c r="D2246" s="65" t="str">
        <f t="shared" si="70"/>
        <v>Y</v>
      </c>
      <c r="E2246" t="s">
        <v>1314</v>
      </c>
      <c r="F2246" s="7" t="s">
        <v>301</v>
      </c>
      <c r="G2246" s="1">
        <v>5</v>
      </c>
      <c r="H2246" s="7" t="s">
        <v>282</v>
      </c>
      <c r="I2246" s="7" t="s">
        <v>297</v>
      </c>
      <c r="J2246" s="4" t="s">
        <v>282</v>
      </c>
      <c r="K2246" s="1">
        <v>4</v>
      </c>
      <c r="L2246" s="67">
        <f t="shared" si="71"/>
        <v>0</v>
      </c>
    </row>
    <row r="2247" spans="1:12" x14ac:dyDescent="0.2">
      <c r="A2247">
        <v>2246</v>
      </c>
      <c r="B2247" s="7" t="s">
        <v>372</v>
      </c>
      <c r="C2247" t="s">
        <v>1316</v>
      </c>
      <c r="D2247" s="65" t="str">
        <f t="shared" si="70"/>
        <v>Y</v>
      </c>
      <c r="E2247" t="s">
        <v>1314</v>
      </c>
      <c r="F2247" s="7" t="s">
        <v>301</v>
      </c>
      <c r="G2247" s="1">
        <v>5</v>
      </c>
      <c r="H2247" s="7" t="s">
        <v>291</v>
      </c>
      <c r="I2247" s="7" t="s">
        <v>297</v>
      </c>
      <c r="J2247" s="1">
        <v>1</v>
      </c>
      <c r="K2247" s="1">
        <v>4</v>
      </c>
      <c r="L2247" s="67">
        <f t="shared" si="71"/>
        <v>0</v>
      </c>
    </row>
    <row r="2248" spans="1:12" x14ac:dyDescent="0.2">
      <c r="A2248">
        <v>2247</v>
      </c>
      <c r="B2248" s="7" t="s">
        <v>372</v>
      </c>
      <c r="C2248" t="s">
        <v>1316</v>
      </c>
      <c r="D2248" s="65" t="str">
        <f t="shared" si="70"/>
        <v>Y</v>
      </c>
      <c r="E2248" t="s">
        <v>1314</v>
      </c>
      <c r="F2248" s="7" t="s">
        <v>301</v>
      </c>
      <c r="G2248" s="1">
        <v>5</v>
      </c>
      <c r="H2248" s="7" t="s">
        <v>301</v>
      </c>
      <c r="I2248" s="7" t="s">
        <v>294</v>
      </c>
      <c r="J2248" s="1">
        <v>5</v>
      </c>
      <c r="K2248" s="1">
        <v>7</v>
      </c>
      <c r="L2248" s="67">
        <f t="shared" si="71"/>
        <v>1</v>
      </c>
    </row>
    <row r="2249" spans="1:12" x14ac:dyDescent="0.2">
      <c r="A2249">
        <v>2248</v>
      </c>
      <c r="B2249" s="7" t="s">
        <v>356</v>
      </c>
      <c r="C2249" t="s">
        <v>1316</v>
      </c>
      <c r="D2249" s="65" t="str">
        <f t="shared" si="70"/>
        <v>Y</v>
      </c>
      <c r="E2249" t="s">
        <v>1314</v>
      </c>
      <c r="F2249" s="7" t="s">
        <v>301</v>
      </c>
      <c r="G2249" s="1">
        <v>5</v>
      </c>
      <c r="H2249" s="7" t="s">
        <v>291</v>
      </c>
      <c r="I2249" s="7" t="s">
        <v>292</v>
      </c>
      <c r="J2249" s="1">
        <v>1</v>
      </c>
      <c r="K2249" s="1">
        <v>5</v>
      </c>
      <c r="L2249" s="67">
        <f t="shared" si="71"/>
        <v>0</v>
      </c>
    </row>
    <row r="2250" spans="1:12" x14ac:dyDescent="0.2">
      <c r="A2250">
        <v>2249</v>
      </c>
      <c r="B2250" s="7" t="s">
        <v>372</v>
      </c>
      <c r="C2250" t="s">
        <v>1316</v>
      </c>
      <c r="D2250" s="65" t="str">
        <f t="shared" si="70"/>
        <v>Y</v>
      </c>
      <c r="E2250" t="s">
        <v>1314</v>
      </c>
      <c r="F2250" s="7" t="s">
        <v>301</v>
      </c>
      <c r="G2250" s="1">
        <v>5</v>
      </c>
      <c r="H2250" s="7" t="s">
        <v>301</v>
      </c>
      <c r="I2250" s="7" t="s">
        <v>296</v>
      </c>
      <c r="J2250" s="1">
        <v>5</v>
      </c>
      <c r="K2250" s="1">
        <v>6</v>
      </c>
      <c r="L2250" s="67">
        <f t="shared" si="71"/>
        <v>1</v>
      </c>
    </row>
    <row r="2251" spans="1:12" x14ac:dyDescent="0.2">
      <c r="A2251">
        <v>2250</v>
      </c>
      <c r="B2251" s="7" t="s">
        <v>372</v>
      </c>
      <c r="C2251" t="s">
        <v>1316</v>
      </c>
      <c r="D2251" s="65" t="str">
        <f t="shared" si="70"/>
        <v>Y</v>
      </c>
      <c r="E2251" t="s">
        <v>1314</v>
      </c>
      <c r="F2251" s="7" t="s">
        <v>301</v>
      </c>
      <c r="G2251" s="1">
        <v>5</v>
      </c>
      <c r="H2251" s="7" t="s">
        <v>301</v>
      </c>
      <c r="I2251" s="7" t="s">
        <v>292</v>
      </c>
      <c r="J2251" s="1">
        <v>5</v>
      </c>
      <c r="K2251" s="1">
        <v>5</v>
      </c>
      <c r="L2251" s="67">
        <f t="shared" si="71"/>
        <v>1</v>
      </c>
    </row>
    <row r="2252" spans="1:12" x14ac:dyDescent="0.2">
      <c r="A2252">
        <v>2251</v>
      </c>
      <c r="B2252" s="7" t="s">
        <v>372</v>
      </c>
      <c r="C2252" t="s">
        <v>1316</v>
      </c>
      <c r="D2252" s="65" t="str">
        <f t="shared" si="70"/>
        <v>Y</v>
      </c>
      <c r="E2252" t="s">
        <v>1314</v>
      </c>
      <c r="F2252" s="7" t="s">
        <v>301</v>
      </c>
      <c r="G2252" s="1">
        <v>5</v>
      </c>
      <c r="H2252" s="7" t="s">
        <v>301</v>
      </c>
      <c r="I2252" s="7" t="s">
        <v>292</v>
      </c>
      <c r="J2252" s="1">
        <v>5</v>
      </c>
      <c r="K2252" s="1">
        <v>5</v>
      </c>
      <c r="L2252" s="67">
        <f t="shared" si="71"/>
        <v>1</v>
      </c>
    </row>
    <row r="2253" spans="1:12" x14ac:dyDescent="0.2">
      <c r="A2253">
        <v>2252</v>
      </c>
      <c r="B2253" s="7" t="s">
        <v>356</v>
      </c>
      <c r="C2253" t="s">
        <v>1316</v>
      </c>
      <c r="D2253" s="65" t="str">
        <f t="shared" si="70"/>
        <v>Y</v>
      </c>
      <c r="E2253" t="s">
        <v>1314</v>
      </c>
      <c r="F2253" s="7" t="s">
        <v>301</v>
      </c>
      <c r="G2253" s="1">
        <v>5</v>
      </c>
      <c r="H2253" s="7" t="s">
        <v>291</v>
      </c>
      <c r="I2253" s="7" t="s">
        <v>296</v>
      </c>
      <c r="J2253" s="1">
        <v>1</v>
      </c>
      <c r="K2253" s="1">
        <v>6</v>
      </c>
      <c r="L2253" s="67">
        <f t="shared" si="71"/>
        <v>0</v>
      </c>
    </row>
    <row r="2254" spans="1:12" x14ac:dyDescent="0.2">
      <c r="A2254">
        <v>2253</v>
      </c>
      <c r="B2254" s="7" t="s">
        <v>372</v>
      </c>
      <c r="C2254" t="s">
        <v>1316</v>
      </c>
      <c r="D2254" s="65" t="str">
        <f t="shared" si="70"/>
        <v>Y</v>
      </c>
      <c r="E2254" t="s">
        <v>1314</v>
      </c>
      <c r="F2254" s="7" t="s">
        <v>301</v>
      </c>
      <c r="G2254" s="1">
        <v>5</v>
      </c>
      <c r="H2254" s="7" t="s">
        <v>301</v>
      </c>
      <c r="I2254" s="7" t="s">
        <v>292</v>
      </c>
      <c r="J2254" s="1">
        <v>5</v>
      </c>
      <c r="K2254" s="1">
        <v>5</v>
      </c>
      <c r="L2254" s="67">
        <f t="shared" si="71"/>
        <v>1</v>
      </c>
    </row>
    <row r="2255" spans="1:12" x14ac:dyDescent="0.2">
      <c r="A2255">
        <v>2254</v>
      </c>
      <c r="B2255" s="7" t="s">
        <v>356</v>
      </c>
      <c r="C2255" t="s">
        <v>1316</v>
      </c>
      <c r="D2255" s="65" t="str">
        <f t="shared" si="70"/>
        <v>Y</v>
      </c>
      <c r="E2255" t="s">
        <v>1314</v>
      </c>
      <c r="F2255" s="7" t="s">
        <v>301</v>
      </c>
      <c r="G2255" s="1">
        <v>5</v>
      </c>
      <c r="H2255" s="7" t="s">
        <v>300</v>
      </c>
      <c r="I2255" s="7" t="s">
        <v>292</v>
      </c>
      <c r="J2255" s="1">
        <v>2</v>
      </c>
      <c r="K2255" s="1">
        <v>5</v>
      </c>
      <c r="L2255" s="67">
        <f t="shared" si="71"/>
        <v>0</v>
      </c>
    </row>
    <row r="2256" spans="1:12" x14ac:dyDescent="0.2">
      <c r="A2256">
        <v>2255</v>
      </c>
      <c r="B2256" s="7" t="s">
        <v>356</v>
      </c>
      <c r="C2256" t="s">
        <v>1316</v>
      </c>
      <c r="D2256" s="65" t="str">
        <f t="shared" si="70"/>
        <v>Y</v>
      </c>
      <c r="E2256" t="s">
        <v>1314</v>
      </c>
      <c r="F2256" s="7" t="s">
        <v>301</v>
      </c>
      <c r="G2256" s="1">
        <v>5</v>
      </c>
      <c r="H2256" s="7" t="s">
        <v>301</v>
      </c>
      <c r="I2256" s="7" t="s">
        <v>292</v>
      </c>
      <c r="J2256" s="1">
        <v>5</v>
      </c>
      <c r="K2256" s="1">
        <v>5</v>
      </c>
      <c r="L2256" s="67">
        <f t="shared" si="71"/>
        <v>1</v>
      </c>
    </row>
    <row r="2257" spans="1:12" x14ac:dyDescent="0.2">
      <c r="A2257">
        <v>2256</v>
      </c>
      <c r="B2257" s="7" t="s">
        <v>372</v>
      </c>
      <c r="C2257" t="s">
        <v>1316</v>
      </c>
      <c r="D2257" s="65" t="str">
        <f t="shared" si="70"/>
        <v>Y</v>
      </c>
      <c r="E2257" t="s">
        <v>1314</v>
      </c>
      <c r="F2257" s="7" t="s">
        <v>301</v>
      </c>
      <c r="G2257" s="1">
        <v>5</v>
      </c>
      <c r="H2257" s="7" t="s">
        <v>282</v>
      </c>
      <c r="I2257" s="7" t="s">
        <v>296</v>
      </c>
      <c r="J2257" s="4" t="s">
        <v>282</v>
      </c>
      <c r="K2257" s="1">
        <v>6</v>
      </c>
      <c r="L2257" s="67">
        <f t="shared" si="71"/>
        <v>0</v>
      </c>
    </row>
    <row r="2258" spans="1:12" x14ac:dyDescent="0.2">
      <c r="A2258">
        <v>2257</v>
      </c>
      <c r="B2258" s="7" t="s">
        <v>372</v>
      </c>
      <c r="C2258" t="s">
        <v>1316</v>
      </c>
      <c r="D2258" s="65" t="str">
        <f t="shared" si="70"/>
        <v>Y</v>
      </c>
      <c r="E2258" t="s">
        <v>1314</v>
      </c>
      <c r="F2258" s="7" t="s">
        <v>301</v>
      </c>
      <c r="G2258" s="1">
        <v>5</v>
      </c>
      <c r="H2258" s="7" t="s">
        <v>301</v>
      </c>
      <c r="I2258" s="7" t="s">
        <v>292</v>
      </c>
      <c r="J2258" s="1">
        <v>5</v>
      </c>
      <c r="K2258" s="1">
        <v>5</v>
      </c>
      <c r="L2258" s="67">
        <f t="shared" si="71"/>
        <v>1</v>
      </c>
    </row>
    <row r="2259" spans="1:12" x14ac:dyDescent="0.2">
      <c r="A2259">
        <v>2258</v>
      </c>
      <c r="B2259" s="7" t="s">
        <v>356</v>
      </c>
      <c r="C2259" t="s">
        <v>1316</v>
      </c>
      <c r="D2259" s="65" t="str">
        <f t="shared" si="70"/>
        <v>Y</v>
      </c>
      <c r="E2259" t="s">
        <v>1314</v>
      </c>
      <c r="F2259" s="7" t="s">
        <v>301</v>
      </c>
      <c r="G2259" s="1">
        <v>5</v>
      </c>
      <c r="H2259" s="7" t="s">
        <v>301</v>
      </c>
      <c r="I2259" s="7" t="s">
        <v>292</v>
      </c>
      <c r="J2259" s="1">
        <v>5</v>
      </c>
      <c r="K2259" s="1">
        <v>5</v>
      </c>
      <c r="L2259" s="67">
        <f t="shared" si="71"/>
        <v>1</v>
      </c>
    </row>
    <row r="2260" spans="1:12" x14ac:dyDescent="0.2">
      <c r="A2260">
        <v>2259</v>
      </c>
      <c r="B2260" s="7" t="s">
        <v>372</v>
      </c>
      <c r="C2260" t="s">
        <v>1316</v>
      </c>
      <c r="D2260" s="65" t="str">
        <f t="shared" si="70"/>
        <v>Y</v>
      </c>
      <c r="E2260" t="s">
        <v>1314</v>
      </c>
      <c r="F2260" s="7" t="s">
        <v>301</v>
      </c>
      <c r="G2260" s="1">
        <v>5</v>
      </c>
      <c r="H2260" s="7" t="s">
        <v>301</v>
      </c>
      <c r="I2260" s="7" t="s">
        <v>296</v>
      </c>
      <c r="J2260" s="1">
        <v>5</v>
      </c>
      <c r="K2260" s="1">
        <v>6</v>
      </c>
      <c r="L2260" s="67">
        <f t="shared" si="71"/>
        <v>1</v>
      </c>
    </row>
    <row r="2261" spans="1:12" x14ac:dyDescent="0.2">
      <c r="A2261">
        <v>2260</v>
      </c>
      <c r="B2261" s="7" t="s">
        <v>356</v>
      </c>
      <c r="C2261" t="s">
        <v>1316</v>
      </c>
      <c r="D2261" s="65" t="str">
        <f t="shared" si="70"/>
        <v>Y</v>
      </c>
      <c r="E2261" t="s">
        <v>1314</v>
      </c>
      <c r="F2261" s="7" t="s">
        <v>301</v>
      </c>
      <c r="G2261" s="1">
        <v>5</v>
      </c>
      <c r="H2261" s="7" t="s">
        <v>301</v>
      </c>
      <c r="I2261" s="7" t="s">
        <v>296</v>
      </c>
      <c r="J2261" s="1">
        <v>5</v>
      </c>
      <c r="K2261" s="1">
        <v>6</v>
      </c>
      <c r="L2261" s="67">
        <f t="shared" si="71"/>
        <v>1</v>
      </c>
    </row>
    <row r="2262" spans="1:12" x14ac:dyDescent="0.2">
      <c r="A2262">
        <v>2261</v>
      </c>
      <c r="B2262" s="7" t="s">
        <v>372</v>
      </c>
      <c r="C2262" t="s">
        <v>1316</v>
      </c>
      <c r="D2262" s="65" t="str">
        <f t="shared" si="70"/>
        <v>Y</v>
      </c>
      <c r="E2262" t="s">
        <v>1314</v>
      </c>
      <c r="F2262" s="7" t="s">
        <v>301</v>
      </c>
      <c r="G2262" s="1">
        <v>5</v>
      </c>
      <c r="H2262" s="7" t="s">
        <v>301</v>
      </c>
      <c r="I2262" s="7" t="s">
        <v>296</v>
      </c>
      <c r="J2262" s="1">
        <v>5</v>
      </c>
      <c r="K2262" s="1">
        <v>6</v>
      </c>
      <c r="L2262" s="67">
        <f t="shared" si="71"/>
        <v>1</v>
      </c>
    </row>
    <row r="2263" spans="1:12" x14ac:dyDescent="0.2">
      <c r="A2263">
        <v>2262</v>
      </c>
      <c r="B2263" s="7" t="s">
        <v>372</v>
      </c>
      <c r="C2263" t="s">
        <v>1316</v>
      </c>
      <c r="D2263" s="65" t="str">
        <f t="shared" si="70"/>
        <v>Y</v>
      </c>
      <c r="E2263" t="s">
        <v>1314</v>
      </c>
      <c r="F2263" s="7" t="s">
        <v>301</v>
      </c>
      <c r="G2263" s="1">
        <v>5</v>
      </c>
      <c r="H2263" s="7" t="s">
        <v>301</v>
      </c>
      <c r="I2263" s="7" t="s">
        <v>296</v>
      </c>
      <c r="J2263" s="1">
        <v>5</v>
      </c>
      <c r="K2263" s="1">
        <v>6</v>
      </c>
      <c r="L2263" s="67">
        <f t="shared" si="71"/>
        <v>1</v>
      </c>
    </row>
    <row r="2264" spans="1:12" x14ac:dyDescent="0.2">
      <c r="A2264">
        <v>2263</v>
      </c>
      <c r="B2264" s="7" t="s">
        <v>356</v>
      </c>
      <c r="C2264" t="s">
        <v>1316</v>
      </c>
      <c r="D2264" s="65" t="str">
        <f t="shared" si="70"/>
        <v>Y</v>
      </c>
      <c r="E2264" t="s">
        <v>1314</v>
      </c>
      <c r="F2264" s="7" t="s">
        <v>301</v>
      </c>
      <c r="G2264" s="1">
        <v>5</v>
      </c>
      <c r="H2264" s="7" t="s">
        <v>291</v>
      </c>
      <c r="I2264" s="7" t="s">
        <v>292</v>
      </c>
      <c r="J2264" s="1">
        <v>1</v>
      </c>
      <c r="K2264" s="1">
        <v>5</v>
      </c>
      <c r="L2264" s="67">
        <f t="shared" si="71"/>
        <v>0</v>
      </c>
    </row>
    <row r="2265" spans="1:12" x14ac:dyDescent="0.2">
      <c r="A2265">
        <v>2264</v>
      </c>
      <c r="B2265" s="7" t="s">
        <v>372</v>
      </c>
      <c r="C2265" t="s">
        <v>1316</v>
      </c>
      <c r="D2265" s="65" t="str">
        <f t="shared" si="70"/>
        <v>Y</v>
      </c>
      <c r="E2265" t="s">
        <v>1314</v>
      </c>
      <c r="F2265" s="7" t="s">
        <v>301</v>
      </c>
      <c r="G2265" s="1">
        <v>5</v>
      </c>
      <c r="H2265" s="7" t="s">
        <v>301</v>
      </c>
      <c r="I2265" s="7" t="s">
        <v>296</v>
      </c>
      <c r="J2265" s="1">
        <v>5</v>
      </c>
      <c r="K2265" s="1">
        <v>6</v>
      </c>
      <c r="L2265" s="67">
        <f t="shared" si="71"/>
        <v>1</v>
      </c>
    </row>
    <row r="2266" spans="1:12" x14ac:dyDescent="0.2">
      <c r="A2266">
        <v>2265</v>
      </c>
      <c r="B2266" s="7" t="s">
        <v>356</v>
      </c>
      <c r="C2266" t="s">
        <v>1316</v>
      </c>
      <c r="D2266" s="65" t="str">
        <f t="shared" si="70"/>
        <v>Y</v>
      </c>
      <c r="E2266" t="s">
        <v>1314</v>
      </c>
      <c r="F2266" s="7" t="s">
        <v>301</v>
      </c>
      <c r="G2266" s="1">
        <v>5</v>
      </c>
      <c r="H2266" s="7" t="s">
        <v>301</v>
      </c>
      <c r="I2266" s="7" t="s">
        <v>292</v>
      </c>
      <c r="J2266" s="1">
        <v>5</v>
      </c>
      <c r="K2266" s="1">
        <v>5</v>
      </c>
      <c r="L2266" s="67">
        <f t="shared" si="71"/>
        <v>1</v>
      </c>
    </row>
    <row r="2267" spans="1:12" x14ac:dyDescent="0.2">
      <c r="A2267">
        <v>2266</v>
      </c>
      <c r="B2267" s="7" t="s">
        <v>356</v>
      </c>
      <c r="C2267" t="s">
        <v>1316</v>
      </c>
      <c r="D2267" s="65" t="str">
        <f t="shared" si="70"/>
        <v>Y</v>
      </c>
      <c r="E2267" t="s">
        <v>1314</v>
      </c>
      <c r="F2267" s="7" t="s">
        <v>301</v>
      </c>
      <c r="G2267" s="1">
        <v>5</v>
      </c>
      <c r="H2267" s="7" t="s">
        <v>301</v>
      </c>
      <c r="I2267" s="7" t="s">
        <v>296</v>
      </c>
      <c r="J2267" s="1">
        <v>5</v>
      </c>
      <c r="K2267" s="1">
        <v>6</v>
      </c>
      <c r="L2267" s="67">
        <f t="shared" si="71"/>
        <v>1</v>
      </c>
    </row>
    <row r="2268" spans="1:12" x14ac:dyDescent="0.2">
      <c r="A2268">
        <v>2267</v>
      </c>
      <c r="B2268" s="7" t="s">
        <v>372</v>
      </c>
      <c r="C2268" t="s">
        <v>1316</v>
      </c>
      <c r="D2268" s="65" t="str">
        <f t="shared" si="70"/>
        <v>Y</v>
      </c>
      <c r="E2268" t="s">
        <v>1314</v>
      </c>
      <c r="F2268" s="7" t="s">
        <v>301</v>
      </c>
      <c r="G2268" s="1">
        <v>5</v>
      </c>
      <c r="H2268" s="7" t="s">
        <v>301</v>
      </c>
      <c r="I2268" s="7" t="s">
        <v>292</v>
      </c>
      <c r="J2268" s="1">
        <v>5</v>
      </c>
      <c r="K2268" s="1">
        <v>5</v>
      </c>
      <c r="L2268" s="67">
        <f t="shared" si="71"/>
        <v>1</v>
      </c>
    </row>
    <row r="2269" spans="1:12" x14ac:dyDescent="0.2">
      <c r="A2269">
        <v>2268</v>
      </c>
      <c r="B2269" s="7" t="s">
        <v>356</v>
      </c>
      <c r="C2269" t="s">
        <v>1316</v>
      </c>
      <c r="D2269" s="65" t="str">
        <f t="shared" si="70"/>
        <v>Y</v>
      </c>
      <c r="E2269" t="s">
        <v>1314</v>
      </c>
      <c r="F2269" s="7" t="s">
        <v>301</v>
      </c>
      <c r="G2269" s="1">
        <v>5</v>
      </c>
      <c r="H2269" s="7" t="s">
        <v>301</v>
      </c>
      <c r="I2269" s="7" t="s">
        <v>294</v>
      </c>
      <c r="J2269" s="1">
        <v>5</v>
      </c>
      <c r="K2269" s="1">
        <v>7</v>
      </c>
      <c r="L2269" s="67">
        <f t="shared" si="71"/>
        <v>1</v>
      </c>
    </row>
    <row r="2270" spans="1:12" x14ac:dyDescent="0.2">
      <c r="A2270">
        <v>2269</v>
      </c>
      <c r="B2270" s="7" t="s">
        <v>372</v>
      </c>
      <c r="C2270" t="s">
        <v>1316</v>
      </c>
      <c r="D2270" s="65" t="str">
        <f t="shared" si="70"/>
        <v>Y</v>
      </c>
      <c r="E2270" t="s">
        <v>1314</v>
      </c>
      <c r="F2270" s="7" t="s">
        <v>301</v>
      </c>
      <c r="G2270" s="1">
        <v>5</v>
      </c>
      <c r="H2270" s="7" t="s">
        <v>301</v>
      </c>
      <c r="I2270" s="7" t="s">
        <v>297</v>
      </c>
      <c r="J2270" s="1">
        <v>5</v>
      </c>
      <c r="K2270" s="1">
        <v>4</v>
      </c>
      <c r="L2270" s="67">
        <f t="shared" si="71"/>
        <v>1</v>
      </c>
    </row>
    <row r="2271" spans="1:12" x14ac:dyDescent="0.2">
      <c r="A2271">
        <v>2270</v>
      </c>
      <c r="B2271" s="7" t="s">
        <v>356</v>
      </c>
      <c r="C2271" t="s">
        <v>1316</v>
      </c>
      <c r="D2271" s="65" t="str">
        <f t="shared" si="70"/>
        <v>Y</v>
      </c>
      <c r="E2271" t="s">
        <v>1314</v>
      </c>
      <c r="F2271" s="7" t="s">
        <v>301</v>
      </c>
      <c r="G2271" s="1">
        <v>5</v>
      </c>
      <c r="H2271" s="7" t="s">
        <v>301</v>
      </c>
      <c r="I2271" s="7" t="s">
        <v>297</v>
      </c>
      <c r="J2271" s="1">
        <v>5</v>
      </c>
      <c r="K2271" s="1">
        <v>4</v>
      </c>
      <c r="L2271" s="67">
        <f t="shared" si="71"/>
        <v>1</v>
      </c>
    </row>
    <row r="2272" spans="1:12" x14ac:dyDescent="0.2">
      <c r="A2272">
        <v>2271</v>
      </c>
      <c r="B2272" s="7" t="s">
        <v>372</v>
      </c>
      <c r="C2272" t="s">
        <v>1316</v>
      </c>
      <c r="D2272" s="65" t="str">
        <f t="shared" si="70"/>
        <v>Y</v>
      </c>
      <c r="E2272" t="s">
        <v>1314</v>
      </c>
      <c r="F2272" s="7" t="s">
        <v>301</v>
      </c>
      <c r="G2272" s="1">
        <v>5</v>
      </c>
      <c r="H2272" s="7" t="s">
        <v>300</v>
      </c>
      <c r="I2272" s="7" t="s">
        <v>294</v>
      </c>
      <c r="J2272" s="1">
        <v>2</v>
      </c>
      <c r="K2272" s="1">
        <v>7</v>
      </c>
      <c r="L2272" s="67">
        <f t="shared" si="71"/>
        <v>0</v>
      </c>
    </row>
    <row r="2273" spans="1:12" x14ac:dyDescent="0.2">
      <c r="A2273">
        <v>2272</v>
      </c>
      <c r="B2273" s="7" t="s">
        <v>356</v>
      </c>
      <c r="C2273" t="s">
        <v>1316</v>
      </c>
      <c r="D2273" s="65" t="str">
        <f t="shared" si="70"/>
        <v>Y</v>
      </c>
      <c r="E2273" t="s">
        <v>1314</v>
      </c>
      <c r="F2273" s="7" t="s">
        <v>301</v>
      </c>
      <c r="G2273" s="1">
        <v>5</v>
      </c>
      <c r="H2273" s="7" t="s">
        <v>301</v>
      </c>
      <c r="I2273" s="7" t="s">
        <v>294</v>
      </c>
      <c r="J2273" s="1">
        <v>5</v>
      </c>
      <c r="K2273" s="1">
        <v>7</v>
      </c>
      <c r="L2273" s="67">
        <f t="shared" si="71"/>
        <v>1</v>
      </c>
    </row>
    <row r="2274" spans="1:12" x14ac:dyDescent="0.2">
      <c r="A2274">
        <v>2273</v>
      </c>
      <c r="B2274" s="7" t="s">
        <v>372</v>
      </c>
      <c r="C2274" t="s">
        <v>1316</v>
      </c>
      <c r="D2274" s="65" t="str">
        <f t="shared" si="70"/>
        <v>Y</v>
      </c>
      <c r="E2274" t="s">
        <v>1314</v>
      </c>
      <c r="F2274" s="7" t="s">
        <v>301</v>
      </c>
      <c r="G2274" s="1">
        <v>5</v>
      </c>
      <c r="H2274" s="7" t="s">
        <v>300</v>
      </c>
      <c r="I2274" s="7" t="s">
        <v>296</v>
      </c>
      <c r="J2274" s="1">
        <v>2</v>
      </c>
      <c r="K2274" s="1">
        <v>6</v>
      </c>
      <c r="L2274" s="67">
        <f t="shared" si="71"/>
        <v>0</v>
      </c>
    </row>
    <row r="2275" spans="1:12" x14ac:dyDescent="0.2">
      <c r="A2275">
        <v>2274</v>
      </c>
      <c r="B2275" s="7" t="s">
        <v>372</v>
      </c>
      <c r="C2275" t="s">
        <v>1316</v>
      </c>
      <c r="D2275" s="65" t="str">
        <f t="shared" si="70"/>
        <v>Y</v>
      </c>
      <c r="E2275" t="s">
        <v>1314</v>
      </c>
      <c r="F2275" s="7" t="s">
        <v>301</v>
      </c>
      <c r="G2275" s="1">
        <v>5</v>
      </c>
      <c r="H2275" s="7" t="s">
        <v>301</v>
      </c>
      <c r="I2275" s="7" t="s">
        <v>294</v>
      </c>
      <c r="J2275" s="1">
        <v>5</v>
      </c>
      <c r="K2275" s="1">
        <v>7</v>
      </c>
      <c r="L2275" s="67">
        <f t="shared" si="71"/>
        <v>1</v>
      </c>
    </row>
    <row r="2276" spans="1:12" x14ac:dyDescent="0.2">
      <c r="A2276">
        <v>2275</v>
      </c>
      <c r="B2276" s="7" t="s">
        <v>356</v>
      </c>
      <c r="C2276" t="s">
        <v>1316</v>
      </c>
      <c r="D2276" s="65" t="str">
        <f t="shared" si="70"/>
        <v>Y</v>
      </c>
      <c r="E2276" t="s">
        <v>1314</v>
      </c>
      <c r="F2276" s="7" t="s">
        <v>301</v>
      </c>
      <c r="G2276" s="1">
        <v>5</v>
      </c>
      <c r="H2276" s="7" t="s">
        <v>301</v>
      </c>
      <c r="I2276" s="7" t="s">
        <v>296</v>
      </c>
      <c r="J2276" s="1">
        <v>5</v>
      </c>
      <c r="K2276" s="1">
        <v>6</v>
      </c>
      <c r="L2276" s="67">
        <f t="shared" si="71"/>
        <v>1</v>
      </c>
    </row>
    <row r="2277" spans="1:12" x14ac:dyDescent="0.2">
      <c r="A2277">
        <v>2276</v>
      </c>
      <c r="B2277" s="7" t="s">
        <v>356</v>
      </c>
      <c r="C2277" t="s">
        <v>1316</v>
      </c>
      <c r="D2277" s="65" t="str">
        <f t="shared" si="70"/>
        <v>Y</v>
      </c>
      <c r="E2277" t="s">
        <v>1314</v>
      </c>
      <c r="F2277" s="7" t="s">
        <v>301</v>
      </c>
      <c r="G2277" s="1">
        <v>5</v>
      </c>
      <c r="H2277" s="7" t="s">
        <v>301</v>
      </c>
      <c r="I2277" s="7" t="s">
        <v>296</v>
      </c>
      <c r="J2277" s="1">
        <v>5</v>
      </c>
      <c r="K2277" s="1">
        <v>6</v>
      </c>
      <c r="L2277" s="67">
        <f t="shared" si="71"/>
        <v>1</v>
      </c>
    </row>
    <row r="2278" spans="1:12" x14ac:dyDescent="0.2">
      <c r="A2278">
        <v>2277</v>
      </c>
      <c r="B2278" s="7" t="s">
        <v>372</v>
      </c>
      <c r="C2278" t="s">
        <v>1316</v>
      </c>
      <c r="D2278" s="65" t="str">
        <f t="shared" si="70"/>
        <v>Y</v>
      </c>
      <c r="E2278" t="s">
        <v>1314</v>
      </c>
      <c r="F2278" s="7" t="s">
        <v>301</v>
      </c>
      <c r="G2278" s="1">
        <v>5</v>
      </c>
      <c r="H2278" s="7" t="s">
        <v>301</v>
      </c>
      <c r="I2278" s="7" t="s">
        <v>292</v>
      </c>
      <c r="J2278" s="1">
        <v>5</v>
      </c>
      <c r="K2278" s="1">
        <v>5</v>
      </c>
      <c r="L2278" s="67">
        <f t="shared" si="71"/>
        <v>1</v>
      </c>
    </row>
    <row r="2279" spans="1:12" x14ac:dyDescent="0.2">
      <c r="A2279">
        <v>2278</v>
      </c>
      <c r="B2279" s="7" t="s">
        <v>372</v>
      </c>
      <c r="C2279" t="s">
        <v>1316</v>
      </c>
      <c r="D2279" s="65" t="str">
        <f t="shared" si="70"/>
        <v>Y</v>
      </c>
      <c r="E2279" t="s">
        <v>1314</v>
      </c>
      <c r="F2279" s="7" t="s">
        <v>301</v>
      </c>
      <c r="G2279" s="1">
        <v>5</v>
      </c>
      <c r="H2279" s="7" t="s">
        <v>301</v>
      </c>
      <c r="I2279" s="7" t="s">
        <v>296</v>
      </c>
      <c r="J2279" s="1">
        <v>5</v>
      </c>
      <c r="K2279" s="1">
        <v>6</v>
      </c>
      <c r="L2279" s="67">
        <f t="shared" si="71"/>
        <v>1</v>
      </c>
    </row>
    <row r="2280" spans="1:12" x14ac:dyDescent="0.2">
      <c r="A2280">
        <v>2279</v>
      </c>
      <c r="B2280" s="7" t="s">
        <v>356</v>
      </c>
      <c r="C2280" t="s">
        <v>1316</v>
      </c>
      <c r="D2280" s="65" t="str">
        <f t="shared" si="70"/>
        <v>Y</v>
      </c>
      <c r="E2280" t="s">
        <v>1314</v>
      </c>
      <c r="F2280" s="7" t="s">
        <v>301</v>
      </c>
      <c r="G2280" s="1">
        <v>5</v>
      </c>
      <c r="H2280" s="7" t="s">
        <v>301</v>
      </c>
      <c r="I2280" s="7" t="s">
        <v>294</v>
      </c>
      <c r="J2280" s="1">
        <v>5</v>
      </c>
      <c r="K2280" s="1">
        <v>7</v>
      </c>
      <c r="L2280" s="67">
        <f t="shared" si="71"/>
        <v>1</v>
      </c>
    </row>
    <row r="2281" spans="1:12" x14ac:dyDescent="0.2">
      <c r="A2281">
        <v>2280</v>
      </c>
      <c r="B2281" s="7" t="s">
        <v>372</v>
      </c>
      <c r="C2281" t="s">
        <v>1316</v>
      </c>
      <c r="D2281" s="65" t="str">
        <f t="shared" si="70"/>
        <v>Y</v>
      </c>
      <c r="E2281" t="s">
        <v>1314</v>
      </c>
      <c r="F2281" s="7" t="s">
        <v>301</v>
      </c>
      <c r="G2281" s="1">
        <v>5</v>
      </c>
      <c r="H2281" s="7" t="s">
        <v>301</v>
      </c>
      <c r="I2281" s="7" t="s">
        <v>296</v>
      </c>
      <c r="J2281" s="1">
        <v>5</v>
      </c>
      <c r="K2281" s="1">
        <v>6</v>
      </c>
      <c r="L2281" s="67">
        <f t="shared" si="71"/>
        <v>1</v>
      </c>
    </row>
    <row r="2282" spans="1:12" x14ac:dyDescent="0.2">
      <c r="A2282">
        <v>2281</v>
      </c>
      <c r="B2282" s="7" t="s">
        <v>356</v>
      </c>
      <c r="C2282" t="s">
        <v>1316</v>
      </c>
      <c r="D2282" s="65" t="str">
        <f t="shared" si="70"/>
        <v>Y</v>
      </c>
      <c r="E2282" t="s">
        <v>1314</v>
      </c>
      <c r="F2282" s="7" t="s">
        <v>301</v>
      </c>
      <c r="G2282" s="1">
        <v>5</v>
      </c>
      <c r="H2282" s="7" t="s">
        <v>301</v>
      </c>
      <c r="I2282" s="7" t="s">
        <v>292</v>
      </c>
      <c r="J2282" s="1">
        <v>5</v>
      </c>
      <c r="K2282" s="1">
        <v>5</v>
      </c>
      <c r="L2282" s="67">
        <f t="shared" si="71"/>
        <v>1</v>
      </c>
    </row>
    <row r="2283" spans="1:12" x14ac:dyDescent="0.2">
      <c r="A2283">
        <v>2282</v>
      </c>
      <c r="B2283" s="7" t="s">
        <v>356</v>
      </c>
      <c r="C2283" t="s">
        <v>1316</v>
      </c>
      <c r="D2283" s="65" t="str">
        <f t="shared" si="70"/>
        <v>Y</v>
      </c>
      <c r="E2283" t="s">
        <v>1314</v>
      </c>
      <c r="F2283" s="7" t="s">
        <v>301</v>
      </c>
      <c r="G2283" s="1">
        <v>5</v>
      </c>
      <c r="H2283" s="7" t="s">
        <v>301</v>
      </c>
      <c r="I2283" s="7" t="s">
        <v>292</v>
      </c>
      <c r="J2283" s="1">
        <v>5</v>
      </c>
      <c r="K2283" s="1">
        <v>5</v>
      </c>
      <c r="L2283" s="67">
        <f t="shared" si="71"/>
        <v>1</v>
      </c>
    </row>
    <row r="2284" spans="1:12" x14ac:dyDescent="0.2">
      <c r="A2284">
        <v>2283</v>
      </c>
      <c r="B2284" s="7" t="s">
        <v>372</v>
      </c>
      <c r="C2284" t="s">
        <v>1316</v>
      </c>
      <c r="D2284" s="65" t="str">
        <f t="shared" si="70"/>
        <v>Y</v>
      </c>
      <c r="E2284" t="s">
        <v>1314</v>
      </c>
      <c r="F2284" s="7" t="s">
        <v>301</v>
      </c>
      <c r="G2284" s="1">
        <v>5</v>
      </c>
      <c r="H2284" s="7" t="s">
        <v>291</v>
      </c>
      <c r="I2284" s="7" t="s">
        <v>296</v>
      </c>
      <c r="J2284" s="1">
        <v>1</v>
      </c>
      <c r="K2284" s="1">
        <v>6</v>
      </c>
      <c r="L2284" s="67">
        <f t="shared" si="71"/>
        <v>0</v>
      </c>
    </row>
    <row r="2285" spans="1:12" x14ac:dyDescent="0.2">
      <c r="A2285">
        <v>2284</v>
      </c>
      <c r="B2285" s="7" t="s">
        <v>372</v>
      </c>
      <c r="C2285" t="s">
        <v>1316</v>
      </c>
      <c r="D2285" s="65" t="str">
        <f t="shared" si="70"/>
        <v>Y</v>
      </c>
      <c r="E2285" t="s">
        <v>1314</v>
      </c>
      <c r="F2285" s="7" t="s">
        <v>301</v>
      </c>
      <c r="G2285" s="1">
        <v>5</v>
      </c>
      <c r="H2285" s="7" t="s">
        <v>301</v>
      </c>
      <c r="I2285" s="7" t="s">
        <v>294</v>
      </c>
      <c r="J2285" s="1">
        <v>5</v>
      </c>
      <c r="K2285" s="1">
        <v>7</v>
      </c>
      <c r="L2285" s="67">
        <f t="shared" si="71"/>
        <v>1</v>
      </c>
    </row>
    <row r="2286" spans="1:12" x14ac:dyDescent="0.2">
      <c r="A2286">
        <v>2285</v>
      </c>
      <c r="B2286" s="7" t="s">
        <v>356</v>
      </c>
      <c r="C2286" t="s">
        <v>1316</v>
      </c>
      <c r="D2286" s="65" t="str">
        <f t="shared" si="70"/>
        <v>Y</v>
      </c>
      <c r="E2286" t="s">
        <v>1314</v>
      </c>
      <c r="F2286" s="7" t="s">
        <v>301</v>
      </c>
      <c r="G2286" s="1">
        <v>5</v>
      </c>
      <c r="H2286" s="7" t="s">
        <v>301</v>
      </c>
      <c r="I2286" s="7" t="s">
        <v>292</v>
      </c>
      <c r="J2286" s="1">
        <v>5</v>
      </c>
      <c r="K2286" s="1">
        <v>5</v>
      </c>
      <c r="L2286" s="67">
        <f t="shared" si="71"/>
        <v>1</v>
      </c>
    </row>
    <row r="2287" spans="1:12" x14ac:dyDescent="0.2">
      <c r="A2287">
        <v>2286</v>
      </c>
      <c r="B2287" s="7" t="s">
        <v>356</v>
      </c>
      <c r="C2287" t="s">
        <v>1316</v>
      </c>
      <c r="D2287" s="65" t="str">
        <f t="shared" si="70"/>
        <v>Y</v>
      </c>
      <c r="E2287" t="s">
        <v>1314</v>
      </c>
      <c r="F2287" s="7" t="s">
        <v>301</v>
      </c>
      <c r="G2287" s="1">
        <v>5</v>
      </c>
      <c r="H2287" s="7" t="s">
        <v>301</v>
      </c>
      <c r="I2287" s="7" t="s">
        <v>296</v>
      </c>
      <c r="J2287" s="1">
        <v>5</v>
      </c>
      <c r="K2287" s="1">
        <v>6</v>
      </c>
      <c r="L2287" s="67">
        <f t="shared" si="71"/>
        <v>1</v>
      </c>
    </row>
    <row r="2288" spans="1:12" x14ac:dyDescent="0.2">
      <c r="A2288">
        <v>2287</v>
      </c>
      <c r="B2288" s="7" t="s">
        <v>372</v>
      </c>
      <c r="C2288" t="s">
        <v>1316</v>
      </c>
      <c r="D2288" s="65" t="str">
        <f t="shared" si="70"/>
        <v>Y</v>
      </c>
      <c r="E2288" t="s">
        <v>1314</v>
      </c>
      <c r="F2288" s="7" t="s">
        <v>301</v>
      </c>
      <c r="G2288" s="1">
        <v>5</v>
      </c>
      <c r="H2288" s="7" t="s">
        <v>291</v>
      </c>
      <c r="I2288" s="7" t="s">
        <v>292</v>
      </c>
      <c r="J2288" s="1">
        <v>1</v>
      </c>
      <c r="K2288" s="1">
        <v>5</v>
      </c>
      <c r="L2288" s="67">
        <f t="shared" si="71"/>
        <v>0</v>
      </c>
    </row>
    <row r="2289" spans="1:12" x14ac:dyDescent="0.2">
      <c r="A2289">
        <v>2288</v>
      </c>
      <c r="B2289" s="7" t="s">
        <v>356</v>
      </c>
      <c r="C2289" t="s">
        <v>1316</v>
      </c>
      <c r="D2289" s="65" t="str">
        <f t="shared" si="70"/>
        <v>Y</v>
      </c>
      <c r="E2289" t="s">
        <v>1314</v>
      </c>
      <c r="F2289" s="7" t="s">
        <v>301</v>
      </c>
      <c r="G2289" s="1">
        <v>5</v>
      </c>
      <c r="H2289" s="7" t="s">
        <v>301</v>
      </c>
      <c r="I2289" s="7" t="s">
        <v>297</v>
      </c>
      <c r="J2289" s="1">
        <v>5</v>
      </c>
      <c r="K2289" s="1">
        <v>4</v>
      </c>
      <c r="L2289" s="67">
        <f t="shared" si="71"/>
        <v>1</v>
      </c>
    </row>
    <row r="2290" spans="1:12" x14ac:dyDescent="0.2">
      <c r="A2290">
        <v>2289</v>
      </c>
      <c r="B2290" s="7" t="s">
        <v>372</v>
      </c>
      <c r="C2290" t="s">
        <v>1316</v>
      </c>
      <c r="D2290" s="65" t="str">
        <f t="shared" si="70"/>
        <v>Y</v>
      </c>
      <c r="E2290" t="s">
        <v>1314</v>
      </c>
      <c r="F2290" s="7" t="s">
        <v>301</v>
      </c>
      <c r="G2290" s="1">
        <v>5</v>
      </c>
      <c r="H2290" s="7" t="s">
        <v>301</v>
      </c>
      <c r="I2290" s="7" t="s">
        <v>296</v>
      </c>
      <c r="J2290" s="1">
        <v>5</v>
      </c>
      <c r="K2290" s="1">
        <v>6</v>
      </c>
      <c r="L2290" s="67">
        <f t="shared" si="71"/>
        <v>1</v>
      </c>
    </row>
    <row r="2291" spans="1:12" x14ac:dyDescent="0.2">
      <c r="A2291">
        <v>2290</v>
      </c>
      <c r="B2291" s="7" t="s">
        <v>356</v>
      </c>
      <c r="C2291" t="s">
        <v>1316</v>
      </c>
      <c r="D2291" s="65" t="str">
        <f t="shared" si="70"/>
        <v>Y</v>
      </c>
      <c r="E2291" t="s">
        <v>1314</v>
      </c>
      <c r="F2291" s="7" t="s">
        <v>301</v>
      </c>
      <c r="G2291" s="1">
        <v>5</v>
      </c>
      <c r="H2291" s="7" t="s">
        <v>301</v>
      </c>
      <c r="I2291" s="7" t="s">
        <v>294</v>
      </c>
      <c r="J2291" s="1">
        <v>5</v>
      </c>
      <c r="K2291" s="1">
        <v>7</v>
      </c>
      <c r="L2291" s="67">
        <f t="shared" si="71"/>
        <v>1</v>
      </c>
    </row>
    <row r="2292" spans="1:12" x14ac:dyDescent="0.2">
      <c r="A2292">
        <v>2291</v>
      </c>
      <c r="B2292" s="7" t="s">
        <v>372</v>
      </c>
      <c r="C2292" t="s">
        <v>1316</v>
      </c>
      <c r="D2292" s="65" t="str">
        <f t="shared" si="70"/>
        <v>Y</v>
      </c>
      <c r="E2292" t="s">
        <v>1314</v>
      </c>
      <c r="F2292" s="7" t="s">
        <v>301</v>
      </c>
      <c r="G2292" s="1">
        <v>5</v>
      </c>
      <c r="H2292" s="7" t="s">
        <v>301</v>
      </c>
      <c r="I2292" s="7" t="s">
        <v>296</v>
      </c>
      <c r="J2292" s="1">
        <v>5</v>
      </c>
      <c r="K2292" s="1">
        <v>6</v>
      </c>
      <c r="L2292" s="67">
        <f t="shared" si="71"/>
        <v>1</v>
      </c>
    </row>
    <row r="2293" spans="1:12" x14ac:dyDescent="0.2">
      <c r="A2293">
        <v>2292</v>
      </c>
      <c r="B2293" s="7" t="s">
        <v>356</v>
      </c>
      <c r="C2293" t="s">
        <v>1316</v>
      </c>
      <c r="D2293" s="65" t="str">
        <f t="shared" si="70"/>
        <v>Y</v>
      </c>
      <c r="E2293" t="s">
        <v>1315</v>
      </c>
      <c r="F2293" s="7" t="s">
        <v>291</v>
      </c>
      <c r="G2293" s="1">
        <v>1</v>
      </c>
      <c r="H2293" s="7" t="s">
        <v>301</v>
      </c>
      <c r="I2293" s="7" t="s">
        <v>296</v>
      </c>
      <c r="J2293" s="1">
        <v>5</v>
      </c>
      <c r="K2293" s="1">
        <v>6</v>
      </c>
      <c r="L2293" s="67">
        <f t="shared" si="71"/>
        <v>0</v>
      </c>
    </row>
    <row r="2294" spans="1:12" x14ac:dyDescent="0.2">
      <c r="A2294">
        <v>2293</v>
      </c>
      <c r="B2294" s="7" t="s">
        <v>372</v>
      </c>
      <c r="C2294" t="s">
        <v>1316</v>
      </c>
      <c r="D2294" s="65" t="str">
        <f t="shared" si="70"/>
        <v>Y</v>
      </c>
      <c r="E2294" t="s">
        <v>1315</v>
      </c>
      <c r="F2294" s="7" t="s">
        <v>291</v>
      </c>
      <c r="G2294" s="1">
        <v>1</v>
      </c>
      <c r="H2294" s="7" t="s">
        <v>291</v>
      </c>
      <c r="I2294" s="7" t="s">
        <v>296</v>
      </c>
      <c r="J2294" s="1">
        <v>1</v>
      </c>
      <c r="K2294" s="1">
        <v>6</v>
      </c>
      <c r="L2294" s="67">
        <f t="shared" si="71"/>
        <v>1</v>
      </c>
    </row>
    <row r="2295" spans="1:12" x14ac:dyDescent="0.2">
      <c r="A2295">
        <v>2294</v>
      </c>
      <c r="B2295" s="7" t="s">
        <v>372</v>
      </c>
      <c r="C2295" t="s">
        <v>1316</v>
      </c>
      <c r="D2295" s="65" t="str">
        <f t="shared" si="70"/>
        <v>Y</v>
      </c>
      <c r="E2295" t="s">
        <v>1315</v>
      </c>
      <c r="F2295" s="7" t="s">
        <v>291</v>
      </c>
      <c r="G2295" s="1">
        <v>1</v>
      </c>
      <c r="H2295" s="7" t="s">
        <v>301</v>
      </c>
      <c r="I2295" s="7" t="s">
        <v>297</v>
      </c>
      <c r="J2295" s="1">
        <v>5</v>
      </c>
      <c r="K2295" s="1">
        <v>4</v>
      </c>
      <c r="L2295" s="67">
        <f t="shared" si="71"/>
        <v>0</v>
      </c>
    </row>
    <row r="2296" spans="1:12" x14ac:dyDescent="0.2">
      <c r="A2296">
        <v>2295</v>
      </c>
      <c r="B2296" s="7" t="s">
        <v>356</v>
      </c>
      <c r="C2296" t="s">
        <v>1316</v>
      </c>
      <c r="D2296" s="65" t="str">
        <f t="shared" si="70"/>
        <v>Y</v>
      </c>
      <c r="E2296" t="s">
        <v>1315</v>
      </c>
      <c r="F2296" s="7" t="s">
        <v>291</v>
      </c>
      <c r="G2296" s="1">
        <v>1</v>
      </c>
      <c r="H2296" s="7" t="s">
        <v>291</v>
      </c>
      <c r="I2296" s="7" t="s">
        <v>292</v>
      </c>
      <c r="J2296" s="1">
        <v>1</v>
      </c>
      <c r="K2296" s="1">
        <v>5</v>
      </c>
      <c r="L2296" s="67">
        <f t="shared" si="71"/>
        <v>1</v>
      </c>
    </row>
    <row r="2297" spans="1:12" x14ac:dyDescent="0.2">
      <c r="A2297">
        <v>2296</v>
      </c>
      <c r="B2297" s="7" t="s">
        <v>372</v>
      </c>
      <c r="C2297" t="s">
        <v>1316</v>
      </c>
      <c r="D2297" s="65" t="str">
        <f t="shared" si="70"/>
        <v>Y</v>
      </c>
      <c r="E2297" t="s">
        <v>1315</v>
      </c>
      <c r="F2297" s="7" t="s">
        <v>291</v>
      </c>
      <c r="G2297" s="1">
        <v>1</v>
      </c>
      <c r="H2297" s="7" t="s">
        <v>291</v>
      </c>
      <c r="I2297" s="7" t="s">
        <v>292</v>
      </c>
      <c r="J2297" s="1">
        <v>1</v>
      </c>
      <c r="K2297" s="1">
        <v>5</v>
      </c>
      <c r="L2297" s="67">
        <f t="shared" si="71"/>
        <v>1</v>
      </c>
    </row>
    <row r="2298" spans="1:12" x14ac:dyDescent="0.2">
      <c r="A2298">
        <v>2297</v>
      </c>
      <c r="B2298" s="7" t="s">
        <v>356</v>
      </c>
      <c r="C2298" t="s">
        <v>1316</v>
      </c>
      <c r="D2298" s="65" t="str">
        <f t="shared" si="70"/>
        <v>Y</v>
      </c>
      <c r="E2298" t="s">
        <v>1315</v>
      </c>
      <c r="F2298" s="7" t="s">
        <v>291</v>
      </c>
      <c r="G2298" s="1">
        <v>1</v>
      </c>
      <c r="H2298" s="7" t="s">
        <v>291</v>
      </c>
      <c r="I2298" s="7" t="s">
        <v>292</v>
      </c>
      <c r="J2298" s="1">
        <v>1</v>
      </c>
      <c r="K2298" s="1">
        <v>5</v>
      </c>
      <c r="L2298" s="67">
        <f t="shared" si="71"/>
        <v>1</v>
      </c>
    </row>
    <row r="2299" spans="1:12" x14ac:dyDescent="0.2">
      <c r="A2299">
        <v>2298</v>
      </c>
      <c r="B2299" s="7" t="s">
        <v>372</v>
      </c>
      <c r="C2299" t="s">
        <v>1316</v>
      </c>
      <c r="D2299" s="65" t="str">
        <f t="shared" si="70"/>
        <v>Y</v>
      </c>
      <c r="E2299" t="s">
        <v>1315</v>
      </c>
      <c r="F2299" s="7" t="s">
        <v>291</v>
      </c>
      <c r="G2299" s="1">
        <v>1</v>
      </c>
      <c r="H2299" s="7" t="s">
        <v>301</v>
      </c>
      <c r="I2299" s="7" t="s">
        <v>292</v>
      </c>
      <c r="J2299" s="1">
        <v>5</v>
      </c>
      <c r="K2299" s="1">
        <v>5</v>
      </c>
      <c r="L2299" s="67">
        <f t="shared" si="71"/>
        <v>0</v>
      </c>
    </row>
    <row r="2300" spans="1:12" x14ac:dyDescent="0.2">
      <c r="A2300">
        <v>2299</v>
      </c>
      <c r="B2300" s="7" t="s">
        <v>356</v>
      </c>
      <c r="C2300" t="s">
        <v>1316</v>
      </c>
      <c r="D2300" s="65" t="str">
        <f t="shared" si="70"/>
        <v>Y</v>
      </c>
      <c r="E2300" t="s">
        <v>1315</v>
      </c>
      <c r="F2300" s="7" t="s">
        <v>291</v>
      </c>
      <c r="G2300" s="1">
        <v>1</v>
      </c>
      <c r="H2300" s="7" t="s">
        <v>291</v>
      </c>
      <c r="I2300" s="7" t="s">
        <v>296</v>
      </c>
      <c r="J2300" s="1">
        <v>1</v>
      </c>
      <c r="K2300" s="1">
        <v>6</v>
      </c>
      <c r="L2300" s="67">
        <f t="shared" si="71"/>
        <v>1</v>
      </c>
    </row>
    <row r="2301" spans="1:12" x14ac:dyDescent="0.2">
      <c r="A2301">
        <v>2300</v>
      </c>
      <c r="B2301" s="7" t="s">
        <v>372</v>
      </c>
      <c r="C2301" t="s">
        <v>1316</v>
      </c>
      <c r="D2301" s="65" t="str">
        <f t="shared" si="70"/>
        <v>Y</v>
      </c>
      <c r="E2301" t="s">
        <v>1315</v>
      </c>
      <c r="F2301" s="7" t="s">
        <v>291</v>
      </c>
      <c r="G2301" s="1">
        <v>1</v>
      </c>
      <c r="H2301" s="7" t="s">
        <v>291</v>
      </c>
      <c r="I2301" s="7" t="s">
        <v>296</v>
      </c>
      <c r="J2301" s="1">
        <v>1</v>
      </c>
      <c r="K2301" s="1">
        <v>6</v>
      </c>
      <c r="L2301" s="67">
        <f t="shared" si="71"/>
        <v>1</v>
      </c>
    </row>
    <row r="2302" spans="1:12" x14ac:dyDescent="0.2">
      <c r="A2302">
        <v>2301</v>
      </c>
      <c r="B2302" s="7" t="s">
        <v>356</v>
      </c>
      <c r="C2302" t="s">
        <v>1316</v>
      </c>
      <c r="D2302" s="65" t="str">
        <f t="shared" si="70"/>
        <v>Y</v>
      </c>
      <c r="E2302" t="s">
        <v>1315</v>
      </c>
      <c r="F2302" s="7" t="s">
        <v>291</v>
      </c>
      <c r="G2302" s="1">
        <v>1</v>
      </c>
      <c r="H2302" s="7" t="s">
        <v>291</v>
      </c>
      <c r="I2302" s="7" t="s">
        <v>292</v>
      </c>
      <c r="J2302" s="1">
        <v>1</v>
      </c>
      <c r="K2302" s="1">
        <v>5</v>
      </c>
      <c r="L2302" s="67">
        <f t="shared" si="71"/>
        <v>1</v>
      </c>
    </row>
    <row r="2303" spans="1:12" x14ac:dyDescent="0.2">
      <c r="A2303">
        <v>2302</v>
      </c>
      <c r="B2303" s="7" t="s">
        <v>356</v>
      </c>
      <c r="C2303" t="s">
        <v>1316</v>
      </c>
      <c r="D2303" s="65" t="str">
        <f t="shared" si="70"/>
        <v>Y</v>
      </c>
      <c r="E2303" t="s">
        <v>1315</v>
      </c>
      <c r="F2303" s="7" t="s">
        <v>291</v>
      </c>
      <c r="G2303" s="1">
        <v>1</v>
      </c>
      <c r="H2303" s="7" t="s">
        <v>291</v>
      </c>
      <c r="I2303" s="7" t="s">
        <v>294</v>
      </c>
      <c r="J2303" s="1">
        <v>1</v>
      </c>
      <c r="K2303" s="1">
        <v>7</v>
      </c>
      <c r="L2303" s="67">
        <f t="shared" si="71"/>
        <v>1</v>
      </c>
    </row>
    <row r="2304" spans="1:12" x14ac:dyDescent="0.2">
      <c r="A2304">
        <v>2303</v>
      </c>
      <c r="B2304" s="7" t="s">
        <v>372</v>
      </c>
      <c r="C2304" t="s">
        <v>1316</v>
      </c>
      <c r="D2304" s="65" t="str">
        <f t="shared" si="70"/>
        <v>Y</v>
      </c>
      <c r="E2304" t="s">
        <v>1315</v>
      </c>
      <c r="F2304" s="7" t="s">
        <v>291</v>
      </c>
      <c r="G2304" s="1">
        <v>1</v>
      </c>
      <c r="H2304" s="7" t="s">
        <v>291</v>
      </c>
      <c r="I2304" s="7" t="s">
        <v>296</v>
      </c>
      <c r="J2304" s="1">
        <v>1</v>
      </c>
      <c r="K2304" s="1">
        <v>6</v>
      </c>
      <c r="L2304" s="67">
        <f t="shared" si="71"/>
        <v>1</v>
      </c>
    </row>
    <row r="2305" spans="1:12" x14ac:dyDescent="0.2">
      <c r="A2305">
        <v>2304</v>
      </c>
      <c r="B2305" s="7" t="s">
        <v>356</v>
      </c>
      <c r="C2305" t="s">
        <v>1316</v>
      </c>
      <c r="D2305" s="65" t="str">
        <f t="shared" si="70"/>
        <v>Y</v>
      </c>
      <c r="E2305" t="s">
        <v>1315</v>
      </c>
      <c r="F2305" s="7" t="s">
        <v>291</v>
      </c>
      <c r="G2305" s="1">
        <v>1</v>
      </c>
      <c r="H2305" s="7" t="s">
        <v>291</v>
      </c>
      <c r="I2305" s="7" t="s">
        <v>294</v>
      </c>
      <c r="J2305" s="1">
        <v>1</v>
      </c>
      <c r="K2305" s="1">
        <v>7</v>
      </c>
      <c r="L2305" s="67">
        <f t="shared" si="71"/>
        <v>1</v>
      </c>
    </row>
    <row r="2306" spans="1:12" x14ac:dyDescent="0.2">
      <c r="A2306">
        <v>2305</v>
      </c>
      <c r="B2306" s="7" t="s">
        <v>372</v>
      </c>
      <c r="C2306" t="s">
        <v>1316</v>
      </c>
      <c r="D2306" s="65" t="str">
        <f t="shared" si="70"/>
        <v>Y</v>
      </c>
      <c r="E2306" t="s">
        <v>1315</v>
      </c>
      <c r="F2306" s="7" t="s">
        <v>291</v>
      </c>
      <c r="G2306" s="1">
        <v>1</v>
      </c>
      <c r="H2306" s="7" t="s">
        <v>291</v>
      </c>
      <c r="I2306" s="7" t="s">
        <v>294</v>
      </c>
      <c r="J2306" s="1">
        <v>1</v>
      </c>
      <c r="K2306" s="1">
        <v>7</v>
      </c>
      <c r="L2306" s="67">
        <f t="shared" si="71"/>
        <v>1</v>
      </c>
    </row>
    <row r="2307" spans="1:12" x14ac:dyDescent="0.2">
      <c r="A2307">
        <v>2306</v>
      </c>
      <c r="B2307" s="7" t="s">
        <v>356</v>
      </c>
      <c r="C2307" t="s">
        <v>1316</v>
      </c>
      <c r="D2307" s="65" t="str">
        <f t="shared" ref="D2307:D2370" si="72">IF($E2307="iso", "N", IF(OR($E2307="non", $E2307="emd", $E2307="dyn"), "Y", "ERROR"))</f>
        <v>Y</v>
      </c>
      <c r="E2307" t="s">
        <v>1315</v>
      </c>
      <c r="F2307" s="7" t="s">
        <v>291</v>
      </c>
      <c r="G2307" s="1">
        <v>1</v>
      </c>
      <c r="H2307" s="7" t="s">
        <v>291</v>
      </c>
      <c r="I2307" s="7" t="s">
        <v>296</v>
      </c>
      <c r="J2307" s="1">
        <v>1</v>
      </c>
      <c r="K2307" s="1">
        <v>6</v>
      </c>
      <c r="L2307" s="67">
        <f t="shared" ref="L2307:L2370" si="73">IF(G2307=J2307, 1, 0)</f>
        <v>1</v>
      </c>
    </row>
    <row r="2308" spans="1:12" x14ac:dyDescent="0.2">
      <c r="A2308">
        <v>2307</v>
      </c>
      <c r="B2308" s="7" t="s">
        <v>372</v>
      </c>
      <c r="C2308" t="s">
        <v>1316</v>
      </c>
      <c r="D2308" s="65" t="str">
        <f t="shared" si="72"/>
        <v>Y</v>
      </c>
      <c r="E2308" t="s">
        <v>1315</v>
      </c>
      <c r="F2308" s="7" t="s">
        <v>291</v>
      </c>
      <c r="G2308" s="1">
        <v>1</v>
      </c>
      <c r="H2308" s="7" t="s">
        <v>291</v>
      </c>
      <c r="I2308" s="7" t="s">
        <v>296</v>
      </c>
      <c r="J2308" s="1">
        <v>1</v>
      </c>
      <c r="K2308" s="1">
        <v>6</v>
      </c>
      <c r="L2308" s="67">
        <f t="shared" si="73"/>
        <v>1</v>
      </c>
    </row>
    <row r="2309" spans="1:12" x14ac:dyDescent="0.2">
      <c r="A2309">
        <v>2308</v>
      </c>
      <c r="B2309" s="7" t="s">
        <v>372</v>
      </c>
      <c r="C2309" t="s">
        <v>1316</v>
      </c>
      <c r="D2309" s="65" t="str">
        <f t="shared" si="72"/>
        <v>Y</v>
      </c>
      <c r="E2309" t="s">
        <v>1315</v>
      </c>
      <c r="F2309" s="7" t="s">
        <v>291</v>
      </c>
      <c r="G2309" s="1">
        <v>1</v>
      </c>
      <c r="H2309" s="7" t="s">
        <v>291</v>
      </c>
      <c r="I2309" s="7" t="s">
        <v>296</v>
      </c>
      <c r="J2309" s="1">
        <v>1</v>
      </c>
      <c r="K2309" s="1">
        <v>6</v>
      </c>
      <c r="L2309" s="67">
        <f t="shared" si="73"/>
        <v>1</v>
      </c>
    </row>
    <row r="2310" spans="1:12" x14ac:dyDescent="0.2">
      <c r="A2310">
        <v>2309</v>
      </c>
      <c r="B2310" s="7" t="s">
        <v>356</v>
      </c>
      <c r="C2310" t="s">
        <v>1316</v>
      </c>
      <c r="D2310" s="65" t="str">
        <f t="shared" si="72"/>
        <v>Y</v>
      </c>
      <c r="E2310" t="s">
        <v>1315</v>
      </c>
      <c r="F2310" s="7" t="s">
        <v>291</v>
      </c>
      <c r="G2310" s="1">
        <v>1</v>
      </c>
      <c r="H2310" s="7" t="s">
        <v>291</v>
      </c>
      <c r="I2310" s="7" t="s">
        <v>292</v>
      </c>
      <c r="J2310" s="1">
        <v>1</v>
      </c>
      <c r="K2310" s="1">
        <v>5</v>
      </c>
      <c r="L2310" s="67">
        <f t="shared" si="73"/>
        <v>1</v>
      </c>
    </row>
    <row r="2311" spans="1:12" x14ac:dyDescent="0.2">
      <c r="A2311">
        <v>2310</v>
      </c>
      <c r="B2311" s="7" t="s">
        <v>356</v>
      </c>
      <c r="C2311" t="s">
        <v>1316</v>
      </c>
      <c r="D2311" s="65" t="str">
        <f t="shared" si="72"/>
        <v>Y</v>
      </c>
      <c r="E2311" t="s">
        <v>1315</v>
      </c>
      <c r="F2311" s="7" t="s">
        <v>291</v>
      </c>
      <c r="G2311" s="1">
        <v>1</v>
      </c>
      <c r="H2311" s="7" t="s">
        <v>291</v>
      </c>
      <c r="I2311" s="7" t="s">
        <v>292</v>
      </c>
      <c r="J2311" s="1">
        <v>1</v>
      </c>
      <c r="K2311" s="1">
        <v>5</v>
      </c>
      <c r="L2311" s="67">
        <f t="shared" si="73"/>
        <v>1</v>
      </c>
    </row>
    <row r="2312" spans="1:12" x14ac:dyDescent="0.2">
      <c r="A2312">
        <v>2311</v>
      </c>
      <c r="B2312" s="7" t="s">
        <v>372</v>
      </c>
      <c r="C2312" t="s">
        <v>1316</v>
      </c>
      <c r="D2312" s="65" t="str">
        <f t="shared" si="72"/>
        <v>Y</v>
      </c>
      <c r="E2312" t="s">
        <v>1315</v>
      </c>
      <c r="F2312" s="7" t="s">
        <v>291</v>
      </c>
      <c r="G2312" s="1">
        <v>1</v>
      </c>
      <c r="H2312" s="7" t="s">
        <v>291</v>
      </c>
      <c r="I2312" s="7" t="s">
        <v>292</v>
      </c>
      <c r="J2312" s="1">
        <v>1</v>
      </c>
      <c r="K2312" s="1">
        <v>5</v>
      </c>
      <c r="L2312" s="67">
        <f t="shared" si="73"/>
        <v>1</v>
      </c>
    </row>
    <row r="2313" spans="1:12" x14ac:dyDescent="0.2">
      <c r="A2313">
        <v>2312</v>
      </c>
      <c r="B2313" s="7" t="s">
        <v>356</v>
      </c>
      <c r="C2313" t="s">
        <v>1316</v>
      </c>
      <c r="D2313" s="65" t="str">
        <f t="shared" si="72"/>
        <v>Y</v>
      </c>
      <c r="E2313" t="s">
        <v>1315</v>
      </c>
      <c r="F2313" s="7" t="s">
        <v>291</v>
      </c>
      <c r="G2313" s="1">
        <v>1</v>
      </c>
      <c r="H2313" s="7" t="s">
        <v>291</v>
      </c>
      <c r="I2313" s="7" t="s">
        <v>296</v>
      </c>
      <c r="J2313" s="1">
        <v>1</v>
      </c>
      <c r="K2313" s="1">
        <v>6</v>
      </c>
      <c r="L2313" s="67">
        <f t="shared" si="73"/>
        <v>1</v>
      </c>
    </row>
    <row r="2314" spans="1:12" x14ac:dyDescent="0.2">
      <c r="A2314">
        <v>2313</v>
      </c>
      <c r="B2314" s="7" t="s">
        <v>356</v>
      </c>
      <c r="C2314" t="s">
        <v>1316</v>
      </c>
      <c r="D2314" s="65" t="str">
        <f t="shared" si="72"/>
        <v>Y</v>
      </c>
      <c r="E2314" t="s">
        <v>1315</v>
      </c>
      <c r="F2314" s="7" t="s">
        <v>291</v>
      </c>
      <c r="G2314" s="1">
        <v>1</v>
      </c>
      <c r="H2314" s="7" t="s">
        <v>291</v>
      </c>
      <c r="I2314" s="7" t="s">
        <v>296</v>
      </c>
      <c r="J2314" s="1">
        <v>1</v>
      </c>
      <c r="K2314" s="1">
        <v>6</v>
      </c>
      <c r="L2314" s="67">
        <f t="shared" si="73"/>
        <v>1</v>
      </c>
    </row>
    <row r="2315" spans="1:12" x14ac:dyDescent="0.2">
      <c r="A2315">
        <v>2314</v>
      </c>
      <c r="B2315" s="7" t="s">
        <v>372</v>
      </c>
      <c r="C2315" t="s">
        <v>1316</v>
      </c>
      <c r="D2315" s="65" t="str">
        <f t="shared" si="72"/>
        <v>Y</v>
      </c>
      <c r="E2315" t="s">
        <v>1315</v>
      </c>
      <c r="F2315" s="7" t="s">
        <v>291</v>
      </c>
      <c r="G2315" s="1">
        <v>1</v>
      </c>
      <c r="H2315" s="7" t="s">
        <v>291</v>
      </c>
      <c r="I2315" s="7" t="s">
        <v>294</v>
      </c>
      <c r="J2315" s="1">
        <v>1</v>
      </c>
      <c r="K2315" s="1">
        <v>7</v>
      </c>
      <c r="L2315" s="67">
        <f t="shared" si="73"/>
        <v>1</v>
      </c>
    </row>
    <row r="2316" spans="1:12" x14ac:dyDescent="0.2">
      <c r="A2316">
        <v>2315</v>
      </c>
      <c r="B2316" s="7" t="s">
        <v>372</v>
      </c>
      <c r="C2316" t="s">
        <v>1316</v>
      </c>
      <c r="D2316" s="65" t="str">
        <f t="shared" si="72"/>
        <v>Y</v>
      </c>
      <c r="E2316" t="s">
        <v>1315</v>
      </c>
      <c r="F2316" s="7" t="s">
        <v>291</v>
      </c>
      <c r="G2316" s="1">
        <v>1</v>
      </c>
      <c r="H2316" s="7" t="s">
        <v>291</v>
      </c>
      <c r="I2316" s="7" t="s">
        <v>294</v>
      </c>
      <c r="J2316" s="1">
        <v>1</v>
      </c>
      <c r="K2316" s="1">
        <v>7</v>
      </c>
      <c r="L2316" s="67">
        <f t="shared" si="73"/>
        <v>1</v>
      </c>
    </row>
    <row r="2317" spans="1:12" x14ac:dyDescent="0.2">
      <c r="A2317">
        <v>2316</v>
      </c>
      <c r="B2317" s="7" t="s">
        <v>356</v>
      </c>
      <c r="C2317" t="s">
        <v>1316</v>
      </c>
      <c r="D2317" s="65" t="str">
        <f t="shared" si="72"/>
        <v>Y</v>
      </c>
      <c r="E2317" t="s">
        <v>1315</v>
      </c>
      <c r="F2317" s="7" t="s">
        <v>291</v>
      </c>
      <c r="G2317" s="1">
        <v>1</v>
      </c>
      <c r="H2317" s="7" t="s">
        <v>291</v>
      </c>
      <c r="I2317" s="7" t="s">
        <v>296</v>
      </c>
      <c r="J2317" s="1">
        <v>1</v>
      </c>
      <c r="K2317" s="1">
        <v>6</v>
      </c>
      <c r="L2317" s="67">
        <f t="shared" si="73"/>
        <v>1</v>
      </c>
    </row>
    <row r="2318" spans="1:12" x14ac:dyDescent="0.2">
      <c r="A2318">
        <v>2317</v>
      </c>
      <c r="B2318" s="7" t="s">
        <v>356</v>
      </c>
      <c r="C2318" t="s">
        <v>1316</v>
      </c>
      <c r="D2318" s="65" t="str">
        <f t="shared" si="72"/>
        <v>Y</v>
      </c>
      <c r="E2318" t="s">
        <v>1315</v>
      </c>
      <c r="F2318" s="7" t="s">
        <v>291</v>
      </c>
      <c r="G2318" s="1">
        <v>1</v>
      </c>
      <c r="H2318" s="7" t="s">
        <v>291</v>
      </c>
      <c r="I2318" s="7" t="s">
        <v>296</v>
      </c>
      <c r="J2318" s="1">
        <v>1</v>
      </c>
      <c r="K2318" s="1">
        <v>6</v>
      </c>
      <c r="L2318" s="67">
        <f t="shared" si="73"/>
        <v>1</v>
      </c>
    </row>
    <row r="2319" spans="1:12" x14ac:dyDescent="0.2">
      <c r="A2319">
        <v>2318</v>
      </c>
      <c r="B2319" s="7" t="s">
        <v>372</v>
      </c>
      <c r="C2319" t="s">
        <v>1316</v>
      </c>
      <c r="D2319" s="65" t="str">
        <f t="shared" si="72"/>
        <v>Y</v>
      </c>
      <c r="E2319" t="s">
        <v>1315</v>
      </c>
      <c r="F2319" s="7" t="s">
        <v>291</v>
      </c>
      <c r="G2319" s="1">
        <v>1</v>
      </c>
      <c r="H2319" s="7" t="s">
        <v>291</v>
      </c>
      <c r="I2319" s="7" t="s">
        <v>294</v>
      </c>
      <c r="J2319" s="1">
        <v>1</v>
      </c>
      <c r="K2319" s="1">
        <v>7</v>
      </c>
      <c r="L2319" s="67">
        <f t="shared" si="73"/>
        <v>1</v>
      </c>
    </row>
    <row r="2320" spans="1:12" x14ac:dyDescent="0.2">
      <c r="A2320">
        <v>2319</v>
      </c>
      <c r="B2320" s="7" t="s">
        <v>356</v>
      </c>
      <c r="C2320" t="s">
        <v>1316</v>
      </c>
      <c r="D2320" s="65" t="str">
        <f t="shared" si="72"/>
        <v>Y</v>
      </c>
      <c r="E2320" t="s">
        <v>1315</v>
      </c>
      <c r="F2320" s="7" t="s">
        <v>291</v>
      </c>
      <c r="G2320" s="1">
        <v>1</v>
      </c>
      <c r="H2320" s="7" t="s">
        <v>291</v>
      </c>
      <c r="I2320" s="7" t="s">
        <v>292</v>
      </c>
      <c r="J2320" s="1">
        <v>1</v>
      </c>
      <c r="K2320" s="1">
        <v>5</v>
      </c>
      <c r="L2320" s="67">
        <f t="shared" si="73"/>
        <v>1</v>
      </c>
    </row>
    <row r="2321" spans="1:12" x14ac:dyDescent="0.2">
      <c r="A2321">
        <v>2320</v>
      </c>
      <c r="B2321" s="7" t="s">
        <v>372</v>
      </c>
      <c r="C2321" t="s">
        <v>1316</v>
      </c>
      <c r="D2321" s="65" t="str">
        <f t="shared" si="72"/>
        <v>Y</v>
      </c>
      <c r="E2321" t="s">
        <v>1315</v>
      </c>
      <c r="F2321" s="7" t="s">
        <v>291</v>
      </c>
      <c r="G2321" s="1">
        <v>1</v>
      </c>
      <c r="H2321" s="7" t="s">
        <v>291</v>
      </c>
      <c r="I2321" s="7" t="s">
        <v>297</v>
      </c>
      <c r="J2321" s="1">
        <v>1</v>
      </c>
      <c r="K2321" s="1">
        <v>4</v>
      </c>
      <c r="L2321" s="67">
        <f t="shared" si="73"/>
        <v>1</v>
      </c>
    </row>
    <row r="2322" spans="1:12" x14ac:dyDescent="0.2">
      <c r="A2322">
        <v>2321</v>
      </c>
      <c r="B2322" s="7" t="s">
        <v>356</v>
      </c>
      <c r="C2322" t="s">
        <v>1316</v>
      </c>
      <c r="D2322" s="65" t="str">
        <f t="shared" si="72"/>
        <v>Y</v>
      </c>
      <c r="E2322" t="s">
        <v>1315</v>
      </c>
      <c r="F2322" s="7" t="s">
        <v>291</v>
      </c>
      <c r="G2322" s="1">
        <v>1</v>
      </c>
      <c r="H2322" s="7" t="s">
        <v>291</v>
      </c>
      <c r="I2322" s="7" t="s">
        <v>294</v>
      </c>
      <c r="J2322" s="1">
        <v>1</v>
      </c>
      <c r="K2322" s="1">
        <v>7</v>
      </c>
      <c r="L2322" s="67">
        <f t="shared" si="73"/>
        <v>1</v>
      </c>
    </row>
    <row r="2323" spans="1:12" x14ac:dyDescent="0.2">
      <c r="A2323">
        <v>2322</v>
      </c>
      <c r="B2323" s="7" t="s">
        <v>372</v>
      </c>
      <c r="C2323" t="s">
        <v>1316</v>
      </c>
      <c r="D2323" s="65" t="str">
        <f t="shared" si="72"/>
        <v>Y</v>
      </c>
      <c r="E2323" t="s">
        <v>1315</v>
      </c>
      <c r="F2323" s="7" t="s">
        <v>291</v>
      </c>
      <c r="G2323" s="1">
        <v>1</v>
      </c>
      <c r="H2323" s="7" t="s">
        <v>291</v>
      </c>
      <c r="I2323" s="7" t="s">
        <v>296</v>
      </c>
      <c r="J2323" s="1">
        <v>1</v>
      </c>
      <c r="K2323" s="1">
        <v>6</v>
      </c>
      <c r="L2323" s="67">
        <f t="shared" si="73"/>
        <v>1</v>
      </c>
    </row>
    <row r="2324" spans="1:12" x14ac:dyDescent="0.2">
      <c r="A2324">
        <v>2323</v>
      </c>
      <c r="B2324" s="7" t="s">
        <v>356</v>
      </c>
      <c r="C2324" t="s">
        <v>1316</v>
      </c>
      <c r="D2324" s="65" t="str">
        <f t="shared" si="72"/>
        <v>Y</v>
      </c>
      <c r="E2324" t="s">
        <v>1315</v>
      </c>
      <c r="F2324" s="7" t="s">
        <v>291</v>
      </c>
      <c r="G2324" s="1">
        <v>1</v>
      </c>
      <c r="H2324" s="7" t="s">
        <v>291</v>
      </c>
      <c r="I2324" s="7" t="s">
        <v>296</v>
      </c>
      <c r="J2324" s="1">
        <v>1</v>
      </c>
      <c r="K2324" s="1">
        <v>6</v>
      </c>
      <c r="L2324" s="67">
        <f t="shared" si="73"/>
        <v>1</v>
      </c>
    </row>
    <row r="2325" spans="1:12" x14ac:dyDescent="0.2">
      <c r="A2325">
        <v>2324</v>
      </c>
      <c r="B2325" s="7" t="s">
        <v>356</v>
      </c>
      <c r="C2325" t="s">
        <v>1316</v>
      </c>
      <c r="D2325" s="65" t="str">
        <f t="shared" si="72"/>
        <v>Y</v>
      </c>
      <c r="E2325" t="s">
        <v>1315</v>
      </c>
      <c r="F2325" s="7" t="s">
        <v>291</v>
      </c>
      <c r="G2325" s="1">
        <v>1</v>
      </c>
      <c r="H2325" s="7" t="s">
        <v>291</v>
      </c>
      <c r="I2325" s="7" t="s">
        <v>296</v>
      </c>
      <c r="J2325" s="1">
        <v>1</v>
      </c>
      <c r="K2325" s="1">
        <v>6</v>
      </c>
      <c r="L2325" s="67">
        <f t="shared" si="73"/>
        <v>1</v>
      </c>
    </row>
    <row r="2326" spans="1:12" x14ac:dyDescent="0.2">
      <c r="A2326">
        <v>2325</v>
      </c>
      <c r="B2326" s="7" t="s">
        <v>372</v>
      </c>
      <c r="C2326" t="s">
        <v>1316</v>
      </c>
      <c r="D2326" s="65" t="str">
        <f t="shared" si="72"/>
        <v>Y</v>
      </c>
      <c r="E2326" t="s">
        <v>1315</v>
      </c>
      <c r="F2326" s="7" t="s">
        <v>291</v>
      </c>
      <c r="G2326" s="1">
        <v>1</v>
      </c>
      <c r="H2326" s="7" t="s">
        <v>291</v>
      </c>
      <c r="I2326" s="7" t="s">
        <v>294</v>
      </c>
      <c r="J2326" s="1">
        <v>1</v>
      </c>
      <c r="K2326" s="1">
        <v>7</v>
      </c>
      <c r="L2326" s="67">
        <f t="shared" si="73"/>
        <v>1</v>
      </c>
    </row>
    <row r="2327" spans="1:12" x14ac:dyDescent="0.2">
      <c r="A2327">
        <v>2326</v>
      </c>
      <c r="B2327" s="7" t="s">
        <v>372</v>
      </c>
      <c r="C2327" t="s">
        <v>1316</v>
      </c>
      <c r="D2327" s="65" t="str">
        <f t="shared" si="72"/>
        <v>Y</v>
      </c>
      <c r="E2327" t="s">
        <v>1315</v>
      </c>
      <c r="F2327" s="7" t="s">
        <v>291</v>
      </c>
      <c r="G2327" s="1">
        <v>1</v>
      </c>
      <c r="H2327" s="7" t="s">
        <v>291</v>
      </c>
      <c r="I2327" s="7" t="s">
        <v>294</v>
      </c>
      <c r="J2327" s="1">
        <v>1</v>
      </c>
      <c r="K2327" s="1">
        <v>7</v>
      </c>
      <c r="L2327" s="67">
        <f t="shared" si="73"/>
        <v>1</v>
      </c>
    </row>
    <row r="2328" spans="1:12" x14ac:dyDescent="0.2">
      <c r="A2328">
        <v>2327</v>
      </c>
      <c r="B2328" s="7" t="s">
        <v>356</v>
      </c>
      <c r="C2328" t="s">
        <v>1316</v>
      </c>
      <c r="D2328" s="65" t="str">
        <f t="shared" si="72"/>
        <v>Y</v>
      </c>
      <c r="E2328" t="s">
        <v>1315</v>
      </c>
      <c r="F2328" s="7" t="s">
        <v>291</v>
      </c>
      <c r="G2328" s="1">
        <v>1</v>
      </c>
      <c r="H2328" s="7" t="s">
        <v>291</v>
      </c>
      <c r="I2328" s="7" t="s">
        <v>294</v>
      </c>
      <c r="J2328" s="1">
        <v>1</v>
      </c>
      <c r="K2328" s="1">
        <v>7</v>
      </c>
      <c r="L2328" s="67">
        <f t="shared" si="73"/>
        <v>1</v>
      </c>
    </row>
    <row r="2329" spans="1:12" x14ac:dyDescent="0.2">
      <c r="A2329">
        <v>2328</v>
      </c>
      <c r="B2329" s="7" t="s">
        <v>372</v>
      </c>
      <c r="C2329" t="s">
        <v>1316</v>
      </c>
      <c r="D2329" s="65" t="str">
        <f t="shared" si="72"/>
        <v>Y</v>
      </c>
      <c r="E2329" t="s">
        <v>1315</v>
      </c>
      <c r="F2329" s="7" t="s">
        <v>291</v>
      </c>
      <c r="G2329" s="1">
        <v>1</v>
      </c>
      <c r="H2329" s="7" t="s">
        <v>291</v>
      </c>
      <c r="I2329" s="7" t="s">
        <v>292</v>
      </c>
      <c r="J2329" s="1">
        <v>1</v>
      </c>
      <c r="K2329" s="1">
        <v>5</v>
      </c>
      <c r="L2329" s="67">
        <f t="shared" si="73"/>
        <v>1</v>
      </c>
    </row>
    <row r="2330" spans="1:12" x14ac:dyDescent="0.2">
      <c r="A2330">
        <v>2329</v>
      </c>
      <c r="B2330" s="7" t="s">
        <v>372</v>
      </c>
      <c r="C2330" t="s">
        <v>1316</v>
      </c>
      <c r="D2330" s="65" t="str">
        <f t="shared" si="72"/>
        <v>Y</v>
      </c>
      <c r="E2330" t="s">
        <v>1315</v>
      </c>
      <c r="F2330" s="7" t="s">
        <v>291</v>
      </c>
      <c r="G2330" s="1">
        <v>1</v>
      </c>
      <c r="H2330" s="7" t="s">
        <v>291</v>
      </c>
      <c r="I2330" s="7" t="s">
        <v>292</v>
      </c>
      <c r="J2330" s="1">
        <v>1</v>
      </c>
      <c r="K2330" s="1">
        <v>5</v>
      </c>
      <c r="L2330" s="67">
        <f t="shared" si="73"/>
        <v>1</v>
      </c>
    </row>
    <row r="2331" spans="1:12" x14ac:dyDescent="0.2">
      <c r="A2331">
        <v>2330</v>
      </c>
      <c r="B2331" s="7" t="s">
        <v>372</v>
      </c>
      <c r="C2331" t="s">
        <v>1316</v>
      </c>
      <c r="D2331" s="65" t="str">
        <f t="shared" si="72"/>
        <v>Y</v>
      </c>
      <c r="E2331" t="s">
        <v>1315</v>
      </c>
      <c r="F2331" s="7" t="s">
        <v>291</v>
      </c>
      <c r="G2331" s="1">
        <v>1</v>
      </c>
      <c r="H2331" s="7" t="s">
        <v>291</v>
      </c>
      <c r="I2331" s="7" t="s">
        <v>292</v>
      </c>
      <c r="J2331" s="1">
        <v>1</v>
      </c>
      <c r="K2331" s="1">
        <v>5</v>
      </c>
      <c r="L2331" s="67">
        <f t="shared" si="73"/>
        <v>1</v>
      </c>
    </row>
    <row r="2332" spans="1:12" x14ac:dyDescent="0.2">
      <c r="A2332">
        <v>2331</v>
      </c>
      <c r="B2332" s="7" t="s">
        <v>356</v>
      </c>
      <c r="C2332" t="s">
        <v>1316</v>
      </c>
      <c r="D2332" s="65" t="str">
        <f t="shared" si="72"/>
        <v>Y</v>
      </c>
      <c r="E2332" t="s">
        <v>1315</v>
      </c>
      <c r="F2332" s="7" t="s">
        <v>291</v>
      </c>
      <c r="G2332" s="1">
        <v>1</v>
      </c>
      <c r="H2332" s="7" t="s">
        <v>291</v>
      </c>
      <c r="I2332" s="7" t="s">
        <v>296</v>
      </c>
      <c r="J2332" s="1">
        <v>1</v>
      </c>
      <c r="K2332" s="1">
        <v>6</v>
      </c>
      <c r="L2332" s="67">
        <f t="shared" si="73"/>
        <v>1</v>
      </c>
    </row>
    <row r="2333" spans="1:12" x14ac:dyDescent="0.2">
      <c r="A2333">
        <v>2332</v>
      </c>
      <c r="B2333" s="7" t="s">
        <v>372</v>
      </c>
      <c r="C2333" t="s">
        <v>1316</v>
      </c>
      <c r="D2333" s="65" t="str">
        <f t="shared" si="72"/>
        <v>Y</v>
      </c>
      <c r="E2333" t="s">
        <v>1315</v>
      </c>
      <c r="F2333" s="7" t="s">
        <v>291</v>
      </c>
      <c r="G2333" s="1">
        <v>1</v>
      </c>
      <c r="H2333" s="7" t="s">
        <v>291</v>
      </c>
      <c r="I2333" s="7" t="s">
        <v>292</v>
      </c>
      <c r="J2333" s="1">
        <v>1</v>
      </c>
      <c r="K2333" s="1">
        <v>5</v>
      </c>
      <c r="L2333" s="67">
        <f t="shared" si="73"/>
        <v>1</v>
      </c>
    </row>
    <row r="2334" spans="1:12" x14ac:dyDescent="0.2">
      <c r="A2334">
        <v>2333</v>
      </c>
      <c r="B2334" s="7" t="s">
        <v>356</v>
      </c>
      <c r="C2334" t="s">
        <v>1316</v>
      </c>
      <c r="D2334" s="65" t="str">
        <f t="shared" si="72"/>
        <v>Y</v>
      </c>
      <c r="E2334" t="s">
        <v>1315</v>
      </c>
      <c r="F2334" s="7" t="s">
        <v>291</v>
      </c>
      <c r="G2334" s="1">
        <v>1</v>
      </c>
      <c r="H2334" s="7" t="s">
        <v>291</v>
      </c>
      <c r="I2334" s="7" t="s">
        <v>292</v>
      </c>
      <c r="J2334" s="1">
        <v>1</v>
      </c>
      <c r="K2334" s="1">
        <v>5</v>
      </c>
      <c r="L2334" s="67">
        <f t="shared" si="73"/>
        <v>1</v>
      </c>
    </row>
    <row r="2335" spans="1:12" x14ac:dyDescent="0.2">
      <c r="A2335">
        <v>2334</v>
      </c>
      <c r="B2335" s="7" t="s">
        <v>356</v>
      </c>
      <c r="C2335" t="s">
        <v>1316</v>
      </c>
      <c r="D2335" s="65" t="str">
        <f t="shared" si="72"/>
        <v>Y</v>
      </c>
      <c r="E2335" t="s">
        <v>1315</v>
      </c>
      <c r="F2335" s="7" t="s">
        <v>291</v>
      </c>
      <c r="G2335" s="1">
        <v>1</v>
      </c>
      <c r="H2335" s="7" t="s">
        <v>291</v>
      </c>
      <c r="I2335" s="7" t="s">
        <v>296</v>
      </c>
      <c r="J2335" s="1">
        <v>1</v>
      </c>
      <c r="K2335" s="1">
        <v>6</v>
      </c>
      <c r="L2335" s="67">
        <f t="shared" si="73"/>
        <v>1</v>
      </c>
    </row>
    <row r="2336" spans="1:12" x14ac:dyDescent="0.2">
      <c r="A2336">
        <v>2335</v>
      </c>
      <c r="B2336" s="7" t="s">
        <v>372</v>
      </c>
      <c r="C2336" t="s">
        <v>1316</v>
      </c>
      <c r="D2336" s="65" t="str">
        <f t="shared" si="72"/>
        <v>Y</v>
      </c>
      <c r="E2336" t="s">
        <v>1315</v>
      </c>
      <c r="F2336" s="7" t="s">
        <v>291</v>
      </c>
      <c r="G2336" s="1">
        <v>1</v>
      </c>
      <c r="H2336" s="7" t="s">
        <v>282</v>
      </c>
      <c r="I2336" s="7" t="s">
        <v>296</v>
      </c>
      <c r="J2336" s="4" t="s">
        <v>282</v>
      </c>
      <c r="K2336" s="1">
        <v>6</v>
      </c>
      <c r="L2336" s="67">
        <f t="shared" si="73"/>
        <v>0</v>
      </c>
    </row>
    <row r="2337" spans="1:12" x14ac:dyDescent="0.2">
      <c r="A2337">
        <v>2336</v>
      </c>
      <c r="B2337" s="7" t="s">
        <v>372</v>
      </c>
      <c r="C2337" t="s">
        <v>1316</v>
      </c>
      <c r="D2337" s="65" t="str">
        <f t="shared" si="72"/>
        <v>Y</v>
      </c>
      <c r="E2337" t="s">
        <v>1315</v>
      </c>
      <c r="F2337" s="7" t="s">
        <v>291</v>
      </c>
      <c r="G2337" s="1">
        <v>1</v>
      </c>
      <c r="H2337" s="7" t="s">
        <v>291</v>
      </c>
      <c r="I2337" s="7" t="s">
        <v>296</v>
      </c>
      <c r="J2337" s="1">
        <v>1</v>
      </c>
      <c r="K2337" s="1">
        <v>6</v>
      </c>
      <c r="L2337" s="67">
        <f t="shared" si="73"/>
        <v>1</v>
      </c>
    </row>
    <row r="2338" spans="1:12" x14ac:dyDescent="0.2">
      <c r="A2338">
        <v>2337</v>
      </c>
      <c r="B2338" s="7" t="s">
        <v>356</v>
      </c>
      <c r="C2338" t="s">
        <v>1316</v>
      </c>
      <c r="D2338" s="65" t="str">
        <f t="shared" si="72"/>
        <v>Y</v>
      </c>
      <c r="E2338" t="s">
        <v>1315</v>
      </c>
      <c r="F2338" s="7" t="s">
        <v>291</v>
      </c>
      <c r="G2338" s="1">
        <v>1</v>
      </c>
      <c r="H2338" s="7" t="s">
        <v>291</v>
      </c>
      <c r="I2338" s="7" t="s">
        <v>296</v>
      </c>
      <c r="J2338" s="1">
        <v>1</v>
      </c>
      <c r="K2338" s="1">
        <v>6</v>
      </c>
      <c r="L2338" s="67">
        <f t="shared" si="73"/>
        <v>1</v>
      </c>
    </row>
    <row r="2339" spans="1:12" x14ac:dyDescent="0.2">
      <c r="A2339">
        <v>2338</v>
      </c>
      <c r="B2339" s="7" t="s">
        <v>372</v>
      </c>
      <c r="C2339" t="s">
        <v>1316</v>
      </c>
      <c r="D2339" s="65" t="str">
        <f t="shared" si="72"/>
        <v>Y</v>
      </c>
      <c r="E2339" t="s">
        <v>1315</v>
      </c>
      <c r="F2339" s="7" t="s">
        <v>291</v>
      </c>
      <c r="G2339" s="1">
        <v>1</v>
      </c>
      <c r="H2339" s="7" t="s">
        <v>291</v>
      </c>
      <c r="I2339" s="7" t="s">
        <v>296</v>
      </c>
      <c r="J2339" s="1">
        <v>1</v>
      </c>
      <c r="K2339" s="1">
        <v>6</v>
      </c>
      <c r="L2339" s="67">
        <f t="shared" si="73"/>
        <v>1</v>
      </c>
    </row>
    <row r="2340" spans="1:12" x14ac:dyDescent="0.2">
      <c r="A2340">
        <v>2339</v>
      </c>
      <c r="B2340" s="7" t="s">
        <v>356</v>
      </c>
      <c r="C2340" t="s">
        <v>1316</v>
      </c>
      <c r="D2340" s="65" t="str">
        <f t="shared" si="72"/>
        <v>Y</v>
      </c>
      <c r="E2340" t="s">
        <v>1315</v>
      </c>
      <c r="F2340" s="7" t="s">
        <v>291</v>
      </c>
      <c r="G2340" s="1">
        <v>1</v>
      </c>
      <c r="H2340" s="7" t="s">
        <v>291</v>
      </c>
      <c r="I2340" s="7" t="s">
        <v>292</v>
      </c>
      <c r="J2340" s="1">
        <v>1</v>
      </c>
      <c r="K2340" s="1">
        <v>5</v>
      </c>
      <c r="L2340" s="67">
        <f t="shared" si="73"/>
        <v>1</v>
      </c>
    </row>
    <row r="2341" spans="1:12" x14ac:dyDescent="0.2">
      <c r="A2341">
        <v>2340</v>
      </c>
      <c r="B2341" s="7" t="s">
        <v>372</v>
      </c>
      <c r="C2341" t="s">
        <v>1316</v>
      </c>
      <c r="D2341" s="65" t="str">
        <f t="shared" si="72"/>
        <v>Y</v>
      </c>
      <c r="E2341" t="s">
        <v>1315</v>
      </c>
      <c r="F2341" s="7" t="s">
        <v>291</v>
      </c>
      <c r="G2341" s="1">
        <v>1</v>
      </c>
      <c r="H2341" s="7" t="s">
        <v>291</v>
      </c>
      <c r="I2341" s="7" t="s">
        <v>294</v>
      </c>
      <c r="J2341" s="1">
        <v>1</v>
      </c>
      <c r="K2341" s="1">
        <v>7</v>
      </c>
      <c r="L2341" s="67">
        <f t="shared" si="73"/>
        <v>1</v>
      </c>
    </row>
    <row r="2342" spans="1:12" x14ac:dyDescent="0.2">
      <c r="A2342">
        <v>2341</v>
      </c>
      <c r="B2342" s="7" t="s">
        <v>372</v>
      </c>
      <c r="C2342" t="s">
        <v>1316</v>
      </c>
      <c r="D2342" s="65" t="str">
        <f t="shared" si="72"/>
        <v>Y</v>
      </c>
      <c r="E2342" t="s">
        <v>1315</v>
      </c>
      <c r="F2342" s="7" t="s">
        <v>291</v>
      </c>
      <c r="G2342" s="1">
        <v>1</v>
      </c>
      <c r="H2342" s="7" t="s">
        <v>291</v>
      </c>
      <c r="I2342" s="7" t="s">
        <v>296</v>
      </c>
      <c r="J2342" s="1">
        <v>1</v>
      </c>
      <c r="K2342" s="1">
        <v>6</v>
      </c>
      <c r="L2342" s="67">
        <f t="shared" si="73"/>
        <v>1</v>
      </c>
    </row>
    <row r="2343" spans="1:12" x14ac:dyDescent="0.2">
      <c r="A2343">
        <v>2342</v>
      </c>
      <c r="B2343" s="7" t="s">
        <v>356</v>
      </c>
      <c r="C2343" t="s">
        <v>1316</v>
      </c>
      <c r="D2343" s="65" t="str">
        <f t="shared" si="72"/>
        <v>Y</v>
      </c>
      <c r="E2343" t="s">
        <v>1315</v>
      </c>
      <c r="F2343" s="7" t="s">
        <v>291</v>
      </c>
      <c r="G2343" s="1">
        <v>1</v>
      </c>
      <c r="H2343" s="7" t="s">
        <v>291</v>
      </c>
      <c r="I2343" s="7" t="s">
        <v>296</v>
      </c>
      <c r="J2343" s="1">
        <v>1</v>
      </c>
      <c r="K2343" s="1">
        <v>6</v>
      </c>
      <c r="L2343" s="67">
        <f t="shared" si="73"/>
        <v>1</v>
      </c>
    </row>
    <row r="2344" spans="1:12" x14ac:dyDescent="0.2">
      <c r="A2344">
        <v>2343</v>
      </c>
      <c r="B2344" s="7" t="s">
        <v>372</v>
      </c>
      <c r="C2344" t="s">
        <v>1316</v>
      </c>
      <c r="D2344" s="65" t="str">
        <f t="shared" si="72"/>
        <v>Y</v>
      </c>
      <c r="E2344" t="s">
        <v>1315</v>
      </c>
      <c r="F2344" s="7" t="s">
        <v>291</v>
      </c>
      <c r="G2344" s="1">
        <v>1</v>
      </c>
      <c r="H2344" s="7" t="s">
        <v>291</v>
      </c>
      <c r="I2344" s="7" t="s">
        <v>296</v>
      </c>
      <c r="J2344" s="1">
        <v>1</v>
      </c>
      <c r="K2344" s="1">
        <v>6</v>
      </c>
      <c r="L2344" s="67">
        <f t="shared" si="73"/>
        <v>1</v>
      </c>
    </row>
    <row r="2345" spans="1:12" x14ac:dyDescent="0.2">
      <c r="A2345">
        <v>2344</v>
      </c>
      <c r="B2345" s="7" t="s">
        <v>356</v>
      </c>
      <c r="C2345" t="s">
        <v>1316</v>
      </c>
      <c r="D2345" s="65" t="str">
        <f t="shared" si="72"/>
        <v>Y</v>
      </c>
      <c r="E2345" t="s">
        <v>1315</v>
      </c>
      <c r="F2345" s="7" t="s">
        <v>291</v>
      </c>
      <c r="G2345" s="1">
        <v>1</v>
      </c>
      <c r="H2345" s="7" t="s">
        <v>291</v>
      </c>
      <c r="I2345" s="7" t="s">
        <v>296</v>
      </c>
      <c r="J2345" s="1">
        <v>1</v>
      </c>
      <c r="K2345" s="1">
        <v>6</v>
      </c>
      <c r="L2345" s="67">
        <f t="shared" si="73"/>
        <v>1</v>
      </c>
    </row>
    <row r="2346" spans="1:12" x14ac:dyDescent="0.2">
      <c r="A2346">
        <v>2345</v>
      </c>
      <c r="B2346" s="7" t="s">
        <v>356</v>
      </c>
      <c r="C2346" t="s">
        <v>1316</v>
      </c>
      <c r="D2346" s="65" t="str">
        <f t="shared" si="72"/>
        <v>Y</v>
      </c>
      <c r="E2346" t="s">
        <v>1315</v>
      </c>
      <c r="F2346" s="7" t="s">
        <v>291</v>
      </c>
      <c r="G2346" s="1">
        <v>1</v>
      </c>
      <c r="H2346" s="7" t="s">
        <v>291</v>
      </c>
      <c r="I2346" s="7" t="s">
        <v>296</v>
      </c>
      <c r="J2346" s="1">
        <v>1</v>
      </c>
      <c r="K2346" s="1">
        <v>6</v>
      </c>
      <c r="L2346" s="67">
        <f t="shared" si="73"/>
        <v>1</v>
      </c>
    </row>
    <row r="2347" spans="1:12" x14ac:dyDescent="0.2">
      <c r="A2347">
        <v>2346</v>
      </c>
      <c r="B2347" s="7" t="s">
        <v>372</v>
      </c>
      <c r="C2347" t="s">
        <v>1316</v>
      </c>
      <c r="D2347" s="65" t="str">
        <f t="shared" si="72"/>
        <v>Y</v>
      </c>
      <c r="E2347" t="s">
        <v>1315</v>
      </c>
      <c r="F2347" s="7" t="s">
        <v>291</v>
      </c>
      <c r="G2347" s="1">
        <v>1</v>
      </c>
      <c r="H2347" s="7" t="s">
        <v>291</v>
      </c>
      <c r="I2347" s="7" t="s">
        <v>292</v>
      </c>
      <c r="J2347" s="1">
        <v>1</v>
      </c>
      <c r="K2347" s="1">
        <v>5</v>
      </c>
      <c r="L2347" s="67">
        <f t="shared" si="73"/>
        <v>1</v>
      </c>
    </row>
    <row r="2348" spans="1:12" x14ac:dyDescent="0.2">
      <c r="A2348">
        <v>2347</v>
      </c>
      <c r="B2348" s="7" t="s">
        <v>356</v>
      </c>
      <c r="C2348" t="s">
        <v>1316</v>
      </c>
      <c r="D2348" s="65" t="str">
        <f t="shared" si="72"/>
        <v>Y</v>
      </c>
      <c r="E2348" t="s">
        <v>1315</v>
      </c>
      <c r="F2348" s="7" t="s">
        <v>291</v>
      </c>
      <c r="G2348" s="1">
        <v>1</v>
      </c>
      <c r="H2348" s="7" t="s">
        <v>291</v>
      </c>
      <c r="I2348" s="7" t="s">
        <v>296</v>
      </c>
      <c r="J2348" s="1">
        <v>1</v>
      </c>
      <c r="K2348" s="1">
        <v>6</v>
      </c>
      <c r="L2348" s="67">
        <f t="shared" si="73"/>
        <v>1</v>
      </c>
    </row>
    <row r="2349" spans="1:12" x14ac:dyDescent="0.2">
      <c r="A2349">
        <v>2348</v>
      </c>
      <c r="B2349" s="7" t="s">
        <v>372</v>
      </c>
      <c r="C2349" t="s">
        <v>1316</v>
      </c>
      <c r="D2349" s="65" t="str">
        <f t="shared" si="72"/>
        <v>Y</v>
      </c>
      <c r="E2349" t="s">
        <v>1315</v>
      </c>
      <c r="F2349" s="7" t="s">
        <v>291</v>
      </c>
      <c r="G2349" s="1">
        <v>1</v>
      </c>
      <c r="H2349" s="7" t="s">
        <v>291</v>
      </c>
      <c r="I2349" s="7" t="s">
        <v>296</v>
      </c>
      <c r="J2349" s="1">
        <v>1</v>
      </c>
      <c r="K2349" s="1">
        <v>6</v>
      </c>
      <c r="L2349" s="67">
        <f t="shared" si="73"/>
        <v>1</v>
      </c>
    </row>
    <row r="2350" spans="1:12" x14ac:dyDescent="0.2">
      <c r="A2350">
        <v>2349</v>
      </c>
      <c r="B2350" s="7" t="s">
        <v>356</v>
      </c>
      <c r="C2350" t="s">
        <v>1316</v>
      </c>
      <c r="D2350" s="65" t="str">
        <f t="shared" si="72"/>
        <v>Y</v>
      </c>
      <c r="E2350" t="s">
        <v>1315</v>
      </c>
      <c r="F2350" s="7" t="s">
        <v>291</v>
      </c>
      <c r="G2350" s="1">
        <v>1</v>
      </c>
      <c r="H2350" s="7" t="s">
        <v>291</v>
      </c>
      <c r="I2350" s="7" t="s">
        <v>292</v>
      </c>
      <c r="J2350" s="1">
        <v>1</v>
      </c>
      <c r="K2350" s="1">
        <v>5</v>
      </c>
      <c r="L2350" s="67">
        <f t="shared" si="73"/>
        <v>1</v>
      </c>
    </row>
    <row r="2351" spans="1:12" x14ac:dyDescent="0.2">
      <c r="A2351">
        <v>2350</v>
      </c>
      <c r="B2351" s="7" t="s">
        <v>372</v>
      </c>
      <c r="C2351" t="s">
        <v>1316</v>
      </c>
      <c r="D2351" s="65" t="str">
        <f t="shared" si="72"/>
        <v>Y</v>
      </c>
      <c r="E2351" t="s">
        <v>1315</v>
      </c>
      <c r="F2351" s="7" t="s">
        <v>291</v>
      </c>
      <c r="G2351" s="1">
        <v>1</v>
      </c>
      <c r="H2351" s="7" t="s">
        <v>291</v>
      </c>
      <c r="I2351" s="7" t="s">
        <v>294</v>
      </c>
      <c r="J2351" s="1">
        <v>1</v>
      </c>
      <c r="K2351" s="1">
        <v>7</v>
      </c>
      <c r="L2351" s="67">
        <f t="shared" si="73"/>
        <v>1</v>
      </c>
    </row>
    <row r="2352" spans="1:12" x14ac:dyDescent="0.2">
      <c r="A2352">
        <v>2351</v>
      </c>
      <c r="B2352" s="7" t="s">
        <v>356</v>
      </c>
      <c r="C2352" t="s">
        <v>1316</v>
      </c>
      <c r="D2352" s="65" t="str">
        <f t="shared" si="72"/>
        <v>Y</v>
      </c>
      <c r="E2352" t="s">
        <v>1315</v>
      </c>
      <c r="F2352" s="7" t="s">
        <v>291</v>
      </c>
      <c r="G2352" s="1">
        <v>1</v>
      </c>
      <c r="H2352" s="7" t="s">
        <v>291</v>
      </c>
      <c r="I2352" s="7" t="s">
        <v>296</v>
      </c>
      <c r="J2352" s="1">
        <v>1</v>
      </c>
      <c r="K2352" s="1">
        <v>6</v>
      </c>
      <c r="L2352" s="67">
        <f t="shared" si="73"/>
        <v>1</v>
      </c>
    </row>
    <row r="2353" spans="1:12" x14ac:dyDescent="0.2">
      <c r="A2353">
        <v>2352</v>
      </c>
      <c r="B2353" s="7" t="s">
        <v>372</v>
      </c>
      <c r="C2353" t="s">
        <v>1316</v>
      </c>
      <c r="D2353" s="65" t="str">
        <f t="shared" si="72"/>
        <v>Y</v>
      </c>
      <c r="E2353" t="s">
        <v>1315</v>
      </c>
      <c r="F2353" s="7" t="s">
        <v>291</v>
      </c>
      <c r="G2353" s="1">
        <v>1</v>
      </c>
      <c r="H2353" s="7" t="s">
        <v>291</v>
      </c>
      <c r="I2353" s="7" t="s">
        <v>296</v>
      </c>
      <c r="J2353" s="1">
        <v>1</v>
      </c>
      <c r="K2353" s="1">
        <v>6</v>
      </c>
      <c r="L2353" s="67">
        <f t="shared" si="73"/>
        <v>1</v>
      </c>
    </row>
    <row r="2354" spans="1:12" x14ac:dyDescent="0.2">
      <c r="A2354">
        <v>2353</v>
      </c>
      <c r="B2354" s="7" t="s">
        <v>372</v>
      </c>
      <c r="C2354" t="s">
        <v>1316</v>
      </c>
      <c r="D2354" s="65" t="str">
        <f t="shared" si="72"/>
        <v>Y</v>
      </c>
      <c r="E2354" t="s">
        <v>1315</v>
      </c>
      <c r="F2354" s="7" t="s">
        <v>291</v>
      </c>
      <c r="G2354" s="1">
        <v>1</v>
      </c>
      <c r="H2354" s="7" t="s">
        <v>291</v>
      </c>
      <c r="I2354" s="7" t="s">
        <v>294</v>
      </c>
      <c r="J2354" s="1">
        <v>1</v>
      </c>
      <c r="K2354" s="1">
        <v>7</v>
      </c>
      <c r="L2354" s="67">
        <f t="shared" si="73"/>
        <v>1</v>
      </c>
    </row>
    <row r="2355" spans="1:12" x14ac:dyDescent="0.2">
      <c r="A2355">
        <v>2354</v>
      </c>
      <c r="B2355" s="7" t="s">
        <v>356</v>
      </c>
      <c r="C2355" t="s">
        <v>1316</v>
      </c>
      <c r="D2355" s="65" t="str">
        <f t="shared" si="72"/>
        <v>Y</v>
      </c>
      <c r="E2355" t="s">
        <v>1315</v>
      </c>
      <c r="F2355" s="7" t="s">
        <v>291</v>
      </c>
      <c r="G2355" s="1">
        <v>1</v>
      </c>
      <c r="H2355" s="7" t="s">
        <v>291</v>
      </c>
      <c r="I2355" s="7" t="s">
        <v>292</v>
      </c>
      <c r="J2355" s="1">
        <v>1</v>
      </c>
      <c r="K2355" s="1">
        <v>5</v>
      </c>
      <c r="L2355" s="67">
        <f t="shared" si="73"/>
        <v>1</v>
      </c>
    </row>
    <row r="2356" spans="1:12" x14ac:dyDescent="0.2">
      <c r="A2356">
        <v>2355</v>
      </c>
      <c r="B2356" s="7" t="s">
        <v>356</v>
      </c>
      <c r="C2356" t="s">
        <v>1316</v>
      </c>
      <c r="D2356" s="65" t="str">
        <f t="shared" si="72"/>
        <v>Y</v>
      </c>
      <c r="E2356" t="s">
        <v>1315</v>
      </c>
      <c r="F2356" s="7" t="s">
        <v>291</v>
      </c>
      <c r="G2356" s="1">
        <v>1</v>
      </c>
      <c r="H2356" s="7" t="s">
        <v>291</v>
      </c>
      <c r="I2356" s="7" t="s">
        <v>296</v>
      </c>
      <c r="J2356" s="1">
        <v>1</v>
      </c>
      <c r="K2356" s="1">
        <v>6</v>
      </c>
      <c r="L2356" s="67">
        <f t="shared" si="73"/>
        <v>1</v>
      </c>
    </row>
    <row r="2357" spans="1:12" x14ac:dyDescent="0.2">
      <c r="A2357">
        <v>2356</v>
      </c>
      <c r="B2357" s="7" t="s">
        <v>372</v>
      </c>
      <c r="C2357" t="s">
        <v>1316</v>
      </c>
      <c r="D2357" s="65" t="str">
        <f t="shared" si="72"/>
        <v>Y</v>
      </c>
      <c r="E2357" t="s">
        <v>1315</v>
      </c>
      <c r="F2357" s="7" t="s">
        <v>291</v>
      </c>
      <c r="G2357" s="1">
        <v>1</v>
      </c>
      <c r="H2357" s="7" t="s">
        <v>291</v>
      </c>
      <c r="I2357" s="7" t="s">
        <v>296</v>
      </c>
      <c r="J2357" s="1">
        <v>1</v>
      </c>
      <c r="K2357" s="1">
        <v>6</v>
      </c>
      <c r="L2357" s="67">
        <f t="shared" si="73"/>
        <v>1</v>
      </c>
    </row>
    <row r="2358" spans="1:12" x14ac:dyDescent="0.2">
      <c r="A2358">
        <v>2357</v>
      </c>
      <c r="B2358" s="7" t="s">
        <v>372</v>
      </c>
      <c r="C2358" t="s">
        <v>1316</v>
      </c>
      <c r="D2358" s="65" t="str">
        <f t="shared" si="72"/>
        <v>Y</v>
      </c>
      <c r="E2358" t="s">
        <v>1315</v>
      </c>
      <c r="F2358" s="7" t="s">
        <v>291</v>
      </c>
      <c r="G2358" s="1">
        <v>1</v>
      </c>
      <c r="H2358" s="7" t="s">
        <v>291</v>
      </c>
      <c r="I2358" s="7" t="s">
        <v>294</v>
      </c>
      <c r="J2358" s="1">
        <v>1</v>
      </c>
      <c r="K2358" s="1">
        <v>7</v>
      </c>
      <c r="L2358" s="67">
        <f t="shared" si="73"/>
        <v>1</v>
      </c>
    </row>
    <row r="2359" spans="1:12" x14ac:dyDescent="0.2">
      <c r="A2359">
        <v>2358</v>
      </c>
      <c r="B2359" s="7" t="s">
        <v>356</v>
      </c>
      <c r="C2359" t="s">
        <v>1316</v>
      </c>
      <c r="D2359" s="65" t="str">
        <f t="shared" si="72"/>
        <v>Y</v>
      </c>
      <c r="E2359" t="s">
        <v>1315</v>
      </c>
      <c r="F2359" s="7" t="s">
        <v>291</v>
      </c>
      <c r="G2359" s="1">
        <v>1</v>
      </c>
      <c r="H2359" s="7" t="s">
        <v>291</v>
      </c>
      <c r="I2359" s="7" t="s">
        <v>296</v>
      </c>
      <c r="J2359" s="1">
        <v>1</v>
      </c>
      <c r="K2359" s="1">
        <v>6</v>
      </c>
      <c r="L2359" s="67">
        <f t="shared" si="73"/>
        <v>1</v>
      </c>
    </row>
    <row r="2360" spans="1:12" x14ac:dyDescent="0.2">
      <c r="A2360">
        <v>2359</v>
      </c>
      <c r="B2360" s="7" t="s">
        <v>372</v>
      </c>
      <c r="C2360" t="s">
        <v>1316</v>
      </c>
      <c r="D2360" s="65" t="str">
        <f t="shared" si="72"/>
        <v>Y</v>
      </c>
      <c r="E2360" t="s">
        <v>1315</v>
      </c>
      <c r="F2360" s="7" t="s">
        <v>291</v>
      </c>
      <c r="G2360" s="1">
        <v>1</v>
      </c>
      <c r="H2360" s="7" t="s">
        <v>301</v>
      </c>
      <c r="I2360" s="7" t="s">
        <v>296</v>
      </c>
      <c r="J2360" s="1">
        <v>5</v>
      </c>
      <c r="K2360" s="1">
        <v>6</v>
      </c>
      <c r="L2360" s="67">
        <f t="shared" si="73"/>
        <v>0</v>
      </c>
    </row>
    <row r="2361" spans="1:12" x14ac:dyDescent="0.2">
      <c r="A2361">
        <v>2360</v>
      </c>
      <c r="B2361" s="7" t="s">
        <v>356</v>
      </c>
      <c r="C2361" t="s">
        <v>1316</v>
      </c>
      <c r="D2361" s="65" t="str">
        <f t="shared" si="72"/>
        <v>Y</v>
      </c>
      <c r="E2361" t="s">
        <v>1315</v>
      </c>
      <c r="F2361" s="7" t="s">
        <v>291</v>
      </c>
      <c r="G2361" s="1">
        <v>1</v>
      </c>
      <c r="H2361" s="7" t="s">
        <v>291</v>
      </c>
      <c r="I2361" s="7" t="s">
        <v>294</v>
      </c>
      <c r="J2361" s="1">
        <v>1</v>
      </c>
      <c r="K2361" s="1">
        <v>7</v>
      </c>
      <c r="L2361" s="67">
        <f t="shared" si="73"/>
        <v>1</v>
      </c>
    </row>
    <row r="2362" spans="1:12" x14ac:dyDescent="0.2">
      <c r="A2362">
        <v>2361</v>
      </c>
      <c r="B2362" s="7" t="s">
        <v>356</v>
      </c>
      <c r="C2362" t="s">
        <v>1316</v>
      </c>
      <c r="D2362" s="65" t="str">
        <f t="shared" si="72"/>
        <v>Y</v>
      </c>
      <c r="E2362" t="s">
        <v>1315</v>
      </c>
      <c r="F2362" s="7" t="s">
        <v>291</v>
      </c>
      <c r="G2362" s="1">
        <v>1</v>
      </c>
      <c r="H2362" s="7" t="s">
        <v>291</v>
      </c>
      <c r="I2362" s="7" t="s">
        <v>296</v>
      </c>
      <c r="J2362" s="1">
        <v>1</v>
      </c>
      <c r="K2362" s="1">
        <v>6</v>
      </c>
      <c r="L2362" s="67">
        <f t="shared" si="73"/>
        <v>1</v>
      </c>
    </row>
    <row r="2363" spans="1:12" x14ac:dyDescent="0.2">
      <c r="A2363">
        <v>2362</v>
      </c>
      <c r="B2363" s="7" t="s">
        <v>372</v>
      </c>
      <c r="C2363" t="s">
        <v>1316</v>
      </c>
      <c r="D2363" s="65" t="str">
        <f t="shared" si="72"/>
        <v>Y</v>
      </c>
      <c r="E2363" t="s">
        <v>1315</v>
      </c>
      <c r="F2363" s="7" t="s">
        <v>291</v>
      </c>
      <c r="G2363" s="1">
        <v>1</v>
      </c>
      <c r="H2363" s="7" t="s">
        <v>291</v>
      </c>
      <c r="I2363" s="7" t="s">
        <v>296</v>
      </c>
      <c r="J2363" s="1">
        <v>1</v>
      </c>
      <c r="K2363" s="1">
        <v>6</v>
      </c>
      <c r="L2363" s="67">
        <f t="shared" si="73"/>
        <v>1</v>
      </c>
    </row>
    <row r="2364" spans="1:12" x14ac:dyDescent="0.2">
      <c r="A2364">
        <v>2363</v>
      </c>
      <c r="B2364" s="7" t="s">
        <v>372</v>
      </c>
      <c r="C2364" t="s">
        <v>1316</v>
      </c>
      <c r="D2364" s="65" t="str">
        <f t="shared" si="72"/>
        <v>Y</v>
      </c>
      <c r="E2364" t="s">
        <v>1315</v>
      </c>
      <c r="F2364" s="7" t="s">
        <v>291</v>
      </c>
      <c r="G2364" s="1">
        <v>1</v>
      </c>
      <c r="H2364" s="7" t="s">
        <v>291</v>
      </c>
      <c r="I2364" s="7" t="s">
        <v>294</v>
      </c>
      <c r="J2364" s="1">
        <v>1</v>
      </c>
      <c r="K2364" s="1">
        <v>7</v>
      </c>
      <c r="L2364" s="67">
        <f t="shared" si="73"/>
        <v>1</v>
      </c>
    </row>
    <row r="2365" spans="1:12" x14ac:dyDescent="0.2">
      <c r="A2365">
        <v>2364</v>
      </c>
      <c r="B2365" s="7" t="s">
        <v>356</v>
      </c>
      <c r="C2365" t="s">
        <v>1316</v>
      </c>
      <c r="D2365" s="65" t="str">
        <f t="shared" si="72"/>
        <v>Y</v>
      </c>
      <c r="E2365" t="s">
        <v>1315</v>
      </c>
      <c r="F2365" s="7" t="s">
        <v>291</v>
      </c>
      <c r="G2365" s="1">
        <v>1</v>
      </c>
      <c r="H2365" s="7" t="s">
        <v>291</v>
      </c>
      <c r="I2365" s="7" t="s">
        <v>292</v>
      </c>
      <c r="J2365" s="1">
        <v>1</v>
      </c>
      <c r="K2365" s="1">
        <v>5</v>
      </c>
      <c r="L2365" s="67">
        <f t="shared" si="73"/>
        <v>1</v>
      </c>
    </row>
    <row r="2366" spans="1:12" x14ac:dyDescent="0.2">
      <c r="A2366">
        <v>2365</v>
      </c>
      <c r="B2366" s="7" t="s">
        <v>356</v>
      </c>
      <c r="C2366" t="s">
        <v>1316</v>
      </c>
      <c r="D2366" s="65" t="str">
        <f t="shared" si="72"/>
        <v>Y</v>
      </c>
      <c r="E2366" t="s">
        <v>1315</v>
      </c>
      <c r="F2366" s="7" t="s">
        <v>291</v>
      </c>
      <c r="G2366" s="1">
        <v>1</v>
      </c>
      <c r="H2366" s="7" t="s">
        <v>291</v>
      </c>
      <c r="I2366" s="7" t="s">
        <v>296</v>
      </c>
      <c r="J2366" s="1">
        <v>1</v>
      </c>
      <c r="K2366" s="1">
        <v>6</v>
      </c>
      <c r="L2366" s="67">
        <f t="shared" si="73"/>
        <v>1</v>
      </c>
    </row>
    <row r="2367" spans="1:12" x14ac:dyDescent="0.2">
      <c r="A2367">
        <v>2366</v>
      </c>
      <c r="B2367" s="7" t="s">
        <v>372</v>
      </c>
      <c r="C2367" t="s">
        <v>1316</v>
      </c>
      <c r="D2367" s="65" t="str">
        <f t="shared" si="72"/>
        <v>Y</v>
      </c>
      <c r="E2367" t="s">
        <v>1315</v>
      </c>
      <c r="F2367" s="7" t="s">
        <v>291</v>
      </c>
      <c r="G2367" s="1">
        <v>1</v>
      </c>
      <c r="H2367" s="7" t="s">
        <v>291</v>
      </c>
      <c r="I2367" s="7" t="s">
        <v>292</v>
      </c>
      <c r="J2367" s="1">
        <v>1</v>
      </c>
      <c r="K2367" s="1">
        <v>5</v>
      </c>
      <c r="L2367" s="67">
        <f t="shared" si="73"/>
        <v>1</v>
      </c>
    </row>
    <row r="2368" spans="1:12" x14ac:dyDescent="0.2">
      <c r="A2368">
        <v>2367</v>
      </c>
      <c r="B2368" s="7" t="s">
        <v>356</v>
      </c>
      <c r="C2368" t="s">
        <v>1316</v>
      </c>
      <c r="D2368" s="65" t="str">
        <f t="shared" si="72"/>
        <v>Y</v>
      </c>
      <c r="E2368" t="s">
        <v>1315</v>
      </c>
      <c r="F2368" s="7" t="s">
        <v>291</v>
      </c>
      <c r="G2368" s="1">
        <v>1</v>
      </c>
      <c r="H2368" s="7" t="s">
        <v>291</v>
      </c>
      <c r="I2368" s="7" t="s">
        <v>292</v>
      </c>
      <c r="J2368" s="1">
        <v>1</v>
      </c>
      <c r="K2368" s="1">
        <v>5</v>
      </c>
      <c r="L2368" s="67">
        <f t="shared" si="73"/>
        <v>1</v>
      </c>
    </row>
    <row r="2369" spans="1:12" x14ac:dyDescent="0.2">
      <c r="A2369">
        <v>2368</v>
      </c>
      <c r="B2369" s="7" t="s">
        <v>372</v>
      </c>
      <c r="C2369" t="s">
        <v>1316</v>
      </c>
      <c r="D2369" s="65" t="str">
        <f t="shared" si="72"/>
        <v>Y</v>
      </c>
      <c r="E2369" t="s">
        <v>1315</v>
      </c>
      <c r="F2369" s="7" t="s">
        <v>291</v>
      </c>
      <c r="G2369" s="1">
        <v>1</v>
      </c>
      <c r="H2369" s="7" t="s">
        <v>282</v>
      </c>
      <c r="I2369" s="7" t="s">
        <v>296</v>
      </c>
      <c r="J2369" s="4" t="s">
        <v>282</v>
      </c>
      <c r="K2369" s="1">
        <v>6</v>
      </c>
      <c r="L2369" s="67">
        <f t="shared" si="73"/>
        <v>0</v>
      </c>
    </row>
    <row r="2370" spans="1:12" x14ac:dyDescent="0.2">
      <c r="A2370">
        <v>2369</v>
      </c>
      <c r="B2370" s="7" t="s">
        <v>356</v>
      </c>
      <c r="C2370" t="s">
        <v>1316</v>
      </c>
      <c r="D2370" s="65" t="str">
        <f t="shared" si="72"/>
        <v>Y</v>
      </c>
      <c r="E2370" t="s">
        <v>1315</v>
      </c>
      <c r="F2370" s="7" t="s">
        <v>291</v>
      </c>
      <c r="G2370" s="1">
        <v>1</v>
      </c>
      <c r="H2370" s="7" t="s">
        <v>291</v>
      </c>
      <c r="I2370" s="7" t="s">
        <v>296</v>
      </c>
      <c r="J2370" s="1">
        <v>1</v>
      </c>
      <c r="K2370" s="1">
        <v>6</v>
      </c>
      <c r="L2370" s="67">
        <f t="shared" si="73"/>
        <v>1</v>
      </c>
    </row>
    <row r="2371" spans="1:12" x14ac:dyDescent="0.2">
      <c r="A2371">
        <v>2370</v>
      </c>
      <c r="B2371" s="7" t="s">
        <v>372</v>
      </c>
      <c r="C2371" t="s">
        <v>1316</v>
      </c>
      <c r="D2371" s="65" t="str">
        <f t="shared" ref="D2371:D2434" si="74">IF($E2371="iso", "N", IF(OR($E2371="non", $E2371="emd", $E2371="dyn"), "Y", "ERROR"))</f>
        <v>Y</v>
      </c>
      <c r="E2371" t="s">
        <v>1315</v>
      </c>
      <c r="F2371" s="7" t="s">
        <v>291</v>
      </c>
      <c r="G2371" s="1">
        <v>1</v>
      </c>
      <c r="H2371" s="7" t="s">
        <v>291</v>
      </c>
      <c r="I2371" s="7" t="s">
        <v>296</v>
      </c>
      <c r="J2371" s="1">
        <v>1</v>
      </c>
      <c r="K2371" s="1">
        <v>6</v>
      </c>
      <c r="L2371" s="67">
        <f t="shared" ref="L2371:L2434" si="75">IF(G2371=J2371, 1, 0)</f>
        <v>1</v>
      </c>
    </row>
    <row r="2372" spans="1:12" x14ac:dyDescent="0.2">
      <c r="A2372">
        <v>2371</v>
      </c>
      <c r="B2372" s="7" t="s">
        <v>356</v>
      </c>
      <c r="C2372" t="s">
        <v>1316</v>
      </c>
      <c r="D2372" s="65" t="str">
        <f t="shared" si="74"/>
        <v>Y</v>
      </c>
      <c r="E2372" t="s">
        <v>1315</v>
      </c>
      <c r="F2372" s="7" t="s">
        <v>300</v>
      </c>
      <c r="G2372" s="1">
        <v>2</v>
      </c>
      <c r="H2372" s="7" t="s">
        <v>300</v>
      </c>
      <c r="I2372" s="7" t="s">
        <v>294</v>
      </c>
      <c r="J2372" s="1">
        <v>2</v>
      </c>
      <c r="K2372" s="1">
        <v>7</v>
      </c>
      <c r="L2372" s="67">
        <f t="shared" si="75"/>
        <v>1</v>
      </c>
    </row>
    <row r="2373" spans="1:12" x14ac:dyDescent="0.2">
      <c r="A2373">
        <v>2372</v>
      </c>
      <c r="B2373" s="7" t="s">
        <v>372</v>
      </c>
      <c r="C2373" t="s">
        <v>1316</v>
      </c>
      <c r="D2373" s="65" t="str">
        <f t="shared" si="74"/>
        <v>Y</v>
      </c>
      <c r="E2373" t="s">
        <v>1315</v>
      </c>
      <c r="F2373" s="7" t="s">
        <v>300</v>
      </c>
      <c r="G2373" s="1">
        <v>2</v>
      </c>
      <c r="H2373" s="7" t="s">
        <v>300</v>
      </c>
      <c r="I2373" s="7" t="s">
        <v>294</v>
      </c>
      <c r="J2373" s="1">
        <v>2</v>
      </c>
      <c r="K2373" s="1">
        <v>7</v>
      </c>
      <c r="L2373" s="67">
        <f t="shared" si="75"/>
        <v>1</v>
      </c>
    </row>
    <row r="2374" spans="1:12" x14ac:dyDescent="0.2">
      <c r="A2374">
        <v>2373</v>
      </c>
      <c r="B2374" s="7" t="s">
        <v>372</v>
      </c>
      <c r="C2374" t="s">
        <v>1316</v>
      </c>
      <c r="D2374" s="65" t="str">
        <f t="shared" si="74"/>
        <v>Y</v>
      </c>
      <c r="E2374" t="s">
        <v>1315</v>
      </c>
      <c r="F2374" s="7" t="s">
        <v>300</v>
      </c>
      <c r="G2374" s="1">
        <v>2</v>
      </c>
      <c r="H2374" s="7" t="s">
        <v>300</v>
      </c>
      <c r="I2374" s="7" t="s">
        <v>296</v>
      </c>
      <c r="J2374" s="1">
        <v>2</v>
      </c>
      <c r="K2374" s="1">
        <v>6</v>
      </c>
      <c r="L2374" s="67">
        <f t="shared" si="75"/>
        <v>1</v>
      </c>
    </row>
    <row r="2375" spans="1:12" x14ac:dyDescent="0.2">
      <c r="A2375">
        <v>2374</v>
      </c>
      <c r="B2375" s="7" t="s">
        <v>356</v>
      </c>
      <c r="C2375" t="s">
        <v>1316</v>
      </c>
      <c r="D2375" s="65" t="str">
        <f t="shared" si="74"/>
        <v>Y</v>
      </c>
      <c r="E2375" t="s">
        <v>1315</v>
      </c>
      <c r="F2375" s="7" t="s">
        <v>300</v>
      </c>
      <c r="G2375" s="1">
        <v>2</v>
      </c>
      <c r="H2375" s="7" t="s">
        <v>300</v>
      </c>
      <c r="I2375" s="7" t="s">
        <v>296</v>
      </c>
      <c r="J2375" s="1">
        <v>2</v>
      </c>
      <c r="K2375" s="1">
        <v>6</v>
      </c>
      <c r="L2375" s="67">
        <f t="shared" si="75"/>
        <v>1</v>
      </c>
    </row>
    <row r="2376" spans="1:12" x14ac:dyDescent="0.2">
      <c r="A2376">
        <v>2375</v>
      </c>
      <c r="B2376" s="7" t="s">
        <v>372</v>
      </c>
      <c r="C2376" t="s">
        <v>1316</v>
      </c>
      <c r="D2376" s="65" t="str">
        <f t="shared" si="74"/>
        <v>Y</v>
      </c>
      <c r="E2376" t="s">
        <v>1315</v>
      </c>
      <c r="F2376" s="7" t="s">
        <v>300</v>
      </c>
      <c r="G2376" s="1">
        <v>2</v>
      </c>
      <c r="H2376" s="7" t="s">
        <v>300</v>
      </c>
      <c r="I2376" s="7" t="s">
        <v>292</v>
      </c>
      <c r="J2376" s="1">
        <v>2</v>
      </c>
      <c r="K2376" s="1">
        <v>5</v>
      </c>
      <c r="L2376" s="67">
        <f t="shared" si="75"/>
        <v>1</v>
      </c>
    </row>
    <row r="2377" spans="1:12" x14ac:dyDescent="0.2">
      <c r="A2377">
        <v>2376</v>
      </c>
      <c r="B2377" s="7" t="s">
        <v>356</v>
      </c>
      <c r="C2377" t="s">
        <v>1316</v>
      </c>
      <c r="D2377" s="65" t="str">
        <f t="shared" si="74"/>
        <v>Y</v>
      </c>
      <c r="E2377" t="s">
        <v>1315</v>
      </c>
      <c r="F2377" s="7" t="s">
        <v>300</v>
      </c>
      <c r="G2377" s="1">
        <v>2</v>
      </c>
      <c r="H2377" s="7" t="s">
        <v>300</v>
      </c>
      <c r="I2377" s="7" t="s">
        <v>296</v>
      </c>
      <c r="J2377" s="1">
        <v>2</v>
      </c>
      <c r="K2377" s="1">
        <v>6</v>
      </c>
      <c r="L2377" s="67">
        <f t="shared" si="75"/>
        <v>1</v>
      </c>
    </row>
    <row r="2378" spans="1:12" x14ac:dyDescent="0.2">
      <c r="A2378">
        <v>2377</v>
      </c>
      <c r="B2378" s="7" t="s">
        <v>372</v>
      </c>
      <c r="C2378" t="s">
        <v>1316</v>
      </c>
      <c r="D2378" s="65" t="str">
        <f t="shared" si="74"/>
        <v>Y</v>
      </c>
      <c r="E2378" t="s">
        <v>1315</v>
      </c>
      <c r="F2378" s="7" t="s">
        <v>300</v>
      </c>
      <c r="G2378" s="1">
        <v>2</v>
      </c>
      <c r="H2378" s="7" t="s">
        <v>300</v>
      </c>
      <c r="I2378" s="7" t="s">
        <v>296</v>
      </c>
      <c r="J2378" s="1">
        <v>2</v>
      </c>
      <c r="K2378" s="1">
        <v>6</v>
      </c>
      <c r="L2378" s="67">
        <f t="shared" si="75"/>
        <v>1</v>
      </c>
    </row>
    <row r="2379" spans="1:12" x14ac:dyDescent="0.2">
      <c r="A2379">
        <v>2378</v>
      </c>
      <c r="B2379" s="7" t="s">
        <v>356</v>
      </c>
      <c r="C2379" t="s">
        <v>1316</v>
      </c>
      <c r="D2379" s="65" t="str">
        <f t="shared" si="74"/>
        <v>Y</v>
      </c>
      <c r="E2379" t="s">
        <v>1315</v>
      </c>
      <c r="F2379" s="7" t="s">
        <v>300</v>
      </c>
      <c r="G2379" s="1">
        <v>2</v>
      </c>
      <c r="H2379" s="7" t="s">
        <v>300</v>
      </c>
      <c r="I2379" s="7" t="s">
        <v>296</v>
      </c>
      <c r="J2379" s="1">
        <v>2</v>
      </c>
      <c r="K2379" s="1">
        <v>6</v>
      </c>
      <c r="L2379" s="67">
        <f t="shared" si="75"/>
        <v>1</v>
      </c>
    </row>
    <row r="2380" spans="1:12" x14ac:dyDescent="0.2">
      <c r="A2380">
        <v>2379</v>
      </c>
      <c r="B2380" s="7" t="s">
        <v>372</v>
      </c>
      <c r="C2380" t="s">
        <v>1316</v>
      </c>
      <c r="D2380" s="65" t="str">
        <f t="shared" si="74"/>
        <v>Y</v>
      </c>
      <c r="E2380" t="s">
        <v>1315</v>
      </c>
      <c r="F2380" s="7" t="s">
        <v>300</v>
      </c>
      <c r="G2380" s="1">
        <v>2</v>
      </c>
      <c r="H2380" s="7" t="s">
        <v>300</v>
      </c>
      <c r="I2380" s="7" t="s">
        <v>296</v>
      </c>
      <c r="J2380" s="1">
        <v>2</v>
      </c>
      <c r="K2380" s="1">
        <v>6</v>
      </c>
      <c r="L2380" s="67">
        <f t="shared" si="75"/>
        <v>1</v>
      </c>
    </row>
    <row r="2381" spans="1:12" x14ac:dyDescent="0.2">
      <c r="A2381">
        <v>2380</v>
      </c>
      <c r="B2381" s="7" t="s">
        <v>356</v>
      </c>
      <c r="C2381" t="s">
        <v>1316</v>
      </c>
      <c r="D2381" s="65" t="str">
        <f t="shared" si="74"/>
        <v>Y</v>
      </c>
      <c r="E2381" t="s">
        <v>1315</v>
      </c>
      <c r="F2381" s="7" t="s">
        <v>300</v>
      </c>
      <c r="G2381" s="1">
        <v>2</v>
      </c>
      <c r="H2381" s="7" t="s">
        <v>300</v>
      </c>
      <c r="I2381" s="7" t="s">
        <v>292</v>
      </c>
      <c r="J2381" s="1">
        <v>2</v>
      </c>
      <c r="K2381" s="1">
        <v>5</v>
      </c>
      <c r="L2381" s="67">
        <f t="shared" si="75"/>
        <v>1</v>
      </c>
    </row>
    <row r="2382" spans="1:12" x14ac:dyDescent="0.2">
      <c r="A2382">
        <v>2381</v>
      </c>
      <c r="B2382" s="7" t="s">
        <v>356</v>
      </c>
      <c r="C2382" t="s">
        <v>1316</v>
      </c>
      <c r="D2382" s="65" t="str">
        <f t="shared" si="74"/>
        <v>Y</v>
      </c>
      <c r="E2382" t="s">
        <v>1315</v>
      </c>
      <c r="F2382" s="7" t="s">
        <v>300</v>
      </c>
      <c r="G2382" s="1">
        <v>2</v>
      </c>
      <c r="H2382" s="7" t="s">
        <v>300</v>
      </c>
      <c r="I2382" s="7" t="s">
        <v>296</v>
      </c>
      <c r="J2382" s="1">
        <v>2</v>
      </c>
      <c r="K2382" s="1">
        <v>6</v>
      </c>
      <c r="L2382" s="67">
        <f t="shared" si="75"/>
        <v>1</v>
      </c>
    </row>
    <row r="2383" spans="1:12" x14ac:dyDescent="0.2">
      <c r="A2383">
        <v>2382</v>
      </c>
      <c r="B2383" s="7" t="s">
        <v>372</v>
      </c>
      <c r="C2383" t="s">
        <v>1316</v>
      </c>
      <c r="D2383" s="65" t="str">
        <f t="shared" si="74"/>
        <v>Y</v>
      </c>
      <c r="E2383" t="s">
        <v>1315</v>
      </c>
      <c r="F2383" s="7" t="s">
        <v>300</v>
      </c>
      <c r="G2383" s="1">
        <v>2</v>
      </c>
      <c r="H2383" s="7" t="s">
        <v>300</v>
      </c>
      <c r="I2383" s="7" t="s">
        <v>296</v>
      </c>
      <c r="J2383" s="1">
        <v>2</v>
      </c>
      <c r="K2383" s="1">
        <v>6</v>
      </c>
      <c r="L2383" s="67">
        <f t="shared" si="75"/>
        <v>1</v>
      </c>
    </row>
    <row r="2384" spans="1:12" x14ac:dyDescent="0.2">
      <c r="A2384">
        <v>2383</v>
      </c>
      <c r="B2384" s="7" t="s">
        <v>356</v>
      </c>
      <c r="C2384" t="s">
        <v>1316</v>
      </c>
      <c r="D2384" s="65" t="str">
        <f t="shared" si="74"/>
        <v>Y</v>
      </c>
      <c r="E2384" t="s">
        <v>1315</v>
      </c>
      <c r="F2384" s="7" t="s">
        <v>300</v>
      </c>
      <c r="G2384" s="1">
        <v>2</v>
      </c>
      <c r="H2384" s="7" t="s">
        <v>301</v>
      </c>
      <c r="I2384" s="7" t="s">
        <v>294</v>
      </c>
      <c r="J2384" s="1">
        <v>5</v>
      </c>
      <c r="K2384" s="1">
        <v>7</v>
      </c>
      <c r="L2384" s="67">
        <f t="shared" si="75"/>
        <v>0</v>
      </c>
    </row>
    <row r="2385" spans="1:12" x14ac:dyDescent="0.2">
      <c r="A2385">
        <v>2384</v>
      </c>
      <c r="B2385" s="7" t="s">
        <v>372</v>
      </c>
      <c r="C2385" t="s">
        <v>1316</v>
      </c>
      <c r="D2385" s="65" t="str">
        <f t="shared" si="74"/>
        <v>Y</v>
      </c>
      <c r="E2385" t="s">
        <v>1315</v>
      </c>
      <c r="F2385" s="7" t="s">
        <v>300</v>
      </c>
      <c r="G2385" s="1">
        <v>2</v>
      </c>
      <c r="H2385" s="7" t="s">
        <v>300</v>
      </c>
      <c r="I2385" s="7" t="s">
        <v>294</v>
      </c>
      <c r="J2385" s="1">
        <v>2</v>
      </c>
      <c r="K2385" s="1">
        <v>7</v>
      </c>
      <c r="L2385" s="67">
        <f t="shared" si="75"/>
        <v>1</v>
      </c>
    </row>
    <row r="2386" spans="1:12" x14ac:dyDescent="0.2">
      <c r="A2386">
        <v>2385</v>
      </c>
      <c r="B2386" s="7" t="s">
        <v>356</v>
      </c>
      <c r="C2386" t="s">
        <v>1316</v>
      </c>
      <c r="D2386" s="65" t="str">
        <f t="shared" si="74"/>
        <v>Y</v>
      </c>
      <c r="E2386" t="s">
        <v>1315</v>
      </c>
      <c r="F2386" s="7" t="s">
        <v>300</v>
      </c>
      <c r="G2386" s="1">
        <v>2</v>
      </c>
      <c r="H2386" s="7" t="s">
        <v>300</v>
      </c>
      <c r="I2386" s="7" t="s">
        <v>294</v>
      </c>
      <c r="J2386" s="1">
        <v>2</v>
      </c>
      <c r="K2386" s="1">
        <v>7</v>
      </c>
      <c r="L2386" s="67">
        <f t="shared" si="75"/>
        <v>1</v>
      </c>
    </row>
    <row r="2387" spans="1:12" x14ac:dyDescent="0.2">
      <c r="A2387">
        <v>2386</v>
      </c>
      <c r="B2387" s="7" t="s">
        <v>372</v>
      </c>
      <c r="C2387" t="s">
        <v>1316</v>
      </c>
      <c r="D2387" s="65" t="str">
        <f t="shared" si="74"/>
        <v>Y</v>
      </c>
      <c r="E2387" t="s">
        <v>1315</v>
      </c>
      <c r="F2387" s="7" t="s">
        <v>300</v>
      </c>
      <c r="G2387" s="1">
        <v>2</v>
      </c>
      <c r="H2387" s="7" t="s">
        <v>300</v>
      </c>
      <c r="I2387" s="7" t="s">
        <v>296</v>
      </c>
      <c r="J2387" s="1">
        <v>2</v>
      </c>
      <c r="K2387" s="1">
        <v>6</v>
      </c>
      <c r="L2387" s="67">
        <f t="shared" si="75"/>
        <v>1</v>
      </c>
    </row>
    <row r="2388" spans="1:12" x14ac:dyDescent="0.2">
      <c r="A2388">
        <v>2387</v>
      </c>
      <c r="B2388" s="7" t="s">
        <v>372</v>
      </c>
      <c r="C2388" t="s">
        <v>1316</v>
      </c>
      <c r="D2388" s="65" t="str">
        <f t="shared" si="74"/>
        <v>Y</v>
      </c>
      <c r="E2388" t="s">
        <v>1315</v>
      </c>
      <c r="F2388" s="7" t="s">
        <v>300</v>
      </c>
      <c r="G2388" s="1">
        <v>2</v>
      </c>
      <c r="H2388" s="7" t="s">
        <v>300</v>
      </c>
      <c r="I2388" s="7" t="s">
        <v>296</v>
      </c>
      <c r="J2388" s="1">
        <v>2</v>
      </c>
      <c r="K2388" s="1">
        <v>6</v>
      </c>
      <c r="L2388" s="67">
        <f t="shared" si="75"/>
        <v>1</v>
      </c>
    </row>
    <row r="2389" spans="1:12" x14ac:dyDescent="0.2">
      <c r="A2389">
        <v>2388</v>
      </c>
      <c r="B2389" s="7" t="s">
        <v>356</v>
      </c>
      <c r="C2389" t="s">
        <v>1316</v>
      </c>
      <c r="D2389" s="65" t="str">
        <f t="shared" si="74"/>
        <v>Y</v>
      </c>
      <c r="E2389" t="s">
        <v>1315</v>
      </c>
      <c r="F2389" s="7" t="s">
        <v>300</v>
      </c>
      <c r="G2389" s="1">
        <v>2</v>
      </c>
      <c r="H2389" s="7" t="s">
        <v>300</v>
      </c>
      <c r="I2389" s="7" t="s">
        <v>292</v>
      </c>
      <c r="J2389" s="1">
        <v>2</v>
      </c>
      <c r="K2389" s="1">
        <v>5</v>
      </c>
      <c r="L2389" s="67">
        <f t="shared" si="75"/>
        <v>1</v>
      </c>
    </row>
    <row r="2390" spans="1:12" x14ac:dyDescent="0.2">
      <c r="A2390">
        <v>2389</v>
      </c>
      <c r="B2390" s="7" t="s">
        <v>356</v>
      </c>
      <c r="C2390" t="s">
        <v>1316</v>
      </c>
      <c r="D2390" s="65" t="str">
        <f t="shared" si="74"/>
        <v>Y</v>
      </c>
      <c r="E2390" t="s">
        <v>1315</v>
      </c>
      <c r="F2390" s="7" t="s">
        <v>300</v>
      </c>
      <c r="G2390" s="1">
        <v>2</v>
      </c>
      <c r="H2390" s="7" t="s">
        <v>300</v>
      </c>
      <c r="I2390" s="7" t="s">
        <v>292</v>
      </c>
      <c r="J2390" s="1">
        <v>2</v>
      </c>
      <c r="K2390" s="1">
        <v>5</v>
      </c>
      <c r="L2390" s="67">
        <f t="shared" si="75"/>
        <v>1</v>
      </c>
    </row>
    <row r="2391" spans="1:12" x14ac:dyDescent="0.2">
      <c r="A2391">
        <v>2390</v>
      </c>
      <c r="B2391" s="7" t="s">
        <v>372</v>
      </c>
      <c r="C2391" t="s">
        <v>1316</v>
      </c>
      <c r="D2391" s="65" t="str">
        <f t="shared" si="74"/>
        <v>Y</v>
      </c>
      <c r="E2391" t="s">
        <v>1315</v>
      </c>
      <c r="F2391" s="7" t="s">
        <v>300</v>
      </c>
      <c r="G2391" s="1">
        <v>2</v>
      </c>
      <c r="H2391" s="7" t="s">
        <v>300</v>
      </c>
      <c r="I2391" s="7" t="s">
        <v>292</v>
      </c>
      <c r="J2391" s="1">
        <v>2</v>
      </c>
      <c r="K2391" s="1">
        <v>5</v>
      </c>
      <c r="L2391" s="67">
        <f t="shared" si="75"/>
        <v>1</v>
      </c>
    </row>
    <row r="2392" spans="1:12" x14ac:dyDescent="0.2">
      <c r="A2392">
        <v>2391</v>
      </c>
      <c r="B2392" s="7" t="s">
        <v>356</v>
      </c>
      <c r="C2392" t="s">
        <v>1316</v>
      </c>
      <c r="D2392" s="65" t="str">
        <f t="shared" si="74"/>
        <v>Y</v>
      </c>
      <c r="E2392" t="s">
        <v>1315</v>
      </c>
      <c r="F2392" s="7" t="s">
        <v>300</v>
      </c>
      <c r="G2392" s="1">
        <v>2</v>
      </c>
      <c r="H2392" s="7" t="s">
        <v>300</v>
      </c>
      <c r="I2392" s="7" t="s">
        <v>292</v>
      </c>
      <c r="J2392" s="1">
        <v>2</v>
      </c>
      <c r="K2392" s="1">
        <v>5</v>
      </c>
      <c r="L2392" s="67">
        <f t="shared" si="75"/>
        <v>1</v>
      </c>
    </row>
    <row r="2393" spans="1:12" x14ac:dyDescent="0.2">
      <c r="A2393">
        <v>2392</v>
      </c>
      <c r="B2393" s="7" t="s">
        <v>356</v>
      </c>
      <c r="C2393" t="s">
        <v>1316</v>
      </c>
      <c r="D2393" s="65" t="str">
        <f t="shared" si="74"/>
        <v>Y</v>
      </c>
      <c r="E2393" t="s">
        <v>1315</v>
      </c>
      <c r="F2393" s="7" t="s">
        <v>300</v>
      </c>
      <c r="G2393" s="1">
        <v>2</v>
      </c>
      <c r="H2393" s="7" t="s">
        <v>300</v>
      </c>
      <c r="I2393" s="7" t="s">
        <v>296</v>
      </c>
      <c r="J2393" s="1">
        <v>2</v>
      </c>
      <c r="K2393" s="1">
        <v>6</v>
      </c>
      <c r="L2393" s="67">
        <f t="shared" si="75"/>
        <v>1</v>
      </c>
    </row>
    <row r="2394" spans="1:12" x14ac:dyDescent="0.2">
      <c r="A2394">
        <v>2393</v>
      </c>
      <c r="B2394" s="7" t="s">
        <v>372</v>
      </c>
      <c r="C2394" t="s">
        <v>1316</v>
      </c>
      <c r="D2394" s="65" t="str">
        <f t="shared" si="74"/>
        <v>Y</v>
      </c>
      <c r="E2394" t="s">
        <v>1315</v>
      </c>
      <c r="F2394" s="7" t="s">
        <v>300</v>
      </c>
      <c r="G2394" s="1">
        <v>2</v>
      </c>
      <c r="H2394" s="7" t="s">
        <v>300</v>
      </c>
      <c r="I2394" s="7" t="s">
        <v>294</v>
      </c>
      <c r="J2394" s="1">
        <v>2</v>
      </c>
      <c r="K2394" s="1">
        <v>7</v>
      </c>
      <c r="L2394" s="67">
        <f t="shared" si="75"/>
        <v>1</v>
      </c>
    </row>
    <row r="2395" spans="1:12" x14ac:dyDescent="0.2">
      <c r="A2395">
        <v>2394</v>
      </c>
      <c r="B2395" s="7" t="s">
        <v>372</v>
      </c>
      <c r="C2395" t="s">
        <v>1316</v>
      </c>
      <c r="D2395" s="65" t="str">
        <f t="shared" si="74"/>
        <v>Y</v>
      </c>
      <c r="E2395" t="s">
        <v>1315</v>
      </c>
      <c r="F2395" s="7" t="s">
        <v>300</v>
      </c>
      <c r="G2395" s="1">
        <v>2</v>
      </c>
      <c r="H2395" s="7" t="s">
        <v>300</v>
      </c>
      <c r="I2395" s="7" t="s">
        <v>294</v>
      </c>
      <c r="J2395" s="1">
        <v>2</v>
      </c>
      <c r="K2395" s="1">
        <v>7</v>
      </c>
      <c r="L2395" s="67">
        <f t="shared" si="75"/>
        <v>1</v>
      </c>
    </row>
    <row r="2396" spans="1:12" x14ac:dyDescent="0.2">
      <c r="A2396">
        <v>2395</v>
      </c>
      <c r="B2396" s="7" t="s">
        <v>356</v>
      </c>
      <c r="C2396" t="s">
        <v>1316</v>
      </c>
      <c r="D2396" s="65" t="str">
        <f t="shared" si="74"/>
        <v>Y</v>
      </c>
      <c r="E2396" t="s">
        <v>1315</v>
      </c>
      <c r="F2396" s="7" t="s">
        <v>300</v>
      </c>
      <c r="G2396" s="1">
        <v>2</v>
      </c>
      <c r="H2396" s="7" t="s">
        <v>300</v>
      </c>
      <c r="I2396" s="7" t="s">
        <v>296</v>
      </c>
      <c r="J2396" s="1">
        <v>2</v>
      </c>
      <c r="K2396" s="1">
        <v>6</v>
      </c>
      <c r="L2396" s="67">
        <f t="shared" si="75"/>
        <v>1</v>
      </c>
    </row>
    <row r="2397" spans="1:12" x14ac:dyDescent="0.2">
      <c r="A2397">
        <v>2396</v>
      </c>
      <c r="B2397" s="7" t="s">
        <v>356</v>
      </c>
      <c r="C2397" t="s">
        <v>1316</v>
      </c>
      <c r="D2397" s="65" t="str">
        <f t="shared" si="74"/>
        <v>Y</v>
      </c>
      <c r="E2397" t="s">
        <v>1315</v>
      </c>
      <c r="F2397" s="7" t="s">
        <v>300</v>
      </c>
      <c r="G2397" s="1">
        <v>2</v>
      </c>
      <c r="H2397" s="7" t="s">
        <v>300</v>
      </c>
      <c r="I2397" s="7" t="s">
        <v>296</v>
      </c>
      <c r="J2397" s="1">
        <v>2</v>
      </c>
      <c r="K2397" s="1">
        <v>6</v>
      </c>
      <c r="L2397" s="67">
        <f t="shared" si="75"/>
        <v>1</v>
      </c>
    </row>
    <row r="2398" spans="1:12" x14ac:dyDescent="0.2">
      <c r="A2398">
        <v>2397</v>
      </c>
      <c r="B2398" s="7" t="s">
        <v>372</v>
      </c>
      <c r="C2398" t="s">
        <v>1316</v>
      </c>
      <c r="D2398" s="65" t="str">
        <f t="shared" si="74"/>
        <v>Y</v>
      </c>
      <c r="E2398" t="s">
        <v>1315</v>
      </c>
      <c r="F2398" s="7" t="s">
        <v>300</v>
      </c>
      <c r="G2398" s="1">
        <v>2</v>
      </c>
      <c r="H2398" s="7" t="s">
        <v>300</v>
      </c>
      <c r="I2398" s="7" t="s">
        <v>294</v>
      </c>
      <c r="J2398" s="1">
        <v>2</v>
      </c>
      <c r="K2398" s="1">
        <v>7</v>
      </c>
      <c r="L2398" s="67">
        <f t="shared" si="75"/>
        <v>1</v>
      </c>
    </row>
    <row r="2399" spans="1:12" x14ac:dyDescent="0.2">
      <c r="A2399">
        <v>2398</v>
      </c>
      <c r="B2399" s="7" t="s">
        <v>356</v>
      </c>
      <c r="C2399" t="s">
        <v>1316</v>
      </c>
      <c r="D2399" s="65" t="str">
        <f t="shared" si="74"/>
        <v>Y</v>
      </c>
      <c r="E2399" t="s">
        <v>1315</v>
      </c>
      <c r="F2399" s="7" t="s">
        <v>300</v>
      </c>
      <c r="G2399" s="1">
        <v>2</v>
      </c>
      <c r="H2399" s="7" t="s">
        <v>300</v>
      </c>
      <c r="I2399" s="7" t="s">
        <v>297</v>
      </c>
      <c r="J2399" s="1">
        <v>2</v>
      </c>
      <c r="K2399" s="1">
        <v>4</v>
      </c>
      <c r="L2399" s="67">
        <f t="shared" si="75"/>
        <v>1</v>
      </c>
    </row>
    <row r="2400" spans="1:12" x14ac:dyDescent="0.2">
      <c r="A2400">
        <v>2399</v>
      </c>
      <c r="B2400" s="7" t="s">
        <v>372</v>
      </c>
      <c r="C2400" t="s">
        <v>1316</v>
      </c>
      <c r="D2400" s="65" t="str">
        <f t="shared" si="74"/>
        <v>Y</v>
      </c>
      <c r="E2400" t="s">
        <v>1315</v>
      </c>
      <c r="F2400" s="7" t="s">
        <v>300</v>
      </c>
      <c r="G2400" s="1">
        <v>2</v>
      </c>
      <c r="H2400" s="7" t="s">
        <v>300</v>
      </c>
      <c r="I2400" s="7" t="s">
        <v>296</v>
      </c>
      <c r="J2400" s="1">
        <v>2</v>
      </c>
      <c r="K2400" s="1">
        <v>6</v>
      </c>
      <c r="L2400" s="67">
        <f t="shared" si="75"/>
        <v>1</v>
      </c>
    </row>
    <row r="2401" spans="1:12" x14ac:dyDescent="0.2">
      <c r="A2401">
        <v>2400</v>
      </c>
      <c r="B2401" s="7" t="s">
        <v>356</v>
      </c>
      <c r="C2401" t="s">
        <v>1316</v>
      </c>
      <c r="D2401" s="65" t="str">
        <f t="shared" si="74"/>
        <v>Y</v>
      </c>
      <c r="E2401" t="s">
        <v>1315</v>
      </c>
      <c r="F2401" s="7" t="s">
        <v>300</v>
      </c>
      <c r="G2401" s="1">
        <v>2</v>
      </c>
      <c r="H2401" s="7" t="s">
        <v>300</v>
      </c>
      <c r="I2401" s="7" t="s">
        <v>296</v>
      </c>
      <c r="J2401" s="1">
        <v>2</v>
      </c>
      <c r="K2401" s="1">
        <v>6</v>
      </c>
      <c r="L2401" s="67">
        <f t="shared" si="75"/>
        <v>1</v>
      </c>
    </row>
    <row r="2402" spans="1:12" x14ac:dyDescent="0.2">
      <c r="A2402">
        <v>2401</v>
      </c>
      <c r="B2402" s="7" t="s">
        <v>372</v>
      </c>
      <c r="C2402" t="s">
        <v>1316</v>
      </c>
      <c r="D2402" s="65" t="str">
        <f t="shared" si="74"/>
        <v>Y</v>
      </c>
      <c r="E2402" t="s">
        <v>1315</v>
      </c>
      <c r="F2402" s="7" t="s">
        <v>300</v>
      </c>
      <c r="G2402" s="1">
        <v>2</v>
      </c>
      <c r="H2402" s="7" t="s">
        <v>300</v>
      </c>
      <c r="I2402" s="7" t="s">
        <v>294</v>
      </c>
      <c r="J2402" s="1">
        <v>2</v>
      </c>
      <c r="K2402" s="1">
        <v>7</v>
      </c>
      <c r="L2402" s="67">
        <f t="shared" si="75"/>
        <v>1</v>
      </c>
    </row>
    <row r="2403" spans="1:12" x14ac:dyDescent="0.2">
      <c r="A2403">
        <v>2402</v>
      </c>
      <c r="B2403" s="7" t="s">
        <v>356</v>
      </c>
      <c r="C2403" t="s">
        <v>1316</v>
      </c>
      <c r="D2403" s="65" t="str">
        <f t="shared" si="74"/>
        <v>Y</v>
      </c>
      <c r="E2403" t="s">
        <v>1315</v>
      </c>
      <c r="F2403" s="7" t="s">
        <v>300</v>
      </c>
      <c r="G2403" s="1">
        <v>2</v>
      </c>
      <c r="H2403" s="7" t="s">
        <v>300</v>
      </c>
      <c r="I2403" s="7" t="s">
        <v>294</v>
      </c>
      <c r="J2403" s="1">
        <v>2</v>
      </c>
      <c r="K2403" s="1">
        <v>7</v>
      </c>
      <c r="L2403" s="67">
        <f t="shared" si="75"/>
        <v>1</v>
      </c>
    </row>
    <row r="2404" spans="1:12" x14ac:dyDescent="0.2">
      <c r="A2404">
        <v>2403</v>
      </c>
      <c r="B2404" s="7" t="s">
        <v>356</v>
      </c>
      <c r="C2404" t="s">
        <v>1316</v>
      </c>
      <c r="D2404" s="65" t="str">
        <f t="shared" si="74"/>
        <v>Y</v>
      </c>
      <c r="E2404" t="s">
        <v>1315</v>
      </c>
      <c r="F2404" s="7" t="s">
        <v>300</v>
      </c>
      <c r="G2404" s="1">
        <v>2</v>
      </c>
      <c r="H2404" s="7" t="s">
        <v>282</v>
      </c>
      <c r="I2404" s="7" t="s">
        <v>292</v>
      </c>
      <c r="J2404" s="4" t="s">
        <v>282</v>
      </c>
      <c r="K2404" s="1">
        <v>5</v>
      </c>
      <c r="L2404" s="67">
        <f t="shared" si="75"/>
        <v>0</v>
      </c>
    </row>
    <row r="2405" spans="1:12" x14ac:dyDescent="0.2">
      <c r="A2405">
        <v>2404</v>
      </c>
      <c r="B2405" s="7" t="s">
        <v>372</v>
      </c>
      <c r="C2405" t="s">
        <v>1316</v>
      </c>
      <c r="D2405" s="65" t="str">
        <f t="shared" si="74"/>
        <v>Y</v>
      </c>
      <c r="E2405" t="s">
        <v>1315</v>
      </c>
      <c r="F2405" s="7" t="s">
        <v>300</v>
      </c>
      <c r="G2405" s="1">
        <v>2</v>
      </c>
      <c r="H2405" s="7" t="s">
        <v>300</v>
      </c>
      <c r="I2405" s="7" t="s">
        <v>296</v>
      </c>
      <c r="J2405" s="1">
        <v>2</v>
      </c>
      <c r="K2405" s="1">
        <v>6</v>
      </c>
      <c r="L2405" s="67">
        <f t="shared" si="75"/>
        <v>1</v>
      </c>
    </row>
    <row r="2406" spans="1:12" x14ac:dyDescent="0.2">
      <c r="A2406">
        <v>2405</v>
      </c>
      <c r="B2406" s="7" t="s">
        <v>372</v>
      </c>
      <c r="C2406" t="s">
        <v>1316</v>
      </c>
      <c r="D2406" s="65" t="str">
        <f t="shared" si="74"/>
        <v>Y</v>
      </c>
      <c r="E2406" t="s">
        <v>1315</v>
      </c>
      <c r="F2406" s="7" t="s">
        <v>300</v>
      </c>
      <c r="G2406" s="1">
        <v>2</v>
      </c>
      <c r="H2406" s="7" t="s">
        <v>300</v>
      </c>
      <c r="I2406" s="7" t="s">
        <v>294</v>
      </c>
      <c r="J2406" s="1">
        <v>2</v>
      </c>
      <c r="K2406" s="1">
        <v>7</v>
      </c>
      <c r="L2406" s="67">
        <f t="shared" si="75"/>
        <v>1</v>
      </c>
    </row>
    <row r="2407" spans="1:12" x14ac:dyDescent="0.2">
      <c r="A2407">
        <v>2406</v>
      </c>
      <c r="B2407" s="7" t="s">
        <v>356</v>
      </c>
      <c r="C2407" t="s">
        <v>1316</v>
      </c>
      <c r="D2407" s="65" t="str">
        <f t="shared" si="74"/>
        <v>Y</v>
      </c>
      <c r="E2407" t="s">
        <v>1315</v>
      </c>
      <c r="F2407" s="7" t="s">
        <v>300</v>
      </c>
      <c r="G2407" s="1">
        <v>2</v>
      </c>
      <c r="H2407" s="7" t="s">
        <v>300</v>
      </c>
      <c r="I2407" s="7" t="s">
        <v>296</v>
      </c>
      <c r="J2407" s="1">
        <v>2</v>
      </c>
      <c r="K2407" s="1">
        <v>6</v>
      </c>
      <c r="L2407" s="67">
        <f t="shared" si="75"/>
        <v>1</v>
      </c>
    </row>
    <row r="2408" spans="1:12" x14ac:dyDescent="0.2">
      <c r="A2408">
        <v>2407</v>
      </c>
      <c r="B2408" s="7" t="s">
        <v>372</v>
      </c>
      <c r="C2408" t="s">
        <v>1316</v>
      </c>
      <c r="D2408" s="65" t="str">
        <f t="shared" si="74"/>
        <v>Y</v>
      </c>
      <c r="E2408" t="s">
        <v>1315</v>
      </c>
      <c r="F2408" s="7" t="s">
        <v>300</v>
      </c>
      <c r="G2408" s="1">
        <v>2</v>
      </c>
      <c r="H2408" s="7" t="s">
        <v>300</v>
      </c>
      <c r="I2408" s="7" t="s">
        <v>296</v>
      </c>
      <c r="J2408" s="1">
        <v>2</v>
      </c>
      <c r="K2408" s="1">
        <v>6</v>
      </c>
      <c r="L2408" s="67">
        <f t="shared" si="75"/>
        <v>1</v>
      </c>
    </row>
    <row r="2409" spans="1:12" x14ac:dyDescent="0.2">
      <c r="A2409">
        <v>2408</v>
      </c>
      <c r="B2409" s="7" t="s">
        <v>372</v>
      </c>
      <c r="C2409" t="s">
        <v>1316</v>
      </c>
      <c r="D2409" s="65" t="str">
        <f t="shared" si="74"/>
        <v>Y</v>
      </c>
      <c r="E2409" t="s">
        <v>1315</v>
      </c>
      <c r="F2409" s="7" t="s">
        <v>300</v>
      </c>
      <c r="G2409" s="1">
        <v>2</v>
      </c>
      <c r="H2409" s="7" t="s">
        <v>300</v>
      </c>
      <c r="I2409" s="7" t="s">
        <v>296</v>
      </c>
      <c r="J2409" s="1">
        <v>2</v>
      </c>
      <c r="K2409" s="1">
        <v>6</v>
      </c>
      <c r="L2409" s="67">
        <f t="shared" si="75"/>
        <v>1</v>
      </c>
    </row>
    <row r="2410" spans="1:12" x14ac:dyDescent="0.2">
      <c r="A2410">
        <v>2409</v>
      </c>
      <c r="B2410" s="7" t="s">
        <v>372</v>
      </c>
      <c r="C2410" t="s">
        <v>1316</v>
      </c>
      <c r="D2410" s="65" t="str">
        <f t="shared" si="74"/>
        <v>Y</v>
      </c>
      <c r="E2410" t="s">
        <v>1315</v>
      </c>
      <c r="F2410" s="7" t="s">
        <v>300</v>
      </c>
      <c r="G2410" s="1">
        <v>2</v>
      </c>
      <c r="H2410" s="7" t="s">
        <v>300</v>
      </c>
      <c r="I2410" s="7" t="s">
        <v>292</v>
      </c>
      <c r="J2410" s="1">
        <v>2</v>
      </c>
      <c r="K2410" s="1">
        <v>5</v>
      </c>
      <c r="L2410" s="67">
        <f t="shared" si="75"/>
        <v>1</v>
      </c>
    </row>
    <row r="2411" spans="1:12" x14ac:dyDescent="0.2">
      <c r="A2411">
        <v>2410</v>
      </c>
      <c r="B2411" s="7" t="s">
        <v>356</v>
      </c>
      <c r="C2411" t="s">
        <v>1316</v>
      </c>
      <c r="D2411" s="65" t="str">
        <f t="shared" si="74"/>
        <v>Y</v>
      </c>
      <c r="E2411" t="s">
        <v>1315</v>
      </c>
      <c r="F2411" s="7" t="s">
        <v>300</v>
      </c>
      <c r="G2411" s="1">
        <v>2</v>
      </c>
      <c r="H2411" s="7" t="s">
        <v>291</v>
      </c>
      <c r="I2411" s="7" t="s">
        <v>292</v>
      </c>
      <c r="J2411" s="1">
        <v>1</v>
      </c>
      <c r="K2411" s="1">
        <v>5</v>
      </c>
      <c r="L2411" s="67">
        <f t="shared" si="75"/>
        <v>0</v>
      </c>
    </row>
    <row r="2412" spans="1:12" x14ac:dyDescent="0.2">
      <c r="A2412">
        <v>2411</v>
      </c>
      <c r="B2412" s="7" t="s">
        <v>372</v>
      </c>
      <c r="C2412" t="s">
        <v>1316</v>
      </c>
      <c r="D2412" s="65" t="str">
        <f t="shared" si="74"/>
        <v>Y</v>
      </c>
      <c r="E2412" t="s">
        <v>1315</v>
      </c>
      <c r="F2412" s="7" t="s">
        <v>300</v>
      </c>
      <c r="G2412" s="1">
        <v>2</v>
      </c>
      <c r="H2412" s="7" t="s">
        <v>300</v>
      </c>
      <c r="I2412" s="7" t="s">
        <v>292</v>
      </c>
      <c r="J2412" s="1">
        <v>2</v>
      </c>
      <c r="K2412" s="1">
        <v>5</v>
      </c>
      <c r="L2412" s="67">
        <f t="shared" si="75"/>
        <v>1</v>
      </c>
    </row>
    <row r="2413" spans="1:12" x14ac:dyDescent="0.2">
      <c r="A2413">
        <v>2412</v>
      </c>
      <c r="B2413" s="7" t="s">
        <v>356</v>
      </c>
      <c r="C2413" t="s">
        <v>1316</v>
      </c>
      <c r="D2413" s="65" t="str">
        <f t="shared" si="74"/>
        <v>Y</v>
      </c>
      <c r="E2413" t="s">
        <v>1315</v>
      </c>
      <c r="F2413" s="7" t="s">
        <v>300</v>
      </c>
      <c r="G2413" s="1">
        <v>2</v>
      </c>
      <c r="H2413" s="7" t="s">
        <v>300</v>
      </c>
      <c r="I2413" s="7" t="s">
        <v>296</v>
      </c>
      <c r="J2413" s="1">
        <v>2</v>
      </c>
      <c r="K2413" s="1">
        <v>6</v>
      </c>
      <c r="L2413" s="67">
        <f t="shared" si="75"/>
        <v>1</v>
      </c>
    </row>
    <row r="2414" spans="1:12" x14ac:dyDescent="0.2">
      <c r="A2414">
        <v>2413</v>
      </c>
      <c r="B2414" s="7" t="s">
        <v>356</v>
      </c>
      <c r="C2414" t="s">
        <v>1316</v>
      </c>
      <c r="D2414" s="65" t="str">
        <f t="shared" si="74"/>
        <v>Y</v>
      </c>
      <c r="E2414" t="s">
        <v>1315</v>
      </c>
      <c r="F2414" s="7" t="s">
        <v>300</v>
      </c>
      <c r="G2414" s="1">
        <v>2</v>
      </c>
      <c r="H2414" s="7" t="s">
        <v>300</v>
      </c>
      <c r="I2414" s="7" t="s">
        <v>296</v>
      </c>
      <c r="J2414" s="1">
        <v>2</v>
      </c>
      <c r="K2414" s="1">
        <v>6</v>
      </c>
      <c r="L2414" s="67">
        <f t="shared" si="75"/>
        <v>1</v>
      </c>
    </row>
    <row r="2415" spans="1:12" x14ac:dyDescent="0.2">
      <c r="A2415">
        <v>2414</v>
      </c>
      <c r="B2415" s="7" t="s">
        <v>372</v>
      </c>
      <c r="C2415" t="s">
        <v>1316</v>
      </c>
      <c r="D2415" s="65" t="str">
        <f t="shared" si="74"/>
        <v>Y</v>
      </c>
      <c r="E2415" t="s">
        <v>1315</v>
      </c>
      <c r="F2415" s="7" t="s">
        <v>300</v>
      </c>
      <c r="G2415" s="1">
        <v>2</v>
      </c>
      <c r="H2415" s="7" t="s">
        <v>300</v>
      </c>
      <c r="I2415" s="7" t="s">
        <v>294</v>
      </c>
      <c r="J2415" s="1">
        <v>2</v>
      </c>
      <c r="K2415" s="1">
        <v>7</v>
      </c>
      <c r="L2415" s="67">
        <f t="shared" si="75"/>
        <v>1</v>
      </c>
    </row>
    <row r="2416" spans="1:12" x14ac:dyDescent="0.2">
      <c r="A2416">
        <v>2415</v>
      </c>
      <c r="B2416" s="7" t="s">
        <v>372</v>
      </c>
      <c r="C2416" t="s">
        <v>1316</v>
      </c>
      <c r="D2416" s="65" t="str">
        <f t="shared" si="74"/>
        <v>Y</v>
      </c>
      <c r="E2416" t="s">
        <v>1315</v>
      </c>
      <c r="F2416" s="7" t="s">
        <v>300</v>
      </c>
      <c r="G2416" s="1">
        <v>2</v>
      </c>
      <c r="H2416" s="7" t="s">
        <v>300</v>
      </c>
      <c r="I2416" s="7" t="s">
        <v>296</v>
      </c>
      <c r="J2416" s="1">
        <v>2</v>
      </c>
      <c r="K2416" s="1">
        <v>6</v>
      </c>
      <c r="L2416" s="67">
        <f t="shared" si="75"/>
        <v>1</v>
      </c>
    </row>
    <row r="2417" spans="1:12" x14ac:dyDescent="0.2">
      <c r="A2417">
        <v>2416</v>
      </c>
      <c r="B2417" s="7" t="s">
        <v>356</v>
      </c>
      <c r="C2417" t="s">
        <v>1316</v>
      </c>
      <c r="D2417" s="65" t="str">
        <f t="shared" si="74"/>
        <v>Y</v>
      </c>
      <c r="E2417" t="s">
        <v>1315</v>
      </c>
      <c r="F2417" s="7" t="s">
        <v>300</v>
      </c>
      <c r="G2417" s="1">
        <v>2</v>
      </c>
      <c r="H2417" s="7" t="s">
        <v>300</v>
      </c>
      <c r="I2417" s="7" t="s">
        <v>294</v>
      </c>
      <c r="J2417" s="1">
        <v>2</v>
      </c>
      <c r="K2417" s="1">
        <v>7</v>
      </c>
      <c r="L2417" s="67">
        <f t="shared" si="75"/>
        <v>1</v>
      </c>
    </row>
    <row r="2418" spans="1:12" x14ac:dyDescent="0.2">
      <c r="A2418">
        <v>2417</v>
      </c>
      <c r="B2418" s="7" t="s">
        <v>372</v>
      </c>
      <c r="C2418" t="s">
        <v>1316</v>
      </c>
      <c r="D2418" s="65" t="str">
        <f t="shared" si="74"/>
        <v>Y</v>
      </c>
      <c r="E2418" t="s">
        <v>1315</v>
      </c>
      <c r="F2418" s="7" t="s">
        <v>300</v>
      </c>
      <c r="G2418" s="1">
        <v>2</v>
      </c>
      <c r="H2418" s="7" t="s">
        <v>300</v>
      </c>
      <c r="I2418" s="7" t="s">
        <v>296</v>
      </c>
      <c r="J2418" s="1">
        <v>2</v>
      </c>
      <c r="K2418" s="1">
        <v>6</v>
      </c>
      <c r="L2418" s="67">
        <f t="shared" si="75"/>
        <v>1</v>
      </c>
    </row>
    <row r="2419" spans="1:12" x14ac:dyDescent="0.2">
      <c r="A2419">
        <v>2418</v>
      </c>
      <c r="B2419" s="7" t="s">
        <v>356</v>
      </c>
      <c r="C2419" t="s">
        <v>1316</v>
      </c>
      <c r="D2419" s="65" t="str">
        <f t="shared" si="74"/>
        <v>Y</v>
      </c>
      <c r="E2419" t="s">
        <v>1315</v>
      </c>
      <c r="F2419" s="7" t="s">
        <v>300</v>
      </c>
      <c r="G2419" s="1">
        <v>2</v>
      </c>
      <c r="H2419" s="7" t="s">
        <v>300</v>
      </c>
      <c r="I2419" s="7" t="s">
        <v>294</v>
      </c>
      <c r="J2419" s="1">
        <v>2</v>
      </c>
      <c r="K2419" s="1">
        <v>7</v>
      </c>
      <c r="L2419" s="67">
        <f t="shared" si="75"/>
        <v>1</v>
      </c>
    </row>
    <row r="2420" spans="1:12" x14ac:dyDescent="0.2">
      <c r="A2420">
        <v>2419</v>
      </c>
      <c r="B2420" s="7" t="s">
        <v>372</v>
      </c>
      <c r="C2420" t="s">
        <v>1316</v>
      </c>
      <c r="D2420" s="65" t="str">
        <f t="shared" si="74"/>
        <v>Y</v>
      </c>
      <c r="E2420" t="s">
        <v>1315</v>
      </c>
      <c r="F2420" s="7" t="s">
        <v>300</v>
      </c>
      <c r="G2420" s="1">
        <v>2</v>
      </c>
      <c r="H2420" s="7" t="s">
        <v>300</v>
      </c>
      <c r="I2420" s="7" t="s">
        <v>296</v>
      </c>
      <c r="J2420" s="1">
        <v>2</v>
      </c>
      <c r="K2420" s="1">
        <v>6</v>
      </c>
      <c r="L2420" s="67">
        <f t="shared" si="75"/>
        <v>1</v>
      </c>
    </row>
    <row r="2421" spans="1:12" x14ac:dyDescent="0.2">
      <c r="A2421">
        <v>2420</v>
      </c>
      <c r="B2421" s="7" t="s">
        <v>372</v>
      </c>
      <c r="C2421" t="s">
        <v>1316</v>
      </c>
      <c r="D2421" s="65" t="str">
        <f t="shared" si="74"/>
        <v>Y</v>
      </c>
      <c r="E2421" t="s">
        <v>1315</v>
      </c>
      <c r="F2421" s="7" t="s">
        <v>300</v>
      </c>
      <c r="G2421" s="1">
        <v>2</v>
      </c>
      <c r="H2421" s="7" t="s">
        <v>300</v>
      </c>
      <c r="I2421" s="7" t="s">
        <v>296</v>
      </c>
      <c r="J2421" s="1">
        <v>2</v>
      </c>
      <c r="K2421" s="1">
        <v>6</v>
      </c>
      <c r="L2421" s="67">
        <f t="shared" si="75"/>
        <v>1</v>
      </c>
    </row>
    <row r="2422" spans="1:12" x14ac:dyDescent="0.2">
      <c r="A2422">
        <v>2421</v>
      </c>
      <c r="B2422" s="7" t="s">
        <v>356</v>
      </c>
      <c r="C2422" t="s">
        <v>1316</v>
      </c>
      <c r="D2422" s="65" t="str">
        <f t="shared" si="74"/>
        <v>Y</v>
      </c>
      <c r="E2422" t="s">
        <v>1315</v>
      </c>
      <c r="F2422" s="7" t="s">
        <v>300</v>
      </c>
      <c r="G2422" s="1">
        <v>2</v>
      </c>
      <c r="H2422" s="7" t="s">
        <v>291</v>
      </c>
      <c r="I2422" s="7" t="s">
        <v>296</v>
      </c>
      <c r="J2422" s="1">
        <v>1</v>
      </c>
      <c r="K2422" s="1">
        <v>6</v>
      </c>
      <c r="L2422" s="67">
        <f t="shared" si="75"/>
        <v>0</v>
      </c>
    </row>
    <row r="2423" spans="1:12" x14ac:dyDescent="0.2">
      <c r="A2423">
        <v>2422</v>
      </c>
      <c r="B2423" s="7" t="s">
        <v>372</v>
      </c>
      <c r="C2423" t="s">
        <v>1316</v>
      </c>
      <c r="D2423" s="65" t="str">
        <f t="shared" si="74"/>
        <v>Y</v>
      </c>
      <c r="E2423" t="s">
        <v>1315</v>
      </c>
      <c r="F2423" s="7" t="s">
        <v>300</v>
      </c>
      <c r="G2423" s="1">
        <v>2</v>
      </c>
      <c r="H2423" s="7" t="s">
        <v>300</v>
      </c>
      <c r="I2423" s="7" t="s">
        <v>296</v>
      </c>
      <c r="J2423" s="1">
        <v>2</v>
      </c>
      <c r="K2423" s="1">
        <v>6</v>
      </c>
      <c r="L2423" s="67">
        <f t="shared" si="75"/>
        <v>1</v>
      </c>
    </row>
    <row r="2424" spans="1:12" x14ac:dyDescent="0.2">
      <c r="A2424">
        <v>2423</v>
      </c>
      <c r="B2424" s="7" t="s">
        <v>356</v>
      </c>
      <c r="C2424" t="s">
        <v>1316</v>
      </c>
      <c r="D2424" s="65" t="str">
        <f t="shared" si="74"/>
        <v>Y</v>
      </c>
      <c r="E2424" t="s">
        <v>1315</v>
      </c>
      <c r="F2424" s="7" t="s">
        <v>300</v>
      </c>
      <c r="G2424" s="1">
        <v>2</v>
      </c>
      <c r="H2424" s="7" t="s">
        <v>300</v>
      </c>
      <c r="I2424" s="7" t="s">
        <v>296</v>
      </c>
      <c r="J2424" s="1">
        <v>2</v>
      </c>
      <c r="K2424" s="1">
        <v>6</v>
      </c>
      <c r="L2424" s="67">
        <f t="shared" si="75"/>
        <v>1</v>
      </c>
    </row>
    <row r="2425" spans="1:12" x14ac:dyDescent="0.2">
      <c r="A2425">
        <v>2424</v>
      </c>
      <c r="B2425" s="7" t="s">
        <v>356</v>
      </c>
      <c r="C2425" t="s">
        <v>1316</v>
      </c>
      <c r="D2425" s="65" t="str">
        <f t="shared" si="74"/>
        <v>Y</v>
      </c>
      <c r="E2425" t="s">
        <v>1315</v>
      </c>
      <c r="F2425" s="7" t="s">
        <v>300</v>
      </c>
      <c r="G2425" s="1">
        <v>2</v>
      </c>
      <c r="H2425" s="7" t="s">
        <v>300</v>
      </c>
      <c r="I2425" s="7" t="s">
        <v>292</v>
      </c>
      <c r="J2425" s="1">
        <v>2</v>
      </c>
      <c r="K2425" s="1">
        <v>5</v>
      </c>
      <c r="L2425" s="67">
        <f t="shared" si="75"/>
        <v>1</v>
      </c>
    </row>
    <row r="2426" spans="1:12" x14ac:dyDescent="0.2">
      <c r="A2426">
        <v>2425</v>
      </c>
      <c r="B2426" s="7" t="s">
        <v>372</v>
      </c>
      <c r="C2426" t="s">
        <v>1316</v>
      </c>
      <c r="D2426" s="65" t="str">
        <f t="shared" si="74"/>
        <v>Y</v>
      </c>
      <c r="E2426" t="s">
        <v>1315</v>
      </c>
      <c r="F2426" s="7" t="s">
        <v>300</v>
      </c>
      <c r="G2426" s="1">
        <v>2</v>
      </c>
      <c r="H2426" s="7" t="s">
        <v>300</v>
      </c>
      <c r="I2426" s="7" t="s">
        <v>292</v>
      </c>
      <c r="J2426" s="1">
        <v>2</v>
      </c>
      <c r="K2426" s="1">
        <v>5</v>
      </c>
      <c r="L2426" s="67">
        <f t="shared" si="75"/>
        <v>1</v>
      </c>
    </row>
    <row r="2427" spans="1:12" x14ac:dyDescent="0.2">
      <c r="A2427">
        <v>2426</v>
      </c>
      <c r="B2427" s="7" t="s">
        <v>356</v>
      </c>
      <c r="C2427" t="s">
        <v>1316</v>
      </c>
      <c r="D2427" s="65" t="str">
        <f t="shared" si="74"/>
        <v>Y</v>
      </c>
      <c r="E2427" t="s">
        <v>1315</v>
      </c>
      <c r="F2427" s="7" t="s">
        <v>300</v>
      </c>
      <c r="G2427" s="1">
        <v>2</v>
      </c>
      <c r="H2427" s="7" t="s">
        <v>300</v>
      </c>
      <c r="I2427" s="7" t="s">
        <v>292</v>
      </c>
      <c r="J2427" s="1">
        <v>2</v>
      </c>
      <c r="K2427" s="1">
        <v>5</v>
      </c>
      <c r="L2427" s="67">
        <f t="shared" si="75"/>
        <v>1</v>
      </c>
    </row>
    <row r="2428" spans="1:12" x14ac:dyDescent="0.2">
      <c r="A2428">
        <v>2427</v>
      </c>
      <c r="B2428" s="7" t="s">
        <v>372</v>
      </c>
      <c r="C2428" t="s">
        <v>1316</v>
      </c>
      <c r="D2428" s="65" t="str">
        <f t="shared" si="74"/>
        <v>Y</v>
      </c>
      <c r="E2428" t="s">
        <v>1315</v>
      </c>
      <c r="F2428" s="7" t="s">
        <v>300</v>
      </c>
      <c r="G2428" s="1">
        <v>2</v>
      </c>
      <c r="H2428" s="7" t="s">
        <v>300</v>
      </c>
      <c r="I2428" s="7" t="s">
        <v>297</v>
      </c>
      <c r="J2428" s="1">
        <v>2</v>
      </c>
      <c r="K2428" s="1">
        <v>4</v>
      </c>
      <c r="L2428" s="67">
        <f t="shared" si="75"/>
        <v>1</v>
      </c>
    </row>
    <row r="2429" spans="1:12" x14ac:dyDescent="0.2">
      <c r="A2429">
        <v>2428</v>
      </c>
      <c r="B2429" s="7" t="s">
        <v>356</v>
      </c>
      <c r="C2429" t="s">
        <v>1316</v>
      </c>
      <c r="D2429" s="65" t="str">
        <f t="shared" si="74"/>
        <v>Y</v>
      </c>
      <c r="E2429" t="s">
        <v>1315</v>
      </c>
      <c r="F2429" s="7" t="s">
        <v>300</v>
      </c>
      <c r="G2429" s="1">
        <v>2</v>
      </c>
      <c r="H2429" s="7" t="s">
        <v>300</v>
      </c>
      <c r="I2429" s="7" t="s">
        <v>296</v>
      </c>
      <c r="J2429" s="1">
        <v>2</v>
      </c>
      <c r="K2429" s="1">
        <v>6</v>
      </c>
      <c r="L2429" s="67">
        <f t="shared" si="75"/>
        <v>1</v>
      </c>
    </row>
    <row r="2430" spans="1:12" x14ac:dyDescent="0.2">
      <c r="A2430">
        <v>2429</v>
      </c>
      <c r="B2430" s="7" t="s">
        <v>372</v>
      </c>
      <c r="C2430" t="s">
        <v>1316</v>
      </c>
      <c r="D2430" s="65" t="str">
        <f t="shared" si="74"/>
        <v>Y</v>
      </c>
      <c r="E2430" t="s">
        <v>1315</v>
      </c>
      <c r="F2430" s="7" t="s">
        <v>300</v>
      </c>
      <c r="G2430" s="1">
        <v>2</v>
      </c>
      <c r="H2430" s="7" t="s">
        <v>300</v>
      </c>
      <c r="I2430" s="7" t="s">
        <v>294</v>
      </c>
      <c r="J2430" s="1">
        <v>2</v>
      </c>
      <c r="K2430" s="1">
        <v>7</v>
      </c>
      <c r="L2430" s="67">
        <f t="shared" si="75"/>
        <v>1</v>
      </c>
    </row>
    <row r="2431" spans="1:12" x14ac:dyDescent="0.2">
      <c r="A2431">
        <v>2430</v>
      </c>
      <c r="B2431" s="7" t="s">
        <v>356</v>
      </c>
      <c r="C2431" t="s">
        <v>1316</v>
      </c>
      <c r="D2431" s="65" t="str">
        <f t="shared" si="74"/>
        <v>Y</v>
      </c>
      <c r="E2431" t="s">
        <v>1315</v>
      </c>
      <c r="F2431" s="7" t="s">
        <v>300</v>
      </c>
      <c r="G2431" s="1">
        <v>2</v>
      </c>
      <c r="H2431" s="7" t="s">
        <v>300</v>
      </c>
      <c r="I2431" s="7" t="s">
        <v>294</v>
      </c>
      <c r="J2431" s="1">
        <v>2</v>
      </c>
      <c r="K2431" s="1">
        <v>7</v>
      </c>
      <c r="L2431" s="67">
        <f t="shared" si="75"/>
        <v>1</v>
      </c>
    </row>
    <row r="2432" spans="1:12" x14ac:dyDescent="0.2">
      <c r="A2432">
        <v>2431</v>
      </c>
      <c r="B2432" s="7" t="s">
        <v>372</v>
      </c>
      <c r="C2432" t="s">
        <v>1316</v>
      </c>
      <c r="D2432" s="65" t="str">
        <f t="shared" si="74"/>
        <v>Y</v>
      </c>
      <c r="E2432" t="s">
        <v>1315</v>
      </c>
      <c r="F2432" s="7" t="s">
        <v>300</v>
      </c>
      <c r="G2432" s="1">
        <v>2</v>
      </c>
      <c r="H2432" s="7" t="s">
        <v>300</v>
      </c>
      <c r="I2432" s="7" t="s">
        <v>296</v>
      </c>
      <c r="J2432" s="1">
        <v>2</v>
      </c>
      <c r="K2432" s="1">
        <v>6</v>
      </c>
      <c r="L2432" s="67">
        <f t="shared" si="75"/>
        <v>1</v>
      </c>
    </row>
    <row r="2433" spans="1:12" x14ac:dyDescent="0.2">
      <c r="A2433">
        <v>2432</v>
      </c>
      <c r="B2433" s="7" t="s">
        <v>372</v>
      </c>
      <c r="C2433" t="s">
        <v>1316</v>
      </c>
      <c r="D2433" s="65" t="str">
        <f t="shared" si="74"/>
        <v>Y</v>
      </c>
      <c r="E2433" t="s">
        <v>1315</v>
      </c>
      <c r="F2433" s="7" t="s">
        <v>300</v>
      </c>
      <c r="G2433" s="1">
        <v>2</v>
      </c>
      <c r="H2433" s="7" t="s">
        <v>300</v>
      </c>
      <c r="I2433" s="7" t="s">
        <v>294</v>
      </c>
      <c r="J2433" s="1">
        <v>2</v>
      </c>
      <c r="K2433" s="1">
        <v>7</v>
      </c>
      <c r="L2433" s="67">
        <f t="shared" si="75"/>
        <v>1</v>
      </c>
    </row>
    <row r="2434" spans="1:12" x14ac:dyDescent="0.2">
      <c r="A2434">
        <v>2433</v>
      </c>
      <c r="B2434" s="7" t="s">
        <v>356</v>
      </c>
      <c r="C2434" t="s">
        <v>1316</v>
      </c>
      <c r="D2434" s="65" t="str">
        <f t="shared" si="74"/>
        <v>Y</v>
      </c>
      <c r="E2434" t="s">
        <v>1315</v>
      </c>
      <c r="F2434" s="7" t="s">
        <v>300</v>
      </c>
      <c r="G2434" s="1">
        <v>2</v>
      </c>
      <c r="H2434" s="7" t="s">
        <v>300</v>
      </c>
      <c r="I2434" s="7" t="s">
        <v>296</v>
      </c>
      <c r="J2434" s="1">
        <v>2</v>
      </c>
      <c r="K2434" s="1">
        <v>6</v>
      </c>
      <c r="L2434" s="67">
        <f t="shared" si="75"/>
        <v>1</v>
      </c>
    </row>
    <row r="2435" spans="1:12" x14ac:dyDescent="0.2">
      <c r="A2435">
        <v>2434</v>
      </c>
      <c r="B2435" s="7" t="s">
        <v>356</v>
      </c>
      <c r="C2435" t="s">
        <v>1316</v>
      </c>
      <c r="D2435" s="65" t="str">
        <f t="shared" ref="D2435:D2498" si="76">IF($E2435="iso", "N", IF(OR($E2435="non", $E2435="emd", $E2435="dyn"), "Y", "ERROR"))</f>
        <v>Y</v>
      </c>
      <c r="E2435" t="s">
        <v>1315</v>
      </c>
      <c r="F2435" s="7" t="s">
        <v>300</v>
      </c>
      <c r="G2435" s="1">
        <v>2</v>
      </c>
      <c r="H2435" s="7" t="s">
        <v>300</v>
      </c>
      <c r="I2435" s="7" t="s">
        <v>296</v>
      </c>
      <c r="J2435" s="1">
        <v>2</v>
      </c>
      <c r="K2435" s="1">
        <v>6</v>
      </c>
      <c r="L2435" s="67">
        <f t="shared" ref="L2435:L2498" si="77">IF(G2435=J2435, 1, 0)</f>
        <v>1</v>
      </c>
    </row>
    <row r="2436" spans="1:12" x14ac:dyDescent="0.2">
      <c r="A2436">
        <v>2435</v>
      </c>
      <c r="B2436" s="7" t="s">
        <v>372</v>
      </c>
      <c r="C2436" t="s">
        <v>1316</v>
      </c>
      <c r="D2436" s="65" t="str">
        <f t="shared" si="76"/>
        <v>Y</v>
      </c>
      <c r="E2436" t="s">
        <v>1315</v>
      </c>
      <c r="F2436" s="7" t="s">
        <v>300</v>
      </c>
      <c r="G2436" s="1">
        <v>2</v>
      </c>
      <c r="H2436" s="7" t="s">
        <v>282</v>
      </c>
      <c r="I2436" s="7" t="s">
        <v>292</v>
      </c>
      <c r="J2436" s="4" t="s">
        <v>282</v>
      </c>
      <c r="K2436" s="1">
        <v>5</v>
      </c>
      <c r="L2436" s="67">
        <f t="shared" si="77"/>
        <v>0</v>
      </c>
    </row>
    <row r="2437" spans="1:12" x14ac:dyDescent="0.2">
      <c r="A2437">
        <v>2436</v>
      </c>
      <c r="B2437" s="7" t="s">
        <v>372</v>
      </c>
      <c r="C2437" t="s">
        <v>1316</v>
      </c>
      <c r="D2437" s="65" t="str">
        <f t="shared" si="76"/>
        <v>Y</v>
      </c>
      <c r="E2437" t="s">
        <v>1315</v>
      </c>
      <c r="F2437" s="7" t="s">
        <v>300</v>
      </c>
      <c r="G2437" s="1">
        <v>2</v>
      </c>
      <c r="H2437" s="7" t="s">
        <v>300</v>
      </c>
      <c r="I2437" s="7" t="s">
        <v>294</v>
      </c>
      <c r="J2437" s="1">
        <v>2</v>
      </c>
      <c r="K2437" s="1">
        <v>7</v>
      </c>
      <c r="L2437" s="67">
        <f t="shared" si="77"/>
        <v>1</v>
      </c>
    </row>
    <row r="2438" spans="1:12" x14ac:dyDescent="0.2">
      <c r="A2438">
        <v>2437</v>
      </c>
      <c r="B2438" s="7" t="s">
        <v>356</v>
      </c>
      <c r="C2438" t="s">
        <v>1316</v>
      </c>
      <c r="D2438" s="65" t="str">
        <f t="shared" si="76"/>
        <v>Y</v>
      </c>
      <c r="E2438" t="s">
        <v>1315</v>
      </c>
      <c r="F2438" s="7" t="s">
        <v>300</v>
      </c>
      <c r="G2438" s="1">
        <v>2</v>
      </c>
      <c r="H2438" s="7" t="s">
        <v>301</v>
      </c>
      <c r="I2438" s="7" t="s">
        <v>292</v>
      </c>
      <c r="J2438" s="1">
        <v>5</v>
      </c>
      <c r="K2438" s="1">
        <v>5</v>
      </c>
      <c r="L2438" s="67">
        <f t="shared" si="77"/>
        <v>0</v>
      </c>
    </row>
    <row r="2439" spans="1:12" x14ac:dyDescent="0.2">
      <c r="A2439">
        <v>2438</v>
      </c>
      <c r="B2439" s="7" t="s">
        <v>372</v>
      </c>
      <c r="C2439" t="s">
        <v>1316</v>
      </c>
      <c r="D2439" s="65" t="str">
        <f t="shared" si="76"/>
        <v>Y</v>
      </c>
      <c r="E2439" t="s">
        <v>1315</v>
      </c>
      <c r="F2439" s="7" t="s">
        <v>300</v>
      </c>
      <c r="G2439" s="1">
        <v>2</v>
      </c>
      <c r="H2439" s="7" t="s">
        <v>300</v>
      </c>
      <c r="I2439" s="7" t="s">
        <v>296</v>
      </c>
      <c r="J2439" s="1">
        <v>2</v>
      </c>
      <c r="K2439" s="1">
        <v>6</v>
      </c>
      <c r="L2439" s="67">
        <f t="shared" si="77"/>
        <v>1</v>
      </c>
    </row>
    <row r="2440" spans="1:12" x14ac:dyDescent="0.2">
      <c r="A2440">
        <v>2439</v>
      </c>
      <c r="B2440" s="7" t="s">
        <v>356</v>
      </c>
      <c r="C2440" t="s">
        <v>1316</v>
      </c>
      <c r="D2440" s="65" t="str">
        <f t="shared" si="76"/>
        <v>Y</v>
      </c>
      <c r="E2440" t="s">
        <v>1315</v>
      </c>
      <c r="F2440" s="7" t="s">
        <v>300</v>
      </c>
      <c r="G2440" s="1">
        <v>2</v>
      </c>
      <c r="H2440" s="7" t="s">
        <v>300</v>
      </c>
      <c r="I2440" s="7" t="s">
        <v>294</v>
      </c>
      <c r="J2440" s="1">
        <v>2</v>
      </c>
      <c r="K2440" s="1">
        <v>7</v>
      </c>
      <c r="L2440" s="67">
        <f t="shared" si="77"/>
        <v>1</v>
      </c>
    </row>
    <row r="2441" spans="1:12" x14ac:dyDescent="0.2">
      <c r="A2441">
        <v>2440</v>
      </c>
      <c r="B2441" s="7" t="s">
        <v>356</v>
      </c>
      <c r="C2441" t="s">
        <v>1316</v>
      </c>
      <c r="D2441" s="65" t="str">
        <f t="shared" si="76"/>
        <v>Y</v>
      </c>
      <c r="E2441" t="s">
        <v>1315</v>
      </c>
      <c r="F2441" s="7" t="s">
        <v>300</v>
      </c>
      <c r="G2441" s="1">
        <v>2</v>
      </c>
      <c r="H2441" s="7" t="s">
        <v>300</v>
      </c>
      <c r="I2441" s="7" t="s">
        <v>292</v>
      </c>
      <c r="J2441" s="1">
        <v>2</v>
      </c>
      <c r="K2441" s="1">
        <v>5</v>
      </c>
      <c r="L2441" s="67">
        <f t="shared" si="77"/>
        <v>1</v>
      </c>
    </row>
    <row r="2442" spans="1:12" x14ac:dyDescent="0.2">
      <c r="A2442">
        <v>2441</v>
      </c>
      <c r="B2442" s="7" t="s">
        <v>372</v>
      </c>
      <c r="C2442" t="s">
        <v>1316</v>
      </c>
      <c r="D2442" s="65" t="str">
        <f t="shared" si="76"/>
        <v>Y</v>
      </c>
      <c r="E2442" t="s">
        <v>1315</v>
      </c>
      <c r="F2442" s="7" t="s">
        <v>300</v>
      </c>
      <c r="G2442" s="1">
        <v>2</v>
      </c>
      <c r="H2442" s="7" t="s">
        <v>300</v>
      </c>
      <c r="I2442" s="7" t="s">
        <v>294</v>
      </c>
      <c r="J2442" s="1">
        <v>2</v>
      </c>
      <c r="K2442" s="1">
        <v>7</v>
      </c>
      <c r="L2442" s="67">
        <f t="shared" si="77"/>
        <v>1</v>
      </c>
    </row>
    <row r="2443" spans="1:12" x14ac:dyDescent="0.2">
      <c r="A2443">
        <v>2442</v>
      </c>
      <c r="B2443" s="7" t="s">
        <v>372</v>
      </c>
      <c r="C2443" t="s">
        <v>1316</v>
      </c>
      <c r="D2443" s="65" t="str">
        <f t="shared" si="76"/>
        <v>Y</v>
      </c>
      <c r="E2443" t="s">
        <v>1315</v>
      </c>
      <c r="F2443" s="7" t="s">
        <v>300</v>
      </c>
      <c r="G2443" s="1">
        <v>2</v>
      </c>
      <c r="H2443" s="7" t="s">
        <v>300</v>
      </c>
      <c r="I2443" s="7" t="s">
        <v>296</v>
      </c>
      <c r="J2443" s="1">
        <v>2</v>
      </c>
      <c r="K2443" s="1">
        <v>6</v>
      </c>
      <c r="L2443" s="67">
        <f t="shared" si="77"/>
        <v>1</v>
      </c>
    </row>
    <row r="2444" spans="1:12" x14ac:dyDescent="0.2">
      <c r="A2444">
        <v>2443</v>
      </c>
      <c r="B2444" s="7" t="s">
        <v>356</v>
      </c>
      <c r="C2444" t="s">
        <v>1316</v>
      </c>
      <c r="D2444" s="65" t="str">
        <f t="shared" si="76"/>
        <v>Y</v>
      </c>
      <c r="E2444" t="s">
        <v>1315</v>
      </c>
      <c r="F2444" s="7" t="s">
        <v>300</v>
      </c>
      <c r="G2444" s="1">
        <v>2</v>
      </c>
      <c r="H2444" s="7" t="s">
        <v>300</v>
      </c>
      <c r="I2444" s="7" t="s">
        <v>296</v>
      </c>
      <c r="J2444" s="1">
        <v>2</v>
      </c>
      <c r="K2444" s="1">
        <v>6</v>
      </c>
      <c r="L2444" s="67">
        <f t="shared" si="77"/>
        <v>1</v>
      </c>
    </row>
    <row r="2445" spans="1:12" x14ac:dyDescent="0.2">
      <c r="A2445">
        <v>2444</v>
      </c>
      <c r="B2445" s="7" t="s">
        <v>356</v>
      </c>
      <c r="C2445" t="s">
        <v>1316</v>
      </c>
      <c r="D2445" s="65" t="str">
        <f t="shared" si="76"/>
        <v>Y</v>
      </c>
      <c r="E2445" t="s">
        <v>1315</v>
      </c>
      <c r="F2445" s="7" t="s">
        <v>300</v>
      </c>
      <c r="G2445" s="1">
        <v>2</v>
      </c>
      <c r="H2445" s="7" t="s">
        <v>300</v>
      </c>
      <c r="I2445" s="7" t="s">
        <v>292</v>
      </c>
      <c r="J2445" s="1">
        <v>2</v>
      </c>
      <c r="K2445" s="1">
        <v>5</v>
      </c>
      <c r="L2445" s="67">
        <f t="shared" si="77"/>
        <v>1</v>
      </c>
    </row>
    <row r="2446" spans="1:12" x14ac:dyDescent="0.2">
      <c r="A2446">
        <v>2445</v>
      </c>
      <c r="B2446" s="7" t="s">
        <v>372</v>
      </c>
      <c r="C2446" t="s">
        <v>1316</v>
      </c>
      <c r="D2446" s="65" t="str">
        <f t="shared" si="76"/>
        <v>Y</v>
      </c>
      <c r="E2446" t="s">
        <v>1315</v>
      </c>
      <c r="F2446" s="7" t="s">
        <v>300</v>
      </c>
      <c r="G2446" s="1">
        <v>2</v>
      </c>
      <c r="H2446" s="7" t="s">
        <v>300</v>
      </c>
      <c r="I2446" s="7" t="s">
        <v>292</v>
      </c>
      <c r="J2446" s="1">
        <v>2</v>
      </c>
      <c r="K2446" s="1">
        <v>5</v>
      </c>
      <c r="L2446" s="67">
        <f t="shared" si="77"/>
        <v>1</v>
      </c>
    </row>
    <row r="2447" spans="1:12" x14ac:dyDescent="0.2">
      <c r="A2447">
        <v>2446</v>
      </c>
      <c r="B2447" s="7" t="s">
        <v>356</v>
      </c>
      <c r="C2447" t="s">
        <v>1316</v>
      </c>
      <c r="D2447" s="65" t="str">
        <f t="shared" si="76"/>
        <v>Y</v>
      </c>
      <c r="E2447" t="s">
        <v>1315</v>
      </c>
      <c r="F2447" s="7" t="s">
        <v>300</v>
      </c>
      <c r="G2447" s="1">
        <v>2</v>
      </c>
      <c r="H2447" s="7" t="s">
        <v>300</v>
      </c>
      <c r="I2447" s="7" t="s">
        <v>294</v>
      </c>
      <c r="J2447" s="1">
        <v>2</v>
      </c>
      <c r="K2447" s="1">
        <v>7</v>
      </c>
      <c r="L2447" s="67">
        <f t="shared" si="77"/>
        <v>1</v>
      </c>
    </row>
    <row r="2448" spans="1:12" x14ac:dyDescent="0.2">
      <c r="A2448">
        <v>2447</v>
      </c>
      <c r="B2448" s="7" t="s">
        <v>372</v>
      </c>
      <c r="C2448" t="s">
        <v>1316</v>
      </c>
      <c r="D2448" s="65" t="str">
        <f t="shared" si="76"/>
        <v>Y</v>
      </c>
      <c r="E2448" t="s">
        <v>1315</v>
      </c>
      <c r="F2448" s="7" t="s">
        <v>300</v>
      </c>
      <c r="G2448" s="1">
        <v>2</v>
      </c>
      <c r="H2448" s="7" t="s">
        <v>300</v>
      </c>
      <c r="I2448" s="7" t="s">
        <v>296</v>
      </c>
      <c r="J2448" s="1">
        <v>2</v>
      </c>
      <c r="K2448" s="1">
        <v>6</v>
      </c>
      <c r="L2448" s="67">
        <f t="shared" si="77"/>
        <v>1</v>
      </c>
    </row>
    <row r="2449" spans="1:12" x14ac:dyDescent="0.2">
      <c r="A2449">
        <v>2448</v>
      </c>
      <c r="B2449" s="7" t="s">
        <v>356</v>
      </c>
      <c r="C2449" t="s">
        <v>1316</v>
      </c>
      <c r="D2449" s="65" t="str">
        <f t="shared" si="76"/>
        <v>Y</v>
      </c>
      <c r="E2449" t="s">
        <v>1315</v>
      </c>
      <c r="F2449" s="7" t="s">
        <v>300</v>
      </c>
      <c r="G2449" s="1">
        <v>2</v>
      </c>
      <c r="H2449" s="7" t="s">
        <v>300</v>
      </c>
      <c r="I2449" s="7" t="s">
        <v>294</v>
      </c>
      <c r="J2449" s="1">
        <v>2</v>
      </c>
      <c r="K2449" s="1">
        <v>7</v>
      </c>
      <c r="L2449" s="67">
        <f t="shared" si="77"/>
        <v>1</v>
      </c>
    </row>
    <row r="2450" spans="1:12" x14ac:dyDescent="0.2">
      <c r="A2450">
        <v>2449</v>
      </c>
      <c r="B2450" s="7" t="s">
        <v>372</v>
      </c>
      <c r="C2450" t="s">
        <v>1316</v>
      </c>
      <c r="D2450" s="65" t="str">
        <f t="shared" si="76"/>
        <v>Y</v>
      </c>
      <c r="E2450" t="s">
        <v>1315</v>
      </c>
      <c r="F2450" s="7" t="s">
        <v>300</v>
      </c>
      <c r="G2450" s="1">
        <v>2</v>
      </c>
      <c r="H2450" s="7" t="s">
        <v>300</v>
      </c>
      <c r="I2450" s="7" t="s">
        <v>292</v>
      </c>
      <c r="J2450" s="1">
        <v>2</v>
      </c>
      <c r="K2450" s="1">
        <v>5</v>
      </c>
      <c r="L2450" s="67">
        <f t="shared" si="77"/>
        <v>1</v>
      </c>
    </row>
    <row r="2451" spans="1:12" x14ac:dyDescent="0.2">
      <c r="A2451">
        <v>2450</v>
      </c>
      <c r="B2451" s="7" t="s">
        <v>356</v>
      </c>
      <c r="C2451" t="s">
        <v>1316</v>
      </c>
      <c r="D2451" s="65" t="str">
        <f t="shared" si="76"/>
        <v>Y</v>
      </c>
      <c r="E2451" t="s">
        <v>1315</v>
      </c>
      <c r="F2451" s="7" t="s">
        <v>301</v>
      </c>
      <c r="G2451" s="1">
        <v>5</v>
      </c>
      <c r="H2451" s="7" t="s">
        <v>291</v>
      </c>
      <c r="I2451" s="7" t="s">
        <v>297</v>
      </c>
      <c r="J2451" s="1">
        <v>1</v>
      </c>
      <c r="K2451" s="1">
        <v>4</v>
      </c>
      <c r="L2451" s="67">
        <f t="shared" si="77"/>
        <v>0</v>
      </c>
    </row>
    <row r="2452" spans="1:12" x14ac:dyDescent="0.2">
      <c r="A2452">
        <v>2451</v>
      </c>
      <c r="B2452" s="7" t="s">
        <v>372</v>
      </c>
      <c r="C2452" t="s">
        <v>1316</v>
      </c>
      <c r="D2452" s="65" t="str">
        <f t="shared" si="76"/>
        <v>Y</v>
      </c>
      <c r="E2452" t="s">
        <v>1315</v>
      </c>
      <c r="F2452" s="7" t="s">
        <v>301</v>
      </c>
      <c r="G2452" s="1">
        <v>5</v>
      </c>
      <c r="H2452" s="7" t="s">
        <v>291</v>
      </c>
      <c r="I2452" s="7" t="s">
        <v>296</v>
      </c>
      <c r="J2452" s="1">
        <v>1</v>
      </c>
      <c r="K2452" s="1">
        <v>6</v>
      </c>
      <c r="L2452" s="67">
        <f t="shared" si="77"/>
        <v>0</v>
      </c>
    </row>
    <row r="2453" spans="1:12" x14ac:dyDescent="0.2">
      <c r="A2453">
        <v>2452</v>
      </c>
      <c r="B2453" s="7" t="s">
        <v>372</v>
      </c>
      <c r="C2453" t="s">
        <v>1316</v>
      </c>
      <c r="D2453" s="65" t="str">
        <f t="shared" si="76"/>
        <v>Y</v>
      </c>
      <c r="E2453" t="s">
        <v>1315</v>
      </c>
      <c r="F2453" s="7" t="s">
        <v>301</v>
      </c>
      <c r="G2453" s="1">
        <v>5</v>
      </c>
      <c r="H2453" s="7" t="s">
        <v>291</v>
      </c>
      <c r="I2453" s="7" t="s">
        <v>297</v>
      </c>
      <c r="J2453" s="1">
        <v>1</v>
      </c>
      <c r="K2453" s="1">
        <v>4</v>
      </c>
      <c r="L2453" s="67">
        <f t="shared" si="77"/>
        <v>0</v>
      </c>
    </row>
    <row r="2454" spans="1:12" x14ac:dyDescent="0.2">
      <c r="A2454">
        <v>2453</v>
      </c>
      <c r="B2454" s="7" t="s">
        <v>356</v>
      </c>
      <c r="C2454" t="s">
        <v>1316</v>
      </c>
      <c r="D2454" s="65" t="str">
        <f t="shared" si="76"/>
        <v>Y</v>
      </c>
      <c r="E2454" t="s">
        <v>1315</v>
      </c>
      <c r="F2454" s="7" t="s">
        <v>301</v>
      </c>
      <c r="G2454" s="1">
        <v>5</v>
      </c>
      <c r="H2454" s="7" t="s">
        <v>291</v>
      </c>
      <c r="I2454" s="7" t="s">
        <v>292</v>
      </c>
      <c r="J2454" s="1">
        <v>1</v>
      </c>
      <c r="K2454" s="1">
        <v>5</v>
      </c>
      <c r="L2454" s="67">
        <f t="shared" si="77"/>
        <v>0</v>
      </c>
    </row>
    <row r="2455" spans="1:12" x14ac:dyDescent="0.2">
      <c r="A2455">
        <v>2454</v>
      </c>
      <c r="B2455" s="7" t="s">
        <v>372</v>
      </c>
      <c r="C2455" t="s">
        <v>1316</v>
      </c>
      <c r="D2455" s="65" t="str">
        <f t="shared" si="76"/>
        <v>Y</v>
      </c>
      <c r="E2455" t="s">
        <v>1315</v>
      </c>
      <c r="F2455" s="7" t="s">
        <v>301</v>
      </c>
      <c r="G2455" s="1">
        <v>5</v>
      </c>
      <c r="H2455" s="7" t="s">
        <v>291</v>
      </c>
      <c r="I2455" s="7" t="s">
        <v>292</v>
      </c>
      <c r="J2455" s="1">
        <v>1</v>
      </c>
      <c r="K2455" s="1">
        <v>5</v>
      </c>
      <c r="L2455" s="67">
        <f t="shared" si="77"/>
        <v>0</v>
      </c>
    </row>
    <row r="2456" spans="1:12" x14ac:dyDescent="0.2">
      <c r="A2456">
        <v>2455</v>
      </c>
      <c r="B2456" s="7" t="s">
        <v>356</v>
      </c>
      <c r="C2456" t="s">
        <v>1316</v>
      </c>
      <c r="D2456" s="65" t="str">
        <f t="shared" si="76"/>
        <v>Y</v>
      </c>
      <c r="E2456" t="s">
        <v>1315</v>
      </c>
      <c r="F2456" s="7" t="s">
        <v>301</v>
      </c>
      <c r="G2456" s="1">
        <v>5</v>
      </c>
      <c r="H2456" s="7" t="s">
        <v>291</v>
      </c>
      <c r="I2456" s="7" t="s">
        <v>292</v>
      </c>
      <c r="J2456" s="1">
        <v>1</v>
      </c>
      <c r="K2456" s="1">
        <v>5</v>
      </c>
      <c r="L2456" s="67">
        <f t="shared" si="77"/>
        <v>0</v>
      </c>
    </row>
    <row r="2457" spans="1:12" x14ac:dyDescent="0.2">
      <c r="A2457">
        <v>2456</v>
      </c>
      <c r="B2457" s="7" t="s">
        <v>372</v>
      </c>
      <c r="C2457" t="s">
        <v>1316</v>
      </c>
      <c r="D2457" s="65" t="str">
        <f t="shared" si="76"/>
        <v>Y</v>
      </c>
      <c r="E2457" t="s">
        <v>1315</v>
      </c>
      <c r="F2457" s="7" t="s">
        <v>301</v>
      </c>
      <c r="G2457" s="1">
        <v>5</v>
      </c>
      <c r="H2457" s="7" t="s">
        <v>291</v>
      </c>
      <c r="I2457" s="7" t="s">
        <v>296</v>
      </c>
      <c r="J2457" s="1">
        <v>1</v>
      </c>
      <c r="K2457" s="1">
        <v>6</v>
      </c>
      <c r="L2457" s="67">
        <f t="shared" si="77"/>
        <v>0</v>
      </c>
    </row>
    <row r="2458" spans="1:12" x14ac:dyDescent="0.2">
      <c r="A2458">
        <v>2457</v>
      </c>
      <c r="B2458" s="7" t="s">
        <v>356</v>
      </c>
      <c r="C2458" t="s">
        <v>1316</v>
      </c>
      <c r="D2458" s="65" t="str">
        <f t="shared" si="76"/>
        <v>Y</v>
      </c>
      <c r="E2458" t="s">
        <v>1315</v>
      </c>
      <c r="F2458" s="7" t="s">
        <v>301</v>
      </c>
      <c r="G2458" s="1">
        <v>5</v>
      </c>
      <c r="H2458" s="7" t="s">
        <v>301</v>
      </c>
      <c r="I2458" s="7" t="s">
        <v>292</v>
      </c>
      <c r="J2458" s="1">
        <v>5</v>
      </c>
      <c r="K2458" s="1">
        <v>5</v>
      </c>
      <c r="L2458" s="67">
        <f t="shared" si="77"/>
        <v>1</v>
      </c>
    </row>
    <row r="2459" spans="1:12" x14ac:dyDescent="0.2">
      <c r="A2459">
        <v>2458</v>
      </c>
      <c r="B2459" s="7" t="s">
        <v>372</v>
      </c>
      <c r="C2459" t="s">
        <v>1316</v>
      </c>
      <c r="D2459" s="65" t="str">
        <f t="shared" si="76"/>
        <v>Y</v>
      </c>
      <c r="E2459" t="s">
        <v>1315</v>
      </c>
      <c r="F2459" s="7" t="s">
        <v>301</v>
      </c>
      <c r="G2459" s="1">
        <v>5</v>
      </c>
      <c r="H2459" s="7" t="s">
        <v>282</v>
      </c>
      <c r="I2459" s="7" t="s">
        <v>296</v>
      </c>
      <c r="J2459" s="4" t="s">
        <v>282</v>
      </c>
      <c r="K2459" s="1">
        <v>6</v>
      </c>
      <c r="L2459" s="67">
        <f t="shared" si="77"/>
        <v>0</v>
      </c>
    </row>
    <row r="2460" spans="1:12" x14ac:dyDescent="0.2">
      <c r="A2460">
        <v>2459</v>
      </c>
      <c r="B2460" s="7" t="s">
        <v>356</v>
      </c>
      <c r="C2460" t="s">
        <v>1316</v>
      </c>
      <c r="D2460" s="65" t="str">
        <f t="shared" si="76"/>
        <v>Y</v>
      </c>
      <c r="E2460" t="s">
        <v>1315</v>
      </c>
      <c r="F2460" s="7" t="s">
        <v>301</v>
      </c>
      <c r="G2460" s="1">
        <v>5</v>
      </c>
      <c r="H2460" s="7" t="s">
        <v>301</v>
      </c>
      <c r="I2460" s="7" t="s">
        <v>292</v>
      </c>
      <c r="J2460" s="1">
        <v>5</v>
      </c>
      <c r="K2460" s="1">
        <v>5</v>
      </c>
      <c r="L2460" s="67">
        <f t="shared" si="77"/>
        <v>1</v>
      </c>
    </row>
    <row r="2461" spans="1:12" x14ac:dyDescent="0.2">
      <c r="A2461">
        <v>2460</v>
      </c>
      <c r="B2461" s="7" t="s">
        <v>356</v>
      </c>
      <c r="C2461" t="s">
        <v>1316</v>
      </c>
      <c r="D2461" s="65" t="str">
        <f t="shared" si="76"/>
        <v>Y</v>
      </c>
      <c r="E2461" t="s">
        <v>1315</v>
      </c>
      <c r="F2461" s="7" t="s">
        <v>301</v>
      </c>
      <c r="G2461" s="1">
        <v>5</v>
      </c>
      <c r="H2461" s="7" t="s">
        <v>301</v>
      </c>
      <c r="I2461" s="7" t="s">
        <v>296</v>
      </c>
      <c r="J2461" s="1">
        <v>5</v>
      </c>
      <c r="K2461" s="1">
        <v>6</v>
      </c>
      <c r="L2461" s="67">
        <f t="shared" si="77"/>
        <v>1</v>
      </c>
    </row>
    <row r="2462" spans="1:12" x14ac:dyDescent="0.2">
      <c r="A2462">
        <v>2461</v>
      </c>
      <c r="B2462" s="7" t="s">
        <v>372</v>
      </c>
      <c r="C2462" t="s">
        <v>1316</v>
      </c>
      <c r="D2462" s="65" t="str">
        <f t="shared" si="76"/>
        <v>Y</v>
      </c>
      <c r="E2462" t="s">
        <v>1315</v>
      </c>
      <c r="F2462" s="7" t="s">
        <v>301</v>
      </c>
      <c r="G2462" s="1">
        <v>5</v>
      </c>
      <c r="H2462" s="7" t="s">
        <v>291</v>
      </c>
      <c r="I2462" s="7" t="s">
        <v>292</v>
      </c>
      <c r="J2462" s="1">
        <v>1</v>
      </c>
      <c r="K2462" s="1">
        <v>5</v>
      </c>
      <c r="L2462" s="67">
        <f t="shared" si="77"/>
        <v>0</v>
      </c>
    </row>
    <row r="2463" spans="1:12" x14ac:dyDescent="0.2">
      <c r="A2463">
        <v>2462</v>
      </c>
      <c r="B2463" s="7" t="s">
        <v>356</v>
      </c>
      <c r="C2463" t="s">
        <v>1316</v>
      </c>
      <c r="D2463" s="65" t="str">
        <f t="shared" si="76"/>
        <v>Y</v>
      </c>
      <c r="E2463" t="s">
        <v>1315</v>
      </c>
      <c r="F2463" s="7" t="s">
        <v>301</v>
      </c>
      <c r="G2463" s="1">
        <v>5</v>
      </c>
      <c r="H2463" s="7" t="s">
        <v>301</v>
      </c>
      <c r="I2463" s="7" t="s">
        <v>294</v>
      </c>
      <c r="J2463" s="1">
        <v>5</v>
      </c>
      <c r="K2463" s="1">
        <v>7</v>
      </c>
      <c r="L2463" s="67">
        <f t="shared" si="77"/>
        <v>1</v>
      </c>
    </row>
    <row r="2464" spans="1:12" x14ac:dyDescent="0.2">
      <c r="A2464">
        <v>2463</v>
      </c>
      <c r="B2464" s="7" t="s">
        <v>372</v>
      </c>
      <c r="C2464" t="s">
        <v>1316</v>
      </c>
      <c r="D2464" s="65" t="str">
        <f t="shared" si="76"/>
        <v>Y</v>
      </c>
      <c r="E2464" t="s">
        <v>1315</v>
      </c>
      <c r="F2464" s="7" t="s">
        <v>301</v>
      </c>
      <c r="G2464" s="1">
        <v>5</v>
      </c>
      <c r="H2464" s="7" t="s">
        <v>300</v>
      </c>
      <c r="I2464" s="7" t="s">
        <v>296</v>
      </c>
      <c r="J2464" s="1">
        <v>2</v>
      </c>
      <c r="K2464" s="1">
        <v>6</v>
      </c>
      <c r="L2464" s="67">
        <f t="shared" si="77"/>
        <v>0</v>
      </c>
    </row>
    <row r="2465" spans="1:12" x14ac:dyDescent="0.2">
      <c r="A2465">
        <v>2464</v>
      </c>
      <c r="B2465" s="7" t="s">
        <v>356</v>
      </c>
      <c r="C2465" t="s">
        <v>1316</v>
      </c>
      <c r="D2465" s="65" t="str">
        <f t="shared" si="76"/>
        <v>Y</v>
      </c>
      <c r="E2465" t="s">
        <v>1315</v>
      </c>
      <c r="F2465" s="7" t="s">
        <v>301</v>
      </c>
      <c r="G2465" s="1">
        <v>5</v>
      </c>
      <c r="H2465" s="7" t="s">
        <v>301</v>
      </c>
      <c r="I2465" s="7" t="s">
        <v>297</v>
      </c>
      <c r="J2465" s="1">
        <v>5</v>
      </c>
      <c r="K2465" s="1">
        <v>4</v>
      </c>
      <c r="L2465" s="67">
        <f t="shared" si="77"/>
        <v>1</v>
      </c>
    </row>
    <row r="2466" spans="1:12" x14ac:dyDescent="0.2">
      <c r="A2466">
        <v>2465</v>
      </c>
      <c r="B2466" s="7" t="s">
        <v>372</v>
      </c>
      <c r="C2466" t="s">
        <v>1316</v>
      </c>
      <c r="D2466" s="65" t="str">
        <f t="shared" si="76"/>
        <v>Y</v>
      </c>
      <c r="E2466" t="s">
        <v>1315</v>
      </c>
      <c r="F2466" s="7" t="s">
        <v>301</v>
      </c>
      <c r="G2466" s="1">
        <v>5</v>
      </c>
      <c r="H2466" s="7" t="s">
        <v>291</v>
      </c>
      <c r="I2466" s="7" t="s">
        <v>292</v>
      </c>
      <c r="J2466" s="1">
        <v>1</v>
      </c>
      <c r="K2466" s="1">
        <v>5</v>
      </c>
      <c r="L2466" s="67">
        <f t="shared" si="77"/>
        <v>0</v>
      </c>
    </row>
    <row r="2467" spans="1:12" x14ac:dyDescent="0.2">
      <c r="A2467">
        <v>2466</v>
      </c>
      <c r="B2467" s="7" t="s">
        <v>372</v>
      </c>
      <c r="C2467" t="s">
        <v>1316</v>
      </c>
      <c r="D2467" s="65" t="str">
        <f t="shared" si="76"/>
        <v>Y</v>
      </c>
      <c r="E2467" t="s">
        <v>1315</v>
      </c>
      <c r="F2467" s="7" t="s">
        <v>301</v>
      </c>
      <c r="G2467" s="1">
        <v>5</v>
      </c>
      <c r="H2467" s="7" t="s">
        <v>301</v>
      </c>
      <c r="I2467" s="7" t="s">
        <v>292</v>
      </c>
      <c r="J2467" s="1">
        <v>5</v>
      </c>
      <c r="K2467" s="1">
        <v>5</v>
      </c>
      <c r="L2467" s="67">
        <f t="shared" si="77"/>
        <v>1</v>
      </c>
    </row>
    <row r="2468" spans="1:12" x14ac:dyDescent="0.2">
      <c r="A2468">
        <v>2467</v>
      </c>
      <c r="B2468" s="7" t="s">
        <v>356</v>
      </c>
      <c r="C2468" t="s">
        <v>1316</v>
      </c>
      <c r="D2468" s="65" t="str">
        <f t="shared" si="76"/>
        <v>Y</v>
      </c>
      <c r="E2468" t="s">
        <v>1315</v>
      </c>
      <c r="F2468" s="7" t="s">
        <v>301</v>
      </c>
      <c r="G2468" s="1">
        <v>5</v>
      </c>
      <c r="H2468" s="7" t="s">
        <v>291</v>
      </c>
      <c r="I2468" s="7" t="s">
        <v>292</v>
      </c>
      <c r="J2468" s="1">
        <v>1</v>
      </c>
      <c r="K2468" s="1">
        <v>5</v>
      </c>
      <c r="L2468" s="67">
        <f t="shared" si="77"/>
        <v>0</v>
      </c>
    </row>
    <row r="2469" spans="1:12" x14ac:dyDescent="0.2">
      <c r="A2469">
        <v>2468</v>
      </c>
      <c r="B2469" s="7" t="s">
        <v>356</v>
      </c>
      <c r="C2469" t="s">
        <v>1316</v>
      </c>
      <c r="D2469" s="65" t="str">
        <f t="shared" si="76"/>
        <v>Y</v>
      </c>
      <c r="E2469" t="s">
        <v>1315</v>
      </c>
      <c r="F2469" s="7" t="s">
        <v>301</v>
      </c>
      <c r="G2469" s="1">
        <v>5</v>
      </c>
      <c r="H2469" s="7" t="s">
        <v>291</v>
      </c>
      <c r="I2469" s="7" t="s">
        <v>292</v>
      </c>
      <c r="J2469" s="1">
        <v>1</v>
      </c>
      <c r="K2469" s="1">
        <v>5</v>
      </c>
      <c r="L2469" s="67">
        <f t="shared" si="77"/>
        <v>0</v>
      </c>
    </row>
    <row r="2470" spans="1:12" x14ac:dyDescent="0.2">
      <c r="A2470">
        <v>2469</v>
      </c>
      <c r="B2470" s="7" t="s">
        <v>372</v>
      </c>
      <c r="C2470" t="s">
        <v>1316</v>
      </c>
      <c r="D2470" s="65" t="str">
        <f t="shared" si="76"/>
        <v>Y</v>
      </c>
      <c r="E2470" t="s">
        <v>1315</v>
      </c>
      <c r="F2470" s="7" t="s">
        <v>301</v>
      </c>
      <c r="G2470" s="1">
        <v>5</v>
      </c>
      <c r="H2470" s="7" t="s">
        <v>301</v>
      </c>
      <c r="I2470" s="7" t="s">
        <v>330</v>
      </c>
      <c r="J2470" s="1">
        <v>5</v>
      </c>
      <c r="K2470" s="1">
        <v>3</v>
      </c>
      <c r="L2470" s="67">
        <f t="shared" si="77"/>
        <v>1</v>
      </c>
    </row>
    <row r="2471" spans="1:12" x14ac:dyDescent="0.2">
      <c r="A2471">
        <v>2470</v>
      </c>
      <c r="B2471" s="7" t="s">
        <v>356</v>
      </c>
      <c r="C2471" t="s">
        <v>1316</v>
      </c>
      <c r="D2471" s="65" t="str">
        <f t="shared" si="76"/>
        <v>Y</v>
      </c>
      <c r="E2471" t="s">
        <v>1315</v>
      </c>
      <c r="F2471" s="7" t="s">
        <v>301</v>
      </c>
      <c r="G2471" s="1">
        <v>5</v>
      </c>
      <c r="H2471" s="7" t="s">
        <v>291</v>
      </c>
      <c r="I2471" s="7" t="s">
        <v>292</v>
      </c>
      <c r="J2471" s="1">
        <v>1</v>
      </c>
      <c r="K2471" s="1">
        <v>5</v>
      </c>
      <c r="L2471" s="67">
        <f t="shared" si="77"/>
        <v>0</v>
      </c>
    </row>
    <row r="2472" spans="1:12" x14ac:dyDescent="0.2">
      <c r="A2472">
        <v>2471</v>
      </c>
      <c r="B2472" s="7" t="s">
        <v>356</v>
      </c>
      <c r="C2472" t="s">
        <v>1316</v>
      </c>
      <c r="D2472" s="65" t="str">
        <f t="shared" si="76"/>
        <v>Y</v>
      </c>
      <c r="E2472" t="s">
        <v>1315</v>
      </c>
      <c r="F2472" s="7" t="s">
        <v>301</v>
      </c>
      <c r="G2472" s="1">
        <v>5</v>
      </c>
      <c r="H2472" s="7" t="s">
        <v>301</v>
      </c>
      <c r="I2472" s="7" t="s">
        <v>292</v>
      </c>
      <c r="J2472" s="1">
        <v>5</v>
      </c>
      <c r="K2472" s="1">
        <v>5</v>
      </c>
      <c r="L2472" s="67">
        <f t="shared" si="77"/>
        <v>1</v>
      </c>
    </row>
    <row r="2473" spans="1:12" x14ac:dyDescent="0.2">
      <c r="A2473">
        <v>2472</v>
      </c>
      <c r="B2473" s="7" t="s">
        <v>372</v>
      </c>
      <c r="C2473" t="s">
        <v>1316</v>
      </c>
      <c r="D2473" s="65" t="str">
        <f t="shared" si="76"/>
        <v>Y</v>
      </c>
      <c r="E2473" t="s">
        <v>1315</v>
      </c>
      <c r="F2473" s="7" t="s">
        <v>301</v>
      </c>
      <c r="G2473" s="1">
        <v>5</v>
      </c>
      <c r="H2473" s="7" t="s">
        <v>291</v>
      </c>
      <c r="I2473" s="7" t="s">
        <v>296</v>
      </c>
      <c r="J2473" s="1">
        <v>1</v>
      </c>
      <c r="K2473" s="1">
        <v>6</v>
      </c>
      <c r="L2473" s="67">
        <f t="shared" si="77"/>
        <v>0</v>
      </c>
    </row>
    <row r="2474" spans="1:12" x14ac:dyDescent="0.2">
      <c r="A2474">
        <v>2473</v>
      </c>
      <c r="B2474" s="7" t="s">
        <v>372</v>
      </c>
      <c r="C2474" t="s">
        <v>1316</v>
      </c>
      <c r="D2474" s="65" t="str">
        <f t="shared" si="76"/>
        <v>Y</v>
      </c>
      <c r="E2474" t="s">
        <v>1315</v>
      </c>
      <c r="F2474" s="7" t="s">
        <v>301</v>
      </c>
      <c r="G2474" s="1">
        <v>5</v>
      </c>
      <c r="H2474" s="7" t="s">
        <v>291</v>
      </c>
      <c r="I2474" s="7" t="s">
        <v>294</v>
      </c>
      <c r="J2474" s="1">
        <v>1</v>
      </c>
      <c r="K2474" s="1">
        <v>7</v>
      </c>
      <c r="L2474" s="67">
        <f t="shared" si="77"/>
        <v>0</v>
      </c>
    </row>
    <row r="2475" spans="1:12" x14ac:dyDescent="0.2">
      <c r="A2475">
        <v>2474</v>
      </c>
      <c r="B2475" s="7" t="s">
        <v>356</v>
      </c>
      <c r="C2475" t="s">
        <v>1316</v>
      </c>
      <c r="D2475" s="65" t="str">
        <f t="shared" si="76"/>
        <v>Y</v>
      </c>
      <c r="E2475" t="s">
        <v>1315</v>
      </c>
      <c r="F2475" s="7" t="s">
        <v>301</v>
      </c>
      <c r="G2475" s="1">
        <v>5</v>
      </c>
      <c r="H2475" s="7" t="s">
        <v>301</v>
      </c>
      <c r="I2475" s="7" t="s">
        <v>296</v>
      </c>
      <c r="J2475" s="1">
        <v>5</v>
      </c>
      <c r="K2475" s="1">
        <v>6</v>
      </c>
      <c r="L2475" s="67">
        <f t="shared" si="77"/>
        <v>1</v>
      </c>
    </row>
    <row r="2476" spans="1:12" x14ac:dyDescent="0.2">
      <c r="A2476">
        <v>2475</v>
      </c>
      <c r="B2476" s="7" t="s">
        <v>356</v>
      </c>
      <c r="C2476" t="s">
        <v>1316</v>
      </c>
      <c r="D2476" s="65" t="str">
        <f t="shared" si="76"/>
        <v>Y</v>
      </c>
      <c r="E2476" t="s">
        <v>1315</v>
      </c>
      <c r="F2476" s="7" t="s">
        <v>301</v>
      </c>
      <c r="G2476" s="1">
        <v>5</v>
      </c>
      <c r="H2476" s="7" t="s">
        <v>300</v>
      </c>
      <c r="I2476" s="7" t="s">
        <v>297</v>
      </c>
      <c r="J2476" s="1">
        <v>2</v>
      </c>
      <c r="K2476" s="1">
        <v>4</v>
      </c>
      <c r="L2476" s="67">
        <f t="shared" si="77"/>
        <v>0</v>
      </c>
    </row>
    <row r="2477" spans="1:12" x14ac:dyDescent="0.2">
      <c r="A2477">
        <v>2476</v>
      </c>
      <c r="B2477" s="7" t="s">
        <v>372</v>
      </c>
      <c r="C2477" t="s">
        <v>1316</v>
      </c>
      <c r="D2477" s="65" t="str">
        <f t="shared" si="76"/>
        <v>Y</v>
      </c>
      <c r="E2477" t="s">
        <v>1315</v>
      </c>
      <c r="F2477" s="7" t="s">
        <v>301</v>
      </c>
      <c r="G2477" s="1">
        <v>5</v>
      </c>
      <c r="H2477" s="7" t="s">
        <v>291</v>
      </c>
      <c r="I2477" s="7" t="s">
        <v>294</v>
      </c>
      <c r="J2477" s="1">
        <v>1</v>
      </c>
      <c r="K2477" s="1">
        <v>7</v>
      </c>
      <c r="L2477" s="67">
        <f t="shared" si="77"/>
        <v>0</v>
      </c>
    </row>
    <row r="2478" spans="1:12" x14ac:dyDescent="0.2">
      <c r="A2478">
        <v>2477</v>
      </c>
      <c r="B2478" s="7" t="s">
        <v>356</v>
      </c>
      <c r="C2478" t="s">
        <v>1316</v>
      </c>
      <c r="D2478" s="65" t="str">
        <f t="shared" si="76"/>
        <v>Y</v>
      </c>
      <c r="E2478" t="s">
        <v>1315</v>
      </c>
      <c r="F2478" s="7" t="s">
        <v>301</v>
      </c>
      <c r="G2478" s="1">
        <v>5</v>
      </c>
      <c r="H2478" s="7" t="s">
        <v>300</v>
      </c>
      <c r="I2478" s="7" t="s">
        <v>297</v>
      </c>
      <c r="J2478" s="1">
        <v>2</v>
      </c>
      <c r="K2478" s="1">
        <v>4</v>
      </c>
      <c r="L2478" s="67">
        <f t="shared" si="77"/>
        <v>0</v>
      </c>
    </row>
    <row r="2479" spans="1:12" x14ac:dyDescent="0.2">
      <c r="A2479">
        <v>2478</v>
      </c>
      <c r="B2479" s="7" t="s">
        <v>372</v>
      </c>
      <c r="C2479" t="s">
        <v>1316</v>
      </c>
      <c r="D2479" s="65" t="str">
        <f t="shared" si="76"/>
        <v>Y</v>
      </c>
      <c r="E2479" t="s">
        <v>1315</v>
      </c>
      <c r="F2479" s="7" t="s">
        <v>301</v>
      </c>
      <c r="G2479" s="1">
        <v>5</v>
      </c>
      <c r="H2479" s="7" t="s">
        <v>300</v>
      </c>
      <c r="I2479" s="7" t="s">
        <v>296</v>
      </c>
      <c r="J2479" s="1">
        <v>2</v>
      </c>
      <c r="K2479" s="1">
        <v>6</v>
      </c>
      <c r="L2479" s="67">
        <f t="shared" si="77"/>
        <v>0</v>
      </c>
    </row>
    <row r="2480" spans="1:12" x14ac:dyDescent="0.2">
      <c r="A2480">
        <v>2479</v>
      </c>
      <c r="B2480" s="7" t="s">
        <v>356</v>
      </c>
      <c r="C2480" t="s">
        <v>1316</v>
      </c>
      <c r="D2480" s="65" t="str">
        <f t="shared" si="76"/>
        <v>Y</v>
      </c>
      <c r="E2480" t="s">
        <v>1315</v>
      </c>
      <c r="F2480" s="7" t="s">
        <v>301</v>
      </c>
      <c r="G2480" s="1">
        <v>5</v>
      </c>
      <c r="H2480" s="7" t="s">
        <v>291</v>
      </c>
      <c r="I2480" s="7" t="s">
        <v>296</v>
      </c>
      <c r="J2480" s="1">
        <v>1</v>
      </c>
      <c r="K2480" s="1">
        <v>6</v>
      </c>
      <c r="L2480" s="67">
        <f t="shared" si="77"/>
        <v>0</v>
      </c>
    </row>
    <row r="2481" spans="1:12" x14ac:dyDescent="0.2">
      <c r="A2481">
        <v>2480</v>
      </c>
      <c r="B2481" s="7" t="s">
        <v>372</v>
      </c>
      <c r="C2481" t="s">
        <v>1316</v>
      </c>
      <c r="D2481" s="65" t="str">
        <f t="shared" si="76"/>
        <v>Y</v>
      </c>
      <c r="E2481" t="s">
        <v>1315</v>
      </c>
      <c r="F2481" s="7" t="s">
        <v>301</v>
      </c>
      <c r="G2481" s="1">
        <v>5</v>
      </c>
      <c r="H2481" s="7" t="s">
        <v>282</v>
      </c>
      <c r="I2481" s="7" t="s">
        <v>292</v>
      </c>
      <c r="J2481" s="4" t="s">
        <v>282</v>
      </c>
      <c r="K2481" s="1">
        <v>5</v>
      </c>
      <c r="L2481" s="67">
        <f t="shared" si="77"/>
        <v>0</v>
      </c>
    </row>
    <row r="2482" spans="1:12" x14ac:dyDescent="0.2">
      <c r="A2482">
        <v>2481</v>
      </c>
      <c r="B2482" s="7" t="s">
        <v>356</v>
      </c>
      <c r="C2482" t="s">
        <v>1316</v>
      </c>
      <c r="D2482" s="65" t="str">
        <f t="shared" si="76"/>
        <v>Y</v>
      </c>
      <c r="E2482" t="s">
        <v>1315</v>
      </c>
      <c r="F2482" s="7" t="s">
        <v>301</v>
      </c>
      <c r="G2482" s="1">
        <v>5</v>
      </c>
      <c r="H2482" s="7" t="s">
        <v>291</v>
      </c>
      <c r="I2482" s="7" t="s">
        <v>292</v>
      </c>
      <c r="J2482" s="1">
        <v>1</v>
      </c>
      <c r="K2482" s="1">
        <v>5</v>
      </c>
      <c r="L2482" s="67">
        <f t="shared" si="77"/>
        <v>0</v>
      </c>
    </row>
    <row r="2483" spans="1:12" x14ac:dyDescent="0.2">
      <c r="A2483">
        <v>2482</v>
      </c>
      <c r="B2483" s="7" t="s">
        <v>356</v>
      </c>
      <c r="C2483" t="s">
        <v>1316</v>
      </c>
      <c r="D2483" s="65" t="str">
        <f t="shared" si="76"/>
        <v>Y</v>
      </c>
      <c r="E2483" t="s">
        <v>1315</v>
      </c>
      <c r="F2483" s="7" t="s">
        <v>301</v>
      </c>
      <c r="G2483" s="1">
        <v>5</v>
      </c>
      <c r="H2483" s="7" t="s">
        <v>291</v>
      </c>
      <c r="I2483" s="7" t="s">
        <v>294</v>
      </c>
      <c r="J2483" s="1">
        <v>1</v>
      </c>
      <c r="K2483" s="1">
        <v>7</v>
      </c>
      <c r="L2483" s="67">
        <f t="shared" si="77"/>
        <v>0</v>
      </c>
    </row>
    <row r="2484" spans="1:12" x14ac:dyDescent="0.2">
      <c r="A2484">
        <v>2483</v>
      </c>
      <c r="B2484" s="7" t="s">
        <v>372</v>
      </c>
      <c r="C2484" t="s">
        <v>1316</v>
      </c>
      <c r="D2484" s="65" t="str">
        <f t="shared" si="76"/>
        <v>Y</v>
      </c>
      <c r="E2484" t="s">
        <v>1315</v>
      </c>
      <c r="F2484" s="7" t="s">
        <v>301</v>
      </c>
      <c r="G2484" s="1">
        <v>5</v>
      </c>
      <c r="H2484" s="7" t="s">
        <v>291</v>
      </c>
      <c r="I2484" s="7" t="s">
        <v>296</v>
      </c>
      <c r="J2484" s="1">
        <v>1</v>
      </c>
      <c r="K2484" s="1">
        <v>6</v>
      </c>
      <c r="L2484" s="67">
        <f t="shared" si="77"/>
        <v>0</v>
      </c>
    </row>
    <row r="2485" spans="1:12" x14ac:dyDescent="0.2">
      <c r="A2485">
        <v>2484</v>
      </c>
      <c r="B2485" s="7" t="s">
        <v>372</v>
      </c>
      <c r="C2485" t="s">
        <v>1316</v>
      </c>
      <c r="D2485" s="65" t="str">
        <f t="shared" si="76"/>
        <v>Y</v>
      </c>
      <c r="E2485" t="s">
        <v>1315</v>
      </c>
      <c r="F2485" s="7" t="s">
        <v>301</v>
      </c>
      <c r="G2485" s="1">
        <v>5</v>
      </c>
      <c r="H2485" s="7" t="s">
        <v>300</v>
      </c>
      <c r="I2485" s="7" t="s">
        <v>297</v>
      </c>
      <c r="J2485" s="1">
        <v>2</v>
      </c>
      <c r="K2485" s="1">
        <v>4</v>
      </c>
      <c r="L2485" s="67">
        <f t="shared" si="77"/>
        <v>0</v>
      </c>
    </row>
    <row r="2486" spans="1:12" x14ac:dyDescent="0.2">
      <c r="A2486">
        <v>2485</v>
      </c>
      <c r="B2486" s="7" t="s">
        <v>356</v>
      </c>
      <c r="C2486" t="s">
        <v>1316</v>
      </c>
      <c r="D2486" s="65" t="str">
        <f t="shared" si="76"/>
        <v>Y</v>
      </c>
      <c r="E2486" t="s">
        <v>1315</v>
      </c>
      <c r="F2486" s="7" t="s">
        <v>301</v>
      </c>
      <c r="G2486" s="1">
        <v>5</v>
      </c>
      <c r="H2486" s="7" t="s">
        <v>291</v>
      </c>
      <c r="I2486" s="7" t="s">
        <v>292</v>
      </c>
      <c r="J2486" s="1">
        <v>1</v>
      </c>
      <c r="K2486" s="1">
        <v>5</v>
      </c>
      <c r="L2486" s="67">
        <f t="shared" si="77"/>
        <v>0</v>
      </c>
    </row>
    <row r="2487" spans="1:12" x14ac:dyDescent="0.2">
      <c r="A2487">
        <v>2486</v>
      </c>
      <c r="B2487" s="7" t="s">
        <v>372</v>
      </c>
      <c r="C2487" t="s">
        <v>1316</v>
      </c>
      <c r="D2487" s="65" t="str">
        <f t="shared" si="76"/>
        <v>Y</v>
      </c>
      <c r="E2487" t="s">
        <v>1315</v>
      </c>
      <c r="F2487" s="7" t="s">
        <v>301</v>
      </c>
      <c r="G2487" s="1">
        <v>5</v>
      </c>
      <c r="H2487" s="7" t="s">
        <v>301</v>
      </c>
      <c r="I2487" s="7" t="s">
        <v>292</v>
      </c>
      <c r="J2487" s="1">
        <v>5</v>
      </c>
      <c r="K2487" s="1">
        <v>5</v>
      </c>
      <c r="L2487" s="67">
        <f t="shared" si="77"/>
        <v>1</v>
      </c>
    </row>
    <row r="2488" spans="1:12" x14ac:dyDescent="0.2">
      <c r="A2488">
        <v>2487</v>
      </c>
      <c r="B2488" s="7" t="s">
        <v>372</v>
      </c>
      <c r="C2488" t="s">
        <v>1316</v>
      </c>
      <c r="D2488" s="65" t="str">
        <f t="shared" si="76"/>
        <v>Y</v>
      </c>
      <c r="E2488" t="s">
        <v>1315</v>
      </c>
      <c r="F2488" s="7" t="s">
        <v>301</v>
      </c>
      <c r="G2488" s="1">
        <v>5</v>
      </c>
      <c r="H2488" s="7" t="s">
        <v>300</v>
      </c>
      <c r="I2488" s="7" t="s">
        <v>292</v>
      </c>
      <c r="J2488" s="1">
        <v>2</v>
      </c>
      <c r="K2488" s="1">
        <v>5</v>
      </c>
      <c r="L2488" s="67">
        <f t="shared" si="77"/>
        <v>0</v>
      </c>
    </row>
    <row r="2489" spans="1:12" x14ac:dyDescent="0.2">
      <c r="A2489">
        <v>2488</v>
      </c>
      <c r="B2489" s="7" t="s">
        <v>372</v>
      </c>
      <c r="C2489" t="s">
        <v>1316</v>
      </c>
      <c r="D2489" s="65" t="str">
        <f t="shared" si="76"/>
        <v>Y</v>
      </c>
      <c r="E2489" t="s">
        <v>1315</v>
      </c>
      <c r="F2489" s="7" t="s">
        <v>301</v>
      </c>
      <c r="G2489" s="1">
        <v>5</v>
      </c>
      <c r="H2489" s="7" t="s">
        <v>301</v>
      </c>
      <c r="I2489" s="7" t="s">
        <v>292</v>
      </c>
      <c r="J2489" s="1">
        <v>5</v>
      </c>
      <c r="K2489" s="1">
        <v>5</v>
      </c>
      <c r="L2489" s="67">
        <f t="shared" si="77"/>
        <v>1</v>
      </c>
    </row>
    <row r="2490" spans="1:12" x14ac:dyDescent="0.2">
      <c r="A2490">
        <v>2489</v>
      </c>
      <c r="B2490" s="7" t="s">
        <v>356</v>
      </c>
      <c r="C2490" t="s">
        <v>1316</v>
      </c>
      <c r="D2490" s="65" t="str">
        <f t="shared" si="76"/>
        <v>Y</v>
      </c>
      <c r="E2490" t="s">
        <v>1315</v>
      </c>
      <c r="F2490" s="7" t="s">
        <v>301</v>
      </c>
      <c r="G2490" s="1">
        <v>5</v>
      </c>
      <c r="H2490" s="7" t="s">
        <v>291</v>
      </c>
      <c r="I2490" s="7" t="s">
        <v>296</v>
      </c>
      <c r="J2490" s="1">
        <v>1</v>
      </c>
      <c r="K2490" s="1">
        <v>6</v>
      </c>
      <c r="L2490" s="67">
        <f t="shared" si="77"/>
        <v>0</v>
      </c>
    </row>
    <row r="2491" spans="1:12" x14ac:dyDescent="0.2">
      <c r="A2491">
        <v>2490</v>
      </c>
      <c r="B2491" s="7" t="s">
        <v>372</v>
      </c>
      <c r="C2491" t="s">
        <v>1316</v>
      </c>
      <c r="D2491" s="65" t="str">
        <f t="shared" si="76"/>
        <v>Y</v>
      </c>
      <c r="E2491" t="s">
        <v>1315</v>
      </c>
      <c r="F2491" s="7" t="s">
        <v>301</v>
      </c>
      <c r="G2491" s="1">
        <v>5</v>
      </c>
      <c r="H2491" s="7" t="s">
        <v>282</v>
      </c>
      <c r="I2491" s="7" t="s">
        <v>292</v>
      </c>
      <c r="J2491" s="4" t="s">
        <v>282</v>
      </c>
      <c r="K2491" s="1">
        <v>5</v>
      </c>
      <c r="L2491" s="67">
        <f t="shared" si="77"/>
        <v>0</v>
      </c>
    </row>
    <row r="2492" spans="1:12" x14ac:dyDescent="0.2">
      <c r="A2492">
        <v>2491</v>
      </c>
      <c r="B2492" s="7" t="s">
        <v>356</v>
      </c>
      <c r="C2492" t="s">
        <v>1316</v>
      </c>
      <c r="D2492" s="65" t="str">
        <f t="shared" si="76"/>
        <v>Y</v>
      </c>
      <c r="E2492" t="s">
        <v>1315</v>
      </c>
      <c r="F2492" s="7" t="s">
        <v>301</v>
      </c>
      <c r="G2492" s="1">
        <v>5</v>
      </c>
      <c r="H2492" s="7" t="s">
        <v>300</v>
      </c>
      <c r="I2492" s="7" t="s">
        <v>292</v>
      </c>
      <c r="J2492" s="1">
        <v>2</v>
      </c>
      <c r="K2492" s="1">
        <v>5</v>
      </c>
      <c r="L2492" s="67">
        <f t="shared" si="77"/>
        <v>0</v>
      </c>
    </row>
    <row r="2493" spans="1:12" x14ac:dyDescent="0.2">
      <c r="A2493">
        <v>2492</v>
      </c>
      <c r="B2493" s="7" t="s">
        <v>356</v>
      </c>
      <c r="C2493" t="s">
        <v>1316</v>
      </c>
      <c r="D2493" s="65" t="str">
        <f t="shared" si="76"/>
        <v>Y</v>
      </c>
      <c r="E2493" t="s">
        <v>1315</v>
      </c>
      <c r="F2493" s="7" t="s">
        <v>301</v>
      </c>
      <c r="G2493" s="1">
        <v>5</v>
      </c>
      <c r="H2493" s="7" t="s">
        <v>291</v>
      </c>
      <c r="I2493" s="7" t="s">
        <v>296</v>
      </c>
      <c r="J2493" s="1">
        <v>1</v>
      </c>
      <c r="K2493" s="1">
        <v>6</v>
      </c>
      <c r="L2493" s="67">
        <f t="shared" si="77"/>
        <v>0</v>
      </c>
    </row>
    <row r="2494" spans="1:12" x14ac:dyDescent="0.2">
      <c r="A2494">
        <v>2493</v>
      </c>
      <c r="B2494" s="7" t="s">
        <v>372</v>
      </c>
      <c r="C2494" t="s">
        <v>1316</v>
      </c>
      <c r="D2494" s="65" t="str">
        <f t="shared" si="76"/>
        <v>Y</v>
      </c>
      <c r="E2494" t="s">
        <v>1315</v>
      </c>
      <c r="F2494" s="7" t="s">
        <v>301</v>
      </c>
      <c r="G2494" s="1">
        <v>5</v>
      </c>
      <c r="H2494" s="7" t="s">
        <v>291</v>
      </c>
      <c r="I2494" s="7" t="s">
        <v>294</v>
      </c>
      <c r="J2494" s="1">
        <v>1</v>
      </c>
      <c r="K2494" s="1">
        <v>7</v>
      </c>
      <c r="L2494" s="67">
        <f t="shared" si="77"/>
        <v>0</v>
      </c>
    </row>
    <row r="2495" spans="1:12" x14ac:dyDescent="0.2">
      <c r="A2495">
        <v>2494</v>
      </c>
      <c r="B2495" s="7" t="s">
        <v>372</v>
      </c>
      <c r="C2495" t="s">
        <v>1316</v>
      </c>
      <c r="D2495" s="65" t="str">
        <f t="shared" si="76"/>
        <v>Y</v>
      </c>
      <c r="E2495" t="s">
        <v>1315</v>
      </c>
      <c r="F2495" s="7" t="s">
        <v>301</v>
      </c>
      <c r="G2495" s="1">
        <v>5</v>
      </c>
      <c r="H2495" s="7" t="s">
        <v>291</v>
      </c>
      <c r="I2495" s="7" t="s">
        <v>292</v>
      </c>
      <c r="J2495" s="1">
        <v>1</v>
      </c>
      <c r="K2495" s="1">
        <v>5</v>
      </c>
      <c r="L2495" s="67">
        <f t="shared" si="77"/>
        <v>0</v>
      </c>
    </row>
    <row r="2496" spans="1:12" x14ac:dyDescent="0.2">
      <c r="A2496">
        <v>2495</v>
      </c>
      <c r="B2496" s="7" t="s">
        <v>356</v>
      </c>
      <c r="C2496" t="s">
        <v>1316</v>
      </c>
      <c r="D2496" s="65" t="str">
        <f t="shared" si="76"/>
        <v>Y</v>
      </c>
      <c r="E2496" t="s">
        <v>1315</v>
      </c>
      <c r="F2496" s="7" t="s">
        <v>301</v>
      </c>
      <c r="G2496" s="1">
        <v>5</v>
      </c>
      <c r="H2496" s="7" t="s">
        <v>291</v>
      </c>
      <c r="I2496" s="7" t="s">
        <v>292</v>
      </c>
      <c r="J2496" s="1">
        <v>1</v>
      </c>
      <c r="K2496" s="1">
        <v>5</v>
      </c>
      <c r="L2496" s="67">
        <f t="shared" si="77"/>
        <v>0</v>
      </c>
    </row>
    <row r="2497" spans="1:12" x14ac:dyDescent="0.2">
      <c r="A2497">
        <v>2496</v>
      </c>
      <c r="B2497" s="7" t="s">
        <v>372</v>
      </c>
      <c r="C2497" t="s">
        <v>1316</v>
      </c>
      <c r="D2497" s="65" t="str">
        <f t="shared" si="76"/>
        <v>Y</v>
      </c>
      <c r="E2497" t="s">
        <v>1315</v>
      </c>
      <c r="F2497" s="7" t="s">
        <v>301</v>
      </c>
      <c r="G2497" s="1">
        <v>5</v>
      </c>
      <c r="H2497" s="7" t="s">
        <v>291</v>
      </c>
      <c r="I2497" s="7" t="s">
        <v>292</v>
      </c>
      <c r="J2497" s="1">
        <v>1</v>
      </c>
      <c r="K2497" s="1">
        <v>5</v>
      </c>
      <c r="L2497" s="67">
        <f t="shared" si="77"/>
        <v>0</v>
      </c>
    </row>
    <row r="2498" spans="1:12" x14ac:dyDescent="0.2">
      <c r="A2498">
        <v>2497</v>
      </c>
      <c r="B2498" s="7" t="s">
        <v>356</v>
      </c>
      <c r="C2498" t="s">
        <v>1316</v>
      </c>
      <c r="D2498" s="65" t="str">
        <f t="shared" si="76"/>
        <v>Y</v>
      </c>
      <c r="E2498" t="s">
        <v>1315</v>
      </c>
      <c r="F2498" s="7" t="s">
        <v>301</v>
      </c>
      <c r="G2498" s="1">
        <v>5</v>
      </c>
      <c r="H2498" s="7" t="s">
        <v>301</v>
      </c>
      <c r="I2498" s="7" t="s">
        <v>292</v>
      </c>
      <c r="J2498" s="1">
        <v>5</v>
      </c>
      <c r="K2498" s="1">
        <v>5</v>
      </c>
      <c r="L2498" s="67">
        <f t="shared" si="77"/>
        <v>1</v>
      </c>
    </row>
    <row r="2499" spans="1:12" x14ac:dyDescent="0.2">
      <c r="A2499">
        <v>2498</v>
      </c>
      <c r="B2499" s="7" t="s">
        <v>372</v>
      </c>
      <c r="C2499" t="s">
        <v>1316</v>
      </c>
      <c r="D2499" s="65" t="str">
        <f t="shared" ref="D2499:D2529" si="78">IF($E2499="iso", "N", IF(OR($E2499="non", $E2499="emd", $E2499="dyn"), "Y", "ERROR"))</f>
        <v>Y</v>
      </c>
      <c r="E2499" t="s">
        <v>1315</v>
      </c>
      <c r="F2499" s="7" t="s">
        <v>301</v>
      </c>
      <c r="G2499" s="1">
        <v>5</v>
      </c>
      <c r="H2499" s="7" t="s">
        <v>291</v>
      </c>
      <c r="I2499" s="7" t="s">
        <v>296</v>
      </c>
      <c r="J2499" s="1">
        <v>1</v>
      </c>
      <c r="K2499" s="1">
        <v>6</v>
      </c>
      <c r="L2499" s="67">
        <f t="shared" ref="L2499:L2529" si="79">IF(G2499=J2499, 1, 0)</f>
        <v>0</v>
      </c>
    </row>
    <row r="2500" spans="1:12" x14ac:dyDescent="0.2">
      <c r="A2500">
        <v>2499</v>
      </c>
      <c r="B2500" s="7" t="s">
        <v>372</v>
      </c>
      <c r="C2500" t="s">
        <v>1316</v>
      </c>
      <c r="D2500" s="65" t="str">
        <f t="shared" si="78"/>
        <v>Y</v>
      </c>
      <c r="E2500" t="s">
        <v>1315</v>
      </c>
      <c r="F2500" s="7" t="s">
        <v>301</v>
      </c>
      <c r="G2500" s="1">
        <v>5</v>
      </c>
      <c r="H2500" s="7" t="s">
        <v>291</v>
      </c>
      <c r="I2500" s="7" t="s">
        <v>292</v>
      </c>
      <c r="J2500" s="1">
        <v>1</v>
      </c>
      <c r="K2500" s="1">
        <v>5</v>
      </c>
      <c r="L2500" s="67">
        <f t="shared" si="79"/>
        <v>0</v>
      </c>
    </row>
    <row r="2501" spans="1:12" x14ac:dyDescent="0.2">
      <c r="A2501">
        <v>2500</v>
      </c>
      <c r="B2501" s="7" t="s">
        <v>356</v>
      </c>
      <c r="C2501" t="s">
        <v>1316</v>
      </c>
      <c r="D2501" s="65" t="str">
        <f t="shared" si="78"/>
        <v>Y</v>
      </c>
      <c r="E2501" t="s">
        <v>1315</v>
      </c>
      <c r="F2501" s="7" t="s">
        <v>301</v>
      </c>
      <c r="G2501" s="1">
        <v>5</v>
      </c>
      <c r="H2501" s="7" t="s">
        <v>291</v>
      </c>
      <c r="I2501" s="7" t="s">
        <v>292</v>
      </c>
      <c r="J2501" s="1">
        <v>1</v>
      </c>
      <c r="K2501" s="1">
        <v>5</v>
      </c>
      <c r="L2501" s="67">
        <f t="shared" si="79"/>
        <v>0</v>
      </c>
    </row>
    <row r="2502" spans="1:12" x14ac:dyDescent="0.2">
      <c r="A2502">
        <v>2501</v>
      </c>
      <c r="B2502" s="7" t="s">
        <v>372</v>
      </c>
      <c r="C2502" t="s">
        <v>1316</v>
      </c>
      <c r="D2502" s="65" t="str">
        <f t="shared" si="78"/>
        <v>Y</v>
      </c>
      <c r="E2502" t="s">
        <v>1315</v>
      </c>
      <c r="F2502" s="7" t="s">
        <v>301</v>
      </c>
      <c r="G2502" s="1">
        <v>5</v>
      </c>
      <c r="H2502" s="7" t="s">
        <v>300</v>
      </c>
      <c r="I2502" s="7" t="s">
        <v>292</v>
      </c>
      <c r="J2502" s="1">
        <v>2</v>
      </c>
      <c r="K2502" s="1">
        <v>5</v>
      </c>
      <c r="L2502" s="67">
        <f t="shared" si="79"/>
        <v>0</v>
      </c>
    </row>
    <row r="2503" spans="1:12" x14ac:dyDescent="0.2">
      <c r="A2503">
        <v>2502</v>
      </c>
      <c r="B2503" s="7" t="s">
        <v>356</v>
      </c>
      <c r="C2503" t="s">
        <v>1316</v>
      </c>
      <c r="D2503" s="65" t="str">
        <f t="shared" si="78"/>
        <v>Y</v>
      </c>
      <c r="E2503" t="s">
        <v>1315</v>
      </c>
      <c r="F2503" s="7" t="s">
        <v>301</v>
      </c>
      <c r="G2503" s="1">
        <v>5</v>
      </c>
      <c r="H2503" s="7" t="s">
        <v>291</v>
      </c>
      <c r="I2503" s="7" t="s">
        <v>297</v>
      </c>
      <c r="J2503" s="1">
        <v>1</v>
      </c>
      <c r="K2503" s="1">
        <v>4</v>
      </c>
      <c r="L2503" s="67">
        <f t="shared" si="79"/>
        <v>0</v>
      </c>
    </row>
    <row r="2504" spans="1:12" x14ac:dyDescent="0.2">
      <c r="A2504">
        <v>2503</v>
      </c>
      <c r="B2504" s="7" t="s">
        <v>356</v>
      </c>
      <c r="C2504" t="s">
        <v>1316</v>
      </c>
      <c r="D2504" s="65" t="str">
        <f t="shared" si="78"/>
        <v>Y</v>
      </c>
      <c r="E2504" t="s">
        <v>1315</v>
      </c>
      <c r="F2504" s="7" t="s">
        <v>301</v>
      </c>
      <c r="G2504" s="1">
        <v>5</v>
      </c>
      <c r="H2504" s="7" t="s">
        <v>291</v>
      </c>
      <c r="I2504" s="7" t="s">
        <v>296</v>
      </c>
      <c r="J2504" s="1">
        <v>1</v>
      </c>
      <c r="K2504" s="1">
        <v>6</v>
      </c>
      <c r="L2504" s="67">
        <f t="shared" si="79"/>
        <v>0</v>
      </c>
    </row>
    <row r="2505" spans="1:12" x14ac:dyDescent="0.2">
      <c r="A2505">
        <v>2504</v>
      </c>
      <c r="B2505" s="7" t="s">
        <v>372</v>
      </c>
      <c r="C2505" t="s">
        <v>1316</v>
      </c>
      <c r="D2505" s="65" t="str">
        <f t="shared" si="78"/>
        <v>Y</v>
      </c>
      <c r="E2505" t="s">
        <v>1315</v>
      </c>
      <c r="F2505" s="7" t="s">
        <v>301</v>
      </c>
      <c r="G2505" s="1">
        <v>5</v>
      </c>
      <c r="H2505" s="7" t="s">
        <v>301</v>
      </c>
      <c r="I2505" s="7" t="s">
        <v>292</v>
      </c>
      <c r="J2505" s="1">
        <v>5</v>
      </c>
      <c r="K2505" s="1">
        <v>5</v>
      </c>
      <c r="L2505" s="67">
        <f t="shared" si="79"/>
        <v>1</v>
      </c>
    </row>
    <row r="2506" spans="1:12" x14ac:dyDescent="0.2">
      <c r="A2506">
        <v>2505</v>
      </c>
      <c r="B2506" s="7" t="s">
        <v>356</v>
      </c>
      <c r="C2506" t="s">
        <v>1316</v>
      </c>
      <c r="D2506" s="65" t="str">
        <f t="shared" si="78"/>
        <v>Y</v>
      </c>
      <c r="E2506" t="s">
        <v>1315</v>
      </c>
      <c r="F2506" s="7" t="s">
        <v>301</v>
      </c>
      <c r="G2506" s="1">
        <v>5</v>
      </c>
      <c r="H2506" s="7" t="s">
        <v>291</v>
      </c>
      <c r="I2506" s="7" t="s">
        <v>292</v>
      </c>
      <c r="J2506" s="1">
        <v>1</v>
      </c>
      <c r="K2506" s="1">
        <v>5</v>
      </c>
      <c r="L2506" s="67">
        <f t="shared" si="79"/>
        <v>0</v>
      </c>
    </row>
    <row r="2507" spans="1:12" x14ac:dyDescent="0.2">
      <c r="A2507">
        <v>2506</v>
      </c>
      <c r="B2507" s="7" t="s">
        <v>372</v>
      </c>
      <c r="C2507" t="s">
        <v>1316</v>
      </c>
      <c r="D2507" s="65" t="str">
        <f t="shared" si="78"/>
        <v>Y</v>
      </c>
      <c r="E2507" t="s">
        <v>1315</v>
      </c>
      <c r="F2507" s="7" t="s">
        <v>301</v>
      </c>
      <c r="G2507" s="1">
        <v>5</v>
      </c>
      <c r="H2507" s="7" t="s">
        <v>282</v>
      </c>
      <c r="I2507" s="7" t="s">
        <v>292</v>
      </c>
      <c r="J2507" s="4" t="s">
        <v>282</v>
      </c>
      <c r="K2507" s="1">
        <v>5</v>
      </c>
      <c r="L2507" s="67">
        <f t="shared" si="79"/>
        <v>0</v>
      </c>
    </row>
    <row r="2508" spans="1:12" x14ac:dyDescent="0.2">
      <c r="A2508">
        <v>2507</v>
      </c>
      <c r="B2508" s="7" t="s">
        <v>356</v>
      </c>
      <c r="C2508" t="s">
        <v>1316</v>
      </c>
      <c r="D2508" s="65" t="str">
        <f t="shared" si="78"/>
        <v>Y</v>
      </c>
      <c r="E2508" t="s">
        <v>1315</v>
      </c>
      <c r="F2508" s="7" t="s">
        <v>301</v>
      </c>
      <c r="G2508" s="1">
        <v>5</v>
      </c>
      <c r="H2508" s="7" t="s">
        <v>300</v>
      </c>
      <c r="I2508" s="7" t="s">
        <v>296</v>
      </c>
      <c r="J2508" s="1">
        <v>2</v>
      </c>
      <c r="K2508" s="1">
        <v>6</v>
      </c>
      <c r="L2508" s="67">
        <f t="shared" si="79"/>
        <v>0</v>
      </c>
    </row>
    <row r="2509" spans="1:12" x14ac:dyDescent="0.2">
      <c r="A2509">
        <v>2508</v>
      </c>
      <c r="B2509" s="7" t="s">
        <v>372</v>
      </c>
      <c r="C2509" t="s">
        <v>1316</v>
      </c>
      <c r="D2509" s="65" t="str">
        <f t="shared" si="78"/>
        <v>Y</v>
      </c>
      <c r="E2509" t="s">
        <v>1315</v>
      </c>
      <c r="F2509" s="7" t="s">
        <v>301</v>
      </c>
      <c r="G2509" s="1">
        <v>5</v>
      </c>
      <c r="H2509" s="7" t="s">
        <v>282</v>
      </c>
      <c r="I2509" s="7" t="s">
        <v>294</v>
      </c>
      <c r="J2509" s="4" t="s">
        <v>282</v>
      </c>
      <c r="K2509" s="1">
        <v>7</v>
      </c>
      <c r="L2509" s="67">
        <f t="shared" si="79"/>
        <v>0</v>
      </c>
    </row>
    <row r="2510" spans="1:12" x14ac:dyDescent="0.2">
      <c r="A2510">
        <v>2509</v>
      </c>
      <c r="B2510" s="7" t="s">
        <v>356</v>
      </c>
      <c r="C2510" t="s">
        <v>1316</v>
      </c>
      <c r="D2510" s="65" t="str">
        <f t="shared" si="78"/>
        <v>Y</v>
      </c>
      <c r="E2510" t="s">
        <v>1315</v>
      </c>
      <c r="F2510" s="7" t="s">
        <v>301</v>
      </c>
      <c r="G2510" s="1">
        <v>5</v>
      </c>
      <c r="H2510" s="7" t="s">
        <v>301</v>
      </c>
      <c r="I2510" s="7" t="s">
        <v>292</v>
      </c>
      <c r="J2510" s="1">
        <v>5</v>
      </c>
      <c r="K2510" s="1">
        <v>5</v>
      </c>
      <c r="L2510" s="67">
        <f t="shared" si="79"/>
        <v>1</v>
      </c>
    </row>
    <row r="2511" spans="1:12" x14ac:dyDescent="0.2">
      <c r="A2511">
        <v>2510</v>
      </c>
      <c r="B2511" s="7" t="s">
        <v>372</v>
      </c>
      <c r="C2511" t="s">
        <v>1316</v>
      </c>
      <c r="D2511" s="65" t="str">
        <f t="shared" si="78"/>
        <v>Y</v>
      </c>
      <c r="E2511" t="s">
        <v>1315</v>
      </c>
      <c r="F2511" s="7" t="s">
        <v>301</v>
      </c>
      <c r="G2511" s="1">
        <v>5</v>
      </c>
      <c r="H2511" s="7" t="s">
        <v>282</v>
      </c>
      <c r="I2511" s="7" t="s">
        <v>296</v>
      </c>
      <c r="J2511" s="4" t="s">
        <v>282</v>
      </c>
      <c r="K2511" s="1">
        <v>6</v>
      </c>
      <c r="L2511" s="67">
        <f t="shared" si="79"/>
        <v>0</v>
      </c>
    </row>
    <row r="2512" spans="1:12" x14ac:dyDescent="0.2">
      <c r="A2512">
        <v>2511</v>
      </c>
      <c r="B2512" s="7" t="s">
        <v>372</v>
      </c>
      <c r="C2512" t="s">
        <v>1316</v>
      </c>
      <c r="D2512" s="65" t="str">
        <f t="shared" si="78"/>
        <v>Y</v>
      </c>
      <c r="E2512" t="s">
        <v>1315</v>
      </c>
      <c r="F2512" s="7" t="s">
        <v>301</v>
      </c>
      <c r="G2512" s="1">
        <v>5</v>
      </c>
      <c r="H2512" s="7" t="s">
        <v>291</v>
      </c>
      <c r="I2512" s="7" t="s">
        <v>294</v>
      </c>
      <c r="J2512" s="1">
        <v>1</v>
      </c>
      <c r="K2512" s="1">
        <v>7</v>
      </c>
      <c r="L2512" s="67">
        <f t="shared" si="79"/>
        <v>0</v>
      </c>
    </row>
    <row r="2513" spans="1:12" x14ac:dyDescent="0.2">
      <c r="A2513">
        <v>2512</v>
      </c>
      <c r="B2513" s="7" t="s">
        <v>356</v>
      </c>
      <c r="C2513" t="s">
        <v>1316</v>
      </c>
      <c r="D2513" s="65" t="str">
        <f t="shared" si="78"/>
        <v>Y</v>
      </c>
      <c r="E2513" t="s">
        <v>1315</v>
      </c>
      <c r="F2513" s="7" t="s">
        <v>301</v>
      </c>
      <c r="G2513" s="1">
        <v>5</v>
      </c>
      <c r="H2513" s="7" t="s">
        <v>301</v>
      </c>
      <c r="I2513" s="7" t="s">
        <v>296</v>
      </c>
      <c r="J2513" s="1">
        <v>5</v>
      </c>
      <c r="K2513" s="1">
        <v>6</v>
      </c>
      <c r="L2513" s="67">
        <f t="shared" si="79"/>
        <v>1</v>
      </c>
    </row>
    <row r="2514" spans="1:12" x14ac:dyDescent="0.2">
      <c r="A2514">
        <v>2513</v>
      </c>
      <c r="B2514" s="7" t="s">
        <v>356</v>
      </c>
      <c r="C2514" t="s">
        <v>1316</v>
      </c>
      <c r="D2514" s="65" t="str">
        <f t="shared" si="78"/>
        <v>Y</v>
      </c>
      <c r="E2514" t="s">
        <v>1315</v>
      </c>
      <c r="F2514" s="7" t="s">
        <v>301</v>
      </c>
      <c r="G2514" s="1">
        <v>5</v>
      </c>
      <c r="H2514" s="7" t="s">
        <v>291</v>
      </c>
      <c r="I2514" s="7" t="s">
        <v>297</v>
      </c>
      <c r="J2514" s="1">
        <v>1</v>
      </c>
      <c r="K2514" s="1">
        <v>4</v>
      </c>
      <c r="L2514" s="67">
        <f t="shared" si="79"/>
        <v>0</v>
      </c>
    </row>
    <row r="2515" spans="1:12" x14ac:dyDescent="0.2">
      <c r="A2515">
        <v>2514</v>
      </c>
      <c r="B2515" s="7" t="s">
        <v>372</v>
      </c>
      <c r="C2515" t="s">
        <v>1316</v>
      </c>
      <c r="D2515" s="65" t="str">
        <f t="shared" si="78"/>
        <v>Y</v>
      </c>
      <c r="E2515" t="s">
        <v>1315</v>
      </c>
      <c r="F2515" s="7" t="s">
        <v>301</v>
      </c>
      <c r="G2515" s="1">
        <v>5</v>
      </c>
      <c r="H2515" s="7" t="s">
        <v>291</v>
      </c>
      <c r="I2515" s="7" t="s">
        <v>296</v>
      </c>
      <c r="J2515" s="1">
        <v>1</v>
      </c>
      <c r="K2515" s="1">
        <v>6</v>
      </c>
      <c r="L2515" s="67">
        <f t="shared" si="79"/>
        <v>0</v>
      </c>
    </row>
    <row r="2516" spans="1:12" x14ac:dyDescent="0.2">
      <c r="A2516">
        <v>2515</v>
      </c>
      <c r="B2516" s="7" t="s">
        <v>372</v>
      </c>
      <c r="C2516" t="s">
        <v>1316</v>
      </c>
      <c r="D2516" s="65" t="str">
        <f t="shared" si="78"/>
        <v>Y</v>
      </c>
      <c r="E2516" t="s">
        <v>1315</v>
      </c>
      <c r="F2516" s="7" t="s">
        <v>301</v>
      </c>
      <c r="G2516" s="1">
        <v>5</v>
      </c>
      <c r="H2516" s="7" t="s">
        <v>300</v>
      </c>
      <c r="I2516" s="7" t="s">
        <v>296</v>
      </c>
      <c r="J2516" s="1">
        <v>2</v>
      </c>
      <c r="K2516" s="1">
        <v>6</v>
      </c>
      <c r="L2516" s="67">
        <f t="shared" si="79"/>
        <v>0</v>
      </c>
    </row>
    <row r="2517" spans="1:12" x14ac:dyDescent="0.2">
      <c r="A2517">
        <v>2516</v>
      </c>
      <c r="B2517" s="7" t="s">
        <v>356</v>
      </c>
      <c r="C2517" t="s">
        <v>1316</v>
      </c>
      <c r="D2517" s="65" t="str">
        <f t="shared" si="78"/>
        <v>Y</v>
      </c>
      <c r="E2517" t="s">
        <v>1315</v>
      </c>
      <c r="F2517" s="7" t="s">
        <v>301</v>
      </c>
      <c r="G2517" s="1">
        <v>5</v>
      </c>
      <c r="H2517" s="7" t="s">
        <v>291</v>
      </c>
      <c r="I2517" s="7" t="s">
        <v>292</v>
      </c>
      <c r="J2517" s="1">
        <v>1</v>
      </c>
      <c r="K2517" s="1">
        <v>5</v>
      </c>
      <c r="L2517" s="67">
        <f t="shared" si="79"/>
        <v>0</v>
      </c>
    </row>
    <row r="2518" spans="1:12" x14ac:dyDescent="0.2">
      <c r="A2518">
        <v>2517</v>
      </c>
      <c r="B2518" s="7" t="s">
        <v>372</v>
      </c>
      <c r="C2518" t="s">
        <v>1316</v>
      </c>
      <c r="D2518" s="65" t="str">
        <f t="shared" si="78"/>
        <v>Y</v>
      </c>
      <c r="E2518" t="s">
        <v>1315</v>
      </c>
      <c r="F2518" s="7" t="s">
        <v>301</v>
      </c>
      <c r="G2518" s="1">
        <v>5</v>
      </c>
      <c r="H2518" s="7" t="s">
        <v>291</v>
      </c>
      <c r="I2518" s="7" t="s">
        <v>296</v>
      </c>
      <c r="J2518" s="1">
        <v>1</v>
      </c>
      <c r="K2518" s="1">
        <v>6</v>
      </c>
      <c r="L2518" s="67">
        <f t="shared" si="79"/>
        <v>0</v>
      </c>
    </row>
    <row r="2519" spans="1:12" x14ac:dyDescent="0.2">
      <c r="A2519">
        <v>2518</v>
      </c>
      <c r="B2519" s="7" t="s">
        <v>356</v>
      </c>
      <c r="C2519" t="s">
        <v>1316</v>
      </c>
      <c r="D2519" s="65" t="str">
        <f t="shared" si="78"/>
        <v>Y</v>
      </c>
      <c r="E2519" t="s">
        <v>1315</v>
      </c>
      <c r="F2519" s="7" t="s">
        <v>301</v>
      </c>
      <c r="G2519" s="1">
        <v>5</v>
      </c>
      <c r="H2519" s="7" t="s">
        <v>291</v>
      </c>
      <c r="I2519" s="7" t="s">
        <v>296</v>
      </c>
      <c r="J2519" s="1">
        <v>1</v>
      </c>
      <c r="K2519" s="1">
        <v>6</v>
      </c>
      <c r="L2519" s="67">
        <f t="shared" si="79"/>
        <v>0</v>
      </c>
    </row>
    <row r="2520" spans="1:12" x14ac:dyDescent="0.2">
      <c r="A2520">
        <v>2519</v>
      </c>
      <c r="B2520" s="7" t="s">
        <v>356</v>
      </c>
      <c r="C2520" t="s">
        <v>1316</v>
      </c>
      <c r="D2520" s="65" t="str">
        <f t="shared" si="78"/>
        <v>Y</v>
      </c>
      <c r="E2520" t="s">
        <v>1315</v>
      </c>
      <c r="F2520" s="7" t="s">
        <v>301</v>
      </c>
      <c r="G2520" s="1">
        <v>5</v>
      </c>
      <c r="H2520" s="7" t="s">
        <v>301</v>
      </c>
      <c r="I2520" s="7" t="s">
        <v>292</v>
      </c>
      <c r="J2520" s="1">
        <v>5</v>
      </c>
      <c r="K2520" s="1">
        <v>5</v>
      </c>
      <c r="L2520" s="67">
        <f t="shared" si="79"/>
        <v>1</v>
      </c>
    </row>
    <row r="2521" spans="1:12" x14ac:dyDescent="0.2">
      <c r="A2521">
        <v>2520</v>
      </c>
      <c r="B2521" s="7" t="s">
        <v>372</v>
      </c>
      <c r="C2521" t="s">
        <v>1316</v>
      </c>
      <c r="D2521" s="65" t="str">
        <f t="shared" si="78"/>
        <v>Y</v>
      </c>
      <c r="E2521" t="s">
        <v>1315</v>
      </c>
      <c r="F2521" s="7" t="s">
        <v>301</v>
      </c>
      <c r="G2521" s="1">
        <v>5</v>
      </c>
      <c r="H2521" s="7" t="s">
        <v>291</v>
      </c>
      <c r="I2521" s="7" t="s">
        <v>292</v>
      </c>
      <c r="J2521" s="1">
        <v>1</v>
      </c>
      <c r="K2521" s="1">
        <v>5</v>
      </c>
      <c r="L2521" s="67">
        <f t="shared" si="79"/>
        <v>0</v>
      </c>
    </row>
    <row r="2522" spans="1:12" x14ac:dyDescent="0.2">
      <c r="A2522">
        <v>2521</v>
      </c>
      <c r="B2522" s="7" t="s">
        <v>372</v>
      </c>
      <c r="C2522" t="s">
        <v>1316</v>
      </c>
      <c r="D2522" s="65" t="str">
        <f t="shared" si="78"/>
        <v>Y</v>
      </c>
      <c r="E2522" t="s">
        <v>1315</v>
      </c>
      <c r="F2522" s="7" t="s">
        <v>301</v>
      </c>
      <c r="G2522" s="1">
        <v>5</v>
      </c>
      <c r="H2522" s="7" t="s">
        <v>291</v>
      </c>
      <c r="I2522" s="7" t="s">
        <v>294</v>
      </c>
      <c r="J2522" s="1">
        <v>1</v>
      </c>
      <c r="K2522" s="1">
        <v>7</v>
      </c>
      <c r="L2522" s="67">
        <f t="shared" si="79"/>
        <v>0</v>
      </c>
    </row>
    <row r="2523" spans="1:12" x14ac:dyDescent="0.2">
      <c r="A2523">
        <v>2522</v>
      </c>
      <c r="B2523" s="7" t="s">
        <v>356</v>
      </c>
      <c r="C2523" t="s">
        <v>1316</v>
      </c>
      <c r="D2523" s="65" t="str">
        <f t="shared" si="78"/>
        <v>Y</v>
      </c>
      <c r="E2523" t="s">
        <v>1315</v>
      </c>
      <c r="F2523" s="7" t="s">
        <v>301</v>
      </c>
      <c r="G2523" s="1">
        <v>5</v>
      </c>
      <c r="H2523" s="7" t="s">
        <v>291</v>
      </c>
      <c r="I2523" s="7" t="s">
        <v>292</v>
      </c>
      <c r="J2523" s="1">
        <v>1</v>
      </c>
      <c r="K2523" s="1">
        <v>5</v>
      </c>
      <c r="L2523" s="67">
        <f t="shared" si="79"/>
        <v>0</v>
      </c>
    </row>
    <row r="2524" spans="1:12" x14ac:dyDescent="0.2">
      <c r="A2524">
        <v>2523</v>
      </c>
      <c r="B2524" s="7" t="s">
        <v>356</v>
      </c>
      <c r="C2524" t="s">
        <v>1316</v>
      </c>
      <c r="D2524" s="65" t="str">
        <f t="shared" si="78"/>
        <v>Y</v>
      </c>
      <c r="E2524" t="s">
        <v>1315</v>
      </c>
      <c r="F2524" s="7" t="s">
        <v>301</v>
      </c>
      <c r="G2524" s="1">
        <v>5</v>
      </c>
      <c r="H2524" s="7" t="s">
        <v>291</v>
      </c>
      <c r="I2524" s="7" t="s">
        <v>296</v>
      </c>
      <c r="J2524" s="1">
        <v>1</v>
      </c>
      <c r="K2524" s="1">
        <v>6</v>
      </c>
      <c r="L2524" s="67">
        <f t="shared" si="79"/>
        <v>0</v>
      </c>
    </row>
    <row r="2525" spans="1:12" x14ac:dyDescent="0.2">
      <c r="A2525">
        <v>2524</v>
      </c>
      <c r="B2525" s="7" t="s">
        <v>372</v>
      </c>
      <c r="C2525" t="s">
        <v>1316</v>
      </c>
      <c r="D2525" s="65" t="str">
        <f t="shared" si="78"/>
        <v>Y</v>
      </c>
      <c r="E2525" t="s">
        <v>1315</v>
      </c>
      <c r="F2525" s="7" t="s">
        <v>301</v>
      </c>
      <c r="G2525" s="1">
        <v>5</v>
      </c>
      <c r="H2525" s="7" t="s">
        <v>301</v>
      </c>
      <c r="I2525" s="7" t="s">
        <v>292</v>
      </c>
      <c r="J2525" s="1">
        <v>5</v>
      </c>
      <c r="K2525" s="1">
        <v>5</v>
      </c>
      <c r="L2525" s="67">
        <f t="shared" si="79"/>
        <v>1</v>
      </c>
    </row>
    <row r="2526" spans="1:12" x14ac:dyDescent="0.2">
      <c r="A2526">
        <v>2525</v>
      </c>
      <c r="B2526" s="7" t="s">
        <v>356</v>
      </c>
      <c r="C2526" t="s">
        <v>1316</v>
      </c>
      <c r="D2526" s="65" t="str">
        <f t="shared" si="78"/>
        <v>Y</v>
      </c>
      <c r="E2526" t="s">
        <v>1315</v>
      </c>
      <c r="F2526" s="7" t="s">
        <v>301</v>
      </c>
      <c r="G2526" s="1">
        <v>5</v>
      </c>
      <c r="H2526" s="7" t="s">
        <v>301</v>
      </c>
      <c r="I2526" s="7" t="s">
        <v>297</v>
      </c>
      <c r="J2526" s="1">
        <v>5</v>
      </c>
      <c r="K2526" s="1">
        <v>4</v>
      </c>
      <c r="L2526" s="67">
        <f t="shared" si="79"/>
        <v>1</v>
      </c>
    </row>
    <row r="2527" spans="1:12" x14ac:dyDescent="0.2">
      <c r="A2527">
        <v>2526</v>
      </c>
      <c r="B2527" s="7" t="s">
        <v>372</v>
      </c>
      <c r="C2527" t="s">
        <v>1316</v>
      </c>
      <c r="D2527" s="65" t="str">
        <f t="shared" si="78"/>
        <v>Y</v>
      </c>
      <c r="E2527" t="s">
        <v>1315</v>
      </c>
      <c r="F2527" s="7" t="s">
        <v>301</v>
      </c>
      <c r="G2527" s="1">
        <v>5</v>
      </c>
      <c r="H2527" s="7" t="s">
        <v>301</v>
      </c>
      <c r="I2527" s="7" t="s">
        <v>292</v>
      </c>
      <c r="J2527" s="1">
        <v>5</v>
      </c>
      <c r="K2527" s="1">
        <v>5</v>
      </c>
      <c r="L2527" s="67">
        <f t="shared" si="79"/>
        <v>1</v>
      </c>
    </row>
    <row r="2528" spans="1:12" x14ac:dyDescent="0.2">
      <c r="A2528">
        <v>2527</v>
      </c>
      <c r="B2528" s="7" t="s">
        <v>356</v>
      </c>
      <c r="C2528" t="s">
        <v>1316</v>
      </c>
      <c r="D2528" s="65" t="str">
        <f t="shared" si="78"/>
        <v>Y</v>
      </c>
      <c r="E2528" t="s">
        <v>1315</v>
      </c>
      <c r="F2528" s="7" t="s">
        <v>301</v>
      </c>
      <c r="G2528" s="1">
        <v>5</v>
      </c>
      <c r="H2528" s="7" t="s">
        <v>291</v>
      </c>
      <c r="I2528" s="7" t="s">
        <v>292</v>
      </c>
      <c r="J2528" s="1">
        <v>1</v>
      </c>
      <c r="K2528" s="1">
        <v>5</v>
      </c>
      <c r="L2528" s="67">
        <f t="shared" si="79"/>
        <v>0</v>
      </c>
    </row>
    <row r="2529" spans="1:12" x14ac:dyDescent="0.2">
      <c r="A2529">
        <v>2528</v>
      </c>
      <c r="B2529" s="7" t="s">
        <v>372</v>
      </c>
      <c r="C2529" t="s">
        <v>1316</v>
      </c>
      <c r="D2529" s="65" t="str">
        <f t="shared" si="78"/>
        <v>Y</v>
      </c>
      <c r="E2529" t="s">
        <v>1315</v>
      </c>
      <c r="F2529" s="7" t="s">
        <v>301</v>
      </c>
      <c r="G2529" s="1">
        <v>5</v>
      </c>
      <c r="H2529" s="7" t="s">
        <v>300</v>
      </c>
      <c r="I2529" s="7" t="s">
        <v>294</v>
      </c>
      <c r="J2529" s="1">
        <v>2</v>
      </c>
      <c r="K2529" s="1">
        <v>7</v>
      </c>
      <c r="L2529" s="67">
        <f t="shared" si="79"/>
        <v>0</v>
      </c>
    </row>
  </sheetData>
  <autoFilter ref="C1:C2529" xr:uid="{FB89E55D-EE3C-094B-BC80-F8386659B328}"/>
  <mergeCells count="1">
    <mergeCell ref="N1:O1"/>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46FD-C9CC-8341-8A17-1F1C95F75E20}">
  <dimension ref="A1:J24"/>
  <sheetViews>
    <sheetView tabSelected="1" zoomScale="240" zoomScaleNormal="240" workbookViewId="0">
      <selection activeCell="E4" sqref="E4"/>
    </sheetView>
  </sheetViews>
  <sheetFormatPr baseColWidth="10" defaultColWidth="23.33203125" defaultRowHeight="22" x14ac:dyDescent="0.3"/>
  <cols>
    <col min="1" max="1" width="8" style="46" customWidth="1"/>
    <col min="2" max="2" width="9.83203125" style="46" customWidth="1"/>
    <col min="3" max="3" width="11.5" style="46" customWidth="1"/>
    <col min="4" max="7" width="13.5" style="46" customWidth="1"/>
    <col min="8" max="8" width="7.33203125" style="46" customWidth="1"/>
    <col min="9" max="9" width="22.6640625" style="46" customWidth="1"/>
    <col min="10" max="10" width="6.5" style="46" customWidth="1"/>
    <col min="11" max="16384" width="23.33203125" style="46"/>
  </cols>
  <sheetData>
    <row r="1" spans="1:10" ht="23" thickBot="1" x14ac:dyDescent="0.35">
      <c r="D1" s="64" t="s">
        <v>1312</v>
      </c>
      <c r="E1" s="64" t="s">
        <v>1313</v>
      </c>
      <c r="F1" s="64" t="s">
        <v>1314</v>
      </c>
      <c r="G1" s="64" t="s">
        <v>1315</v>
      </c>
    </row>
    <row r="2" spans="1:10" ht="47" thickBot="1" x14ac:dyDescent="0.35">
      <c r="B2" s="40"/>
      <c r="C2" s="40"/>
      <c r="D2" s="115" t="s">
        <v>1317</v>
      </c>
      <c r="E2" s="115" t="s">
        <v>1332</v>
      </c>
      <c r="F2" s="115" t="s">
        <v>1347</v>
      </c>
      <c r="G2" s="115" t="s">
        <v>1346</v>
      </c>
    </row>
    <row r="3" spans="1:10" ht="38" customHeight="1" thickBot="1" x14ac:dyDescent="0.35">
      <c r="B3" s="121" t="s">
        <v>1318</v>
      </c>
      <c r="C3" s="144" t="s">
        <v>1352</v>
      </c>
      <c r="D3" s="141">
        <f>SUMIFS(formated_data!$L$2:$L$9000, formated_data!$C$2:$C$9000, $A$6, formated_data!$E$2:$E$9000, D$1, formated_data!$G$2:$G$9000, $J3) / $C$16</f>
        <v>0.82278481012658233</v>
      </c>
      <c r="E3" s="142">
        <f>SUMIFS(formated_data!$L$2:$L$9000, formated_data!$C$2:$C$9000, $A$6, formated_data!$E$2:$E$9000, E$1, formated_data!$G$2:$G$9000, $J3) / $C$16</f>
        <v>0.86075949367088611</v>
      </c>
      <c r="F3" s="142">
        <f>SUMIFS(formated_data!$L$2:$L$9000, formated_data!$C$2:$C$9000, $A$6, formated_data!$E$2:$E$9000, F$1, formated_data!$G$2:$G$9000, $J3) / $C$16</f>
        <v>0.89873417721518989</v>
      </c>
      <c r="G3" s="139">
        <f>SUMIFS(formated_data!$L$2:$L$9000, formated_data!$C$2:$C$9000, $A$6, formated_data!$E$2:$E$9000, G$1, formated_data!$G$2:$G$9000, $J3) / $C$16</f>
        <v>0.86075949367088611</v>
      </c>
      <c r="I3" s="50" t="s">
        <v>291</v>
      </c>
      <c r="J3" s="51">
        <v>1</v>
      </c>
    </row>
    <row r="4" spans="1:10" ht="38" customHeight="1" thickBot="1" x14ac:dyDescent="0.35">
      <c r="B4" s="122"/>
      <c r="C4" s="143" t="s">
        <v>1351</v>
      </c>
      <c r="D4" s="141">
        <f>SUMIFS(formated_data!$L$2:$L$9000, formated_data!$C$2:$C$9000, $A$6, formated_data!$E$2:$E$9000, D$1, formated_data!$G$2:$G$9000, $J4) / $C$16</f>
        <v>0.69620253164556967</v>
      </c>
      <c r="E4" s="142">
        <f>SUMIFS(formated_data!$L$2:$L$9000, formated_data!$C$2:$C$9000, $A$6, formated_data!$E$2:$E$9000, E$1, formated_data!$G$2:$G$9000, $J4) / $C$16</f>
        <v>0.83544303797468356</v>
      </c>
      <c r="F4" s="142">
        <f>SUMIFS(formated_data!$L$2:$L$9000, formated_data!$C$2:$C$9000, $A$6, formated_data!$E$2:$E$9000, F$1, formated_data!$G$2:$G$9000, $J4) / $C$16</f>
        <v>0.810126582278481</v>
      </c>
      <c r="G4" s="139">
        <f>SUMIFS(formated_data!$L$2:$L$9000, formated_data!$C$2:$C$9000, $A$6, formated_data!$E$2:$E$9000, G$1, formated_data!$G$2:$G$9000, $J4) / $C$16</f>
        <v>0.68354430379746833</v>
      </c>
      <c r="I4" s="52" t="s">
        <v>293</v>
      </c>
      <c r="J4" s="53">
        <v>2</v>
      </c>
    </row>
    <row r="5" spans="1:10" ht="38" customHeight="1" thickBot="1" x14ac:dyDescent="0.35">
      <c r="B5" s="122"/>
      <c r="C5" s="143" t="s">
        <v>1350</v>
      </c>
      <c r="D5" s="141">
        <f>SUMIFS(formated_data!$L$2:$L$9000, formated_data!$C$2:$C$9000, $A$6, formated_data!$E$2:$E$9000, D$1, formated_data!$G$2:$G$9000, $J5) / $C$16</f>
        <v>0.22784810126582278</v>
      </c>
      <c r="E5" s="142">
        <f>SUMIFS(formated_data!$L$2:$L$9000, formated_data!$C$2:$C$9000, $A$6, formated_data!$E$2:$E$9000, E$1, formated_data!$G$2:$G$9000, $J5) / $C$16</f>
        <v>0.13924050632911392</v>
      </c>
      <c r="F5" s="142">
        <f>SUMIFS(formated_data!$L$2:$L$9000, formated_data!$C$2:$C$9000, $A$6, formated_data!$E$2:$E$9000, F$1, formated_data!$G$2:$G$9000, $J5) / $C$16</f>
        <v>0.15189873417721519</v>
      </c>
      <c r="G5" s="139">
        <f>SUMIFS(formated_data!$L$2:$L$9000, formated_data!$C$2:$C$9000, $A$6, formated_data!$E$2:$E$9000, G$1, formated_data!$G$2:$G$9000, $J5) / $C$16</f>
        <v>0.58227848101265822</v>
      </c>
      <c r="I5" s="52" t="s">
        <v>299</v>
      </c>
      <c r="J5" s="53">
        <v>4</v>
      </c>
    </row>
    <row r="6" spans="1:10" ht="38" customHeight="1" thickBot="1" x14ac:dyDescent="0.35">
      <c r="A6" s="63" t="s">
        <v>1311</v>
      </c>
      <c r="B6" s="122"/>
      <c r="C6" s="143" t="s">
        <v>1349</v>
      </c>
      <c r="D6" s="141">
        <f>SUMIFS(formated_data!$L$2:$L$9000, formated_data!$C$2:$C$9000, $A$6, formated_data!$E$2:$E$9000, D$1, formated_data!$G$2:$G$9000, $J6) / $C$16</f>
        <v>0.759493670886076</v>
      </c>
      <c r="E6" s="142">
        <f>SUMIFS(formated_data!$L$2:$L$9000, formated_data!$C$2:$C$9000, $A$6, formated_data!$E$2:$E$9000, E$1, formated_data!$G$2:$G$9000, $J6) / $C$16</f>
        <v>0.54430379746835444</v>
      </c>
      <c r="F6" s="142">
        <f>SUMIFS(formated_data!$L$2:$L$9000, formated_data!$C$2:$C$9000, $A$6, formated_data!$E$2:$E$9000, F$1, formated_data!$G$2:$G$9000, $J6) / $C$16</f>
        <v>0.50632911392405067</v>
      </c>
      <c r="G6" s="139">
        <f>SUMIFS(formated_data!$L$2:$L$9000, formated_data!$C$2:$C$9000, $A$6, formated_data!$E$2:$E$9000, G$1, formated_data!$G$2:$G$9000, $J6) / $C$16</f>
        <v>0.50632911392405067</v>
      </c>
      <c r="I6" s="52" t="s">
        <v>295</v>
      </c>
      <c r="J6" s="53">
        <v>5</v>
      </c>
    </row>
    <row r="7" spans="1:10" ht="38" customHeight="1" thickBot="1" x14ac:dyDescent="0.35">
      <c r="B7" s="122"/>
      <c r="C7" s="143" t="s">
        <v>1348</v>
      </c>
      <c r="D7" s="141">
        <f>SUMIFS(formated_data!$L$2:$L$9000, formated_data!$C$2:$C$9000, $A$6, formated_data!$E$2:$E$9000, D$1, formated_data!$G$2:$G$9000, $J7) / $C$16</f>
        <v>0.12658227848101267</v>
      </c>
      <c r="E7" s="142">
        <f>SUMIFS(formated_data!$L$2:$L$9000, formated_data!$C$2:$C$9000, $A$6, formated_data!$E$2:$E$9000, E$1, formated_data!$G$2:$G$9000, $J7) / $C$16</f>
        <v>0.73417721518987344</v>
      </c>
      <c r="F7" s="142">
        <f>SUMIFS(formated_data!$L$2:$L$9000, formated_data!$C$2:$C$9000, $A$6, formated_data!$E$2:$E$9000, F$1, formated_data!$G$2:$G$9000, $J7) / $C$16</f>
        <v>0.60759493670886078</v>
      </c>
      <c r="G7" s="139">
        <f>SUMIFS(formated_data!$L$2:$L$9000, formated_data!$C$2:$C$9000, $A$6, formated_data!$E$2:$E$9000, G$1, formated_data!$G$2:$G$9000, $J7) / $C$16</f>
        <v>0.58227848101265822</v>
      </c>
      <c r="I7" s="54" t="s">
        <v>298</v>
      </c>
      <c r="J7" s="55">
        <v>3</v>
      </c>
    </row>
    <row r="8" spans="1:10" ht="47" thickBot="1" x14ac:dyDescent="0.35">
      <c r="B8" s="123"/>
      <c r="C8" s="114" t="s">
        <v>1324</v>
      </c>
      <c r="D8" s="145">
        <f>AVERAGE(D3:D7)</f>
        <v>0.52658227848101258</v>
      </c>
      <c r="E8" s="140">
        <f t="shared" ref="E8:G8" si="0">AVERAGE(E3:E7)</f>
        <v>0.62278481012658227</v>
      </c>
      <c r="F8" s="140">
        <f t="shared" si="0"/>
        <v>0.59493670886075956</v>
      </c>
      <c r="G8" s="140">
        <f t="shared" si="0"/>
        <v>0.64303797468354429</v>
      </c>
      <c r="I8" s="56"/>
      <c r="J8" s="56"/>
    </row>
    <row r="9" spans="1:10" ht="15" customHeight="1" thickBot="1" x14ac:dyDescent="0.35">
      <c r="B9" s="44"/>
      <c r="C9" s="45"/>
      <c r="D9" s="40"/>
      <c r="E9" s="40"/>
      <c r="F9" s="40"/>
      <c r="G9" s="40"/>
    </row>
    <row r="10" spans="1:10" ht="51" customHeight="1" thickBot="1" x14ac:dyDescent="0.35">
      <c r="B10" s="137"/>
      <c r="C10" s="138"/>
      <c r="D10" s="115" t="s">
        <v>1317</v>
      </c>
      <c r="E10" s="115" t="s">
        <v>1332</v>
      </c>
      <c r="F10" s="115" t="s">
        <v>1347</v>
      </c>
      <c r="G10" s="115" t="s">
        <v>1346</v>
      </c>
    </row>
    <row r="11" spans="1:10" ht="38" customHeight="1" thickBot="1" x14ac:dyDescent="0.35">
      <c r="B11" s="121" t="s">
        <v>1325</v>
      </c>
      <c r="C11" s="144" t="s">
        <v>1352</v>
      </c>
      <c r="D11" s="139">
        <f>SUMIFS(formated_data!$L$2:$L$9000, formated_data!$C$2:$C$9000, $A$13, formated_data!$E$2:$E$9000, D$1, formated_data!$G$2:$G$9000, $J11) / $C$16</f>
        <v>0.78481012658227844</v>
      </c>
      <c r="E11" s="139">
        <f>SUMIFS(formated_data!$L$2:$L$9000, formated_data!$C$2:$C$9000, $A$13, formated_data!$E$2:$E$9000, E$1, formated_data!$G$2:$G$9000, $J11) / $C$16</f>
        <v>0.93670886075949367</v>
      </c>
      <c r="F11" s="139">
        <f>SUMIFS(formated_data!$L$2:$L$9000, formated_data!$C$2:$C$9000, $A$13, formated_data!$E$2:$E$9000, F$1, formated_data!$G$2:$G$9000, $J11) / $C$16</f>
        <v>0.93670886075949367</v>
      </c>
      <c r="G11" s="139">
        <f>SUMIFS(formated_data!$L$2:$L$9000, formated_data!$C$2:$C$9000, $A$13, formated_data!$E$2:$E$9000, G$1, formated_data!$G$2:$G$9000, $J11) / $C$16</f>
        <v>0.92405063291139244</v>
      </c>
      <c r="I11" s="57" t="s">
        <v>291</v>
      </c>
      <c r="J11" s="58">
        <v>1</v>
      </c>
    </row>
    <row r="12" spans="1:10" ht="38" customHeight="1" thickBot="1" x14ac:dyDescent="0.35">
      <c r="B12" s="122"/>
      <c r="C12" s="143" t="s">
        <v>1353</v>
      </c>
      <c r="D12" s="139">
        <f>SUMIFS(formated_data!$L$2:$L$9000, formated_data!$C$2:$C$9000, $A$13, formated_data!$E$2:$E$9000, D$1, formated_data!$G$2:$G$9000, $J12) / $C$16</f>
        <v>0.91139240506329111</v>
      </c>
      <c r="E12" s="139">
        <f>SUMIFS(formated_data!$L$2:$L$9000, formated_data!$C$2:$C$9000, $A$13, formated_data!$E$2:$E$9000, E$1, formated_data!$G$2:$G$9000, $J12) / $C$16</f>
        <v>0.93670886075949367</v>
      </c>
      <c r="F12" s="139">
        <f>SUMIFS(formated_data!$L$2:$L$9000, formated_data!$C$2:$C$9000, $A$13, formated_data!$E$2:$E$9000, F$1, formated_data!$G$2:$G$9000, $J12) / $C$16</f>
        <v>0.96202531645569622</v>
      </c>
      <c r="G12" s="139">
        <f>SUMIFS(formated_data!$L$2:$L$9000, formated_data!$C$2:$C$9000, $A$13, formated_data!$E$2:$E$9000, G$1, formated_data!$G$2:$G$9000, $J12) / $C$16</f>
        <v>0.92405063291139244</v>
      </c>
      <c r="I12" s="59" t="s">
        <v>300</v>
      </c>
      <c r="J12" s="60">
        <v>2</v>
      </c>
    </row>
    <row r="13" spans="1:10" ht="38" customHeight="1" thickBot="1" x14ac:dyDescent="0.35">
      <c r="A13" s="63" t="s">
        <v>1316</v>
      </c>
      <c r="B13" s="122"/>
      <c r="C13" s="143" t="s">
        <v>1354</v>
      </c>
      <c r="D13" s="139">
        <f>SUMIFS(formated_data!$L$2:$L$9000, formated_data!$C$2:$C$9000, $A$13, formated_data!$E$2:$E$9000, D$1, formated_data!$G$2:$G$9000, $J13) / $C$16</f>
        <v>0.78481012658227844</v>
      </c>
      <c r="E13" s="139">
        <f>SUMIFS(formated_data!$L$2:$L$9000, formated_data!$C$2:$C$9000, $A$13, formated_data!$E$2:$E$9000, E$1, formated_data!$G$2:$G$9000, $J13) / $C$16</f>
        <v>0.74683544303797467</v>
      </c>
      <c r="F13" s="139">
        <f>SUMIFS(formated_data!$L$2:$L$9000, formated_data!$C$2:$C$9000, $A$13, formated_data!$E$2:$E$9000, F$1, formated_data!$G$2:$G$9000, $J13) / $C$16</f>
        <v>0.73417721518987344</v>
      </c>
      <c r="G13" s="139">
        <f>2410%/100</f>
        <v>0.24100000000000002</v>
      </c>
      <c r="I13" s="61" t="s">
        <v>301</v>
      </c>
      <c r="J13" s="62">
        <v>5</v>
      </c>
    </row>
    <row r="14" spans="1:10" ht="49" customHeight="1" thickBot="1" x14ac:dyDescent="0.35">
      <c r="B14" s="123"/>
      <c r="C14" s="114" t="s">
        <v>1324</v>
      </c>
      <c r="D14" s="140">
        <f>AVERAGE(D11:D13)</f>
        <v>0.8270042194092827</v>
      </c>
      <c r="E14" s="140">
        <f t="shared" ref="E14:G14" si="1">AVERAGE(E11:E13)</f>
        <v>0.87341772151898722</v>
      </c>
      <c r="F14" s="140">
        <f t="shared" si="1"/>
        <v>0.8776371308016877</v>
      </c>
      <c r="G14" s="140">
        <f t="shared" si="1"/>
        <v>0.696367088607595</v>
      </c>
    </row>
    <row r="15" spans="1:10" ht="23" thickBot="1" x14ac:dyDescent="0.35"/>
    <row r="16" spans="1:10" ht="23" thickBot="1" x14ac:dyDescent="0.35">
      <c r="B16" s="68" t="s">
        <v>1328</v>
      </c>
      <c r="C16" s="47">
        <f>COUNTA(cleaned_data!A:A)- 2</f>
        <v>79</v>
      </c>
    </row>
    <row r="17" spans="3:6" ht="23" thickBot="1" x14ac:dyDescent="0.35"/>
    <row r="18" spans="3:6" ht="23" thickBot="1" x14ac:dyDescent="0.35">
      <c r="C18" s="69" t="s">
        <v>1336</v>
      </c>
      <c r="D18" s="69" t="s">
        <v>1334</v>
      </c>
      <c r="E18" s="71" t="s">
        <v>1335</v>
      </c>
      <c r="F18" s="126" t="s">
        <v>1337</v>
      </c>
    </row>
    <row r="19" spans="3:6" x14ac:dyDescent="0.3">
      <c r="C19" s="124" t="s">
        <v>356</v>
      </c>
      <c r="D19" s="72" t="s">
        <v>1316</v>
      </c>
      <c r="E19" s="74" t="s">
        <v>1311</v>
      </c>
      <c r="F19" s="127"/>
    </row>
    <row r="20" spans="3:6" ht="23" thickBot="1" x14ac:dyDescent="0.35">
      <c r="C20" s="125"/>
      <c r="D20" s="73">
        <f>AVERAGEIFS(formated_data!$L$2:$L$9000, formated_data!$B$2:$B$9000, C19, formated_data!$C$2:$C$9000, D19)</f>
        <v>0.82905982905982911</v>
      </c>
      <c r="E20" s="75">
        <f>AVERAGEIFS(formated_data!$L$2:$L$9000, formated_data!$B$2:$B$9000, C19, formated_data!$C$2:$C$9000, E19)</f>
        <v>0.62948717948717947</v>
      </c>
      <c r="F20" s="76">
        <f>AVERAGE(D20,E20)</f>
        <v>0.72927350427350435</v>
      </c>
    </row>
    <row r="21" spans="3:6" ht="23" thickBot="1" x14ac:dyDescent="0.35">
      <c r="C21" s="70"/>
      <c r="D21" s="70"/>
      <c r="E21" s="70"/>
      <c r="F21" s="77"/>
    </row>
    <row r="22" spans="3:6" ht="23" thickBot="1" x14ac:dyDescent="0.35">
      <c r="C22" s="69" t="s">
        <v>1336</v>
      </c>
      <c r="D22" s="69" t="s">
        <v>1334</v>
      </c>
      <c r="E22" s="71" t="s">
        <v>1335</v>
      </c>
      <c r="F22" s="126" t="s">
        <v>1337</v>
      </c>
    </row>
    <row r="23" spans="3:6" x14ac:dyDescent="0.3">
      <c r="C23" s="119" t="s">
        <v>372</v>
      </c>
      <c r="D23" s="74" t="s">
        <v>1311</v>
      </c>
      <c r="E23" s="72" t="s">
        <v>1316</v>
      </c>
      <c r="F23" s="127"/>
    </row>
    <row r="24" spans="3:6" ht="23" thickBot="1" x14ac:dyDescent="0.35">
      <c r="C24" s="120"/>
      <c r="D24" s="75">
        <f>AVERAGEIFS(formated_data!$L$2:$L$9000, formated_data!$B$2:$B$9000, C23, formated_data!$C$2:$C$9000, D23)</f>
        <v>0.56499999999999995</v>
      </c>
      <c r="E24" s="73">
        <f>AVERAGEIFS(formated_data!$L$2:$L$9000, formated_data!$B$2:$B$9000, C23, formated_data!$C$2:$C$9000, E23)</f>
        <v>0.80833333333333335</v>
      </c>
      <c r="F24" s="76">
        <f>AVERAGE(D24,E24)</f>
        <v>0.68666666666666665</v>
      </c>
    </row>
  </sheetData>
  <mergeCells count="6">
    <mergeCell ref="C23:C24"/>
    <mergeCell ref="B3:B8"/>
    <mergeCell ref="B11:B14"/>
    <mergeCell ref="C19:C20"/>
    <mergeCell ref="F18:F19"/>
    <mergeCell ref="F22:F23"/>
  </mergeCells>
  <conditionalFormatting sqref="D3:G8">
    <cfRule type="colorScale" priority="6">
      <colorScale>
        <cfvo type="min"/>
        <cfvo type="percentile" val="40"/>
        <cfvo type="max"/>
        <color rgb="FFFF8D9B"/>
        <color theme="2"/>
        <color theme="6" tint="0.39997558519241921"/>
      </colorScale>
    </cfRule>
  </conditionalFormatting>
  <conditionalFormatting sqref="D11:G14 D10">
    <cfRule type="colorScale" priority="5">
      <colorScale>
        <cfvo type="min"/>
        <cfvo type="percentile" val="40"/>
        <cfvo type="max"/>
        <color rgb="FFFF5A68"/>
        <color theme="2"/>
        <color theme="6" tint="0.39997558519241921"/>
      </colorScale>
    </cfRule>
  </conditionalFormatting>
  <conditionalFormatting sqref="D2">
    <cfRule type="colorScale" priority="1">
      <colorScale>
        <cfvo type="min"/>
        <cfvo type="percentile" val="40"/>
        <cfvo type="max"/>
        <color rgb="FFFF8D9B"/>
        <color theme="2"/>
        <color theme="6" tint="0.39997558519241921"/>
      </colorScale>
    </cfRule>
  </conditionalFormatting>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2DAC-8D95-614F-9824-5BA2327BE84D}">
  <dimension ref="A1:J21"/>
  <sheetViews>
    <sheetView zoomScale="180" zoomScaleNormal="180" workbookViewId="0">
      <selection activeCell="D12" sqref="D12:G12"/>
    </sheetView>
  </sheetViews>
  <sheetFormatPr baseColWidth="10" defaultColWidth="23.33203125" defaultRowHeight="22" x14ac:dyDescent="0.3"/>
  <cols>
    <col min="1" max="1" width="8" style="46" customWidth="1"/>
    <col min="2" max="7" width="23.33203125" style="46"/>
    <col min="8" max="8" width="7.33203125" style="46" customWidth="1"/>
    <col min="9" max="9" width="22.6640625" style="46" customWidth="1"/>
    <col min="10" max="10" width="6.5" style="46" customWidth="1"/>
    <col min="11" max="16384" width="23.33203125" style="46"/>
  </cols>
  <sheetData>
    <row r="1" spans="1:10" ht="29" customHeight="1" thickBot="1" x14ac:dyDescent="0.35">
      <c r="D1" s="64" t="s">
        <v>1312</v>
      </c>
      <c r="E1" s="64" t="s">
        <v>1313</v>
      </c>
      <c r="F1" s="64" t="s">
        <v>1314</v>
      </c>
      <c r="G1" s="64" t="s">
        <v>1315</v>
      </c>
    </row>
    <row r="2" spans="1:10" ht="23" thickBot="1" x14ac:dyDescent="0.35">
      <c r="B2" s="68" t="s">
        <v>1328</v>
      </c>
      <c r="C2" s="47">
        <f>COUNTA(cleaned_data!A:A)- 2</f>
        <v>79</v>
      </c>
      <c r="D2" s="41" t="s">
        <v>1317</v>
      </c>
      <c r="E2" s="41" t="s">
        <v>1332</v>
      </c>
      <c r="F2" s="41" t="s">
        <v>1333</v>
      </c>
      <c r="G2" s="41" t="s">
        <v>1339</v>
      </c>
    </row>
    <row r="3" spans="1:10" ht="23" customHeight="1" x14ac:dyDescent="0.3">
      <c r="B3" s="128" t="s">
        <v>1340</v>
      </c>
      <c r="C3" s="42" t="s">
        <v>1319</v>
      </c>
      <c r="D3" s="81">
        <f>SUMIFS(formated_data!$L$2:$L$9000, formated_data!$C$2:$C$9000, $A$6, formated_data!$E$2:$E$9000, D$1, formated_data!$G$2:$G$9000, $J3) / $C$2</f>
        <v>0.82278481012658233</v>
      </c>
      <c r="E3" s="82">
        <f>SUMIFS(formated_data!$L$2:$L$9000, formated_data!$C$2:$C$9000, $A$6, formated_data!$E$2:$E$9000, E$1, formated_data!$G$2:$G$9000, $J3) / $C$2</f>
        <v>0.86075949367088611</v>
      </c>
      <c r="F3" s="82">
        <f>SUMIFS(formated_data!$L$2:$L$9000, formated_data!$C$2:$C$9000, $A$6, formated_data!$E$2:$E$9000, F$1, formated_data!$G$2:$G$9000, $J3) / $C$2</f>
        <v>0.89873417721518989</v>
      </c>
      <c r="G3" s="83">
        <f>SUMIFS(formated_data!$L$2:$L$9000, formated_data!$C$2:$C$9000, $A$6, formated_data!$E$2:$E$9000, G$1, formated_data!$G$2:$G$9000, $J3) / $C$2</f>
        <v>0.86075949367088611</v>
      </c>
      <c r="I3" s="50" t="s">
        <v>291</v>
      </c>
      <c r="J3" s="51">
        <v>1</v>
      </c>
    </row>
    <row r="4" spans="1:10" x14ac:dyDescent="0.3">
      <c r="B4" s="129"/>
      <c r="C4" s="78" t="s">
        <v>1320</v>
      </c>
      <c r="D4" s="84">
        <f>SUMIFS(formated_data!$L$2:$L$9000, formated_data!$C$2:$C$9000, $A$6, formated_data!$E$2:$E$9000, D$1, formated_data!$G$2:$G$9000, $J4) / $C$2</f>
        <v>0.69620253164556967</v>
      </c>
      <c r="E4" s="85">
        <f>SUMIFS(formated_data!$L$2:$L$9000, formated_data!$C$2:$C$9000, $A$6, formated_data!$E$2:$E$9000, E$1, formated_data!$G$2:$G$9000, $J4) / $C$2</f>
        <v>0.83544303797468356</v>
      </c>
      <c r="F4" s="85">
        <f>SUMIFS(formated_data!$L$2:$L$9000, formated_data!$C$2:$C$9000, $A$6, formated_data!$E$2:$E$9000, F$1, formated_data!$G$2:$G$9000, $J4) / $C$2</f>
        <v>0.810126582278481</v>
      </c>
      <c r="G4" s="86">
        <f>SUMIFS(formated_data!$L$2:$L$9000, formated_data!$C$2:$C$9000, $A$6, formated_data!$E$2:$E$9000, G$1, formated_data!$G$2:$G$9000, $J4) / $C$2</f>
        <v>0.68354430379746833</v>
      </c>
      <c r="I4" s="52" t="s">
        <v>293</v>
      </c>
      <c r="J4" s="53">
        <v>2</v>
      </c>
    </row>
    <row r="5" spans="1:10" x14ac:dyDescent="0.3">
      <c r="B5" s="129"/>
      <c r="C5" s="78" t="s">
        <v>1321</v>
      </c>
      <c r="D5" s="84">
        <f>SUMIFS(formated_data!$L$2:$L$9000, formated_data!$C$2:$C$9000, $A$6, formated_data!$E$2:$E$9000, D$1, formated_data!$G$2:$G$9000, $J5) / $C$2</f>
        <v>0.22784810126582278</v>
      </c>
      <c r="E5" s="85">
        <f>SUMIFS(formated_data!$L$2:$L$9000, formated_data!$C$2:$C$9000, $A$6, formated_data!$E$2:$E$9000, E$1, formated_data!$G$2:$G$9000, $J5) / $C$2</f>
        <v>0.13924050632911392</v>
      </c>
      <c r="F5" s="85">
        <f>SUMIFS(formated_data!$L$2:$L$9000, formated_data!$C$2:$C$9000, $A$6, formated_data!$E$2:$E$9000, F$1, formated_data!$G$2:$G$9000, $J5) / $C$2</f>
        <v>0.15189873417721519</v>
      </c>
      <c r="G5" s="86">
        <f>SUMIFS(formated_data!$L$2:$L$9000, formated_data!$C$2:$C$9000, $A$6, formated_data!$E$2:$E$9000, G$1, formated_data!$G$2:$G$9000, $J5) / $C$2</f>
        <v>0.58227848101265822</v>
      </c>
      <c r="I5" s="52" t="s">
        <v>299</v>
      </c>
      <c r="J5" s="53">
        <v>4</v>
      </c>
    </row>
    <row r="6" spans="1:10" x14ac:dyDescent="0.3">
      <c r="A6" s="63" t="s">
        <v>1311</v>
      </c>
      <c r="B6" s="129"/>
      <c r="C6" s="78" t="s">
        <v>1322</v>
      </c>
      <c r="D6" s="84">
        <f>SUMIFS(formated_data!$L$2:$L$9000, formated_data!$C$2:$C$9000, $A$6, formated_data!$E$2:$E$9000, D$1, formated_data!$G$2:$G$9000, $J6) / $C$2</f>
        <v>0.759493670886076</v>
      </c>
      <c r="E6" s="85">
        <f>SUMIFS(formated_data!$L$2:$L$9000, formated_data!$C$2:$C$9000, $A$6, formated_data!$E$2:$E$9000, E$1, formated_data!$G$2:$G$9000, $J6) / $C$2</f>
        <v>0.54430379746835444</v>
      </c>
      <c r="F6" s="85">
        <f>SUMIFS(formated_data!$L$2:$L$9000, formated_data!$C$2:$C$9000, $A$6, formated_data!$E$2:$E$9000, F$1, formated_data!$G$2:$G$9000, $J6) / $C$2</f>
        <v>0.50632911392405067</v>
      </c>
      <c r="G6" s="86">
        <f>SUMIFS(formated_data!$L$2:$L$9000, formated_data!$C$2:$C$9000, $A$6, formated_data!$E$2:$E$9000, G$1, formated_data!$G$2:$G$9000, $J6) / $C$2</f>
        <v>0.50632911392405067</v>
      </c>
      <c r="I6" s="52" t="s">
        <v>295</v>
      </c>
      <c r="J6" s="53">
        <v>5</v>
      </c>
    </row>
    <row r="7" spans="1:10" ht="23" thickBot="1" x14ac:dyDescent="0.35">
      <c r="B7" s="129"/>
      <c r="C7" s="43" t="s">
        <v>1323</v>
      </c>
      <c r="D7" s="87">
        <f>SUMIFS(formated_data!$L$2:$L$9000, formated_data!$C$2:$C$9000, $A$6, formated_data!$E$2:$E$9000, D$1, formated_data!$G$2:$G$9000, $J7) / $C$2</f>
        <v>0.12658227848101267</v>
      </c>
      <c r="E7" s="88">
        <f>SUMIFS(formated_data!$L$2:$L$9000, formated_data!$C$2:$C$9000, $A$6, formated_data!$E$2:$E$9000, E$1, formated_data!$G$2:$G$9000, $J7) / $C$2</f>
        <v>0.73417721518987344</v>
      </c>
      <c r="F7" s="88">
        <f>SUMIFS(formated_data!$L$2:$L$9000, formated_data!$C$2:$C$9000, $A$6, formated_data!$E$2:$E$9000, F$1, formated_data!$G$2:$G$9000, $J7) / $C$2</f>
        <v>0.60759493670886078</v>
      </c>
      <c r="G7" s="89">
        <f>SUMIFS(formated_data!$L$2:$L$9000, formated_data!$C$2:$C$9000, $A$6, formated_data!$E$2:$E$9000, G$1, formated_data!$G$2:$G$9000, $J7) / $C$2</f>
        <v>0.58227848101265822</v>
      </c>
      <c r="I7" s="54" t="s">
        <v>298</v>
      </c>
      <c r="J7" s="55">
        <v>3</v>
      </c>
    </row>
    <row r="8" spans="1:10" ht="6" customHeight="1" thickBot="1" x14ac:dyDescent="0.35">
      <c r="B8" s="122"/>
      <c r="C8" s="80"/>
      <c r="D8" s="90"/>
      <c r="E8" s="90"/>
      <c r="F8" s="90"/>
      <c r="G8" s="91"/>
      <c r="I8" s="79"/>
      <c r="J8" s="56"/>
    </row>
    <row r="9" spans="1:10" s="96" customFormat="1" ht="31" customHeight="1" x14ac:dyDescent="0.2">
      <c r="B9" s="122"/>
      <c r="C9" s="94" t="s">
        <v>1324</v>
      </c>
      <c r="D9" s="98">
        <f>AVERAGE(D3:D7)</f>
        <v>0.52658227848101258</v>
      </c>
      <c r="E9" s="99">
        <f t="shared" ref="E9:G9" si="0">AVERAGE(E3:E7)</f>
        <v>0.62278481012658227</v>
      </c>
      <c r="F9" s="99">
        <f t="shared" si="0"/>
        <v>0.59493670886075956</v>
      </c>
      <c r="G9" s="99">
        <f t="shared" si="0"/>
        <v>0.64303797468354429</v>
      </c>
      <c r="I9" s="97"/>
      <c r="J9" s="97"/>
    </row>
    <row r="10" spans="1:10" s="96" customFormat="1" ht="31" customHeight="1" thickBot="1" x14ac:dyDescent="0.25">
      <c r="B10" s="123"/>
      <c r="C10" s="95" t="s">
        <v>1342</v>
      </c>
      <c r="D10" s="100">
        <f>_xlfn.STDEV.S(D3:D7)</f>
        <v>0.32403579871109744</v>
      </c>
      <c r="E10" s="100">
        <f t="shared" ref="E10:G10" si="1">_xlfn.STDEV.S(E3:E7)</f>
        <v>0.29758952554993012</v>
      </c>
      <c r="F10" s="100">
        <f t="shared" si="1"/>
        <v>0.29278565838532583</v>
      </c>
      <c r="G10" s="100">
        <f t="shared" si="1"/>
        <v>0.13703664407822111</v>
      </c>
      <c r="I10" s="97"/>
      <c r="J10" s="97"/>
    </row>
    <row r="11" spans="1:10" ht="15" customHeight="1" thickBot="1" x14ac:dyDescent="0.35">
      <c r="B11" s="44"/>
      <c r="C11" s="45"/>
      <c r="D11" s="40"/>
      <c r="E11" s="40"/>
      <c r="F11" s="40"/>
      <c r="G11" s="40"/>
    </row>
    <row r="12" spans="1:10" ht="23" thickBot="1" x14ac:dyDescent="0.35">
      <c r="B12" s="101"/>
      <c r="C12" s="102"/>
      <c r="D12" s="41" t="s">
        <v>1317</v>
      </c>
      <c r="E12" s="41" t="s">
        <v>1332</v>
      </c>
      <c r="F12" s="41" t="s">
        <v>1333</v>
      </c>
      <c r="G12" s="41" t="s">
        <v>1339</v>
      </c>
    </row>
    <row r="13" spans="1:10" ht="23" customHeight="1" x14ac:dyDescent="0.3">
      <c r="B13" s="130" t="s">
        <v>1341</v>
      </c>
      <c r="C13" s="42" t="s">
        <v>1319</v>
      </c>
      <c r="D13" s="81">
        <f>SUMIFS(formated_data!$L$2:$L$9000, formated_data!$C$2:$C$9000, $A$15, formated_data!$E$2:$E$9000, D$1, formated_data!$G$2:$G$9000, $J13) / $C$2</f>
        <v>0.78481012658227844</v>
      </c>
      <c r="E13" s="82">
        <f>SUMIFS(formated_data!$L$2:$L$9000, formated_data!$C$2:$C$9000, $A$15, formated_data!$E$2:$E$9000, E$1, formated_data!$G$2:$G$9000, $J13) / $C$2</f>
        <v>0.93670886075949367</v>
      </c>
      <c r="F13" s="82">
        <f>SUMIFS(formated_data!$L$2:$L$9000, formated_data!$C$2:$C$9000, $A$15, formated_data!$E$2:$E$9000, F$1, formated_data!$G$2:$G$9000, $J13) / $C$2</f>
        <v>0.93670886075949367</v>
      </c>
      <c r="G13" s="83">
        <f>SUMIFS(formated_data!$L$2:$L$9000, formated_data!$C$2:$C$9000, $A$15, formated_data!$E$2:$E$9000, G$1, formated_data!$G$2:$G$9000, $J13) / $C$2</f>
        <v>0.92405063291139244</v>
      </c>
      <c r="I13" s="57" t="s">
        <v>291</v>
      </c>
      <c r="J13" s="58">
        <v>1</v>
      </c>
    </row>
    <row r="14" spans="1:10" x14ac:dyDescent="0.3">
      <c r="B14" s="129"/>
      <c r="C14" s="78" t="s">
        <v>1326</v>
      </c>
      <c r="D14" s="84">
        <f>SUMIFS(formated_data!$L$2:$L$9000, formated_data!$C$2:$C$9000, $A$15, formated_data!$E$2:$E$9000, D$1, formated_data!$G$2:$G$9000, $J14) / $C$2</f>
        <v>0.91139240506329111</v>
      </c>
      <c r="E14" s="85">
        <f>SUMIFS(formated_data!$L$2:$L$9000, formated_data!$C$2:$C$9000, $A$15, formated_data!$E$2:$E$9000, E$1, formated_data!$G$2:$G$9000, $J14) / $C$2</f>
        <v>0.93670886075949367</v>
      </c>
      <c r="F14" s="85">
        <f>SUMIFS(formated_data!$L$2:$L$9000, formated_data!$C$2:$C$9000, $A$15, formated_data!$E$2:$E$9000, F$1, formated_data!$G$2:$G$9000, $J14) / $C$2</f>
        <v>0.96202531645569622</v>
      </c>
      <c r="G14" s="86">
        <f>SUMIFS(formated_data!$L$2:$L$9000, formated_data!$C$2:$C$9000, $A$15, formated_data!$E$2:$E$9000, G$1, formated_data!$G$2:$G$9000, $J14) / $C$2</f>
        <v>0.92405063291139244</v>
      </c>
      <c r="I14" s="59" t="s">
        <v>300</v>
      </c>
      <c r="J14" s="60">
        <v>2</v>
      </c>
    </row>
    <row r="15" spans="1:10" ht="23" thickBot="1" x14ac:dyDescent="0.35">
      <c r="A15" s="63" t="s">
        <v>1316</v>
      </c>
      <c r="B15" s="129"/>
      <c r="C15" s="43" t="s">
        <v>1327</v>
      </c>
      <c r="D15" s="87">
        <f>SUMIFS(formated_data!$L$2:$L$9000, formated_data!$C$2:$C$9000, $A$15, formated_data!$E$2:$E$9000, D$1, formated_data!$G$2:$G$9000, $J15) / $C$2</f>
        <v>0.78481012658227844</v>
      </c>
      <c r="E15" s="88">
        <f>SUMIFS(formated_data!$L$2:$L$9000, formated_data!$C$2:$C$9000, $A$15, formated_data!$E$2:$E$9000, E$1, formated_data!$G$2:$G$9000, $J15) / $C$2</f>
        <v>0.74683544303797467</v>
      </c>
      <c r="F15" s="88">
        <f>SUMIFS(formated_data!$L$2:$L$9000, formated_data!$C$2:$C$9000, $A$15, formated_data!$E$2:$E$9000, F$1, formated_data!$G$2:$G$9000, $J15) / $C$2</f>
        <v>0.73417721518987344</v>
      </c>
      <c r="G15" s="89">
        <f>SUMIFS(formated_data!$L$2:$L$9000, formated_data!$C$2:$C$9000, $A$15, formated_data!$E$2:$E$9000, G$1, formated_data!$G$2:$G$9000, $J15) / $C$2</f>
        <v>0.24050632911392406</v>
      </c>
      <c r="I15" s="61" t="s">
        <v>301</v>
      </c>
      <c r="J15" s="62">
        <v>5</v>
      </c>
    </row>
    <row r="16" spans="1:10" ht="6" customHeight="1" thickBot="1" x14ac:dyDescent="0.35">
      <c r="A16" s="63"/>
      <c r="B16" s="122"/>
      <c r="C16" s="80"/>
      <c r="D16" s="90"/>
      <c r="E16" s="90"/>
      <c r="F16" s="90"/>
      <c r="G16" s="91"/>
      <c r="I16" s="92"/>
      <c r="J16" s="93"/>
    </row>
    <row r="17" spans="2:7" s="96" customFormat="1" ht="31" customHeight="1" x14ac:dyDescent="0.2">
      <c r="B17" s="122"/>
      <c r="C17" s="94" t="s">
        <v>1324</v>
      </c>
      <c r="D17" s="98">
        <f>AVERAGE(D13:D15)</f>
        <v>0.8270042194092827</v>
      </c>
      <c r="E17" s="99">
        <f t="shared" ref="E17:G17" si="2">AVERAGE(E13:E15)</f>
        <v>0.87341772151898722</v>
      </c>
      <c r="F17" s="99">
        <f t="shared" si="2"/>
        <v>0.8776371308016877</v>
      </c>
      <c r="G17" s="99">
        <f t="shared" si="2"/>
        <v>0.69620253164556967</v>
      </c>
    </row>
    <row r="18" spans="2:7" s="96" customFormat="1" ht="31" customHeight="1" thickBot="1" x14ac:dyDescent="0.25">
      <c r="B18" s="123"/>
      <c r="C18" s="95" t="s">
        <v>1342</v>
      </c>
      <c r="D18" s="100">
        <f>_xlfn.STDEV.S(D13:D15)</f>
        <v>7.3082312555648843E-2</v>
      </c>
      <c r="E18" s="100">
        <f t="shared" ref="E18:G18" si="3">_xlfn.STDEV.S(E13:E15)</f>
        <v>0.10962346883347426</v>
      </c>
      <c r="F18" s="100">
        <f t="shared" si="3"/>
        <v>0.12488311043838733</v>
      </c>
      <c r="G18" s="100">
        <f t="shared" si="3"/>
        <v>0.39464448780050382</v>
      </c>
    </row>
    <row r="21" spans="2:7" x14ac:dyDescent="0.3">
      <c r="D21" s="46">
        <v>3</v>
      </c>
      <c r="E21" s="46">
        <v>5</v>
      </c>
    </row>
  </sheetData>
  <mergeCells count="2">
    <mergeCell ref="B3:B10"/>
    <mergeCell ref="B13:B18"/>
  </mergeCells>
  <conditionalFormatting sqref="D3:G9">
    <cfRule type="colorScale" priority="5">
      <colorScale>
        <cfvo type="min"/>
        <cfvo type="percentile" val="40"/>
        <cfvo type="max"/>
        <color rgb="FFFF0000"/>
        <color theme="2"/>
        <color theme="6" tint="0.39997558519241921"/>
      </colorScale>
    </cfRule>
  </conditionalFormatting>
  <conditionalFormatting sqref="D10:G10 D18:G18">
    <cfRule type="colorScale" priority="2">
      <colorScale>
        <cfvo type="min"/>
        <cfvo type="percentile" val="60"/>
        <cfvo type="max"/>
        <color theme="6" tint="0.39997558519241921"/>
        <color theme="2"/>
        <color rgb="FFFF0000"/>
      </colorScale>
    </cfRule>
  </conditionalFormatting>
  <conditionalFormatting sqref="D13:G15 D12 D17:G17">
    <cfRule type="colorScale" priority="4">
      <colorScale>
        <cfvo type="min"/>
        <cfvo type="percentile" val="40"/>
        <cfvo type="max"/>
        <color rgb="FFFF0000"/>
        <color theme="2"/>
        <color theme="6" tint="0.39997558519241921"/>
      </colorScale>
    </cfRule>
  </conditionalFormatting>
  <conditionalFormatting sqref="D16:G16">
    <cfRule type="colorScale" priority="1">
      <colorScale>
        <cfvo type="min"/>
        <cfvo type="percentile" val="40"/>
        <cfvo type="max"/>
        <color rgb="FFFF0000"/>
        <color theme="2"/>
        <color theme="6" tint="0.39997558519241921"/>
      </colorScale>
    </cfRule>
  </conditionalFormatting>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2D28-3E08-B047-834A-E752FFF2B6FE}">
  <dimension ref="B1:E13"/>
  <sheetViews>
    <sheetView zoomScale="260" zoomScaleNormal="260" workbookViewId="0">
      <selection activeCell="A26" sqref="A26"/>
    </sheetView>
  </sheetViews>
  <sheetFormatPr baseColWidth="10" defaultRowHeight="15" x14ac:dyDescent="0.2"/>
  <cols>
    <col min="2" max="5" width="24.33203125" customWidth="1"/>
  </cols>
  <sheetData>
    <row r="1" spans="2:5" ht="16" thickBot="1" x14ac:dyDescent="0.25"/>
    <row r="2" spans="2:5" s="106" customFormat="1" ht="20" thickBot="1" x14ac:dyDescent="0.3">
      <c r="B2" s="104" t="s">
        <v>1336</v>
      </c>
      <c r="C2" s="104" t="s">
        <v>1334</v>
      </c>
      <c r="D2" s="105" t="s">
        <v>1335</v>
      </c>
      <c r="E2" s="131" t="s">
        <v>1337</v>
      </c>
    </row>
    <row r="3" spans="2:5" s="106" customFormat="1" ht="19" x14ac:dyDescent="0.25">
      <c r="B3" s="133" t="s">
        <v>356</v>
      </c>
      <c r="C3" s="107" t="s">
        <v>1316</v>
      </c>
      <c r="D3" s="108" t="s">
        <v>1311</v>
      </c>
      <c r="E3" s="132"/>
    </row>
    <row r="4" spans="2:5" s="106" customFormat="1" ht="20" thickBot="1" x14ac:dyDescent="0.3">
      <c r="B4" s="134"/>
      <c r="C4" s="109">
        <f>AVERAGEIFS(formated_data!$L$2:$L$9000, formated_data!$B$2:$B$9000, B3, formated_data!$C$2:$C$9000, C3)</f>
        <v>0.82905982905982911</v>
      </c>
      <c r="D4" s="110">
        <f>AVERAGEIFS(formated_data!$L$2:$L$9000, formated_data!$B$2:$B$9000, B3, formated_data!$C$2:$C$9000, D3)</f>
        <v>0.62948717948717947</v>
      </c>
      <c r="E4" s="111">
        <f>AVERAGE(C4,D4)</f>
        <v>0.72927350427350435</v>
      </c>
    </row>
    <row r="5" spans="2:5" s="106" customFormat="1" ht="20" thickBot="1" x14ac:dyDescent="0.3">
      <c r="B5" s="112"/>
      <c r="C5" s="112"/>
      <c r="D5" s="112"/>
      <c r="E5" s="113"/>
    </row>
    <row r="6" spans="2:5" s="106" customFormat="1" ht="20" thickBot="1" x14ac:dyDescent="0.3">
      <c r="B6" s="104" t="s">
        <v>1336</v>
      </c>
      <c r="C6" s="104" t="s">
        <v>1334</v>
      </c>
      <c r="D6" s="105" t="s">
        <v>1335</v>
      </c>
      <c r="E6" s="131" t="s">
        <v>1337</v>
      </c>
    </row>
    <row r="7" spans="2:5" s="106" customFormat="1" ht="19" x14ac:dyDescent="0.25">
      <c r="B7" s="135" t="s">
        <v>372</v>
      </c>
      <c r="C7" s="108" t="s">
        <v>1311</v>
      </c>
      <c r="D7" s="107" t="s">
        <v>1316</v>
      </c>
      <c r="E7" s="132"/>
    </row>
    <row r="8" spans="2:5" s="106" customFormat="1" ht="20" thickBot="1" x14ac:dyDescent="0.3">
      <c r="B8" s="136"/>
      <c r="C8" s="110">
        <f>AVERAGEIFS(formated_data!$L$2:$L$9000, formated_data!$B$2:$B$9000, B7, formated_data!$C$2:$C$9000, C7)</f>
        <v>0.56499999999999995</v>
      </c>
      <c r="D8" s="109">
        <f>AVERAGEIFS(formated_data!$L$2:$L$9000, formated_data!$B$2:$B$9000, B7, formated_data!$C$2:$C$9000, D7)</f>
        <v>0.80833333333333335</v>
      </c>
      <c r="E8" s="111">
        <f>AVERAGE(C8,D8)</f>
        <v>0.68666666666666665</v>
      </c>
    </row>
    <row r="10" spans="2:5" ht="22" x14ac:dyDescent="0.3">
      <c r="B10" s="46"/>
      <c r="C10" s="46">
        <v>5</v>
      </c>
      <c r="D10" s="46">
        <v>3</v>
      </c>
      <c r="E10" s="46"/>
    </row>
    <row r="11" spans="2:5" ht="22" x14ac:dyDescent="0.3">
      <c r="B11" s="46"/>
      <c r="C11" s="46" t="str">
        <f>B7</f>
        <v>five_then_three</v>
      </c>
      <c r="D11" s="46" t="str">
        <f>B3</f>
        <v>three_then_five</v>
      </c>
      <c r="E11" s="46"/>
    </row>
    <row r="12" spans="2:5" ht="22" x14ac:dyDescent="0.3">
      <c r="B12" s="46" t="s">
        <v>1343</v>
      </c>
      <c r="C12" s="103">
        <f>D8</f>
        <v>0.80833333333333335</v>
      </c>
      <c r="D12" s="103">
        <f>C4</f>
        <v>0.82905982905982911</v>
      </c>
      <c r="E12" s="46"/>
    </row>
    <row r="13" spans="2:5" ht="22" x14ac:dyDescent="0.3">
      <c r="B13" s="46" t="s">
        <v>1344</v>
      </c>
      <c r="C13" s="103">
        <f>C8</f>
        <v>0.56499999999999995</v>
      </c>
      <c r="D13" s="103">
        <f>D4</f>
        <v>0.62948717948717947</v>
      </c>
      <c r="E13" s="46"/>
    </row>
  </sheetData>
  <mergeCells count="4">
    <mergeCell ref="E2:E3"/>
    <mergeCell ref="B3:B4"/>
    <mergeCell ref="E6:E7"/>
    <mergeCell ref="B7:B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meta_data</vt:lpstr>
      <vt:lpstr>raw_labels</vt:lpstr>
      <vt:lpstr>raw_values</vt:lpstr>
      <vt:lpstr>cleaned_data</vt:lpstr>
      <vt:lpstr>formated_data</vt:lpstr>
      <vt:lpstr>accuracy</vt:lpstr>
      <vt:lpstr>accuracy_and_var</vt:lpstr>
      <vt:lpstr>blockOrder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Liam Roy</cp:lastModifiedBy>
  <dcterms:created xsi:type="dcterms:W3CDTF">2025-04-05T15:17:59Z</dcterms:created>
  <dcterms:modified xsi:type="dcterms:W3CDTF">2025-12-11T21:53:23Z</dcterms:modified>
</cp:coreProperties>
</file>